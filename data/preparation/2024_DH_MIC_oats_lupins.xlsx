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preparation/"/>
    </mc:Choice>
  </mc:AlternateContent>
  <xr:revisionPtr revIDLastSave="0" documentId="13_ncr:1_{D074128A-16FD-C543-AC9A-88AF8B235611}" xr6:coauthVersionLast="47" xr6:coauthVersionMax="47" xr10:uidLastSave="{00000000-0000-0000-0000-000000000000}"/>
  <bookViews>
    <workbookView xWindow="4080" yWindow="500" windowWidth="30240" windowHeight="17320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Weather data" sheetId="6" r:id="rId6"/>
    <sheet name="Soil analysis 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1" i="6"/>
</calcChain>
</file>

<file path=xl/sharedStrings.xml><?xml version="1.0" encoding="utf-8"?>
<sst xmlns="http://schemas.openxmlformats.org/spreadsheetml/2006/main" count="933" uniqueCount="400">
  <si>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</si>
  <si>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</si>
  <si>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</si>
  <si>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</si>
  <si>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</si>
  <si>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</si>
  <si>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</si>
  <si>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66ccb4744f94ed31912874e2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</si>
  <si>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</si>
  <si>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</si>
  <si>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</si>
  <si>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</si>
  <si>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</si>
  <si>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2024_DH_MIC_oats_lupins</t>
  </si>
  <si>
    <t>Work package</t>
  </si>
  <si>
    <t>WP2 or WP3</t>
  </si>
  <si>
    <t>WP3</t>
  </si>
  <si>
    <t>Goal</t>
  </si>
  <si>
    <t>The main breeding goal in case of WP2, the type of trial in case of WP3</t>
  </si>
  <si>
    <t>Gain insight into the performance of pure stand vs. Mixed intercropping</t>
  </si>
  <si>
    <t>Type</t>
  </si>
  <si>
    <t>The design of the trial, e.g. augmented design, randomised complete block design, ...</t>
  </si>
  <si>
    <t>MIC</t>
  </si>
  <si>
    <t>NumberOfRows</t>
  </si>
  <si>
    <t>Number of plot rows in the trial</t>
  </si>
  <si>
    <t>NumberOfColumns</t>
  </si>
  <si>
    <t>Number of plot columns in the trial</t>
  </si>
  <si>
    <t>DesignType</t>
  </si>
  <si>
    <t>RCBD</t>
  </si>
  <si>
    <t>CropType</t>
  </si>
  <si>
    <t>Spring or winter crop</t>
  </si>
  <si>
    <t>Spring</t>
  </si>
  <si>
    <t>PreviousCrop</t>
  </si>
  <si>
    <t>no</t>
  </si>
  <si>
    <t>Previous crop</t>
  </si>
  <si>
    <t>potatoes</t>
  </si>
  <si>
    <t>SowingYear</t>
  </si>
  <si>
    <t>The year in which the trial is sown</t>
  </si>
  <si>
    <t>SowingDate</t>
  </si>
  <si>
    <t>Sowing date in format yyyy-mm-dd</t>
  </si>
  <si>
    <t>2024-03-22</t>
  </si>
  <si>
    <t>HarvestYear</t>
  </si>
  <si>
    <t>The year in which the trial is harvested</t>
  </si>
  <si>
    <t>HarvestDate</t>
  </si>
  <si>
    <t>Harvest date in format yyyy-mm-dd</t>
  </si>
  <si>
    <t>2024-08-07</t>
  </si>
  <si>
    <t>Country</t>
  </si>
  <si>
    <t>Country in which the trial is located</t>
  </si>
  <si>
    <t>Germany</t>
  </si>
  <si>
    <t>Location</t>
  </si>
  <si>
    <t>City or region of the field trial</t>
  </si>
  <si>
    <t>Hesse, Bad Vilbel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</si>
  <si>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</si>
  <si>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</si>
  <si>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</si>
  <si>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</si>
  <si>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</si>
  <si>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</si>
  <si>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DH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</si>
  <si>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</si>
  <si>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</si>
  <si>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</si>
  <si>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</si>
  <si>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</si>
  <si>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</si>
  <si>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</si>
  <si>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</si>
  <si>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</si>
  <si>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</si>
  <si>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</si>
  <si>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</si>
  <si>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</si>
  <si>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</si>
  <si>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</si>
  <si>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</si>
  <si>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</si>
  <si>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</si>
  <si>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</si>
  <si>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</si>
  <si>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</si>
  <si>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</si>
  <si>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</si>
  <si>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</si>
  <si>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</si>
  <si>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</si>
  <si>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</si>
  <si>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</si>
  <si>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</si>
  <si>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</si>
  <si>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</si>
  <si>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</si>
  <si>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</si>
  <si>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</si>
  <si>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</si>
  <si>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</si>
  <si>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</si>
  <si>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</si>
  <si>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</si>
  <si>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</si>
  <si>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</si>
  <si>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</si>
  <si>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</si>
  <si>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</si>
  <si>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</si>
  <si>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</si>
  <si>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</si>
  <si>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</si>
  <si>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</si>
  <si>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</si>
  <si>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</si>
  <si>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</si>
  <si>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</si>
  <si>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</si>
  <si>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</si>
  <si>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</si>
  <si>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</si>
  <si>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</si>
  <si>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</si>
  <si>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Plant_height_cereal</t>
  </si>
  <si>
    <t>Plant_height_legume</t>
  </si>
  <si>
    <t>Plant_density_cereal</t>
  </si>
  <si>
    <t>Fresh_straw_yield</t>
  </si>
  <si>
    <t>Dry_matter_%_straw</t>
  </si>
  <si>
    <t>Dry_straw_yield</t>
  </si>
  <si>
    <t>Moisture_Straw</t>
  </si>
  <si>
    <t>Dry_matter_%_cereal</t>
  </si>
  <si>
    <t>Dry_matter_%_legume</t>
  </si>
  <si>
    <t>Dry_yield_cereals</t>
  </si>
  <si>
    <t>Dry_yield_legumes</t>
  </si>
  <si>
    <t>Fresh_yield_cereals</t>
  </si>
  <si>
    <t>Fresh_yield_legume</t>
  </si>
  <si>
    <t>HLW_cereal</t>
  </si>
  <si>
    <t>TKW_cereals</t>
  </si>
  <si>
    <t>TKW_legume</t>
  </si>
  <si>
    <t>2024-07-06</t>
  </si>
  <si>
    <t>2024-07-07</t>
  </si>
  <si>
    <t>2024-07-18</t>
  </si>
  <si>
    <t>2024-08-09</t>
  </si>
  <si>
    <t>2024-08-13</t>
  </si>
  <si>
    <t>2024-08-20</t>
  </si>
  <si>
    <t>2024-08-25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</si>
  <si>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</si>
  <si>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</si>
  <si>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</si>
  <si>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</si>
  <si>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</si>
  <si>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</si>
  <si>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</si>
  <si>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</si>
  <si>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</si>
  <si>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</si>
  <si>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</si>
  <si>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</si>
  <si>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</si>
  <si>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</si>
  <si>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</si>
  <si>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</si>
  <si>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</si>
  <si>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</si>
  <si>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</si>
  <si>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</si>
  <si>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</si>
  <si>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</si>
  <si>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</si>
  <si>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</si>
  <si>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</si>
  <si>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</si>
  <si>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</si>
  <si>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</si>
  <si>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</si>
  <si>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</si>
  <si>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</si>
  <si>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</si>
  <si>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</si>
  <si>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</si>
  <si>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</si>
  <si>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</si>
  <si>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</si>
  <si>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</si>
  <si>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</si>
  <si>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</si>
  <si>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</si>
  <si>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</si>
  <si>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</si>
  <si>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</si>
  <si>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</si>
  <si>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</si>
  <si>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</si>
  <si>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</si>
  <si>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</si>
  <si>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</si>
  <si>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</si>
  <si>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</si>
  <si>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</si>
  <si>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</si>
  <si>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</si>
  <si>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</si>
  <si>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</si>
  <si>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</si>
  <si>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</si>
  <si>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</si>
  <si>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</si>
  <si>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</si>
  <si>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</si>
  <si>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</si>
  <si>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</si>
  <si>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</si>
  <si>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</si>
  <si>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</si>
  <si>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</si>
  <si>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</si>
  <si>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</si>
  <si>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</si>
  <si>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</si>
  <si>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</si>
  <si>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</si>
  <si>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</si>
  <si>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</si>
  <si>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</si>
  <si>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</si>
  <si>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</si>
  <si>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</si>
  <si>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</si>
  <si>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</si>
  <si>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</si>
  <si>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</si>
  <si>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</si>
  <si>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</si>
  <si>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</si>
  <si>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</si>
  <si>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</si>
  <si>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</si>
  <si>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</si>
  <si>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</si>
  <si>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</si>
  <si>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</si>
  <si>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</si>
  <si>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</si>
  <si>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</si>
  <si>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</si>
  <si>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</si>
  <si>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</si>
  <si>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</si>
  <si>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</si>
  <si>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</si>
  <si>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</si>
  <si>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</si>
  <si>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</si>
  <si>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</si>
  <si>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</si>
  <si>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</si>
  <si>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</si>
  <si>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</si>
  <si>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</si>
  <si>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</si>
  <si>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</si>
  <si>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</si>
  <si>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</si>
  <si>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</si>
  <si>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</si>
  <si>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</si>
  <si>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</si>
  <si>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</si>
  <si>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</si>
  <si>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</si>
  <si>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</si>
  <si>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</si>
  <si>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</si>
  <si>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</si>
  <si>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</si>
  <si>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</si>
  <si>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</si>
  <si>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</si>
  <si>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</si>
  <si>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</si>
  <si>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</si>
  <si>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</si>
  <si>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</si>
  <si>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</si>
  <si>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</si>
  <si>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</si>
  <si>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</si>
  <si>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</si>
  <si>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</si>
  <si>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</si>
  <si>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</si>
  <si>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</si>
  <si>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</si>
  <si>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</si>
  <si>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</si>
  <si>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</si>
  <si>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</si>
  <si>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</si>
  <si>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</si>
  <si>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</si>
  <si>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</si>
  <si>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</si>
  <si>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</si>
  <si>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</si>
  <si>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</si>
  <si>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</si>
  <si>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</si>
  <si>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</si>
  <si>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</si>
  <si>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</si>
  <si>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</si>
  <si>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</si>
  <si>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</si>
  <si>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</si>
  <si>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</si>
  <si>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</si>
  <si>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</si>
  <si>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</si>
  <si>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</si>
  <si>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</si>
  <si>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</si>
  <si>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</si>
  <si>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</si>
  <si>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</si>
  <si>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</si>
  <si>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</si>
  <si>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</si>
  <si>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</si>
  <si>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</si>
  <si>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</si>
  <si>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</si>
  <si>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</si>
  <si>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</si>
  <si>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</si>
  <si>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</si>
  <si>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</si>
  <si>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</si>
  <si>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</si>
  <si>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</si>
  <si>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</si>
  <si>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</si>
  <si>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</si>
  <si>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</si>
  <si>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</si>
  <si>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</si>
  <si>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</si>
  <si>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</si>
  <si>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</si>
  <si>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</si>
  <si>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</si>
  <si>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</si>
  <si>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</si>
  <si>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</si>
  <si>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</si>
  <si>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</si>
  <si>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</si>
  <si>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</si>
  <si>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</si>
  <si>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</si>
  <si>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</si>
  <si>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</si>
  <si>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</si>
  <si>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</si>
  <si>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</si>
  <si>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</si>
  <si>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</si>
  <si>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</si>
  <si>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</si>
  <si>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</si>
  <si>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</si>
  <si>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2024-08-08</t>
  </si>
  <si>
    <t>2024-08-10</t>
  </si>
  <si>
    <t>2024-08-11</t>
  </si>
  <si>
    <t>2024-08-12</t>
  </si>
  <si>
    <t>2024-08-14</t>
  </si>
  <si>
    <t>2024-08-15</t>
  </si>
  <si>
    <t>2024-08-16</t>
  </si>
  <si>
    <t>2024-08-17</t>
  </si>
  <si>
    <t>2024-08-18</t>
  </si>
  <si>
    <t>2024-08-19</t>
  </si>
  <si>
    <t>2024-08-21</t>
  </si>
  <si>
    <t>2024-08-22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</si>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</sst>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Times New Roman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baseColWidth="10" defaultColWidth="8.83203125" defaultRowHeight="16" x14ac:dyDescent="0.2"/>
  <cols>
    <col min="1" max="1" width="18.6640625" bestFit="1" customWidth="1"/>
    <col min="2" max="2" width="12.6640625" bestFit="1" customWidth="1"/>
    <col min="3" max="3" width="153" bestFit="1" customWidth="1"/>
    <col min="4" max="4" width="84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>
        <v>8</v>
      </c>
    </row>
    <row r="9" spans="1:4" x14ac:dyDescent="0.2">
      <c r="A9" t="s">
        <v>25</v>
      </c>
      <c r="B9" t="s">
        <v>5</v>
      </c>
      <c r="C9" t="s">
        <v>26</v>
      </c>
      <c r="D9">
        <v>9</v>
      </c>
    </row>
    <row r="10" spans="1:4" x14ac:dyDescent="0.2">
      <c r="A10" t="s">
        <v>27</v>
      </c>
      <c r="B10" t="s">
        <v>5</v>
      </c>
      <c r="C10" t="s">
        <v>21</v>
      </c>
      <c r="D10" t="s">
        <v>28</v>
      </c>
    </row>
    <row r="11" spans="1:4" x14ac:dyDescent="0.2">
      <c r="A11" t="s">
        <v>29</v>
      </c>
      <c r="B11" t="s">
        <v>5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36</v>
      </c>
      <c r="B13" t="s">
        <v>5</v>
      </c>
      <c r="C13" t="s">
        <v>37</v>
      </c>
      <c r="D13">
        <v>2024</v>
      </c>
    </row>
    <row r="14" spans="1:4" x14ac:dyDescent="0.2">
      <c r="A14" t="s">
        <v>38</v>
      </c>
      <c r="B14" t="s">
        <v>33</v>
      </c>
      <c r="C14" t="s">
        <v>39</v>
      </c>
      <c r="D14" t="s">
        <v>40</v>
      </c>
    </row>
    <row r="15" spans="1:4" x14ac:dyDescent="0.2">
      <c r="A15" t="s">
        <v>41</v>
      </c>
      <c r="B15" t="s">
        <v>33</v>
      </c>
      <c r="C15" t="s">
        <v>42</v>
      </c>
      <c r="D15">
        <v>2024</v>
      </c>
    </row>
    <row r="16" spans="1:4" x14ac:dyDescent="0.2">
      <c r="A16" t="s">
        <v>43</v>
      </c>
      <c r="B16" t="s">
        <v>33</v>
      </c>
      <c r="C16" t="s">
        <v>44</v>
      </c>
      <c r="D16" t="s">
        <v>45</v>
      </c>
    </row>
    <row r="17" spans="1:4" x14ac:dyDescent="0.2">
      <c r="A17" t="s">
        <v>46</v>
      </c>
      <c r="B17" t="s">
        <v>5</v>
      </c>
      <c r="C17" t="s">
        <v>47</v>
      </c>
      <c r="D17" t="s">
        <v>48</v>
      </c>
    </row>
    <row r="18" spans="1:4" x14ac:dyDescent="0.2">
      <c r="A18" t="s">
        <v>49</v>
      </c>
      <c r="B18" t="s">
        <v>5</v>
      </c>
      <c r="C18" t="s">
        <v>50</v>
      </c>
      <c r="D18" t="s">
        <v>51</v>
      </c>
    </row>
    <row r="19" spans="1:4" x14ac:dyDescent="0.2">
      <c r="A19" t="s">
        <v>52</v>
      </c>
      <c r="B19" t="s">
        <v>33</v>
      </c>
      <c r="C19" t="s">
        <v>53</v>
      </c>
      <c r="D19">
        <v>50.19</v>
      </c>
    </row>
    <row r="20" spans="1:4" x14ac:dyDescent="0.2">
      <c r="A20" t="s">
        <v>54</v>
      </c>
      <c r="B20" t="s">
        <v>33</v>
      </c>
      <c r="C20" t="s">
        <v>55</v>
      </c>
      <c r="D20">
        <v>8.76</v>
      </c>
    </row>
    <row r="21" spans="1:4" x14ac:dyDescent="0.2">
      <c r="A21" t="s">
        <v>56</v>
      </c>
      <c r="B21" t="s">
        <v>5</v>
      </c>
      <c r="C21" t="s">
        <v>57</v>
      </c>
      <c r="D21" t="s">
        <v>58</v>
      </c>
    </row>
    <row r="22" spans="1:4" x14ac:dyDescent="0.2">
      <c r="A22" t="s">
        <v>59</v>
      </c>
      <c r="B22" t="s">
        <v>5</v>
      </c>
      <c r="C22" t="s">
        <v>60</v>
      </c>
      <c r="D22">
        <v>18</v>
      </c>
    </row>
    <row r="23" spans="1:4" x14ac:dyDescent="0.2">
      <c r="A23" t="s">
        <v>61</v>
      </c>
      <c r="B23" t="s">
        <v>33</v>
      </c>
      <c r="C23" t="s">
        <v>62</v>
      </c>
      <c r="D23">
        <v>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baseColWidth="10" defaultColWidth="8.83203125" defaultRowHeight="16" x14ac:dyDescent="0.2"/>
  <cols>
    <col min="1" max="1" width="9.1640625" bestFit="1" customWidth="1"/>
    <col min="2" max="2" width="12.6640625" bestFit="1" customWidth="1"/>
    <col min="3" max="3" width="24.6640625" bestFit="1" customWidth="1"/>
    <col min="4" max="4" width="18.6640625" bestFit="1" customWidth="1"/>
  </cols>
  <sheetData>
    <row r="1" spans="1:4" x14ac:dyDescent="0.2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">
      <c r="A2">
        <v>21</v>
      </c>
      <c r="B2" s="2" t="s">
        <v>67</v>
      </c>
      <c r="C2" s="2" t="s">
        <v>68</v>
      </c>
      <c r="D2">
        <v>4</v>
      </c>
    </row>
    <row r="3" spans="1:4" x14ac:dyDescent="0.2">
      <c r="A3">
        <v>22</v>
      </c>
      <c r="B3" s="2" t="s">
        <v>69</v>
      </c>
      <c r="C3" s="2" t="s">
        <v>70</v>
      </c>
      <c r="D3">
        <v>4</v>
      </c>
    </row>
    <row r="4" spans="1:4" x14ac:dyDescent="0.2">
      <c r="A4">
        <v>23</v>
      </c>
      <c r="B4" s="2" t="s">
        <v>71</v>
      </c>
      <c r="C4" s="2" t="s">
        <v>72</v>
      </c>
      <c r="D4">
        <v>4</v>
      </c>
    </row>
    <row r="5" spans="1:4" x14ac:dyDescent="0.2">
      <c r="A5">
        <v>24</v>
      </c>
      <c r="B5" s="2" t="s">
        <v>73</v>
      </c>
      <c r="C5" s="2" t="s">
        <v>74</v>
      </c>
      <c r="D5">
        <v>4</v>
      </c>
    </row>
    <row r="6" spans="1:4" x14ac:dyDescent="0.2">
      <c r="A6">
        <v>25</v>
      </c>
      <c r="B6" s="2" t="s">
        <v>75</v>
      </c>
      <c r="C6" s="2" t="s">
        <v>76</v>
      </c>
      <c r="D6">
        <v>4</v>
      </c>
    </row>
    <row r="7" spans="1:4" x14ac:dyDescent="0.2">
      <c r="A7">
        <v>26</v>
      </c>
      <c r="B7" s="2" t="s">
        <v>77</v>
      </c>
      <c r="C7" s="2" t="s">
        <v>78</v>
      </c>
      <c r="D7">
        <v>4</v>
      </c>
    </row>
    <row r="8" spans="1:4" x14ac:dyDescent="0.2">
      <c r="A8">
        <v>27</v>
      </c>
      <c r="B8" s="2" t="s">
        <v>79</v>
      </c>
      <c r="C8" s="2" t="s">
        <v>80</v>
      </c>
      <c r="D8">
        <v>4</v>
      </c>
    </row>
    <row r="9" spans="1:4" x14ac:dyDescent="0.2">
      <c r="A9">
        <v>30</v>
      </c>
      <c r="B9" s="2" t="s">
        <v>81</v>
      </c>
      <c r="C9" s="2" t="s">
        <v>82</v>
      </c>
      <c r="D9">
        <v>4</v>
      </c>
    </row>
    <row r="10" spans="1:4" x14ac:dyDescent="0.2">
      <c r="A10">
        <v>33</v>
      </c>
      <c r="B10" s="2" t="s">
        <v>83</v>
      </c>
      <c r="C10" s="2" t="s">
        <v>84</v>
      </c>
      <c r="D10">
        <v>4</v>
      </c>
    </row>
    <row r="11" spans="1:4" x14ac:dyDescent="0.2">
      <c r="A11">
        <v>36</v>
      </c>
      <c r="B11" s="2" t="s">
        <v>85</v>
      </c>
      <c r="C11" s="2" t="s">
        <v>86</v>
      </c>
      <c r="D11">
        <v>4</v>
      </c>
    </row>
    <row r="12" spans="1:4" x14ac:dyDescent="0.2">
      <c r="A12">
        <v>37</v>
      </c>
      <c r="B12" s="2" t="s">
        <v>87</v>
      </c>
      <c r="C12" s="2" t="s">
        <v>88</v>
      </c>
      <c r="D12">
        <v>4</v>
      </c>
    </row>
    <row r="13" spans="1:4" x14ac:dyDescent="0.2">
      <c r="A13">
        <v>38</v>
      </c>
      <c r="B13" s="2" t="s">
        <v>89</v>
      </c>
      <c r="C13" s="2" t="s">
        <v>90</v>
      </c>
      <c r="D13">
        <v>4</v>
      </c>
    </row>
    <row r="14" spans="1:4" x14ac:dyDescent="0.2">
      <c r="A14">
        <v>39</v>
      </c>
      <c r="B14" s="2" t="s">
        <v>91</v>
      </c>
      <c r="C14" s="2" t="s">
        <v>92</v>
      </c>
      <c r="D14">
        <v>4</v>
      </c>
    </row>
    <row r="15" spans="1:4" x14ac:dyDescent="0.2">
      <c r="A15">
        <v>40</v>
      </c>
      <c r="B15" s="2" t="s">
        <v>93</v>
      </c>
      <c r="C15" s="2" t="s">
        <v>94</v>
      </c>
      <c r="D15">
        <v>4</v>
      </c>
    </row>
    <row r="16" spans="1:4" x14ac:dyDescent="0.2">
      <c r="A16">
        <v>41</v>
      </c>
      <c r="B16" s="2" t="s">
        <v>95</v>
      </c>
      <c r="C16" s="2" t="s">
        <v>96</v>
      </c>
      <c r="D16">
        <v>4</v>
      </c>
    </row>
    <row r="17" spans="1:4" x14ac:dyDescent="0.2">
      <c r="A17">
        <v>42</v>
      </c>
      <c r="B17" s="2" t="s">
        <v>97</v>
      </c>
      <c r="C17" s="2" t="s">
        <v>98</v>
      </c>
      <c r="D17">
        <v>4</v>
      </c>
    </row>
    <row r="18" spans="1:4" x14ac:dyDescent="0.2">
      <c r="A18">
        <v>43</v>
      </c>
      <c r="B18" s="2" t="s">
        <v>99</v>
      </c>
      <c r="C18" s="2" t="s">
        <v>100</v>
      </c>
      <c r="D18">
        <v>4</v>
      </c>
    </row>
    <row r="19" spans="1:4" x14ac:dyDescent="0.2">
      <c r="A19">
        <v>44</v>
      </c>
      <c r="B19" s="2" t="s">
        <v>101</v>
      </c>
      <c r="C19" s="2" t="s">
        <v>102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8" width="8" bestFit="1" customWidth="1"/>
    <col min="9" max="9" width="9.1640625" bestFit="1" customWidth="1"/>
  </cols>
  <sheetData>
    <row r="1" spans="1:10" x14ac:dyDescent="0.2">
      <c r="A1" s="1" t="s">
        <v>103</v>
      </c>
      <c r="B1" s="1" t="s">
        <v>104</v>
      </c>
      <c r="C1" s="1" t="s">
        <v>105</v>
      </c>
      <c r="D1" s="1" t="s">
        <v>63</v>
      </c>
      <c r="E1" s="1" t="s">
        <v>64</v>
      </c>
      <c r="F1" s="1" t="s">
        <v>65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>
        <v>1</v>
      </c>
      <c r="B2">
        <v>1</v>
      </c>
      <c r="C2">
        <v>1</v>
      </c>
      <c r="D2">
        <v>23</v>
      </c>
      <c r="E2" s="2" t="s">
        <v>71</v>
      </c>
      <c r="F2" s="2" t="s">
        <v>72</v>
      </c>
    </row>
    <row r="3" spans="1:10" x14ac:dyDescent="0.2">
      <c r="A3">
        <v>2</v>
      </c>
      <c r="B3">
        <v>1</v>
      </c>
      <c r="C3">
        <v>2</v>
      </c>
      <c r="D3">
        <v>40</v>
      </c>
      <c r="E3" s="2" t="s">
        <v>93</v>
      </c>
      <c r="F3" s="2" t="s">
        <v>94</v>
      </c>
    </row>
    <row r="4" spans="1:10" x14ac:dyDescent="0.2">
      <c r="A4">
        <v>3</v>
      </c>
      <c r="B4">
        <v>1</v>
      </c>
      <c r="C4">
        <v>3</v>
      </c>
      <c r="D4">
        <v>43</v>
      </c>
      <c r="E4" s="2" t="s">
        <v>99</v>
      </c>
      <c r="F4" s="2" t="s">
        <v>100</v>
      </c>
    </row>
    <row r="5" spans="1:10" x14ac:dyDescent="0.2">
      <c r="A5">
        <v>4</v>
      </c>
      <c r="B5">
        <v>1</v>
      </c>
      <c r="C5">
        <v>4</v>
      </c>
      <c r="D5">
        <v>30</v>
      </c>
      <c r="E5" s="2" t="s">
        <v>81</v>
      </c>
      <c r="F5" s="2" t="s">
        <v>82</v>
      </c>
    </row>
    <row r="6" spans="1:10" x14ac:dyDescent="0.2">
      <c r="A6">
        <v>5</v>
      </c>
      <c r="B6">
        <v>1</v>
      </c>
      <c r="C6">
        <v>5</v>
      </c>
      <c r="D6">
        <v>21</v>
      </c>
      <c r="E6" s="2" t="s">
        <v>67</v>
      </c>
      <c r="F6" s="2" t="s">
        <v>68</v>
      </c>
    </row>
    <row r="7" spans="1:10" x14ac:dyDescent="0.2">
      <c r="A7">
        <v>6</v>
      </c>
      <c r="B7">
        <v>1</v>
      </c>
      <c r="C7">
        <v>6</v>
      </c>
      <c r="D7">
        <v>26</v>
      </c>
      <c r="E7" s="2" t="s">
        <v>77</v>
      </c>
      <c r="F7" s="2" t="s">
        <v>78</v>
      </c>
    </row>
    <row r="8" spans="1:10" x14ac:dyDescent="0.2">
      <c r="A8">
        <v>7</v>
      </c>
      <c r="B8">
        <v>1</v>
      </c>
      <c r="C8">
        <v>7</v>
      </c>
      <c r="D8">
        <v>24</v>
      </c>
      <c r="E8" s="2" t="s">
        <v>73</v>
      </c>
      <c r="F8" s="2" t="s">
        <v>74</v>
      </c>
    </row>
    <row r="9" spans="1:10" x14ac:dyDescent="0.2">
      <c r="A9">
        <v>8</v>
      </c>
      <c r="B9">
        <v>1</v>
      </c>
      <c r="C9">
        <v>8</v>
      </c>
      <c r="D9">
        <v>38</v>
      </c>
      <c r="E9" s="2" t="s">
        <v>89</v>
      </c>
      <c r="F9" s="2" t="s">
        <v>90</v>
      </c>
    </row>
    <row r="10" spans="1:10" x14ac:dyDescent="0.2">
      <c r="A10">
        <v>9</v>
      </c>
      <c r="B10">
        <v>1</v>
      </c>
      <c r="C10">
        <v>9</v>
      </c>
      <c r="D10">
        <v>41</v>
      </c>
      <c r="E10" s="2" t="s">
        <v>95</v>
      </c>
      <c r="F10" s="2" t="s">
        <v>96</v>
      </c>
    </row>
    <row r="11" spans="1:10" x14ac:dyDescent="0.2">
      <c r="A11">
        <v>10</v>
      </c>
      <c r="B11">
        <v>2</v>
      </c>
      <c r="C11">
        <v>1</v>
      </c>
      <c r="D11">
        <v>33</v>
      </c>
      <c r="E11" s="2" t="s">
        <v>83</v>
      </c>
      <c r="F11" s="2" t="s">
        <v>84</v>
      </c>
    </row>
    <row r="12" spans="1:10" x14ac:dyDescent="0.2">
      <c r="A12">
        <v>11</v>
      </c>
      <c r="B12">
        <v>2</v>
      </c>
      <c r="C12">
        <v>2</v>
      </c>
      <c r="D12">
        <v>39</v>
      </c>
      <c r="E12" s="2" t="s">
        <v>91</v>
      </c>
      <c r="F12" s="2" t="s">
        <v>92</v>
      </c>
    </row>
    <row r="13" spans="1:10" x14ac:dyDescent="0.2">
      <c r="A13">
        <v>12</v>
      </c>
      <c r="B13">
        <v>2</v>
      </c>
      <c r="C13">
        <v>3</v>
      </c>
      <c r="D13">
        <v>44</v>
      </c>
      <c r="E13" s="2" t="s">
        <v>101</v>
      </c>
      <c r="F13" s="2" t="s">
        <v>102</v>
      </c>
    </row>
    <row r="14" spans="1:10" x14ac:dyDescent="0.2">
      <c r="A14">
        <v>13</v>
      </c>
      <c r="B14">
        <v>2</v>
      </c>
      <c r="C14">
        <v>4</v>
      </c>
      <c r="D14">
        <v>25</v>
      </c>
      <c r="E14" s="2" t="s">
        <v>75</v>
      </c>
      <c r="F14" s="2" t="s">
        <v>76</v>
      </c>
    </row>
    <row r="15" spans="1:10" x14ac:dyDescent="0.2">
      <c r="A15">
        <v>14</v>
      </c>
      <c r="B15">
        <v>2</v>
      </c>
      <c r="C15">
        <v>5</v>
      </c>
      <c r="D15">
        <v>42</v>
      </c>
      <c r="E15" s="2" t="s">
        <v>97</v>
      </c>
      <c r="F15" s="2" t="s">
        <v>98</v>
      </c>
    </row>
    <row r="16" spans="1:10" x14ac:dyDescent="0.2">
      <c r="A16">
        <v>15</v>
      </c>
      <c r="B16">
        <v>2</v>
      </c>
      <c r="C16">
        <v>6</v>
      </c>
      <c r="D16">
        <v>37</v>
      </c>
      <c r="E16" s="2" t="s">
        <v>87</v>
      </c>
      <c r="F16" s="2" t="s">
        <v>88</v>
      </c>
    </row>
    <row r="17" spans="1:6" x14ac:dyDescent="0.2">
      <c r="A17">
        <v>16</v>
      </c>
      <c r="B17">
        <v>2</v>
      </c>
      <c r="C17">
        <v>7</v>
      </c>
      <c r="D17">
        <v>22</v>
      </c>
      <c r="E17" s="2" t="s">
        <v>69</v>
      </c>
      <c r="F17" s="2" t="s">
        <v>70</v>
      </c>
    </row>
    <row r="18" spans="1:6" x14ac:dyDescent="0.2">
      <c r="A18">
        <v>17</v>
      </c>
      <c r="B18">
        <v>2</v>
      </c>
      <c r="C18">
        <v>8</v>
      </c>
      <c r="D18">
        <v>36</v>
      </c>
      <c r="E18" s="2" t="s">
        <v>85</v>
      </c>
      <c r="F18" s="2" t="s">
        <v>86</v>
      </c>
    </row>
    <row r="19" spans="1:6" x14ac:dyDescent="0.2">
      <c r="A19">
        <v>18</v>
      </c>
      <c r="B19">
        <v>2</v>
      </c>
      <c r="C19">
        <v>9</v>
      </c>
      <c r="D19">
        <v>27</v>
      </c>
      <c r="E19" s="2" t="s">
        <v>79</v>
      </c>
      <c r="F19" s="2" t="s">
        <v>80</v>
      </c>
    </row>
    <row r="20" spans="1:6" x14ac:dyDescent="0.2">
      <c r="A20">
        <v>19</v>
      </c>
      <c r="B20">
        <v>3</v>
      </c>
      <c r="C20">
        <v>1</v>
      </c>
      <c r="D20">
        <v>24</v>
      </c>
      <c r="E20" s="2" t="s">
        <v>73</v>
      </c>
      <c r="F20" s="2" t="s">
        <v>74</v>
      </c>
    </row>
    <row r="21" spans="1:6" x14ac:dyDescent="0.2">
      <c r="A21">
        <v>20</v>
      </c>
      <c r="B21">
        <v>3</v>
      </c>
      <c r="C21">
        <v>2</v>
      </c>
      <c r="D21">
        <v>21</v>
      </c>
      <c r="E21" s="2" t="s">
        <v>67</v>
      </c>
      <c r="F21" s="2" t="s">
        <v>68</v>
      </c>
    </row>
    <row r="22" spans="1:6" x14ac:dyDescent="0.2">
      <c r="A22">
        <v>21</v>
      </c>
      <c r="B22">
        <v>3</v>
      </c>
      <c r="C22">
        <v>3</v>
      </c>
      <c r="D22">
        <v>22</v>
      </c>
      <c r="E22" s="2" t="s">
        <v>69</v>
      </c>
      <c r="F22" s="2" t="s">
        <v>70</v>
      </c>
    </row>
    <row r="23" spans="1:6" x14ac:dyDescent="0.2">
      <c r="A23">
        <v>22</v>
      </c>
      <c r="B23">
        <v>3</v>
      </c>
      <c r="C23">
        <v>4</v>
      </c>
      <c r="D23">
        <v>42</v>
      </c>
      <c r="E23" s="2" t="s">
        <v>97</v>
      </c>
      <c r="F23" s="2" t="s">
        <v>98</v>
      </c>
    </row>
    <row r="24" spans="1:6" x14ac:dyDescent="0.2">
      <c r="A24">
        <v>23</v>
      </c>
      <c r="B24">
        <v>3</v>
      </c>
      <c r="C24">
        <v>5</v>
      </c>
      <c r="D24">
        <v>26</v>
      </c>
      <c r="E24" s="2" t="s">
        <v>77</v>
      </c>
      <c r="F24" s="2" t="s">
        <v>78</v>
      </c>
    </row>
    <row r="25" spans="1:6" x14ac:dyDescent="0.2">
      <c r="A25">
        <v>24</v>
      </c>
      <c r="B25">
        <v>3</v>
      </c>
      <c r="C25">
        <v>6</v>
      </c>
      <c r="D25">
        <v>25</v>
      </c>
      <c r="E25" s="2" t="s">
        <v>75</v>
      </c>
      <c r="F25" s="2" t="s">
        <v>76</v>
      </c>
    </row>
    <row r="26" spans="1:6" x14ac:dyDescent="0.2">
      <c r="A26">
        <v>25</v>
      </c>
      <c r="B26">
        <v>3</v>
      </c>
      <c r="C26">
        <v>7</v>
      </c>
      <c r="D26">
        <v>38</v>
      </c>
      <c r="E26" s="2" t="s">
        <v>89</v>
      </c>
      <c r="F26" s="2" t="s">
        <v>90</v>
      </c>
    </row>
    <row r="27" spans="1:6" x14ac:dyDescent="0.2">
      <c r="A27">
        <v>26</v>
      </c>
      <c r="B27">
        <v>3</v>
      </c>
      <c r="C27">
        <v>8</v>
      </c>
      <c r="D27">
        <v>44</v>
      </c>
      <c r="E27" s="2" t="s">
        <v>101</v>
      </c>
      <c r="F27" s="2" t="s">
        <v>102</v>
      </c>
    </row>
    <row r="28" spans="1:6" x14ac:dyDescent="0.2">
      <c r="A28">
        <v>27</v>
      </c>
      <c r="B28">
        <v>3</v>
      </c>
      <c r="C28">
        <v>9</v>
      </c>
      <c r="D28">
        <v>36</v>
      </c>
      <c r="E28" s="2" t="s">
        <v>85</v>
      </c>
      <c r="F28" s="2" t="s">
        <v>86</v>
      </c>
    </row>
    <row r="29" spans="1:6" x14ac:dyDescent="0.2">
      <c r="A29">
        <v>28</v>
      </c>
      <c r="B29">
        <v>4</v>
      </c>
      <c r="C29">
        <v>1</v>
      </c>
      <c r="D29">
        <v>30</v>
      </c>
      <c r="E29" s="2" t="s">
        <v>81</v>
      </c>
      <c r="F29" s="2" t="s">
        <v>82</v>
      </c>
    </row>
    <row r="30" spans="1:6" x14ac:dyDescent="0.2">
      <c r="A30">
        <v>29</v>
      </c>
      <c r="B30">
        <v>4</v>
      </c>
      <c r="C30">
        <v>2</v>
      </c>
      <c r="D30">
        <v>39</v>
      </c>
      <c r="E30" s="2" t="s">
        <v>91</v>
      </c>
      <c r="F30" s="2" t="s">
        <v>92</v>
      </c>
    </row>
    <row r="31" spans="1:6" x14ac:dyDescent="0.2">
      <c r="A31">
        <v>30</v>
      </c>
      <c r="B31">
        <v>4</v>
      </c>
      <c r="C31">
        <v>3</v>
      </c>
      <c r="D31">
        <v>33</v>
      </c>
      <c r="E31" s="2" t="s">
        <v>83</v>
      </c>
      <c r="F31" s="2" t="s">
        <v>84</v>
      </c>
    </row>
    <row r="32" spans="1:6" x14ac:dyDescent="0.2">
      <c r="A32">
        <v>31</v>
      </c>
      <c r="B32">
        <v>4</v>
      </c>
      <c r="C32">
        <v>4</v>
      </c>
      <c r="D32">
        <v>27</v>
      </c>
      <c r="E32" s="2" t="s">
        <v>79</v>
      </c>
      <c r="F32" s="2" t="s">
        <v>80</v>
      </c>
    </row>
    <row r="33" spans="1:6" x14ac:dyDescent="0.2">
      <c r="A33">
        <v>32</v>
      </c>
      <c r="B33">
        <v>4</v>
      </c>
      <c r="C33">
        <v>5</v>
      </c>
      <c r="D33">
        <v>40</v>
      </c>
      <c r="E33" s="2" t="s">
        <v>93</v>
      </c>
      <c r="F33" s="2" t="s">
        <v>94</v>
      </c>
    </row>
    <row r="34" spans="1:6" x14ac:dyDescent="0.2">
      <c r="A34">
        <v>33</v>
      </c>
      <c r="B34">
        <v>4</v>
      </c>
      <c r="C34">
        <v>6</v>
      </c>
      <c r="D34">
        <v>41</v>
      </c>
      <c r="E34" s="2" t="s">
        <v>95</v>
      </c>
      <c r="F34" s="2" t="s">
        <v>96</v>
      </c>
    </row>
    <row r="35" spans="1:6" x14ac:dyDescent="0.2">
      <c r="A35">
        <v>34</v>
      </c>
      <c r="B35">
        <v>4</v>
      </c>
      <c r="C35">
        <v>7</v>
      </c>
      <c r="D35">
        <v>43</v>
      </c>
      <c r="E35" s="2" t="s">
        <v>99</v>
      </c>
      <c r="F35" s="2" t="s">
        <v>100</v>
      </c>
    </row>
    <row r="36" spans="1:6" x14ac:dyDescent="0.2">
      <c r="A36">
        <v>35</v>
      </c>
      <c r="B36">
        <v>4</v>
      </c>
      <c r="C36">
        <v>8</v>
      </c>
      <c r="D36">
        <v>23</v>
      </c>
      <c r="E36" s="2" t="s">
        <v>71</v>
      </c>
      <c r="F36" s="2" t="s">
        <v>72</v>
      </c>
    </row>
    <row r="37" spans="1:6" x14ac:dyDescent="0.2">
      <c r="A37">
        <v>36</v>
      </c>
      <c r="B37">
        <v>4</v>
      </c>
      <c r="C37">
        <v>9</v>
      </c>
      <c r="D37">
        <v>37</v>
      </c>
      <c r="E37" s="2" t="s">
        <v>87</v>
      </c>
      <c r="F37" s="2" t="s">
        <v>88</v>
      </c>
    </row>
    <row r="38" spans="1:6" x14ac:dyDescent="0.2">
      <c r="A38">
        <v>37</v>
      </c>
      <c r="B38">
        <v>5</v>
      </c>
      <c r="C38">
        <v>1</v>
      </c>
      <c r="D38">
        <v>33</v>
      </c>
      <c r="E38" s="2" t="s">
        <v>83</v>
      </c>
      <c r="F38" s="2" t="s">
        <v>84</v>
      </c>
    </row>
    <row r="39" spans="1:6" x14ac:dyDescent="0.2">
      <c r="A39">
        <v>38</v>
      </c>
      <c r="B39">
        <v>5</v>
      </c>
      <c r="C39">
        <v>2</v>
      </c>
      <c r="D39">
        <v>27</v>
      </c>
      <c r="E39" s="2" t="s">
        <v>79</v>
      </c>
      <c r="F39" s="2" t="s">
        <v>80</v>
      </c>
    </row>
    <row r="40" spans="1:6" x14ac:dyDescent="0.2">
      <c r="A40">
        <v>39</v>
      </c>
      <c r="B40">
        <v>5</v>
      </c>
      <c r="C40">
        <v>3</v>
      </c>
      <c r="D40">
        <v>21</v>
      </c>
      <c r="E40" s="2" t="s">
        <v>67</v>
      </c>
      <c r="F40" s="2" t="s">
        <v>68</v>
      </c>
    </row>
    <row r="41" spans="1:6" x14ac:dyDescent="0.2">
      <c r="A41">
        <v>40</v>
      </c>
      <c r="B41">
        <v>5</v>
      </c>
      <c r="C41">
        <v>4</v>
      </c>
      <c r="D41">
        <v>26</v>
      </c>
      <c r="E41" s="2" t="s">
        <v>77</v>
      </c>
      <c r="F41" s="2" t="s">
        <v>78</v>
      </c>
    </row>
    <row r="42" spans="1:6" x14ac:dyDescent="0.2">
      <c r="A42">
        <v>41</v>
      </c>
      <c r="B42">
        <v>5</v>
      </c>
      <c r="C42">
        <v>5</v>
      </c>
      <c r="D42">
        <v>23</v>
      </c>
      <c r="E42" s="2" t="s">
        <v>71</v>
      </c>
      <c r="F42" s="2" t="s">
        <v>72</v>
      </c>
    </row>
    <row r="43" spans="1:6" x14ac:dyDescent="0.2">
      <c r="A43">
        <v>42</v>
      </c>
      <c r="B43">
        <v>5</v>
      </c>
      <c r="C43">
        <v>6</v>
      </c>
      <c r="D43">
        <v>24</v>
      </c>
      <c r="E43" s="2" t="s">
        <v>73</v>
      </c>
      <c r="F43" s="2" t="s">
        <v>74</v>
      </c>
    </row>
    <row r="44" spans="1:6" x14ac:dyDescent="0.2">
      <c r="A44">
        <v>43</v>
      </c>
      <c r="B44">
        <v>5</v>
      </c>
      <c r="C44">
        <v>7</v>
      </c>
      <c r="D44">
        <v>38</v>
      </c>
      <c r="E44" s="2" t="s">
        <v>89</v>
      </c>
      <c r="F44" s="2" t="s">
        <v>90</v>
      </c>
    </row>
    <row r="45" spans="1:6" x14ac:dyDescent="0.2">
      <c r="A45">
        <v>44</v>
      </c>
      <c r="B45">
        <v>5</v>
      </c>
      <c r="C45">
        <v>8</v>
      </c>
      <c r="D45">
        <v>40</v>
      </c>
      <c r="E45" s="2" t="s">
        <v>93</v>
      </c>
      <c r="F45" s="2" t="s">
        <v>94</v>
      </c>
    </row>
    <row r="46" spans="1:6" x14ac:dyDescent="0.2">
      <c r="A46">
        <v>45</v>
      </c>
      <c r="B46">
        <v>5</v>
      </c>
      <c r="C46">
        <v>9</v>
      </c>
      <c r="D46">
        <v>30</v>
      </c>
      <c r="E46" s="2" t="s">
        <v>81</v>
      </c>
      <c r="F46" s="2" t="s">
        <v>82</v>
      </c>
    </row>
    <row r="47" spans="1:6" x14ac:dyDescent="0.2">
      <c r="A47">
        <v>46</v>
      </c>
      <c r="B47">
        <v>6</v>
      </c>
      <c r="C47">
        <v>1</v>
      </c>
      <c r="D47">
        <v>41</v>
      </c>
      <c r="E47" s="2" t="s">
        <v>95</v>
      </c>
      <c r="F47" s="2" t="s">
        <v>96</v>
      </c>
    </row>
    <row r="48" spans="1:6" x14ac:dyDescent="0.2">
      <c r="A48">
        <v>47</v>
      </c>
      <c r="B48">
        <v>6</v>
      </c>
      <c r="C48">
        <v>2</v>
      </c>
      <c r="D48">
        <v>22</v>
      </c>
      <c r="E48" s="2" t="s">
        <v>69</v>
      </c>
      <c r="F48" s="2" t="s">
        <v>70</v>
      </c>
    </row>
    <row r="49" spans="1:6" x14ac:dyDescent="0.2">
      <c r="A49">
        <v>48</v>
      </c>
      <c r="B49">
        <v>6</v>
      </c>
      <c r="C49">
        <v>3</v>
      </c>
      <c r="D49">
        <v>43</v>
      </c>
      <c r="E49" s="2" t="s">
        <v>99</v>
      </c>
      <c r="F49" s="2" t="s">
        <v>100</v>
      </c>
    </row>
    <row r="50" spans="1:6" x14ac:dyDescent="0.2">
      <c r="A50">
        <v>49</v>
      </c>
      <c r="B50">
        <v>6</v>
      </c>
      <c r="C50">
        <v>4</v>
      </c>
      <c r="D50">
        <v>25</v>
      </c>
      <c r="E50" s="2" t="s">
        <v>75</v>
      </c>
      <c r="F50" s="2" t="s">
        <v>76</v>
      </c>
    </row>
    <row r="51" spans="1:6" x14ac:dyDescent="0.2">
      <c r="A51">
        <v>50</v>
      </c>
      <c r="B51">
        <v>6</v>
      </c>
      <c r="C51">
        <v>5</v>
      </c>
      <c r="D51">
        <v>37</v>
      </c>
      <c r="E51" s="2" t="s">
        <v>87</v>
      </c>
      <c r="F51" s="2" t="s">
        <v>88</v>
      </c>
    </row>
    <row r="52" spans="1:6" x14ac:dyDescent="0.2">
      <c r="A52">
        <v>51</v>
      </c>
      <c r="B52">
        <v>6</v>
      </c>
      <c r="C52">
        <v>6</v>
      </c>
      <c r="D52">
        <v>36</v>
      </c>
      <c r="E52" s="2" t="s">
        <v>85</v>
      </c>
      <c r="F52" s="2" t="s">
        <v>86</v>
      </c>
    </row>
    <row r="53" spans="1:6" x14ac:dyDescent="0.2">
      <c r="A53">
        <v>52</v>
      </c>
      <c r="B53">
        <v>6</v>
      </c>
      <c r="C53">
        <v>7</v>
      </c>
      <c r="D53">
        <v>39</v>
      </c>
      <c r="E53" s="2" t="s">
        <v>91</v>
      </c>
      <c r="F53" s="2" t="s">
        <v>92</v>
      </c>
    </row>
    <row r="54" spans="1:6" x14ac:dyDescent="0.2">
      <c r="A54">
        <v>53</v>
      </c>
      <c r="B54">
        <v>6</v>
      </c>
      <c r="C54">
        <v>8</v>
      </c>
      <c r="D54">
        <v>44</v>
      </c>
      <c r="E54" s="2" t="s">
        <v>101</v>
      </c>
      <c r="F54" s="2" t="s">
        <v>102</v>
      </c>
    </row>
    <row r="55" spans="1:6" x14ac:dyDescent="0.2">
      <c r="A55">
        <v>54</v>
      </c>
      <c r="B55">
        <v>6</v>
      </c>
      <c r="C55">
        <v>9</v>
      </c>
      <c r="D55">
        <v>42</v>
      </c>
      <c r="E55" s="2" t="s">
        <v>97</v>
      </c>
      <c r="F55" s="2" t="s">
        <v>98</v>
      </c>
    </row>
    <row r="56" spans="1:6" x14ac:dyDescent="0.2">
      <c r="A56">
        <v>55</v>
      </c>
      <c r="B56">
        <v>7</v>
      </c>
      <c r="C56">
        <v>1</v>
      </c>
      <c r="D56">
        <v>27</v>
      </c>
      <c r="E56" s="2" t="s">
        <v>79</v>
      </c>
      <c r="F56" s="2" t="s">
        <v>80</v>
      </c>
    </row>
    <row r="57" spans="1:6" x14ac:dyDescent="0.2">
      <c r="A57">
        <v>56</v>
      </c>
      <c r="B57">
        <v>7</v>
      </c>
      <c r="C57">
        <v>2</v>
      </c>
      <c r="D57">
        <v>39</v>
      </c>
      <c r="E57" s="2" t="s">
        <v>91</v>
      </c>
      <c r="F57" s="2" t="s">
        <v>92</v>
      </c>
    </row>
    <row r="58" spans="1:6" x14ac:dyDescent="0.2">
      <c r="A58">
        <v>57</v>
      </c>
      <c r="B58">
        <v>7</v>
      </c>
      <c r="C58">
        <v>3</v>
      </c>
      <c r="D58">
        <v>21</v>
      </c>
      <c r="E58" s="2" t="s">
        <v>67</v>
      </c>
      <c r="F58" s="2" t="s">
        <v>68</v>
      </c>
    </row>
    <row r="59" spans="1:6" x14ac:dyDescent="0.2">
      <c r="A59">
        <v>58</v>
      </c>
      <c r="B59">
        <v>7</v>
      </c>
      <c r="C59">
        <v>4</v>
      </c>
      <c r="D59">
        <v>23</v>
      </c>
      <c r="E59" s="2" t="s">
        <v>71</v>
      </c>
      <c r="F59" s="2" t="s">
        <v>72</v>
      </c>
    </row>
    <row r="60" spans="1:6" x14ac:dyDescent="0.2">
      <c r="A60">
        <v>59</v>
      </c>
      <c r="B60">
        <v>7</v>
      </c>
      <c r="C60">
        <v>5</v>
      </c>
      <c r="D60">
        <v>30</v>
      </c>
      <c r="E60" s="2" t="s">
        <v>81</v>
      </c>
      <c r="F60" s="2" t="s">
        <v>82</v>
      </c>
    </row>
    <row r="61" spans="1:6" x14ac:dyDescent="0.2">
      <c r="A61">
        <v>60</v>
      </c>
      <c r="B61">
        <v>7</v>
      </c>
      <c r="C61">
        <v>6</v>
      </c>
      <c r="D61">
        <v>42</v>
      </c>
      <c r="E61" s="2" t="s">
        <v>97</v>
      </c>
      <c r="F61" s="2" t="s">
        <v>98</v>
      </c>
    </row>
    <row r="62" spans="1:6" x14ac:dyDescent="0.2">
      <c r="A62">
        <v>61</v>
      </c>
      <c r="B62">
        <v>7</v>
      </c>
      <c r="C62">
        <v>7</v>
      </c>
      <c r="D62">
        <v>43</v>
      </c>
      <c r="E62" s="2" t="s">
        <v>99</v>
      </c>
      <c r="F62" s="2" t="s">
        <v>100</v>
      </c>
    </row>
    <row r="63" spans="1:6" x14ac:dyDescent="0.2">
      <c r="A63">
        <v>62</v>
      </c>
      <c r="B63">
        <v>7</v>
      </c>
      <c r="C63">
        <v>8</v>
      </c>
      <c r="D63">
        <v>37</v>
      </c>
      <c r="E63" s="2" t="s">
        <v>87</v>
      </c>
      <c r="F63" s="2" t="s">
        <v>88</v>
      </c>
    </row>
    <row r="64" spans="1:6" x14ac:dyDescent="0.2">
      <c r="A64">
        <v>63</v>
      </c>
      <c r="B64">
        <v>7</v>
      </c>
      <c r="C64">
        <v>9</v>
      </c>
      <c r="D64">
        <v>25</v>
      </c>
      <c r="E64" s="2" t="s">
        <v>75</v>
      </c>
      <c r="F64" s="2" t="s">
        <v>76</v>
      </c>
    </row>
    <row r="65" spans="1:6" x14ac:dyDescent="0.2">
      <c r="A65">
        <v>64</v>
      </c>
      <c r="B65">
        <v>8</v>
      </c>
      <c r="C65">
        <v>1</v>
      </c>
      <c r="D65">
        <v>22</v>
      </c>
      <c r="E65" s="2" t="s">
        <v>69</v>
      </c>
      <c r="F65" s="2" t="s">
        <v>70</v>
      </c>
    </row>
    <row r="66" spans="1:6" x14ac:dyDescent="0.2">
      <c r="A66">
        <v>65</v>
      </c>
      <c r="B66">
        <v>8</v>
      </c>
      <c r="C66">
        <v>2</v>
      </c>
      <c r="D66">
        <v>38</v>
      </c>
      <c r="E66" s="2" t="s">
        <v>89</v>
      </c>
      <c r="F66" s="2" t="s">
        <v>90</v>
      </c>
    </row>
    <row r="67" spans="1:6" x14ac:dyDescent="0.2">
      <c r="A67">
        <v>66</v>
      </c>
      <c r="B67">
        <v>8</v>
      </c>
      <c r="C67">
        <v>3</v>
      </c>
      <c r="D67">
        <v>24</v>
      </c>
      <c r="E67" s="2" t="s">
        <v>73</v>
      </c>
      <c r="F67" s="2" t="s">
        <v>74</v>
      </c>
    </row>
    <row r="68" spans="1:6" x14ac:dyDescent="0.2">
      <c r="A68">
        <v>67</v>
      </c>
      <c r="B68">
        <v>8</v>
      </c>
      <c r="C68">
        <v>4</v>
      </c>
      <c r="D68">
        <v>36</v>
      </c>
      <c r="E68" s="2" t="s">
        <v>85</v>
      </c>
      <c r="F68" s="2" t="s">
        <v>86</v>
      </c>
    </row>
    <row r="69" spans="1:6" x14ac:dyDescent="0.2">
      <c r="A69">
        <v>68</v>
      </c>
      <c r="B69">
        <v>8</v>
      </c>
      <c r="C69">
        <v>5</v>
      </c>
      <c r="D69">
        <v>41</v>
      </c>
      <c r="E69" s="2" t="s">
        <v>95</v>
      </c>
      <c r="F69" s="2" t="s">
        <v>96</v>
      </c>
    </row>
    <row r="70" spans="1:6" x14ac:dyDescent="0.2">
      <c r="A70">
        <v>69</v>
      </c>
      <c r="B70">
        <v>8</v>
      </c>
      <c r="C70">
        <v>6</v>
      </c>
      <c r="D70">
        <v>26</v>
      </c>
      <c r="E70" s="2" t="s">
        <v>77</v>
      </c>
      <c r="F70" s="2" t="s">
        <v>78</v>
      </c>
    </row>
    <row r="71" spans="1:6" x14ac:dyDescent="0.2">
      <c r="A71">
        <v>70</v>
      </c>
      <c r="B71">
        <v>8</v>
      </c>
      <c r="C71">
        <v>7</v>
      </c>
      <c r="D71">
        <v>33</v>
      </c>
      <c r="E71" s="2" t="s">
        <v>83</v>
      </c>
      <c r="F71" s="2" t="s">
        <v>84</v>
      </c>
    </row>
    <row r="72" spans="1:6" x14ac:dyDescent="0.2">
      <c r="A72">
        <v>71</v>
      </c>
      <c r="B72">
        <v>8</v>
      </c>
      <c r="C72">
        <v>8</v>
      </c>
      <c r="D72">
        <v>44</v>
      </c>
      <c r="E72" s="2" t="s">
        <v>101</v>
      </c>
      <c r="F72" s="2" t="s">
        <v>102</v>
      </c>
    </row>
    <row r="73" spans="1:6" x14ac:dyDescent="0.2">
      <c r="A73">
        <v>72</v>
      </c>
      <c r="B73">
        <v>8</v>
      </c>
      <c r="C73">
        <v>9</v>
      </c>
      <c r="D73">
        <v>40</v>
      </c>
      <c r="E73" s="2" t="s">
        <v>93</v>
      </c>
      <c r="F73" s="2" t="s">
        <v>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2">
      <c r="A1" s="1" t="s">
        <v>110</v>
      </c>
      <c r="B1" s="1" t="s">
        <v>11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4"/>
  <sheetViews>
    <sheetView workbookViewId="0">
      <selection activeCell="F74" sqref="F74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8" width="23.33203125" bestFit="1" customWidth="1"/>
    <col min="9" max="9" width="24.6640625" bestFit="1" customWidth="1"/>
    <col min="10" max="10" width="21" bestFit="1" customWidth="1"/>
    <col min="11" max="11" width="22.1640625" bestFit="1" customWidth="1"/>
    <col min="12" max="13" width="21" bestFit="1" customWidth="1"/>
    <col min="14" max="15" width="23.33203125" bestFit="1" customWidth="1"/>
    <col min="16" max="16" width="22.1640625" bestFit="1" customWidth="1"/>
    <col min="17" max="17" width="24.6640625" bestFit="1" customWidth="1"/>
    <col min="18" max="18" width="23.33203125" bestFit="1" customWidth="1"/>
    <col min="19" max="19" width="22.1640625" bestFit="1" customWidth="1"/>
    <col min="20" max="21" width="21" bestFit="1" customWidth="1"/>
    <col min="22" max="22" width="12.6640625" bestFit="1" customWidth="1"/>
  </cols>
  <sheetData>
    <row r="1" spans="1:22" x14ac:dyDescent="0.2">
      <c r="A1" s="1" t="s">
        <v>103</v>
      </c>
      <c r="B1" s="1" t="s">
        <v>104</v>
      </c>
      <c r="C1" s="1" t="s">
        <v>105</v>
      </c>
      <c r="D1" s="1" t="s">
        <v>63</v>
      </c>
      <c r="E1" s="1" t="s">
        <v>64</v>
      </c>
      <c r="F1" s="1" t="s">
        <v>65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</row>
    <row r="2" spans="1:22" x14ac:dyDescent="0.2">
      <c r="G2" t="s">
        <v>134</v>
      </c>
      <c r="H2" t="s">
        <v>135</v>
      </c>
      <c r="I2" t="s">
        <v>136</v>
      </c>
      <c r="J2" t="s">
        <v>137</v>
      </c>
      <c r="K2" t="s">
        <v>138</v>
      </c>
      <c r="L2" t="s">
        <v>138</v>
      </c>
      <c r="M2" t="s">
        <v>138</v>
      </c>
      <c r="N2" t="s">
        <v>139</v>
      </c>
      <c r="O2" t="s">
        <v>139</v>
      </c>
      <c r="P2" t="s">
        <v>140</v>
      </c>
      <c r="Q2" t="s">
        <v>140</v>
      </c>
      <c r="R2" t="s">
        <v>140</v>
      </c>
      <c r="S2" t="s">
        <v>140</v>
      </c>
      <c r="T2" t="s">
        <v>140</v>
      </c>
      <c r="U2" t="s">
        <v>140</v>
      </c>
      <c r="V2" t="s">
        <v>140</v>
      </c>
    </row>
    <row r="3" spans="1:22" x14ac:dyDescent="0.2">
      <c r="A3">
        <v>1</v>
      </c>
      <c r="B3">
        <v>1</v>
      </c>
      <c r="C3">
        <v>1</v>
      </c>
      <c r="D3">
        <v>23</v>
      </c>
      <c r="E3" s="2" t="s">
        <v>71</v>
      </c>
      <c r="F3" s="2" t="s">
        <v>72</v>
      </c>
      <c r="G3">
        <v>115</v>
      </c>
      <c r="H3" t="s">
        <v>141</v>
      </c>
      <c r="I3">
        <v>264.95726495726501</v>
      </c>
      <c r="J3">
        <v>7</v>
      </c>
      <c r="K3">
        <v>72.186274509803923</v>
      </c>
      <c r="L3">
        <v>5.0530392156862751</v>
      </c>
      <c r="M3">
        <v>27.813725490196081</v>
      </c>
      <c r="N3">
        <v>85.164136059038086</v>
      </c>
      <c r="O3" t="s">
        <v>141</v>
      </c>
      <c r="P3">
        <v>2.5060966437639611</v>
      </c>
      <c r="Q3" t="s">
        <v>141</v>
      </c>
      <c r="R3">
        <v>2.9426666666666659</v>
      </c>
      <c r="S3">
        <v>0</v>
      </c>
      <c r="T3">
        <v>50.718582499999989</v>
      </c>
      <c r="U3">
        <v>38.099999999999987</v>
      </c>
      <c r="V3" t="s">
        <v>141</v>
      </c>
    </row>
    <row r="4" spans="1:22" x14ac:dyDescent="0.2">
      <c r="A4">
        <v>2</v>
      </c>
      <c r="B4">
        <v>1</v>
      </c>
      <c r="C4">
        <v>2</v>
      </c>
      <c r="D4">
        <v>40</v>
      </c>
      <c r="E4" s="2" t="s">
        <v>93</v>
      </c>
      <c r="F4" s="2" t="s">
        <v>94</v>
      </c>
      <c r="G4">
        <v>110</v>
      </c>
      <c r="H4">
        <v>65</v>
      </c>
      <c r="I4">
        <v>153.84615384615381</v>
      </c>
      <c r="J4">
        <v>8.2000000000000011</v>
      </c>
      <c r="K4">
        <v>53.706530958439338</v>
      </c>
      <c r="L4">
        <v>4.4039355385920267</v>
      </c>
      <c r="M4">
        <v>46.293469041560662</v>
      </c>
      <c r="N4">
        <v>83.197702249880322</v>
      </c>
      <c r="O4">
        <v>78.142802886441316</v>
      </c>
      <c r="P4">
        <v>0.68000255305568857</v>
      </c>
      <c r="Q4">
        <v>0.59180149385998226</v>
      </c>
      <c r="R4">
        <v>0.81733333333333336</v>
      </c>
      <c r="S4">
        <v>0.7573333333333333</v>
      </c>
      <c r="T4">
        <v>43.800080000000001</v>
      </c>
      <c r="U4">
        <v>43.900000000000013</v>
      </c>
      <c r="V4">
        <v>182.2</v>
      </c>
    </row>
    <row r="5" spans="1:22" x14ac:dyDescent="0.2">
      <c r="A5">
        <v>3</v>
      </c>
      <c r="B5">
        <v>1</v>
      </c>
      <c r="C5">
        <v>3</v>
      </c>
      <c r="D5">
        <v>43</v>
      </c>
      <c r="E5" s="2" t="s">
        <v>99</v>
      </c>
      <c r="F5" s="2" t="s">
        <v>100</v>
      </c>
      <c r="G5">
        <v>65</v>
      </c>
      <c r="H5">
        <v>55</v>
      </c>
      <c r="I5">
        <v>102.5641025641026</v>
      </c>
      <c r="J5">
        <v>7.4666666666666659</v>
      </c>
      <c r="K5">
        <v>56.628216503992903</v>
      </c>
      <c r="L5">
        <v>4.2282401656314699</v>
      </c>
      <c r="M5">
        <v>43.371783496007097</v>
      </c>
      <c r="N5">
        <v>82.00400801603206</v>
      </c>
      <c r="O5">
        <v>69.886140557518644</v>
      </c>
      <c r="P5">
        <v>0.2022765531062124</v>
      </c>
      <c r="Q5">
        <v>0.32333987697945288</v>
      </c>
      <c r="R5">
        <v>0.2466666666666667</v>
      </c>
      <c r="S5">
        <v>0.46266666666666673</v>
      </c>
      <c r="T5" t="s">
        <v>141</v>
      </c>
      <c r="U5">
        <v>37</v>
      </c>
      <c r="V5">
        <v>188</v>
      </c>
    </row>
    <row r="6" spans="1:22" x14ac:dyDescent="0.2">
      <c r="A6">
        <v>4</v>
      </c>
      <c r="B6">
        <v>1</v>
      </c>
      <c r="C6">
        <v>4</v>
      </c>
      <c r="D6">
        <v>30</v>
      </c>
      <c r="E6" s="2" t="s">
        <v>81</v>
      </c>
      <c r="F6" s="2" t="s">
        <v>82</v>
      </c>
      <c r="G6">
        <v>70</v>
      </c>
      <c r="H6">
        <v>65</v>
      </c>
      <c r="I6">
        <v>153.84615384615381</v>
      </c>
      <c r="J6">
        <v>8.0666666666666664</v>
      </c>
      <c r="K6">
        <v>54.174454828660437</v>
      </c>
      <c r="L6">
        <v>4.3700726895119422</v>
      </c>
      <c r="M6">
        <v>45.825545171339563</v>
      </c>
      <c r="N6">
        <v>83.580980683506681</v>
      </c>
      <c r="O6">
        <v>79.080871381677113</v>
      </c>
      <c r="P6">
        <v>0.29420505200594349</v>
      </c>
      <c r="Q6">
        <v>0.61261315030339192</v>
      </c>
      <c r="R6">
        <v>0.35199999999999998</v>
      </c>
      <c r="S6">
        <v>0.77466666666666661</v>
      </c>
      <c r="T6" t="s">
        <v>141</v>
      </c>
      <c r="U6">
        <v>35.200000000000003</v>
      </c>
      <c r="V6">
        <v>164.4</v>
      </c>
    </row>
    <row r="7" spans="1:22" x14ac:dyDescent="0.2">
      <c r="A7">
        <v>5</v>
      </c>
      <c r="B7">
        <v>1</v>
      </c>
      <c r="C7">
        <v>5</v>
      </c>
      <c r="D7">
        <v>21</v>
      </c>
      <c r="E7" s="2" t="s">
        <v>67</v>
      </c>
      <c r="F7" s="2" t="s">
        <v>68</v>
      </c>
      <c r="G7" t="s">
        <v>141</v>
      </c>
      <c r="H7">
        <v>60</v>
      </c>
      <c r="I7" t="s">
        <v>141</v>
      </c>
      <c r="J7">
        <v>8.7333333333333325</v>
      </c>
      <c r="K7">
        <v>51.545842217484008</v>
      </c>
      <c r="L7">
        <v>4.5016702203269361</v>
      </c>
      <c r="M7">
        <v>48.454157782515992</v>
      </c>
      <c r="N7" t="s">
        <v>141</v>
      </c>
      <c r="O7">
        <v>71.940237413016789</v>
      </c>
      <c r="P7" t="s">
        <v>141</v>
      </c>
      <c r="Q7">
        <v>0.87383408377677707</v>
      </c>
      <c r="R7">
        <v>0</v>
      </c>
      <c r="S7">
        <v>1.214666666666667</v>
      </c>
      <c r="T7" t="s">
        <v>141</v>
      </c>
      <c r="U7" t="s">
        <v>141</v>
      </c>
      <c r="V7">
        <v>188.6</v>
      </c>
    </row>
    <row r="8" spans="1:22" x14ac:dyDescent="0.2">
      <c r="A8">
        <v>6</v>
      </c>
      <c r="B8">
        <v>1</v>
      </c>
      <c r="C8">
        <v>6</v>
      </c>
      <c r="D8">
        <v>26</v>
      </c>
      <c r="E8" s="2" t="s">
        <v>77</v>
      </c>
      <c r="F8" s="2" t="s">
        <v>78</v>
      </c>
      <c r="G8">
        <v>120</v>
      </c>
      <c r="H8" t="s">
        <v>141</v>
      </c>
      <c r="I8">
        <v>427.35042735042731</v>
      </c>
      <c r="J8">
        <v>5.2</v>
      </c>
      <c r="K8">
        <v>77.03923900118906</v>
      </c>
      <c r="L8">
        <v>4.0060404280618318</v>
      </c>
      <c r="M8">
        <v>22.96076099881094</v>
      </c>
      <c r="N8">
        <v>85.892341040462426</v>
      </c>
      <c r="O8" t="s">
        <v>141</v>
      </c>
      <c r="P8">
        <v>2.8367377167630061</v>
      </c>
      <c r="Q8" t="s">
        <v>141</v>
      </c>
      <c r="R8">
        <v>3.3026666666666671</v>
      </c>
      <c r="S8">
        <v>0</v>
      </c>
      <c r="T8">
        <v>51.357402499999992</v>
      </c>
      <c r="U8">
        <v>36.799999999999997</v>
      </c>
      <c r="V8" t="s">
        <v>141</v>
      </c>
    </row>
    <row r="9" spans="1:22" x14ac:dyDescent="0.2">
      <c r="A9">
        <v>7</v>
      </c>
      <c r="B9">
        <v>1</v>
      </c>
      <c r="C9">
        <v>7</v>
      </c>
      <c r="D9">
        <v>24</v>
      </c>
      <c r="E9" s="2" t="s">
        <v>73</v>
      </c>
      <c r="F9" s="2" t="s">
        <v>74</v>
      </c>
      <c r="G9">
        <v>110</v>
      </c>
      <c r="H9" t="s">
        <v>141</v>
      </c>
      <c r="I9">
        <v>478.63247863247858</v>
      </c>
      <c r="J9">
        <v>4.5333333333333332</v>
      </c>
      <c r="K9">
        <v>73.610798650168732</v>
      </c>
      <c r="L9">
        <v>3.3370228721409818</v>
      </c>
      <c r="M9">
        <v>26.389201349831271</v>
      </c>
      <c r="N9">
        <v>85.423547264125688</v>
      </c>
      <c r="O9" t="s">
        <v>141</v>
      </c>
      <c r="P9">
        <v>2.29504596982951</v>
      </c>
      <c r="Q9" t="s">
        <v>141</v>
      </c>
      <c r="R9">
        <v>2.686666666666667</v>
      </c>
      <c r="S9">
        <v>0</v>
      </c>
      <c r="T9">
        <v>46.560109999999987</v>
      </c>
      <c r="U9">
        <v>42.3</v>
      </c>
      <c r="V9" t="s">
        <v>141</v>
      </c>
    </row>
    <row r="10" spans="1:22" x14ac:dyDescent="0.2">
      <c r="A10">
        <v>8</v>
      </c>
      <c r="B10">
        <v>1</v>
      </c>
      <c r="C10">
        <v>8</v>
      </c>
      <c r="D10">
        <v>38</v>
      </c>
      <c r="E10" s="2" t="s">
        <v>89</v>
      </c>
      <c r="F10" s="2" t="s">
        <v>90</v>
      </c>
      <c r="G10" t="s">
        <v>141</v>
      </c>
      <c r="H10">
        <v>60</v>
      </c>
      <c r="I10" t="s">
        <v>141</v>
      </c>
      <c r="J10">
        <v>4.8666666666666663</v>
      </c>
      <c r="K10">
        <v>55.784946236559144</v>
      </c>
      <c r="L10">
        <v>2.7148673835125452</v>
      </c>
      <c r="M10">
        <v>44.215053763440856</v>
      </c>
      <c r="N10" t="s">
        <v>141</v>
      </c>
      <c r="O10">
        <v>79.348630643967439</v>
      </c>
      <c r="P10" t="s">
        <v>141</v>
      </c>
      <c r="Q10">
        <v>0.1428275351591414</v>
      </c>
      <c r="R10">
        <v>0</v>
      </c>
      <c r="S10">
        <v>0.18</v>
      </c>
      <c r="T10" t="s">
        <v>141</v>
      </c>
      <c r="U10" t="s">
        <v>141</v>
      </c>
      <c r="V10">
        <v>159</v>
      </c>
    </row>
    <row r="11" spans="1:22" x14ac:dyDescent="0.2">
      <c r="A11">
        <v>9</v>
      </c>
      <c r="B11">
        <v>1</v>
      </c>
      <c r="C11">
        <v>9</v>
      </c>
      <c r="D11">
        <v>41</v>
      </c>
      <c r="E11" s="2" t="s">
        <v>95</v>
      </c>
      <c r="F11" s="2" t="s">
        <v>96</v>
      </c>
      <c r="G11">
        <v>100</v>
      </c>
      <c r="H11">
        <v>60</v>
      </c>
      <c r="I11">
        <v>136.75213675213669</v>
      </c>
      <c r="J11">
        <v>10.133333333333329</v>
      </c>
      <c r="K11">
        <v>58.284982935153593</v>
      </c>
      <c r="L11">
        <v>5.9062116040955637</v>
      </c>
      <c r="M11">
        <v>41.715017064846407</v>
      </c>
      <c r="N11">
        <v>82.677165354330711</v>
      </c>
      <c r="O11">
        <v>77.056443845116547</v>
      </c>
      <c r="P11">
        <v>0.60850393700787409</v>
      </c>
      <c r="Q11">
        <v>0.41713221601489769</v>
      </c>
      <c r="R11">
        <v>0.7360000000000001</v>
      </c>
      <c r="S11">
        <v>0.54133333333333344</v>
      </c>
      <c r="T11" t="s">
        <v>141</v>
      </c>
      <c r="U11">
        <v>40.599999999999987</v>
      </c>
      <c r="V11">
        <v>172.7</v>
      </c>
    </row>
    <row r="12" spans="1:22" x14ac:dyDescent="0.2">
      <c r="A12">
        <v>10</v>
      </c>
      <c r="B12">
        <v>2</v>
      </c>
      <c r="C12">
        <v>1</v>
      </c>
      <c r="D12">
        <v>33</v>
      </c>
      <c r="E12" s="2" t="s">
        <v>83</v>
      </c>
      <c r="F12" s="2" t="s">
        <v>84</v>
      </c>
      <c r="G12">
        <v>105</v>
      </c>
      <c r="H12">
        <v>70</v>
      </c>
      <c r="I12">
        <v>136.75213675213669</v>
      </c>
      <c r="J12">
        <v>8.2666666666666657</v>
      </c>
      <c r="K12">
        <v>53.239308462238398</v>
      </c>
      <c r="L12">
        <v>4.4011161662117084</v>
      </c>
      <c r="M12">
        <v>46.760691537761602</v>
      </c>
      <c r="N12">
        <v>83.296253448429297</v>
      </c>
      <c r="O12">
        <v>79.961089494163431</v>
      </c>
      <c r="P12">
        <v>0.76854676515084097</v>
      </c>
      <c r="Q12">
        <v>0.61196887159533075</v>
      </c>
      <c r="R12">
        <v>0.92266666666666663</v>
      </c>
      <c r="S12">
        <v>0.76533333333333331</v>
      </c>
      <c r="T12">
        <v>49.293522499999987</v>
      </c>
      <c r="U12">
        <v>40.5</v>
      </c>
      <c r="V12">
        <v>171</v>
      </c>
    </row>
    <row r="13" spans="1:22" x14ac:dyDescent="0.2">
      <c r="A13">
        <v>11</v>
      </c>
      <c r="B13">
        <v>2</v>
      </c>
      <c r="C13">
        <v>2</v>
      </c>
      <c r="D13">
        <v>39</v>
      </c>
      <c r="E13" s="2" t="s">
        <v>91</v>
      </c>
      <c r="F13" s="2" t="s">
        <v>92</v>
      </c>
      <c r="G13">
        <v>110</v>
      </c>
      <c r="H13">
        <v>60</v>
      </c>
      <c r="I13">
        <v>119.6581196581196</v>
      </c>
      <c r="J13">
        <v>9.2666666666666657</v>
      </c>
      <c r="K13">
        <v>54.294117647058833</v>
      </c>
      <c r="L13">
        <v>5.031254901960784</v>
      </c>
      <c r="M13">
        <v>45.705882352941167</v>
      </c>
      <c r="N13">
        <v>83.182328069721294</v>
      </c>
      <c r="O13">
        <v>76.139760837070241</v>
      </c>
      <c r="P13">
        <v>0.37709322058273648</v>
      </c>
      <c r="Q13">
        <v>0.59896611858495252</v>
      </c>
      <c r="R13">
        <v>0.45333333333333342</v>
      </c>
      <c r="S13">
        <v>0.78666666666666663</v>
      </c>
      <c r="T13" t="s">
        <v>141</v>
      </c>
      <c r="U13">
        <v>44.900000000000013</v>
      </c>
      <c r="V13">
        <v>165.8</v>
      </c>
    </row>
    <row r="14" spans="1:22" x14ac:dyDescent="0.2">
      <c r="A14">
        <v>12</v>
      </c>
      <c r="B14">
        <v>2</v>
      </c>
      <c r="C14">
        <v>3</v>
      </c>
      <c r="D14">
        <v>44</v>
      </c>
      <c r="E14" s="2" t="s">
        <v>101</v>
      </c>
      <c r="F14" s="2" t="s">
        <v>102</v>
      </c>
      <c r="G14">
        <v>70</v>
      </c>
      <c r="H14">
        <v>65</v>
      </c>
      <c r="I14">
        <v>68.376068376068375</v>
      </c>
      <c r="J14">
        <v>13.133333333333329</v>
      </c>
      <c r="K14">
        <v>53.554266777133392</v>
      </c>
      <c r="L14">
        <v>7.0334603700635174</v>
      </c>
      <c r="M14">
        <v>46.445733222866608</v>
      </c>
      <c r="N14">
        <v>83.294856404100102</v>
      </c>
      <c r="O14">
        <v>76.093294460641388</v>
      </c>
      <c r="P14">
        <v>0.43757564564287249</v>
      </c>
      <c r="Q14">
        <v>0.63309620991253635</v>
      </c>
      <c r="R14">
        <v>0.52533333333333332</v>
      </c>
      <c r="S14">
        <v>0.83199999999999996</v>
      </c>
      <c r="T14">
        <v>40.552744999999987</v>
      </c>
      <c r="U14">
        <v>36.9</v>
      </c>
      <c r="V14">
        <v>188.8</v>
      </c>
    </row>
    <row r="15" spans="1:22" x14ac:dyDescent="0.2">
      <c r="A15">
        <v>13</v>
      </c>
      <c r="B15">
        <v>2</v>
      </c>
      <c r="C15">
        <v>4</v>
      </c>
      <c r="D15">
        <v>25</v>
      </c>
      <c r="E15" s="2" t="s">
        <v>75</v>
      </c>
      <c r="F15" s="2" t="s">
        <v>76</v>
      </c>
      <c r="G15">
        <v>75</v>
      </c>
      <c r="H15" t="s">
        <v>141</v>
      </c>
      <c r="I15">
        <v>418.80341880341882</v>
      </c>
      <c r="J15">
        <v>6</v>
      </c>
      <c r="K15">
        <v>61.176470588235297</v>
      </c>
      <c r="L15">
        <v>3.6705882352941179</v>
      </c>
      <c r="M15">
        <v>38.823529411764703</v>
      </c>
      <c r="N15">
        <v>85.622832755401433</v>
      </c>
      <c r="O15" t="s">
        <v>141</v>
      </c>
      <c r="P15">
        <v>2.14856228327554</v>
      </c>
      <c r="Q15" t="s">
        <v>141</v>
      </c>
      <c r="R15">
        <v>2.5093333333333332</v>
      </c>
      <c r="S15">
        <v>0</v>
      </c>
      <c r="T15">
        <v>45.601879999999987</v>
      </c>
      <c r="U15">
        <v>37.5</v>
      </c>
      <c r="V15" t="s">
        <v>141</v>
      </c>
    </row>
    <row r="16" spans="1:22" x14ac:dyDescent="0.2">
      <c r="A16">
        <v>14</v>
      </c>
      <c r="B16">
        <v>2</v>
      </c>
      <c r="C16">
        <v>5</v>
      </c>
      <c r="D16">
        <v>42</v>
      </c>
      <c r="E16" s="2" t="s">
        <v>97</v>
      </c>
      <c r="F16" s="2" t="s">
        <v>98</v>
      </c>
      <c r="G16">
        <v>105</v>
      </c>
      <c r="H16">
        <v>65</v>
      </c>
      <c r="I16">
        <v>59.829059829059823</v>
      </c>
      <c r="J16">
        <v>9.9333333333333336</v>
      </c>
      <c r="K16">
        <v>56.243902439024403</v>
      </c>
      <c r="L16">
        <v>5.5868943089430898</v>
      </c>
      <c r="M16">
        <v>43.756097560975597</v>
      </c>
      <c r="N16">
        <v>82.768230376219222</v>
      </c>
      <c r="O16">
        <v>77.439141268928495</v>
      </c>
      <c r="P16">
        <v>0.72394612169066419</v>
      </c>
      <c r="Q16">
        <v>0.60918791131557071</v>
      </c>
      <c r="R16">
        <v>0.8746666666666667</v>
      </c>
      <c r="S16">
        <v>0.78666666666666663</v>
      </c>
      <c r="T16">
        <v>51.76485499999999</v>
      </c>
      <c r="U16">
        <v>43.5</v>
      </c>
      <c r="V16">
        <v>191.2</v>
      </c>
    </row>
    <row r="17" spans="1:22" x14ac:dyDescent="0.2">
      <c r="A17">
        <v>15</v>
      </c>
      <c r="B17">
        <v>2</v>
      </c>
      <c r="C17">
        <v>6</v>
      </c>
      <c r="D17">
        <v>37</v>
      </c>
      <c r="E17" s="2" t="s">
        <v>87</v>
      </c>
      <c r="F17" s="2" t="s">
        <v>88</v>
      </c>
      <c r="G17" t="s">
        <v>141</v>
      </c>
      <c r="H17">
        <v>50</v>
      </c>
      <c r="I17" t="s">
        <v>141</v>
      </c>
      <c r="J17">
        <v>7.8666666666666671</v>
      </c>
      <c r="K17">
        <v>51.252992817238628</v>
      </c>
      <c r="L17">
        <v>4.0319021016227721</v>
      </c>
      <c r="M17">
        <v>48.747007182761372</v>
      </c>
      <c r="N17" t="s">
        <v>141</v>
      </c>
      <c r="O17">
        <v>0.72633459019646762</v>
      </c>
      <c r="P17" t="s">
        <v>141</v>
      </c>
      <c r="Q17">
        <v>4.2127406231395126E-3</v>
      </c>
      <c r="R17">
        <v>0</v>
      </c>
      <c r="S17">
        <v>0.58000000000000007</v>
      </c>
      <c r="T17" t="s">
        <v>141</v>
      </c>
      <c r="U17" t="s">
        <v>141</v>
      </c>
      <c r="V17">
        <v>161.69999999999999</v>
      </c>
    </row>
    <row r="18" spans="1:22" x14ac:dyDescent="0.2">
      <c r="A18">
        <v>16</v>
      </c>
      <c r="B18">
        <v>2</v>
      </c>
      <c r="C18">
        <v>7</v>
      </c>
      <c r="D18">
        <v>22</v>
      </c>
      <c r="E18" s="2" t="s">
        <v>69</v>
      </c>
      <c r="F18" s="2" t="s">
        <v>70</v>
      </c>
      <c r="G18">
        <v>75</v>
      </c>
      <c r="H18" t="s">
        <v>141</v>
      </c>
      <c r="I18">
        <v>358.97435897435889</v>
      </c>
      <c r="J18">
        <v>5.8666666666666671</v>
      </c>
      <c r="K18">
        <v>78.679245283018858</v>
      </c>
      <c r="L18">
        <v>4.615849056603774</v>
      </c>
      <c r="M18">
        <v>21.320754716981138</v>
      </c>
      <c r="N18">
        <v>85.235211923614358</v>
      </c>
      <c r="O18" t="s">
        <v>141</v>
      </c>
      <c r="P18">
        <v>1.811532370749884</v>
      </c>
      <c r="Q18" t="s">
        <v>141</v>
      </c>
      <c r="R18">
        <v>2.1253333333333342</v>
      </c>
      <c r="S18">
        <v>0</v>
      </c>
      <c r="T18">
        <v>42.329974999999997</v>
      </c>
      <c r="U18">
        <v>30.9</v>
      </c>
      <c r="V18" t="s">
        <v>141</v>
      </c>
    </row>
    <row r="19" spans="1:22" x14ac:dyDescent="0.2">
      <c r="A19">
        <v>17</v>
      </c>
      <c r="B19">
        <v>2</v>
      </c>
      <c r="C19">
        <v>8</v>
      </c>
      <c r="D19">
        <v>36</v>
      </c>
      <c r="E19" s="2" t="s">
        <v>85</v>
      </c>
      <c r="F19" s="2" t="s">
        <v>86</v>
      </c>
      <c r="G19">
        <v>105</v>
      </c>
      <c r="H19">
        <v>60</v>
      </c>
      <c r="I19">
        <v>102.5641025641026</v>
      </c>
      <c r="J19">
        <v>8.4</v>
      </c>
      <c r="K19">
        <v>55.944123314065507</v>
      </c>
      <c r="L19">
        <v>4.6993063583815031</v>
      </c>
      <c r="M19">
        <v>44.055876685934493</v>
      </c>
      <c r="N19">
        <v>83.420130669444177</v>
      </c>
      <c r="O19">
        <v>79.672447013487485</v>
      </c>
      <c r="P19">
        <v>0.24247451314585111</v>
      </c>
      <c r="Q19">
        <v>0.77760308285163782</v>
      </c>
      <c r="R19">
        <v>0.29066666666666668</v>
      </c>
      <c r="S19">
        <v>0.97599999999999998</v>
      </c>
      <c r="T19" t="s">
        <v>141</v>
      </c>
      <c r="U19">
        <v>47</v>
      </c>
      <c r="V19">
        <v>164.7</v>
      </c>
    </row>
    <row r="20" spans="1:22" x14ac:dyDescent="0.2">
      <c r="A20">
        <v>18</v>
      </c>
      <c r="B20">
        <v>2</v>
      </c>
      <c r="C20">
        <v>9</v>
      </c>
      <c r="D20">
        <v>27</v>
      </c>
      <c r="E20" s="2" t="s">
        <v>79</v>
      </c>
      <c r="F20" s="2" t="s">
        <v>80</v>
      </c>
      <c r="G20">
        <v>110</v>
      </c>
      <c r="H20" t="s">
        <v>141</v>
      </c>
      <c r="I20">
        <v>401.70940170940167</v>
      </c>
      <c r="J20">
        <v>8.8000000000000007</v>
      </c>
      <c r="K20">
        <v>68.755319148936181</v>
      </c>
      <c r="L20">
        <v>6.0504680851063846</v>
      </c>
      <c r="M20">
        <v>31.244680851063819</v>
      </c>
      <c r="N20">
        <v>84.934558618769145</v>
      </c>
      <c r="O20" t="s">
        <v>141</v>
      </c>
      <c r="P20">
        <v>2.339663974751693</v>
      </c>
      <c r="Q20" t="s">
        <v>141</v>
      </c>
      <c r="R20">
        <v>2.7546666666666662</v>
      </c>
      <c r="S20">
        <v>0</v>
      </c>
      <c r="T20">
        <v>47.334065000000002</v>
      </c>
      <c r="U20">
        <v>40.599999999999987</v>
      </c>
      <c r="V20" t="s">
        <v>141</v>
      </c>
    </row>
    <row r="21" spans="1:22" x14ac:dyDescent="0.2">
      <c r="A21">
        <v>19</v>
      </c>
      <c r="B21">
        <v>3</v>
      </c>
      <c r="C21">
        <v>1</v>
      </c>
      <c r="D21">
        <v>24</v>
      </c>
      <c r="E21" s="2" t="s">
        <v>73</v>
      </c>
      <c r="F21" s="2" t="s">
        <v>74</v>
      </c>
      <c r="G21">
        <v>110</v>
      </c>
      <c r="H21" t="s">
        <v>141</v>
      </c>
      <c r="I21">
        <v>264.95726495726501</v>
      </c>
      <c r="J21">
        <v>7.4666666666666659</v>
      </c>
      <c r="K21">
        <v>73.610798650168732</v>
      </c>
      <c r="L21">
        <v>5.4962729658792648</v>
      </c>
      <c r="M21">
        <v>26.389201349831271</v>
      </c>
      <c r="N21">
        <v>85.108388312912354</v>
      </c>
      <c r="O21" t="s">
        <v>141</v>
      </c>
      <c r="P21">
        <v>1.5183336475023561</v>
      </c>
      <c r="Q21" t="s">
        <v>141</v>
      </c>
      <c r="R21">
        <v>1.784</v>
      </c>
      <c r="S21">
        <v>0</v>
      </c>
      <c r="T21">
        <v>46.218177500000003</v>
      </c>
      <c r="U21">
        <v>42.8</v>
      </c>
      <c r="V21" t="s">
        <v>141</v>
      </c>
    </row>
    <row r="22" spans="1:22" x14ac:dyDescent="0.2">
      <c r="A22">
        <v>20</v>
      </c>
      <c r="B22">
        <v>3</v>
      </c>
      <c r="C22">
        <v>2</v>
      </c>
      <c r="D22">
        <v>21</v>
      </c>
      <c r="E22" s="2" t="s">
        <v>67</v>
      </c>
      <c r="F22" s="2" t="s">
        <v>68</v>
      </c>
      <c r="G22" t="s">
        <v>141</v>
      </c>
      <c r="H22">
        <v>60</v>
      </c>
      <c r="I22" t="s">
        <v>141</v>
      </c>
      <c r="J22">
        <v>10.33333333333333</v>
      </c>
      <c r="K22">
        <v>51.545842217484008</v>
      </c>
      <c r="L22">
        <v>5.3264036958066807</v>
      </c>
      <c r="M22">
        <v>48.454157782515992</v>
      </c>
      <c r="N22" t="s">
        <v>141</v>
      </c>
      <c r="O22">
        <v>76.268671480858629</v>
      </c>
      <c r="P22" t="s">
        <v>141</v>
      </c>
      <c r="Q22">
        <v>0.25016124245721633</v>
      </c>
      <c r="R22">
        <v>0</v>
      </c>
      <c r="S22">
        <v>0.32800000000000001</v>
      </c>
      <c r="T22" t="s">
        <v>141</v>
      </c>
      <c r="U22" t="s">
        <v>141</v>
      </c>
      <c r="V22">
        <v>150.19999999999999</v>
      </c>
    </row>
    <row r="23" spans="1:22" x14ac:dyDescent="0.2">
      <c r="A23">
        <v>21</v>
      </c>
      <c r="B23">
        <v>3</v>
      </c>
      <c r="C23">
        <v>3</v>
      </c>
      <c r="D23">
        <v>22</v>
      </c>
      <c r="E23" s="2" t="s">
        <v>69</v>
      </c>
      <c r="F23" s="2" t="s">
        <v>70</v>
      </c>
      <c r="G23">
        <v>70</v>
      </c>
      <c r="H23" t="s">
        <v>141</v>
      </c>
      <c r="I23">
        <v>179.4871794871795</v>
      </c>
      <c r="J23">
        <v>6.0666666666666664</v>
      </c>
      <c r="K23">
        <v>78.679245283018858</v>
      </c>
      <c r="L23">
        <v>4.773207547169811</v>
      </c>
      <c r="M23">
        <v>21.320754716981138</v>
      </c>
      <c r="N23">
        <v>85.272019552819785</v>
      </c>
      <c r="O23" t="s">
        <v>141</v>
      </c>
      <c r="P23">
        <v>1.7952602516520331</v>
      </c>
      <c r="Q23" t="s">
        <v>141</v>
      </c>
      <c r="R23">
        <v>2.1053333333333328</v>
      </c>
      <c r="S23">
        <v>0</v>
      </c>
      <c r="T23">
        <v>39.230060000000002</v>
      </c>
      <c r="U23">
        <v>32.599999999999987</v>
      </c>
      <c r="V23" t="s">
        <v>141</v>
      </c>
    </row>
    <row r="24" spans="1:22" x14ac:dyDescent="0.2">
      <c r="A24">
        <v>22</v>
      </c>
      <c r="B24">
        <v>3</v>
      </c>
      <c r="C24">
        <v>4</v>
      </c>
      <c r="D24">
        <v>42</v>
      </c>
      <c r="E24" s="2" t="s">
        <v>97</v>
      </c>
      <c r="F24" s="2" t="s">
        <v>98</v>
      </c>
      <c r="G24">
        <v>105</v>
      </c>
      <c r="H24">
        <v>65</v>
      </c>
      <c r="I24">
        <v>128.2051282051282</v>
      </c>
      <c r="J24">
        <v>10</v>
      </c>
      <c r="K24">
        <v>56.243902439024403</v>
      </c>
      <c r="L24">
        <v>5.6243902439024396</v>
      </c>
      <c r="M24">
        <v>43.756097560975597</v>
      </c>
      <c r="N24">
        <v>83.544083020842422</v>
      </c>
      <c r="O24">
        <v>78.791920731707322</v>
      </c>
      <c r="P24">
        <v>0.53802389465422518</v>
      </c>
      <c r="Q24">
        <v>0.33302718495934958</v>
      </c>
      <c r="R24">
        <v>0.64400000000000002</v>
      </c>
      <c r="S24">
        <v>0.42266666666666669</v>
      </c>
      <c r="T24">
        <v>50.468787499999998</v>
      </c>
      <c r="U24">
        <v>41.999999999999993</v>
      </c>
      <c r="V24">
        <v>169.8</v>
      </c>
    </row>
    <row r="25" spans="1:22" x14ac:dyDescent="0.2">
      <c r="A25">
        <v>23</v>
      </c>
      <c r="B25">
        <v>3</v>
      </c>
      <c r="C25">
        <v>5</v>
      </c>
      <c r="D25">
        <v>26</v>
      </c>
      <c r="E25" s="2" t="s">
        <v>77</v>
      </c>
      <c r="F25" s="2" t="s">
        <v>78</v>
      </c>
      <c r="G25">
        <v>115</v>
      </c>
      <c r="H25" t="s">
        <v>141</v>
      </c>
      <c r="I25">
        <v>316.23931623931622</v>
      </c>
      <c r="J25">
        <v>8.3333333333333339</v>
      </c>
      <c r="K25">
        <v>77.03923900118906</v>
      </c>
      <c r="L25">
        <v>6.4199365834324222</v>
      </c>
      <c r="M25">
        <v>22.96076099881094</v>
      </c>
      <c r="N25">
        <v>84.796413896152416</v>
      </c>
      <c r="O25" t="s">
        <v>141</v>
      </c>
      <c r="P25">
        <v>2.4545735275806249</v>
      </c>
      <c r="Q25" t="s">
        <v>141</v>
      </c>
      <c r="R25">
        <v>2.8946666666666672</v>
      </c>
      <c r="S25">
        <v>0</v>
      </c>
      <c r="T25">
        <v>48.265677500000002</v>
      </c>
      <c r="U25">
        <v>37.200000000000003</v>
      </c>
      <c r="V25" t="s">
        <v>141</v>
      </c>
    </row>
    <row r="26" spans="1:22" x14ac:dyDescent="0.2">
      <c r="A26">
        <v>24</v>
      </c>
      <c r="B26">
        <v>3</v>
      </c>
      <c r="C26">
        <v>6</v>
      </c>
      <c r="D26">
        <v>25</v>
      </c>
      <c r="E26" s="2" t="s">
        <v>75</v>
      </c>
      <c r="F26" s="2" t="s">
        <v>76</v>
      </c>
      <c r="G26">
        <v>75</v>
      </c>
      <c r="H26" t="s">
        <v>141</v>
      </c>
      <c r="I26">
        <v>324.78632478632483</v>
      </c>
      <c r="J26">
        <v>5.3999999999999986</v>
      </c>
      <c r="K26">
        <v>61.176470588235297</v>
      </c>
      <c r="L26">
        <v>3.303529411764706</v>
      </c>
      <c r="M26">
        <v>38.823529411764703</v>
      </c>
      <c r="N26">
        <v>85.144082812645706</v>
      </c>
      <c r="O26" t="s">
        <v>141</v>
      </c>
      <c r="P26">
        <v>2.1706064845037139</v>
      </c>
      <c r="Q26" t="s">
        <v>141</v>
      </c>
      <c r="R26">
        <v>2.5493333333333328</v>
      </c>
      <c r="S26">
        <v>0</v>
      </c>
      <c r="T26">
        <v>41.369697499999987</v>
      </c>
      <c r="U26">
        <v>35.6</v>
      </c>
      <c r="V26" t="s">
        <v>141</v>
      </c>
    </row>
    <row r="27" spans="1:22" x14ac:dyDescent="0.2">
      <c r="A27">
        <v>25</v>
      </c>
      <c r="B27">
        <v>3</v>
      </c>
      <c r="C27">
        <v>7</v>
      </c>
      <c r="D27">
        <v>38</v>
      </c>
      <c r="E27" s="2" t="s">
        <v>89</v>
      </c>
      <c r="F27" s="2" t="s">
        <v>90</v>
      </c>
      <c r="G27" t="s">
        <v>141</v>
      </c>
      <c r="H27">
        <v>55</v>
      </c>
      <c r="I27" t="s">
        <v>141</v>
      </c>
      <c r="J27">
        <v>11.33333333333333</v>
      </c>
      <c r="K27">
        <v>55.784946236559144</v>
      </c>
      <c r="L27">
        <v>6.3222939068100352</v>
      </c>
      <c r="M27">
        <v>44.215053763440856</v>
      </c>
      <c r="N27" t="s">
        <v>141</v>
      </c>
      <c r="O27">
        <v>73.826227738801947</v>
      </c>
      <c r="P27" t="s">
        <v>141</v>
      </c>
      <c r="Q27">
        <v>0.27857096600107928</v>
      </c>
      <c r="R27">
        <v>0</v>
      </c>
      <c r="S27">
        <v>0.3773333333333333</v>
      </c>
      <c r="T27" t="s">
        <v>141</v>
      </c>
      <c r="U27" t="s">
        <v>141</v>
      </c>
      <c r="V27">
        <v>170.5</v>
      </c>
    </row>
    <row r="28" spans="1:22" x14ac:dyDescent="0.2">
      <c r="A28">
        <v>26</v>
      </c>
      <c r="B28">
        <v>3</v>
      </c>
      <c r="C28">
        <v>8</v>
      </c>
      <c r="D28">
        <v>44</v>
      </c>
      <c r="E28" s="2" t="s">
        <v>101</v>
      </c>
      <c r="F28" s="2" t="s">
        <v>102</v>
      </c>
      <c r="G28">
        <v>75</v>
      </c>
      <c r="H28">
        <v>60</v>
      </c>
      <c r="I28">
        <v>136.75213675213669</v>
      </c>
      <c r="J28">
        <v>11.733333333333331</v>
      </c>
      <c r="K28">
        <v>53.554266777133392</v>
      </c>
      <c r="L28">
        <v>6.2837006351836511</v>
      </c>
      <c r="M28">
        <v>46.445733222866608</v>
      </c>
      <c r="N28">
        <v>83.280983577133611</v>
      </c>
      <c r="O28">
        <v>73.924459705110081</v>
      </c>
      <c r="P28">
        <v>0.26094708187501858</v>
      </c>
      <c r="Q28">
        <v>0.42876186628963853</v>
      </c>
      <c r="R28">
        <v>0.3133333333333333</v>
      </c>
      <c r="S28">
        <v>0.58000000000000007</v>
      </c>
      <c r="T28" t="s">
        <v>141</v>
      </c>
      <c r="U28">
        <v>37.200000000000003</v>
      </c>
      <c r="V28">
        <v>184.6</v>
      </c>
    </row>
    <row r="29" spans="1:22" x14ac:dyDescent="0.2">
      <c r="A29">
        <v>27</v>
      </c>
      <c r="B29">
        <v>3</v>
      </c>
      <c r="C29">
        <v>9</v>
      </c>
      <c r="D29">
        <v>36</v>
      </c>
      <c r="E29" s="2" t="s">
        <v>85</v>
      </c>
      <c r="F29" s="2" t="s">
        <v>86</v>
      </c>
      <c r="G29">
        <v>110</v>
      </c>
      <c r="H29">
        <v>60</v>
      </c>
      <c r="I29">
        <v>153.84615384615381</v>
      </c>
      <c r="J29">
        <v>10.266666666666669</v>
      </c>
      <c r="K29">
        <v>55.944123314065507</v>
      </c>
      <c r="L29">
        <v>5.7435966602440587</v>
      </c>
      <c r="M29">
        <v>44.055876685934493</v>
      </c>
      <c r="N29">
        <v>83.649184662847077</v>
      </c>
      <c r="O29">
        <v>77.962781586679725</v>
      </c>
      <c r="P29">
        <v>0.3312507712648744</v>
      </c>
      <c r="Q29">
        <v>0.38149787789748613</v>
      </c>
      <c r="R29">
        <v>0.39600000000000002</v>
      </c>
      <c r="S29">
        <v>0.48933333333333329</v>
      </c>
      <c r="T29" t="s">
        <v>141</v>
      </c>
      <c r="U29">
        <v>43.100000000000009</v>
      </c>
      <c r="V29">
        <v>162.6</v>
      </c>
    </row>
    <row r="30" spans="1:22" x14ac:dyDescent="0.2">
      <c r="A30">
        <v>28</v>
      </c>
      <c r="B30">
        <v>4</v>
      </c>
      <c r="C30">
        <v>1</v>
      </c>
      <c r="D30">
        <v>30</v>
      </c>
      <c r="E30" s="2" t="s">
        <v>81</v>
      </c>
      <c r="F30" s="2" t="s">
        <v>82</v>
      </c>
      <c r="G30">
        <v>70</v>
      </c>
      <c r="H30">
        <v>65</v>
      </c>
      <c r="I30">
        <v>111.1111111111111</v>
      </c>
      <c r="J30">
        <v>7.7999999999999989</v>
      </c>
      <c r="K30">
        <v>54.174454828660437</v>
      </c>
      <c r="L30">
        <v>4.2256074766355143</v>
      </c>
      <c r="M30">
        <v>45.825545171339563</v>
      </c>
      <c r="N30" t="s">
        <v>141</v>
      </c>
      <c r="O30">
        <v>79.484218629715158</v>
      </c>
      <c r="P30" t="s">
        <v>141</v>
      </c>
      <c r="Q30">
        <v>0.20136002052861171</v>
      </c>
      <c r="R30">
        <v>3.5999999999999997E-2</v>
      </c>
      <c r="S30">
        <v>0.2533333333333333</v>
      </c>
      <c r="T30" t="s">
        <v>141</v>
      </c>
      <c r="U30" t="s">
        <v>141</v>
      </c>
      <c r="V30">
        <v>145.5</v>
      </c>
    </row>
    <row r="31" spans="1:22" x14ac:dyDescent="0.2">
      <c r="A31">
        <v>29</v>
      </c>
      <c r="B31">
        <v>4</v>
      </c>
      <c r="C31">
        <v>2</v>
      </c>
      <c r="D31">
        <v>39</v>
      </c>
      <c r="E31" s="2" t="s">
        <v>91</v>
      </c>
      <c r="F31" s="2" t="s">
        <v>92</v>
      </c>
      <c r="G31">
        <v>90</v>
      </c>
      <c r="H31">
        <v>65</v>
      </c>
      <c r="I31" t="s">
        <v>141</v>
      </c>
      <c r="J31">
        <v>11.6</v>
      </c>
      <c r="K31">
        <v>54.294117647058833</v>
      </c>
      <c r="L31">
        <v>6.2981176470588238</v>
      </c>
      <c r="M31">
        <v>45.705882352941167</v>
      </c>
      <c r="N31">
        <v>82.650894752805584</v>
      </c>
      <c r="O31">
        <v>75.34950657894737</v>
      </c>
      <c r="P31">
        <v>0.1708118491557982</v>
      </c>
      <c r="Q31">
        <v>0.16175027412280699</v>
      </c>
      <c r="R31">
        <v>0.20666666666666669</v>
      </c>
      <c r="S31">
        <v>0.2146666666666667</v>
      </c>
      <c r="T31" t="s">
        <v>141</v>
      </c>
      <c r="U31">
        <v>40.799999999999997</v>
      </c>
      <c r="V31">
        <v>149.19999999999999</v>
      </c>
    </row>
    <row r="32" spans="1:22" x14ac:dyDescent="0.2">
      <c r="A32">
        <v>30</v>
      </c>
      <c r="B32">
        <v>4</v>
      </c>
      <c r="C32">
        <v>3</v>
      </c>
      <c r="D32">
        <v>33</v>
      </c>
      <c r="E32" s="2" t="s">
        <v>83</v>
      </c>
      <c r="F32" s="2" t="s">
        <v>84</v>
      </c>
      <c r="G32">
        <v>105</v>
      </c>
      <c r="H32">
        <v>65</v>
      </c>
      <c r="I32">
        <v>179.4871794871795</v>
      </c>
      <c r="J32">
        <v>7.7999999999999989</v>
      </c>
      <c r="K32">
        <v>53.239308462238398</v>
      </c>
      <c r="L32">
        <v>4.1526660600545942</v>
      </c>
      <c r="M32">
        <v>46.760691537761602</v>
      </c>
      <c r="N32">
        <v>83.569283569283584</v>
      </c>
      <c r="O32">
        <v>79.185295578738206</v>
      </c>
      <c r="P32">
        <v>0.43678878878878891</v>
      </c>
      <c r="Q32">
        <v>0.51312071535022352</v>
      </c>
      <c r="R32">
        <v>0.52266666666666672</v>
      </c>
      <c r="S32">
        <v>0.64799999999999991</v>
      </c>
      <c r="T32" t="s">
        <v>141</v>
      </c>
      <c r="U32">
        <v>40.700000000000003</v>
      </c>
      <c r="V32">
        <v>159.6</v>
      </c>
    </row>
    <row r="33" spans="1:22" x14ac:dyDescent="0.2">
      <c r="A33">
        <v>31</v>
      </c>
      <c r="B33">
        <v>4</v>
      </c>
      <c r="C33">
        <v>4</v>
      </c>
      <c r="D33">
        <v>27</v>
      </c>
      <c r="E33" s="2" t="s">
        <v>79</v>
      </c>
      <c r="F33" s="2" t="s">
        <v>80</v>
      </c>
      <c r="G33">
        <v>110</v>
      </c>
      <c r="H33" t="s">
        <v>141</v>
      </c>
      <c r="I33">
        <v>307.69230769230768</v>
      </c>
      <c r="J33">
        <v>6</v>
      </c>
      <c r="K33">
        <v>68.755319148936181</v>
      </c>
      <c r="L33">
        <v>4.1253191489361711</v>
      </c>
      <c r="M33">
        <v>31.244680851063819</v>
      </c>
      <c r="N33">
        <v>85.476410730804815</v>
      </c>
      <c r="O33" t="s">
        <v>141</v>
      </c>
      <c r="P33">
        <v>1.7391600370027751</v>
      </c>
      <c r="Q33" t="s">
        <v>141</v>
      </c>
      <c r="R33">
        <v>2.034666666666666</v>
      </c>
      <c r="S33">
        <v>0</v>
      </c>
      <c r="T33">
        <v>44.897539999999992</v>
      </c>
      <c r="U33">
        <v>43.100000000000009</v>
      </c>
      <c r="V33" t="s">
        <v>141</v>
      </c>
    </row>
    <row r="34" spans="1:22" x14ac:dyDescent="0.2">
      <c r="A34">
        <v>32</v>
      </c>
      <c r="B34">
        <v>4</v>
      </c>
      <c r="C34">
        <v>5</v>
      </c>
      <c r="D34">
        <v>40</v>
      </c>
      <c r="E34" s="2" t="s">
        <v>93</v>
      </c>
      <c r="F34" s="2" t="s">
        <v>94</v>
      </c>
      <c r="G34">
        <v>95</v>
      </c>
      <c r="H34">
        <v>60</v>
      </c>
      <c r="I34">
        <v>102.5641025641026</v>
      </c>
      <c r="J34">
        <v>9.6000000000000014</v>
      </c>
      <c r="K34">
        <v>53.706530958439338</v>
      </c>
      <c r="L34">
        <v>5.1558269720101784</v>
      </c>
      <c r="M34">
        <v>46.293469041560662</v>
      </c>
      <c r="N34">
        <v>83.082311733800353</v>
      </c>
      <c r="O34">
        <v>77.497575169738127</v>
      </c>
      <c r="P34">
        <v>0.22487612375948629</v>
      </c>
      <c r="Q34">
        <v>0.42985321694148082</v>
      </c>
      <c r="R34">
        <v>0.27066666666666672</v>
      </c>
      <c r="S34">
        <v>0.55466666666666664</v>
      </c>
      <c r="T34" t="s">
        <v>141</v>
      </c>
      <c r="U34">
        <v>44.1</v>
      </c>
      <c r="V34">
        <v>169.4</v>
      </c>
    </row>
    <row r="35" spans="1:22" x14ac:dyDescent="0.2">
      <c r="A35">
        <v>33</v>
      </c>
      <c r="B35">
        <v>4</v>
      </c>
      <c r="C35">
        <v>6</v>
      </c>
      <c r="D35">
        <v>41</v>
      </c>
      <c r="E35" s="2" t="s">
        <v>95</v>
      </c>
      <c r="F35" s="2" t="s">
        <v>96</v>
      </c>
      <c r="G35">
        <v>100</v>
      </c>
      <c r="H35">
        <v>60</v>
      </c>
      <c r="I35">
        <v>119.6581196581196</v>
      </c>
      <c r="J35">
        <v>6.7333333333333334</v>
      </c>
      <c r="K35">
        <v>58.284982935153593</v>
      </c>
      <c r="L35">
        <v>3.9245221843003422</v>
      </c>
      <c r="M35">
        <v>41.715017064846407</v>
      </c>
      <c r="N35">
        <v>83.267248215701827</v>
      </c>
      <c r="O35">
        <v>80.101656626506028</v>
      </c>
      <c r="P35">
        <v>0.5662172878667725</v>
      </c>
      <c r="Q35">
        <v>0.52333082329317271</v>
      </c>
      <c r="R35">
        <v>0.68</v>
      </c>
      <c r="S35">
        <v>0.65333333333333332</v>
      </c>
      <c r="T35">
        <v>50.511784999999989</v>
      </c>
      <c r="U35">
        <v>37</v>
      </c>
      <c r="V35">
        <v>154.9</v>
      </c>
    </row>
    <row r="36" spans="1:22" x14ac:dyDescent="0.2">
      <c r="A36">
        <v>34</v>
      </c>
      <c r="B36">
        <v>4</v>
      </c>
      <c r="C36">
        <v>7</v>
      </c>
      <c r="D36">
        <v>43</v>
      </c>
      <c r="E36" s="2" t="s">
        <v>99</v>
      </c>
      <c r="F36" s="2" t="s">
        <v>100</v>
      </c>
      <c r="G36">
        <v>65</v>
      </c>
      <c r="H36">
        <v>55</v>
      </c>
      <c r="I36">
        <v>205.12820512820511</v>
      </c>
      <c r="J36">
        <v>8.2666666666666657</v>
      </c>
      <c r="K36">
        <v>56.628216503992903</v>
      </c>
      <c r="L36">
        <v>4.6812658976634127</v>
      </c>
      <c r="M36">
        <v>43.371783496007097</v>
      </c>
      <c r="N36">
        <v>83.023001095290255</v>
      </c>
      <c r="O36">
        <v>76.964818666907846</v>
      </c>
      <c r="P36">
        <v>0.1328368017524644</v>
      </c>
      <c r="Q36">
        <v>0.31504265774320939</v>
      </c>
      <c r="R36">
        <v>0.16</v>
      </c>
      <c r="S36">
        <v>0.40933333333333333</v>
      </c>
      <c r="T36" t="s">
        <v>141</v>
      </c>
      <c r="U36">
        <v>33.6</v>
      </c>
      <c r="V36">
        <v>165.4</v>
      </c>
    </row>
    <row r="37" spans="1:22" x14ac:dyDescent="0.2">
      <c r="A37">
        <v>35</v>
      </c>
      <c r="B37">
        <v>4</v>
      </c>
      <c r="C37">
        <v>8</v>
      </c>
      <c r="D37">
        <v>23</v>
      </c>
      <c r="E37" s="2" t="s">
        <v>71</v>
      </c>
      <c r="F37" s="2" t="s">
        <v>72</v>
      </c>
      <c r="G37">
        <v>105</v>
      </c>
      <c r="H37" t="s">
        <v>141</v>
      </c>
      <c r="I37">
        <v>247.86324786324781</v>
      </c>
      <c r="J37">
        <v>5.6666666666666661</v>
      </c>
      <c r="K37">
        <v>72.186274509803923</v>
      </c>
      <c r="L37">
        <v>4.0905555555555564</v>
      </c>
      <c r="M37">
        <v>27.813725490196081</v>
      </c>
      <c r="N37">
        <v>85.855466337245218</v>
      </c>
      <c r="O37" t="s">
        <v>141</v>
      </c>
      <c r="P37">
        <v>2.3192423306567842</v>
      </c>
      <c r="Q37" t="s">
        <v>141</v>
      </c>
      <c r="R37">
        <v>2.7013333333333329</v>
      </c>
      <c r="S37">
        <v>0</v>
      </c>
      <c r="T37">
        <v>48.802122500000003</v>
      </c>
      <c r="U37">
        <v>36.1</v>
      </c>
      <c r="V37" t="s">
        <v>141</v>
      </c>
    </row>
    <row r="38" spans="1:22" x14ac:dyDescent="0.2">
      <c r="A38">
        <v>36</v>
      </c>
      <c r="B38">
        <v>4</v>
      </c>
      <c r="C38">
        <v>9</v>
      </c>
      <c r="D38">
        <v>37</v>
      </c>
      <c r="E38" s="2" t="s">
        <v>87</v>
      </c>
      <c r="F38" s="2" t="s">
        <v>88</v>
      </c>
      <c r="G38" t="s">
        <v>141</v>
      </c>
      <c r="H38">
        <v>55</v>
      </c>
      <c r="I38" t="s">
        <v>141</v>
      </c>
      <c r="J38">
        <v>9.8666666666666671</v>
      </c>
      <c r="K38">
        <v>51.252992817238628</v>
      </c>
      <c r="L38">
        <v>5.0569619579675447</v>
      </c>
      <c r="M38">
        <v>48.747007182761372</v>
      </c>
      <c r="N38" t="s">
        <v>141</v>
      </c>
      <c r="O38">
        <v>72.581415337599083</v>
      </c>
      <c r="P38" t="s">
        <v>141</v>
      </c>
      <c r="Q38">
        <v>0.21967975042179991</v>
      </c>
      <c r="R38">
        <v>0</v>
      </c>
      <c r="S38">
        <v>0.30266666666666669</v>
      </c>
      <c r="T38" t="s">
        <v>141</v>
      </c>
      <c r="U38" t="s">
        <v>141</v>
      </c>
      <c r="V38">
        <v>163.5</v>
      </c>
    </row>
    <row r="39" spans="1:22" x14ac:dyDescent="0.2">
      <c r="A39">
        <v>37</v>
      </c>
      <c r="B39">
        <v>5</v>
      </c>
      <c r="C39">
        <v>1</v>
      </c>
      <c r="D39">
        <v>33</v>
      </c>
      <c r="E39" s="2" t="s">
        <v>83</v>
      </c>
      <c r="F39" s="2" t="s">
        <v>84</v>
      </c>
      <c r="G39">
        <v>105</v>
      </c>
      <c r="H39">
        <v>60</v>
      </c>
      <c r="I39">
        <v>119.6581196581196</v>
      </c>
      <c r="J39">
        <v>7.4</v>
      </c>
      <c r="K39">
        <v>53.239308462238398</v>
      </c>
      <c r="L39">
        <v>3.9397088262056421</v>
      </c>
      <c r="M39">
        <v>46.760691537761602</v>
      </c>
      <c r="N39">
        <v>83.437555833482222</v>
      </c>
      <c r="O39">
        <v>79.959883296863595</v>
      </c>
      <c r="P39">
        <v>0.37157524864510749</v>
      </c>
      <c r="Q39">
        <v>0.18444079747143199</v>
      </c>
      <c r="R39">
        <v>0.44533333333333341</v>
      </c>
      <c r="S39">
        <v>0.23066666666666669</v>
      </c>
      <c r="T39" t="s">
        <v>141</v>
      </c>
      <c r="U39">
        <v>38</v>
      </c>
      <c r="V39">
        <v>154.80000000000001</v>
      </c>
    </row>
    <row r="40" spans="1:22" x14ac:dyDescent="0.2">
      <c r="A40">
        <v>38</v>
      </c>
      <c r="B40">
        <v>5</v>
      </c>
      <c r="C40">
        <v>2</v>
      </c>
      <c r="D40">
        <v>27</v>
      </c>
      <c r="E40" s="2" t="s">
        <v>79</v>
      </c>
      <c r="F40" s="2" t="s">
        <v>80</v>
      </c>
      <c r="G40">
        <v>110</v>
      </c>
      <c r="H40" t="s">
        <v>141</v>
      </c>
      <c r="I40">
        <v>256.41025641025641</v>
      </c>
      <c r="J40">
        <v>7.1333333333333329</v>
      </c>
      <c r="K40">
        <v>68.755319148936181</v>
      </c>
      <c r="L40">
        <v>4.9045460992907808</v>
      </c>
      <c r="M40">
        <v>31.244680851063819</v>
      </c>
      <c r="N40">
        <v>85.002808462834679</v>
      </c>
      <c r="O40" t="s">
        <v>141</v>
      </c>
      <c r="P40">
        <v>1.331710665917744</v>
      </c>
      <c r="Q40" t="s">
        <v>141</v>
      </c>
      <c r="R40">
        <v>1.5666666666666671</v>
      </c>
      <c r="S40">
        <v>0</v>
      </c>
      <c r="T40">
        <v>42.243979999999993</v>
      </c>
      <c r="U40">
        <v>40.600000000000009</v>
      </c>
      <c r="V40" t="s">
        <v>141</v>
      </c>
    </row>
    <row r="41" spans="1:22" x14ac:dyDescent="0.2">
      <c r="A41">
        <v>39</v>
      </c>
      <c r="B41">
        <v>5</v>
      </c>
      <c r="C41">
        <v>3</v>
      </c>
      <c r="D41">
        <v>21</v>
      </c>
      <c r="E41" s="2" t="s">
        <v>67</v>
      </c>
      <c r="F41" s="2" t="s">
        <v>68</v>
      </c>
      <c r="G41" t="s">
        <v>141</v>
      </c>
      <c r="H41">
        <v>55</v>
      </c>
      <c r="I41" t="s">
        <v>141</v>
      </c>
      <c r="J41">
        <v>6.4666666666666659</v>
      </c>
      <c r="K41">
        <v>51.545842217484008</v>
      </c>
      <c r="L41">
        <v>3.3332977967306321</v>
      </c>
      <c r="M41">
        <v>48.454157782515992</v>
      </c>
      <c r="N41" t="s">
        <v>141</v>
      </c>
      <c r="O41">
        <v>80.177218808060601</v>
      </c>
      <c r="P41" t="s">
        <v>141</v>
      </c>
      <c r="Q41">
        <v>0.13897384593397169</v>
      </c>
      <c r="R41">
        <v>0</v>
      </c>
      <c r="S41">
        <v>0.17333333333333331</v>
      </c>
      <c r="T41" t="s">
        <v>141</v>
      </c>
      <c r="U41" t="s">
        <v>141</v>
      </c>
      <c r="V41">
        <v>144.30000000000001</v>
      </c>
    </row>
    <row r="42" spans="1:22" x14ac:dyDescent="0.2">
      <c r="A42">
        <v>40</v>
      </c>
      <c r="B42">
        <v>5</v>
      </c>
      <c r="C42">
        <v>4</v>
      </c>
      <c r="D42">
        <v>26</v>
      </c>
      <c r="E42" s="2" t="s">
        <v>77</v>
      </c>
      <c r="F42" s="2" t="s">
        <v>78</v>
      </c>
      <c r="G42">
        <v>100</v>
      </c>
      <c r="H42" t="s">
        <v>141</v>
      </c>
      <c r="I42">
        <v>290.59829059829059</v>
      </c>
      <c r="J42">
        <v>7.4</v>
      </c>
      <c r="K42">
        <v>77.03923900118906</v>
      </c>
      <c r="L42">
        <v>5.7009036860879911</v>
      </c>
      <c r="M42">
        <v>22.96076099881094</v>
      </c>
      <c r="N42">
        <v>85.167190625893113</v>
      </c>
      <c r="O42" t="s">
        <v>141</v>
      </c>
      <c r="P42">
        <v>1.8918471944365061</v>
      </c>
      <c r="Q42" t="s">
        <v>141</v>
      </c>
      <c r="R42">
        <v>2.2213333333333329</v>
      </c>
      <c r="S42">
        <v>0</v>
      </c>
      <c r="T42">
        <v>46.89589999999999</v>
      </c>
      <c r="U42">
        <v>32.9</v>
      </c>
      <c r="V42" t="s">
        <v>141</v>
      </c>
    </row>
    <row r="43" spans="1:22" x14ac:dyDescent="0.2">
      <c r="A43">
        <v>41</v>
      </c>
      <c r="B43">
        <v>5</v>
      </c>
      <c r="C43">
        <v>5</v>
      </c>
      <c r="D43">
        <v>23</v>
      </c>
      <c r="E43" s="2" t="s">
        <v>71</v>
      </c>
      <c r="F43" s="2" t="s">
        <v>72</v>
      </c>
      <c r="G43">
        <v>105</v>
      </c>
      <c r="H43" t="s">
        <v>141</v>
      </c>
      <c r="I43">
        <v>358.97435897435889</v>
      </c>
      <c r="J43">
        <v>6.0666666666666664</v>
      </c>
      <c r="K43">
        <v>72.186274509803923</v>
      </c>
      <c r="L43">
        <v>4.3793006535947718</v>
      </c>
      <c r="M43">
        <v>27.813725490196081</v>
      </c>
      <c r="N43">
        <v>85.365853658536579</v>
      </c>
      <c r="O43" t="s">
        <v>141</v>
      </c>
      <c r="P43">
        <v>1.2918699186991871</v>
      </c>
      <c r="Q43" t="s">
        <v>141</v>
      </c>
      <c r="R43">
        <v>1.513333333333333</v>
      </c>
      <c r="S43">
        <v>0</v>
      </c>
      <c r="T43">
        <v>47.663712500000003</v>
      </c>
      <c r="U43">
        <v>33.700000000000003</v>
      </c>
      <c r="V43" t="s">
        <v>141</v>
      </c>
    </row>
    <row r="44" spans="1:22" x14ac:dyDescent="0.2">
      <c r="A44">
        <v>42</v>
      </c>
      <c r="B44">
        <v>5</v>
      </c>
      <c r="C44">
        <v>6</v>
      </c>
      <c r="D44">
        <v>24</v>
      </c>
      <c r="E44" s="2" t="s">
        <v>73</v>
      </c>
      <c r="F44" s="2" t="s">
        <v>74</v>
      </c>
      <c r="G44">
        <v>110</v>
      </c>
      <c r="H44" t="s">
        <v>141</v>
      </c>
      <c r="I44">
        <v>128.2051282051282</v>
      </c>
      <c r="J44">
        <v>6.1333333333333329</v>
      </c>
      <c r="K44">
        <v>73.610798650168732</v>
      </c>
      <c r="L44">
        <v>4.5147956505436806</v>
      </c>
      <c r="M44">
        <v>26.389201349831271</v>
      </c>
      <c r="N44">
        <v>85.19604250641261</v>
      </c>
      <c r="O44" t="s">
        <v>141</v>
      </c>
      <c r="P44">
        <v>1.672114327592525</v>
      </c>
      <c r="Q44" t="s">
        <v>141</v>
      </c>
      <c r="R44">
        <v>1.962666666666667</v>
      </c>
      <c r="S44">
        <v>0</v>
      </c>
      <c r="T44">
        <v>43.56871249999999</v>
      </c>
      <c r="U44">
        <v>42.5</v>
      </c>
      <c r="V44" t="s">
        <v>141</v>
      </c>
    </row>
    <row r="45" spans="1:22" x14ac:dyDescent="0.2">
      <c r="A45">
        <v>43</v>
      </c>
      <c r="B45">
        <v>5</v>
      </c>
      <c r="C45">
        <v>7</v>
      </c>
      <c r="D45">
        <v>38</v>
      </c>
      <c r="E45" s="2" t="s">
        <v>89</v>
      </c>
      <c r="F45" s="2" t="s">
        <v>90</v>
      </c>
      <c r="G45" t="s">
        <v>141</v>
      </c>
      <c r="H45">
        <v>55</v>
      </c>
      <c r="I45" t="s">
        <v>141</v>
      </c>
      <c r="J45">
        <v>6.5333333333333341</v>
      </c>
      <c r="K45">
        <v>55.784946236559144</v>
      </c>
      <c r="L45">
        <v>3.6446164874551981</v>
      </c>
      <c r="M45">
        <v>44.215053763440856</v>
      </c>
      <c r="N45" t="s">
        <v>141</v>
      </c>
      <c r="O45">
        <v>76.346153846153854</v>
      </c>
      <c r="P45" t="s">
        <v>141</v>
      </c>
      <c r="Q45">
        <v>0.40208974358974359</v>
      </c>
      <c r="R45">
        <v>0</v>
      </c>
      <c r="S45">
        <v>0.52666666666666662</v>
      </c>
      <c r="T45" t="s">
        <v>141</v>
      </c>
      <c r="U45" t="s">
        <v>141</v>
      </c>
      <c r="V45">
        <v>169.3</v>
      </c>
    </row>
    <row r="46" spans="1:22" x14ac:dyDescent="0.2">
      <c r="A46">
        <v>44</v>
      </c>
      <c r="B46">
        <v>5</v>
      </c>
      <c r="C46">
        <v>8</v>
      </c>
      <c r="D46">
        <v>40</v>
      </c>
      <c r="E46" s="2" t="s">
        <v>93</v>
      </c>
      <c r="F46" s="2" t="s">
        <v>94</v>
      </c>
      <c r="G46">
        <v>105</v>
      </c>
      <c r="H46">
        <v>65</v>
      </c>
      <c r="I46">
        <v>128.2051282051282</v>
      </c>
      <c r="J46">
        <v>9.6666666666666661</v>
      </c>
      <c r="K46">
        <v>53.706530958439338</v>
      </c>
      <c r="L46">
        <v>5.1916313259824696</v>
      </c>
      <c r="M46">
        <v>46.293469041560662</v>
      </c>
      <c r="N46">
        <v>83.70005280760428</v>
      </c>
      <c r="O46">
        <v>79.4979079497908</v>
      </c>
      <c r="P46">
        <v>0.33814821334272133</v>
      </c>
      <c r="Q46">
        <v>0.16535564853556489</v>
      </c>
      <c r="R46">
        <v>0.40400000000000003</v>
      </c>
      <c r="S46">
        <v>0.20799999999999999</v>
      </c>
      <c r="T46" t="s">
        <v>141</v>
      </c>
      <c r="U46">
        <v>43.4</v>
      </c>
      <c r="V46">
        <v>163.5</v>
      </c>
    </row>
    <row r="47" spans="1:22" x14ac:dyDescent="0.2">
      <c r="A47">
        <v>45</v>
      </c>
      <c r="B47">
        <v>5</v>
      </c>
      <c r="C47">
        <v>9</v>
      </c>
      <c r="D47">
        <v>30</v>
      </c>
      <c r="E47" s="2" t="s">
        <v>81</v>
      </c>
      <c r="F47" s="2" t="s">
        <v>82</v>
      </c>
      <c r="G47">
        <v>60</v>
      </c>
      <c r="H47">
        <v>60</v>
      </c>
      <c r="I47">
        <v>119.6581196581196</v>
      </c>
      <c r="J47">
        <v>9.8000000000000007</v>
      </c>
      <c r="K47">
        <v>54.174454828660437</v>
      </c>
      <c r="L47">
        <v>5.3090965732087243</v>
      </c>
      <c r="M47">
        <v>45.825545171339563</v>
      </c>
      <c r="N47">
        <v>84.324942791762012</v>
      </c>
      <c r="O47">
        <v>77.438787407695301</v>
      </c>
      <c r="P47">
        <v>0.14841189931350121</v>
      </c>
      <c r="Q47">
        <v>0.29116984065293428</v>
      </c>
      <c r="R47">
        <v>0.17599999999999999</v>
      </c>
      <c r="S47">
        <v>0.37599999999999989</v>
      </c>
      <c r="T47" t="s">
        <v>141</v>
      </c>
      <c r="U47">
        <v>34.700000000000003</v>
      </c>
      <c r="V47">
        <v>147.1</v>
      </c>
    </row>
    <row r="48" spans="1:22" x14ac:dyDescent="0.2">
      <c r="A48">
        <v>46</v>
      </c>
      <c r="B48">
        <v>6</v>
      </c>
      <c r="C48">
        <v>1</v>
      </c>
      <c r="D48">
        <v>41</v>
      </c>
      <c r="E48" s="2" t="s">
        <v>95</v>
      </c>
      <c r="F48" s="2" t="s">
        <v>96</v>
      </c>
      <c r="G48">
        <v>110</v>
      </c>
      <c r="H48">
        <v>65</v>
      </c>
      <c r="I48">
        <v>145.29914529914529</v>
      </c>
      <c r="J48">
        <v>7.6</v>
      </c>
      <c r="K48">
        <v>58.284982935153593</v>
      </c>
      <c r="L48">
        <v>4.4296587030716728</v>
      </c>
      <c r="M48">
        <v>41.715017064846407</v>
      </c>
      <c r="N48">
        <v>83.114293483186813</v>
      </c>
      <c r="O48">
        <v>80.432172869147664</v>
      </c>
      <c r="P48">
        <v>0.45435813770808792</v>
      </c>
      <c r="Q48">
        <v>9.9735894357743105E-2</v>
      </c>
      <c r="R48">
        <v>0.54666666666666663</v>
      </c>
      <c r="S48">
        <v>0.124</v>
      </c>
      <c r="T48">
        <v>46.717767499999987</v>
      </c>
      <c r="U48">
        <v>35.6</v>
      </c>
      <c r="V48">
        <v>138.30000000000001</v>
      </c>
    </row>
    <row r="49" spans="1:22" x14ac:dyDescent="0.2">
      <c r="A49">
        <v>47</v>
      </c>
      <c r="B49">
        <v>6</v>
      </c>
      <c r="C49">
        <v>2</v>
      </c>
      <c r="D49">
        <v>22</v>
      </c>
      <c r="E49" s="2" t="s">
        <v>69</v>
      </c>
      <c r="F49" s="2" t="s">
        <v>70</v>
      </c>
      <c r="G49">
        <v>80</v>
      </c>
      <c r="H49" t="s">
        <v>141</v>
      </c>
      <c r="I49">
        <v>264.95726495726501</v>
      </c>
      <c r="J49">
        <v>6.7999999999999989</v>
      </c>
      <c r="K49">
        <v>78.679245283018858</v>
      </c>
      <c r="L49">
        <v>5.3501886792452824</v>
      </c>
      <c r="M49">
        <v>21.320754716981138</v>
      </c>
      <c r="N49">
        <v>85.063437139561699</v>
      </c>
      <c r="O49" t="s">
        <v>141</v>
      </c>
      <c r="P49">
        <v>1.459688581314879</v>
      </c>
      <c r="Q49" t="s">
        <v>141</v>
      </c>
      <c r="R49">
        <v>1.716</v>
      </c>
      <c r="S49">
        <v>0</v>
      </c>
      <c r="T49">
        <v>38.877889999999987</v>
      </c>
      <c r="U49">
        <v>32.299999999999997</v>
      </c>
      <c r="V49" t="s">
        <v>141</v>
      </c>
    </row>
    <row r="50" spans="1:22" x14ac:dyDescent="0.2">
      <c r="A50">
        <v>48</v>
      </c>
      <c r="B50">
        <v>6</v>
      </c>
      <c r="C50">
        <v>3</v>
      </c>
      <c r="D50">
        <v>43</v>
      </c>
      <c r="E50" s="2" t="s">
        <v>99</v>
      </c>
      <c r="F50" s="2" t="s">
        <v>100</v>
      </c>
      <c r="G50">
        <v>65</v>
      </c>
      <c r="H50">
        <v>60</v>
      </c>
      <c r="I50">
        <v>153.84615384615381</v>
      </c>
      <c r="J50">
        <v>7</v>
      </c>
      <c r="K50">
        <v>56.628216503992903</v>
      </c>
      <c r="L50">
        <v>3.9639751552795031</v>
      </c>
      <c r="M50">
        <v>43.371783496007097</v>
      </c>
      <c r="N50">
        <v>82.697201017811707</v>
      </c>
      <c r="O50">
        <v>73.676987734797152</v>
      </c>
      <c r="P50">
        <v>0.16980491942324011</v>
      </c>
      <c r="Q50">
        <v>0.19352488778340049</v>
      </c>
      <c r="R50">
        <v>0.20533333333333331</v>
      </c>
      <c r="S50">
        <v>0.26266666666666671</v>
      </c>
      <c r="T50" t="s">
        <v>141</v>
      </c>
      <c r="U50">
        <v>33.299999999999997</v>
      </c>
      <c r="V50">
        <v>162.19999999999999</v>
      </c>
    </row>
    <row r="51" spans="1:22" x14ac:dyDescent="0.2">
      <c r="A51">
        <v>49</v>
      </c>
      <c r="B51">
        <v>6</v>
      </c>
      <c r="C51">
        <v>4</v>
      </c>
      <c r="D51">
        <v>25</v>
      </c>
      <c r="E51" s="2" t="s">
        <v>75</v>
      </c>
      <c r="F51" s="2" t="s">
        <v>76</v>
      </c>
      <c r="G51">
        <v>80</v>
      </c>
      <c r="H51" t="s">
        <v>141</v>
      </c>
      <c r="I51">
        <v>393.16239316239307</v>
      </c>
      <c r="J51">
        <v>4.9333333333333336</v>
      </c>
      <c r="K51">
        <v>61.176470588235297</v>
      </c>
      <c r="L51">
        <v>3.018039215686275</v>
      </c>
      <c r="M51">
        <v>38.823529411764703</v>
      </c>
      <c r="N51">
        <v>85.747170535200453</v>
      </c>
      <c r="O51" t="s">
        <v>141</v>
      </c>
      <c r="P51">
        <v>1.7046537502397849</v>
      </c>
      <c r="Q51" t="s">
        <v>141</v>
      </c>
      <c r="R51">
        <v>1.988</v>
      </c>
      <c r="S51">
        <v>0</v>
      </c>
      <c r="T51">
        <v>37.762002499999987</v>
      </c>
      <c r="U51">
        <v>31.4</v>
      </c>
      <c r="V51" t="s">
        <v>141</v>
      </c>
    </row>
    <row r="52" spans="1:22" x14ac:dyDescent="0.2">
      <c r="A52">
        <v>50</v>
      </c>
      <c r="B52">
        <v>6</v>
      </c>
      <c r="C52">
        <v>5</v>
      </c>
      <c r="D52">
        <v>37</v>
      </c>
      <c r="E52" s="2" t="s">
        <v>87</v>
      </c>
      <c r="F52" s="2" t="s">
        <v>88</v>
      </c>
      <c r="G52" t="s">
        <v>141</v>
      </c>
      <c r="H52">
        <v>55</v>
      </c>
      <c r="I52" t="s">
        <v>141</v>
      </c>
      <c r="J52">
        <v>7.5333333333333341</v>
      </c>
      <c r="K52">
        <v>51.252992817238628</v>
      </c>
      <c r="L52">
        <v>3.8610587922319768</v>
      </c>
      <c r="M52">
        <v>48.747007182761372</v>
      </c>
      <c r="N52" t="s">
        <v>141</v>
      </c>
      <c r="O52">
        <v>74.23971377459749</v>
      </c>
      <c r="P52" t="s">
        <v>141</v>
      </c>
      <c r="Q52">
        <v>0.31576624925462132</v>
      </c>
      <c r="R52">
        <v>0</v>
      </c>
      <c r="S52">
        <v>0.42533333333333329</v>
      </c>
      <c r="T52" t="s">
        <v>141</v>
      </c>
      <c r="U52" t="s">
        <v>141</v>
      </c>
      <c r="V52">
        <v>176.7</v>
      </c>
    </row>
    <row r="53" spans="1:22" x14ac:dyDescent="0.2">
      <c r="A53">
        <v>51</v>
      </c>
      <c r="B53">
        <v>6</v>
      </c>
      <c r="C53">
        <v>6</v>
      </c>
      <c r="D53">
        <v>36</v>
      </c>
      <c r="E53" s="2" t="s">
        <v>85</v>
      </c>
      <c r="F53" s="2" t="s">
        <v>86</v>
      </c>
      <c r="G53">
        <v>105</v>
      </c>
      <c r="H53">
        <v>65</v>
      </c>
      <c r="I53">
        <v>119.6581196581196</v>
      </c>
      <c r="J53">
        <v>7.2666666666666666</v>
      </c>
      <c r="K53">
        <v>55.944123314065507</v>
      </c>
      <c r="L53">
        <v>4.0652729608220932</v>
      </c>
      <c r="M53">
        <v>44.055876685934493</v>
      </c>
      <c r="N53">
        <v>84.081028581999817</v>
      </c>
      <c r="O53">
        <v>80.402965215738448</v>
      </c>
      <c r="P53">
        <v>0.42264730367218578</v>
      </c>
      <c r="Q53">
        <v>0.38915035164417411</v>
      </c>
      <c r="R53">
        <v>0.50266666666666671</v>
      </c>
      <c r="S53">
        <v>0.48399999999999999</v>
      </c>
      <c r="T53">
        <v>43.615804999999988</v>
      </c>
      <c r="U53">
        <v>39.5</v>
      </c>
      <c r="V53">
        <v>159</v>
      </c>
    </row>
    <row r="54" spans="1:22" x14ac:dyDescent="0.2">
      <c r="A54">
        <v>52</v>
      </c>
      <c r="B54">
        <v>6</v>
      </c>
      <c r="C54">
        <v>7</v>
      </c>
      <c r="D54">
        <v>39</v>
      </c>
      <c r="E54" s="2" t="s">
        <v>91</v>
      </c>
      <c r="F54" s="2" t="s">
        <v>92</v>
      </c>
      <c r="G54">
        <v>110</v>
      </c>
      <c r="H54">
        <v>60</v>
      </c>
      <c r="I54">
        <v>128.2051282051282</v>
      </c>
      <c r="J54">
        <v>9.7333333333333325</v>
      </c>
      <c r="K54">
        <v>54.294117647058833</v>
      </c>
      <c r="L54">
        <v>5.2846274509803921</v>
      </c>
      <c r="M54">
        <v>45.705882352941167</v>
      </c>
      <c r="N54">
        <v>83.392499838636795</v>
      </c>
      <c r="O54">
        <v>75.075367110765342</v>
      </c>
      <c r="P54">
        <v>0.26796789948148619</v>
      </c>
      <c r="Q54">
        <v>0.28328438523128779</v>
      </c>
      <c r="R54">
        <v>0.32133333333333342</v>
      </c>
      <c r="S54">
        <v>0.3773333333333333</v>
      </c>
      <c r="T54" t="s">
        <v>141</v>
      </c>
      <c r="U54">
        <v>50.600000000000009</v>
      </c>
      <c r="V54">
        <v>171.8</v>
      </c>
    </row>
    <row r="55" spans="1:22" x14ac:dyDescent="0.2">
      <c r="A55">
        <v>53</v>
      </c>
      <c r="B55">
        <v>6</v>
      </c>
      <c r="C55">
        <v>8</v>
      </c>
      <c r="D55">
        <v>44</v>
      </c>
      <c r="E55" s="2" t="s">
        <v>101</v>
      </c>
      <c r="F55" s="2" t="s">
        <v>102</v>
      </c>
      <c r="G55">
        <v>75</v>
      </c>
      <c r="H55">
        <v>60</v>
      </c>
      <c r="I55">
        <v>170.9401709401709</v>
      </c>
      <c r="J55">
        <v>8.8000000000000007</v>
      </c>
      <c r="K55">
        <v>53.554266777133392</v>
      </c>
      <c r="L55">
        <v>4.7127754763877387</v>
      </c>
      <c r="M55">
        <v>46.445733222866608</v>
      </c>
      <c r="N55">
        <v>83.544762595143169</v>
      </c>
      <c r="O55">
        <v>78.53733225254436</v>
      </c>
      <c r="P55">
        <v>0.31524223752567349</v>
      </c>
      <c r="Q55">
        <v>0.33718694647092379</v>
      </c>
      <c r="R55">
        <v>0.3773333333333333</v>
      </c>
      <c r="S55">
        <v>0.42933333333333329</v>
      </c>
      <c r="T55" t="s">
        <v>141</v>
      </c>
      <c r="U55">
        <v>31.9</v>
      </c>
      <c r="V55">
        <v>179.9</v>
      </c>
    </row>
    <row r="56" spans="1:22" x14ac:dyDescent="0.2">
      <c r="A56">
        <v>54</v>
      </c>
      <c r="B56">
        <v>6</v>
      </c>
      <c r="C56">
        <v>9</v>
      </c>
      <c r="D56">
        <v>42</v>
      </c>
      <c r="E56" s="2" t="s">
        <v>97</v>
      </c>
      <c r="F56" s="2" t="s">
        <v>98</v>
      </c>
      <c r="G56">
        <v>115</v>
      </c>
      <c r="H56">
        <v>65</v>
      </c>
      <c r="I56">
        <v>205.12820512820511</v>
      </c>
      <c r="J56">
        <v>6.6000000000000014</v>
      </c>
      <c r="K56">
        <v>56.243902439024403</v>
      </c>
      <c r="L56">
        <v>3.7120975609756099</v>
      </c>
      <c r="M56">
        <v>43.756097560975597</v>
      </c>
      <c r="N56">
        <v>84.410709817332545</v>
      </c>
      <c r="O56">
        <v>82.350666924415236</v>
      </c>
      <c r="P56">
        <v>0.5942513971140212</v>
      </c>
      <c r="Q56">
        <v>0.3305006765899865</v>
      </c>
      <c r="R56">
        <v>0.70400000000000007</v>
      </c>
      <c r="S56">
        <v>0.40133333333333332</v>
      </c>
      <c r="T56" t="s">
        <v>141</v>
      </c>
      <c r="U56">
        <v>40.9</v>
      </c>
      <c r="V56">
        <v>183.9</v>
      </c>
    </row>
    <row r="57" spans="1:22" x14ac:dyDescent="0.2">
      <c r="A57">
        <v>55</v>
      </c>
      <c r="B57">
        <v>7</v>
      </c>
      <c r="C57">
        <v>1</v>
      </c>
      <c r="D57">
        <v>27</v>
      </c>
      <c r="E57" s="2" t="s">
        <v>79</v>
      </c>
      <c r="F57" s="2" t="s">
        <v>80</v>
      </c>
      <c r="G57">
        <v>115</v>
      </c>
      <c r="H57" t="s">
        <v>141</v>
      </c>
      <c r="I57">
        <v>282.05128205128199</v>
      </c>
      <c r="J57">
        <v>7.7999999999999989</v>
      </c>
      <c r="K57">
        <v>68.755319148936181</v>
      </c>
      <c r="L57">
        <v>5.3629148936170212</v>
      </c>
      <c r="M57">
        <v>31.244680851063819</v>
      </c>
      <c r="N57">
        <v>85.130936529072358</v>
      </c>
      <c r="O57" t="s">
        <v>141</v>
      </c>
      <c r="P57">
        <v>1.9727675691670361</v>
      </c>
      <c r="Q57" t="s">
        <v>141</v>
      </c>
      <c r="R57">
        <v>2.317333333333333</v>
      </c>
      <c r="S57">
        <v>0</v>
      </c>
      <c r="T57">
        <v>47.510150000000003</v>
      </c>
      <c r="U57">
        <v>41.2</v>
      </c>
      <c r="V57" t="s">
        <v>141</v>
      </c>
    </row>
    <row r="58" spans="1:22" x14ac:dyDescent="0.2">
      <c r="A58">
        <v>56</v>
      </c>
      <c r="B58">
        <v>7</v>
      </c>
      <c r="C58">
        <v>2</v>
      </c>
      <c r="D58">
        <v>39</v>
      </c>
      <c r="E58" s="2" t="s">
        <v>91</v>
      </c>
      <c r="F58" s="2" t="s">
        <v>92</v>
      </c>
      <c r="G58">
        <v>100</v>
      </c>
      <c r="H58">
        <v>65</v>
      </c>
      <c r="I58">
        <v>145.29914529914529</v>
      </c>
      <c r="J58">
        <v>10.733333333333331</v>
      </c>
      <c r="K58">
        <v>54.294117647058833</v>
      </c>
      <c r="L58">
        <v>5.8275686274509813</v>
      </c>
      <c r="M58">
        <v>45.705882352941167</v>
      </c>
      <c r="N58">
        <v>84.165344779322567</v>
      </c>
      <c r="O58">
        <v>79.939668174962293</v>
      </c>
      <c r="P58">
        <v>0.30860626419084952</v>
      </c>
      <c r="Q58">
        <v>0.13429864253393661</v>
      </c>
      <c r="R58">
        <v>0.3666666666666667</v>
      </c>
      <c r="S58">
        <v>0.16800000000000001</v>
      </c>
      <c r="T58" t="s">
        <v>141</v>
      </c>
      <c r="U58">
        <v>41.199999999999989</v>
      </c>
      <c r="V58">
        <v>156.1</v>
      </c>
    </row>
    <row r="59" spans="1:22" x14ac:dyDescent="0.2">
      <c r="A59">
        <v>57</v>
      </c>
      <c r="B59">
        <v>7</v>
      </c>
      <c r="C59">
        <v>3</v>
      </c>
      <c r="D59">
        <v>21</v>
      </c>
      <c r="E59" s="2" t="s">
        <v>67</v>
      </c>
      <c r="F59" s="2" t="s">
        <v>68</v>
      </c>
      <c r="G59" t="s">
        <v>141</v>
      </c>
      <c r="H59">
        <v>60</v>
      </c>
      <c r="I59" t="s">
        <v>141</v>
      </c>
      <c r="J59">
        <v>7.5333333333333341</v>
      </c>
      <c r="K59">
        <v>51.545842217484008</v>
      </c>
      <c r="L59">
        <v>3.883120113717129</v>
      </c>
      <c r="M59">
        <v>48.454157782515992</v>
      </c>
      <c r="N59" t="s">
        <v>141</v>
      </c>
      <c r="O59">
        <v>76.946658491722857</v>
      </c>
      <c r="P59" t="s">
        <v>141</v>
      </c>
      <c r="Q59">
        <v>0.24315144083384421</v>
      </c>
      <c r="R59">
        <v>0</v>
      </c>
      <c r="S59">
        <v>0.31599999999999989</v>
      </c>
      <c r="T59" t="s">
        <v>141</v>
      </c>
      <c r="U59" t="s">
        <v>141</v>
      </c>
      <c r="V59">
        <v>159.80000000000001</v>
      </c>
    </row>
    <row r="60" spans="1:22" x14ac:dyDescent="0.2">
      <c r="A60">
        <v>58</v>
      </c>
      <c r="B60">
        <v>7</v>
      </c>
      <c r="C60">
        <v>4</v>
      </c>
      <c r="D60">
        <v>23</v>
      </c>
      <c r="E60" s="2" t="s">
        <v>71</v>
      </c>
      <c r="F60" s="2" t="s">
        <v>72</v>
      </c>
      <c r="G60">
        <v>105</v>
      </c>
      <c r="H60" t="s">
        <v>141</v>
      </c>
      <c r="I60">
        <v>264.95726495726501</v>
      </c>
      <c r="J60">
        <v>5.3999999999999986</v>
      </c>
      <c r="K60">
        <v>72.186274509803923</v>
      </c>
      <c r="L60">
        <v>3.898058823529412</v>
      </c>
      <c r="M60">
        <v>27.813725490196081</v>
      </c>
      <c r="N60">
        <v>85.546522131887983</v>
      </c>
      <c r="O60" t="s">
        <v>141</v>
      </c>
      <c r="P60">
        <v>2.589208069858477</v>
      </c>
      <c r="Q60" t="s">
        <v>141</v>
      </c>
      <c r="R60">
        <v>3.0266666666666668</v>
      </c>
      <c r="S60">
        <v>0</v>
      </c>
      <c r="T60">
        <v>48.124399999999987</v>
      </c>
      <c r="U60">
        <v>33.5</v>
      </c>
      <c r="V60" t="s">
        <v>141</v>
      </c>
    </row>
    <row r="61" spans="1:22" x14ac:dyDescent="0.2">
      <c r="A61">
        <v>59</v>
      </c>
      <c r="B61">
        <v>7</v>
      </c>
      <c r="C61">
        <v>5</v>
      </c>
      <c r="D61">
        <v>30</v>
      </c>
      <c r="E61" s="2" t="s">
        <v>81</v>
      </c>
      <c r="F61" s="2" t="s">
        <v>82</v>
      </c>
      <c r="G61">
        <v>70</v>
      </c>
      <c r="H61">
        <v>60</v>
      </c>
      <c r="I61">
        <v>188.03418803418799</v>
      </c>
      <c r="J61">
        <v>7.7999999999999989</v>
      </c>
      <c r="K61">
        <v>54.174454828660437</v>
      </c>
      <c r="L61">
        <v>4.2256074766355143</v>
      </c>
      <c r="M61">
        <v>45.825545171339563</v>
      </c>
      <c r="N61">
        <v>83.998580805392947</v>
      </c>
      <c r="O61">
        <v>80.559575494452488</v>
      </c>
      <c r="P61">
        <v>0.3606339069244871</v>
      </c>
      <c r="Q61">
        <v>0.70785013667792251</v>
      </c>
      <c r="R61">
        <v>0.42933333333333329</v>
      </c>
      <c r="S61">
        <v>0.87866666666666671</v>
      </c>
      <c r="T61" t="s">
        <v>141</v>
      </c>
      <c r="U61">
        <v>32.799999999999997</v>
      </c>
      <c r="V61">
        <v>175.4</v>
      </c>
    </row>
    <row r="62" spans="1:22" x14ac:dyDescent="0.2">
      <c r="A62">
        <v>60</v>
      </c>
      <c r="B62">
        <v>7</v>
      </c>
      <c r="C62">
        <v>6</v>
      </c>
      <c r="D62">
        <v>42</v>
      </c>
      <c r="E62" s="2" t="s">
        <v>97</v>
      </c>
      <c r="F62" s="2" t="s">
        <v>98</v>
      </c>
      <c r="G62">
        <v>110</v>
      </c>
      <c r="H62">
        <v>70</v>
      </c>
      <c r="I62">
        <v>153.84615384615381</v>
      </c>
      <c r="J62">
        <v>8.2666666666666657</v>
      </c>
      <c r="K62">
        <v>56.243902439024403</v>
      </c>
      <c r="L62">
        <v>4.6494959349593499</v>
      </c>
      <c r="M62">
        <v>43.756097560975597</v>
      </c>
      <c r="N62">
        <v>84.531550508288305</v>
      </c>
      <c r="O62">
        <v>81.717977955150133</v>
      </c>
      <c r="P62">
        <v>0.93999084165216584</v>
      </c>
      <c r="Q62">
        <v>0.47178512606106671</v>
      </c>
      <c r="R62">
        <v>1.1120000000000001</v>
      </c>
      <c r="S62">
        <v>0.57733333333333325</v>
      </c>
      <c r="T62" t="s">
        <v>141</v>
      </c>
      <c r="U62">
        <v>41.7</v>
      </c>
      <c r="V62">
        <v>169.1</v>
      </c>
    </row>
    <row r="63" spans="1:22" x14ac:dyDescent="0.2">
      <c r="A63">
        <v>61</v>
      </c>
      <c r="B63">
        <v>7</v>
      </c>
      <c r="C63">
        <v>7</v>
      </c>
      <c r="D63">
        <v>43</v>
      </c>
      <c r="E63" s="2" t="s">
        <v>99</v>
      </c>
      <c r="F63" s="2" t="s">
        <v>100</v>
      </c>
      <c r="G63">
        <v>65</v>
      </c>
      <c r="H63">
        <v>55</v>
      </c>
      <c r="I63">
        <v>282.05128205128199</v>
      </c>
      <c r="J63">
        <v>9.4666666666666668</v>
      </c>
      <c r="K63">
        <v>56.628216503992903</v>
      </c>
      <c r="L63">
        <v>5.3608044957113279</v>
      </c>
      <c r="M63">
        <v>43.371783496007097</v>
      </c>
      <c r="N63">
        <v>82.776112520175232</v>
      </c>
      <c r="O63">
        <v>78.268603616958202</v>
      </c>
      <c r="P63">
        <v>0.22956575205595259</v>
      </c>
      <c r="Q63">
        <v>0.27446190335013337</v>
      </c>
      <c r="R63">
        <v>0.27733333333333332</v>
      </c>
      <c r="S63">
        <v>0.35066666666666668</v>
      </c>
      <c r="T63" t="s">
        <v>141</v>
      </c>
      <c r="U63">
        <v>33.299999999999997</v>
      </c>
      <c r="V63">
        <v>152.4</v>
      </c>
    </row>
    <row r="64" spans="1:22" x14ac:dyDescent="0.2">
      <c r="A64">
        <v>62</v>
      </c>
      <c r="B64">
        <v>7</v>
      </c>
      <c r="C64">
        <v>8</v>
      </c>
      <c r="D64">
        <v>37</v>
      </c>
      <c r="E64" s="2" t="s">
        <v>87</v>
      </c>
      <c r="F64" s="2" t="s">
        <v>88</v>
      </c>
      <c r="G64" t="s">
        <v>141</v>
      </c>
      <c r="H64">
        <v>50</v>
      </c>
      <c r="I64" t="s">
        <v>141</v>
      </c>
      <c r="J64">
        <v>8.1333333333333329</v>
      </c>
      <c r="K64">
        <v>51.252992817238628</v>
      </c>
      <c r="L64">
        <v>4.1685767491354087</v>
      </c>
      <c r="M64">
        <v>48.747007182761372</v>
      </c>
      <c r="N64" t="s">
        <v>141</v>
      </c>
      <c r="O64">
        <v>79.028697571743933</v>
      </c>
      <c r="P64" t="s">
        <v>141</v>
      </c>
      <c r="Q64">
        <v>8.2189845474613693E-2</v>
      </c>
      <c r="R64">
        <v>0</v>
      </c>
      <c r="S64">
        <v>0.104</v>
      </c>
      <c r="T64" t="s">
        <v>141</v>
      </c>
      <c r="U64" t="s">
        <v>141</v>
      </c>
      <c r="V64">
        <v>148.9</v>
      </c>
    </row>
    <row r="65" spans="1:22" x14ac:dyDescent="0.2">
      <c r="A65">
        <v>63</v>
      </c>
      <c r="B65">
        <v>7</v>
      </c>
      <c r="C65">
        <v>9</v>
      </c>
      <c r="D65">
        <v>25</v>
      </c>
      <c r="E65" s="2" t="s">
        <v>75</v>
      </c>
      <c r="F65" s="2" t="s">
        <v>76</v>
      </c>
      <c r="G65">
        <v>75</v>
      </c>
      <c r="H65" t="s">
        <v>141</v>
      </c>
      <c r="I65">
        <v>247.86324786324781</v>
      </c>
      <c r="J65">
        <v>4.1333333333333329</v>
      </c>
      <c r="K65">
        <v>61.176470588235297</v>
      </c>
      <c r="L65">
        <v>2.5286274509803919</v>
      </c>
      <c r="M65">
        <v>38.823529411764703</v>
      </c>
      <c r="N65">
        <v>88.155075004870454</v>
      </c>
      <c r="O65" t="s">
        <v>141</v>
      </c>
      <c r="P65">
        <v>2.2438405091239688</v>
      </c>
      <c r="Q65" t="s">
        <v>141</v>
      </c>
      <c r="R65">
        <v>2.5453333333333328</v>
      </c>
      <c r="S65">
        <v>0</v>
      </c>
      <c r="T65">
        <v>42.741522499999988</v>
      </c>
      <c r="U65">
        <v>24.3</v>
      </c>
      <c r="V65" t="s">
        <v>141</v>
      </c>
    </row>
    <row r="66" spans="1:22" x14ac:dyDescent="0.2">
      <c r="A66">
        <v>64</v>
      </c>
      <c r="B66">
        <v>8</v>
      </c>
      <c r="C66">
        <v>1</v>
      </c>
      <c r="D66">
        <v>22</v>
      </c>
      <c r="E66" s="2" t="s">
        <v>69</v>
      </c>
      <c r="F66" s="2" t="s">
        <v>70</v>
      </c>
      <c r="G66">
        <v>85</v>
      </c>
      <c r="H66" t="s">
        <v>141</v>
      </c>
      <c r="I66">
        <v>333.33333333333331</v>
      </c>
      <c r="J66">
        <v>4.9333333333333336</v>
      </c>
      <c r="K66">
        <v>78.679245283018858</v>
      </c>
      <c r="L66">
        <v>3.8815094339622642</v>
      </c>
      <c r="M66">
        <v>21.320754716981138</v>
      </c>
      <c r="N66">
        <v>85.330597780471891</v>
      </c>
      <c r="O66" t="s">
        <v>141</v>
      </c>
      <c r="P66">
        <v>2.419975753054183</v>
      </c>
      <c r="Q66" t="s">
        <v>141</v>
      </c>
      <c r="R66">
        <v>2.835999999999999</v>
      </c>
      <c r="S66">
        <v>0</v>
      </c>
      <c r="T66">
        <v>40.726782499999999</v>
      </c>
      <c r="U66">
        <v>32.799999999999997</v>
      </c>
      <c r="V66" t="s">
        <v>141</v>
      </c>
    </row>
    <row r="67" spans="1:22" x14ac:dyDescent="0.2">
      <c r="A67">
        <v>65</v>
      </c>
      <c r="B67">
        <v>8</v>
      </c>
      <c r="C67">
        <v>2</v>
      </c>
      <c r="D67">
        <v>38</v>
      </c>
      <c r="E67" s="2" t="s">
        <v>89</v>
      </c>
      <c r="F67" s="2" t="s">
        <v>90</v>
      </c>
      <c r="G67" t="s">
        <v>141</v>
      </c>
      <c r="H67">
        <v>50</v>
      </c>
      <c r="I67" t="s">
        <v>141</v>
      </c>
      <c r="J67">
        <v>7.4666666666666659</v>
      </c>
      <c r="K67">
        <v>55.784946236559144</v>
      </c>
      <c r="L67">
        <v>4.1652759856630821</v>
      </c>
      <c r="M67">
        <v>44.215053763440856</v>
      </c>
      <c r="N67" t="s">
        <v>141</v>
      </c>
      <c r="O67">
        <v>64.136935450608362</v>
      </c>
      <c r="P67" t="s">
        <v>141</v>
      </c>
      <c r="Q67">
        <v>0.1667560321715818</v>
      </c>
      <c r="R67">
        <v>0</v>
      </c>
      <c r="S67">
        <v>0.26</v>
      </c>
      <c r="T67" t="s">
        <v>141</v>
      </c>
      <c r="U67" t="s">
        <v>141</v>
      </c>
      <c r="V67">
        <v>202.5</v>
      </c>
    </row>
    <row r="68" spans="1:22" x14ac:dyDescent="0.2">
      <c r="A68">
        <v>66</v>
      </c>
      <c r="B68">
        <v>8</v>
      </c>
      <c r="C68">
        <v>3</v>
      </c>
      <c r="D68">
        <v>24</v>
      </c>
      <c r="E68" s="2" t="s">
        <v>73</v>
      </c>
      <c r="F68" s="2" t="s">
        <v>74</v>
      </c>
      <c r="G68">
        <v>110</v>
      </c>
      <c r="H68" t="s">
        <v>141</v>
      </c>
      <c r="I68">
        <v>299.14529914529908</v>
      </c>
      <c r="J68">
        <v>5.8</v>
      </c>
      <c r="K68">
        <v>73.610798650168732</v>
      </c>
      <c r="L68">
        <v>4.2694263217097861</v>
      </c>
      <c r="M68">
        <v>26.389201349831271</v>
      </c>
      <c r="N68">
        <v>85.137085137085151</v>
      </c>
      <c r="O68" t="s">
        <v>141</v>
      </c>
      <c r="P68">
        <v>1.8298797498797501</v>
      </c>
      <c r="Q68" t="s">
        <v>141</v>
      </c>
      <c r="R68">
        <v>2.1493333333333329</v>
      </c>
      <c r="S68">
        <v>0</v>
      </c>
      <c r="T68">
        <v>44.569940000000003</v>
      </c>
      <c r="U68">
        <v>40.5</v>
      </c>
      <c r="V68" t="s">
        <v>141</v>
      </c>
    </row>
    <row r="69" spans="1:22" x14ac:dyDescent="0.2">
      <c r="A69">
        <v>67</v>
      </c>
      <c r="B69">
        <v>8</v>
      </c>
      <c r="C69">
        <v>4</v>
      </c>
      <c r="D69">
        <v>36</v>
      </c>
      <c r="E69" s="2" t="s">
        <v>85</v>
      </c>
      <c r="F69" s="2" t="s">
        <v>86</v>
      </c>
      <c r="G69">
        <v>110</v>
      </c>
      <c r="H69">
        <v>60</v>
      </c>
      <c r="I69">
        <v>256.41025641025641</v>
      </c>
      <c r="J69">
        <v>9.2000000000000011</v>
      </c>
      <c r="K69">
        <v>55.944123314065507</v>
      </c>
      <c r="L69">
        <v>5.1468593448940272</v>
      </c>
      <c r="M69">
        <v>44.055876685934493</v>
      </c>
      <c r="N69">
        <v>82.87041253073491</v>
      </c>
      <c r="O69">
        <v>77.173913043478251</v>
      </c>
      <c r="P69">
        <v>0.58119782654888752</v>
      </c>
      <c r="Q69">
        <v>0.37866666666666671</v>
      </c>
      <c r="R69">
        <v>0.70133333333333336</v>
      </c>
      <c r="S69">
        <v>0.4906666666666667</v>
      </c>
      <c r="T69">
        <v>46.230462499999987</v>
      </c>
      <c r="U69">
        <v>40.799999999999997</v>
      </c>
      <c r="V69">
        <v>173.4</v>
      </c>
    </row>
    <row r="70" spans="1:22" x14ac:dyDescent="0.2">
      <c r="A70">
        <v>68</v>
      </c>
      <c r="B70">
        <v>8</v>
      </c>
      <c r="C70">
        <v>5</v>
      </c>
      <c r="D70">
        <v>41</v>
      </c>
      <c r="E70" s="2" t="s">
        <v>95</v>
      </c>
      <c r="F70" s="2" t="s">
        <v>96</v>
      </c>
      <c r="G70">
        <v>105</v>
      </c>
      <c r="H70">
        <v>55</v>
      </c>
      <c r="I70">
        <v>196.58119658119659</v>
      </c>
      <c r="J70">
        <v>6.6000000000000014</v>
      </c>
      <c r="K70">
        <v>58.284982935153593</v>
      </c>
      <c r="L70">
        <v>3.8468088737201378</v>
      </c>
      <c r="M70">
        <v>41.715017064846407</v>
      </c>
      <c r="N70">
        <v>83.554125662376975</v>
      </c>
      <c r="O70">
        <v>78.87106127972163</v>
      </c>
      <c r="P70">
        <v>1.160845319202624</v>
      </c>
      <c r="Q70">
        <v>0.36596172433790841</v>
      </c>
      <c r="R70">
        <v>1.3893333333333331</v>
      </c>
      <c r="S70">
        <v>0.46400000000000002</v>
      </c>
      <c r="T70">
        <v>47.731279999999998</v>
      </c>
      <c r="U70">
        <v>36.5</v>
      </c>
      <c r="V70">
        <v>170.1</v>
      </c>
    </row>
    <row r="71" spans="1:22" x14ac:dyDescent="0.2">
      <c r="A71">
        <v>69</v>
      </c>
      <c r="B71">
        <v>8</v>
      </c>
      <c r="C71">
        <v>6</v>
      </c>
      <c r="D71">
        <v>26</v>
      </c>
      <c r="E71" s="2" t="s">
        <v>77</v>
      </c>
      <c r="F71" s="2" t="s">
        <v>78</v>
      </c>
      <c r="G71">
        <v>115</v>
      </c>
      <c r="H71" t="s">
        <v>141</v>
      </c>
      <c r="I71">
        <v>239.31623931623929</v>
      </c>
      <c r="J71">
        <v>5.1333333333333329</v>
      </c>
      <c r="K71">
        <v>77.03923900118906</v>
      </c>
      <c r="L71">
        <v>3.954680935394371</v>
      </c>
      <c r="M71">
        <v>22.96076099881094</v>
      </c>
      <c r="N71">
        <v>85.983187134502927</v>
      </c>
      <c r="O71" t="s">
        <v>141</v>
      </c>
      <c r="P71">
        <v>3.3143652534113062</v>
      </c>
      <c r="Q71" t="s">
        <v>141</v>
      </c>
      <c r="R71">
        <v>3.8546666666666671</v>
      </c>
      <c r="S71">
        <v>0</v>
      </c>
      <c r="T71">
        <v>47.811132499999992</v>
      </c>
      <c r="U71">
        <v>35.299999999999997</v>
      </c>
      <c r="V71" t="s">
        <v>141</v>
      </c>
    </row>
    <row r="72" spans="1:22" x14ac:dyDescent="0.2">
      <c r="A72">
        <v>70</v>
      </c>
      <c r="B72">
        <v>8</v>
      </c>
      <c r="C72">
        <v>7</v>
      </c>
      <c r="D72">
        <v>33</v>
      </c>
      <c r="E72" s="2" t="s">
        <v>83</v>
      </c>
      <c r="F72" s="2" t="s">
        <v>84</v>
      </c>
      <c r="G72">
        <v>105</v>
      </c>
      <c r="H72">
        <v>60</v>
      </c>
      <c r="I72">
        <v>162.39316239316241</v>
      </c>
      <c r="J72">
        <v>8.5333333333333332</v>
      </c>
      <c r="K72">
        <v>53.239308462238398</v>
      </c>
      <c r="L72">
        <v>4.5430876554443431</v>
      </c>
      <c r="M72">
        <v>46.760691537761602</v>
      </c>
      <c r="N72">
        <v>84.272678475577024</v>
      </c>
      <c r="O72">
        <v>81.93216055982117</v>
      </c>
      <c r="P72">
        <v>0.88317767042404727</v>
      </c>
      <c r="Q72">
        <v>0.39873651472446298</v>
      </c>
      <c r="R72">
        <v>1.048</v>
      </c>
      <c r="S72">
        <v>0.48666666666666658</v>
      </c>
      <c r="T72">
        <v>50.253799999999991</v>
      </c>
      <c r="U72">
        <v>41.3</v>
      </c>
      <c r="V72">
        <v>156.1</v>
      </c>
    </row>
    <row r="73" spans="1:22" x14ac:dyDescent="0.2">
      <c r="A73">
        <v>71</v>
      </c>
      <c r="B73">
        <v>8</v>
      </c>
      <c r="C73">
        <v>8</v>
      </c>
      <c r="D73">
        <v>44</v>
      </c>
      <c r="E73" s="2" t="s">
        <v>101</v>
      </c>
      <c r="F73" s="2" t="s">
        <v>102</v>
      </c>
      <c r="G73">
        <v>65</v>
      </c>
      <c r="H73">
        <v>60</v>
      </c>
      <c r="I73">
        <v>145.29914529914529</v>
      </c>
      <c r="J73">
        <v>5.8</v>
      </c>
      <c r="K73">
        <v>53.554266777133392</v>
      </c>
      <c r="L73">
        <v>3.1061474730737362</v>
      </c>
      <c r="M73">
        <v>46.445733222866608</v>
      </c>
      <c r="N73">
        <v>82.984531392174702</v>
      </c>
      <c r="O73">
        <v>77.094863578988253</v>
      </c>
      <c r="P73">
        <v>0.35628025477706998</v>
      </c>
      <c r="Q73">
        <v>0.32791015308929672</v>
      </c>
      <c r="R73">
        <v>0.42933333333333329</v>
      </c>
      <c r="S73">
        <v>0.42533333333333329</v>
      </c>
      <c r="T73" t="s">
        <v>141</v>
      </c>
      <c r="U73">
        <v>32.599999999999987</v>
      </c>
      <c r="V73">
        <v>195.8</v>
      </c>
    </row>
    <row r="74" spans="1:22" x14ac:dyDescent="0.2">
      <c r="A74">
        <v>72</v>
      </c>
      <c r="B74">
        <v>8</v>
      </c>
      <c r="C74">
        <v>9</v>
      </c>
      <c r="D74">
        <v>40</v>
      </c>
      <c r="E74" s="2" t="s">
        <v>93</v>
      </c>
      <c r="F74" s="2" t="s">
        <v>94</v>
      </c>
      <c r="G74">
        <v>95</v>
      </c>
      <c r="H74">
        <v>55</v>
      </c>
      <c r="I74">
        <v>205.12820512820511</v>
      </c>
      <c r="J74">
        <v>7.9333333333333336</v>
      </c>
      <c r="K74">
        <v>53.706530958439338</v>
      </c>
      <c r="L74">
        <v>4.2607181227028548</v>
      </c>
      <c r="M74">
        <v>46.293469041560662</v>
      </c>
      <c r="N74">
        <v>81.996434937611411</v>
      </c>
      <c r="O74">
        <v>74.419060692224733</v>
      </c>
      <c r="P74">
        <v>0.46464646464646459</v>
      </c>
      <c r="Q74">
        <v>0.58939896068241981</v>
      </c>
      <c r="R74">
        <v>0.56666666666666665</v>
      </c>
      <c r="S74">
        <v>0.79199999999999993</v>
      </c>
      <c r="T74">
        <v>45.737014999999992</v>
      </c>
      <c r="U74">
        <v>48.100000000000009</v>
      </c>
      <c r="V74">
        <v>196.6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5"/>
  <sheetViews>
    <sheetView tabSelected="1" workbookViewId="0">
      <selection activeCell="G33" sqref="G33"/>
    </sheetView>
  </sheetViews>
  <sheetFormatPr baseColWidth="10" defaultColWidth="8.83203125" defaultRowHeight="16" x14ac:dyDescent="0.2"/>
  <cols>
    <col min="1" max="1" width="12.6640625" bestFit="1" customWidth="1"/>
    <col min="2" max="2" width="21" bestFit="1" customWidth="1"/>
    <col min="3" max="4" width="24.6640625" bestFit="1" customWidth="1"/>
    <col min="5" max="5" width="22.1640625" bestFit="1" customWidth="1"/>
    <col min="6" max="6" width="25.6640625" bestFit="1" customWidth="1"/>
    <col min="7" max="7" width="18.6640625" bestFit="1" customWidth="1"/>
  </cols>
  <sheetData>
    <row r="1" spans="1:8" x14ac:dyDescent="0.2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2">
      <c r="A2" t="s">
        <v>150</v>
      </c>
      <c r="B2">
        <v>6.6109999999999998</v>
      </c>
      <c r="C2">
        <v>8.02</v>
      </c>
      <c r="D2">
        <v>7.3019999999999996</v>
      </c>
      <c r="H2" s="3"/>
    </row>
    <row r="3" spans="1:8" x14ac:dyDescent="0.2">
      <c r="A3" t="s">
        <v>151</v>
      </c>
      <c r="B3">
        <v>6.3819999999999997</v>
      </c>
      <c r="C3">
        <v>9.9030000000000005</v>
      </c>
      <c r="D3">
        <v>8.0544166666666666</v>
      </c>
      <c r="H3" s="3"/>
    </row>
    <row r="4" spans="1:8" x14ac:dyDescent="0.2">
      <c r="A4" t="s">
        <v>152</v>
      </c>
      <c r="B4">
        <v>7.87</v>
      </c>
      <c r="C4">
        <v>12.170999999999999</v>
      </c>
      <c r="D4">
        <v>9.9450833333333328</v>
      </c>
      <c r="E4">
        <v>30.25</v>
      </c>
      <c r="H4" s="3"/>
    </row>
    <row r="5" spans="1:8" x14ac:dyDescent="0.2">
      <c r="A5" t="s">
        <v>153</v>
      </c>
      <c r="B5">
        <v>4.6619999999999999</v>
      </c>
      <c r="C5">
        <v>9.4600000000000009</v>
      </c>
      <c r="D5">
        <v>8.039416666666666</v>
      </c>
      <c r="H5" s="3"/>
    </row>
    <row r="6" spans="1:8" x14ac:dyDescent="0.2">
      <c r="A6" t="s">
        <v>154</v>
      </c>
      <c r="B6">
        <v>4.8440000000000003</v>
      </c>
      <c r="C6">
        <v>9.5830000000000002</v>
      </c>
      <c r="D6">
        <v>6.5748333333333333</v>
      </c>
      <c r="E6">
        <v>8.77</v>
      </c>
      <c r="H6" s="3"/>
    </row>
    <row r="7" spans="1:8" x14ac:dyDescent="0.2">
      <c r="A7" t="s">
        <v>155</v>
      </c>
      <c r="B7">
        <v>2.956</v>
      </c>
      <c r="C7">
        <v>6.7880000000000003</v>
      </c>
      <c r="D7">
        <v>5.2675833333333344</v>
      </c>
      <c r="H7" s="3"/>
    </row>
    <row r="8" spans="1:8" x14ac:dyDescent="0.2">
      <c r="A8" t="s">
        <v>156</v>
      </c>
      <c r="B8">
        <v>-0.93</v>
      </c>
      <c r="C8">
        <v>4.5060000000000002</v>
      </c>
      <c r="D8">
        <v>1.9585833333333329</v>
      </c>
      <c r="H8" s="3"/>
    </row>
    <row r="9" spans="1:8" x14ac:dyDescent="0.2">
      <c r="A9" t="s">
        <v>157</v>
      </c>
      <c r="B9">
        <v>-5.76</v>
      </c>
      <c r="C9">
        <v>-0.19900000000000001</v>
      </c>
      <c r="D9">
        <v>-2.1580833333333329</v>
      </c>
      <c r="H9" s="3"/>
    </row>
    <row r="10" spans="1:8" x14ac:dyDescent="0.2">
      <c r="A10" t="s">
        <v>158</v>
      </c>
      <c r="B10">
        <v>-6.7380000000000004</v>
      </c>
      <c r="C10">
        <v>-0.11600000000000001</v>
      </c>
      <c r="D10">
        <v>-4.4040833333333333</v>
      </c>
      <c r="H10" s="3"/>
    </row>
    <row r="11" spans="1:8" x14ac:dyDescent="0.2">
      <c r="A11" t="s">
        <v>159</v>
      </c>
      <c r="B11">
        <v>-7.09</v>
      </c>
      <c r="C11">
        <v>-1.242</v>
      </c>
      <c r="D11">
        <v>-5.2637499999999999</v>
      </c>
      <c r="H11" s="3"/>
    </row>
    <row r="12" spans="1:8" x14ac:dyDescent="0.2">
      <c r="A12" t="s">
        <v>160</v>
      </c>
      <c r="B12">
        <v>-6.8339999999999996</v>
      </c>
      <c r="C12">
        <v>1.9670000000000001</v>
      </c>
      <c r="D12">
        <v>-3.187666666666666</v>
      </c>
      <c r="H12" s="3"/>
    </row>
    <row r="13" spans="1:8" x14ac:dyDescent="0.2">
      <c r="A13" t="s">
        <v>161</v>
      </c>
      <c r="B13">
        <v>-0.42299999999999999</v>
      </c>
      <c r="C13">
        <v>0.55000000000000004</v>
      </c>
      <c r="D13">
        <v>0.13875000000000001</v>
      </c>
      <c r="H13" s="3"/>
    </row>
    <row r="14" spans="1:8" x14ac:dyDescent="0.2">
      <c r="A14" t="s">
        <v>162</v>
      </c>
      <c r="B14">
        <v>-0.39500000000000002</v>
      </c>
      <c r="C14">
        <v>1.044</v>
      </c>
      <c r="D14">
        <v>0.22775000000000001</v>
      </c>
      <c r="H14" s="3"/>
    </row>
    <row r="15" spans="1:8" x14ac:dyDescent="0.2">
      <c r="A15" t="s">
        <v>163</v>
      </c>
      <c r="B15">
        <v>-1.8140000000000001</v>
      </c>
      <c r="C15">
        <v>-8.7999999999999995E-2</v>
      </c>
      <c r="D15">
        <v>-0.80274999999999996</v>
      </c>
      <c r="H15" s="3"/>
    </row>
    <row r="16" spans="1:8" x14ac:dyDescent="0.2">
      <c r="A16" t="s">
        <v>164</v>
      </c>
      <c r="B16">
        <v>-2.218</v>
      </c>
      <c r="C16">
        <v>2.343</v>
      </c>
      <c r="D16">
        <v>-4.1083333333333472E-2</v>
      </c>
      <c r="E16">
        <v>0.85</v>
      </c>
      <c r="H16" s="3"/>
    </row>
    <row r="17" spans="1:8" x14ac:dyDescent="0.2">
      <c r="A17" t="s">
        <v>165</v>
      </c>
      <c r="B17">
        <v>-4.4390000000000001</v>
      </c>
      <c r="C17">
        <v>2.3959999999999999</v>
      </c>
      <c r="D17">
        <v>-0.25533333333333341</v>
      </c>
      <c r="H17" s="3"/>
    </row>
    <row r="18" spans="1:8" x14ac:dyDescent="0.2">
      <c r="A18" t="s">
        <v>166</v>
      </c>
      <c r="B18">
        <v>-6.61</v>
      </c>
      <c r="C18">
        <v>0.13500000000000001</v>
      </c>
      <c r="D18">
        <v>-3.0270000000000001</v>
      </c>
      <c r="H18" s="3"/>
    </row>
    <row r="19" spans="1:8" x14ac:dyDescent="0.2">
      <c r="A19" t="s">
        <v>167</v>
      </c>
      <c r="B19">
        <v>-2.363</v>
      </c>
      <c r="C19">
        <v>0.41199999999999998</v>
      </c>
      <c r="D19">
        <v>-0.82250000000000012</v>
      </c>
      <c r="E19">
        <v>17.7</v>
      </c>
      <c r="H19" s="3"/>
    </row>
    <row r="20" spans="1:8" x14ac:dyDescent="0.2">
      <c r="A20" t="s">
        <v>168</v>
      </c>
      <c r="B20">
        <v>-10.301</v>
      </c>
      <c r="C20">
        <v>-0.06</v>
      </c>
      <c r="D20">
        <v>-4.5963333333333347</v>
      </c>
      <c r="H20" s="3"/>
    </row>
    <row r="21" spans="1:8" x14ac:dyDescent="0.2">
      <c r="A21" t="s">
        <v>169</v>
      </c>
      <c r="B21">
        <v>-6.9619999999999997</v>
      </c>
      <c r="C21">
        <v>-3.0649999999999999</v>
      </c>
      <c r="D21">
        <v>-4.6917499999999999</v>
      </c>
      <c r="H21" s="3"/>
    </row>
    <row r="22" spans="1:8" x14ac:dyDescent="0.2">
      <c r="A22" t="s">
        <v>170</v>
      </c>
      <c r="B22">
        <v>-9.3369999999999997</v>
      </c>
      <c r="C22">
        <v>0.52200000000000002</v>
      </c>
      <c r="D22">
        <v>-4.5000833333333334</v>
      </c>
      <c r="H22" s="3"/>
    </row>
    <row r="23" spans="1:8" x14ac:dyDescent="0.2">
      <c r="A23" t="s">
        <v>171</v>
      </c>
      <c r="B23">
        <v>2.4500000000000002</v>
      </c>
      <c r="C23">
        <v>8.2449999999999992</v>
      </c>
      <c r="D23">
        <v>6.0460833333333328</v>
      </c>
      <c r="H23" s="3"/>
    </row>
    <row r="24" spans="1:8" x14ac:dyDescent="0.2">
      <c r="A24" t="s">
        <v>172</v>
      </c>
      <c r="B24">
        <v>5.4619999999999997</v>
      </c>
      <c r="C24">
        <v>8.5679999999999996</v>
      </c>
      <c r="D24">
        <v>6.9220833333333331</v>
      </c>
      <c r="H24" s="3"/>
    </row>
    <row r="25" spans="1:8" x14ac:dyDescent="0.2">
      <c r="A25" t="s">
        <v>173</v>
      </c>
      <c r="B25">
        <v>8.2449999999999992</v>
      </c>
      <c r="C25">
        <v>13.209</v>
      </c>
      <c r="D25">
        <v>11.02766666666667</v>
      </c>
      <c r="E25">
        <v>4.0199999999999996</v>
      </c>
      <c r="H25" s="3"/>
    </row>
    <row r="26" spans="1:8" x14ac:dyDescent="0.2">
      <c r="A26" t="s">
        <v>174</v>
      </c>
      <c r="B26">
        <v>5.9749999999999996</v>
      </c>
      <c r="C26">
        <v>9.9030000000000005</v>
      </c>
      <c r="D26">
        <v>8.0065000000000008</v>
      </c>
      <c r="H26" s="3"/>
    </row>
    <row r="27" spans="1:8" x14ac:dyDescent="0.2">
      <c r="A27" t="s">
        <v>175</v>
      </c>
      <c r="B27">
        <v>6.6109999999999998</v>
      </c>
      <c r="C27">
        <v>11.2</v>
      </c>
      <c r="D27">
        <v>8.8481666666666658</v>
      </c>
      <c r="E27">
        <v>2.78</v>
      </c>
      <c r="H27" s="3"/>
    </row>
    <row r="28" spans="1:8" x14ac:dyDescent="0.2">
      <c r="A28" t="s">
        <v>176</v>
      </c>
      <c r="B28">
        <v>-1.5269999999999999</v>
      </c>
      <c r="C28">
        <v>7.8449999999999998</v>
      </c>
      <c r="D28">
        <v>2.971916666666667</v>
      </c>
      <c r="H28" s="3"/>
    </row>
    <row r="29" spans="1:8" x14ac:dyDescent="0.2">
      <c r="A29" t="s">
        <v>177</v>
      </c>
      <c r="B29">
        <v>-4.2270000000000003</v>
      </c>
      <c r="C29">
        <v>8.5190000000000001</v>
      </c>
      <c r="D29">
        <v>-1.2333333333333229E-2</v>
      </c>
      <c r="H29" s="3"/>
    </row>
    <row r="30" spans="1:8" x14ac:dyDescent="0.2">
      <c r="A30" t="s">
        <v>178</v>
      </c>
      <c r="B30">
        <v>-3.2120000000000002</v>
      </c>
      <c r="C30">
        <v>8.6180000000000003</v>
      </c>
      <c r="D30">
        <v>1.179</v>
      </c>
      <c r="H30" s="3"/>
    </row>
    <row r="31" spans="1:8" x14ac:dyDescent="0.2">
      <c r="A31" t="s">
        <v>179</v>
      </c>
      <c r="B31">
        <v>-1.756</v>
      </c>
      <c r="C31">
        <v>8.3190000000000008</v>
      </c>
      <c r="D31">
        <v>3.0482499999999999</v>
      </c>
      <c r="G31">
        <f>AVERAGE(D33:D213)</f>
        <v>13.782341285786041</v>
      </c>
      <c r="H31" s="3"/>
    </row>
    <row r="32" spans="1:8" x14ac:dyDescent="0.2">
      <c r="A32" t="s">
        <v>180</v>
      </c>
      <c r="B32">
        <v>1.208</v>
      </c>
      <c r="C32">
        <v>8.9410000000000007</v>
      </c>
      <c r="D32">
        <v>5.6079999999999997</v>
      </c>
      <c r="E32">
        <v>0.93500000000000005</v>
      </c>
      <c r="G32">
        <f>SUM(E33:E213)</f>
        <v>402.76</v>
      </c>
      <c r="H32" s="3"/>
    </row>
    <row r="33" spans="1:8" x14ac:dyDescent="0.2">
      <c r="A33" t="s">
        <v>181</v>
      </c>
      <c r="B33">
        <v>1.859</v>
      </c>
      <c r="C33">
        <v>10.1</v>
      </c>
      <c r="D33">
        <v>6.546666666666666</v>
      </c>
      <c r="H33" s="3"/>
    </row>
    <row r="34" spans="1:8" x14ac:dyDescent="0.2">
      <c r="A34" t="s">
        <v>182</v>
      </c>
      <c r="B34">
        <v>0.30099999999999999</v>
      </c>
      <c r="C34">
        <v>10.148999999999999</v>
      </c>
      <c r="D34">
        <v>5.375</v>
      </c>
      <c r="H34" s="3"/>
    </row>
    <row r="35" spans="1:8" x14ac:dyDescent="0.2">
      <c r="A35" t="s">
        <v>183</v>
      </c>
      <c r="B35">
        <v>7.343</v>
      </c>
      <c r="C35">
        <v>11.151</v>
      </c>
      <c r="D35">
        <v>9.0071666666666648</v>
      </c>
      <c r="H35" s="3"/>
    </row>
    <row r="36" spans="1:8" x14ac:dyDescent="0.2">
      <c r="A36" t="s">
        <v>184</v>
      </c>
      <c r="B36">
        <v>8.6679999999999993</v>
      </c>
      <c r="C36">
        <v>10.638</v>
      </c>
      <c r="D36">
        <v>9.7865833333333327</v>
      </c>
      <c r="H36" s="3"/>
    </row>
    <row r="37" spans="1:8" x14ac:dyDescent="0.2">
      <c r="A37" t="s">
        <v>185</v>
      </c>
      <c r="B37">
        <v>7.3680000000000003</v>
      </c>
      <c r="C37">
        <v>12.268000000000001</v>
      </c>
      <c r="D37">
        <v>9.8887499999999982</v>
      </c>
      <c r="H37" s="3"/>
    </row>
    <row r="38" spans="1:8" x14ac:dyDescent="0.2">
      <c r="A38" t="s">
        <v>186</v>
      </c>
      <c r="B38">
        <v>6.7629999999999999</v>
      </c>
      <c r="C38">
        <v>9.1140000000000008</v>
      </c>
      <c r="D38">
        <v>7.8439166666666678</v>
      </c>
      <c r="E38">
        <v>7.52</v>
      </c>
      <c r="H38" s="3"/>
    </row>
    <row r="39" spans="1:8" x14ac:dyDescent="0.2">
      <c r="A39" t="s">
        <v>187</v>
      </c>
      <c r="B39">
        <v>2.9830000000000001</v>
      </c>
      <c r="C39">
        <v>9.9030000000000005</v>
      </c>
      <c r="D39">
        <v>6.8737500000000011</v>
      </c>
      <c r="E39">
        <v>29.4</v>
      </c>
      <c r="H39" s="3"/>
    </row>
    <row r="40" spans="1:8" x14ac:dyDescent="0.2">
      <c r="A40" t="s">
        <v>188</v>
      </c>
      <c r="B40">
        <v>2.823</v>
      </c>
      <c r="C40">
        <v>10.467000000000001</v>
      </c>
      <c r="D40">
        <v>5.2709999999999999</v>
      </c>
      <c r="E40">
        <v>8.7899999999999991</v>
      </c>
      <c r="H40" s="3"/>
    </row>
    <row r="41" spans="1:8" x14ac:dyDescent="0.2">
      <c r="A41" t="s">
        <v>189</v>
      </c>
      <c r="B41">
        <v>9.3119999999999994</v>
      </c>
      <c r="C41">
        <v>13.57</v>
      </c>
      <c r="D41">
        <v>11.241250000000001</v>
      </c>
      <c r="H41" s="3"/>
    </row>
    <row r="42" spans="1:8" x14ac:dyDescent="0.2">
      <c r="A42" t="s">
        <v>190</v>
      </c>
      <c r="B42">
        <v>8.0950000000000006</v>
      </c>
      <c r="C42">
        <v>13.377000000000001</v>
      </c>
      <c r="D42">
        <v>10.17116666666667</v>
      </c>
      <c r="E42">
        <v>4.59</v>
      </c>
      <c r="H42" s="3"/>
    </row>
    <row r="43" spans="1:8" x14ac:dyDescent="0.2">
      <c r="A43" t="s">
        <v>191</v>
      </c>
      <c r="B43">
        <v>7.4690000000000003</v>
      </c>
      <c r="C43">
        <v>10.198</v>
      </c>
      <c r="D43">
        <v>8.7037499999999994</v>
      </c>
      <c r="H43" s="3"/>
    </row>
    <row r="44" spans="1:8" x14ac:dyDescent="0.2">
      <c r="A44" t="s">
        <v>192</v>
      </c>
      <c r="B44">
        <v>3.9849999999999999</v>
      </c>
      <c r="C44">
        <v>9.8290000000000006</v>
      </c>
      <c r="D44">
        <v>7.6023333333333314</v>
      </c>
      <c r="H44" s="3"/>
    </row>
    <row r="45" spans="1:8" x14ac:dyDescent="0.2">
      <c r="A45" t="s">
        <v>193</v>
      </c>
      <c r="B45">
        <v>-0.17100000000000001</v>
      </c>
      <c r="C45">
        <v>9.1880000000000006</v>
      </c>
      <c r="D45">
        <v>4.7952500000000002</v>
      </c>
      <c r="E45">
        <v>0.33</v>
      </c>
      <c r="H45" s="3"/>
    </row>
    <row r="46" spans="1:8" x14ac:dyDescent="0.2">
      <c r="A46" t="s">
        <v>194</v>
      </c>
      <c r="B46">
        <v>3.88</v>
      </c>
      <c r="C46">
        <v>10.882999999999999</v>
      </c>
      <c r="D46">
        <v>8.5352499999999996</v>
      </c>
      <c r="E46">
        <v>0.86</v>
      </c>
      <c r="H46" s="3"/>
    </row>
    <row r="47" spans="1:8" x14ac:dyDescent="0.2">
      <c r="A47" t="s">
        <v>195</v>
      </c>
      <c r="B47">
        <v>9.7059999999999995</v>
      </c>
      <c r="C47">
        <v>15.199</v>
      </c>
      <c r="D47">
        <v>11.69875</v>
      </c>
      <c r="H47" s="3"/>
    </row>
    <row r="48" spans="1:8" x14ac:dyDescent="0.2">
      <c r="A48" t="s">
        <v>196</v>
      </c>
      <c r="B48">
        <v>7.6449999999999996</v>
      </c>
      <c r="C48">
        <v>15.342000000000001</v>
      </c>
      <c r="D48">
        <v>11.390166666666669</v>
      </c>
      <c r="H48" s="3"/>
    </row>
    <row r="49" spans="1:8" x14ac:dyDescent="0.2">
      <c r="A49" t="s">
        <v>197</v>
      </c>
      <c r="B49">
        <v>7.5190000000000001</v>
      </c>
      <c r="C49">
        <v>13.233000000000001</v>
      </c>
      <c r="D49">
        <v>10.574833333333331</v>
      </c>
      <c r="H49" s="3"/>
    </row>
    <row r="50" spans="1:8" x14ac:dyDescent="0.2">
      <c r="A50" t="s">
        <v>198</v>
      </c>
      <c r="B50">
        <v>5.7960000000000003</v>
      </c>
      <c r="C50">
        <v>10.443</v>
      </c>
      <c r="D50">
        <v>8.4035833333333354</v>
      </c>
      <c r="E50">
        <v>5.35</v>
      </c>
      <c r="H50" s="3"/>
    </row>
    <row r="51" spans="1:8" x14ac:dyDescent="0.2">
      <c r="A51" t="s">
        <v>199</v>
      </c>
      <c r="B51">
        <v>8.1199999999999992</v>
      </c>
      <c r="C51">
        <v>12.268000000000001</v>
      </c>
      <c r="D51">
        <v>9.8364166666666666</v>
      </c>
      <c r="E51">
        <v>0.61</v>
      </c>
      <c r="H51" s="3"/>
    </row>
    <row r="52" spans="1:8" x14ac:dyDescent="0.2">
      <c r="A52" t="s">
        <v>200</v>
      </c>
      <c r="B52">
        <v>6</v>
      </c>
      <c r="C52">
        <v>11.077999999999999</v>
      </c>
      <c r="D52">
        <v>8.7114166666666666</v>
      </c>
      <c r="E52">
        <v>0.62</v>
      </c>
      <c r="H52" s="3"/>
    </row>
    <row r="53" spans="1:8" x14ac:dyDescent="0.2">
      <c r="A53" t="s">
        <v>201</v>
      </c>
      <c r="B53">
        <v>6.8390000000000004</v>
      </c>
      <c r="C53">
        <v>10.565</v>
      </c>
      <c r="D53">
        <v>8.64175</v>
      </c>
      <c r="E53">
        <v>16.100000000000001</v>
      </c>
      <c r="H53" s="3"/>
    </row>
    <row r="54" spans="1:8" x14ac:dyDescent="0.2">
      <c r="A54" t="s">
        <v>202</v>
      </c>
      <c r="B54">
        <v>7.77</v>
      </c>
      <c r="C54">
        <v>11.224</v>
      </c>
      <c r="D54">
        <v>9.6270000000000007</v>
      </c>
      <c r="H54" s="3"/>
    </row>
    <row r="55" spans="1:8" x14ac:dyDescent="0.2">
      <c r="A55" t="s">
        <v>203</v>
      </c>
      <c r="B55">
        <v>4.5839999999999996</v>
      </c>
      <c r="C55">
        <v>9.0890000000000004</v>
      </c>
      <c r="D55">
        <v>6.9124999999999988</v>
      </c>
      <c r="H55" s="3"/>
    </row>
    <row r="56" spans="1:8" x14ac:dyDescent="0.2">
      <c r="A56" t="s">
        <v>204</v>
      </c>
      <c r="B56">
        <v>1.099</v>
      </c>
      <c r="C56">
        <v>7.9450000000000003</v>
      </c>
      <c r="D56">
        <v>4.9013333333333344</v>
      </c>
      <c r="H56" s="3"/>
    </row>
    <row r="57" spans="1:8" x14ac:dyDescent="0.2">
      <c r="A57" t="s">
        <v>205</v>
      </c>
      <c r="B57">
        <v>1.153</v>
      </c>
      <c r="C57">
        <v>9.4600000000000009</v>
      </c>
      <c r="D57">
        <v>5.0902500000000002</v>
      </c>
      <c r="E57">
        <v>11.02</v>
      </c>
      <c r="H57" s="3"/>
    </row>
    <row r="58" spans="1:8" x14ac:dyDescent="0.2">
      <c r="A58" t="s">
        <v>206</v>
      </c>
      <c r="B58">
        <v>4.8179999999999996</v>
      </c>
      <c r="C58">
        <v>10.81</v>
      </c>
      <c r="D58">
        <v>7.0951666666666666</v>
      </c>
      <c r="E58">
        <v>1.07</v>
      </c>
      <c r="H58" s="3"/>
    </row>
    <row r="59" spans="1:8" x14ac:dyDescent="0.2">
      <c r="A59" t="s">
        <v>207</v>
      </c>
      <c r="B59">
        <v>4.141</v>
      </c>
      <c r="C59">
        <v>11.807</v>
      </c>
      <c r="D59">
        <v>7.7103333333333337</v>
      </c>
      <c r="H59" s="3"/>
    </row>
    <row r="60" spans="1:8" x14ac:dyDescent="0.2">
      <c r="A60" t="s">
        <v>208</v>
      </c>
      <c r="B60">
        <v>-0.50700000000000001</v>
      </c>
      <c r="C60">
        <v>9.1880000000000006</v>
      </c>
      <c r="D60">
        <v>3.4447500000000009</v>
      </c>
      <c r="H60" s="3"/>
    </row>
    <row r="61" spans="1:8" x14ac:dyDescent="0.2">
      <c r="A61" t="s">
        <v>209</v>
      </c>
      <c r="B61">
        <v>-1.1000000000000001</v>
      </c>
      <c r="C61">
        <v>12.484999999999999</v>
      </c>
      <c r="D61">
        <v>4.3208333333333337</v>
      </c>
      <c r="H61" s="3"/>
    </row>
    <row r="62" spans="1:8" x14ac:dyDescent="0.2">
      <c r="A62" t="s">
        <v>210</v>
      </c>
      <c r="B62">
        <v>-0.19900000000000001</v>
      </c>
      <c r="C62">
        <v>10.074999999999999</v>
      </c>
      <c r="D62">
        <v>4.4705833333333329</v>
      </c>
      <c r="H62" s="3"/>
    </row>
    <row r="63" spans="1:8" x14ac:dyDescent="0.2">
      <c r="A63" t="s">
        <v>211</v>
      </c>
      <c r="B63">
        <v>0.218</v>
      </c>
      <c r="C63">
        <v>15.509</v>
      </c>
      <c r="D63">
        <v>7.2036666666666678</v>
      </c>
      <c r="H63" s="3"/>
    </row>
    <row r="64" spans="1:8" x14ac:dyDescent="0.2">
      <c r="A64" t="s">
        <v>212</v>
      </c>
      <c r="B64">
        <v>2.6640000000000001</v>
      </c>
      <c r="C64">
        <v>17.867000000000001</v>
      </c>
      <c r="D64">
        <v>8.6382500000000011</v>
      </c>
      <c r="H64" s="3"/>
    </row>
    <row r="65" spans="1:8" x14ac:dyDescent="0.2">
      <c r="A65" t="s">
        <v>213</v>
      </c>
      <c r="B65">
        <v>4.4020000000000001</v>
      </c>
      <c r="C65">
        <v>10.295999999999999</v>
      </c>
      <c r="D65">
        <v>7.9619166666666654</v>
      </c>
      <c r="H65" s="3"/>
    </row>
    <row r="66" spans="1:8" x14ac:dyDescent="0.2">
      <c r="A66" t="s">
        <v>214</v>
      </c>
      <c r="B66">
        <v>6.6360000000000001</v>
      </c>
      <c r="C66">
        <v>9.2129999999999992</v>
      </c>
      <c r="D66">
        <v>7.8729999999999984</v>
      </c>
      <c r="E66">
        <v>0.6</v>
      </c>
      <c r="H66" s="3"/>
    </row>
    <row r="67" spans="1:8" x14ac:dyDescent="0.2">
      <c r="A67" t="s">
        <v>215</v>
      </c>
      <c r="B67">
        <v>3.6960000000000002</v>
      </c>
      <c r="C67">
        <v>10.492000000000001</v>
      </c>
      <c r="D67">
        <v>6.8021666666666656</v>
      </c>
      <c r="H67" s="3"/>
    </row>
    <row r="68" spans="1:8" x14ac:dyDescent="0.2">
      <c r="A68" t="s">
        <v>216</v>
      </c>
      <c r="B68">
        <v>-0.14299999999999999</v>
      </c>
      <c r="C68">
        <v>8.891</v>
      </c>
      <c r="D68">
        <v>4.4421666666666662</v>
      </c>
      <c r="H68" s="3"/>
    </row>
    <row r="69" spans="1:8" x14ac:dyDescent="0.2">
      <c r="A69" t="s">
        <v>217</v>
      </c>
      <c r="B69">
        <v>-0.873</v>
      </c>
      <c r="C69">
        <v>12.170999999999999</v>
      </c>
      <c r="D69">
        <v>5.2110833333333337</v>
      </c>
      <c r="H69" s="3"/>
    </row>
    <row r="70" spans="1:8" x14ac:dyDescent="0.2">
      <c r="A70" t="s">
        <v>218</v>
      </c>
      <c r="B70">
        <v>-1.6990000000000001</v>
      </c>
      <c r="C70">
        <v>14.912000000000001</v>
      </c>
      <c r="D70">
        <v>5.7484999999999999</v>
      </c>
      <c r="H70" s="3"/>
    </row>
    <row r="71" spans="1:8" x14ac:dyDescent="0.2">
      <c r="A71" t="s">
        <v>219</v>
      </c>
      <c r="B71">
        <v>4.0110000000000001</v>
      </c>
      <c r="C71">
        <v>13.618</v>
      </c>
      <c r="D71">
        <v>8.008916666666666</v>
      </c>
      <c r="E71">
        <v>15.99</v>
      </c>
      <c r="H71" s="3"/>
    </row>
    <row r="72" spans="1:8" x14ac:dyDescent="0.2">
      <c r="A72" t="s">
        <v>220</v>
      </c>
      <c r="B72">
        <v>4.2720000000000002</v>
      </c>
      <c r="C72">
        <v>13.81</v>
      </c>
      <c r="D72">
        <v>8.9660833333333336</v>
      </c>
      <c r="E72">
        <v>0.19</v>
      </c>
      <c r="H72" s="3"/>
    </row>
    <row r="73" spans="1:8" x14ac:dyDescent="0.2">
      <c r="A73" t="s">
        <v>221</v>
      </c>
      <c r="B73">
        <v>2.37</v>
      </c>
      <c r="C73">
        <v>10.663</v>
      </c>
      <c r="D73">
        <v>7.2161666666666662</v>
      </c>
      <c r="E73">
        <v>2.57</v>
      </c>
      <c r="H73" s="3"/>
    </row>
    <row r="74" spans="1:8" x14ac:dyDescent="0.2">
      <c r="A74" t="s">
        <v>222</v>
      </c>
      <c r="B74">
        <v>6.6870000000000003</v>
      </c>
      <c r="C74">
        <v>11.443</v>
      </c>
      <c r="D74">
        <v>8.9048333333333343</v>
      </c>
      <c r="H74" s="3"/>
    </row>
    <row r="75" spans="1:8" x14ac:dyDescent="0.2">
      <c r="A75" t="s">
        <v>223</v>
      </c>
      <c r="B75">
        <v>6.6109999999999998</v>
      </c>
      <c r="C75">
        <v>17.652999999999999</v>
      </c>
      <c r="D75">
        <v>11.4275</v>
      </c>
      <c r="E75">
        <v>0.15</v>
      </c>
      <c r="H75" s="3"/>
    </row>
    <row r="76" spans="1:8" x14ac:dyDescent="0.2">
      <c r="A76" t="s">
        <v>224</v>
      </c>
      <c r="B76">
        <v>6.1020000000000003</v>
      </c>
      <c r="C76">
        <v>15.366</v>
      </c>
      <c r="D76">
        <v>10.68125</v>
      </c>
      <c r="H76" s="3"/>
    </row>
    <row r="77" spans="1:8" x14ac:dyDescent="0.2">
      <c r="A77" t="s">
        <v>225</v>
      </c>
      <c r="B77">
        <v>7.8949999999999996</v>
      </c>
      <c r="C77">
        <v>12.92</v>
      </c>
      <c r="D77">
        <v>10.906333333333331</v>
      </c>
      <c r="H77" s="3"/>
    </row>
    <row r="78" spans="1:8" x14ac:dyDescent="0.2">
      <c r="A78" t="s">
        <v>226</v>
      </c>
      <c r="B78">
        <v>1.371</v>
      </c>
      <c r="C78">
        <v>13.522</v>
      </c>
      <c r="D78">
        <v>7.9915833333333337</v>
      </c>
      <c r="H78" s="3"/>
    </row>
    <row r="79" spans="1:8" x14ac:dyDescent="0.2">
      <c r="A79" t="s">
        <v>227</v>
      </c>
      <c r="B79">
        <v>6.2549999999999999</v>
      </c>
      <c r="C79">
        <v>13.449</v>
      </c>
      <c r="D79">
        <v>9.3553333333333324</v>
      </c>
      <c r="H79" s="3"/>
    </row>
    <row r="80" spans="1:8" x14ac:dyDescent="0.2">
      <c r="A80" t="s">
        <v>228</v>
      </c>
      <c r="B80">
        <v>6.6870000000000003</v>
      </c>
      <c r="C80">
        <v>16.225000000000001</v>
      </c>
      <c r="D80">
        <v>10.031750000000001</v>
      </c>
      <c r="H80" s="3"/>
    </row>
    <row r="81" spans="1:8" x14ac:dyDescent="0.2">
      <c r="A81" t="s">
        <v>229</v>
      </c>
      <c r="B81">
        <v>3.4060000000000001</v>
      </c>
      <c r="C81">
        <v>18.960999999999999</v>
      </c>
      <c r="D81">
        <v>10.313333333333331</v>
      </c>
      <c r="H81" s="3"/>
    </row>
    <row r="82" spans="1:8" x14ac:dyDescent="0.2">
      <c r="A82" t="s">
        <v>230</v>
      </c>
      <c r="B82">
        <v>4.9729999999999999</v>
      </c>
      <c r="C82">
        <v>16.795999999999999</v>
      </c>
      <c r="D82">
        <v>10.41491666666667</v>
      </c>
      <c r="H82" s="3"/>
    </row>
    <row r="83" spans="1:8" x14ac:dyDescent="0.2">
      <c r="A83" t="s">
        <v>40</v>
      </c>
      <c r="B83">
        <v>3.88</v>
      </c>
      <c r="C83">
        <v>16.725000000000001</v>
      </c>
      <c r="D83">
        <v>10.196166666666659</v>
      </c>
      <c r="H83" s="3"/>
    </row>
    <row r="84" spans="1:8" x14ac:dyDescent="0.2">
      <c r="A84" t="s">
        <v>231</v>
      </c>
      <c r="B84">
        <v>3.7490000000000001</v>
      </c>
      <c r="C84">
        <v>10.32</v>
      </c>
      <c r="D84">
        <v>6.6537499999999987</v>
      </c>
      <c r="H84" s="3"/>
    </row>
    <row r="85" spans="1:8" x14ac:dyDescent="0.2">
      <c r="A85" t="s">
        <v>232</v>
      </c>
      <c r="B85">
        <v>3.827</v>
      </c>
      <c r="C85">
        <v>10.271000000000001</v>
      </c>
      <c r="D85">
        <v>6.3410000000000011</v>
      </c>
      <c r="H85" s="3"/>
    </row>
    <row r="86" spans="1:8" x14ac:dyDescent="0.2">
      <c r="A86" t="s">
        <v>233</v>
      </c>
      <c r="B86">
        <v>2.9830000000000001</v>
      </c>
      <c r="C86">
        <v>13.449</v>
      </c>
      <c r="D86">
        <v>7.7661666666666669</v>
      </c>
      <c r="E86">
        <v>8.81</v>
      </c>
      <c r="H86" s="3"/>
    </row>
    <row r="87" spans="1:8" x14ac:dyDescent="0.2">
      <c r="A87" t="s">
        <v>234</v>
      </c>
      <c r="B87">
        <v>0.495</v>
      </c>
      <c r="C87">
        <v>14.529</v>
      </c>
      <c r="D87">
        <v>6.8084166666666661</v>
      </c>
      <c r="H87" s="3"/>
    </row>
    <row r="88" spans="1:8" x14ac:dyDescent="0.2">
      <c r="A88" t="s">
        <v>235</v>
      </c>
      <c r="B88">
        <v>2.7970000000000002</v>
      </c>
      <c r="C88">
        <v>14.792</v>
      </c>
      <c r="D88">
        <v>8.4970833333333342</v>
      </c>
      <c r="H88" s="3"/>
    </row>
    <row r="89" spans="1:8" x14ac:dyDescent="0.2">
      <c r="A89" t="s">
        <v>236</v>
      </c>
      <c r="B89">
        <v>3.3010000000000002</v>
      </c>
      <c r="C89">
        <v>12.534000000000001</v>
      </c>
      <c r="D89">
        <v>8.323500000000001</v>
      </c>
      <c r="E89">
        <v>1.91</v>
      </c>
      <c r="H89" s="3"/>
    </row>
    <row r="90" spans="1:8" x14ac:dyDescent="0.2">
      <c r="A90" t="s">
        <v>237</v>
      </c>
      <c r="B90">
        <v>2.5840000000000001</v>
      </c>
      <c r="C90">
        <v>11.782999999999999</v>
      </c>
      <c r="D90">
        <v>7.6544166666666662</v>
      </c>
      <c r="H90" s="3"/>
    </row>
    <row r="91" spans="1:8" x14ac:dyDescent="0.2">
      <c r="A91" t="s">
        <v>238</v>
      </c>
      <c r="B91">
        <v>4.8179999999999996</v>
      </c>
      <c r="C91">
        <v>14.361000000000001</v>
      </c>
      <c r="D91">
        <v>9.2260833333333334</v>
      </c>
      <c r="H91" s="3"/>
    </row>
    <row r="92" spans="1:8" x14ac:dyDescent="0.2">
      <c r="A92" t="s">
        <v>239</v>
      </c>
      <c r="B92">
        <v>8.4190000000000005</v>
      </c>
      <c r="C92">
        <v>19.103000000000002</v>
      </c>
      <c r="D92">
        <v>12.81233333333333</v>
      </c>
      <c r="H92" s="3"/>
    </row>
    <row r="93" spans="1:8" x14ac:dyDescent="0.2">
      <c r="A93" t="s">
        <v>240</v>
      </c>
      <c r="B93">
        <v>9.0640000000000001</v>
      </c>
      <c r="C93">
        <v>11.419</v>
      </c>
      <c r="D93">
        <v>10.31083333333333</v>
      </c>
      <c r="E93">
        <v>15.56</v>
      </c>
      <c r="H93" s="3"/>
    </row>
    <row r="94" spans="1:8" x14ac:dyDescent="0.2">
      <c r="A94" t="s">
        <v>241</v>
      </c>
      <c r="B94">
        <v>7.1420000000000003</v>
      </c>
      <c r="C94">
        <v>14.122</v>
      </c>
      <c r="D94">
        <v>10.554833333333329</v>
      </c>
      <c r="H94" s="3"/>
    </row>
    <row r="95" spans="1:8" x14ac:dyDescent="0.2">
      <c r="A95" t="s">
        <v>242</v>
      </c>
      <c r="B95">
        <v>8.2949999999999999</v>
      </c>
      <c r="C95">
        <v>12.364000000000001</v>
      </c>
      <c r="D95">
        <v>10.69691666666667</v>
      </c>
      <c r="E95">
        <v>2.5099999999999998</v>
      </c>
      <c r="H95" s="3"/>
    </row>
    <row r="96" spans="1:8" x14ac:dyDescent="0.2">
      <c r="A96" t="s">
        <v>243</v>
      </c>
      <c r="B96">
        <v>8.3190000000000008</v>
      </c>
      <c r="C96">
        <v>15.007999999999999</v>
      </c>
      <c r="D96">
        <v>11.873272727272729</v>
      </c>
      <c r="E96">
        <v>6.35</v>
      </c>
      <c r="H96" s="3"/>
    </row>
    <row r="97" spans="1:8" x14ac:dyDescent="0.2">
      <c r="A97" t="s">
        <v>244</v>
      </c>
      <c r="B97">
        <v>10.443</v>
      </c>
      <c r="C97">
        <v>19.984000000000002</v>
      </c>
      <c r="D97">
        <v>15.072749999999999</v>
      </c>
      <c r="H97" s="3"/>
    </row>
    <row r="98" spans="1:8" x14ac:dyDescent="0.2">
      <c r="A98" t="s">
        <v>245</v>
      </c>
      <c r="B98">
        <v>10.1</v>
      </c>
      <c r="C98">
        <v>26.329000000000001</v>
      </c>
      <c r="D98">
        <v>18.001000000000001</v>
      </c>
      <c r="H98" s="3"/>
    </row>
    <row r="99" spans="1:8" x14ac:dyDescent="0.2">
      <c r="A99" t="s">
        <v>246</v>
      </c>
      <c r="B99">
        <v>10.712</v>
      </c>
      <c r="C99">
        <v>24.170999999999999</v>
      </c>
      <c r="D99">
        <v>17.294916666666669</v>
      </c>
      <c r="H99" s="3"/>
    </row>
    <row r="100" spans="1:8" x14ac:dyDescent="0.2">
      <c r="A100" t="s">
        <v>247</v>
      </c>
      <c r="B100">
        <v>13.112</v>
      </c>
      <c r="C100">
        <v>26.303999999999998</v>
      </c>
      <c r="D100">
        <v>19.07833333333334</v>
      </c>
      <c r="H100" s="3"/>
    </row>
    <row r="101" spans="1:8" x14ac:dyDescent="0.2">
      <c r="A101" t="s">
        <v>248</v>
      </c>
      <c r="B101">
        <v>10.834</v>
      </c>
      <c r="C101">
        <v>17.414999999999999</v>
      </c>
      <c r="D101">
        <v>13.534750000000001</v>
      </c>
      <c r="H101" s="3"/>
    </row>
    <row r="102" spans="1:8" x14ac:dyDescent="0.2">
      <c r="A102" t="s">
        <v>249</v>
      </c>
      <c r="B102">
        <v>6.4080000000000004</v>
      </c>
      <c r="C102">
        <v>15.724</v>
      </c>
      <c r="D102">
        <v>10.751749999999999</v>
      </c>
      <c r="H102" s="3"/>
    </row>
    <row r="103" spans="1:8" x14ac:dyDescent="0.2">
      <c r="A103" t="s">
        <v>250</v>
      </c>
      <c r="B103">
        <v>2.262</v>
      </c>
      <c r="C103">
        <v>19.126999999999999</v>
      </c>
      <c r="D103">
        <v>10.430583333333329</v>
      </c>
      <c r="H103" s="3"/>
    </row>
    <row r="104" spans="1:8" x14ac:dyDescent="0.2">
      <c r="A104" t="s">
        <v>251</v>
      </c>
      <c r="B104">
        <v>5.8979999999999997</v>
      </c>
      <c r="C104">
        <v>19.318000000000001</v>
      </c>
      <c r="D104">
        <v>13.104416666666671</v>
      </c>
      <c r="H104" s="3"/>
    </row>
    <row r="105" spans="1:8" x14ac:dyDescent="0.2">
      <c r="A105" t="s">
        <v>252</v>
      </c>
      <c r="B105">
        <v>7.4690000000000003</v>
      </c>
      <c r="C105">
        <v>23.785</v>
      </c>
      <c r="D105">
        <v>15.379583333333329</v>
      </c>
      <c r="H105" s="3"/>
    </row>
    <row r="106" spans="1:8" x14ac:dyDescent="0.2">
      <c r="A106" t="s">
        <v>253</v>
      </c>
      <c r="B106">
        <v>11.782999999999999</v>
      </c>
      <c r="C106">
        <v>22.536999999999999</v>
      </c>
      <c r="D106">
        <v>16.833416666666661</v>
      </c>
      <c r="H106" s="3"/>
    </row>
    <row r="107" spans="1:8" x14ac:dyDescent="0.2">
      <c r="A107" t="s">
        <v>254</v>
      </c>
      <c r="B107">
        <v>5.9240000000000004</v>
      </c>
      <c r="C107">
        <v>18.271000000000001</v>
      </c>
      <c r="D107">
        <v>12.867000000000001</v>
      </c>
      <c r="E107">
        <v>2.0299999999999998</v>
      </c>
      <c r="H107" s="3"/>
    </row>
    <row r="108" spans="1:8" x14ac:dyDescent="0.2">
      <c r="A108" t="s">
        <v>255</v>
      </c>
      <c r="B108">
        <v>4.4020000000000001</v>
      </c>
      <c r="C108">
        <v>9.5340000000000007</v>
      </c>
      <c r="D108">
        <v>6.682083333333332</v>
      </c>
      <c r="E108">
        <v>6.55</v>
      </c>
      <c r="H108" s="3"/>
    </row>
    <row r="109" spans="1:8" x14ac:dyDescent="0.2">
      <c r="A109" t="s">
        <v>256</v>
      </c>
      <c r="B109">
        <v>4.9470000000000001</v>
      </c>
      <c r="C109">
        <v>12.122</v>
      </c>
      <c r="D109">
        <v>7.5272500000000013</v>
      </c>
      <c r="H109" s="3"/>
    </row>
    <row r="110" spans="1:8" x14ac:dyDescent="0.2">
      <c r="A110" t="s">
        <v>257</v>
      </c>
      <c r="B110">
        <v>3.089</v>
      </c>
      <c r="C110">
        <v>14.002000000000001</v>
      </c>
      <c r="D110">
        <v>7.9234999999999998</v>
      </c>
      <c r="E110">
        <v>1.06</v>
      </c>
      <c r="H110" s="3"/>
    </row>
    <row r="111" spans="1:8" x14ac:dyDescent="0.2">
      <c r="A111" t="s">
        <v>258</v>
      </c>
      <c r="B111">
        <v>5.1280000000000001</v>
      </c>
      <c r="C111">
        <v>8.4939999999999998</v>
      </c>
      <c r="D111">
        <v>6.8896666666666668</v>
      </c>
      <c r="H111" s="3"/>
    </row>
    <row r="112" spans="1:8" x14ac:dyDescent="0.2">
      <c r="A112" t="s">
        <v>259</v>
      </c>
      <c r="B112">
        <v>5.282</v>
      </c>
      <c r="C112">
        <v>10.516</v>
      </c>
      <c r="D112">
        <v>7.0395000000000003</v>
      </c>
      <c r="H112" s="3"/>
    </row>
    <row r="113" spans="1:8" x14ac:dyDescent="0.2">
      <c r="A113" t="s">
        <v>260</v>
      </c>
      <c r="B113">
        <v>2.5569999999999999</v>
      </c>
      <c r="C113">
        <v>8.7420000000000009</v>
      </c>
      <c r="D113">
        <v>5.5265833333333321</v>
      </c>
      <c r="E113">
        <v>14.56</v>
      </c>
      <c r="H113" s="3"/>
    </row>
    <row r="114" spans="1:8" x14ac:dyDescent="0.2">
      <c r="A114" t="s">
        <v>261</v>
      </c>
      <c r="B114">
        <v>-1.1850000000000001</v>
      </c>
      <c r="C114">
        <v>10.541</v>
      </c>
      <c r="D114">
        <v>4.7742499999999994</v>
      </c>
      <c r="E114">
        <v>1.1100000000000001</v>
      </c>
      <c r="H114" s="3"/>
    </row>
    <row r="115" spans="1:8" x14ac:dyDescent="0.2">
      <c r="A115" t="s">
        <v>262</v>
      </c>
      <c r="B115">
        <v>-1.9</v>
      </c>
      <c r="C115">
        <v>12.702999999999999</v>
      </c>
      <c r="D115">
        <v>5.5737500000000004</v>
      </c>
      <c r="H115" s="3"/>
    </row>
    <row r="116" spans="1:8" x14ac:dyDescent="0.2">
      <c r="A116" t="s">
        <v>263</v>
      </c>
      <c r="B116">
        <v>2.93</v>
      </c>
      <c r="C116">
        <v>10.882999999999999</v>
      </c>
      <c r="D116">
        <v>7.0118333333333318</v>
      </c>
      <c r="H116" s="3"/>
    </row>
    <row r="117" spans="1:8" x14ac:dyDescent="0.2">
      <c r="A117" t="s">
        <v>264</v>
      </c>
      <c r="B117">
        <v>4.5579999999999998</v>
      </c>
      <c r="C117">
        <v>11.102</v>
      </c>
      <c r="D117">
        <v>7.511166666666667</v>
      </c>
      <c r="H117" s="3"/>
    </row>
    <row r="118" spans="1:8" x14ac:dyDescent="0.2">
      <c r="A118" t="s">
        <v>265</v>
      </c>
      <c r="B118">
        <v>0.27300000000000002</v>
      </c>
      <c r="C118">
        <v>16.82</v>
      </c>
      <c r="D118">
        <v>8.0665833333333339</v>
      </c>
      <c r="H118" s="3"/>
    </row>
    <row r="119" spans="1:8" x14ac:dyDescent="0.2">
      <c r="A119" t="s">
        <v>266</v>
      </c>
      <c r="B119">
        <v>2.262</v>
      </c>
      <c r="C119">
        <v>23.327999999999999</v>
      </c>
      <c r="D119">
        <v>11.924583333333331</v>
      </c>
      <c r="H119" s="3"/>
    </row>
    <row r="120" spans="1:8" x14ac:dyDescent="0.2">
      <c r="A120" t="s">
        <v>267</v>
      </c>
      <c r="B120">
        <v>9.41</v>
      </c>
      <c r="C120">
        <v>19.651</v>
      </c>
      <c r="D120">
        <v>14.15025</v>
      </c>
      <c r="H120" s="3"/>
    </row>
    <row r="121" spans="1:8" x14ac:dyDescent="0.2">
      <c r="A121" t="s">
        <v>268</v>
      </c>
      <c r="B121">
        <v>7.6950000000000003</v>
      </c>
      <c r="C121">
        <v>21.556999999999999</v>
      </c>
      <c r="D121">
        <v>14.809333333333329</v>
      </c>
      <c r="H121" s="3"/>
    </row>
    <row r="122" spans="1:8" x14ac:dyDescent="0.2">
      <c r="A122" t="s">
        <v>269</v>
      </c>
      <c r="B122">
        <v>8.891</v>
      </c>
      <c r="C122">
        <v>27.998000000000001</v>
      </c>
      <c r="D122">
        <v>18.209583333333331</v>
      </c>
      <c r="H122" s="3"/>
    </row>
    <row r="123" spans="1:8" x14ac:dyDescent="0.2">
      <c r="A123" t="s">
        <v>270</v>
      </c>
      <c r="B123">
        <v>10.541</v>
      </c>
      <c r="C123">
        <v>28.196000000000002</v>
      </c>
      <c r="D123">
        <v>19.111583333333328</v>
      </c>
      <c r="H123" s="3"/>
    </row>
    <row r="124" spans="1:8" x14ac:dyDescent="0.2">
      <c r="A124" t="s">
        <v>271</v>
      </c>
      <c r="B124">
        <v>11.102</v>
      </c>
      <c r="C124">
        <v>25.768000000000001</v>
      </c>
      <c r="D124">
        <v>17.456916666666672</v>
      </c>
      <c r="E124">
        <v>21.76</v>
      </c>
      <c r="H124" s="3"/>
    </row>
    <row r="125" spans="1:8" x14ac:dyDescent="0.2">
      <c r="A125" t="s">
        <v>272</v>
      </c>
      <c r="B125">
        <v>10.000999999999999</v>
      </c>
      <c r="C125">
        <v>14.098000000000001</v>
      </c>
      <c r="D125">
        <v>12.386416666666671</v>
      </c>
      <c r="H125" s="3"/>
    </row>
    <row r="126" spans="1:8" x14ac:dyDescent="0.2">
      <c r="A126" t="s">
        <v>273</v>
      </c>
      <c r="B126">
        <v>5.77</v>
      </c>
      <c r="C126">
        <v>19.841000000000001</v>
      </c>
      <c r="D126">
        <v>12.58716666666667</v>
      </c>
      <c r="H126" s="3"/>
    </row>
    <row r="127" spans="1:8" x14ac:dyDescent="0.2">
      <c r="A127" t="s">
        <v>274</v>
      </c>
      <c r="B127">
        <v>12.775</v>
      </c>
      <c r="C127">
        <v>20.411999999999999</v>
      </c>
      <c r="D127">
        <v>15.790583333333331</v>
      </c>
      <c r="H127" s="3"/>
    </row>
    <row r="128" spans="1:8" x14ac:dyDescent="0.2">
      <c r="A128" t="s">
        <v>275</v>
      </c>
      <c r="B128">
        <v>13.738</v>
      </c>
      <c r="C128">
        <v>16.129000000000001</v>
      </c>
      <c r="D128">
        <v>14.568416666666669</v>
      </c>
      <c r="E128">
        <v>6.43</v>
      </c>
      <c r="H128" s="3"/>
    </row>
    <row r="129" spans="1:8" x14ac:dyDescent="0.2">
      <c r="A129" t="s">
        <v>276</v>
      </c>
      <c r="B129">
        <v>12.484999999999999</v>
      </c>
      <c r="C129">
        <v>17.152999999999999</v>
      </c>
      <c r="D129">
        <v>14.46383333333333</v>
      </c>
      <c r="E129">
        <v>11.98</v>
      </c>
      <c r="H129" s="3"/>
    </row>
    <row r="130" spans="1:8" x14ac:dyDescent="0.2">
      <c r="A130" t="s">
        <v>277</v>
      </c>
      <c r="B130">
        <v>9.3610000000000007</v>
      </c>
      <c r="C130">
        <v>20.007000000000001</v>
      </c>
      <c r="D130">
        <v>14.1195</v>
      </c>
      <c r="H130" s="3"/>
    </row>
    <row r="131" spans="1:8" x14ac:dyDescent="0.2">
      <c r="A131" t="s">
        <v>278</v>
      </c>
      <c r="B131">
        <v>6.1790000000000003</v>
      </c>
      <c r="C131">
        <v>22.274000000000001</v>
      </c>
      <c r="D131">
        <v>14.61158333333333</v>
      </c>
      <c r="H131" s="3"/>
    </row>
    <row r="132" spans="1:8" x14ac:dyDescent="0.2">
      <c r="A132" t="s">
        <v>279</v>
      </c>
      <c r="B132">
        <v>7.5940000000000003</v>
      </c>
      <c r="C132">
        <v>24.242999999999999</v>
      </c>
      <c r="D132">
        <v>16.18183333333333</v>
      </c>
      <c r="H132" s="3"/>
    </row>
    <row r="133" spans="1:8" x14ac:dyDescent="0.2">
      <c r="A133" t="s">
        <v>280</v>
      </c>
      <c r="B133">
        <v>8.4440000000000008</v>
      </c>
      <c r="C133">
        <v>25.501000000000001</v>
      </c>
      <c r="D133">
        <v>17.179916666666671</v>
      </c>
      <c r="H133" s="3"/>
    </row>
    <row r="134" spans="1:8" x14ac:dyDescent="0.2">
      <c r="A134" t="s">
        <v>281</v>
      </c>
      <c r="B134">
        <v>9.657</v>
      </c>
      <c r="C134">
        <v>26.965</v>
      </c>
      <c r="D134">
        <v>18.347999999999999</v>
      </c>
      <c r="H134" s="3"/>
    </row>
    <row r="135" spans="1:8" x14ac:dyDescent="0.2">
      <c r="A135" t="s">
        <v>282</v>
      </c>
      <c r="B135">
        <v>9.8290000000000006</v>
      </c>
      <c r="C135">
        <v>25.574000000000002</v>
      </c>
      <c r="D135">
        <v>18.37691666666667</v>
      </c>
      <c r="H135" s="3"/>
    </row>
    <row r="136" spans="1:8" x14ac:dyDescent="0.2">
      <c r="A136" t="s">
        <v>283</v>
      </c>
      <c r="B136">
        <v>10.026</v>
      </c>
      <c r="C136">
        <v>27.504999999999999</v>
      </c>
      <c r="D136">
        <v>19.259250000000002</v>
      </c>
      <c r="H136" s="3"/>
    </row>
    <row r="137" spans="1:8" x14ac:dyDescent="0.2">
      <c r="A137" t="s">
        <v>284</v>
      </c>
      <c r="B137">
        <v>10.417999999999999</v>
      </c>
      <c r="C137">
        <v>21.795000000000002</v>
      </c>
      <c r="D137">
        <v>17.337499999999999</v>
      </c>
      <c r="E137">
        <v>0.08</v>
      </c>
      <c r="H137" s="3"/>
    </row>
    <row r="138" spans="1:8" x14ac:dyDescent="0.2">
      <c r="A138" t="s">
        <v>285</v>
      </c>
      <c r="B138">
        <v>14.912000000000001</v>
      </c>
      <c r="C138">
        <v>22.321000000000002</v>
      </c>
      <c r="D138">
        <v>17.907916666666669</v>
      </c>
      <c r="E138">
        <v>0.61</v>
      </c>
      <c r="H138" s="3"/>
    </row>
    <row r="139" spans="1:8" x14ac:dyDescent="0.2">
      <c r="A139" t="s">
        <v>286</v>
      </c>
      <c r="B139">
        <v>13.81</v>
      </c>
      <c r="C139">
        <v>17.652999999999999</v>
      </c>
      <c r="D139">
        <v>15.215249999999999</v>
      </c>
      <c r="H139" s="3"/>
    </row>
    <row r="140" spans="1:8" x14ac:dyDescent="0.2">
      <c r="A140" t="s">
        <v>287</v>
      </c>
      <c r="B140">
        <v>11.443</v>
      </c>
      <c r="C140">
        <v>18.937000000000001</v>
      </c>
      <c r="D140">
        <v>14.5525</v>
      </c>
      <c r="E140">
        <v>18.510000000000002</v>
      </c>
      <c r="H140" s="3"/>
    </row>
    <row r="141" spans="1:8" x14ac:dyDescent="0.2">
      <c r="A141" t="s">
        <v>288</v>
      </c>
      <c r="B141">
        <v>12.798999999999999</v>
      </c>
      <c r="C141">
        <v>19.817</v>
      </c>
      <c r="D141">
        <v>15.32858333333334</v>
      </c>
      <c r="H141" s="3"/>
    </row>
    <row r="142" spans="1:8" x14ac:dyDescent="0.2">
      <c r="A142" t="s">
        <v>289</v>
      </c>
      <c r="B142">
        <v>11.175000000000001</v>
      </c>
      <c r="C142">
        <v>24.242999999999999</v>
      </c>
      <c r="D142">
        <v>16.309416666666671</v>
      </c>
      <c r="H142" s="3"/>
    </row>
    <row r="143" spans="1:8" x14ac:dyDescent="0.2">
      <c r="A143" t="s">
        <v>290</v>
      </c>
      <c r="B143">
        <v>12.170999999999999</v>
      </c>
      <c r="C143">
        <v>21.222999999999999</v>
      </c>
      <c r="D143">
        <v>16.415333333333329</v>
      </c>
      <c r="E143">
        <v>6.17</v>
      </c>
      <c r="H143" s="3"/>
    </row>
    <row r="144" spans="1:8" x14ac:dyDescent="0.2">
      <c r="A144" t="s">
        <v>291</v>
      </c>
      <c r="B144">
        <v>13.161</v>
      </c>
      <c r="C144">
        <v>20.65</v>
      </c>
      <c r="D144">
        <v>16.429333333333329</v>
      </c>
      <c r="H144" s="3"/>
    </row>
    <row r="145" spans="1:8" x14ac:dyDescent="0.2">
      <c r="A145" t="s">
        <v>292</v>
      </c>
      <c r="B145">
        <v>8.8659999999999997</v>
      </c>
      <c r="C145">
        <v>23.497</v>
      </c>
      <c r="D145">
        <v>16.440999999999999</v>
      </c>
      <c r="E145">
        <v>7.75</v>
      </c>
      <c r="H145" s="3"/>
    </row>
    <row r="146" spans="1:8" x14ac:dyDescent="0.2">
      <c r="A146" t="s">
        <v>293</v>
      </c>
      <c r="B146">
        <v>13.882</v>
      </c>
      <c r="C146">
        <v>21.27</v>
      </c>
      <c r="D146">
        <v>16.066166666666671</v>
      </c>
      <c r="H146" s="3"/>
    </row>
    <row r="147" spans="1:8" x14ac:dyDescent="0.2">
      <c r="A147" t="s">
        <v>294</v>
      </c>
      <c r="B147">
        <v>12.871</v>
      </c>
      <c r="C147">
        <v>23.664999999999999</v>
      </c>
      <c r="D147">
        <v>17.311166666666669</v>
      </c>
      <c r="H147" s="3"/>
    </row>
    <row r="148" spans="1:8" x14ac:dyDescent="0.2">
      <c r="A148" t="s">
        <v>295</v>
      </c>
      <c r="B148">
        <v>10.516</v>
      </c>
      <c r="C148">
        <v>25.452999999999999</v>
      </c>
      <c r="D148">
        <v>17.76316666666667</v>
      </c>
      <c r="H148" s="3"/>
    </row>
    <row r="149" spans="1:8" x14ac:dyDescent="0.2">
      <c r="A149" t="s">
        <v>296</v>
      </c>
      <c r="B149">
        <v>13.377000000000001</v>
      </c>
      <c r="C149">
        <v>23.664999999999999</v>
      </c>
      <c r="D149">
        <v>18.042750000000002</v>
      </c>
      <c r="H149" s="3"/>
    </row>
    <row r="150" spans="1:8" x14ac:dyDescent="0.2">
      <c r="A150" t="s">
        <v>297</v>
      </c>
      <c r="B150">
        <v>10.907</v>
      </c>
      <c r="C150">
        <v>21.222999999999999</v>
      </c>
      <c r="D150">
        <v>16.206916666666661</v>
      </c>
      <c r="E150">
        <v>8.34</v>
      </c>
      <c r="H150" s="3"/>
    </row>
    <row r="151" spans="1:8" x14ac:dyDescent="0.2">
      <c r="A151" t="s">
        <v>298</v>
      </c>
      <c r="B151">
        <v>13.978</v>
      </c>
      <c r="C151">
        <v>19.175000000000001</v>
      </c>
      <c r="D151">
        <v>16.877916666666671</v>
      </c>
      <c r="H151" s="3"/>
    </row>
    <row r="152" spans="1:8" x14ac:dyDescent="0.2">
      <c r="A152" t="s">
        <v>299</v>
      </c>
      <c r="B152">
        <v>13.57</v>
      </c>
      <c r="C152">
        <v>19.245999999999999</v>
      </c>
      <c r="D152">
        <v>15.685083333333329</v>
      </c>
      <c r="H152" s="3"/>
    </row>
    <row r="153" spans="1:8" x14ac:dyDescent="0.2">
      <c r="A153" t="s">
        <v>300</v>
      </c>
      <c r="B153">
        <v>12.847</v>
      </c>
      <c r="C153">
        <v>19.032</v>
      </c>
      <c r="D153">
        <v>15.69975</v>
      </c>
      <c r="E153">
        <v>9.0399999999999991</v>
      </c>
      <c r="H153" s="3"/>
    </row>
    <row r="154" spans="1:8" x14ac:dyDescent="0.2">
      <c r="A154" t="s">
        <v>301</v>
      </c>
      <c r="B154">
        <v>14.648999999999999</v>
      </c>
      <c r="C154">
        <v>19.413</v>
      </c>
      <c r="D154">
        <v>16.574249999999999</v>
      </c>
      <c r="E154">
        <v>20</v>
      </c>
      <c r="H154" s="3"/>
    </row>
    <row r="155" spans="1:8" x14ac:dyDescent="0.2">
      <c r="A155" t="s">
        <v>302</v>
      </c>
      <c r="B155">
        <v>16.033999999999999</v>
      </c>
      <c r="C155">
        <v>20.007000000000001</v>
      </c>
      <c r="D155">
        <v>17.72775</v>
      </c>
      <c r="H155" s="3"/>
    </row>
    <row r="156" spans="1:8" x14ac:dyDescent="0.2">
      <c r="A156" t="s">
        <v>303</v>
      </c>
      <c r="B156">
        <v>13.618</v>
      </c>
      <c r="C156">
        <v>20.673999999999999</v>
      </c>
      <c r="D156">
        <v>16.450749999999999</v>
      </c>
      <c r="H156" s="3"/>
    </row>
    <row r="157" spans="1:8" x14ac:dyDescent="0.2">
      <c r="A157" t="s">
        <v>304</v>
      </c>
      <c r="B157">
        <v>8.3689999999999998</v>
      </c>
      <c r="C157">
        <v>24.001999999999999</v>
      </c>
      <c r="D157">
        <v>15.99058333333333</v>
      </c>
      <c r="H157" s="3"/>
    </row>
    <row r="158" spans="1:8" x14ac:dyDescent="0.2">
      <c r="A158" t="s">
        <v>305</v>
      </c>
      <c r="B158">
        <v>12.63</v>
      </c>
      <c r="C158">
        <v>23.376000000000001</v>
      </c>
      <c r="D158">
        <v>16.880916666666661</v>
      </c>
      <c r="E158">
        <v>1.1299999999999999</v>
      </c>
      <c r="H158" s="3"/>
    </row>
    <row r="159" spans="1:8" x14ac:dyDescent="0.2">
      <c r="A159" t="s">
        <v>306</v>
      </c>
      <c r="B159">
        <v>9.5830000000000002</v>
      </c>
      <c r="C159">
        <v>24.242999999999999</v>
      </c>
      <c r="D159">
        <v>16.462166666666661</v>
      </c>
      <c r="H159" s="3"/>
    </row>
    <row r="160" spans="1:8" x14ac:dyDescent="0.2">
      <c r="A160" t="s">
        <v>307</v>
      </c>
      <c r="B160">
        <v>8.3689999999999998</v>
      </c>
      <c r="C160">
        <v>24.097999999999999</v>
      </c>
      <c r="D160">
        <v>16.817916666666669</v>
      </c>
      <c r="H160" s="3"/>
    </row>
    <row r="161" spans="1:8" x14ac:dyDescent="0.2">
      <c r="A161" t="s">
        <v>308</v>
      </c>
      <c r="B161">
        <v>8.593</v>
      </c>
      <c r="C161">
        <v>26.012</v>
      </c>
      <c r="D161">
        <v>17.866583333333331</v>
      </c>
      <c r="H161" s="3"/>
    </row>
    <row r="162" spans="1:8" x14ac:dyDescent="0.2">
      <c r="A162" t="s">
        <v>309</v>
      </c>
      <c r="B162">
        <v>12.170999999999999</v>
      </c>
      <c r="C162">
        <v>22.8</v>
      </c>
      <c r="D162">
        <v>17.832999999999998</v>
      </c>
      <c r="H162" s="3"/>
    </row>
    <row r="163" spans="1:8" x14ac:dyDescent="0.2">
      <c r="A163" t="s">
        <v>310</v>
      </c>
      <c r="B163">
        <v>8.4440000000000008</v>
      </c>
      <c r="C163">
        <v>21.939</v>
      </c>
      <c r="D163">
        <v>15.49925</v>
      </c>
      <c r="H163" s="3"/>
    </row>
    <row r="164" spans="1:8" x14ac:dyDescent="0.2">
      <c r="A164" t="s">
        <v>311</v>
      </c>
      <c r="B164">
        <v>10.834</v>
      </c>
      <c r="C164">
        <v>17.795999999999999</v>
      </c>
      <c r="D164">
        <v>14.205083333333331</v>
      </c>
      <c r="H164" s="3"/>
    </row>
    <row r="165" spans="1:8" x14ac:dyDescent="0.2">
      <c r="A165" t="s">
        <v>312</v>
      </c>
      <c r="B165">
        <v>8.02</v>
      </c>
      <c r="C165">
        <v>18.224</v>
      </c>
      <c r="D165">
        <v>13.63691666666667</v>
      </c>
      <c r="H165" s="3"/>
    </row>
    <row r="166" spans="1:8" x14ac:dyDescent="0.2">
      <c r="A166" t="s">
        <v>313</v>
      </c>
      <c r="B166">
        <v>8.9160000000000004</v>
      </c>
      <c r="C166">
        <v>21.413</v>
      </c>
      <c r="D166">
        <v>15.18275</v>
      </c>
      <c r="H166" s="3"/>
    </row>
    <row r="167" spans="1:8" x14ac:dyDescent="0.2">
      <c r="A167" t="s">
        <v>314</v>
      </c>
      <c r="B167">
        <v>10.760999999999999</v>
      </c>
      <c r="C167">
        <v>19.603000000000002</v>
      </c>
      <c r="D167">
        <v>15.149749999999999</v>
      </c>
      <c r="H167" s="3"/>
    </row>
    <row r="168" spans="1:8" x14ac:dyDescent="0.2">
      <c r="A168" t="s">
        <v>315</v>
      </c>
      <c r="B168">
        <v>14.385</v>
      </c>
      <c r="C168">
        <v>22.13</v>
      </c>
      <c r="D168">
        <v>17.69125</v>
      </c>
      <c r="H168" s="3"/>
    </row>
    <row r="169" spans="1:8" x14ac:dyDescent="0.2">
      <c r="A169" t="s">
        <v>316</v>
      </c>
      <c r="B169">
        <v>10.932</v>
      </c>
      <c r="C169">
        <v>21.318000000000001</v>
      </c>
      <c r="D169">
        <v>16.89991666666667</v>
      </c>
      <c r="E169">
        <v>9.36</v>
      </c>
      <c r="H169" s="3"/>
    </row>
    <row r="170" spans="1:8" x14ac:dyDescent="0.2">
      <c r="A170" t="s">
        <v>317</v>
      </c>
      <c r="B170">
        <v>15.843</v>
      </c>
      <c r="C170">
        <v>24.122</v>
      </c>
      <c r="D170">
        <v>19.379583333333329</v>
      </c>
      <c r="H170" s="3"/>
    </row>
    <row r="171" spans="1:8" x14ac:dyDescent="0.2">
      <c r="A171" t="s">
        <v>318</v>
      </c>
      <c r="B171">
        <v>13.81</v>
      </c>
      <c r="C171">
        <v>28.196000000000002</v>
      </c>
      <c r="D171">
        <v>20.908000000000001</v>
      </c>
      <c r="E171">
        <v>0.65</v>
      </c>
      <c r="H171" s="3"/>
    </row>
    <row r="172" spans="1:8" x14ac:dyDescent="0.2">
      <c r="A172" t="s">
        <v>319</v>
      </c>
      <c r="B172">
        <v>15.414</v>
      </c>
      <c r="C172">
        <v>20.65</v>
      </c>
      <c r="D172">
        <v>17.604749999999999</v>
      </c>
      <c r="E172">
        <v>4.82</v>
      </c>
      <c r="H172" s="3"/>
    </row>
    <row r="173" spans="1:8" x14ac:dyDescent="0.2">
      <c r="A173" t="s">
        <v>320</v>
      </c>
      <c r="B173">
        <v>11.37</v>
      </c>
      <c r="C173">
        <v>24.677</v>
      </c>
      <c r="D173">
        <v>18.199750000000002</v>
      </c>
      <c r="H173" s="3"/>
    </row>
    <row r="174" spans="1:8" x14ac:dyDescent="0.2">
      <c r="A174" t="s">
        <v>321</v>
      </c>
      <c r="B174">
        <v>17.914999999999999</v>
      </c>
      <c r="C174">
        <v>25.501000000000001</v>
      </c>
      <c r="D174">
        <v>20.342083333333331</v>
      </c>
      <c r="H174" s="3"/>
    </row>
    <row r="175" spans="1:8" x14ac:dyDescent="0.2">
      <c r="A175" t="s">
        <v>322</v>
      </c>
      <c r="B175">
        <v>13.185</v>
      </c>
      <c r="C175">
        <v>21.986999999999998</v>
      </c>
      <c r="D175">
        <v>17.732250000000001</v>
      </c>
      <c r="E175">
        <v>12.87</v>
      </c>
      <c r="H175" s="3"/>
    </row>
    <row r="176" spans="1:8" x14ac:dyDescent="0.2">
      <c r="A176" t="s">
        <v>323</v>
      </c>
      <c r="B176">
        <v>14.266</v>
      </c>
      <c r="C176">
        <v>24.581</v>
      </c>
      <c r="D176">
        <v>19.230333333333331</v>
      </c>
      <c r="H176" s="3"/>
    </row>
    <row r="177" spans="1:8" x14ac:dyDescent="0.2">
      <c r="A177" t="s">
        <v>324</v>
      </c>
      <c r="B177">
        <v>12.944000000000001</v>
      </c>
      <c r="C177">
        <v>28.023</v>
      </c>
      <c r="D177">
        <v>20.862500000000001</v>
      </c>
      <c r="H177" s="3"/>
    </row>
    <row r="178" spans="1:8" x14ac:dyDescent="0.2">
      <c r="A178" t="s">
        <v>325</v>
      </c>
      <c r="B178">
        <v>13.786</v>
      </c>
      <c r="C178">
        <v>30.797999999999998</v>
      </c>
      <c r="D178">
        <v>22.48491666666667</v>
      </c>
      <c r="H178" s="3"/>
    </row>
    <row r="179" spans="1:8" x14ac:dyDescent="0.2">
      <c r="A179" t="s">
        <v>326</v>
      </c>
      <c r="B179">
        <v>15.557</v>
      </c>
      <c r="C179">
        <v>32.741999999999997</v>
      </c>
      <c r="D179">
        <v>23.61825</v>
      </c>
      <c r="E179">
        <v>0.12</v>
      </c>
      <c r="H179" s="3"/>
    </row>
    <row r="180" spans="1:8" x14ac:dyDescent="0.2">
      <c r="A180" t="s">
        <v>327</v>
      </c>
      <c r="B180">
        <v>18.603999999999999</v>
      </c>
      <c r="C180">
        <v>30.925000000000001</v>
      </c>
      <c r="D180">
        <v>24.715166666666669</v>
      </c>
      <c r="E180">
        <v>0.3</v>
      </c>
      <c r="H180" s="3"/>
    </row>
    <row r="181" spans="1:8" x14ac:dyDescent="0.2">
      <c r="A181" t="s">
        <v>328</v>
      </c>
      <c r="B181">
        <v>18.603999999999999</v>
      </c>
      <c r="C181">
        <v>28.890999999999998</v>
      </c>
      <c r="D181">
        <v>23.3005</v>
      </c>
      <c r="H181" s="3"/>
    </row>
    <row r="182" spans="1:8" x14ac:dyDescent="0.2">
      <c r="A182" t="s">
        <v>329</v>
      </c>
      <c r="B182">
        <v>12.847</v>
      </c>
      <c r="C182">
        <v>32.33</v>
      </c>
      <c r="D182">
        <v>22.305</v>
      </c>
      <c r="H182" s="3"/>
    </row>
    <row r="183" spans="1:8" x14ac:dyDescent="0.2">
      <c r="A183" t="s">
        <v>330</v>
      </c>
      <c r="B183">
        <v>17.13</v>
      </c>
      <c r="C183">
        <v>25.477</v>
      </c>
      <c r="D183">
        <v>20.106833333333331</v>
      </c>
      <c r="H183" s="3"/>
    </row>
    <row r="184" spans="1:8" x14ac:dyDescent="0.2">
      <c r="A184" t="s">
        <v>331</v>
      </c>
      <c r="B184">
        <v>16.367999999999999</v>
      </c>
      <c r="C184">
        <v>21.675999999999998</v>
      </c>
      <c r="D184">
        <v>18.096916666666662</v>
      </c>
      <c r="E184">
        <v>18.55</v>
      </c>
      <c r="H184" s="3"/>
    </row>
    <row r="185" spans="1:8" x14ac:dyDescent="0.2">
      <c r="A185" t="s">
        <v>332</v>
      </c>
      <c r="B185">
        <v>14.816000000000001</v>
      </c>
      <c r="C185">
        <v>18.984999999999999</v>
      </c>
      <c r="D185">
        <v>16.372166666666661</v>
      </c>
      <c r="E185">
        <v>6</v>
      </c>
      <c r="H185" s="3"/>
    </row>
    <row r="186" spans="1:8" x14ac:dyDescent="0.2">
      <c r="A186" t="s">
        <v>333</v>
      </c>
      <c r="B186">
        <v>12.098000000000001</v>
      </c>
      <c r="C186">
        <v>19.056000000000001</v>
      </c>
      <c r="D186">
        <v>14.92166666666667</v>
      </c>
      <c r="H186" s="3"/>
    </row>
    <row r="187" spans="1:8" x14ac:dyDescent="0.2">
      <c r="A187" t="s">
        <v>334</v>
      </c>
      <c r="B187">
        <v>12.074</v>
      </c>
      <c r="C187">
        <v>22.992000000000001</v>
      </c>
      <c r="D187">
        <v>17.015333333333331</v>
      </c>
      <c r="H187" s="3"/>
    </row>
    <row r="188" spans="1:8" x14ac:dyDescent="0.2">
      <c r="A188" t="s">
        <v>335</v>
      </c>
      <c r="B188">
        <v>11.807</v>
      </c>
      <c r="C188">
        <v>23.16</v>
      </c>
      <c r="D188">
        <v>17.249749999999999</v>
      </c>
      <c r="H188" s="3"/>
    </row>
    <row r="189" spans="1:8" x14ac:dyDescent="0.2">
      <c r="A189" t="s">
        <v>134</v>
      </c>
      <c r="B189">
        <v>12.654</v>
      </c>
      <c r="C189">
        <v>25.72</v>
      </c>
      <c r="D189">
        <v>18.904166666666669</v>
      </c>
      <c r="H189" s="3"/>
    </row>
    <row r="190" spans="1:8" x14ac:dyDescent="0.2">
      <c r="A190" t="s">
        <v>135</v>
      </c>
      <c r="B190">
        <v>9.4350000000000005</v>
      </c>
      <c r="C190">
        <v>23.184000000000001</v>
      </c>
      <c r="D190">
        <v>17.51316666666667</v>
      </c>
      <c r="H190" s="3"/>
    </row>
    <row r="191" spans="1:8" x14ac:dyDescent="0.2">
      <c r="A191" t="s">
        <v>336</v>
      </c>
      <c r="B191">
        <v>9.7560000000000002</v>
      </c>
      <c r="C191">
        <v>26.256</v>
      </c>
      <c r="D191">
        <v>19.174833333333329</v>
      </c>
      <c r="H191" s="3"/>
    </row>
    <row r="192" spans="1:8" x14ac:dyDescent="0.2">
      <c r="A192" t="s">
        <v>337</v>
      </c>
      <c r="B192">
        <v>13.545999999999999</v>
      </c>
      <c r="C192">
        <v>33.390999999999998</v>
      </c>
      <c r="D192">
        <v>23.894749999999998</v>
      </c>
      <c r="E192">
        <v>2.81</v>
      </c>
      <c r="H192" s="3"/>
    </row>
    <row r="193" spans="1:8" x14ac:dyDescent="0.2">
      <c r="A193" t="s">
        <v>338</v>
      </c>
      <c r="B193">
        <v>19.151</v>
      </c>
      <c r="C193">
        <v>28.146999999999998</v>
      </c>
      <c r="D193">
        <v>22.084</v>
      </c>
      <c r="E193">
        <v>24.7</v>
      </c>
      <c r="H193" s="3"/>
    </row>
    <row r="194" spans="1:8" x14ac:dyDescent="0.2">
      <c r="A194" t="s">
        <v>339</v>
      </c>
      <c r="B194">
        <v>18.484999999999999</v>
      </c>
      <c r="C194">
        <v>27.087</v>
      </c>
      <c r="D194">
        <v>22.513833333333331</v>
      </c>
      <c r="E194">
        <v>3.87</v>
      </c>
      <c r="H194" s="3"/>
    </row>
    <row r="195" spans="1:8" x14ac:dyDescent="0.2">
      <c r="A195" t="s">
        <v>340</v>
      </c>
      <c r="B195">
        <v>17.271999999999998</v>
      </c>
      <c r="C195">
        <v>27.283999999999999</v>
      </c>
      <c r="D195">
        <v>21.319083333333332</v>
      </c>
      <c r="H195" s="3"/>
    </row>
    <row r="196" spans="1:8" x14ac:dyDescent="0.2">
      <c r="A196" t="s">
        <v>341</v>
      </c>
      <c r="B196">
        <v>14.625</v>
      </c>
      <c r="C196">
        <v>24.097999999999999</v>
      </c>
      <c r="D196">
        <v>18.543416666666669</v>
      </c>
      <c r="H196" s="3"/>
    </row>
    <row r="197" spans="1:8" x14ac:dyDescent="0.2">
      <c r="A197" t="s">
        <v>342</v>
      </c>
      <c r="B197">
        <v>12.678000000000001</v>
      </c>
      <c r="C197">
        <v>26.841999999999999</v>
      </c>
      <c r="D197">
        <v>19.77783333333333</v>
      </c>
      <c r="H197" s="3"/>
    </row>
    <row r="198" spans="1:8" x14ac:dyDescent="0.2">
      <c r="A198" t="s">
        <v>343</v>
      </c>
      <c r="B198">
        <v>12.678000000000001</v>
      </c>
      <c r="C198">
        <v>31.026</v>
      </c>
      <c r="D198">
        <v>21.909833333333339</v>
      </c>
      <c r="E198">
        <v>11.62</v>
      </c>
      <c r="H198" s="3"/>
    </row>
    <row r="199" spans="1:8" x14ac:dyDescent="0.2">
      <c r="A199" t="s">
        <v>344</v>
      </c>
      <c r="B199">
        <v>18.318999999999999</v>
      </c>
      <c r="C199">
        <v>24.725999999999999</v>
      </c>
      <c r="D199">
        <v>20.729416666666669</v>
      </c>
      <c r="E199">
        <v>0.37</v>
      </c>
      <c r="H199" s="3"/>
    </row>
    <row r="200" spans="1:8" x14ac:dyDescent="0.2">
      <c r="A200" t="s">
        <v>345</v>
      </c>
      <c r="B200">
        <v>15.366</v>
      </c>
      <c r="C200">
        <v>25.597999999999999</v>
      </c>
      <c r="D200">
        <v>20.185583333333341</v>
      </c>
      <c r="H200" s="3"/>
    </row>
    <row r="201" spans="1:8" x14ac:dyDescent="0.2">
      <c r="A201" t="s">
        <v>136</v>
      </c>
      <c r="B201">
        <v>13.233000000000001</v>
      </c>
      <c r="C201">
        <v>29.015000000000001</v>
      </c>
      <c r="D201">
        <v>21.472666666666669</v>
      </c>
      <c r="H201" s="3"/>
    </row>
    <row r="202" spans="1:8" x14ac:dyDescent="0.2">
      <c r="A202" t="s">
        <v>346</v>
      </c>
      <c r="B202">
        <v>14.05</v>
      </c>
      <c r="C202">
        <v>31.663</v>
      </c>
      <c r="D202">
        <v>22.977916666666669</v>
      </c>
      <c r="H202" s="3"/>
    </row>
    <row r="203" spans="1:8" x14ac:dyDescent="0.2">
      <c r="A203" t="s">
        <v>347</v>
      </c>
      <c r="B203">
        <v>16.391999999999999</v>
      </c>
      <c r="C203">
        <v>33.052999999999997</v>
      </c>
      <c r="D203">
        <v>24.7225</v>
      </c>
      <c r="H203" s="3"/>
    </row>
    <row r="204" spans="1:8" x14ac:dyDescent="0.2">
      <c r="A204" t="s">
        <v>348</v>
      </c>
      <c r="B204">
        <v>18.224</v>
      </c>
      <c r="C204">
        <v>30.041</v>
      </c>
      <c r="D204">
        <v>24.229333333333329</v>
      </c>
      <c r="E204">
        <v>0.33</v>
      </c>
      <c r="H204" s="3"/>
    </row>
    <row r="205" spans="1:8" x14ac:dyDescent="0.2">
      <c r="A205" t="s">
        <v>349</v>
      </c>
      <c r="B205">
        <v>19.413</v>
      </c>
      <c r="C205">
        <v>27.358000000000001</v>
      </c>
      <c r="D205">
        <v>23.200583333333331</v>
      </c>
      <c r="H205" s="3"/>
    </row>
    <row r="206" spans="1:8" x14ac:dyDescent="0.2">
      <c r="A206" t="s">
        <v>350</v>
      </c>
      <c r="B206">
        <v>14.601000000000001</v>
      </c>
      <c r="C206">
        <v>26.28</v>
      </c>
      <c r="D206">
        <v>21.178333333333331</v>
      </c>
      <c r="E206">
        <v>1.48</v>
      </c>
      <c r="H206" s="3"/>
    </row>
    <row r="207" spans="1:8" x14ac:dyDescent="0.2">
      <c r="A207" t="s">
        <v>351</v>
      </c>
      <c r="B207">
        <v>16.939</v>
      </c>
      <c r="C207">
        <v>24.919</v>
      </c>
      <c r="D207">
        <v>20.360416666666669</v>
      </c>
      <c r="H207" s="3"/>
    </row>
    <row r="208" spans="1:8" x14ac:dyDescent="0.2">
      <c r="A208" t="s">
        <v>352</v>
      </c>
      <c r="B208">
        <v>12.436999999999999</v>
      </c>
      <c r="C208">
        <v>27.382000000000001</v>
      </c>
      <c r="D208">
        <v>19.88666666666667</v>
      </c>
      <c r="H208" s="3"/>
    </row>
    <row r="209" spans="1:8" x14ac:dyDescent="0.2">
      <c r="A209" t="s">
        <v>353</v>
      </c>
      <c r="B209">
        <v>16.891999999999999</v>
      </c>
      <c r="C209">
        <v>24.507999999999999</v>
      </c>
      <c r="D209">
        <v>19.88891666666667</v>
      </c>
      <c r="H209" s="3"/>
    </row>
    <row r="210" spans="1:8" x14ac:dyDescent="0.2">
      <c r="A210" t="s">
        <v>354</v>
      </c>
      <c r="B210">
        <v>18.960999999999999</v>
      </c>
      <c r="C210">
        <v>23.088000000000001</v>
      </c>
      <c r="D210">
        <v>20.52075</v>
      </c>
      <c r="E210">
        <v>26.9</v>
      </c>
      <c r="H210" s="3"/>
    </row>
    <row r="211" spans="1:8" x14ac:dyDescent="0.2">
      <c r="A211" t="s">
        <v>355</v>
      </c>
      <c r="B211">
        <v>15.747999999999999</v>
      </c>
      <c r="C211">
        <v>25.257999999999999</v>
      </c>
      <c r="D211">
        <v>20.445166666666669</v>
      </c>
      <c r="H211" s="3"/>
    </row>
    <row r="212" spans="1:8" x14ac:dyDescent="0.2">
      <c r="A212" t="s">
        <v>356</v>
      </c>
      <c r="B212">
        <v>12.558</v>
      </c>
      <c r="C212">
        <v>28.742000000000001</v>
      </c>
      <c r="D212">
        <v>20.77858333333333</v>
      </c>
      <c r="H212" s="3"/>
    </row>
    <row r="213" spans="1:8" x14ac:dyDescent="0.2">
      <c r="A213" t="s">
        <v>357</v>
      </c>
      <c r="B213">
        <v>13.641999999999999</v>
      </c>
      <c r="C213">
        <v>32.201000000000001</v>
      </c>
      <c r="D213">
        <v>22.792333333333328</v>
      </c>
      <c r="H213" s="3"/>
    </row>
    <row r="214" spans="1:8" x14ac:dyDescent="0.2">
      <c r="A214" t="s">
        <v>358</v>
      </c>
      <c r="B214">
        <v>17.033999999999999</v>
      </c>
      <c r="C214">
        <v>31.815999999999999</v>
      </c>
      <c r="D214">
        <v>23.659833333333339</v>
      </c>
      <c r="E214">
        <v>1.98</v>
      </c>
      <c r="H214" s="3"/>
    </row>
    <row r="215" spans="1:8" x14ac:dyDescent="0.2">
      <c r="A215" t="s">
        <v>359</v>
      </c>
      <c r="B215">
        <v>17.414999999999999</v>
      </c>
      <c r="C215">
        <v>24.532</v>
      </c>
      <c r="D215">
        <v>21.511916666666661</v>
      </c>
      <c r="E215">
        <v>6.27</v>
      </c>
      <c r="H215" s="3"/>
    </row>
    <row r="216" spans="1:8" x14ac:dyDescent="0.2">
      <c r="A216" t="s">
        <v>360</v>
      </c>
      <c r="B216">
        <v>18.888999999999999</v>
      </c>
      <c r="C216">
        <v>27.111999999999998</v>
      </c>
      <c r="D216">
        <v>22.421416666666669</v>
      </c>
      <c r="H216" s="3"/>
    </row>
    <row r="217" spans="1:8" x14ac:dyDescent="0.2">
      <c r="A217" t="s">
        <v>361</v>
      </c>
      <c r="B217">
        <v>15.724</v>
      </c>
      <c r="C217">
        <v>26.353000000000002</v>
      </c>
      <c r="D217">
        <v>20.700916666666672</v>
      </c>
      <c r="H217" s="3"/>
    </row>
    <row r="218" spans="1:8" x14ac:dyDescent="0.2">
      <c r="A218" t="s">
        <v>362</v>
      </c>
      <c r="B218">
        <v>17.914999999999999</v>
      </c>
      <c r="C218">
        <v>22.728999999999999</v>
      </c>
      <c r="D218">
        <v>20.15625</v>
      </c>
      <c r="E218">
        <v>7.3</v>
      </c>
      <c r="H218" s="3"/>
    </row>
    <row r="219" spans="1:8" x14ac:dyDescent="0.2">
      <c r="A219" t="s">
        <v>363</v>
      </c>
      <c r="B219">
        <v>15.819000000000001</v>
      </c>
      <c r="C219">
        <v>27.332999999999998</v>
      </c>
      <c r="D219">
        <v>20.585666666666661</v>
      </c>
      <c r="H219" s="3"/>
    </row>
    <row r="220" spans="1:8" x14ac:dyDescent="0.2">
      <c r="A220" t="s">
        <v>364</v>
      </c>
      <c r="B220">
        <v>13.497</v>
      </c>
      <c r="C220">
        <v>29.463999999999999</v>
      </c>
      <c r="D220">
        <v>21.37</v>
      </c>
      <c r="H220" s="3"/>
    </row>
    <row r="221" spans="1:8" x14ac:dyDescent="0.2">
      <c r="A221" t="s">
        <v>45</v>
      </c>
      <c r="B221">
        <v>15.819000000000001</v>
      </c>
      <c r="C221">
        <v>28.097000000000001</v>
      </c>
      <c r="D221">
        <v>21.16683333333334</v>
      </c>
      <c r="E221">
        <v>5.03</v>
      </c>
      <c r="H221" s="3"/>
    </row>
    <row r="222" spans="1:8" x14ac:dyDescent="0.2">
      <c r="A222" t="s">
        <v>365</v>
      </c>
      <c r="B222">
        <v>16.414999999999999</v>
      </c>
      <c r="C222">
        <v>26.622</v>
      </c>
      <c r="D222">
        <v>20.794250000000002</v>
      </c>
      <c r="H222" s="3"/>
    </row>
    <row r="223" spans="1:8" x14ac:dyDescent="0.2">
      <c r="A223" t="s">
        <v>137</v>
      </c>
      <c r="B223">
        <v>14.05</v>
      </c>
      <c r="C223">
        <v>28.791</v>
      </c>
      <c r="D223">
        <v>21.29</v>
      </c>
      <c r="H223" s="3"/>
    </row>
    <row r="224" spans="1:8" x14ac:dyDescent="0.2">
      <c r="A224" t="s">
        <v>366</v>
      </c>
      <c r="B224">
        <v>16.773</v>
      </c>
      <c r="C224">
        <v>30.292999999999999</v>
      </c>
      <c r="D224">
        <v>23.218499999999999</v>
      </c>
      <c r="H224" s="3"/>
    </row>
    <row r="225" spans="1:8" x14ac:dyDescent="0.2">
      <c r="A225" t="s">
        <v>367</v>
      </c>
      <c r="B225">
        <v>14.361000000000001</v>
      </c>
      <c r="C225">
        <v>30.773</v>
      </c>
      <c r="D225">
        <v>22.556583333333329</v>
      </c>
      <c r="H225" s="3"/>
    </row>
    <row r="226" spans="1:8" x14ac:dyDescent="0.2">
      <c r="A226" t="s">
        <v>368</v>
      </c>
      <c r="B226">
        <v>15.867000000000001</v>
      </c>
      <c r="C226">
        <v>33.494999999999997</v>
      </c>
      <c r="D226">
        <v>24.695583333333332</v>
      </c>
      <c r="H226" s="3"/>
    </row>
    <row r="227" spans="1:8" x14ac:dyDescent="0.2">
      <c r="A227" t="s">
        <v>138</v>
      </c>
      <c r="B227">
        <v>19.294</v>
      </c>
      <c r="C227">
        <v>35.234999999999999</v>
      </c>
      <c r="D227">
        <v>25.951916666666669</v>
      </c>
      <c r="E227">
        <v>24.07</v>
      </c>
      <c r="H227" s="3"/>
    </row>
    <row r="228" spans="1:8" x14ac:dyDescent="0.2">
      <c r="A228" t="s">
        <v>369</v>
      </c>
      <c r="B228">
        <v>20.079000000000001</v>
      </c>
      <c r="C228">
        <v>29.664999999999999</v>
      </c>
      <c r="D228">
        <v>23.706166666666661</v>
      </c>
      <c r="H228" s="3"/>
    </row>
    <row r="229" spans="1:8" x14ac:dyDescent="0.2">
      <c r="A229" t="s">
        <v>370</v>
      </c>
      <c r="B229">
        <v>17.32</v>
      </c>
      <c r="C229">
        <v>29.14</v>
      </c>
      <c r="D229">
        <v>23.18</v>
      </c>
      <c r="H229" s="3"/>
    </row>
    <row r="230" spans="1:8" x14ac:dyDescent="0.2">
      <c r="A230" t="s">
        <v>371</v>
      </c>
      <c r="B230">
        <v>17.558</v>
      </c>
      <c r="C230">
        <v>30.292999999999999</v>
      </c>
      <c r="D230">
        <v>23.369083333333339</v>
      </c>
      <c r="H230" s="3"/>
    </row>
    <row r="231" spans="1:8" x14ac:dyDescent="0.2">
      <c r="A231" t="s">
        <v>372</v>
      </c>
      <c r="B231">
        <v>16.271999999999998</v>
      </c>
      <c r="C231">
        <v>28.468</v>
      </c>
      <c r="D231">
        <v>21.80041666666666</v>
      </c>
      <c r="E231">
        <v>17.89</v>
      </c>
      <c r="H231" s="3"/>
    </row>
    <row r="232" spans="1:8" x14ac:dyDescent="0.2">
      <c r="A232" t="s">
        <v>373</v>
      </c>
      <c r="B232">
        <v>17.082000000000001</v>
      </c>
      <c r="C232">
        <v>22.657</v>
      </c>
      <c r="D232">
        <v>20.262916666666669</v>
      </c>
      <c r="H232" s="3"/>
    </row>
    <row r="233" spans="1:8" x14ac:dyDescent="0.2">
      <c r="A233" t="s">
        <v>374</v>
      </c>
      <c r="B233">
        <v>13.209</v>
      </c>
      <c r="C233">
        <v>25.015999999999998</v>
      </c>
      <c r="D233">
        <v>18.58391666666666</v>
      </c>
      <c r="H233" s="3"/>
    </row>
    <row r="234" spans="1:8" x14ac:dyDescent="0.2">
      <c r="A234" t="s">
        <v>139</v>
      </c>
      <c r="B234">
        <v>12.292</v>
      </c>
      <c r="C234">
        <v>24.146000000000001</v>
      </c>
      <c r="D234">
        <v>18.32191666666667</v>
      </c>
      <c r="H234" s="3"/>
    </row>
    <row r="235" spans="1:8" x14ac:dyDescent="0.2">
      <c r="A235" t="s">
        <v>375</v>
      </c>
      <c r="B235">
        <v>15.7</v>
      </c>
      <c r="C235">
        <v>23.303999999999998</v>
      </c>
      <c r="D235">
        <v>19.258416666666669</v>
      </c>
      <c r="H235" s="3"/>
    </row>
    <row r="236" spans="1:8" x14ac:dyDescent="0.2">
      <c r="A236" t="s">
        <v>376</v>
      </c>
      <c r="B236">
        <v>10.467000000000001</v>
      </c>
      <c r="C236">
        <v>24.338999999999999</v>
      </c>
      <c r="D236">
        <v>17.207249999999998</v>
      </c>
      <c r="H236" s="3"/>
    </row>
    <row r="237" spans="1:8" x14ac:dyDescent="0.2">
      <c r="A237" t="s">
        <v>377</v>
      </c>
      <c r="B237">
        <v>12.098000000000001</v>
      </c>
      <c r="C237">
        <v>28.841000000000001</v>
      </c>
      <c r="D237">
        <v>20.315750000000001</v>
      </c>
      <c r="H237" s="3"/>
    </row>
    <row r="238" spans="1:8" x14ac:dyDescent="0.2">
      <c r="A238" t="s">
        <v>378</v>
      </c>
      <c r="B238">
        <v>14.84</v>
      </c>
      <c r="C238">
        <v>32.381</v>
      </c>
      <c r="D238">
        <v>23.732250000000001</v>
      </c>
      <c r="E238">
        <v>3.05</v>
      </c>
      <c r="H238" s="3"/>
    </row>
    <row r="239" spans="1:8" x14ac:dyDescent="0.2">
      <c r="A239" t="s">
        <v>140</v>
      </c>
      <c r="B239">
        <v>15.127000000000001</v>
      </c>
      <c r="C239">
        <v>23.376000000000001</v>
      </c>
      <c r="D239">
        <v>19.92283333333333</v>
      </c>
      <c r="H239" s="3"/>
    </row>
    <row r="240" spans="1:8" x14ac:dyDescent="0.2">
      <c r="A240" t="s">
        <v>379</v>
      </c>
      <c r="B240">
        <v>9.4600000000000009</v>
      </c>
      <c r="C240">
        <v>24.702000000000002</v>
      </c>
      <c r="D240">
        <v>16.634916666666669</v>
      </c>
      <c r="H240" s="3"/>
    </row>
    <row r="241" spans="1:8" x14ac:dyDescent="0.2">
      <c r="A241" t="s">
        <v>380</v>
      </c>
      <c r="B241">
        <v>9.8049999999999997</v>
      </c>
      <c r="C241">
        <v>29.19</v>
      </c>
      <c r="D241">
        <v>18.552416666666669</v>
      </c>
      <c r="H241" s="3"/>
    </row>
    <row r="242" spans="1:8" x14ac:dyDescent="0.2">
      <c r="A242" t="s">
        <v>381</v>
      </c>
      <c r="B242">
        <v>12.823</v>
      </c>
      <c r="C242">
        <v>31.077000000000002</v>
      </c>
      <c r="D242">
        <v>21.449249999999999</v>
      </c>
      <c r="H242" s="3"/>
    </row>
    <row r="243" spans="1:8" x14ac:dyDescent="0.2">
      <c r="A243" t="s">
        <v>382</v>
      </c>
      <c r="B243">
        <v>15.651999999999999</v>
      </c>
      <c r="C243">
        <v>33.652000000000001</v>
      </c>
      <c r="D243">
        <v>23.869499999999999</v>
      </c>
      <c r="H243" s="3"/>
    </row>
    <row r="244" spans="1:8" x14ac:dyDescent="0.2">
      <c r="A244" t="s">
        <v>383</v>
      </c>
      <c r="B244">
        <v>19.936</v>
      </c>
      <c r="C244">
        <v>27.751000000000001</v>
      </c>
      <c r="D244">
        <v>23.255833333333332</v>
      </c>
      <c r="H244" s="3"/>
    </row>
    <row r="245" spans="1:8" x14ac:dyDescent="0.2">
      <c r="A245" t="s">
        <v>384</v>
      </c>
      <c r="B245">
        <v>17.748000000000001</v>
      </c>
      <c r="C245">
        <v>30.9</v>
      </c>
      <c r="D245">
        <v>22.961166666666671</v>
      </c>
      <c r="H24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19.83203125" bestFit="1" customWidth="1"/>
    <col min="3" max="3" width="16.1640625" bestFit="1" customWidth="1"/>
    <col min="4" max="4" width="12.6640625" bestFit="1" customWidth="1"/>
    <col min="5" max="7" width="10.5" bestFit="1" customWidth="1"/>
    <col min="8" max="10" width="8" bestFit="1" customWidth="1"/>
    <col min="11" max="11" width="11.5" bestFit="1" customWidth="1"/>
    <col min="12" max="13" width="6.83203125" bestFit="1" customWidth="1"/>
    <col min="14" max="14" width="13.83203125" bestFit="1" customWidth="1"/>
    <col min="15" max="16" width="22.1640625" bestFit="1" customWidth="1"/>
  </cols>
  <sheetData>
    <row r="1" spans="1:16" x14ac:dyDescent="0.2">
      <c r="A1" s="1" t="s">
        <v>110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Accessions</vt:lpstr>
      <vt:lpstr>Design</vt:lpstr>
      <vt:lpstr>Treatments</vt:lpstr>
      <vt:lpstr>Observations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2024_DH_MIC_oats_lupins</dc:title>
  <dc:subject>2024_DH_MIC_oats_lupins</dc:subject>
  <dc:creator>Progeno</dc:creator>
  <cp:keywords>Progeno</cp:keywords>
  <dc:description>Progeno trial template</dc:description>
  <cp:lastModifiedBy>Schlup  Yannik</cp:lastModifiedBy>
  <dcterms:created xsi:type="dcterms:W3CDTF">2025-07-03T13:06:00Z</dcterms:created>
  <dcterms:modified xsi:type="dcterms:W3CDTF">2025-08-05T15:57:52Z</dcterms:modified>
  <cp:category>Trial template</cp:category>
</cp:coreProperties>
</file>