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preparation/"/>
    </mc:Choice>
  </mc:AlternateContent>
  <xr:revisionPtr revIDLastSave="0" documentId="13_ncr:1_{96F18491-3D16-A042-8EB9-A2077EC69D8D}" xr6:coauthVersionLast="47" xr6:coauthVersionMax="47" xr10:uidLastSave="{00000000-0000-0000-0000-000000000000}"/>
  <bookViews>
    <workbookView xWindow="4080" yWindow="500" windowWidth="30240" windowHeight="17320" activeTab="5" xr2:uid="{00000000-000D-0000-FFFF-FFFF00000000}"/>
  </bookViews>
  <sheets>
    <sheet name="Information" sheetId="1" r:id="rId1"/>
    <sheet name="Accessions" sheetId="2" r:id="rId2"/>
    <sheet name="Design" sheetId="3" r:id="rId3"/>
    <sheet name="Treatments" sheetId="4" r:id="rId4"/>
    <sheet name="Observations" sheetId="5" r:id="rId5"/>
    <sheet name="Weather data" sheetId="6" r:id="rId6"/>
    <sheet name="Soil analysis resul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G31" i="6"/>
</calcChain>
</file>

<file path=xl/sharedStrings.xml><?xml version="1.0" encoding="utf-8"?>
<sst xmlns="http://schemas.openxmlformats.org/spreadsheetml/2006/main" count="973" uniqueCount="400">
  <si>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</si>
  <si>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</si>
  <si>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</si>
  <si>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</si>
  <si>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</si>
  <si>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</si>
  <si>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</si>
  <si>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6638fbef4f94ed1cd36ab4f2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</si>
  <si>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</si>
  <si>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</si>
  <si>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</si>
  <si>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</si>
  <si>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</si>
  <si>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2023_DH_MIC_oats_lupins</t>
  </si>
  <si>
    <t>Work package</t>
  </si>
  <si>
    <t>WP2 or WP3</t>
  </si>
  <si>
    <t>WP3</t>
  </si>
  <si>
    <t>Goal</t>
  </si>
  <si>
    <t>The main breeding goal in case of WP2, the type of trial in case of WP3</t>
  </si>
  <si>
    <t>Gain insight into the performance of pure stand vs. Mixed intercropping</t>
  </si>
  <si>
    <t>Type</t>
  </si>
  <si>
    <t>The design of the trial, e.g. augmented design, randomised complete block design, ...</t>
  </si>
  <si>
    <t>MIC</t>
  </si>
  <si>
    <t>NumberOfRows</t>
  </si>
  <si>
    <t>Number of plot rows in the trial</t>
  </si>
  <si>
    <t>NumberOfColumns</t>
  </si>
  <si>
    <t>Number of plot columns in the trial</t>
  </si>
  <si>
    <t>DesignType</t>
  </si>
  <si>
    <t>RCBD</t>
  </si>
  <si>
    <t>CropType</t>
  </si>
  <si>
    <t>Spring or winter crop</t>
  </si>
  <si>
    <t>Spring</t>
  </si>
  <si>
    <t>PreviousCrop</t>
  </si>
  <si>
    <t>no</t>
  </si>
  <si>
    <t>Previous crop</t>
  </si>
  <si>
    <t>potatoes</t>
  </si>
  <si>
    <t>SowingYear</t>
  </si>
  <si>
    <t>The year in which the trial is sown</t>
  </si>
  <si>
    <t>SowingDate</t>
  </si>
  <si>
    <t>Sowing date in format yyyy-mm-dd</t>
  </si>
  <si>
    <t>2023-04-10</t>
  </si>
  <si>
    <t>HarvestYear</t>
  </si>
  <si>
    <t>The year in which the trial is harvested</t>
  </si>
  <si>
    <t>HarvestDate</t>
  </si>
  <si>
    <t>Harvest date in format yyyy-mm-dd</t>
  </si>
  <si>
    <t>2023-08-14</t>
  </si>
  <si>
    <t>Country</t>
  </si>
  <si>
    <t>Country in which the trial is located</t>
  </si>
  <si>
    <t>Germany</t>
  </si>
  <si>
    <t>Location</t>
  </si>
  <si>
    <t>City or region of the field trial</t>
  </si>
  <si>
    <t>Hesse, Bad Vilbel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</si>
  <si>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</si>
  <si>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</si>
  <si>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</si>
  <si>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</si>
  <si>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</si>
  <si>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</si>
  <si>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DH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</si>
  <si>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</si>
  <si>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</si>
  <si>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</si>
  <si>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</si>
  <si>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</si>
  <si>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</si>
  <si>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</si>
  <si>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</si>
  <si>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</si>
  <si>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</si>
  <si>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</si>
  <si>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</si>
  <si>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</si>
  <si>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</si>
  <si>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</si>
  <si>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</si>
  <si>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</si>
  <si>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</si>
  <si>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</si>
  <si>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</si>
  <si>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</si>
  <si>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</si>
  <si>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</si>
  <si>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</si>
  <si>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</si>
  <si>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</si>
  <si>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</si>
  <si>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</si>
  <si>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</si>
  <si>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</si>
  <si>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</si>
  <si>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</si>
  <si>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</si>
  <si>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</si>
  <si>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</si>
  <si>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</si>
  <si>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</si>
  <si>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</si>
  <si>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</si>
  <si>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</si>
  <si>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</si>
  <si>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</si>
  <si>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</si>
  <si>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</si>
  <si>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</si>
  <si>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</si>
  <si>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</si>
  <si>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</si>
  <si>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</si>
  <si>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</si>
  <si>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</si>
  <si>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</si>
  <si>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</si>
  <si>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</si>
  <si>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</si>
  <si>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</si>
  <si>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</si>
  <si>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</si>
  <si>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</si>
  <si>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Plant_height_cereal</t>
  </si>
  <si>
    <t>Plant_height_legume</t>
  </si>
  <si>
    <t>Dry_matter_%_cereal</t>
  </si>
  <si>
    <t>Dry_matter_%_legume</t>
  </si>
  <si>
    <t>Fresh_yield_cereals</t>
  </si>
  <si>
    <t>Fresh_yield_legume</t>
  </si>
  <si>
    <t>Dry_matter_%_straw</t>
  </si>
  <si>
    <t>Dry_straw_yield</t>
  </si>
  <si>
    <t>Dry_yield_cereals</t>
  </si>
  <si>
    <t>Dry_yield_legumes</t>
  </si>
  <si>
    <t>Fresh_straw_yield</t>
  </si>
  <si>
    <t>HLW_cereal</t>
  </si>
  <si>
    <t>Moisture_Straw</t>
  </si>
  <si>
    <t>Plant_density_cereal</t>
  </si>
  <si>
    <t>Plant_density_legume</t>
  </si>
  <si>
    <t>TKW_cereals</t>
  </si>
  <si>
    <t>TKW_legume</t>
  </si>
  <si>
    <t>2023-07-06</t>
  </si>
  <si>
    <t>2023-08-31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</si>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</sst>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Times New Roman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baseColWidth="10" defaultColWidth="8.83203125" defaultRowHeight="16" x14ac:dyDescent="0.2"/>
  <cols>
    <col min="1" max="1" width="18.6640625" bestFit="1" customWidth="1"/>
    <col min="2" max="2" width="12.6640625" bestFit="1" customWidth="1"/>
    <col min="3" max="3" width="153" bestFit="1" customWidth="1"/>
    <col min="4" max="4" width="84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>
        <v>8</v>
      </c>
    </row>
    <row r="9" spans="1:4" x14ac:dyDescent="0.2">
      <c r="A9" t="s">
        <v>25</v>
      </c>
      <c r="B9" t="s">
        <v>5</v>
      </c>
      <c r="C9" t="s">
        <v>26</v>
      </c>
      <c r="D9">
        <v>9</v>
      </c>
    </row>
    <row r="10" spans="1:4" x14ac:dyDescent="0.2">
      <c r="A10" t="s">
        <v>27</v>
      </c>
      <c r="B10" t="s">
        <v>5</v>
      </c>
      <c r="C10" t="s">
        <v>21</v>
      </c>
      <c r="D10" t="s">
        <v>28</v>
      </c>
    </row>
    <row r="11" spans="1:4" x14ac:dyDescent="0.2">
      <c r="A11" t="s">
        <v>29</v>
      </c>
      <c r="B11" t="s">
        <v>5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36</v>
      </c>
      <c r="B13" t="s">
        <v>5</v>
      </c>
      <c r="C13" t="s">
        <v>37</v>
      </c>
      <c r="D13">
        <v>2023</v>
      </c>
    </row>
    <row r="14" spans="1:4" x14ac:dyDescent="0.2">
      <c r="A14" t="s">
        <v>38</v>
      </c>
      <c r="B14" t="s">
        <v>33</v>
      </c>
      <c r="C14" t="s">
        <v>39</v>
      </c>
      <c r="D14" t="s">
        <v>40</v>
      </c>
    </row>
    <row r="15" spans="1:4" x14ac:dyDescent="0.2">
      <c r="A15" t="s">
        <v>41</v>
      </c>
      <c r="B15" t="s">
        <v>33</v>
      </c>
      <c r="C15" t="s">
        <v>42</v>
      </c>
      <c r="D15">
        <v>2023</v>
      </c>
    </row>
    <row r="16" spans="1:4" x14ac:dyDescent="0.2">
      <c r="A16" t="s">
        <v>43</v>
      </c>
      <c r="B16" t="s">
        <v>33</v>
      </c>
      <c r="C16" t="s">
        <v>44</v>
      </c>
      <c r="D16" t="s">
        <v>45</v>
      </c>
    </row>
    <row r="17" spans="1:4" x14ac:dyDescent="0.2">
      <c r="A17" t="s">
        <v>46</v>
      </c>
      <c r="B17" t="s">
        <v>5</v>
      </c>
      <c r="C17" t="s">
        <v>47</v>
      </c>
      <c r="D17" t="s">
        <v>48</v>
      </c>
    </row>
    <row r="18" spans="1:4" x14ac:dyDescent="0.2">
      <c r="A18" t="s">
        <v>49</v>
      </c>
      <c r="B18" t="s">
        <v>5</v>
      </c>
      <c r="C18" t="s">
        <v>50</v>
      </c>
      <c r="D18" t="s">
        <v>51</v>
      </c>
    </row>
    <row r="19" spans="1:4" x14ac:dyDescent="0.2">
      <c r="A19" t="s">
        <v>52</v>
      </c>
      <c r="B19" t="s">
        <v>33</v>
      </c>
      <c r="C19" t="s">
        <v>53</v>
      </c>
      <c r="D19">
        <v>50.19</v>
      </c>
    </row>
    <row r="20" spans="1:4" x14ac:dyDescent="0.2">
      <c r="A20" t="s">
        <v>54</v>
      </c>
      <c r="B20" t="s">
        <v>33</v>
      </c>
      <c r="C20" t="s">
        <v>55</v>
      </c>
      <c r="D20">
        <v>8.76</v>
      </c>
    </row>
    <row r="21" spans="1:4" x14ac:dyDescent="0.2">
      <c r="A21" t="s">
        <v>56</v>
      </c>
      <c r="B21" t="s">
        <v>5</v>
      </c>
      <c r="C21" t="s">
        <v>57</v>
      </c>
      <c r="D21" t="s">
        <v>58</v>
      </c>
    </row>
    <row r="22" spans="1:4" x14ac:dyDescent="0.2">
      <c r="A22" t="s">
        <v>59</v>
      </c>
      <c r="B22" t="s">
        <v>5</v>
      </c>
      <c r="C22" t="s">
        <v>60</v>
      </c>
      <c r="D22">
        <v>18</v>
      </c>
    </row>
    <row r="23" spans="1:4" x14ac:dyDescent="0.2">
      <c r="A23" t="s">
        <v>61</v>
      </c>
      <c r="B23" t="s">
        <v>33</v>
      </c>
      <c r="C23" t="s">
        <v>62</v>
      </c>
      <c r="D23">
        <v>5.55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9" sqref="C19"/>
    </sheetView>
  </sheetViews>
  <sheetFormatPr baseColWidth="10" defaultColWidth="8.83203125" defaultRowHeight="16" x14ac:dyDescent="0.2"/>
  <cols>
    <col min="1" max="1" width="9.1640625" bestFit="1" customWidth="1"/>
    <col min="2" max="2" width="12.6640625" bestFit="1" customWidth="1"/>
    <col min="3" max="3" width="24.6640625" bestFit="1" customWidth="1"/>
    <col min="4" max="4" width="18.6640625" bestFit="1" customWidth="1"/>
  </cols>
  <sheetData>
    <row r="1" spans="1:4" x14ac:dyDescent="0.2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">
      <c r="A2">
        <v>21</v>
      </c>
      <c r="B2" s="2" t="s">
        <v>67</v>
      </c>
      <c r="C2" s="2" t="s">
        <v>68</v>
      </c>
      <c r="D2">
        <v>4</v>
      </c>
    </row>
    <row r="3" spans="1:4" x14ac:dyDescent="0.2">
      <c r="A3">
        <v>22</v>
      </c>
      <c r="B3" s="2" t="s">
        <v>69</v>
      </c>
      <c r="C3" s="2" t="s">
        <v>70</v>
      </c>
      <c r="D3">
        <v>4</v>
      </c>
    </row>
    <row r="4" spans="1:4" x14ac:dyDescent="0.2">
      <c r="A4">
        <v>23</v>
      </c>
      <c r="B4" s="2" t="s">
        <v>71</v>
      </c>
      <c r="C4" s="2" t="s">
        <v>72</v>
      </c>
      <c r="D4">
        <v>4</v>
      </c>
    </row>
    <row r="5" spans="1:4" x14ac:dyDescent="0.2">
      <c r="A5">
        <v>24</v>
      </c>
      <c r="B5" s="2" t="s">
        <v>73</v>
      </c>
      <c r="C5" s="2" t="s">
        <v>74</v>
      </c>
      <c r="D5">
        <v>4</v>
      </c>
    </row>
    <row r="6" spans="1:4" x14ac:dyDescent="0.2">
      <c r="A6">
        <v>25</v>
      </c>
      <c r="B6" s="2" t="s">
        <v>75</v>
      </c>
      <c r="C6" s="2" t="s">
        <v>76</v>
      </c>
      <c r="D6">
        <v>4</v>
      </c>
    </row>
    <row r="7" spans="1:4" x14ac:dyDescent="0.2">
      <c r="A7">
        <v>26</v>
      </c>
      <c r="B7" s="2" t="s">
        <v>77</v>
      </c>
      <c r="C7" s="2" t="s">
        <v>78</v>
      </c>
      <c r="D7">
        <v>4</v>
      </c>
    </row>
    <row r="8" spans="1:4" x14ac:dyDescent="0.2">
      <c r="A8">
        <v>27</v>
      </c>
      <c r="B8" s="2" t="s">
        <v>79</v>
      </c>
      <c r="C8" s="2" t="s">
        <v>80</v>
      </c>
      <c r="D8">
        <v>4</v>
      </c>
    </row>
    <row r="9" spans="1:4" x14ac:dyDescent="0.2">
      <c r="A9">
        <v>30</v>
      </c>
      <c r="B9" s="2" t="s">
        <v>81</v>
      </c>
      <c r="C9" s="2" t="s">
        <v>82</v>
      </c>
      <c r="D9">
        <v>4</v>
      </c>
    </row>
    <row r="10" spans="1:4" x14ac:dyDescent="0.2">
      <c r="A10">
        <v>33</v>
      </c>
      <c r="B10" s="2" t="s">
        <v>83</v>
      </c>
      <c r="C10" s="2" t="s">
        <v>84</v>
      </c>
      <c r="D10">
        <v>4</v>
      </c>
    </row>
    <row r="11" spans="1:4" x14ac:dyDescent="0.2">
      <c r="A11">
        <v>36</v>
      </c>
      <c r="B11" s="2" t="s">
        <v>85</v>
      </c>
      <c r="C11" s="2" t="s">
        <v>86</v>
      </c>
      <c r="D11">
        <v>4</v>
      </c>
    </row>
    <row r="12" spans="1:4" x14ac:dyDescent="0.2">
      <c r="A12">
        <v>37</v>
      </c>
      <c r="B12" s="2" t="s">
        <v>87</v>
      </c>
      <c r="C12" s="2" t="s">
        <v>88</v>
      </c>
      <c r="D12">
        <v>4</v>
      </c>
    </row>
    <row r="13" spans="1:4" x14ac:dyDescent="0.2">
      <c r="A13">
        <v>38</v>
      </c>
      <c r="B13" s="2" t="s">
        <v>89</v>
      </c>
      <c r="C13" s="2" t="s">
        <v>90</v>
      </c>
      <c r="D13">
        <v>4</v>
      </c>
    </row>
    <row r="14" spans="1:4" x14ac:dyDescent="0.2">
      <c r="A14">
        <v>39</v>
      </c>
      <c r="B14" s="2" t="s">
        <v>91</v>
      </c>
      <c r="C14" s="2" t="s">
        <v>92</v>
      </c>
      <c r="D14">
        <v>4</v>
      </c>
    </row>
    <row r="15" spans="1:4" x14ac:dyDescent="0.2">
      <c r="A15">
        <v>40</v>
      </c>
      <c r="B15" s="2" t="s">
        <v>93</v>
      </c>
      <c r="C15" s="2" t="s">
        <v>94</v>
      </c>
      <c r="D15">
        <v>4</v>
      </c>
    </row>
    <row r="16" spans="1:4" x14ac:dyDescent="0.2">
      <c r="A16">
        <v>41</v>
      </c>
      <c r="B16" s="2" t="s">
        <v>95</v>
      </c>
      <c r="C16" s="2" t="s">
        <v>96</v>
      </c>
      <c r="D16">
        <v>4</v>
      </c>
    </row>
    <row r="17" spans="1:4" x14ac:dyDescent="0.2">
      <c r="A17">
        <v>42</v>
      </c>
      <c r="B17" s="2" t="s">
        <v>97</v>
      </c>
      <c r="C17" s="2" t="s">
        <v>98</v>
      </c>
      <c r="D17">
        <v>4</v>
      </c>
    </row>
    <row r="18" spans="1:4" x14ac:dyDescent="0.2">
      <c r="A18">
        <v>43</v>
      </c>
      <c r="B18" s="2" t="s">
        <v>99</v>
      </c>
      <c r="C18" s="2" t="s">
        <v>100</v>
      </c>
      <c r="D18">
        <v>4</v>
      </c>
    </row>
    <row r="19" spans="1:4" x14ac:dyDescent="0.2">
      <c r="A19">
        <v>44</v>
      </c>
      <c r="B19" s="2" t="s">
        <v>101</v>
      </c>
      <c r="C19" s="2" t="s">
        <v>102</v>
      </c>
      <c r="D1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>
      <selection activeCell="F73" sqref="F73"/>
    </sheetView>
  </sheetViews>
  <sheetFormatPr baseColWidth="10" defaultColWidth="8.83203125" defaultRowHeight="16" x14ac:dyDescent="0.2"/>
  <cols>
    <col min="1" max="1" width="5.83203125" bestFit="1" customWidth="1"/>
    <col min="2" max="2" width="4.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6640625" bestFit="1" customWidth="1"/>
    <col min="7" max="8" width="8" bestFit="1" customWidth="1"/>
    <col min="9" max="9" width="9.1640625" bestFit="1" customWidth="1"/>
  </cols>
  <sheetData>
    <row r="1" spans="1:10" x14ac:dyDescent="0.2">
      <c r="A1" s="1" t="s">
        <v>103</v>
      </c>
      <c r="B1" s="1" t="s">
        <v>104</v>
      </c>
      <c r="C1" s="1" t="s">
        <v>105</v>
      </c>
      <c r="D1" s="1" t="s">
        <v>63</v>
      </c>
      <c r="E1" s="1" t="s">
        <v>64</v>
      </c>
      <c r="F1" s="1" t="s">
        <v>65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>
        <v>1</v>
      </c>
      <c r="B2">
        <v>1</v>
      </c>
      <c r="C2">
        <v>1</v>
      </c>
      <c r="D2">
        <v>26</v>
      </c>
      <c r="E2" s="2" t="s">
        <v>77</v>
      </c>
      <c r="F2" s="2" t="s">
        <v>78</v>
      </c>
    </row>
    <row r="3" spans="1:10" x14ac:dyDescent="0.2">
      <c r="A3">
        <v>2</v>
      </c>
      <c r="B3">
        <v>1</v>
      </c>
      <c r="C3">
        <v>2</v>
      </c>
      <c r="D3">
        <v>33</v>
      </c>
      <c r="E3" s="2" t="s">
        <v>83</v>
      </c>
      <c r="F3" s="2" t="s">
        <v>84</v>
      </c>
    </row>
    <row r="4" spans="1:10" x14ac:dyDescent="0.2">
      <c r="A4">
        <v>3</v>
      </c>
      <c r="B4">
        <v>1</v>
      </c>
      <c r="C4">
        <v>3</v>
      </c>
      <c r="D4">
        <v>43</v>
      </c>
      <c r="E4" s="2" t="s">
        <v>99</v>
      </c>
      <c r="F4" s="2" t="s">
        <v>100</v>
      </c>
    </row>
    <row r="5" spans="1:10" x14ac:dyDescent="0.2">
      <c r="A5">
        <v>4</v>
      </c>
      <c r="B5">
        <v>1</v>
      </c>
      <c r="C5">
        <v>4</v>
      </c>
      <c r="D5">
        <v>27</v>
      </c>
      <c r="E5" s="2" t="s">
        <v>79</v>
      </c>
      <c r="F5" s="2" t="s">
        <v>80</v>
      </c>
    </row>
    <row r="6" spans="1:10" x14ac:dyDescent="0.2">
      <c r="A6">
        <v>5</v>
      </c>
      <c r="B6">
        <v>1</v>
      </c>
      <c r="C6">
        <v>5</v>
      </c>
      <c r="D6">
        <v>42</v>
      </c>
      <c r="E6" s="2" t="s">
        <v>97</v>
      </c>
      <c r="F6" s="2" t="s">
        <v>98</v>
      </c>
    </row>
    <row r="7" spans="1:10" x14ac:dyDescent="0.2">
      <c r="A7">
        <v>6</v>
      </c>
      <c r="B7">
        <v>1</v>
      </c>
      <c r="C7">
        <v>6</v>
      </c>
      <c r="D7">
        <v>44</v>
      </c>
      <c r="E7" s="2" t="s">
        <v>101</v>
      </c>
      <c r="F7" s="2" t="s">
        <v>102</v>
      </c>
    </row>
    <row r="8" spans="1:10" x14ac:dyDescent="0.2">
      <c r="A8">
        <v>7</v>
      </c>
      <c r="B8">
        <v>1</v>
      </c>
      <c r="C8">
        <v>7</v>
      </c>
      <c r="D8">
        <v>23</v>
      </c>
      <c r="E8" s="2" t="s">
        <v>71</v>
      </c>
      <c r="F8" s="2" t="s">
        <v>72</v>
      </c>
    </row>
    <row r="9" spans="1:10" x14ac:dyDescent="0.2">
      <c r="A9">
        <v>8</v>
      </c>
      <c r="B9">
        <v>1</v>
      </c>
      <c r="C9">
        <v>8</v>
      </c>
      <c r="D9">
        <v>36</v>
      </c>
      <c r="E9" s="2" t="s">
        <v>85</v>
      </c>
      <c r="F9" s="2" t="s">
        <v>86</v>
      </c>
    </row>
    <row r="10" spans="1:10" x14ac:dyDescent="0.2">
      <c r="A10">
        <v>9</v>
      </c>
      <c r="B10">
        <v>1</v>
      </c>
      <c r="C10">
        <v>9</v>
      </c>
      <c r="D10">
        <v>41</v>
      </c>
      <c r="E10" s="2" t="s">
        <v>95</v>
      </c>
      <c r="F10" s="2" t="s">
        <v>96</v>
      </c>
    </row>
    <row r="11" spans="1:10" x14ac:dyDescent="0.2">
      <c r="A11">
        <v>10</v>
      </c>
      <c r="B11">
        <v>2</v>
      </c>
      <c r="C11">
        <v>1</v>
      </c>
      <c r="D11">
        <v>25</v>
      </c>
      <c r="E11" s="2" t="s">
        <v>75</v>
      </c>
      <c r="F11" s="2" t="s">
        <v>76</v>
      </c>
    </row>
    <row r="12" spans="1:10" x14ac:dyDescent="0.2">
      <c r="A12">
        <v>11</v>
      </c>
      <c r="B12">
        <v>2</v>
      </c>
      <c r="C12">
        <v>2</v>
      </c>
      <c r="D12">
        <v>40</v>
      </c>
      <c r="E12" s="2" t="s">
        <v>93</v>
      </c>
      <c r="F12" s="2" t="s">
        <v>94</v>
      </c>
    </row>
    <row r="13" spans="1:10" x14ac:dyDescent="0.2">
      <c r="A13">
        <v>12</v>
      </c>
      <c r="B13">
        <v>2</v>
      </c>
      <c r="C13">
        <v>3</v>
      </c>
      <c r="D13">
        <v>24</v>
      </c>
      <c r="E13" s="2" t="s">
        <v>73</v>
      </c>
      <c r="F13" s="2" t="s">
        <v>74</v>
      </c>
    </row>
    <row r="14" spans="1:10" x14ac:dyDescent="0.2">
      <c r="A14">
        <v>13</v>
      </c>
      <c r="B14">
        <v>2</v>
      </c>
      <c r="C14">
        <v>4</v>
      </c>
      <c r="D14">
        <v>30</v>
      </c>
      <c r="E14" s="2" t="s">
        <v>81</v>
      </c>
      <c r="F14" s="2" t="s">
        <v>82</v>
      </c>
    </row>
    <row r="15" spans="1:10" x14ac:dyDescent="0.2">
      <c r="A15">
        <v>14</v>
      </c>
      <c r="B15">
        <v>2</v>
      </c>
      <c r="C15">
        <v>5</v>
      </c>
      <c r="D15">
        <v>38</v>
      </c>
      <c r="E15" s="2" t="s">
        <v>89</v>
      </c>
      <c r="F15" s="2" t="s">
        <v>90</v>
      </c>
    </row>
    <row r="16" spans="1:10" x14ac:dyDescent="0.2">
      <c r="A16">
        <v>15</v>
      </c>
      <c r="B16">
        <v>2</v>
      </c>
      <c r="C16">
        <v>6</v>
      </c>
      <c r="D16">
        <v>39</v>
      </c>
      <c r="E16" s="2" t="s">
        <v>91</v>
      </c>
      <c r="F16" s="2" t="s">
        <v>92</v>
      </c>
    </row>
    <row r="17" spans="1:6" x14ac:dyDescent="0.2">
      <c r="A17">
        <v>16</v>
      </c>
      <c r="B17">
        <v>2</v>
      </c>
      <c r="C17">
        <v>7</v>
      </c>
      <c r="D17">
        <v>37</v>
      </c>
      <c r="E17" s="2" t="s">
        <v>87</v>
      </c>
      <c r="F17" s="2" t="s">
        <v>88</v>
      </c>
    </row>
    <row r="18" spans="1:6" x14ac:dyDescent="0.2">
      <c r="A18">
        <v>17</v>
      </c>
      <c r="B18">
        <v>2</v>
      </c>
      <c r="C18">
        <v>8</v>
      </c>
      <c r="D18">
        <v>21</v>
      </c>
      <c r="E18" s="2" t="s">
        <v>67</v>
      </c>
      <c r="F18" s="2" t="s">
        <v>68</v>
      </c>
    </row>
    <row r="19" spans="1:6" x14ac:dyDescent="0.2">
      <c r="A19">
        <v>18</v>
      </c>
      <c r="B19">
        <v>2</v>
      </c>
      <c r="C19">
        <v>9</v>
      </c>
      <c r="D19">
        <v>22</v>
      </c>
      <c r="E19" s="2" t="s">
        <v>69</v>
      </c>
      <c r="F19" s="2" t="s">
        <v>70</v>
      </c>
    </row>
    <row r="20" spans="1:6" x14ac:dyDescent="0.2">
      <c r="A20">
        <v>19</v>
      </c>
      <c r="B20">
        <v>3</v>
      </c>
      <c r="C20">
        <v>1</v>
      </c>
      <c r="D20">
        <v>38</v>
      </c>
      <c r="E20" s="2" t="s">
        <v>89</v>
      </c>
      <c r="F20" s="2" t="s">
        <v>90</v>
      </c>
    </row>
    <row r="21" spans="1:6" x14ac:dyDescent="0.2">
      <c r="A21">
        <v>20</v>
      </c>
      <c r="B21">
        <v>3</v>
      </c>
      <c r="C21">
        <v>2</v>
      </c>
      <c r="D21">
        <v>36</v>
      </c>
      <c r="E21" s="2" t="s">
        <v>85</v>
      </c>
      <c r="F21" s="2" t="s">
        <v>86</v>
      </c>
    </row>
    <row r="22" spans="1:6" x14ac:dyDescent="0.2">
      <c r="A22">
        <v>21</v>
      </c>
      <c r="B22">
        <v>3</v>
      </c>
      <c r="C22">
        <v>3</v>
      </c>
      <c r="D22">
        <v>26</v>
      </c>
      <c r="E22" s="2" t="s">
        <v>77</v>
      </c>
      <c r="F22" s="2" t="s">
        <v>78</v>
      </c>
    </row>
    <row r="23" spans="1:6" x14ac:dyDescent="0.2">
      <c r="A23">
        <v>22</v>
      </c>
      <c r="B23">
        <v>3</v>
      </c>
      <c r="C23">
        <v>4</v>
      </c>
      <c r="D23">
        <v>22</v>
      </c>
      <c r="E23" s="2" t="s">
        <v>69</v>
      </c>
      <c r="F23" s="2" t="s">
        <v>70</v>
      </c>
    </row>
    <row r="24" spans="1:6" x14ac:dyDescent="0.2">
      <c r="A24">
        <v>23</v>
      </c>
      <c r="B24">
        <v>3</v>
      </c>
      <c r="C24">
        <v>5</v>
      </c>
      <c r="D24">
        <v>23</v>
      </c>
      <c r="E24" s="2" t="s">
        <v>71</v>
      </c>
      <c r="F24" s="2" t="s">
        <v>72</v>
      </c>
    </row>
    <row r="25" spans="1:6" x14ac:dyDescent="0.2">
      <c r="A25">
        <v>24</v>
      </c>
      <c r="B25">
        <v>3</v>
      </c>
      <c r="C25">
        <v>6</v>
      </c>
      <c r="D25">
        <v>30</v>
      </c>
      <c r="E25" s="2" t="s">
        <v>81</v>
      </c>
      <c r="F25" s="2" t="s">
        <v>82</v>
      </c>
    </row>
    <row r="26" spans="1:6" x14ac:dyDescent="0.2">
      <c r="A26">
        <v>25</v>
      </c>
      <c r="B26">
        <v>3</v>
      </c>
      <c r="C26">
        <v>7</v>
      </c>
      <c r="D26">
        <v>27</v>
      </c>
      <c r="E26" s="2" t="s">
        <v>79</v>
      </c>
      <c r="F26" s="2" t="s">
        <v>80</v>
      </c>
    </row>
    <row r="27" spans="1:6" x14ac:dyDescent="0.2">
      <c r="A27">
        <v>26</v>
      </c>
      <c r="B27">
        <v>3</v>
      </c>
      <c r="C27">
        <v>8</v>
      </c>
      <c r="D27">
        <v>43</v>
      </c>
      <c r="E27" s="2" t="s">
        <v>99</v>
      </c>
      <c r="F27" s="2" t="s">
        <v>100</v>
      </c>
    </row>
    <row r="28" spans="1:6" x14ac:dyDescent="0.2">
      <c r="A28">
        <v>27</v>
      </c>
      <c r="B28">
        <v>3</v>
      </c>
      <c r="C28">
        <v>9</v>
      </c>
      <c r="D28">
        <v>39</v>
      </c>
      <c r="E28" s="2" t="s">
        <v>91</v>
      </c>
      <c r="F28" s="2" t="s">
        <v>92</v>
      </c>
    </row>
    <row r="29" spans="1:6" x14ac:dyDescent="0.2">
      <c r="A29">
        <v>28</v>
      </c>
      <c r="B29">
        <v>4</v>
      </c>
      <c r="C29">
        <v>1</v>
      </c>
      <c r="D29">
        <v>42</v>
      </c>
      <c r="E29" s="2" t="s">
        <v>97</v>
      </c>
      <c r="F29" s="2" t="s">
        <v>98</v>
      </c>
    </row>
    <row r="30" spans="1:6" x14ac:dyDescent="0.2">
      <c r="A30">
        <v>29</v>
      </c>
      <c r="B30">
        <v>4</v>
      </c>
      <c r="C30">
        <v>2</v>
      </c>
      <c r="D30">
        <v>21</v>
      </c>
      <c r="E30" s="2" t="s">
        <v>67</v>
      </c>
      <c r="F30" s="2" t="s">
        <v>68</v>
      </c>
    </row>
    <row r="31" spans="1:6" x14ac:dyDescent="0.2">
      <c r="A31">
        <v>30</v>
      </c>
      <c r="B31">
        <v>4</v>
      </c>
      <c r="C31">
        <v>3</v>
      </c>
      <c r="D31">
        <v>25</v>
      </c>
      <c r="E31" s="2" t="s">
        <v>75</v>
      </c>
      <c r="F31" s="2" t="s">
        <v>76</v>
      </c>
    </row>
    <row r="32" spans="1:6" x14ac:dyDescent="0.2">
      <c r="A32">
        <v>31</v>
      </c>
      <c r="B32">
        <v>4</v>
      </c>
      <c r="C32">
        <v>4</v>
      </c>
      <c r="D32">
        <v>37</v>
      </c>
      <c r="E32" s="2" t="s">
        <v>87</v>
      </c>
      <c r="F32" s="2" t="s">
        <v>88</v>
      </c>
    </row>
    <row r="33" spans="1:6" x14ac:dyDescent="0.2">
      <c r="A33">
        <v>32</v>
      </c>
      <c r="B33">
        <v>4</v>
      </c>
      <c r="C33">
        <v>5</v>
      </c>
      <c r="D33">
        <v>24</v>
      </c>
      <c r="E33" s="2" t="s">
        <v>73</v>
      </c>
      <c r="F33" s="2" t="s">
        <v>74</v>
      </c>
    </row>
    <row r="34" spans="1:6" x14ac:dyDescent="0.2">
      <c r="A34">
        <v>33</v>
      </c>
      <c r="B34">
        <v>4</v>
      </c>
      <c r="C34">
        <v>6</v>
      </c>
      <c r="D34">
        <v>41</v>
      </c>
      <c r="E34" s="2" t="s">
        <v>95</v>
      </c>
      <c r="F34" s="2" t="s">
        <v>96</v>
      </c>
    </row>
    <row r="35" spans="1:6" x14ac:dyDescent="0.2">
      <c r="A35">
        <v>34</v>
      </c>
      <c r="B35">
        <v>4</v>
      </c>
      <c r="C35">
        <v>7</v>
      </c>
      <c r="D35">
        <v>40</v>
      </c>
      <c r="E35" s="2" t="s">
        <v>93</v>
      </c>
      <c r="F35" s="2" t="s">
        <v>94</v>
      </c>
    </row>
    <row r="36" spans="1:6" x14ac:dyDescent="0.2">
      <c r="A36">
        <v>35</v>
      </c>
      <c r="B36">
        <v>4</v>
      </c>
      <c r="C36">
        <v>8</v>
      </c>
      <c r="D36">
        <v>44</v>
      </c>
      <c r="E36" s="2" t="s">
        <v>101</v>
      </c>
      <c r="F36" s="2" t="s">
        <v>102</v>
      </c>
    </row>
    <row r="37" spans="1:6" x14ac:dyDescent="0.2">
      <c r="A37">
        <v>36</v>
      </c>
      <c r="B37">
        <v>4</v>
      </c>
      <c r="C37">
        <v>9</v>
      </c>
      <c r="D37">
        <v>33</v>
      </c>
      <c r="E37" s="2" t="s">
        <v>83</v>
      </c>
      <c r="F37" s="2" t="s">
        <v>84</v>
      </c>
    </row>
    <row r="38" spans="1:6" x14ac:dyDescent="0.2">
      <c r="A38">
        <v>37</v>
      </c>
      <c r="B38">
        <v>5</v>
      </c>
      <c r="C38">
        <v>1</v>
      </c>
      <c r="D38">
        <v>41</v>
      </c>
      <c r="E38" s="2" t="s">
        <v>95</v>
      </c>
      <c r="F38" s="2" t="s">
        <v>96</v>
      </c>
    </row>
    <row r="39" spans="1:6" x14ac:dyDescent="0.2">
      <c r="A39">
        <v>38</v>
      </c>
      <c r="B39">
        <v>5</v>
      </c>
      <c r="C39">
        <v>2</v>
      </c>
      <c r="D39">
        <v>43</v>
      </c>
      <c r="E39" s="2" t="s">
        <v>99</v>
      </c>
      <c r="F39" s="2" t="s">
        <v>100</v>
      </c>
    </row>
    <row r="40" spans="1:6" x14ac:dyDescent="0.2">
      <c r="A40">
        <v>39</v>
      </c>
      <c r="B40">
        <v>5</v>
      </c>
      <c r="C40">
        <v>3</v>
      </c>
      <c r="D40">
        <v>38</v>
      </c>
      <c r="E40" s="2" t="s">
        <v>89</v>
      </c>
      <c r="F40" s="2" t="s">
        <v>90</v>
      </c>
    </row>
    <row r="41" spans="1:6" x14ac:dyDescent="0.2">
      <c r="A41">
        <v>40</v>
      </c>
      <c r="B41">
        <v>5</v>
      </c>
      <c r="C41">
        <v>4</v>
      </c>
      <c r="D41">
        <v>23</v>
      </c>
      <c r="E41" s="2" t="s">
        <v>71</v>
      </c>
      <c r="F41" s="2" t="s">
        <v>72</v>
      </c>
    </row>
    <row r="42" spans="1:6" x14ac:dyDescent="0.2">
      <c r="A42">
        <v>41</v>
      </c>
      <c r="B42">
        <v>5</v>
      </c>
      <c r="C42">
        <v>5</v>
      </c>
      <c r="D42">
        <v>39</v>
      </c>
      <c r="E42" s="2" t="s">
        <v>91</v>
      </c>
      <c r="F42" s="2" t="s">
        <v>92</v>
      </c>
    </row>
    <row r="43" spans="1:6" x14ac:dyDescent="0.2">
      <c r="A43">
        <v>42</v>
      </c>
      <c r="B43">
        <v>5</v>
      </c>
      <c r="C43">
        <v>6</v>
      </c>
      <c r="D43">
        <v>33</v>
      </c>
      <c r="E43" s="2" t="s">
        <v>83</v>
      </c>
      <c r="F43" s="2" t="s">
        <v>84</v>
      </c>
    </row>
    <row r="44" spans="1:6" x14ac:dyDescent="0.2">
      <c r="A44">
        <v>43</v>
      </c>
      <c r="B44">
        <v>5</v>
      </c>
      <c r="C44">
        <v>7</v>
      </c>
      <c r="D44">
        <v>21</v>
      </c>
      <c r="E44" s="2" t="s">
        <v>67</v>
      </c>
      <c r="F44" s="2" t="s">
        <v>68</v>
      </c>
    </row>
    <row r="45" spans="1:6" x14ac:dyDescent="0.2">
      <c r="A45">
        <v>44</v>
      </c>
      <c r="B45">
        <v>5</v>
      </c>
      <c r="C45">
        <v>8</v>
      </c>
      <c r="D45">
        <v>25</v>
      </c>
      <c r="E45" s="2" t="s">
        <v>75</v>
      </c>
      <c r="F45" s="2" t="s">
        <v>76</v>
      </c>
    </row>
    <row r="46" spans="1:6" x14ac:dyDescent="0.2">
      <c r="A46">
        <v>45</v>
      </c>
      <c r="B46">
        <v>5</v>
      </c>
      <c r="C46">
        <v>9</v>
      </c>
      <c r="D46">
        <v>27</v>
      </c>
      <c r="E46" s="2" t="s">
        <v>79</v>
      </c>
      <c r="F46" s="2" t="s">
        <v>80</v>
      </c>
    </row>
    <row r="47" spans="1:6" x14ac:dyDescent="0.2">
      <c r="A47">
        <v>46</v>
      </c>
      <c r="B47">
        <v>6</v>
      </c>
      <c r="C47">
        <v>1</v>
      </c>
      <c r="D47">
        <v>37</v>
      </c>
      <c r="E47" s="2" t="s">
        <v>87</v>
      </c>
      <c r="F47" s="2" t="s">
        <v>88</v>
      </c>
    </row>
    <row r="48" spans="1:6" x14ac:dyDescent="0.2">
      <c r="A48">
        <v>47</v>
      </c>
      <c r="B48">
        <v>6</v>
      </c>
      <c r="C48">
        <v>2</v>
      </c>
      <c r="D48">
        <v>24</v>
      </c>
      <c r="E48" s="2" t="s">
        <v>73</v>
      </c>
      <c r="F48" s="2" t="s">
        <v>74</v>
      </c>
    </row>
    <row r="49" spans="1:6" x14ac:dyDescent="0.2">
      <c r="A49">
        <v>48</v>
      </c>
      <c r="B49">
        <v>6</v>
      </c>
      <c r="C49">
        <v>3</v>
      </c>
      <c r="D49">
        <v>40</v>
      </c>
      <c r="E49" s="2" t="s">
        <v>93</v>
      </c>
      <c r="F49" s="2" t="s">
        <v>94</v>
      </c>
    </row>
    <row r="50" spans="1:6" x14ac:dyDescent="0.2">
      <c r="A50">
        <v>49</v>
      </c>
      <c r="B50">
        <v>6</v>
      </c>
      <c r="C50">
        <v>4</v>
      </c>
      <c r="D50">
        <v>42</v>
      </c>
      <c r="E50" s="2" t="s">
        <v>97</v>
      </c>
      <c r="F50" s="2" t="s">
        <v>98</v>
      </c>
    </row>
    <row r="51" spans="1:6" x14ac:dyDescent="0.2">
      <c r="A51">
        <v>50</v>
      </c>
      <c r="B51">
        <v>6</v>
      </c>
      <c r="C51">
        <v>5</v>
      </c>
      <c r="D51">
        <v>44</v>
      </c>
      <c r="E51" s="2" t="s">
        <v>101</v>
      </c>
      <c r="F51" s="2" t="s">
        <v>102</v>
      </c>
    </row>
    <row r="52" spans="1:6" x14ac:dyDescent="0.2">
      <c r="A52">
        <v>51</v>
      </c>
      <c r="B52">
        <v>6</v>
      </c>
      <c r="C52">
        <v>6</v>
      </c>
      <c r="D52">
        <v>22</v>
      </c>
      <c r="E52" s="2" t="s">
        <v>69</v>
      </c>
      <c r="F52" s="2" t="s">
        <v>70</v>
      </c>
    </row>
    <row r="53" spans="1:6" x14ac:dyDescent="0.2">
      <c r="A53">
        <v>52</v>
      </c>
      <c r="B53">
        <v>6</v>
      </c>
      <c r="C53">
        <v>7</v>
      </c>
      <c r="D53">
        <v>36</v>
      </c>
      <c r="E53" s="2" t="s">
        <v>85</v>
      </c>
      <c r="F53" s="2" t="s">
        <v>86</v>
      </c>
    </row>
    <row r="54" spans="1:6" x14ac:dyDescent="0.2">
      <c r="A54">
        <v>53</v>
      </c>
      <c r="B54">
        <v>6</v>
      </c>
      <c r="C54">
        <v>8</v>
      </c>
      <c r="D54">
        <v>30</v>
      </c>
      <c r="E54" s="2" t="s">
        <v>81</v>
      </c>
      <c r="F54" s="2" t="s">
        <v>82</v>
      </c>
    </row>
    <row r="55" spans="1:6" x14ac:dyDescent="0.2">
      <c r="A55">
        <v>54</v>
      </c>
      <c r="B55">
        <v>6</v>
      </c>
      <c r="C55">
        <v>9</v>
      </c>
      <c r="D55">
        <v>26</v>
      </c>
      <c r="E55" s="2" t="s">
        <v>77</v>
      </c>
      <c r="F55" s="2" t="s">
        <v>78</v>
      </c>
    </row>
    <row r="56" spans="1:6" x14ac:dyDescent="0.2">
      <c r="A56">
        <v>55</v>
      </c>
      <c r="B56">
        <v>7</v>
      </c>
      <c r="C56">
        <v>1</v>
      </c>
      <c r="D56">
        <v>27</v>
      </c>
      <c r="E56" s="2" t="s">
        <v>79</v>
      </c>
      <c r="F56" s="2" t="s">
        <v>80</v>
      </c>
    </row>
    <row r="57" spans="1:6" x14ac:dyDescent="0.2">
      <c r="A57">
        <v>56</v>
      </c>
      <c r="B57">
        <v>7</v>
      </c>
      <c r="C57">
        <v>2</v>
      </c>
      <c r="D57">
        <v>22</v>
      </c>
      <c r="E57" s="2" t="s">
        <v>69</v>
      </c>
      <c r="F57" s="2" t="s">
        <v>70</v>
      </c>
    </row>
    <row r="58" spans="1:6" x14ac:dyDescent="0.2">
      <c r="A58">
        <v>57</v>
      </c>
      <c r="B58">
        <v>7</v>
      </c>
      <c r="C58">
        <v>3</v>
      </c>
      <c r="D58">
        <v>44</v>
      </c>
      <c r="E58" s="2" t="s">
        <v>101</v>
      </c>
      <c r="F58" s="2" t="s">
        <v>102</v>
      </c>
    </row>
    <row r="59" spans="1:6" x14ac:dyDescent="0.2">
      <c r="A59">
        <v>58</v>
      </c>
      <c r="B59">
        <v>7</v>
      </c>
      <c r="C59">
        <v>4</v>
      </c>
      <c r="D59">
        <v>33</v>
      </c>
      <c r="E59" s="2" t="s">
        <v>83</v>
      </c>
      <c r="F59" s="2" t="s">
        <v>84</v>
      </c>
    </row>
    <row r="60" spans="1:6" x14ac:dyDescent="0.2">
      <c r="A60">
        <v>59</v>
      </c>
      <c r="B60">
        <v>7</v>
      </c>
      <c r="C60">
        <v>5</v>
      </c>
      <c r="D60">
        <v>36</v>
      </c>
      <c r="E60" s="2" t="s">
        <v>85</v>
      </c>
      <c r="F60" s="2" t="s">
        <v>86</v>
      </c>
    </row>
    <row r="61" spans="1:6" x14ac:dyDescent="0.2">
      <c r="A61">
        <v>60</v>
      </c>
      <c r="B61">
        <v>7</v>
      </c>
      <c r="C61">
        <v>6</v>
      </c>
      <c r="D61">
        <v>37</v>
      </c>
      <c r="E61" s="2" t="s">
        <v>87</v>
      </c>
      <c r="F61" s="2" t="s">
        <v>88</v>
      </c>
    </row>
    <row r="62" spans="1:6" x14ac:dyDescent="0.2">
      <c r="A62">
        <v>61</v>
      </c>
      <c r="B62">
        <v>7</v>
      </c>
      <c r="C62">
        <v>7</v>
      </c>
      <c r="D62">
        <v>25</v>
      </c>
      <c r="E62" s="2" t="s">
        <v>75</v>
      </c>
      <c r="F62" s="2" t="s">
        <v>76</v>
      </c>
    </row>
    <row r="63" spans="1:6" x14ac:dyDescent="0.2">
      <c r="A63">
        <v>62</v>
      </c>
      <c r="B63">
        <v>7</v>
      </c>
      <c r="C63">
        <v>8</v>
      </c>
      <c r="D63">
        <v>38</v>
      </c>
      <c r="E63" s="2" t="s">
        <v>89</v>
      </c>
      <c r="F63" s="2" t="s">
        <v>90</v>
      </c>
    </row>
    <row r="64" spans="1:6" x14ac:dyDescent="0.2">
      <c r="A64">
        <v>63</v>
      </c>
      <c r="B64">
        <v>7</v>
      </c>
      <c r="C64">
        <v>9</v>
      </c>
      <c r="D64">
        <v>24</v>
      </c>
      <c r="E64" s="2" t="s">
        <v>73</v>
      </c>
      <c r="F64" s="2" t="s">
        <v>74</v>
      </c>
    </row>
    <row r="65" spans="1:6" x14ac:dyDescent="0.2">
      <c r="A65">
        <v>64</v>
      </c>
      <c r="B65">
        <v>8</v>
      </c>
      <c r="C65">
        <v>1</v>
      </c>
      <c r="D65">
        <v>30</v>
      </c>
      <c r="E65" s="2" t="s">
        <v>81</v>
      </c>
      <c r="F65" s="2" t="s">
        <v>82</v>
      </c>
    </row>
    <row r="66" spans="1:6" x14ac:dyDescent="0.2">
      <c r="A66">
        <v>65</v>
      </c>
      <c r="B66">
        <v>8</v>
      </c>
      <c r="C66">
        <v>2</v>
      </c>
      <c r="D66">
        <v>23</v>
      </c>
      <c r="E66" s="2" t="s">
        <v>71</v>
      </c>
      <c r="F66" s="2" t="s">
        <v>72</v>
      </c>
    </row>
    <row r="67" spans="1:6" x14ac:dyDescent="0.2">
      <c r="A67">
        <v>66</v>
      </c>
      <c r="B67">
        <v>8</v>
      </c>
      <c r="C67">
        <v>3</v>
      </c>
      <c r="D67">
        <v>39</v>
      </c>
      <c r="E67" s="2" t="s">
        <v>91</v>
      </c>
      <c r="F67" s="2" t="s">
        <v>92</v>
      </c>
    </row>
    <row r="68" spans="1:6" x14ac:dyDescent="0.2">
      <c r="A68">
        <v>67</v>
      </c>
      <c r="B68">
        <v>8</v>
      </c>
      <c r="C68">
        <v>4</v>
      </c>
      <c r="D68">
        <v>21</v>
      </c>
      <c r="E68" s="2" t="s">
        <v>67</v>
      </c>
      <c r="F68" s="2" t="s">
        <v>68</v>
      </c>
    </row>
    <row r="69" spans="1:6" x14ac:dyDescent="0.2">
      <c r="A69">
        <v>68</v>
      </c>
      <c r="B69">
        <v>8</v>
      </c>
      <c r="C69">
        <v>5</v>
      </c>
      <c r="D69">
        <v>41</v>
      </c>
      <c r="E69" s="2" t="s">
        <v>95</v>
      </c>
      <c r="F69" s="2" t="s">
        <v>96</v>
      </c>
    </row>
    <row r="70" spans="1:6" x14ac:dyDescent="0.2">
      <c r="A70">
        <v>69</v>
      </c>
      <c r="B70">
        <v>8</v>
      </c>
      <c r="C70">
        <v>6</v>
      </c>
      <c r="D70">
        <v>43</v>
      </c>
      <c r="E70" s="2" t="s">
        <v>99</v>
      </c>
      <c r="F70" s="2" t="s">
        <v>100</v>
      </c>
    </row>
    <row r="71" spans="1:6" x14ac:dyDescent="0.2">
      <c r="A71">
        <v>70</v>
      </c>
      <c r="B71">
        <v>8</v>
      </c>
      <c r="C71">
        <v>7</v>
      </c>
      <c r="D71">
        <v>26</v>
      </c>
      <c r="E71" s="2" t="s">
        <v>77</v>
      </c>
      <c r="F71" s="2" t="s">
        <v>78</v>
      </c>
    </row>
    <row r="72" spans="1:6" x14ac:dyDescent="0.2">
      <c r="A72">
        <v>71</v>
      </c>
      <c r="B72">
        <v>8</v>
      </c>
      <c r="C72">
        <v>8</v>
      </c>
      <c r="D72">
        <v>42</v>
      </c>
      <c r="E72" s="2" t="s">
        <v>97</v>
      </c>
      <c r="F72" s="2" t="s">
        <v>98</v>
      </c>
    </row>
    <row r="73" spans="1:6" x14ac:dyDescent="0.2">
      <c r="A73">
        <v>72</v>
      </c>
      <c r="B73">
        <v>8</v>
      </c>
      <c r="C73">
        <v>9</v>
      </c>
      <c r="D73">
        <v>40</v>
      </c>
      <c r="E73" s="2" t="s">
        <v>93</v>
      </c>
      <c r="F73" s="2" t="s">
        <v>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5.83203125" bestFit="1" customWidth="1"/>
    <col min="3" max="3" width="11.5" bestFit="1" customWidth="1"/>
    <col min="4" max="4" width="9.1640625" bestFit="1" customWidth="1"/>
    <col min="5" max="5" width="11.5" bestFit="1" customWidth="1"/>
    <col min="6" max="6" width="8" bestFit="1" customWidth="1"/>
    <col min="7" max="7" width="5.83203125" bestFit="1" customWidth="1"/>
    <col min="8" max="9" width="9.1640625" bestFit="1" customWidth="1"/>
  </cols>
  <sheetData>
    <row r="1" spans="1:9" x14ac:dyDescent="0.2">
      <c r="A1" s="1" t="s">
        <v>110</v>
      </c>
      <c r="B1" s="1" t="s">
        <v>11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4"/>
  <sheetViews>
    <sheetView workbookViewId="0">
      <selection activeCell="F74" sqref="F74"/>
    </sheetView>
  </sheetViews>
  <sheetFormatPr baseColWidth="10" defaultColWidth="8.83203125" defaultRowHeight="16" x14ac:dyDescent="0.2"/>
  <cols>
    <col min="1" max="1" width="5.83203125" bestFit="1" customWidth="1"/>
    <col min="2" max="2" width="4.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6640625" bestFit="1" customWidth="1"/>
    <col min="7" max="11" width="23.33203125" bestFit="1" customWidth="1"/>
    <col min="12" max="16" width="22.1640625" bestFit="1" customWidth="1"/>
    <col min="17" max="18" width="21" bestFit="1" customWidth="1"/>
    <col min="19" max="19" width="22.1640625" bestFit="1" customWidth="1"/>
    <col min="20" max="21" width="24.6640625" bestFit="1" customWidth="1"/>
    <col min="22" max="22" width="21" bestFit="1" customWidth="1"/>
    <col min="23" max="23" width="12.6640625" bestFit="1" customWidth="1"/>
  </cols>
  <sheetData>
    <row r="1" spans="1:23" x14ac:dyDescent="0.2">
      <c r="A1" s="1" t="s">
        <v>103</v>
      </c>
      <c r="B1" s="1" t="s">
        <v>104</v>
      </c>
      <c r="C1" s="1" t="s">
        <v>105</v>
      </c>
      <c r="D1" s="1" t="s">
        <v>63</v>
      </c>
      <c r="E1" s="1" t="s">
        <v>64</v>
      </c>
      <c r="F1" s="1" t="s">
        <v>65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</row>
    <row r="2" spans="1:23" x14ac:dyDescent="0.2">
      <c r="G2" t="s">
        <v>135</v>
      </c>
      <c r="H2" t="s">
        <v>135</v>
      </c>
      <c r="I2" t="s">
        <v>45</v>
      </c>
      <c r="J2" t="s">
        <v>45</v>
      </c>
      <c r="K2" t="s">
        <v>45</v>
      </c>
      <c r="L2" t="s">
        <v>45</v>
      </c>
      <c r="M2" t="s">
        <v>136</v>
      </c>
      <c r="N2" t="s">
        <v>136</v>
      </c>
      <c r="O2" t="s">
        <v>136</v>
      </c>
      <c r="P2" t="s">
        <v>136</v>
      </c>
      <c r="Q2" t="s">
        <v>136</v>
      </c>
      <c r="R2" t="s">
        <v>136</v>
      </c>
      <c r="S2" t="s">
        <v>136</v>
      </c>
      <c r="T2" t="s">
        <v>136</v>
      </c>
      <c r="U2" t="s">
        <v>136</v>
      </c>
      <c r="V2" t="s">
        <v>136</v>
      </c>
      <c r="W2" t="s">
        <v>136</v>
      </c>
    </row>
    <row r="3" spans="1:23" x14ac:dyDescent="0.2">
      <c r="A3">
        <v>1</v>
      </c>
      <c r="B3">
        <v>1</v>
      </c>
      <c r="C3">
        <v>1</v>
      </c>
      <c r="D3">
        <v>26</v>
      </c>
      <c r="E3" s="2" t="s">
        <v>77</v>
      </c>
      <c r="F3" s="2" t="s">
        <v>78</v>
      </c>
      <c r="G3">
        <v>70</v>
      </c>
      <c r="H3" t="s">
        <v>137</v>
      </c>
      <c r="I3">
        <v>0.86770238095238095</v>
      </c>
      <c r="J3" t="s">
        <v>137</v>
      </c>
      <c r="K3">
        <v>2.102702702702703</v>
      </c>
      <c r="L3" t="s">
        <v>137</v>
      </c>
      <c r="M3" t="s">
        <v>137</v>
      </c>
      <c r="N3" t="s">
        <v>137</v>
      </c>
      <c r="O3">
        <v>1.824520141570142</v>
      </c>
      <c r="P3" t="s">
        <v>137</v>
      </c>
      <c r="Q3" t="s">
        <v>137</v>
      </c>
      <c r="R3">
        <v>47.387300000000003</v>
      </c>
      <c r="S3" t="s">
        <v>137</v>
      </c>
      <c r="T3">
        <v>190</v>
      </c>
      <c r="U3" t="s">
        <v>137</v>
      </c>
      <c r="V3">
        <v>33.4</v>
      </c>
      <c r="W3" t="s">
        <v>137</v>
      </c>
    </row>
    <row r="4" spans="1:23" x14ac:dyDescent="0.2">
      <c r="A4">
        <v>2</v>
      </c>
      <c r="B4">
        <v>1</v>
      </c>
      <c r="C4">
        <v>2</v>
      </c>
      <c r="D4">
        <v>33</v>
      </c>
      <c r="E4" s="2" t="s">
        <v>83</v>
      </c>
      <c r="F4" s="2" t="s">
        <v>84</v>
      </c>
      <c r="G4">
        <v>70</v>
      </c>
      <c r="H4">
        <v>50</v>
      </c>
      <c r="I4">
        <v>0.83283333333333331</v>
      </c>
      <c r="J4">
        <v>0.8121666666666667</v>
      </c>
      <c r="K4">
        <v>0.65585585585585582</v>
      </c>
      <c r="L4">
        <v>0.50090090090090089</v>
      </c>
      <c r="M4">
        <v>0.47764034253092291</v>
      </c>
      <c r="N4">
        <v>1.893349105527983</v>
      </c>
      <c r="O4">
        <v>0.54621861861861853</v>
      </c>
      <c r="P4">
        <v>0.40681501501501499</v>
      </c>
      <c r="Q4">
        <v>3.9639639639639639</v>
      </c>
      <c r="R4">
        <v>42.882800000000003</v>
      </c>
      <c r="S4">
        <v>0.52235965746907709</v>
      </c>
      <c r="T4">
        <v>35</v>
      </c>
      <c r="U4">
        <v>50</v>
      </c>
      <c r="V4">
        <v>36.799999999999997</v>
      </c>
      <c r="W4">
        <v>136.4</v>
      </c>
    </row>
    <row r="5" spans="1:23" x14ac:dyDescent="0.2">
      <c r="A5">
        <v>3</v>
      </c>
      <c r="B5">
        <v>1</v>
      </c>
      <c r="C5">
        <v>3</v>
      </c>
      <c r="D5">
        <v>43</v>
      </c>
      <c r="E5" s="2" t="s">
        <v>99</v>
      </c>
      <c r="F5" s="2" t="s">
        <v>100</v>
      </c>
      <c r="G5">
        <v>50</v>
      </c>
      <c r="H5">
        <v>40</v>
      </c>
      <c r="I5">
        <v>0.84384057971014492</v>
      </c>
      <c r="J5">
        <v>0.8357719298245615</v>
      </c>
      <c r="K5">
        <v>0.64144144144144133</v>
      </c>
      <c r="L5">
        <v>0.30630630630630629</v>
      </c>
      <c r="M5">
        <v>0.68320180383314544</v>
      </c>
      <c r="N5">
        <v>1.846491361711204</v>
      </c>
      <c r="O5">
        <v>0.54127431779605684</v>
      </c>
      <c r="P5">
        <v>0.25600221273905488</v>
      </c>
      <c r="Q5">
        <v>2.7027027027027022</v>
      </c>
      <c r="R5">
        <v>36.740299999999998</v>
      </c>
      <c r="S5">
        <v>0.31679819616685462</v>
      </c>
      <c r="T5">
        <v>45</v>
      </c>
      <c r="U5">
        <v>40</v>
      </c>
      <c r="V5">
        <v>35.099999999999987</v>
      </c>
      <c r="W5">
        <v>109.1</v>
      </c>
    </row>
    <row r="6" spans="1:23" x14ac:dyDescent="0.2">
      <c r="A6">
        <v>4</v>
      </c>
      <c r="B6">
        <v>1</v>
      </c>
      <c r="C6">
        <v>4</v>
      </c>
      <c r="D6">
        <v>27</v>
      </c>
      <c r="E6" s="2" t="s">
        <v>79</v>
      </c>
      <c r="F6" s="2" t="s">
        <v>80</v>
      </c>
      <c r="G6">
        <v>70</v>
      </c>
      <c r="H6" t="s">
        <v>137</v>
      </c>
      <c r="I6">
        <v>0.86893333333333334</v>
      </c>
      <c r="J6" t="s">
        <v>137</v>
      </c>
      <c r="K6">
        <v>1.8036036036036029</v>
      </c>
      <c r="L6" t="s">
        <v>137</v>
      </c>
      <c r="M6">
        <v>0.6398104265402843</v>
      </c>
      <c r="N6">
        <v>3.0549506852824382</v>
      </c>
      <c r="O6">
        <v>1.567211291291291</v>
      </c>
      <c r="P6" t="s">
        <v>137</v>
      </c>
      <c r="Q6">
        <v>4.774774774774774</v>
      </c>
      <c r="R6">
        <v>38.378300000000003</v>
      </c>
      <c r="S6">
        <v>0.3601895734597157</v>
      </c>
      <c r="T6">
        <v>220</v>
      </c>
      <c r="U6" t="s">
        <v>137</v>
      </c>
      <c r="V6">
        <v>41.7</v>
      </c>
      <c r="W6" t="s">
        <v>137</v>
      </c>
    </row>
    <row r="7" spans="1:23" x14ac:dyDescent="0.2">
      <c r="A7">
        <v>5</v>
      </c>
      <c r="B7">
        <v>1</v>
      </c>
      <c r="C7">
        <v>5</v>
      </c>
      <c r="D7">
        <v>42</v>
      </c>
      <c r="E7" s="2" t="s">
        <v>97</v>
      </c>
      <c r="F7" s="2" t="s">
        <v>98</v>
      </c>
      <c r="G7">
        <v>65</v>
      </c>
      <c r="H7">
        <v>40</v>
      </c>
      <c r="I7">
        <v>0.84114285714285719</v>
      </c>
      <c r="J7">
        <v>0.8509420289855073</v>
      </c>
      <c r="K7">
        <v>0.60360360360360354</v>
      </c>
      <c r="L7">
        <v>0.26846846846846839</v>
      </c>
      <c r="M7">
        <v>0.52463768115942033</v>
      </c>
      <c r="N7">
        <v>2.4104974539757151</v>
      </c>
      <c r="O7">
        <v>0.50771685971685965</v>
      </c>
      <c r="P7">
        <v>0.2284511032771902</v>
      </c>
      <c r="Q7">
        <v>4.5945945945945939</v>
      </c>
      <c r="R7">
        <v>43.701799999999992</v>
      </c>
      <c r="S7">
        <v>0.47536231884057972</v>
      </c>
      <c r="T7">
        <v>70</v>
      </c>
      <c r="U7">
        <v>35</v>
      </c>
      <c r="V7">
        <v>41.2</v>
      </c>
      <c r="W7">
        <v>147.9</v>
      </c>
    </row>
    <row r="8" spans="1:23" x14ac:dyDescent="0.2">
      <c r="A8">
        <v>6</v>
      </c>
      <c r="B8">
        <v>1</v>
      </c>
      <c r="C8">
        <v>6</v>
      </c>
      <c r="D8">
        <v>44</v>
      </c>
      <c r="E8" s="2" t="s">
        <v>101</v>
      </c>
      <c r="F8" s="2" t="s">
        <v>102</v>
      </c>
      <c r="G8">
        <v>60</v>
      </c>
      <c r="H8">
        <v>50</v>
      </c>
      <c r="I8">
        <v>0.83603614457831332</v>
      </c>
      <c r="J8">
        <v>0.85022222222222221</v>
      </c>
      <c r="K8">
        <v>0.69369369369369371</v>
      </c>
      <c r="L8">
        <v>0.25945945945945942</v>
      </c>
      <c r="M8">
        <v>0.51749539594843463</v>
      </c>
      <c r="N8">
        <v>2.2844391352678648</v>
      </c>
      <c r="O8">
        <v>0.57995300119396509</v>
      </c>
      <c r="P8">
        <v>0.22059819819819809</v>
      </c>
      <c r="Q8">
        <v>4.4144144144144146</v>
      </c>
      <c r="R8">
        <v>37.968799999999987</v>
      </c>
      <c r="S8">
        <v>0.48250460405156542</v>
      </c>
      <c r="T8">
        <v>20</v>
      </c>
      <c r="U8">
        <v>70</v>
      </c>
      <c r="V8">
        <v>35.799999999999997</v>
      </c>
      <c r="W8">
        <v>163</v>
      </c>
    </row>
    <row r="9" spans="1:23" x14ac:dyDescent="0.2">
      <c r="A9">
        <v>7</v>
      </c>
      <c r="B9">
        <v>1</v>
      </c>
      <c r="C9">
        <v>7</v>
      </c>
      <c r="D9">
        <v>23</v>
      </c>
      <c r="E9" s="2" t="s">
        <v>71</v>
      </c>
      <c r="F9" s="2" t="s">
        <v>72</v>
      </c>
      <c r="G9">
        <v>70</v>
      </c>
      <c r="H9" t="s">
        <v>137</v>
      </c>
      <c r="I9">
        <v>0.87565000000000004</v>
      </c>
      <c r="J9" t="s">
        <v>137</v>
      </c>
      <c r="K9">
        <v>2.313513513513513</v>
      </c>
      <c r="L9" t="s">
        <v>137</v>
      </c>
      <c r="M9">
        <v>0.63349917081260365</v>
      </c>
      <c r="N9">
        <v>2.5682398816727172</v>
      </c>
      <c r="O9">
        <v>2.025828108108108</v>
      </c>
      <c r="P9" t="s">
        <v>137</v>
      </c>
      <c r="Q9">
        <v>4.0540540540540544</v>
      </c>
      <c r="R9">
        <v>46.158799999999992</v>
      </c>
      <c r="S9">
        <v>0.36650082918739629</v>
      </c>
      <c r="T9">
        <v>210</v>
      </c>
      <c r="U9" t="s">
        <v>137</v>
      </c>
      <c r="V9">
        <v>35</v>
      </c>
      <c r="W9" t="s">
        <v>137</v>
      </c>
    </row>
    <row r="10" spans="1:23" x14ac:dyDescent="0.2">
      <c r="A10">
        <v>8</v>
      </c>
      <c r="B10">
        <v>1</v>
      </c>
      <c r="C10">
        <v>8</v>
      </c>
      <c r="D10">
        <v>36</v>
      </c>
      <c r="E10" s="2" t="s">
        <v>85</v>
      </c>
      <c r="F10" s="2" t="s">
        <v>86</v>
      </c>
      <c r="G10">
        <v>80</v>
      </c>
      <c r="H10">
        <v>45</v>
      </c>
      <c r="I10">
        <v>0.8542249999999999</v>
      </c>
      <c r="J10">
        <v>0.85407228915662659</v>
      </c>
      <c r="K10">
        <v>0.69909909909909906</v>
      </c>
      <c r="L10">
        <v>0.95495495495495497</v>
      </c>
      <c r="M10">
        <v>0.60759493670886078</v>
      </c>
      <c r="N10">
        <v>2.0253164556962018</v>
      </c>
      <c r="O10">
        <v>0.59718792792792785</v>
      </c>
      <c r="P10">
        <v>0.81560056441984163</v>
      </c>
      <c r="Q10">
        <v>3.333333333333333</v>
      </c>
      <c r="R10">
        <v>39.197299999999991</v>
      </c>
      <c r="S10">
        <v>0.39240506329113922</v>
      </c>
      <c r="T10">
        <v>25</v>
      </c>
      <c r="U10">
        <v>45</v>
      </c>
      <c r="V10">
        <v>39</v>
      </c>
      <c r="W10">
        <v>156.30000000000001</v>
      </c>
    </row>
    <row r="11" spans="1:23" x14ac:dyDescent="0.2">
      <c r="A11">
        <v>9</v>
      </c>
      <c r="B11">
        <v>1</v>
      </c>
      <c r="C11">
        <v>9</v>
      </c>
      <c r="D11">
        <v>41</v>
      </c>
      <c r="E11" s="2" t="s">
        <v>95</v>
      </c>
      <c r="F11" s="2" t="s">
        <v>96</v>
      </c>
      <c r="G11">
        <v>75</v>
      </c>
      <c r="H11">
        <v>40</v>
      </c>
      <c r="I11">
        <v>0.83474698795180735</v>
      </c>
      <c r="J11">
        <v>0.8179746835443038</v>
      </c>
      <c r="K11">
        <v>0.69009009009008992</v>
      </c>
      <c r="L11">
        <v>0.51351351351351338</v>
      </c>
      <c r="M11">
        <v>0.42248722316865422</v>
      </c>
      <c r="N11">
        <v>1.4844145678898659</v>
      </c>
      <c r="O11">
        <v>0.57605062411809393</v>
      </c>
      <c r="P11">
        <v>0.42004105371193973</v>
      </c>
      <c r="Q11">
        <v>3.5135135135135132</v>
      </c>
      <c r="R11">
        <v>42.473299999999988</v>
      </c>
      <c r="S11">
        <v>0.57751277683134583</v>
      </c>
      <c r="T11">
        <v>135</v>
      </c>
      <c r="U11">
        <v>45</v>
      </c>
      <c r="V11">
        <v>34.700000000000003</v>
      </c>
      <c r="W11">
        <v>134.4</v>
      </c>
    </row>
    <row r="12" spans="1:23" x14ac:dyDescent="0.2">
      <c r="A12">
        <v>10</v>
      </c>
      <c r="B12">
        <v>2</v>
      </c>
      <c r="C12">
        <v>1</v>
      </c>
      <c r="D12">
        <v>25</v>
      </c>
      <c r="E12" s="2" t="s">
        <v>75</v>
      </c>
      <c r="F12" s="2" t="s">
        <v>76</v>
      </c>
      <c r="G12">
        <v>45</v>
      </c>
      <c r="H12" t="s">
        <v>137</v>
      </c>
      <c r="I12">
        <v>0.85899999999999999</v>
      </c>
      <c r="J12" t="s">
        <v>137</v>
      </c>
      <c r="K12">
        <v>1.432432432432432</v>
      </c>
      <c r="L12" t="s">
        <v>137</v>
      </c>
      <c r="M12">
        <v>0.71186440677966101</v>
      </c>
      <c r="N12">
        <v>1.4750343563902879</v>
      </c>
      <c r="O12">
        <v>1.2304594594594589</v>
      </c>
      <c r="P12" t="s">
        <v>137</v>
      </c>
      <c r="Q12">
        <v>2.0720720720720718</v>
      </c>
      <c r="R12">
        <v>39.606799999999993</v>
      </c>
      <c r="S12">
        <v>0.28813559322033899</v>
      </c>
      <c r="T12">
        <v>120</v>
      </c>
      <c r="U12" t="s">
        <v>137</v>
      </c>
      <c r="V12">
        <v>29.8</v>
      </c>
      <c r="W12" t="s">
        <v>137</v>
      </c>
    </row>
    <row r="13" spans="1:23" x14ac:dyDescent="0.2">
      <c r="A13">
        <v>11</v>
      </c>
      <c r="B13">
        <v>2</v>
      </c>
      <c r="C13">
        <v>2</v>
      </c>
      <c r="D13">
        <v>40</v>
      </c>
      <c r="E13" s="2" t="s">
        <v>93</v>
      </c>
      <c r="F13" s="2" t="s">
        <v>94</v>
      </c>
      <c r="G13">
        <v>75</v>
      </c>
      <c r="H13">
        <v>50</v>
      </c>
      <c r="I13">
        <v>0.84361538461538466</v>
      </c>
      <c r="J13">
        <v>0.82826923076923076</v>
      </c>
      <c r="K13">
        <v>0.463063063063063</v>
      </c>
      <c r="L13">
        <v>0.38918918918918921</v>
      </c>
      <c r="M13">
        <v>0.43007915567282318</v>
      </c>
      <c r="N13">
        <v>2.6347191518695481</v>
      </c>
      <c r="O13">
        <v>0.39064712404712398</v>
      </c>
      <c r="P13">
        <v>0.32235343035343028</v>
      </c>
      <c r="Q13">
        <v>6.1261261261261257</v>
      </c>
      <c r="R13">
        <v>37.559299999999993</v>
      </c>
      <c r="S13">
        <v>0.56992084432717682</v>
      </c>
      <c r="T13">
        <v>20</v>
      </c>
      <c r="U13">
        <v>40</v>
      </c>
      <c r="V13">
        <v>40.099999999999987</v>
      </c>
      <c r="W13">
        <v>162.80000000000001</v>
      </c>
    </row>
    <row r="14" spans="1:23" x14ac:dyDescent="0.2">
      <c r="A14">
        <v>12</v>
      </c>
      <c r="B14">
        <v>2</v>
      </c>
      <c r="C14">
        <v>3</v>
      </c>
      <c r="D14">
        <v>24</v>
      </c>
      <c r="E14" s="2" t="s">
        <v>73</v>
      </c>
      <c r="F14" s="2" t="s">
        <v>74</v>
      </c>
      <c r="G14">
        <v>75</v>
      </c>
      <c r="H14" t="s">
        <v>137</v>
      </c>
      <c r="I14">
        <v>0.87774242424242421</v>
      </c>
      <c r="J14" t="s">
        <v>137</v>
      </c>
      <c r="K14">
        <v>1.9909909909909911</v>
      </c>
      <c r="L14" t="s">
        <v>137</v>
      </c>
      <c r="M14">
        <v>0.68493150684931503</v>
      </c>
      <c r="N14">
        <v>1.6660496112550911</v>
      </c>
      <c r="O14">
        <v>1.7475772590772589</v>
      </c>
      <c r="P14" t="s">
        <v>137</v>
      </c>
      <c r="Q14">
        <v>2.432432432432432</v>
      </c>
      <c r="R14">
        <v>40.016299999999987</v>
      </c>
      <c r="S14">
        <v>0.31506849315068503</v>
      </c>
      <c r="T14">
        <v>225</v>
      </c>
      <c r="U14" t="s">
        <v>137</v>
      </c>
      <c r="V14">
        <v>41.5</v>
      </c>
      <c r="W14" t="s">
        <v>137</v>
      </c>
    </row>
    <row r="15" spans="1:23" x14ac:dyDescent="0.2">
      <c r="A15">
        <v>13</v>
      </c>
      <c r="B15">
        <v>2</v>
      </c>
      <c r="C15">
        <v>4</v>
      </c>
      <c r="D15">
        <v>30</v>
      </c>
      <c r="E15" s="2" t="s">
        <v>81</v>
      </c>
      <c r="F15" s="2" t="s">
        <v>82</v>
      </c>
      <c r="G15">
        <v>60</v>
      </c>
      <c r="H15">
        <v>55</v>
      </c>
      <c r="I15">
        <v>0.86190697674418604</v>
      </c>
      <c r="J15">
        <v>0.86998611111111102</v>
      </c>
      <c r="K15">
        <v>0.54774774774774759</v>
      </c>
      <c r="L15">
        <v>0.54774774774774759</v>
      </c>
      <c r="M15">
        <v>0.40954773869346728</v>
      </c>
      <c r="N15">
        <v>1.29136674362805</v>
      </c>
      <c r="O15">
        <v>0.47210760527969808</v>
      </c>
      <c r="P15">
        <v>0.47653293293293281</v>
      </c>
      <c r="Q15">
        <v>3.153153153153152</v>
      </c>
      <c r="R15">
        <v>38.787799999999997</v>
      </c>
      <c r="S15">
        <v>0.59045226130653261</v>
      </c>
      <c r="T15">
        <v>40</v>
      </c>
      <c r="U15">
        <v>80</v>
      </c>
      <c r="V15">
        <v>37.400000000000013</v>
      </c>
      <c r="W15">
        <v>134.30000000000001</v>
      </c>
    </row>
    <row r="16" spans="1:23" x14ac:dyDescent="0.2">
      <c r="A16">
        <v>14</v>
      </c>
      <c r="B16">
        <v>2</v>
      </c>
      <c r="C16">
        <v>5</v>
      </c>
      <c r="D16">
        <v>38</v>
      </c>
      <c r="E16" s="2" t="s">
        <v>89</v>
      </c>
      <c r="F16" s="2" t="s">
        <v>90</v>
      </c>
      <c r="G16" t="s">
        <v>137</v>
      </c>
      <c r="H16">
        <v>60</v>
      </c>
      <c r="I16" t="s">
        <v>137</v>
      </c>
      <c r="J16">
        <v>0.7970232558139535</v>
      </c>
      <c r="K16" t="s">
        <v>137</v>
      </c>
      <c r="L16">
        <v>0.53333333333333321</v>
      </c>
      <c r="M16">
        <v>0.41821561338289959</v>
      </c>
      <c r="N16">
        <v>1.883854114337385</v>
      </c>
      <c r="O16" t="s">
        <v>137</v>
      </c>
      <c r="P16">
        <v>0.42507906976744181</v>
      </c>
      <c r="Q16">
        <v>4.5045045045045038</v>
      </c>
      <c r="R16" t="s">
        <v>137</v>
      </c>
      <c r="S16">
        <v>0.58178438661710041</v>
      </c>
      <c r="T16" t="s">
        <v>137</v>
      </c>
      <c r="U16">
        <v>50</v>
      </c>
      <c r="V16" t="s">
        <v>137</v>
      </c>
      <c r="W16">
        <v>164.3</v>
      </c>
    </row>
    <row r="17" spans="1:23" x14ac:dyDescent="0.2">
      <c r="A17">
        <v>15</v>
      </c>
      <c r="B17">
        <v>2</v>
      </c>
      <c r="C17">
        <v>6</v>
      </c>
      <c r="D17">
        <v>39</v>
      </c>
      <c r="E17" s="2" t="s">
        <v>91</v>
      </c>
      <c r="F17" s="2" t="s">
        <v>92</v>
      </c>
      <c r="G17">
        <v>80</v>
      </c>
      <c r="H17">
        <v>45</v>
      </c>
      <c r="I17">
        <v>0.85772151898734184</v>
      </c>
      <c r="J17">
        <v>0.79842222222222226</v>
      </c>
      <c r="K17">
        <v>0.65225225225225214</v>
      </c>
      <c r="L17">
        <v>1.156756756756756</v>
      </c>
      <c r="M17">
        <v>0.4871508379888268</v>
      </c>
      <c r="N17">
        <v>2.501585384266948</v>
      </c>
      <c r="O17">
        <v>0.55945079256471653</v>
      </c>
      <c r="P17">
        <v>0.92358030030030014</v>
      </c>
      <c r="Q17">
        <v>5.1351351351351351</v>
      </c>
      <c r="R17">
        <v>38.787799999999997</v>
      </c>
      <c r="S17">
        <v>0.51284916201117325</v>
      </c>
      <c r="T17">
        <v>25</v>
      </c>
      <c r="U17">
        <v>40</v>
      </c>
      <c r="V17">
        <v>42.7</v>
      </c>
      <c r="W17">
        <v>145.19999999999999</v>
      </c>
    </row>
    <row r="18" spans="1:23" x14ac:dyDescent="0.2">
      <c r="A18">
        <v>16</v>
      </c>
      <c r="B18">
        <v>2</v>
      </c>
      <c r="C18">
        <v>7</v>
      </c>
      <c r="D18">
        <v>37</v>
      </c>
      <c r="E18" s="2" t="s">
        <v>87</v>
      </c>
      <c r="F18" s="2" t="s">
        <v>88</v>
      </c>
      <c r="G18" t="s">
        <v>137</v>
      </c>
      <c r="H18">
        <v>40</v>
      </c>
      <c r="I18" t="s">
        <v>137</v>
      </c>
      <c r="J18">
        <v>0.84179729729729735</v>
      </c>
      <c r="K18" t="s">
        <v>137</v>
      </c>
      <c r="L18">
        <v>1.0792792792792789</v>
      </c>
      <c r="M18">
        <v>0.34040501446480231</v>
      </c>
      <c r="N18">
        <v>1.5333559210126231</v>
      </c>
      <c r="O18" t="s">
        <v>137</v>
      </c>
      <c r="P18">
        <v>0.90853438032627221</v>
      </c>
      <c r="Q18">
        <v>4.5045045045045038</v>
      </c>
      <c r="R18" t="s">
        <v>137</v>
      </c>
      <c r="S18">
        <v>0.65959498553519769</v>
      </c>
      <c r="T18" t="s">
        <v>137</v>
      </c>
      <c r="U18">
        <v>60</v>
      </c>
      <c r="V18" t="s">
        <v>137</v>
      </c>
      <c r="W18">
        <v>155.1</v>
      </c>
    </row>
    <row r="19" spans="1:23" x14ac:dyDescent="0.2">
      <c r="A19">
        <v>17</v>
      </c>
      <c r="B19">
        <v>2</v>
      </c>
      <c r="C19">
        <v>8</v>
      </c>
      <c r="D19">
        <v>21</v>
      </c>
      <c r="E19" s="2" t="s">
        <v>67</v>
      </c>
      <c r="F19" s="2" t="s">
        <v>68</v>
      </c>
      <c r="G19" t="s">
        <v>137</v>
      </c>
      <c r="H19">
        <v>50</v>
      </c>
      <c r="I19" t="s">
        <v>137</v>
      </c>
      <c r="J19">
        <v>0.83301333333333327</v>
      </c>
      <c r="K19" t="s">
        <v>137</v>
      </c>
      <c r="L19">
        <v>1.792792792792792</v>
      </c>
      <c r="M19">
        <v>0.47751605995717339</v>
      </c>
      <c r="N19">
        <v>1.3766228755522121</v>
      </c>
      <c r="O19" t="s">
        <v>137</v>
      </c>
      <c r="P19">
        <v>1.4934203003002999</v>
      </c>
      <c r="Q19">
        <v>2.8828828828828832</v>
      </c>
      <c r="R19" t="s">
        <v>137</v>
      </c>
      <c r="S19">
        <v>0.5224839400428265</v>
      </c>
      <c r="T19" t="s">
        <v>137</v>
      </c>
      <c r="U19">
        <v>65</v>
      </c>
      <c r="V19" t="s">
        <v>137</v>
      </c>
      <c r="W19">
        <v>164.6</v>
      </c>
    </row>
    <row r="20" spans="1:23" x14ac:dyDescent="0.2">
      <c r="A20">
        <v>18</v>
      </c>
      <c r="B20">
        <v>2</v>
      </c>
      <c r="C20">
        <v>9</v>
      </c>
      <c r="D20">
        <v>22</v>
      </c>
      <c r="E20" s="2" t="s">
        <v>69</v>
      </c>
      <c r="F20" s="2" t="s">
        <v>70</v>
      </c>
      <c r="G20">
        <v>50</v>
      </c>
      <c r="H20" t="s">
        <v>137</v>
      </c>
      <c r="I20">
        <v>0.87755555555555553</v>
      </c>
      <c r="J20" t="s">
        <v>137</v>
      </c>
      <c r="K20">
        <v>1.9333333333333329</v>
      </c>
      <c r="L20" t="s">
        <v>137</v>
      </c>
      <c r="M20">
        <v>0.72789115646258506</v>
      </c>
      <c r="N20">
        <v>1.7705460562603419</v>
      </c>
      <c r="O20">
        <v>1.6966074074074069</v>
      </c>
      <c r="P20" t="s">
        <v>137</v>
      </c>
      <c r="Q20">
        <v>2.432432432432432</v>
      </c>
      <c r="R20">
        <v>40.425800000000002</v>
      </c>
      <c r="S20">
        <v>0.27210884353741488</v>
      </c>
      <c r="T20">
        <v>170</v>
      </c>
      <c r="U20" t="s">
        <v>137</v>
      </c>
      <c r="V20">
        <v>33.200000000000003</v>
      </c>
      <c r="W20" t="s">
        <v>137</v>
      </c>
    </row>
    <row r="21" spans="1:23" x14ac:dyDescent="0.2">
      <c r="A21">
        <v>19</v>
      </c>
      <c r="B21">
        <v>3</v>
      </c>
      <c r="C21">
        <v>1</v>
      </c>
      <c r="D21">
        <v>38</v>
      </c>
      <c r="E21" s="2" t="s">
        <v>89</v>
      </c>
      <c r="F21" s="2" t="s">
        <v>90</v>
      </c>
      <c r="G21" t="s">
        <v>137</v>
      </c>
      <c r="H21">
        <v>50</v>
      </c>
      <c r="I21" t="s">
        <v>137</v>
      </c>
      <c r="J21">
        <v>0.79148076923076915</v>
      </c>
      <c r="K21" t="s">
        <v>137</v>
      </c>
      <c r="L21">
        <v>0.54954954954954949</v>
      </c>
      <c r="M21">
        <v>0.41821561338289959</v>
      </c>
      <c r="N21">
        <v>1.9968853611976281</v>
      </c>
      <c r="O21" t="s">
        <v>137</v>
      </c>
      <c r="P21">
        <v>0.43495790020790009</v>
      </c>
      <c r="Q21">
        <v>4.774774774774774</v>
      </c>
      <c r="R21" t="s">
        <v>137</v>
      </c>
      <c r="S21">
        <v>0.58178438661710041</v>
      </c>
      <c r="T21" t="s">
        <v>137</v>
      </c>
      <c r="U21">
        <v>65</v>
      </c>
      <c r="V21" t="s">
        <v>137</v>
      </c>
      <c r="W21">
        <v>178.9</v>
      </c>
    </row>
    <row r="22" spans="1:23" x14ac:dyDescent="0.2">
      <c r="A22">
        <v>20</v>
      </c>
      <c r="B22">
        <v>3</v>
      </c>
      <c r="C22">
        <v>2</v>
      </c>
      <c r="D22">
        <v>36</v>
      </c>
      <c r="E22" s="2" t="s">
        <v>85</v>
      </c>
      <c r="F22" s="2" t="s">
        <v>86</v>
      </c>
      <c r="G22">
        <v>75</v>
      </c>
      <c r="H22">
        <v>50</v>
      </c>
      <c r="I22">
        <v>0.85276315789473689</v>
      </c>
      <c r="J22">
        <v>0.81574025974025965</v>
      </c>
      <c r="K22">
        <v>0.56396396396396387</v>
      </c>
      <c r="L22">
        <v>0.88288288288288275</v>
      </c>
      <c r="M22">
        <v>0.60759493670886078</v>
      </c>
      <c r="N22">
        <v>2.7369141293191919</v>
      </c>
      <c r="O22">
        <v>0.48092769084874343</v>
      </c>
      <c r="P22">
        <v>0.72020311220311206</v>
      </c>
      <c r="Q22">
        <v>4.5045045045045038</v>
      </c>
      <c r="R22">
        <v>39.197299999999991</v>
      </c>
      <c r="S22">
        <v>0.39240506329113922</v>
      </c>
      <c r="T22">
        <v>75</v>
      </c>
      <c r="U22">
        <v>65</v>
      </c>
      <c r="V22">
        <v>48.9</v>
      </c>
      <c r="W22">
        <v>152.30000000000001</v>
      </c>
    </row>
    <row r="23" spans="1:23" x14ac:dyDescent="0.2">
      <c r="A23">
        <v>21</v>
      </c>
      <c r="B23">
        <v>3</v>
      </c>
      <c r="C23">
        <v>3</v>
      </c>
      <c r="D23">
        <v>26</v>
      </c>
      <c r="E23" s="2" t="s">
        <v>77</v>
      </c>
      <c r="F23" s="2" t="s">
        <v>78</v>
      </c>
      <c r="G23">
        <v>65</v>
      </c>
      <c r="H23" t="s">
        <v>137</v>
      </c>
      <c r="I23">
        <v>0.87197058823529405</v>
      </c>
      <c r="J23" t="s">
        <v>137</v>
      </c>
      <c r="K23">
        <v>1.852252252252252</v>
      </c>
      <c r="L23" t="s">
        <v>137</v>
      </c>
      <c r="M23">
        <v>0.68646864686468645</v>
      </c>
      <c r="N23">
        <v>2.411916867362411</v>
      </c>
      <c r="O23">
        <v>1.615109485956544</v>
      </c>
      <c r="P23" t="s">
        <v>137</v>
      </c>
      <c r="Q23">
        <v>3.5135135135135132</v>
      </c>
      <c r="R23">
        <v>44.930300000000003</v>
      </c>
      <c r="S23">
        <v>0.31353135313531361</v>
      </c>
      <c r="T23">
        <v>155</v>
      </c>
      <c r="U23" t="s">
        <v>137</v>
      </c>
      <c r="V23">
        <v>33.4</v>
      </c>
      <c r="W23" t="s">
        <v>137</v>
      </c>
    </row>
    <row r="24" spans="1:23" x14ac:dyDescent="0.2">
      <c r="A24">
        <v>22</v>
      </c>
      <c r="B24">
        <v>3</v>
      </c>
      <c r="C24">
        <v>4</v>
      </c>
      <c r="D24">
        <v>22</v>
      </c>
      <c r="E24" s="2" t="s">
        <v>69</v>
      </c>
      <c r="F24" s="2" t="s">
        <v>70</v>
      </c>
      <c r="G24">
        <v>60</v>
      </c>
      <c r="H24" t="s">
        <v>137</v>
      </c>
      <c r="I24">
        <v>0.860171052631579</v>
      </c>
      <c r="J24" t="s">
        <v>137</v>
      </c>
      <c r="K24">
        <v>1.418018018018018</v>
      </c>
      <c r="L24" t="s">
        <v>137</v>
      </c>
      <c r="M24">
        <v>0.72789115646258506</v>
      </c>
      <c r="N24">
        <v>1.639394496537353</v>
      </c>
      <c r="O24">
        <v>1.2197380512091041</v>
      </c>
      <c r="P24" t="s">
        <v>137</v>
      </c>
      <c r="Q24">
        <v>2.2522522522522519</v>
      </c>
      <c r="R24">
        <v>39.197299999999991</v>
      </c>
      <c r="S24">
        <v>0.27210884353741488</v>
      </c>
      <c r="T24">
        <v>200</v>
      </c>
      <c r="U24" t="s">
        <v>137</v>
      </c>
      <c r="V24">
        <v>36.4</v>
      </c>
      <c r="W24" t="s">
        <v>137</v>
      </c>
    </row>
    <row r="25" spans="1:23" x14ac:dyDescent="0.2">
      <c r="A25">
        <v>23</v>
      </c>
      <c r="B25">
        <v>3</v>
      </c>
      <c r="C25">
        <v>5</v>
      </c>
      <c r="D25">
        <v>23</v>
      </c>
      <c r="E25" s="2" t="s">
        <v>71</v>
      </c>
      <c r="F25" s="2" t="s">
        <v>72</v>
      </c>
      <c r="G25">
        <v>75</v>
      </c>
      <c r="H25" t="s">
        <v>137</v>
      </c>
      <c r="I25">
        <v>0.8607011494252873</v>
      </c>
      <c r="J25" t="s">
        <v>137</v>
      </c>
      <c r="K25">
        <v>1.8594594594594589</v>
      </c>
      <c r="L25" t="s">
        <v>137</v>
      </c>
      <c r="M25">
        <v>0.63349917081260365</v>
      </c>
      <c r="N25">
        <v>3.3672478448597851</v>
      </c>
      <c r="O25">
        <v>1.60043889406648</v>
      </c>
      <c r="P25" t="s">
        <v>137</v>
      </c>
      <c r="Q25">
        <v>5.3153153153153152</v>
      </c>
      <c r="R25">
        <v>43.292299999999997</v>
      </c>
      <c r="S25">
        <v>0.36650082918739629</v>
      </c>
      <c r="T25">
        <v>150</v>
      </c>
      <c r="U25" t="s">
        <v>137</v>
      </c>
      <c r="V25">
        <v>35.799999999999997</v>
      </c>
      <c r="W25" t="s">
        <v>137</v>
      </c>
    </row>
    <row r="26" spans="1:23" x14ac:dyDescent="0.2">
      <c r="A26">
        <v>24</v>
      </c>
      <c r="B26">
        <v>3</v>
      </c>
      <c r="C26">
        <v>6</v>
      </c>
      <c r="D26">
        <v>30</v>
      </c>
      <c r="E26" s="2" t="s">
        <v>81</v>
      </c>
      <c r="F26" s="2" t="s">
        <v>82</v>
      </c>
      <c r="G26">
        <v>60</v>
      </c>
      <c r="H26">
        <v>45</v>
      </c>
      <c r="I26">
        <v>0.83958441558441554</v>
      </c>
      <c r="J26">
        <v>0.8117662337662338</v>
      </c>
      <c r="K26">
        <v>0.5963963963963963</v>
      </c>
      <c r="L26">
        <v>1.41981981981982</v>
      </c>
      <c r="M26">
        <v>0.40954773869346728</v>
      </c>
      <c r="N26">
        <v>1.7710172484041831</v>
      </c>
      <c r="O26">
        <v>0.50072511992511981</v>
      </c>
      <c r="P26">
        <v>1.152561787761788</v>
      </c>
      <c r="Q26">
        <v>4.3243243243243237</v>
      </c>
      <c r="R26">
        <v>37.149799999999992</v>
      </c>
      <c r="S26">
        <v>0.59045226130653261</v>
      </c>
      <c r="T26">
        <v>90</v>
      </c>
      <c r="U26">
        <v>35</v>
      </c>
      <c r="V26">
        <v>37.299999999999997</v>
      </c>
      <c r="W26">
        <v>155.4</v>
      </c>
    </row>
    <row r="27" spans="1:23" x14ac:dyDescent="0.2">
      <c r="A27">
        <v>25</v>
      </c>
      <c r="B27">
        <v>3</v>
      </c>
      <c r="C27">
        <v>7</v>
      </c>
      <c r="D27">
        <v>27</v>
      </c>
      <c r="E27" s="2" t="s">
        <v>79</v>
      </c>
      <c r="F27" s="2" t="s">
        <v>80</v>
      </c>
      <c r="G27">
        <v>80</v>
      </c>
      <c r="H27" t="s">
        <v>137</v>
      </c>
      <c r="I27">
        <v>0.85660674157303374</v>
      </c>
      <c r="J27" t="s">
        <v>137</v>
      </c>
      <c r="K27">
        <v>2.1675675675675672</v>
      </c>
      <c r="L27" t="s">
        <v>137</v>
      </c>
      <c r="M27">
        <v>0.6398104265402843</v>
      </c>
      <c r="N27">
        <v>2.9973101063148451</v>
      </c>
      <c r="O27">
        <v>1.85675299119344</v>
      </c>
      <c r="P27" t="s">
        <v>137</v>
      </c>
      <c r="Q27">
        <v>4.6846846846846839</v>
      </c>
      <c r="R27">
        <v>39.197299999999991</v>
      </c>
      <c r="S27">
        <v>0.3601895734597157</v>
      </c>
      <c r="T27">
        <v>190</v>
      </c>
      <c r="U27" t="s">
        <v>137</v>
      </c>
      <c r="V27">
        <v>41.400000000000013</v>
      </c>
      <c r="W27" t="s">
        <v>137</v>
      </c>
    </row>
    <row r="28" spans="1:23" x14ac:dyDescent="0.2">
      <c r="A28">
        <v>26</v>
      </c>
      <c r="B28">
        <v>3</v>
      </c>
      <c r="C28">
        <v>8</v>
      </c>
      <c r="D28">
        <v>43</v>
      </c>
      <c r="E28" s="2" t="s">
        <v>99</v>
      </c>
      <c r="F28" s="2" t="s">
        <v>100</v>
      </c>
      <c r="G28">
        <v>60</v>
      </c>
      <c r="H28">
        <v>40</v>
      </c>
      <c r="I28">
        <v>0.84832394366197184</v>
      </c>
      <c r="J28">
        <v>0.81145783132530125</v>
      </c>
      <c r="K28">
        <v>0.46666666666666662</v>
      </c>
      <c r="L28">
        <v>1.0612612612612611</v>
      </c>
      <c r="M28">
        <v>0.68320180383314544</v>
      </c>
      <c r="N28">
        <v>1.7233919375971241</v>
      </c>
      <c r="O28">
        <v>0.39588450704225348</v>
      </c>
      <c r="P28">
        <v>0.8611687615326169</v>
      </c>
      <c r="Q28">
        <v>2.522522522522523</v>
      </c>
      <c r="R28">
        <v>36.330800000000004</v>
      </c>
      <c r="S28">
        <v>0.31679819616685462</v>
      </c>
      <c r="T28">
        <v>40</v>
      </c>
      <c r="U28">
        <v>45</v>
      </c>
      <c r="V28">
        <v>35.200000000000003</v>
      </c>
      <c r="W28">
        <v>143.6</v>
      </c>
    </row>
    <row r="29" spans="1:23" x14ac:dyDescent="0.2">
      <c r="A29">
        <v>27</v>
      </c>
      <c r="B29">
        <v>3</v>
      </c>
      <c r="C29">
        <v>9</v>
      </c>
      <c r="D29">
        <v>39</v>
      </c>
      <c r="E29" s="2" t="s">
        <v>91</v>
      </c>
      <c r="F29" s="2" t="s">
        <v>92</v>
      </c>
      <c r="G29">
        <v>65</v>
      </c>
      <c r="H29">
        <v>40</v>
      </c>
      <c r="I29">
        <v>0.86033333333333339</v>
      </c>
      <c r="J29">
        <v>0.84129487179487172</v>
      </c>
      <c r="K29">
        <v>0.54774774774774759</v>
      </c>
      <c r="L29">
        <v>0.67567567567567555</v>
      </c>
      <c r="M29">
        <v>0.4871508379888268</v>
      </c>
      <c r="N29">
        <v>1.404398812220041</v>
      </c>
      <c r="O29">
        <v>0.47124564564564547</v>
      </c>
      <c r="P29">
        <v>0.56844248094248073</v>
      </c>
      <c r="Q29">
        <v>2.8828828828828832</v>
      </c>
      <c r="R29">
        <v>37.968799999999987</v>
      </c>
      <c r="S29">
        <v>0.51284916201117325</v>
      </c>
      <c r="T29">
        <v>20</v>
      </c>
      <c r="U29">
        <v>25</v>
      </c>
      <c r="V29">
        <v>40</v>
      </c>
      <c r="W29">
        <v>147.5</v>
      </c>
    </row>
    <row r="30" spans="1:23" x14ac:dyDescent="0.2">
      <c r="A30">
        <v>28</v>
      </c>
      <c r="B30">
        <v>4</v>
      </c>
      <c r="C30">
        <v>1</v>
      </c>
      <c r="D30">
        <v>42</v>
      </c>
      <c r="E30" s="2" t="s">
        <v>97</v>
      </c>
      <c r="F30" s="2" t="s">
        <v>98</v>
      </c>
      <c r="G30">
        <v>70</v>
      </c>
      <c r="H30">
        <v>45</v>
      </c>
      <c r="I30">
        <v>0.84941176470588231</v>
      </c>
      <c r="J30">
        <v>0.84589999999999999</v>
      </c>
      <c r="K30">
        <v>0.48108108108108111</v>
      </c>
      <c r="L30">
        <v>0.23243243243243239</v>
      </c>
      <c r="M30">
        <v>0.52463768115942033</v>
      </c>
      <c r="N30">
        <v>1.843321582452017</v>
      </c>
      <c r="O30">
        <v>0.40863593004769472</v>
      </c>
      <c r="P30">
        <v>0.1966145945945946</v>
      </c>
      <c r="Q30">
        <v>3.5135135135135132</v>
      </c>
      <c r="R30">
        <v>40.835299999999997</v>
      </c>
      <c r="S30">
        <v>0.47536231884057972</v>
      </c>
      <c r="T30">
        <v>50</v>
      </c>
      <c r="U30">
        <v>60</v>
      </c>
      <c r="V30">
        <v>34</v>
      </c>
      <c r="W30">
        <v>148.6</v>
      </c>
    </row>
    <row r="31" spans="1:23" x14ac:dyDescent="0.2">
      <c r="A31">
        <v>29</v>
      </c>
      <c r="B31">
        <v>4</v>
      </c>
      <c r="C31">
        <v>2</v>
      </c>
      <c r="D31">
        <v>21</v>
      </c>
      <c r="E31" s="2" t="s">
        <v>67</v>
      </c>
      <c r="F31" s="2" t="s">
        <v>68</v>
      </c>
      <c r="G31" t="s">
        <v>137</v>
      </c>
      <c r="H31">
        <v>50</v>
      </c>
      <c r="I31" t="s">
        <v>137</v>
      </c>
      <c r="J31">
        <v>0.81649382716049379</v>
      </c>
      <c r="K31" t="s">
        <v>137</v>
      </c>
      <c r="L31">
        <v>1.610810810810811</v>
      </c>
      <c r="M31">
        <v>0.47751605995717339</v>
      </c>
      <c r="N31">
        <v>2.882304145687443</v>
      </c>
      <c r="O31" t="s">
        <v>137</v>
      </c>
      <c r="P31">
        <v>1.3152170837504169</v>
      </c>
      <c r="Q31">
        <v>6.0360360360360357</v>
      </c>
      <c r="R31" t="s">
        <v>137</v>
      </c>
      <c r="S31">
        <v>0.5224839400428265</v>
      </c>
      <c r="T31" t="s">
        <v>137</v>
      </c>
      <c r="U31">
        <v>95</v>
      </c>
      <c r="V31" t="s">
        <v>137</v>
      </c>
      <c r="W31">
        <v>160.6</v>
      </c>
    </row>
    <row r="32" spans="1:23" x14ac:dyDescent="0.2">
      <c r="A32">
        <v>30</v>
      </c>
      <c r="B32">
        <v>4</v>
      </c>
      <c r="C32">
        <v>3</v>
      </c>
      <c r="D32">
        <v>25</v>
      </c>
      <c r="E32" s="2" t="s">
        <v>75</v>
      </c>
      <c r="F32" s="2" t="s">
        <v>76</v>
      </c>
      <c r="G32">
        <v>65</v>
      </c>
      <c r="H32" t="s">
        <v>137</v>
      </c>
      <c r="I32">
        <v>0.86938372093023253</v>
      </c>
      <c r="J32" t="s">
        <v>137</v>
      </c>
      <c r="K32">
        <v>2.0756756756756749</v>
      </c>
      <c r="L32" t="s">
        <v>137</v>
      </c>
      <c r="M32">
        <v>0.71186440677966101</v>
      </c>
      <c r="N32">
        <v>1.923957856161246</v>
      </c>
      <c r="O32">
        <v>1.8045586423632931</v>
      </c>
      <c r="P32" t="s">
        <v>137</v>
      </c>
      <c r="Q32">
        <v>2.7027027027027022</v>
      </c>
      <c r="R32">
        <v>38.378300000000003</v>
      </c>
      <c r="S32">
        <v>0.28813559322033899</v>
      </c>
      <c r="T32">
        <v>235</v>
      </c>
      <c r="U32" t="s">
        <v>137</v>
      </c>
      <c r="V32">
        <v>33.099999999999987</v>
      </c>
      <c r="W32" t="s">
        <v>137</v>
      </c>
    </row>
    <row r="33" spans="1:23" x14ac:dyDescent="0.2">
      <c r="A33">
        <v>31</v>
      </c>
      <c r="B33">
        <v>4</v>
      </c>
      <c r="C33">
        <v>4</v>
      </c>
      <c r="D33">
        <v>37</v>
      </c>
      <c r="E33" s="2" t="s">
        <v>87</v>
      </c>
      <c r="F33" s="2" t="s">
        <v>88</v>
      </c>
      <c r="G33" t="s">
        <v>137</v>
      </c>
      <c r="H33">
        <v>40</v>
      </c>
      <c r="I33" t="s">
        <v>137</v>
      </c>
      <c r="J33">
        <v>0.8258227848101265</v>
      </c>
      <c r="K33" t="s">
        <v>137</v>
      </c>
      <c r="L33">
        <v>1.2666666666666671</v>
      </c>
      <c r="M33">
        <v>0.34040501446480231</v>
      </c>
      <c r="N33">
        <v>1.2573518552303511</v>
      </c>
      <c r="O33" t="s">
        <v>137</v>
      </c>
      <c r="P33">
        <v>1.0460421940928271</v>
      </c>
      <c r="Q33">
        <v>3.6936936936936928</v>
      </c>
      <c r="R33" t="s">
        <v>137</v>
      </c>
      <c r="S33">
        <v>0.65959498553519769</v>
      </c>
      <c r="T33" t="s">
        <v>137</v>
      </c>
      <c r="U33">
        <v>60</v>
      </c>
      <c r="V33" t="s">
        <v>137</v>
      </c>
      <c r="W33">
        <v>144.69999999999999</v>
      </c>
    </row>
    <row r="34" spans="1:23" x14ac:dyDescent="0.2">
      <c r="A34">
        <v>32</v>
      </c>
      <c r="B34">
        <v>4</v>
      </c>
      <c r="C34">
        <v>5</v>
      </c>
      <c r="D34">
        <v>24</v>
      </c>
      <c r="E34" s="2" t="s">
        <v>73</v>
      </c>
      <c r="F34" s="2" t="s">
        <v>74</v>
      </c>
      <c r="G34">
        <v>80</v>
      </c>
      <c r="H34" t="s">
        <v>137</v>
      </c>
      <c r="I34">
        <v>0.85917647058823532</v>
      </c>
      <c r="J34" t="s">
        <v>137</v>
      </c>
      <c r="K34">
        <v>1.756756756756757</v>
      </c>
      <c r="L34" t="s">
        <v>137</v>
      </c>
      <c r="M34">
        <v>0.68493150684931503</v>
      </c>
      <c r="N34">
        <v>2.7767493520918172</v>
      </c>
      <c r="O34">
        <v>1.509364069952305</v>
      </c>
      <c r="P34" t="s">
        <v>137</v>
      </c>
      <c r="Q34">
        <v>4.0540540540540544</v>
      </c>
      <c r="R34">
        <v>36.330800000000004</v>
      </c>
      <c r="S34">
        <v>0.31506849315068503</v>
      </c>
      <c r="T34">
        <v>205</v>
      </c>
      <c r="U34" t="s">
        <v>137</v>
      </c>
      <c r="V34">
        <v>44.3</v>
      </c>
      <c r="W34" t="s">
        <v>137</v>
      </c>
    </row>
    <row r="35" spans="1:23" x14ac:dyDescent="0.2">
      <c r="A35">
        <v>33</v>
      </c>
      <c r="B35">
        <v>4</v>
      </c>
      <c r="C35">
        <v>6</v>
      </c>
      <c r="D35">
        <v>41</v>
      </c>
      <c r="E35" s="2" t="s">
        <v>95</v>
      </c>
      <c r="F35" s="2" t="s">
        <v>96</v>
      </c>
      <c r="G35">
        <v>75</v>
      </c>
      <c r="H35">
        <v>50</v>
      </c>
      <c r="I35">
        <v>0.83213186813186812</v>
      </c>
      <c r="J35">
        <v>0.81818072289156629</v>
      </c>
      <c r="K35">
        <v>0.60180180180180176</v>
      </c>
      <c r="L35">
        <v>1.1819819819819819</v>
      </c>
      <c r="M35">
        <v>0.42248722316865422</v>
      </c>
      <c r="N35">
        <v>1.712786039872922</v>
      </c>
      <c r="O35">
        <v>0.50077845757845751</v>
      </c>
      <c r="P35">
        <v>0.9670748724628242</v>
      </c>
      <c r="Q35">
        <v>4.0540540540540544</v>
      </c>
      <c r="R35">
        <v>45.339799999999997</v>
      </c>
      <c r="S35">
        <v>0.57751277683134583</v>
      </c>
      <c r="T35">
        <v>85</v>
      </c>
      <c r="U35">
        <v>35</v>
      </c>
      <c r="V35">
        <v>37.799999999999997</v>
      </c>
      <c r="W35">
        <v>159.4</v>
      </c>
    </row>
    <row r="36" spans="1:23" x14ac:dyDescent="0.2">
      <c r="A36">
        <v>34</v>
      </c>
      <c r="B36">
        <v>4</v>
      </c>
      <c r="C36">
        <v>7</v>
      </c>
      <c r="D36">
        <v>40</v>
      </c>
      <c r="E36" s="2" t="s">
        <v>93</v>
      </c>
      <c r="F36" s="2" t="s">
        <v>94</v>
      </c>
      <c r="G36">
        <v>80</v>
      </c>
      <c r="H36">
        <v>50</v>
      </c>
      <c r="I36">
        <v>0.85098275862068962</v>
      </c>
      <c r="J36">
        <v>0.81476829268292694</v>
      </c>
      <c r="K36">
        <v>0.39639639639639629</v>
      </c>
      <c r="L36">
        <v>0.97657657657657648</v>
      </c>
      <c r="M36">
        <v>0.43007915567282318</v>
      </c>
      <c r="N36">
        <v>2.2860063229456369</v>
      </c>
      <c r="O36">
        <v>0.33732649891270577</v>
      </c>
      <c r="P36">
        <v>0.79568362997143494</v>
      </c>
      <c r="Q36">
        <v>5.3153153153153152</v>
      </c>
      <c r="R36">
        <v>35.511799999999987</v>
      </c>
      <c r="S36">
        <v>0.56992084432717682</v>
      </c>
      <c r="T36">
        <v>80</v>
      </c>
      <c r="U36">
        <v>55</v>
      </c>
      <c r="V36">
        <v>44.2</v>
      </c>
      <c r="W36">
        <v>166.8</v>
      </c>
    </row>
    <row r="37" spans="1:23" x14ac:dyDescent="0.2">
      <c r="A37">
        <v>35</v>
      </c>
      <c r="B37">
        <v>4</v>
      </c>
      <c r="C37">
        <v>8</v>
      </c>
      <c r="D37">
        <v>44</v>
      </c>
      <c r="E37" s="2" t="s">
        <v>101</v>
      </c>
      <c r="F37" s="2" t="s">
        <v>102</v>
      </c>
      <c r="G37">
        <v>65</v>
      </c>
      <c r="H37">
        <v>55</v>
      </c>
      <c r="I37">
        <v>0.83566666666666667</v>
      </c>
      <c r="J37">
        <v>0.81339240506329114</v>
      </c>
      <c r="K37">
        <v>0.56756756756756754</v>
      </c>
      <c r="L37">
        <v>1.12972972972973</v>
      </c>
      <c r="M37">
        <v>0.51749539594843463</v>
      </c>
      <c r="N37">
        <v>2.191196721583462</v>
      </c>
      <c r="O37">
        <v>0.4742972972972973</v>
      </c>
      <c r="P37">
        <v>0.91891358193636652</v>
      </c>
      <c r="Q37">
        <v>4.2342342342342336</v>
      </c>
      <c r="R37">
        <v>40.835299999999997</v>
      </c>
      <c r="S37">
        <v>0.48250460405156542</v>
      </c>
      <c r="T37">
        <v>35</v>
      </c>
      <c r="U37">
        <v>50</v>
      </c>
      <c r="V37">
        <v>37.9</v>
      </c>
      <c r="W37">
        <v>162</v>
      </c>
    </row>
    <row r="38" spans="1:23" x14ac:dyDescent="0.2">
      <c r="A38">
        <v>36</v>
      </c>
      <c r="B38">
        <v>4</v>
      </c>
      <c r="C38">
        <v>9</v>
      </c>
      <c r="D38">
        <v>33</v>
      </c>
      <c r="E38" s="2" t="s">
        <v>83</v>
      </c>
      <c r="F38" s="2" t="s">
        <v>84</v>
      </c>
      <c r="G38">
        <v>65</v>
      </c>
      <c r="H38">
        <v>45</v>
      </c>
      <c r="I38">
        <v>0.84126190476190477</v>
      </c>
      <c r="J38">
        <v>0.79622666666666664</v>
      </c>
      <c r="K38">
        <v>0.64144144144144133</v>
      </c>
      <c r="L38">
        <v>1.4702702702702699</v>
      </c>
      <c r="M38">
        <v>0.47764034253092291</v>
      </c>
      <c r="N38">
        <v>2.409717043399251</v>
      </c>
      <c r="O38">
        <v>0.53962024882024873</v>
      </c>
      <c r="P38">
        <v>1.170668396396396</v>
      </c>
      <c r="Q38">
        <v>5.045045045045045</v>
      </c>
      <c r="R38">
        <v>41.244799999999991</v>
      </c>
      <c r="S38">
        <v>0.52235965746907709</v>
      </c>
      <c r="T38">
        <v>35</v>
      </c>
      <c r="U38">
        <v>60</v>
      </c>
      <c r="V38">
        <v>39</v>
      </c>
      <c r="W38">
        <v>161.19999999999999</v>
      </c>
    </row>
    <row r="39" spans="1:23" x14ac:dyDescent="0.2">
      <c r="A39">
        <v>37</v>
      </c>
      <c r="B39">
        <v>5</v>
      </c>
      <c r="C39">
        <v>1</v>
      </c>
      <c r="D39">
        <v>41</v>
      </c>
      <c r="E39" s="2" t="s">
        <v>95</v>
      </c>
      <c r="F39" s="2" t="s">
        <v>96</v>
      </c>
      <c r="G39">
        <v>75</v>
      </c>
      <c r="H39">
        <v>40</v>
      </c>
      <c r="I39">
        <v>0.8504814814814815</v>
      </c>
      <c r="J39">
        <v>0.82650000000000001</v>
      </c>
      <c r="K39">
        <v>0.32972972972972969</v>
      </c>
      <c r="L39">
        <v>0.6</v>
      </c>
      <c r="M39">
        <v>0.42248722316865422</v>
      </c>
      <c r="N39">
        <v>1.8650336878616269</v>
      </c>
      <c r="O39">
        <v>0.280429029029029</v>
      </c>
      <c r="P39">
        <v>0.49590000000000001</v>
      </c>
      <c r="Q39">
        <v>4.4144144144144146</v>
      </c>
      <c r="R39">
        <v>43.701799999999992</v>
      </c>
      <c r="S39">
        <v>0.57751277683134583</v>
      </c>
      <c r="T39">
        <v>40</v>
      </c>
      <c r="U39">
        <v>50</v>
      </c>
      <c r="V39">
        <v>34.1</v>
      </c>
      <c r="W39">
        <v>145.5</v>
      </c>
    </row>
    <row r="40" spans="1:23" x14ac:dyDescent="0.2">
      <c r="A40">
        <v>38</v>
      </c>
      <c r="B40">
        <v>5</v>
      </c>
      <c r="C40">
        <v>2</v>
      </c>
      <c r="D40">
        <v>43</v>
      </c>
      <c r="E40" s="2" t="s">
        <v>99</v>
      </c>
      <c r="F40" s="2" t="s">
        <v>100</v>
      </c>
      <c r="G40">
        <v>60</v>
      </c>
      <c r="H40">
        <v>45</v>
      </c>
      <c r="I40">
        <v>0.83128915662650604</v>
      </c>
      <c r="J40">
        <v>0.83265822784810128</v>
      </c>
      <c r="K40">
        <v>0.54594594594594581</v>
      </c>
      <c r="L40">
        <v>1.284684684684684</v>
      </c>
      <c r="M40">
        <v>0.68320180383314544</v>
      </c>
      <c r="N40">
        <v>2.215789634053444</v>
      </c>
      <c r="O40">
        <v>0.45383894496906529</v>
      </c>
      <c r="P40">
        <v>1.0697032728931459</v>
      </c>
      <c r="Q40">
        <v>3.243243243243243</v>
      </c>
      <c r="R40">
        <v>40.835299999999997</v>
      </c>
      <c r="S40">
        <v>0.31679819616685462</v>
      </c>
      <c r="T40">
        <v>70</v>
      </c>
      <c r="U40">
        <v>50</v>
      </c>
      <c r="V40">
        <v>38.1</v>
      </c>
      <c r="W40">
        <v>142.5</v>
      </c>
    </row>
    <row r="41" spans="1:23" x14ac:dyDescent="0.2">
      <c r="A41">
        <v>39</v>
      </c>
      <c r="B41">
        <v>5</v>
      </c>
      <c r="C41">
        <v>3</v>
      </c>
      <c r="D41">
        <v>38</v>
      </c>
      <c r="E41" s="2" t="s">
        <v>89</v>
      </c>
      <c r="F41" s="2" t="s">
        <v>90</v>
      </c>
      <c r="G41" t="s">
        <v>137</v>
      </c>
      <c r="H41">
        <v>45</v>
      </c>
      <c r="I41" t="s">
        <v>137</v>
      </c>
      <c r="J41">
        <v>0.79855405405405411</v>
      </c>
      <c r="K41" t="s">
        <v>137</v>
      </c>
      <c r="L41">
        <v>1.365765765765766</v>
      </c>
      <c r="M41">
        <v>0.41821561338289959</v>
      </c>
      <c r="N41">
        <v>1.544760373756656</v>
      </c>
      <c r="O41" t="s">
        <v>137</v>
      </c>
      <c r="P41">
        <v>1.0906377891404919</v>
      </c>
      <c r="Q41">
        <v>3.6936936936936928</v>
      </c>
      <c r="R41" t="s">
        <v>137</v>
      </c>
      <c r="S41">
        <v>0.58178438661710041</v>
      </c>
      <c r="T41" t="s">
        <v>137</v>
      </c>
      <c r="U41">
        <v>80</v>
      </c>
      <c r="V41" t="s">
        <v>137</v>
      </c>
      <c r="W41">
        <v>179.8</v>
      </c>
    </row>
    <row r="42" spans="1:23" x14ac:dyDescent="0.2">
      <c r="A42">
        <v>40</v>
      </c>
      <c r="B42">
        <v>5</v>
      </c>
      <c r="C42">
        <v>4</v>
      </c>
      <c r="D42">
        <v>23</v>
      </c>
      <c r="E42" s="2" t="s">
        <v>71</v>
      </c>
      <c r="F42" s="2" t="s">
        <v>72</v>
      </c>
      <c r="G42">
        <v>70</v>
      </c>
      <c r="H42" t="s">
        <v>137</v>
      </c>
      <c r="I42">
        <v>0.87454216867469881</v>
      </c>
      <c r="J42" t="s">
        <v>137</v>
      </c>
      <c r="K42">
        <v>1.637837837837838</v>
      </c>
      <c r="L42">
        <v>0</v>
      </c>
      <c r="M42">
        <v>0.63349917081260365</v>
      </c>
      <c r="N42">
        <v>2.2828798948201929</v>
      </c>
      <c r="O42">
        <v>1.4323582546401821</v>
      </c>
      <c r="P42" t="s">
        <v>137</v>
      </c>
      <c r="Q42">
        <v>3.6036036036036032</v>
      </c>
      <c r="R42">
        <v>44.111299999999993</v>
      </c>
      <c r="S42">
        <v>0.36650082918739629</v>
      </c>
      <c r="T42">
        <v>110</v>
      </c>
      <c r="U42" t="s">
        <v>137</v>
      </c>
      <c r="V42">
        <v>36.700000000000003</v>
      </c>
      <c r="W42" t="s">
        <v>137</v>
      </c>
    </row>
    <row r="43" spans="1:23" x14ac:dyDescent="0.2">
      <c r="A43">
        <v>41</v>
      </c>
      <c r="B43">
        <v>5</v>
      </c>
      <c r="C43">
        <v>5</v>
      </c>
      <c r="D43">
        <v>39</v>
      </c>
      <c r="E43" s="2" t="s">
        <v>91</v>
      </c>
      <c r="F43" s="2" t="s">
        <v>92</v>
      </c>
      <c r="G43">
        <v>80</v>
      </c>
      <c r="H43">
        <v>40</v>
      </c>
      <c r="I43">
        <v>0.8412857142857143</v>
      </c>
      <c r="J43">
        <v>0.80037362637362641</v>
      </c>
      <c r="K43">
        <v>0.34774774774774769</v>
      </c>
      <c r="L43">
        <v>1.2</v>
      </c>
      <c r="M43">
        <v>0.4871508379888268</v>
      </c>
      <c r="N43">
        <v>2.2821480698575671</v>
      </c>
      <c r="O43">
        <v>0.29255521235521242</v>
      </c>
      <c r="P43">
        <v>0.96044835164835163</v>
      </c>
      <c r="Q43">
        <v>4.6846846846846839</v>
      </c>
      <c r="R43">
        <v>34.692799999999998</v>
      </c>
      <c r="S43">
        <v>0.51284916201117325</v>
      </c>
      <c r="T43">
        <v>35</v>
      </c>
      <c r="U43">
        <v>55</v>
      </c>
      <c r="V43">
        <v>40.700000000000003</v>
      </c>
      <c r="W43">
        <v>158.19999999999999</v>
      </c>
    </row>
    <row r="44" spans="1:23" x14ac:dyDescent="0.2">
      <c r="A44">
        <v>42</v>
      </c>
      <c r="B44">
        <v>5</v>
      </c>
      <c r="C44">
        <v>6</v>
      </c>
      <c r="D44">
        <v>33</v>
      </c>
      <c r="E44" s="2" t="s">
        <v>83</v>
      </c>
      <c r="F44" s="2" t="s">
        <v>84</v>
      </c>
      <c r="G44">
        <v>70</v>
      </c>
      <c r="H44">
        <v>45</v>
      </c>
      <c r="I44">
        <v>0.83671590909090909</v>
      </c>
      <c r="J44">
        <v>0.79948235294117653</v>
      </c>
      <c r="K44">
        <v>0.63783783783783776</v>
      </c>
      <c r="L44">
        <v>1.4</v>
      </c>
      <c r="M44">
        <v>0.47764034253092291</v>
      </c>
      <c r="N44">
        <v>1.721226459570893</v>
      </c>
      <c r="O44">
        <v>0.53368906633906632</v>
      </c>
      <c r="P44">
        <v>1.1192752941176469</v>
      </c>
      <c r="Q44">
        <v>3.6036036036036032</v>
      </c>
      <c r="R44">
        <v>43.292299999999997</v>
      </c>
      <c r="S44">
        <v>0.52235965746907709</v>
      </c>
      <c r="T44">
        <v>35</v>
      </c>
      <c r="U44">
        <v>70</v>
      </c>
      <c r="V44">
        <v>39.099999999999987</v>
      </c>
      <c r="W44">
        <v>160.30000000000001</v>
      </c>
    </row>
    <row r="45" spans="1:23" x14ac:dyDescent="0.2">
      <c r="A45">
        <v>43</v>
      </c>
      <c r="B45">
        <v>5</v>
      </c>
      <c r="C45">
        <v>7</v>
      </c>
      <c r="D45">
        <v>21</v>
      </c>
      <c r="E45" s="2" t="s">
        <v>67</v>
      </c>
      <c r="F45" s="2" t="s">
        <v>68</v>
      </c>
      <c r="G45" t="s">
        <v>137</v>
      </c>
      <c r="H45">
        <v>40</v>
      </c>
      <c r="I45" t="s">
        <v>137</v>
      </c>
      <c r="J45">
        <v>0.80726582278481018</v>
      </c>
      <c r="K45" t="s">
        <v>137</v>
      </c>
      <c r="L45">
        <v>2.354954954954954</v>
      </c>
      <c r="M45">
        <v>0.47751605995717339</v>
      </c>
      <c r="N45">
        <v>1.9788953836063039</v>
      </c>
      <c r="O45" t="s">
        <v>137</v>
      </c>
      <c r="P45">
        <v>1.901074649332877</v>
      </c>
      <c r="Q45">
        <v>4.1441441441441436</v>
      </c>
      <c r="R45" t="s">
        <v>137</v>
      </c>
      <c r="S45">
        <v>0.5224839400428265</v>
      </c>
      <c r="T45" t="s">
        <v>137</v>
      </c>
      <c r="U45">
        <v>65</v>
      </c>
      <c r="V45" t="s">
        <v>137</v>
      </c>
      <c r="W45">
        <v>161.4</v>
      </c>
    </row>
    <row r="46" spans="1:23" x14ac:dyDescent="0.2">
      <c r="A46">
        <v>44</v>
      </c>
      <c r="B46">
        <v>5</v>
      </c>
      <c r="C46">
        <v>8</v>
      </c>
      <c r="D46">
        <v>25</v>
      </c>
      <c r="E46" s="2" t="s">
        <v>75</v>
      </c>
      <c r="F46" s="2" t="s">
        <v>76</v>
      </c>
      <c r="G46">
        <v>60</v>
      </c>
      <c r="H46" t="s">
        <v>137</v>
      </c>
      <c r="I46">
        <v>0.85644047619047625</v>
      </c>
      <c r="J46" t="s">
        <v>137</v>
      </c>
      <c r="K46">
        <v>2.14054054054054</v>
      </c>
      <c r="L46" t="s">
        <v>137</v>
      </c>
      <c r="M46">
        <v>0.71186440677966101</v>
      </c>
      <c r="N46">
        <v>2.4370132844709111</v>
      </c>
      <c r="O46">
        <v>1.833245559845559</v>
      </c>
      <c r="P46" t="s">
        <v>137</v>
      </c>
      <c r="Q46">
        <v>3.4234234234234231</v>
      </c>
      <c r="R46">
        <v>37.149799999999992</v>
      </c>
      <c r="S46">
        <v>0.28813559322033899</v>
      </c>
      <c r="T46">
        <v>190</v>
      </c>
      <c r="U46" t="s">
        <v>137</v>
      </c>
      <c r="V46">
        <v>33</v>
      </c>
      <c r="W46" t="s">
        <v>137</v>
      </c>
    </row>
    <row r="47" spans="1:23" x14ac:dyDescent="0.2">
      <c r="A47">
        <v>45</v>
      </c>
      <c r="B47">
        <v>5</v>
      </c>
      <c r="C47">
        <v>9</v>
      </c>
      <c r="D47">
        <v>27</v>
      </c>
      <c r="E47" s="2" t="s">
        <v>79</v>
      </c>
      <c r="F47" s="2" t="s">
        <v>80</v>
      </c>
      <c r="G47">
        <v>75</v>
      </c>
      <c r="H47" t="s">
        <v>137</v>
      </c>
      <c r="I47">
        <v>0.87450602409638556</v>
      </c>
      <c r="J47" t="s">
        <v>137</v>
      </c>
      <c r="K47">
        <v>1.5261261261261261</v>
      </c>
      <c r="L47" t="s">
        <v>137</v>
      </c>
      <c r="M47">
        <v>0.6398104265402843</v>
      </c>
      <c r="N47">
        <v>2.882028948379658</v>
      </c>
      <c r="O47">
        <v>1.334606490828177</v>
      </c>
      <c r="P47" t="s">
        <v>137</v>
      </c>
      <c r="Q47">
        <v>4.5045045045045038</v>
      </c>
      <c r="R47">
        <v>39.197299999999991</v>
      </c>
      <c r="S47">
        <v>0.3601895734597157</v>
      </c>
      <c r="T47">
        <v>150</v>
      </c>
      <c r="U47" t="s">
        <v>137</v>
      </c>
      <c r="V47">
        <v>42.9</v>
      </c>
      <c r="W47" t="s">
        <v>137</v>
      </c>
    </row>
    <row r="48" spans="1:23" x14ac:dyDescent="0.2">
      <c r="A48">
        <v>46</v>
      </c>
      <c r="B48">
        <v>6</v>
      </c>
      <c r="C48">
        <v>1</v>
      </c>
      <c r="D48">
        <v>37</v>
      </c>
      <c r="E48" s="2" t="s">
        <v>87</v>
      </c>
      <c r="F48" s="2" t="s">
        <v>88</v>
      </c>
      <c r="G48" t="s">
        <v>137</v>
      </c>
      <c r="H48">
        <v>30</v>
      </c>
      <c r="I48" t="s">
        <v>137</v>
      </c>
      <c r="J48">
        <v>0.80765822784810137</v>
      </c>
      <c r="K48" t="s">
        <v>137</v>
      </c>
      <c r="L48">
        <v>0.94054054054054048</v>
      </c>
      <c r="M48">
        <v>0.34040501446480231</v>
      </c>
      <c r="N48">
        <v>1.2266847368100979</v>
      </c>
      <c r="O48" t="s">
        <v>137</v>
      </c>
      <c r="P48">
        <v>0.75963530619226827</v>
      </c>
      <c r="Q48">
        <v>3.6036036036036032</v>
      </c>
      <c r="R48" t="s">
        <v>137</v>
      </c>
      <c r="S48">
        <v>0.65959498553519769</v>
      </c>
      <c r="T48" t="s">
        <v>137</v>
      </c>
      <c r="U48">
        <v>110</v>
      </c>
      <c r="V48" t="s">
        <v>137</v>
      </c>
      <c r="W48">
        <v>178.7</v>
      </c>
    </row>
    <row r="49" spans="1:23" x14ac:dyDescent="0.2">
      <c r="A49">
        <v>47</v>
      </c>
      <c r="B49">
        <v>6</v>
      </c>
      <c r="C49">
        <v>2</v>
      </c>
      <c r="D49">
        <v>24</v>
      </c>
      <c r="E49" s="2" t="s">
        <v>73</v>
      </c>
      <c r="F49" s="2" t="s">
        <v>74</v>
      </c>
      <c r="G49">
        <v>75</v>
      </c>
      <c r="H49" t="s">
        <v>137</v>
      </c>
      <c r="I49">
        <v>0.8577402597402598</v>
      </c>
      <c r="J49" t="s">
        <v>137</v>
      </c>
      <c r="K49">
        <v>0.72792792792792782</v>
      </c>
      <c r="L49" t="s">
        <v>137</v>
      </c>
      <c r="M49">
        <v>0.68493150684931503</v>
      </c>
      <c r="N49">
        <v>2.3448105639886458</v>
      </c>
      <c r="O49">
        <v>0.62437308997308993</v>
      </c>
      <c r="P49" t="s">
        <v>137</v>
      </c>
      <c r="Q49">
        <v>3.4234234234234231</v>
      </c>
      <c r="R49">
        <v>35.102299999999993</v>
      </c>
      <c r="S49">
        <v>0.31506849315068503</v>
      </c>
      <c r="T49">
        <v>145</v>
      </c>
      <c r="U49" t="s">
        <v>137</v>
      </c>
      <c r="V49">
        <v>39.1</v>
      </c>
      <c r="W49" t="s">
        <v>137</v>
      </c>
    </row>
    <row r="50" spans="1:23" x14ac:dyDescent="0.2">
      <c r="A50">
        <v>48</v>
      </c>
      <c r="B50">
        <v>6</v>
      </c>
      <c r="C50">
        <v>3</v>
      </c>
      <c r="D50">
        <v>40</v>
      </c>
      <c r="E50" s="2" t="s">
        <v>93</v>
      </c>
      <c r="F50" s="2" t="s">
        <v>94</v>
      </c>
      <c r="G50">
        <v>70</v>
      </c>
      <c r="H50">
        <v>40</v>
      </c>
      <c r="I50">
        <v>0.85825925925925917</v>
      </c>
      <c r="J50">
        <v>0.81073809523809526</v>
      </c>
      <c r="K50">
        <v>0.15855855855855849</v>
      </c>
      <c r="L50">
        <v>0.92252252252252243</v>
      </c>
      <c r="M50">
        <v>0.43007915567282318</v>
      </c>
      <c r="N50">
        <v>2.092276973543465</v>
      </c>
      <c r="O50">
        <v>0.13608435101768429</v>
      </c>
      <c r="P50">
        <v>0.74792415272415269</v>
      </c>
      <c r="Q50">
        <v>4.8648648648648649</v>
      </c>
      <c r="R50" t="s">
        <v>137</v>
      </c>
      <c r="S50">
        <v>0.56992084432717682</v>
      </c>
      <c r="T50" t="s">
        <v>137</v>
      </c>
      <c r="U50">
        <v>65</v>
      </c>
      <c r="V50">
        <v>42.599999999999987</v>
      </c>
      <c r="W50">
        <v>178.6</v>
      </c>
    </row>
    <row r="51" spans="1:23" x14ac:dyDescent="0.2">
      <c r="A51">
        <v>49</v>
      </c>
      <c r="B51">
        <v>6</v>
      </c>
      <c r="C51">
        <v>4</v>
      </c>
      <c r="D51">
        <v>42</v>
      </c>
      <c r="E51" s="2" t="s">
        <v>97</v>
      </c>
      <c r="F51" s="2" t="s">
        <v>98</v>
      </c>
      <c r="G51">
        <v>75</v>
      </c>
      <c r="H51">
        <v>45</v>
      </c>
      <c r="I51">
        <v>0.86077499999999996</v>
      </c>
      <c r="J51">
        <v>0.85247126436781617</v>
      </c>
      <c r="K51">
        <v>0.427027027027027</v>
      </c>
      <c r="L51">
        <v>0.68648648648648636</v>
      </c>
      <c r="M51">
        <v>0.52463768115942033</v>
      </c>
      <c r="N51">
        <v>1.8905862384123251</v>
      </c>
      <c r="O51">
        <v>0.36757418918918922</v>
      </c>
      <c r="P51">
        <v>0.5852100031065548</v>
      </c>
      <c r="Q51">
        <v>3.6036036036036032</v>
      </c>
      <c r="R51">
        <v>42.473299999999988</v>
      </c>
      <c r="S51">
        <v>0.47536231884057972</v>
      </c>
      <c r="T51">
        <v>35</v>
      </c>
      <c r="U51">
        <v>65</v>
      </c>
      <c r="V51">
        <v>35.4</v>
      </c>
      <c r="W51">
        <v>146.19999999999999</v>
      </c>
    </row>
    <row r="52" spans="1:23" x14ac:dyDescent="0.2">
      <c r="A52">
        <v>50</v>
      </c>
      <c r="B52">
        <v>6</v>
      </c>
      <c r="C52">
        <v>5</v>
      </c>
      <c r="D52">
        <v>44</v>
      </c>
      <c r="E52" s="2" t="s">
        <v>101</v>
      </c>
      <c r="F52" s="2" t="s">
        <v>102</v>
      </c>
      <c r="G52">
        <v>65</v>
      </c>
      <c r="H52">
        <v>50</v>
      </c>
      <c r="I52">
        <v>0.83803174603174602</v>
      </c>
      <c r="J52">
        <v>0.82861111111111119</v>
      </c>
      <c r="K52">
        <v>0.39819819819819807</v>
      </c>
      <c r="L52">
        <v>1.048648648648649</v>
      </c>
      <c r="M52">
        <v>0.51749539594843463</v>
      </c>
      <c r="N52">
        <v>2.470923962636669</v>
      </c>
      <c r="O52">
        <v>0.33370273130273131</v>
      </c>
      <c r="P52">
        <v>0.86892192192192197</v>
      </c>
      <c r="Q52">
        <v>4.774774774774774</v>
      </c>
      <c r="R52">
        <v>36.330800000000004</v>
      </c>
      <c r="S52">
        <v>0.48250460405156542</v>
      </c>
      <c r="T52">
        <v>20</v>
      </c>
      <c r="U52">
        <v>55</v>
      </c>
      <c r="V52">
        <v>33</v>
      </c>
      <c r="W52">
        <v>159.4</v>
      </c>
    </row>
    <row r="53" spans="1:23" x14ac:dyDescent="0.2">
      <c r="A53">
        <v>51</v>
      </c>
      <c r="B53">
        <v>6</v>
      </c>
      <c r="C53">
        <v>6</v>
      </c>
      <c r="D53">
        <v>22</v>
      </c>
      <c r="E53" s="2" t="s">
        <v>69</v>
      </c>
      <c r="F53" s="2" t="s">
        <v>70</v>
      </c>
      <c r="G53">
        <v>55</v>
      </c>
      <c r="H53" t="s">
        <v>137</v>
      </c>
      <c r="I53">
        <v>0.86042857142857143</v>
      </c>
      <c r="J53" t="s">
        <v>137</v>
      </c>
      <c r="K53">
        <v>1.7441441441441441</v>
      </c>
      <c r="L53" t="s">
        <v>137</v>
      </c>
      <c r="M53">
        <v>0.72789115646258506</v>
      </c>
      <c r="N53">
        <v>1.7705460562603419</v>
      </c>
      <c r="O53">
        <v>1.5007114543114539</v>
      </c>
      <c r="P53" t="s">
        <v>137</v>
      </c>
      <c r="Q53">
        <v>2.432432432432432</v>
      </c>
      <c r="R53">
        <v>37.149799999999992</v>
      </c>
      <c r="S53">
        <v>0.27210884353741488</v>
      </c>
      <c r="T53">
        <v>135</v>
      </c>
      <c r="U53" t="s">
        <v>137</v>
      </c>
      <c r="V53">
        <v>33.1</v>
      </c>
      <c r="W53" t="s">
        <v>137</v>
      </c>
    </row>
    <row r="54" spans="1:23" x14ac:dyDescent="0.2">
      <c r="A54">
        <v>52</v>
      </c>
      <c r="B54">
        <v>6</v>
      </c>
      <c r="C54">
        <v>7</v>
      </c>
      <c r="D54">
        <v>36</v>
      </c>
      <c r="E54" s="2" t="s">
        <v>85</v>
      </c>
      <c r="F54" s="2" t="s">
        <v>86</v>
      </c>
      <c r="G54">
        <v>75</v>
      </c>
      <c r="H54">
        <v>50</v>
      </c>
      <c r="I54">
        <v>0.87318749999999989</v>
      </c>
      <c r="J54">
        <v>0.83540259740259737</v>
      </c>
      <c r="K54">
        <v>0.45225225225225218</v>
      </c>
      <c r="L54">
        <v>1.7621621621621619</v>
      </c>
      <c r="M54">
        <v>0.60759493670886078</v>
      </c>
      <c r="N54">
        <v>2.353746151214505</v>
      </c>
      <c r="O54">
        <v>0.39490101351351342</v>
      </c>
      <c r="P54">
        <v>1.4721148473148471</v>
      </c>
      <c r="Q54">
        <v>3.8738738738738729</v>
      </c>
      <c r="R54">
        <v>35.511799999999987</v>
      </c>
      <c r="S54">
        <v>0.39240506329113922</v>
      </c>
      <c r="T54">
        <v>35</v>
      </c>
      <c r="U54">
        <v>60</v>
      </c>
      <c r="V54">
        <v>45.7</v>
      </c>
      <c r="W54">
        <v>161.4</v>
      </c>
    </row>
    <row r="55" spans="1:23" x14ac:dyDescent="0.2">
      <c r="A55">
        <v>53</v>
      </c>
      <c r="B55">
        <v>6</v>
      </c>
      <c r="C55">
        <v>8</v>
      </c>
      <c r="D55">
        <v>30</v>
      </c>
      <c r="E55" s="2" t="s">
        <v>81</v>
      </c>
      <c r="F55" s="2" t="s">
        <v>82</v>
      </c>
      <c r="G55">
        <v>60</v>
      </c>
      <c r="H55">
        <v>50</v>
      </c>
      <c r="I55">
        <v>0.73675000000000002</v>
      </c>
      <c r="J55">
        <v>0.81991111111111115</v>
      </c>
      <c r="K55">
        <v>0.49369369369369359</v>
      </c>
      <c r="L55">
        <v>1.6612612612612609</v>
      </c>
      <c r="M55">
        <v>0.40954773869346728</v>
      </c>
      <c r="N55">
        <v>1.3651591289782239</v>
      </c>
      <c r="O55">
        <v>0.36372882882882879</v>
      </c>
      <c r="P55">
        <v>1.362086566566566</v>
      </c>
      <c r="Q55">
        <v>3.333333333333333</v>
      </c>
      <c r="R55">
        <v>38.787799999999997</v>
      </c>
      <c r="S55">
        <v>0.59045226130653261</v>
      </c>
      <c r="T55">
        <v>30</v>
      </c>
      <c r="U55">
        <v>55</v>
      </c>
      <c r="V55">
        <v>37.5</v>
      </c>
      <c r="W55">
        <v>146.4</v>
      </c>
    </row>
    <row r="56" spans="1:23" x14ac:dyDescent="0.2">
      <c r="A56">
        <v>54</v>
      </c>
      <c r="B56">
        <v>6</v>
      </c>
      <c r="C56">
        <v>9</v>
      </c>
      <c r="D56">
        <v>26</v>
      </c>
      <c r="E56" s="2" t="s">
        <v>77</v>
      </c>
      <c r="F56" s="2" t="s">
        <v>78</v>
      </c>
      <c r="G56">
        <v>70</v>
      </c>
      <c r="H56" t="s">
        <v>137</v>
      </c>
      <c r="I56">
        <v>0.87024691358024686</v>
      </c>
      <c r="J56" t="s">
        <v>137</v>
      </c>
      <c r="K56">
        <v>1.63063063063063</v>
      </c>
      <c r="L56" t="s">
        <v>137</v>
      </c>
      <c r="M56">
        <v>0.68646864686468645</v>
      </c>
      <c r="N56">
        <v>2.9685130675229678</v>
      </c>
      <c r="O56">
        <v>1.4190512734957179</v>
      </c>
      <c r="P56" t="s">
        <v>137</v>
      </c>
      <c r="Q56">
        <v>4.3243243243243237</v>
      </c>
      <c r="R56">
        <v>45.339799999999997</v>
      </c>
      <c r="S56">
        <v>0.31353135313531361</v>
      </c>
      <c r="T56">
        <v>235</v>
      </c>
      <c r="U56" t="s">
        <v>137</v>
      </c>
      <c r="V56">
        <v>36.6</v>
      </c>
      <c r="W56" t="s">
        <v>137</v>
      </c>
    </row>
    <row r="57" spans="1:23" x14ac:dyDescent="0.2">
      <c r="A57">
        <v>55</v>
      </c>
      <c r="B57">
        <v>7</v>
      </c>
      <c r="C57">
        <v>1</v>
      </c>
      <c r="D57">
        <v>27</v>
      </c>
      <c r="E57" s="2" t="s">
        <v>79</v>
      </c>
      <c r="F57" s="2" t="s">
        <v>80</v>
      </c>
      <c r="G57">
        <v>80</v>
      </c>
      <c r="H57" t="s">
        <v>137</v>
      </c>
      <c r="I57">
        <v>0.87488888888888894</v>
      </c>
      <c r="J57" t="s">
        <v>137</v>
      </c>
      <c r="K57">
        <v>0.84684684684684663</v>
      </c>
      <c r="L57" t="s">
        <v>137</v>
      </c>
      <c r="M57">
        <v>0.6398104265402843</v>
      </c>
      <c r="N57">
        <v>2.0174202638657608</v>
      </c>
      <c r="O57">
        <v>0.74089689689689675</v>
      </c>
      <c r="P57" t="s">
        <v>137</v>
      </c>
      <c r="Q57">
        <v>3.153153153153152</v>
      </c>
      <c r="R57">
        <v>35.102299999999993</v>
      </c>
      <c r="S57">
        <v>0.3601895734597157</v>
      </c>
      <c r="T57">
        <v>165</v>
      </c>
      <c r="U57" t="s">
        <v>137</v>
      </c>
      <c r="V57">
        <v>39.299999999999997</v>
      </c>
      <c r="W57" t="s">
        <v>137</v>
      </c>
    </row>
    <row r="58" spans="1:23" x14ac:dyDescent="0.2">
      <c r="A58">
        <v>56</v>
      </c>
      <c r="B58">
        <v>7</v>
      </c>
      <c r="C58">
        <v>2</v>
      </c>
      <c r="D58">
        <v>22</v>
      </c>
      <c r="E58" s="2" t="s">
        <v>69</v>
      </c>
      <c r="F58" s="2" t="s">
        <v>70</v>
      </c>
      <c r="G58">
        <v>55</v>
      </c>
      <c r="H58" t="s">
        <v>137</v>
      </c>
      <c r="I58">
        <v>0.86762499999999998</v>
      </c>
      <c r="J58" t="s">
        <v>137</v>
      </c>
      <c r="K58">
        <v>1.046846846846847</v>
      </c>
      <c r="L58" t="s">
        <v>137</v>
      </c>
      <c r="M58">
        <v>0.72789115646258506</v>
      </c>
      <c r="N58">
        <v>2.1640007354293069</v>
      </c>
      <c r="O58">
        <v>0.90827049549549543</v>
      </c>
      <c r="P58" t="s">
        <v>137</v>
      </c>
      <c r="Q58">
        <v>2.9729729729729728</v>
      </c>
      <c r="R58">
        <v>37.559299999999993</v>
      </c>
      <c r="S58">
        <v>0.27210884353741488</v>
      </c>
      <c r="T58">
        <v>225</v>
      </c>
      <c r="U58" t="s">
        <v>137</v>
      </c>
      <c r="V58">
        <v>34.799999999999997</v>
      </c>
      <c r="W58" t="s">
        <v>137</v>
      </c>
    </row>
    <row r="59" spans="1:23" x14ac:dyDescent="0.2">
      <c r="A59">
        <v>57</v>
      </c>
      <c r="B59">
        <v>7</v>
      </c>
      <c r="C59">
        <v>3</v>
      </c>
      <c r="D59">
        <v>44</v>
      </c>
      <c r="E59" s="2" t="s">
        <v>101</v>
      </c>
      <c r="F59" s="2" t="s">
        <v>102</v>
      </c>
      <c r="G59">
        <v>60</v>
      </c>
      <c r="H59">
        <v>40</v>
      </c>
      <c r="I59">
        <v>0.81069491525423731</v>
      </c>
      <c r="J59">
        <v>0.80115000000000003</v>
      </c>
      <c r="K59">
        <v>0.3351351351351351</v>
      </c>
      <c r="L59">
        <v>0.72252252252252247</v>
      </c>
      <c r="M59">
        <v>0.51749539594843463</v>
      </c>
      <c r="N59">
        <v>2.5175451694788711</v>
      </c>
      <c r="O59">
        <v>0.27169234997709568</v>
      </c>
      <c r="P59">
        <v>0.57884891891891888</v>
      </c>
      <c r="Q59">
        <v>4.8648648648648649</v>
      </c>
      <c r="R59">
        <v>33.873800000000003</v>
      </c>
      <c r="S59">
        <v>0.48250460405156542</v>
      </c>
      <c r="T59">
        <v>15</v>
      </c>
      <c r="U59">
        <v>100</v>
      </c>
      <c r="V59">
        <v>35.299999999999997</v>
      </c>
      <c r="W59">
        <v>174.6</v>
      </c>
    </row>
    <row r="60" spans="1:23" x14ac:dyDescent="0.2">
      <c r="A60">
        <v>58</v>
      </c>
      <c r="B60">
        <v>7</v>
      </c>
      <c r="C60">
        <v>4</v>
      </c>
      <c r="D60">
        <v>33</v>
      </c>
      <c r="E60" s="2" t="s">
        <v>83</v>
      </c>
      <c r="F60" s="2" t="s">
        <v>84</v>
      </c>
      <c r="G60">
        <v>70</v>
      </c>
      <c r="H60">
        <v>45</v>
      </c>
      <c r="I60">
        <v>0.84781818181818192</v>
      </c>
      <c r="J60">
        <v>0.86375000000000013</v>
      </c>
      <c r="K60">
        <v>0.44144144144144137</v>
      </c>
      <c r="L60">
        <v>1.387387387387387</v>
      </c>
      <c r="M60">
        <v>0.47764034253092291</v>
      </c>
      <c r="N60">
        <v>1.635165136592349</v>
      </c>
      <c r="O60">
        <v>0.37426208026208019</v>
      </c>
      <c r="P60">
        <v>1.198355855855856</v>
      </c>
      <c r="Q60">
        <v>3.4234234234234231</v>
      </c>
      <c r="R60">
        <v>43.292299999999997</v>
      </c>
      <c r="S60">
        <v>0.52235965746907709</v>
      </c>
      <c r="T60">
        <v>35</v>
      </c>
      <c r="U60">
        <v>60</v>
      </c>
      <c r="V60">
        <v>39.799999999999997</v>
      </c>
      <c r="W60">
        <v>140</v>
      </c>
    </row>
    <row r="61" spans="1:23" x14ac:dyDescent="0.2">
      <c r="A61">
        <v>59</v>
      </c>
      <c r="B61">
        <v>7</v>
      </c>
      <c r="C61">
        <v>5</v>
      </c>
      <c r="D61">
        <v>36</v>
      </c>
      <c r="E61" s="2" t="s">
        <v>85</v>
      </c>
      <c r="F61" s="2" t="s">
        <v>86</v>
      </c>
      <c r="G61">
        <v>80</v>
      </c>
      <c r="H61">
        <v>45</v>
      </c>
      <c r="I61">
        <v>0.88077777777777777</v>
      </c>
      <c r="J61">
        <v>0.8221829268292683</v>
      </c>
      <c r="K61">
        <v>0.17117117117117109</v>
      </c>
      <c r="L61">
        <v>1.607207207207207</v>
      </c>
      <c r="M61">
        <v>0.60759493670886078</v>
      </c>
      <c r="N61">
        <v>2.353746151214505</v>
      </c>
      <c r="O61">
        <v>0.15076376376376369</v>
      </c>
      <c r="P61">
        <v>1.3214183256427161</v>
      </c>
      <c r="Q61">
        <v>3.8738738738738729</v>
      </c>
      <c r="R61" t="s">
        <v>137</v>
      </c>
      <c r="S61">
        <v>0.39240506329113922</v>
      </c>
      <c r="T61" t="s">
        <v>137</v>
      </c>
      <c r="U61">
        <v>90</v>
      </c>
      <c r="V61">
        <v>40.9</v>
      </c>
      <c r="W61">
        <v>165.8</v>
      </c>
    </row>
    <row r="62" spans="1:23" x14ac:dyDescent="0.2">
      <c r="A62">
        <v>60</v>
      </c>
      <c r="B62">
        <v>7</v>
      </c>
      <c r="C62">
        <v>6</v>
      </c>
      <c r="D62">
        <v>37</v>
      </c>
      <c r="E62" s="2" t="s">
        <v>87</v>
      </c>
      <c r="F62" s="2" t="s">
        <v>88</v>
      </c>
      <c r="G62" t="s">
        <v>137</v>
      </c>
      <c r="H62">
        <v>35</v>
      </c>
      <c r="I62" t="s">
        <v>137</v>
      </c>
      <c r="J62">
        <v>0.81343373493975901</v>
      </c>
      <c r="K62" t="s">
        <v>137</v>
      </c>
      <c r="L62">
        <v>1.0774774774774769</v>
      </c>
      <c r="M62">
        <v>0.34040501446480231</v>
      </c>
      <c r="N62">
        <v>0.88934643418732118</v>
      </c>
      <c r="O62" t="s">
        <v>137</v>
      </c>
      <c r="P62">
        <v>0.87645652881797442</v>
      </c>
      <c r="Q62">
        <v>2.6126126126126121</v>
      </c>
      <c r="R62" t="s">
        <v>137</v>
      </c>
      <c r="S62">
        <v>0.65959498553519769</v>
      </c>
      <c r="T62" t="s">
        <v>137</v>
      </c>
      <c r="U62">
        <v>75</v>
      </c>
      <c r="V62" t="s">
        <v>137</v>
      </c>
      <c r="W62">
        <v>155.19999999999999</v>
      </c>
    </row>
    <row r="63" spans="1:23" x14ac:dyDescent="0.2">
      <c r="A63">
        <v>61</v>
      </c>
      <c r="B63">
        <v>7</v>
      </c>
      <c r="C63">
        <v>7</v>
      </c>
      <c r="D63">
        <v>25</v>
      </c>
      <c r="E63" s="2" t="s">
        <v>75</v>
      </c>
      <c r="F63" s="2" t="s">
        <v>76</v>
      </c>
      <c r="G63">
        <v>60</v>
      </c>
      <c r="H63" t="s">
        <v>137</v>
      </c>
      <c r="I63">
        <v>0.8616744186046511</v>
      </c>
      <c r="J63" t="s">
        <v>137</v>
      </c>
      <c r="K63">
        <v>1.8612612612612609</v>
      </c>
      <c r="L63" t="s">
        <v>137</v>
      </c>
      <c r="M63">
        <v>0.71186440677966101</v>
      </c>
      <c r="N63">
        <v>2.8859367842418679</v>
      </c>
      <c r="O63">
        <v>1.6038012151686569</v>
      </c>
      <c r="P63" t="s">
        <v>137</v>
      </c>
      <c r="Q63">
        <v>4.0540540540540544</v>
      </c>
      <c r="R63">
        <v>37.149799999999992</v>
      </c>
      <c r="S63">
        <v>0.28813559322033899</v>
      </c>
      <c r="T63">
        <v>240</v>
      </c>
      <c r="U63" t="s">
        <v>137</v>
      </c>
      <c r="V63">
        <v>33.4</v>
      </c>
      <c r="W63" t="s">
        <v>137</v>
      </c>
    </row>
    <row r="64" spans="1:23" x14ac:dyDescent="0.2">
      <c r="A64">
        <v>62</v>
      </c>
      <c r="B64">
        <v>7</v>
      </c>
      <c r="C64">
        <v>8</v>
      </c>
      <c r="D64">
        <v>38</v>
      </c>
      <c r="E64" s="2" t="s">
        <v>89</v>
      </c>
      <c r="F64" s="2" t="s">
        <v>90</v>
      </c>
      <c r="G64" t="s">
        <v>137</v>
      </c>
      <c r="H64">
        <v>40</v>
      </c>
      <c r="I64" t="s">
        <v>137</v>
      </c>
      <c r="J64">
        <v>0.83070370370370383</v>
      </c>
      <c r="K64" t="s">
        <v>137</v>
      </c>
      <c r="L64">
        <v>1.2252252252252249</v>
      </c>
      <c r="M64">
        <v>0.41821561338289959</v>
      </c>
      <c r="N64">
        <v>0.97960413945544045</v>
      </c>
      <c r="O64" t="s">
        <v>137</v>
      </c>
      <c r="P64">
        <v>1.0177991324657989</v>
      </c>
      <c r="Q64">
        <v>2.342342342342342</v>
      </c>
      <c r="R64" t="s">
        <v>137</v>
      </c>
      <c r="S64">
        <v>0.58178438661710041</v>
      </c>
      <c r="T64" t="s">
        <v>137</v>
      </c>
      <c r="U64">
        <v>45</v>
      </c>
      <c r="V64" t="s">
        <v>137</v>
      </c>
      <c r="W64">
        <v>177.4</v>
      </c>
    </row>
    <row r="65" spans="1:23" x14ac:dyDescent="0.2">
      <c r="A65">
        <v>63</v>
      </c>
      <c r="B65">
        <v>7</v>
      </c>
      <c r="C65">
        <v>9</v>
      </c>
      <c r="D65">
        <v>24</v>
      </c>
      <c r="E65" s="2" t="s">
        <v>73</v>
      </c>
      <c r="F65" s="2" t="s">
        <v>74</v>
      </c>
      <c r="G65">
        <v>80</v>
      </c>
      <c r="H65" t="s">
        <v>137</v>
      </c>
      <c r="I65">
        <v>0.85825000000000007</v>
      </c>
      <c r="J65" t="s">
        <v>137</v>
      </c>
      <c r="K65">
        <v>0.89369369369369356</v>
      </c>
      <c r="L65" t="s">
        <v>137</v>
      </c>
      <c r="M65">
        <v>0.68493150684931503</v>
      </c>
      <c r="N65">
        <v>2.4065161051462418</v>
      </c>
      <c r="O65">
        <v>0.76701261261261255</v>
      </c>
      <c r="P65" t="s">
        <v>137</v>
      </c>
      <c r="Q65">
        <v>3.5135135135135132</v>
      </c>
      <c r="R65">
        <v>35.102299999999993</v>
      </c>
      <c r="S65">
        <v>0.31506849315068503</v>
      </c>
      <c r="T65">
        <v>195</v>
      </c>
      <c r="U65" t="s">
        <v>137</v>
      </c>
      <c r="V65">
        <v>40.9</v>
      </c>
      <c r="W65" t="s">
        <v>137</v>
      </c>
    </row>
    <row r="66" spans="1:23" x14ac:dyDescent="0.2">
      <c r="A66">
        <v>64</v>
      </c>
      <c r="B66">
        <v>8</v>
      </c>
      <c r="C66">
        <v>1</v>
      </c>
      <c r="D66">
        <v>30</v>
      </c>
      <c r="E66" s="2" t="s">
        <v>81</v>
      </c>
      <c r="F66" s="2" t="s">
        <v>82</v>
      </c>
      <c r="G66">
        <v>60</v>
      </c>
      <c r="H66">
        <v>50</v>
      </c>
      <c r="I66">
        <v>0.75863829787234038</v>
      </c>
      <c r="J66">
        <v>0.83998795180722885</v>
      </c>
      <c r="K66">
        <v>0.61261261261261257</v>
      </c>
      <c r="L66">
        <v>1.5243243243243241</v>
      </c>
      <c r="M66">
        <v>0.40954773869346728</v>
      </c>
      <c r="N66">
        <v>1.697224863054009</v>
      </c>
      <c r="O66">
        <v>0.46475138968755991</v>
      </c>
      <c r="P66">
        <v>1.2804140670791271</v>
      </c>
      <c r="Q66">
        <v>4.1441441441441436</v>
      </c>
      <c r="R66">
        <v>41.244799999999991</v>
      </c>
      <c r="S66">
        <v>0.59045226130653261</v>
      </c>
      <c r="T66">
        <v>70</v>
      </c>
      <c r="U66">
        <v>60</v>
      </c>
      <c r="V66">
        <v>34.5</v>
      </c>
      <c r="W66">
        <v>162.80000000000001</v>
      </c>
    </row>
    <row r="67" spans="1:23" x14ac:dyDescent="0.2">
      <c r="A67">
        <v>65</v>
      </c>
      <c r="B67">
        <v>8</v>
      </c>
      <c r="C67">
        <v>2</v>
      </c>
      <c r="D67">
        <v>23</v>
      </c>
      <c r="E67" s="2" t="s">
        <v>71</v>
      </c>
      <c r="F67" s="2" t="s">
        <v>72</v>
      </c>
      <c r="G67">
        <v>75</v>
      </c>
      <c r="H67" t="s">
        <v>137</v>
      </c>
      <c r="I67">
        <v>0.85982352941176465</v>
      </c>
      <c r="J67" t="s">
        <v>137</v>
      </c>
      <c r="K67">
        <v>1.855855855855856</v>
      </c>
      <c r="L67" t="s">
        <v>137</v>
      </c>
      <c r="M67">
        <v>0.63349917081260365</v>
      </c>
      <c r="N67">
        <v>2.9677438632662509</v>
      </c>
      <c r="O67">
        <v>1.595708532061473</v>
      </c>
      <c r="P67" t="s">
        <v>137</v>
      </c>
      <c r="Q67">
        <v>4.6846846846846839</v>
      </c>
      <c r="R67">
        <v>42.882800000000003</v>
      </c>
      <c r="S67">
        <v>0.36650082918739629</v>
      </c>
      <c r="T67">
        <v>255</v>
      </c>
      <c r="U67" t="s">
        <v>137</v>
      </c>
      <c r="V67">
        <v>35.799999999999997</v>
      </c>
      <c r="W67" t="s">
        <v>137</v>
      </c>
    </row>
    <row r="68" spans="1:23" x14ac:dyDescent="0.2">
      <c r="A68">
        <v>66</v>
      </c>
      <c r="B68">
        <v>8</v>
      </c>
      <c r="C68">
        <v>3</v>
      </c>
      <c r="D68">
        <v>39</v>
      </c>
      <c r="E68" s="2" t="s">
        <v>91</v>
      </c>
      <c r="F68" s="2" t="s">
        <v>92</v>
      </c>
      <c r="G68">
        <v>85</v>
      </c>
      <c r="H68">
        <v>50</v>
      </c>
      <c r="I68">
        <v>0.91279729729729731</v>
      </c>
      <c r="J68">
        <v>0.83176744186046503</v>
      </c>
      <c r="K68">
        <v>0.40360360360360359</v>
      </c>
      <c r="L68">
        <v>0.96576576576576578</v>
      </c>
      <c r="M68">
        <v>0.4871508379888268</v>
      </c>
      <c r="N68">
        <v>2.369922995621319</v>
      </c>
      <c r="O68">
        <v>0.36840827854881908</v>
      </c>
      <c r="P68">
        <v>0.80329252042740407</v>
      </c>
      <c r="Q68">
        <v>4.8648648648648649</v>
      </c>
      <c r="R68">
        <v>37.559299999999993</v>
      </c>
      <c r="S68">
        <v>0.51284916201117325</v>
      </c>
      <c r="T68">
        <v>65</v>
      </c>
      <c r="U68">
        <v>40</v>
      </c>
      <c r="V68">
        <v>44.5</v>
      </c>
      <c r="W68">
        <v>155.69999999999999</v>
      </c>
    </row>
    <row r="69" spans="1:23" x14ac:dyDescent="0.2">
      <c r="A69">
        <v>67</v>
      </c>
      <c r="B69">
        <v>8</v>
      </c>
      <c r="C69">
        <v>4</v>
      </c>
      <c r="D69">
        <v>21</v>
      </c>
      <c r="E69" s="2" t="s">
        <v>67</v>
      </c>
      <c r="F69" s="2" t="s">
        <v>68</v>
      </c>
      <c r="G69" t="s">
        <v>137</v>
      </c>
      <c r="H69">
        <v>45</v>
      </c>
      <c r="I69" t="s">
        <v>137</v>
      </c>
      <c r="J69">
        <v>0.78123456790123458</v>
      </c>
      <c r="K69" t="s">
        <v>137</v>
      </c>
      <c r="L69">
        <v>1.7855855855855849</v>
      </c>
      <c r="M69">
        <v>0.47751605995717339</v>
      </c>
      <c r="N69">
        <v>2.882304145687443</v>
      </c>
      <c r="O69" t="s">
        <v>137</v>
      </c>
      <c r="P69">
        <v>1.3949611834056279</v>
      </c>
      <c r="Q69">
        <v>6.0360360360360357</v>
      </c>
      <c r="R69" t="s">
        <v>137</v>
      </c>
      <c r="S69">
        <v>0.5224839400428265</v>
      </c>
      <c r="T69" t="s">
        <v>137</v>
      </c>
      <c r="U69">
        <v>75</v>
      </c>
      <c r="V69" t="s">
        <v>137</v>
      </c>
      <c r="W69">
        <v>188.8</v>
      </c>
    </row>
    <row r="70" spans="1:23" x14ac:dyDescent="0.2">
      <c r="A70">
        <v>68</v>
      </c>
      <c r="B70">
        <v>8</v>
      </c>
      <c r="C70">
        <v>5</v>
      </c>
      <c r="D70">
        <v>41</v>
      </c>
      <c r="E70" s="2" t="s">
        <v>95</v>
      </c>
      <c r="F70" s="2" t="s">
        <v>96</v>
      </c>
      <c r="G70">
        <v>80</v>
      </c>
      <c r="H70">
        <v>45</v>
      </c>
      <c r="I70">
        <v>0.85477922077922075</v>
      </c>
      <c r="J70">
        <v>0.84597701149425286</v>
      </c>
      <c r="K70">
        <v>0.73693693693693674</v>
      </c>
      <c r="L70">
        <v>1.2252252252252249</v>
      </c>
      <c r="M70">
        <v>0.42248722316865422</v>
      </c>
      <c r="N70">
        <v>2.4740242798164429</v>
      </c>
      <c r="O70">
        <v>0.62991838071838058</v>
      </c>
      <c r="P70">
        <v>1.036512374443409</v>
      </c>
      <c r="Q70">
        <v>5.8558558558558547</v>
      </c>
      <c r="R70">
        <v>43.292299999999997</v>
      </c>
      <c r="S70">
        <v>0.57751277683134583</v>
      </c>
      <c r="T70">
        <v>40</v>
      </c>
      <c r="U70">
        <v>50</v>
      </c>
      <c r="V70">
        <v>39.700000000000003</v>
      </c>
      <c r="W70">
        <v>149</v>
      </c>
    </row>
    <row r="71" spans="1:23" x14ac:dyDescent="0.2">
      <c r="A71">
        <v>69</v>
      </c>
      <c r="B71">
        <v>8</v>
      </c>
      <c r="C71">
        <v>6</v>
      </c>
      <c r="D71">
        <v>43</v>
      </c>
      <c r="E71" s="2" t="s">
        <v>99</v>
      </c>
      <c r="F71" s="2" t="s">
        <v>100</v>
      </c>
      <c r="G71">
        <v>65</v>
      </c>
      <c r="H71">
        <v>40</v>
      </c>
      <c r="I71">
        <v>0.92811267605633807</v>
      </c>
      <c r="J71">
        <v>0.84071428571428575</v>
      </c>
      <c r="K71">
        <v>0.54234234234234224</v>
      </c>
      <c r="L71">
        <v>0.79279279279279269</v>
      </c>
      <c r="M71">
        <v>0.68320180383314544</v>
      </c>
      <c r="N71">
        <v>2.2773393461104852</v>
      </c>
      <c r="O71">
        <v>0.50335480269001387</v>
      </c>
      <c r="P71">
        <v>0.66651222651222641</v>
      </c>
      <c r="Q71">
        <v>3.333333333333333</v>
      </c>
      <c r="R71">
        <v>36.740299999999998</v>
      </c>
      <c r="S71">
        <v>0.31679819616685462</v>
      </c>
      <c r="T71">
        <v>45</v>
      </c>
      <c r="U71">
        <v>50</v>
      </c>
      <c r="V71">
        <v>39.9</v>
      </c>
      <c r="W71">
        <v>143.9</v>
      </c>
    </row>
    <row r="72" spans="1:23" x14ac:dyDescent="0.2">
      <c r="A72">
        <v>70</v>
      </c>
      <c r="B72">
        <v>8</v>
      </c>
      <c r="C72">
        <v>7</v>
      </c>
      <c r="D72">
        <v>26</v>
      </c>
      <c r="E72" s="2" t="s">
        <v>77</v>
      </c>
      <c r="F72" s="2" t="s">
        <v>78</v>
      </c>
      <c r="G72">
        <v>75</v>
      </c>
      <c r="H72" t="s">
        <v>137</v>
      </c>
      <c r="I72">
        <v>0.85845000000000005</v>
      </c>
      <c r="J72" t="s">
        <v>137</v>
      </c>
      <c r="K72">
        <v>2.5909909909909912</v>
      </c>
      <c r="L72" t="s">
        <v>137</v>
      </c>
      <c r="M72">
        <v>0.68646864686468645</v>
      </c>
      <c r="N72">
        <v>3.4632652454434631</v>
      </c>
      <c r="O72">
        <v>2.2242362162162159</v>
      </c>
      <c r="P72" t="s">
        <v>137</v>
      </c>
      <c r="Q72">
        <v>5.045045045045045</v>
      </c>
      <c r="R72">
        <v>44.520799999999987</v>
      </c>
      <c r="S72">
        <v>0.31353135313531361</v>
      </c>
      <c r="T72">
        <v>130</v>
      </c>
      <c r="U72" t="s">
        <v>137</v>
      </c>
      <c r="V72">
        <v>34</v>
      </c>
      <c r="W72" t="s">
        <v>137</v>
      </c>
    </row>
    <row r="73" spans="1:23" x14ac:dyDescent="0.2">
      <c r="A73">
        <v>71</v>
      </c>
      <c r="B73">
        <v>8</v>
      </c>
      <c r="C73">
        <v>8</v>
      </c>
      <c r="D73">
        <v>42</v>
      </c>
      <c r="E73" s="2" t="s">
        <v>97</v>
      </c>
      <c r="F73" s="2" t="s">
        <v>98</v>
      </c>
      <c r="G73">
        <v>70</v>
      </c>
      <c r="H73">
        <v>45</v>
      </c>
      <c r="I73">
        <v>0.8383452380952382</v>
      </c>
      <c r="J73">
        <v>0.81521250000000001</v>
      </c>
      <c r="K73">
        <v>0.57117117117117111</v>
      </c>
      <c r="L73">
        <v>0.54954954954954949</v>
      </c>
      <c r="M73">
        <v>0.52463768115942033</v>
      </c>
      <c r="N73">
        <v>1.748792270531401</v>
      </c>
      <c r="O73">
        <v>0.47883863148863148</v>
      </c>
      <c r="P73">
        <v>0.44799966216216208</v>
      </c>
      <c r="Q73">
        <v>3.333333333333333</v>
      </c>
      <c r="R73">
        <v>43.701799999999992</v>
      </c>
      <c r="S73">
        <v>0.47536231884057972</v>
      </c>
      <c r="T73">
        <v>45</v>
      </c>
      <c r="U73">
        <v>70</v>
      </c>
      <c r="V73">
        <v>38.099999999999987</v>
      </c>
      <c r="W73">
        <v>153.1</v>
      </c>
    </row>
    <row r="74" spans="1:23" x14ac:dyDescent="0.2">
      <c r="A74">
        <v>72</v>
      </c>
      <c r="B74">
        <v>8</v>
      </c>
      <c r="C74">
        <v>9</v>
      </c>
      <c r="D74">
        <v>40</v>
      </c>
      <c r="E74" s="2" t="s">
        <v>93</v>
      </c>
      <c r="F74" s="2" t="s">
        <v>94</v>
      </c>
      <c r="G74">
        <v>75</v>
      </c>
      <c r="H74">
        <v>45</v>
      </c>
      <c r="I74">
        <v>0.86018181818181827</v>
      </c>
      <c r="J74">
        <v>0.8608392857142857</v>
      </c>
      <c r="K74">
        <v>0.30090090090090088</v>
      </c>
      <c r="L74">
        <v>0.32612612612612613</v>
      </c>
      <c r="M74">
        <v>0.43007915567282318</v>
      </c>
      <c r="N74">
        <v>1.123630226532601</v>
      </c>
      <c r="O74">
        <v>0.25882948402948402</v>
      </c>
      <c r="P74">
        <v>0.28074218146718138</v>
      </c>
      <c r="Q74">
        <v>2.6126126126126121</v>
      </c>
      <c r="R74">
        <v>37.559299999999993</v>
      </c>
      <c r="S74">
        <v>0.56992084432717682</v>
      </c>
      <c r="T74">
        <v>0</v>
      </c>
      <c r="U74">
        <v>25</v>
      </c>
      <c r="V74">
        <v>43.099999999999987</v>
      </c>
      <c r="W74">
        <v>150.19999999999999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4"/>
  <sheetViews>
    <sheetView tabSelected="1" workbookViewId="0">
      <selection activeCell="G31" sqref="G31:G32"/>
    </sheetView>
  </sheetViews>
  <sheetFormatPr baseColWidth="10" defaultColWidth="8.83203125" defaultRowHeight="16" x14ac:dyDescent="0.2"/>
  <cols>
    <col min="1" max="1" width="12.6640625" bestFit="1" customWidth="1"/>
    <col min="2" max="3" width="21" bestFit="1" customWidth="1"/>
    <col min="4" max="4" width="23.33203125" bestFit="1" customWidth="1"/>
    <col min="5" max="5" width="22.1640625" bestFit="1" customWidth="1"/>
    <col min="6" max="6" width="25.6640625" bestFit="1" customWidth="1"/>
    <col min="7" max="7" width="18.6640625" bestFit="1" customWidth="1"/>
  </cols>
  <sheetData>
    <row r="1" spans="1:8" x14ac:dyDescent="0.2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 x14ac:dyDescent="0.2">
      <c r="A2" t="s">
        <v>146</v>
      </c>
      <c r="B2">
        <v>9.657</v>
      </c>
      <c r="C2">
        <v>14.768000000000001</v>
      </c>
      <c r="D2">
        <v>12.39266666666667</v>
      </c>
      <c r="H2" s="3"/>
    </row>
    <row r="3" spans="1:8" x14ac:dyDescent="0.2">
      <c r="A3" t="s">
        <v>147</v>
      </c>
      <c r="B3">
        <v>7.4939999999999998</v>
      </c>
      <c r="C3">
        <v>12.944000000000001</v>
      </c>
      <c r="D3">
        <v>9.7056666666666676</v>
      </c>
      <c r="H3" s="3"/>
    </row>
    <row r="4" spans="1:8" x14ac:dyDescent="0.2">
      <c r="A4" t="s">
        <v>148</v>
      </c>
      <c r="B4">
        <v>2.2890000000000001</v>
      </c>
      <c r="C4">
        <v>8.6929999999999996</v>
      </c>
      <c r="D4">
        <v>6.0237499999999997</v>
      </c>
      <c r="E4">
        <v>7.57</v>
      </c>
      <c r="H4" s="3"/>
    </row>
    <row r="5" spans="1:8" x14ac:dyDescent="0.2">
      <c r="A5" t="s">
        <v>149</v>
      </c>
      <c r="B5">
        <v>3.4329999999999998</v>
      </c>
      <c r="C5">
        <v>10.000999999999999</v>
      </c>
      <c r="D5">
        <v>7.4474999999999989</v>
      </c>
      <c r="H5" s="3"/>
    </row>
    <row r="6" spans="1:8" x14ac:dyDescent="0.2">
      <c r="A6" t="s">
        <v>150</v>
      </c>
      <c r="B6">
        <v>9.5090000000000003</v>
      </c>
      <c r="C6">
        <v>11.734</v>
      </c>
      <c r="D6">
        <v>10.525166666666671</v>
      </c>
      <c r="H6" s="3"/>
    </row>
    <row r="7" spans="1:8" x14ac:dyDescent="0.2">
      <c r="A7" t="s">
        <v>151</v>
      </c>
      <c r="B7">
        <v>9.8539999999999992</v>
      </c>
      <c r="C7">
        <v>12.122</v>
      </c>
      <c r="D7">
        <v>10.55983333333333</v>
      </c>
      <c r="H7" s="3"/>
    </row>
    <row r="8" spans="1:8" x14ac:dyDescent="0.2">
      <c r="A8" t="s">
        <v>152</v>
      </c>
      <c r="B8">
        <v>6.077</v>
      </c>
      <c r="C8">
        <v>10.81</v>
      </c>
      <c r="D8">
        <v>9.1385833333333331</v>
      </c>
      <c r="E8">
        <v>11.47</v>
      </c>
      <c r="H8" s="3"/>
    </row>
    <row r="9" spans="1:8" x14ac:dyDescent="0.2">
      <c r="A9" t="s">
        <v>153</v>
      </c>
      <c r="B9">
        <v>6.6360000000000001</v>
      </c>
      <c r="C9">
        <v>9.9030000000000005</v>
      </c>
      <c r="D9">
        <v>8.6930833333333339</v>
      </c>
      <c r="H9" s="3"/>
    </row>
    <row r="10" spans="1:8" x14ac:dyDescent="0.2">
      <c r="A10" t="s">
        <v>154</v>
      </c>
      <c r="B10">
        <v>5.5140000000000002</v>
      </c>
      <c r="C10">
        <v>8.4190000000000005</v>
      </c>
      <c r="D10">
        <v>7.4082499999999998</v>
      </c>
      <c r="H10" s="3"/>
    </row>
    <row r="11" spans="1:8" x14ac:dyDescent="0.2">
      <c r="A11" t="s">
        <v>155</v>
      </c>
      <c r="B11">
        <v>4.4279999999999999</v>
      </c>
      <c r="C11">
        <v>8.1449999999999996</v>
      </c>
      <c r="D11">
        <v>5.9807499999999996</v>
      </c>
      <c r="E11">
        <v>1.32</v>
      </c>
      <c r="H11" s="3"/>
    </row>
    <row r="12" spans="1:8" x14ac:dyDescent="0.2">
      <c r="A12" t="s">
        <v>156</v>
      </c>
      <c r="B12">
        <v>5.6929999999999996</v>
      </c>
      <c r="C12">
        <v>9.8539999999999992</v>
      </c>
      <c r="D12">
        <v>7.7009999999999996</v>
      </c>
      <c r="E12">
        <v>18.05</v>
      </c>
      <c r="H12" s="3"/>
    </row>
    <row r="13" spans="1:8" x14ac:dyDescent="0.2">
      <c r="A13" t="s">
        <v>157</v>
      </c>
      <c r="B13">
        <v>7.1420000000000003</v>
      </c>
      <c r="C13">
        <v>9.7309999999999999</v>
      </c>
      <c r="D13">
        <v>8.704916666666664</v>
      </c>
      <c r="E13">
        <v>7.45</v>
      </c>
      <c r="H13" s="3"/>
    </row>
    <row r="14" spans="1:8" x14ac:dyDescent="0.2">
      <c r="A14" t="s">
        <v>158</v>
      </c>
      <c r="B14">
        <v>7.5190000000000001</v>
      </c>
      <c r="C14">
        <v>10.345000000000001</v>
      </c>
      <c r="D14">
        <v>8.9014166666666679</v>
      </c>
      <c r="H14" s="3"/>
    </row>
    <row r="15" spans="1:8" x14ac:dyDescent="0.2">
      <c r="A15" t="s">
        <v>159</v>
      </c>
      <c r="B15">
        <v>5.3339999999999996</v>
      </c>
      <c r="C15">
        <v>9.3360000000000003</v>
      </c>
      <c r="D15">
        <v>7.4445833333333331</v>
      </c>
      <c r="E15">
        <v>17.55</v>
      </c>
      <c r="H15" s="3"/>
    </row>
    <row r="16" spans="1:8" x14ac:dyDescent="0.2">
      <c r="A16" t="s">
        <v>160</v>
      </c>
      <c r="B16">
        <v>4.8179999999999996</v>
      </c>
      <c r="C16">
        <v>9.7309999999999999</v>
      </c>
      <c r="D16">
        <v>6.3633333333333333</v>
      </c>
      <c r="H16" s="3"/>
    </row>
    <row r="17" spans="1:8" x14ac:dyDescent="0.2">
      <c r="A17" t="s">
        <v>161</v>
      </c>
      <c r="B17">
        <v>4.0369999999999999</v>
      </c>
      <c r="C17">
        <v>5.1280000000000001</v>
      </c>
      <c r="D17">
        <v>4.6807500000000006</v>
      </c>
      <c r="E17">
        <v>5.32</v>
      </c>
      <c r="H17" s="3"/>
    </row>
    <row r="18" spans="1:8" x14ac:dyDescent="0.2">
      <c r="A18" t="s">
        <v>162</v>
      </c>
      <c r="B18">
        <v>-0.873</v>
      </c>
      <c r="C18">
        <v>5.6929999999999996</v>
      </c>
      <c r="D18">
        <v>2.42225</v>
      </c>
      <c r="H18" s="3"/>
    </row>
    <row r="19" spans="1:8" x14ac:dyDescent="0.2">
      <c r="A19" t="s">
        <v>163</v>
      </c>
      <c r="B19">
        <v>-3.33</v>
      </c>
      <c r="C19">
        <v>2.85</v>
      </c>
      <c r="D19">
        <v>4.9583333333333389E-2</v>
      </c>
      <c r="H19" s="3"/>
    </row>
    <row r="20" spans="1:8" x14ac:dyDescent="0.2">
      <c r="A20" t="s">
        <v>164</v>
      </c>
      <c r="B20">
        <v>-3.8959999999999999</v>
      </c>
      <c r="C20">
        <v>2.0739999999999998</v>
      </c>
      <c r="D20">
        <v>-0.39299999999999979</v>
      </c>
      <c r="H20" s="3"/>
    </row>
    <row r="21" spans="1:8" x14ac:dyDescent="0.2">
      <c r="A21" t="s">
        <v>165</v>
      </c>
      <c r="B21">
        <v>-1.756</v>
      </c>
      <c r="C21">
        <v>1.18</v>
      </c>
      <c r="D21">
        <v>-0.38766666666666671</v>
      </c>
      <c r="H21" s="3"/>
    </row>
    <row r="22" spans="1:8" x14ac:dyDescent="0.2">
      <c r="A22" t="s">
        <v>166</v>
      </c>
      <c r="B22">
        <v>-4.2569999999999997</v>
      </c>
      <c r="C22">
        <v>0.88</v>
      </c>
      <c r="D22">
        <v>-0.84391666666666654</v>
      </c>
      <c r="E22">
        <v>3.26</v>
      </c>
      <c r="H22" s="3"/>
    </row>
    <row r="23" spans="1:8" x14ac:dyDescent="0.2">
      <c r="A23" t="s">
        <v>167</v>
      </c>
      <c r="B23">
        <v>0.57699999999999996</v>
      </c>
      <c r="C23">
        <v>2.4500000000000002</v>
      </c>
      <c r="D23">
        <v>1.4155</v>
      </c>
      <c r="H23" s="3"/>
    </row>
    <row r="24" spans="1:8" x14ac:dyDescent="0.2">
      <c r="A24" t="s">
        <v>168</v>
      </c>
      <c r="B24">
        <v>0.52200000000000002</v>
      </c>
      <c r="C24">
        <v>4.6619999999999999</v>
      </c>
      <c r="D24">
        <v>1.7430000000000001</v>
      </c>
      <c r="H24" s="3"/>
    </row>
    <row r="25" spans="1:8" x14ac:dyDescent="0.2">
      <c r="A25" t="s">
        <v>169</v>
      </c>
      <c r="B25">
        <v>-2.4209999999999998</v>
      </c>
      <c r="C25">
        <v>2.7170000000000001</v>
      </c>
      <c r="D25">
        <v>1.047666666666667</v>
      </c>
      <c r="H25" s="3"/>
    </row>
    <row r="26" spans="1:8" x14ac:dyDescent="0.2">
      <c r="A26" t="s">
        <v>170</v>
      </c>
      <c r="B26">
        <v>-0.06</v>
      </c>
      <c r="C26">
        <v>1.8049999999999999</v>
      </c>
      <c r="D26">
        <v>1.0070833333333331</v>
      </c>
      <c r="H26" s="3"/>
    </row>
    <row r="27" spans="1:8" x14ac:dyDescent="0.2">
      <c r="A27" t="s">
        <v>171</v>
      </c>
      <c r="B27">
        <v>-1.327</v>
      </c>
      <c r="C27">
        <v>-0.11600000000000001</v>
      </c>
      <c r="D27">
        <v>-0.60933333333333328</v>
      </c>
      <c r="H27" s="3"/>
    </row>
    <row r="28" spans="1:8" x14ac:dyDescent="0.2">
      <c r="A28" t="s">
        <v>172</v>
      </c>
      <c r="B28">
        <v>0.218</v>
      </c>
      <c r="C28">
        <v>4.0369999999999999</v>
      </c>
      <c r="D28">
        <v>2.3258333333333341</v>
      </c>
      <c r="H28" s="3"/>
    </row>
    <row r="29" spans="1:8" x14ac:dyDescent="0.2">
      <c r="A29" t="s">
        <v>173</v>
      </c>
      <c r="B29">
        <v>7.9000000000000001E-2</v>
      </c>
      <c r="C29">
        <v>2.2890000000000001</v>
      </c>
      <c r="D29">
        <v>1.3906666666666669</v>
      </c>
      <c r="E29">
        <v>0.21</v>
      </c>
      <c r="H29" s="3"/>
    </row>
    <row r="30" spans="1:8" x14ac:dyDescent="0.2">
      <c r="A30" t="s">
        <v>174</v>
      </c>
      <c r="B30">
        <v>-2.5659999999999998</v>
      </c>
      <c r="C30">
        <v>1.071</v>
      </c>
      <c r="D30">
        <v>-0.79549999999999998</v>
      </c>
      <c r="H30" s="3"/>
    </row>
    <row r="31" spans="1:8" x14ac:dyDescent="0.2">
      <c r="A31" t="s">
        <v>175</v>
      </c>
      <c r="B31">
        <v>-0.06</v>
      </c>
      <c r="C31">
        <v>6.2039999999999997</v>
      </c>
      <c r="D31">
        <v>3.226916666666666</v>
      </c>
      <c r="G31">
        <f>AVERAGE(D33:D213)</f>
        <v>13.093985936715217</v>
      </c>
      <c r="H31" s="3"/>
    </row>
    <row r="32" spans="1:8" x14ac:dyDescent="0.2">
      <c r="A32" t="s">
        <v>176</v>
      </c>
      <c r="B32">
        <v>1.8049999999999999</v>
      </c>
      <c r="C32">
        <v>5.5389999999999997</v>
      </c>
      <c r="D32">
        <v>3.8195000000000001</v>
      </c>
      <c r="G32">
        <f>SUM(E33:E213)</f>
        <v>293.99000000000007</v>
      </c>
      <c r="H32" s="3"/>
    </row>
    <row r="33" spans="1:8" x14ac:dyDescent="0.2">
      <c r="A33" t="s">
        <v>177</v>
      </c>
      <c r="B33">
        <v>4.5250000000000004</v>
      </c>
      <c r="C33">
        <v>8.02</v>
      </c>
      <c r="D33">
        <v>6.0131666666666668</v>
      </c>
      <c r="E33">
        <v>0.53</v>
      </c>
      <c r="H33" s="3"/>
    </row>
    <row r="34" spans="1:8" x14ac:dyDescent="0.2">
      <c r="A34" t="s">
        <v>178</v>
      </c>
      <c r="B34">
        <v>6.4329999999999998</v>
      </c>
      <c r="C34">
        <v>8.7669999999999995</v>
      </c>
      <c r="D34">
        <v>7.536416666666665</v>
      </c>
      <c r="H34" s="3"/>
    </row>
    <row r="35" spans="1:8" x14ac:dyDescent="0.2">
      <c r="A35" t="s">
        <v>179</v>
      </c>
      <c r="B35">
        <v>7.3929999999999998</v>
      </c>
      <c r="C35">
        <v>9.5579999999999998</v>
      </c>
      <c r="D35">
        <v>8.1470833333333328</v>
      </c>
      <c r="H35" s="3"/>
    </row>
    <row r="36" spans="1:8" x14ac:dyDescent="0.2">
      <c r="A36" t="s">
        <v>180</v>
      </c>
      <c r="B36">
        <v>3.3540000000000001</v>
      </c>
      <c r="C36">
        <v>8.9410000000000007</v>
      </c>
      <c r="D36">
        <v>6.160333333333333</v>
      </c>
      <c r="H36" s="3"/>
    </row>
    <row r="37" spans="1:8" x14ac:dyDescent="0.2">
      <c r="A37" t="s">
        <v>181</v>
      </c>
      <c r="B37">
        <v>0.77</v>
      </c>
      <c r="C37">
        <v>4.74</v>
      </c>
      <c r="D37">
        <v>3.0179166666666668</v>
      </c>
      <c r="E37">
        <v>6.71</v>
      </c>
      <c r="H37" s="3"/>
    </row>
    <row r="38" spans="1:8" x14ac:dyDescent="0.2">
      <c r="A38" t="s">
        <v>182</v>
      </c>
      <c r="B38">
        <v>1.262</v>
      </c>
      <c r="C38">
        <v>6.484</v>
      </c>
      <c r="D38">
        <v>3.521749999999999</v>
      </c>
      <c r="H38" s="3"/>
    </row>
    <row r="39" spans="1:8" x14ac:dyDescent="0.2">
      <c r="A39" t="s">
        <v>183</v>
      </c>
      <c r="B39">
        <v>-3.39</v>
      </c>
      <c r="C39">
        <v>4.3760000000000003</v>
      </c>
      <c r="D39">
        <v>6.4499999999999932E-2</v>
      </c>
      <c r="H39" s="3"/>
    </row>
    <row r="40" spans="1:8" x14ac:dyDescent="0.2">
      <c r="A40" t="s">
        <v>184</v>
      </c>
      <c r="B40">
        <v>-5.5739999999999998</v>
      </c>
      <c r="C40">
        <v>5.9489999999999998</v>
      </c>
      <c r="D40">
        <v>-1.619333333333334</v>
      </c>
      <c r="H40" s="3"/>
    </row>
    <row r="41" spans="1:8" x14ac:dyDescent="0.2">
      <c r="A41" t="s">
        <v>185</v>
      </c>
      <c r="B41">
        <v>-7.2839999999999998</v>
      </c>
      <c r="C41">
        <v>3.38</v>
      </c>
      <c r="D41">
        <v>-2.4460833333333341</v>
      </c>
      <c r="H41" s="3"/>
    </row>
    <row r="42" spans="1:8" x14ac:dyDescent="0.2">
      <c r="A42" t="s">
        <v>186</v>
      </c>
      <c r="B42">
        <v>-4.4690000000000003</v>
      </c>
      <c r="C42">
        <v>4.9729999999999999</v>
      </c>
      <c r="D42">
        <v>-0.15216666666666681</v>
      </c>
      <c r="H42" s="3"/>
    </row>
    <row r="43" spans="1:8" x14ac:dyDescent="0.2">
      <c r="A43" t="s">
        <v>187</v>
      </c>
      <c r="B43">
        <v>0.60499999999999998</v>
      </c>
      <c r="C43">
        <v>7.1159999999999997</v>
      </c>
      <c r="D43">
        <v>4.0919999999999996</v>
      </c>
      <c r="H43" s="3"/>
    </row>
    <row r="44" spans="1:8" x14ac:dyDescent="0.2">
      <c r="A44" t="s">
        <v>188</v>
      </c>
      <c r="B44">
        <v>4.4279999999999999</v>
      </c>
      <c r="C44">
        <v>9.3119999999999994</v>
      </c>
      <c r="D44">
        <v>6.4407500000000004</v>
      </c>
      <c r="H44" s="3"/>
    </row>
    <row r="45" spans="1:8" x14ac:dyDescent="0.2">
      <c r="A45" t="s">
        <v>189</v>
      </c>
      <c r="B45">
        <v>-0.45100000000000001</v>
      </c>
      <c r="C45">
        <v>12.436999999999999</v>
      </c>
      <c r="D45">
        <v>5.8230833333333321</v>
      </c>
      <c r="H45" s="3"/>
    </row>
    <row r="46" spans="1:8" x14ac:dyDescent="0.2">
      <c r="A46" t="s">
        <v>190</v>
      </c>
      <c r="B46">
        <v>-2.1890000000000001</v>
      </c>
      <c r="C46">
        <v>4.2720000000000002</v>
      </c>
      <c r="D46">
        <v>0.75525000000000009</v>
      </c>
      <c r="H46" s="3"/>
    </row>
    <row r="47" spans="1:8" x14ac:dyDescent="0.2">
      <c r="A47" t="s">
        <v>191</v>
      </c>
      <c r="B47">
        <v>0.88</v>
      </c>
      <c r="C47">
        <v>2.7970000000000002</v>
      </c>
      <c r="D47">
        <v>1.6375833333333341</v>
      </c>
      <c r="H47" s="3"/>
    </row>
    <row r="48" spans="1:8" x14ac:dyDescent="0.2">
      <c r="A48" t="s">
        <v>192</v>
      </c>
      <c r="B48">
        <v>0.439</v>
      </c>
      <c r="C48">
        <v>6.077</v>
      </c>
      <c r="D48">
        <v>3.0757500000000002</v>
      </c>
      <c r="H48" s="3"/>
    </row>
    <row r="49" spans="1:8" x14ac:dyDescent="0.2">
      <c r="A49" t="s">
        <v>193</v>
      </c>
      <c r="B49">
        <v>6.4080000000000004</v>
      </c>
      <c r="C49">
        <v>13.762</v>
      </c>
      <c r="D49">
        <v>10.535083333333329</v>
      </c>
      <c r="H49" s="3"/>
    </row>
    <row r="50" spans="1:8" x14ac:dyDescent="0.2">
      <c r="A50" t="s">
        <v>194</v>
      </c>
      <c r="B50">
        <v>9.8539999999999992</v>
      </c>
      <c r="C50">
        <v>11.929</v>
      </c>
      <c r="D50">
        <v>10.999499999999999</v>
      </c>
      <c r="H50" s="3"/>
    </row>
    <row r="51" spans="1:8" x14ac:dyDescent="0.2">
      <c r="A51" t="s">
        <v>195</v>
      </c>
      <c r="B51">
        <v>9.0399999999999991</v>
      </c>
      <c r="C51">
        <v>11.443</v>
      </c>
      <c r="D51">
        <v>9.8499166666666653</v>
      </c>
      <c r="H51" s="3"/>
    </row>
    <row r="52" spans="1:8" x14ac:dyDescent="0.2">
      <c r="A52" t="s">
        <v>196</v>
      </c>
      <c r="B52">
        <v>5.4619999999999997</v>
      </c>
      <c r="C52">
        <v>13.978</v>
      </c>
      <c r="D52">
        <v>9.1862499999999994</v>
      </c>
      <c r="H52" s="3"/>
    </row>
    <row r="53" spans="1:8" x14ac:dyDescent="0.2">
      <c r="A53" t="s">
        <v>197</v>
      </c>
      <c r="B53">
        <v>4.0369999999999999</v>
      </c>
      <c r="C53">
        <v>15.962999999999999</v>
      </c>
      <c r="D53">
        <v>7.9879166666666661</v>
      </c>
      <c r="H53" s="3"/>
    </row>
    <row r="54" spans="1:8" x14ac:dyDescent="0.2">
      <c r="A54" t="s">
        <v>198</v>
      </c>
      <c r="B54">
        <v>1.18</v>
      </c>
      <c r="C54">
        <v>13.738</v>
      </c>
      <c r="D54">
        <v>5.4362500000000002</v>
      </c>
      <c r="H54" s="3"/>
    </row>
    <row r="55" spans="1:8" x14ac:dyDescent="0.2">
      <c r="A55" t="s">
        <v>199</v>
      </c>
      <c r="B55">
        <v>5.8470000000000004</v>
      </c>
      <c r="C55">
        <v>11.929</v>
      </c>
      <c r="D55">
        <v>9.0054166666666671</v>
      </c>
      <c r="H55" s="3"/>
    </row>
    <row r="56" spans="1:8" x14ac:dyDescent="0.2">
      <c r="A56" t="s">
        <v>200</v>
      </c>
      <c r="B56">
        <v>5.024</v>
      </c>
      <c r="C56">
        <v>9.6080000000000005</v>
      </c>
      <c r="D56">
        <v>7.2687500000000007</v>
      </c>
      <c r="H56" s="3"/>
    </row>
    <row r="57" spans="1:8" x14ac:dyDescent="0.2">
      <c r="A57" t="s">
        <v>201</v>
      </c>
      <c r="B57">
        <v>-0.873</v>
      </c>
      <c r="C57">
        <v>7.1669999999999998</v>
      </c>
      <c r="D57">
        <v>4.0043333333333342</v>
      </c>
      <c r="E57">
        <v>4.91</v>
      </c>
      <c r="H57" s="3"/>
    </row>
    <row r="58" spans="1:8" x14ac:dyDescent="0.2">
      <c r="A58" t="s">
        <v>202</v>
      </c>
      <c r="B58">
        <v>-2.4500000000000002</v>
      </c>
      <c r="C58">
        <v>3.722</v>
      </c>
      <c r="D58">
        <v>0.37841666666666679</v>
      </c>
      <c r="H58" s="3"/>
    </row>
    <row r="59" spans="1:8" x14ac:dyDescent="0.2">
      <c r="A59" t="s">
        <v>203</v>
      </c>
      <c r="B59">
        <v>-3.6869999999999998</v>
      </c>
      <c r="C59">
        <v>5.6420000000000003</v>
      </c>
      <c r="D59">
        <v>0.34000000000000008</v>
      </c>
      <c r="H59" s="3"/>
    </row>
    <row r="60" spans="1:8" x14ac:dyDescent="0.2">
      <c r="A60" t="s">
        <v>204</v>
      </c>
      <c r="B60">
        <v>-3.956</v>
      </c>
      <c r="C60">
        <v>5.6929999999999996</v>
      </c>
      <c r="D60">
        <v>0.50424999999999998</v>
      </c>
      <c r="H60" s="3"/>
    </row>
    <row r="61" spans="1:8" x14ac:dyDescent="0.2">
      <c r="A61" t="s">
        <v>205</v>
      </c>
      <c r="B61">
        <v>-2.044</v>
      </c>
      <c r="C61">
        <v>8.5429999999999993</v>
      </c>
      <c r="D61">
        <v>2.0436666666666659</v>
      </c>
      <c r="H61" s="3"/>
    </row>
    <row r="62" spans="1:8" x14ac:dyDescent="0.2">
      <c r="A62" t="s">
        <v>206</v>
      </c>
      <c r="B62">
        <v>-1.1279999999999999</v>
      </c>
      <c r="C62">
        <v>11.977</v>
      </c>
      <c r="D62">
        <v>3.9786666666666668</v>
      </c>
      <c r="H62" s="3"/>
    </row>
    <row r="63" spans="1:8" x14ac:dyDescent="0.2">
      <c r="A63" t="s">
        <v>207</v>
      </c>
      <c r="B63">
        <v>-1.071</v>
      </c>
      <c r="C63">
        <v>7.3929999999999998</v>
      </c>
      <c r="D63">
        <v>2.3817499999999998</v>
      </c>
      <c r="H63" s="3"/>
    </row>
    <row r="64" spans="1:8" x14ac:dyDescent="0.2">
      <c r="A64" t="s">
        <v>208</v>
      </c>
      <c r="B64">
        <v>-2.044</v>
      </c>
      <c r="C64">
        <v>6.7880000000000003</v>
      </c>
      <c r="D64">
        <v>3.336666666666666</v>
      </c>
      <c r="H64" s="3"/>
    </row>
    <row r="65" spans="1:8" x14ac:dyDescent="0.2">
      <c r="A65" t="s">
        <v>209</v>
      </c>
      <c r="B65">
        <v>3.2210000000000001</v>
      </c>
      <c r="C65">
        <v>5.5140000000000002</v>
      </c>
      <c r="D65">
        <v>4.3899999999999997</v>
      </c>
      <c r="H65" s="3"/>
    </row>
    <row r="66" spans="1:8" x14ac:dyDescent="0.2">
      <c r="A66" t="s">
        <v>210</v>
      </c>
      <c r="B66">
        <v>2.5840000000000001</v>
      </c>
      <c r="C66">
        <v>6.7880000000000003</v>
      </c>
      <c r="D66">
        <v>4.2470833333333333</v>
      </c>
      <c r="E66">
        <v>0.33</v>
      </c>
      <c r="H66" s="3"/>
    </row>
    <row r="67" spans="1:8" x14ac:dyDescent="0.2">
      <c r="A67" t="s">
        <v>211</v>
      </c>
      <c r="B67">
        <v>2.3959999999999999</v>
      </c>
      <c r="C67">
        <v>7.67</v>
      </c>
      <c r="D67">
        <v>4.7324999999999999</v>
      </c>
      <c r="H67" s="3"/>
    </row>
    <row r="68" spans="1:8" x14ac:dyDescent="0.2">
      <c r="A68" t="s">
        <v>212</v>
      </c>
      <c r="B68">
        <v>1.3440000000000001</v>
      </c>
      <c r="C68">
        <v>5.2309999999999999</v>
      </c>
      <c r="D68">
        <v>2.8312499999999989</v>
      </c>
      <c r="E68">
        <v>22</v>
      </c>
      <c r="H68" s="3"/>
    </row>
    <row r="69" spans="1:8" x14ac:dyDescent="0.2">
      <c r="A69" t="s">
        <v>213</v>
      </c>
      <c r="B69">
        <v>5.4370000000000003</v>
      </c>
      <c r="C69">
        <v>12.534000000000001</v>
      </c>
      <c r="D69">
        <v>9.9418333333333333</v>
      </c>
      <c r="E69">
        <v>1.83</v>
      </c>
      <c r="H69" s="3"/>
    </row>
    <row r="70" spans="1:8" x14ac:dyDescent="0.2">
      <c r="A70" t="s">
        <v>214</v>
      </c>
      <c r="B70">
        <v>2.93</v>
      </c>
      <c r="C70">
        <v>11.807</v>
      </c>
      <c r="D70">
        <v>9.3963333333333328</v>
      </c>
      <c r="H70" s="3"/>
    </row>
    <row r="71" spans="1:8" x14ac:dyDescent="0.2">
      <c r="A71" t="s">
        <v>215</v>
      </c>
      <c r="B71">
        <v>-1.5840000000000001</v>
      </c>
      <c r="C71">
        <v>4.5839999999999996</v>
      </c>
      <c r="D71">
        <v>2.282083333333333</v>
      </c>
      <c r="E71">
        <v>6.68</v>
      </c>
      <c r="H71" s="3"/>
    </row>
    <row r="72" spans="1:8" x14ac:dyDescent="0.2">
      <c r="A72" t="s">
        <v>216</v>
      </c>
      <c r="B72">
        <v>-2.4500000000000002</v>
      </c>
      <c r="C72">
        <v>8.9410000000000007</v>
      </c>
      <c r="D72">
        <v>3.0098333333333329</v>
      </c>
      <c r="H72" s="3"/>
    </row>
    <row r="73" spans="1:8" x14ac:dyDescent="0.2">
      <c r="A73" t="s">
        <v>217</v>
      </c>
      <c r="B73">
        <v>8.02</v>
      </c>
      <c r="C73">
        <v>15.962999999999999</v>
      </c>
      <c r="D73">
        <v>11.79</v>
      </c>
      <c r="E73">
        <v>10.4</v>
      </c>
      <c r="H73" s="3"/>
    </row>
    <row r="74" spans="1:8" x14ac:dyDescent="0.2">
      <c r="A74" t="s">
        <v>218</v>
      </c>
      <c r="B74">
        <v>4.9729999999999999</v>
      </c>
      <c r="C74">
        <v>11.077999999999999</v>
      </c>
      <c r="D74">
        <v>9.0107499999999998</v>
      </c>
      <c r="E74">
        <v>4.3</v>
      </c>
      <c r="H74" s="3"/>
    </row>
    <row r="75" spans="1:8" x14ac:dyDescent="0.2">
      <c r="A75" t="s">
        <v>219</v>
      </c>
      <c r="B75">
        <v>-0.17100000000000001</v>
      </c>
      <c r="C75">
        <v>7.92</v>
      </c>
      <c r="D75">
        <v>3.5893333333333342</v>
      </c>
      <c r="H75" s="3"/>
    </row>
    <row r="76" spans="1:8" x14ac:dyDescent="0.2">
      <c r="A76" t="s">
        <v>220</v>
      </c>
      <c r="B76">
        <v>-2.8</v>
      </c>
      <c r="C76">
        <v>10.198</v>
      </c>
      <c r="D76">
        <v>3.6167500000000001</v>
      </c>
      <c r="H76" s="3"/>
    </row>
    <row r="77" spans="1:8" x14ac:dyDescent="0.2">
      <c r="A77" t="s">
        <v>221</v>
      </c>
      <c r="B77">
        <v>-0.255</v>
      </c>
      <c r="C77">
        <v>15.175000000000001</v>
      </c>
      <c r="D77">
        <v>7.3579166666666671</v>
      </c>
      <c r="E77">
        <v>0.48</v>
      </c>
      <c r="H77" s="3"/>
    </row>
    <row r="78" spans="1:8" x14ac:dyDescent="0.2">
      <c r="A78" t="s">
        <v>222</v>
      </c>
      <c r="B78">
        <v>7.444</v>
      </c>
      <c r="C78">
        <v>17.890999999999998</v>
      </c>
      <c r="D78">
        <v>11.64591666666667</v>
      </c>
      <c r="H78" s="3"/>
    </row>
    <row r="79" spans="1:8" x14ac:dyDescent="0.2">
      <c r="A79" t="s">
        <v>223</v>
      </c>
      <c r="B79">
        <v>6.23</v>
      </c>
      <c r="C79">
        <v>15.605</v>
      </c>
      <c r="D79">
        <v>10.541083333333329</v>
      </c>
      <c r="H79" s="3"/>
    </row>
    <row r="80" spans="1:8" x14ac:dyDescent="0.2">
      <c r="A80" t="s">
        <v>224</v>
      </c>
      <c r="B80">
        <v>8.9160000000000004</v>
      </c>
      <c r="C80">
        <v>14.17</v>
      </c>
      <c r="D80">
        <v>10.63533333333333</v>
      </c>
      <c r="H80" s="3"/>
    </row>
    <row r="81" spans="1:8" x14ac:dyDescent="0.2">
      <c r="A81" t="s">
        <v>225</v>
      </c>
      <c r="B81">
        <v>5.0759999999999996</v>
      </c>
      <c r="C81">
        <v>12.436999999999999</v>
      </c>
      <c r="D81">
        <v>8.9934999999999992</v>
      </c>
      <c r="E81">
        <v>3.1</v>
      </c>
      <c r="H81" s="3"/>
    </row>
    <row r="82" spans="1:8" x14ac:dyDescent="0.2">
      <c r="A82" t="s">
        <v>226</v>
      </c>
      <c r="B82">
        <v>3.38</v>
      </c>
      <c r="C82">
        <v>17.629000000000001</v>
      </c>
      <c r="D82">
        <v>10.74058333333333</v>
      </c>
      <c r="E82">
        <v>0.56000000000000005</v>
      </c>
      <c r="H82" s="3"/>
    </row>
    <row r="83" spans="1:8" x14ac:dyDescent="0.2">
      <c r="A83" t="s">
        <v>227</v>
      </c>
      <c r="B83">
        <v>12.534000000000001</v>
      </c>
      <c r="C83">
        <v>14.768000000000001</v>
      </c>
      <c r="D83">
        <v>13.754583333333329</v>
      </c>
      <c r="E83">
        <v>1.79</v>
      </c>
      <c r="H83" s="3"/>
    </row>
    <row r="84" spans="1:8" x14ac:dyDescent="0.2">
      <c r="A84" t="s">
        <v>228</v>
      </c>
      <c r="B84">
        <v>8.4689999999999994</v>
      </c>
      <c r="C84">
        <v>16.510999999999999</v>
      </c>
      <c r="D84">
        <v>12.804916666666671</v>
      </c>
      <c r="H84" s="3"/>
    </row>
    <row r="85" spans="1:8" x14ac:dyDescent="0.2">
      <c r="A85" t="s">
        <v>229</v>
      </c>
      <c r="B85">
        <v>8.4190000000000005</v>
      </c>
      <c r="C85">
        <v>14.529</v>
      </c>
      <c r="D85">
        <v>10.52641666666667</v>
      </c>
      <c r="E85">
        <v>18.100000000000001</v>
      </c>
      <c r="H85" s="3"/>
    </row>
    <row r="86" spans="1:8" x14ac:dyDescent="0.2">
      <c r="A86" t="s">
        <v>230</v>
      </c>
      <c r="B86">
        <v>6.9139999999999997</v>
      </c>
      <c r="C86">
        <v>12.944000000000001</v>
      </c>
      <c r="D86">
        <v>8.377583333333332</v>
      </c>
      <c r="H86" s="3"/>
    </row>
    <row r="87" spans="1:8" x14ac:dyDescent="0.2">
      <c r="A87" t="s">
        <v>231</v>
      </c>
      <c r="B87">
        <v>1.18</v>
      </c>
      <c r="C87">
        <v>8.5679999999999996</v>
      </c>
      <c r="D87">
        <v>4.995333333333333</v>
      </c>
      <c r="H87" s="3"/>
    </row>
    <row r="88" spans="1:8" x14ac:dyDescent="0.2">
      <c r="A88" t="s">
        <v>232</v>
      </c>
      <c r="B88">
        <v>-0.64800000000000002</v>
      </c>
      <c r="C88">
        <v>9.7309999999999999</v>
      </c>
      <c r="D88">
        <v>5.2253333333333343</v>
      </c>
      <c r="H88" s="3"/>
    </row>
    <row r="89" spans="1:8" x14ac:dyDescent="0.2">
      <c r="A89" t="s">
        <v>233</v>
      </c>
      <c r="B89">
        <v>5.2050000000000001</v>
      </c>
      <c r="C89">
        <v>15.414</v>
      </c>
      <c r="D89">
        <v>10.26125</v>
      </c>
      <c r="E89">
        <v>0.63</v>
      </c>
      <c r="H89" s="3"/>
    </row>
    <row r="90" spans="1:8" x14ac:dyDescent="0.2">
      <c r="A90" t="s">
        <v>234</v>
      </c>
      <c r="B90">
        <v>9.3119999999999994</v>
      </c>
      <c r="C90">
        <v>15.557</v>
      </c>
      <c r="D90">
        <v>12.46425</v>
      </c>
      <c r="H90" s="3"/>
    </row>
    <row r="91" spans="1:8" x14ac:dyDescent="0.2">
      <c r="A91" t="s">
        <v>235</v>
      </c>
      <c r="B91">
        <v>9.5090000000000003</v>
      </c>
      <c r="C91">
        <v>14.361000000000001</v>
      </c>
      <c r="D91">
        <v>10.956583333333329</v>
      </c>
      <c r="E91">
        <v>1.02</v>
      </c>
      <c r="H91" s="3"/>
    </row>
    <row r="92" spans="1:8" x14ac:dyDescent="0.2">
      <c r="A92" t="s">
        <v>236</v>
      </c>
      <c r="B92">
        <v>9.3859999999999992</v>
      </c>
      <c r="C92">
        <v>11.832000000000001</v>
      </c>
      <c r="D92">
        <v>10.548833333333331</v>
      </c>
      <c r="E92">
        <v>18.420000000000002</v>
      </c>
      <c r="H92" s="3"/>
    </row>
    <row r="93" spans="1:8" x14ac:dyDescent="0.2">
      <c r="A93" t="s">
        <v>237</v>
      </c>
      <c r="B93">
        <v>3.722</v>
      </c>
      <c r="C93">
        <v>9.1630000000000003</v>
      </c>
      <c r="D93">
        <v>6.9079166666666678</v>
      </c>
      <c r="H93" s="3"/>
    </row>
    <row r="94" spans="1:8" x14ac:dyDescent="0.2">
      <c r="A94" t="s">
        <v>238</v>
      </c>
      <c r="B94">
        <v>2.343</v>
      </c>
      <c r="C94">
        <v>8.8659999999999997</v>
      </c>
      <c r="D94">
        <v>5.3572727272727283</v>
      </c>
      <c r="H94" s="3"/>
    </row>
    <row r="95" spans="1:8" x14ac:dyDescent="0.2">
      <c r="A95" t="s">
        <v>239</v>
      </c>
      <c r="B95">
        <v>-2.1019999999999999</v>
      </c>
      <c r="C95">
        <v>10.198</v>
      </c>
      <c r="D95">
        <v>3.3864999999999998</v>
      </c>
      <c r="H95" s="3"/>
    </row>
    <row r="96" spans="1:8" x14ac:dyDescent="0.2">
      <c r="A96" t="s">
        <v>240</v>
      </c>
      <c r="B96">
        <v>-1.7849999999999999</v>
      </c>
      <c r="C96">
        <v>10.932</v>
      </c>
      <c r="D96">
        <v>4.253166666666667</v>
      </c>
      <c r="H96" s="3"/>
    </row>
    <row r="97" spans="1:8" x14ac:dyDescent="0.2">
      <c r="A97" t="s">
        <v>241</v>
      </c>
      <c r="B97">
        <v>-2.5960000000000001</v>
      </c>
      <c r="C97">
        <v>13.593999999999999</v>
      </c>
      <c r="D97">
        <v>5.7285833333333329</v>
      </c>
      <c r="H97" s="3"/>
    </row>
    <row r="98" spans="1:8" x14ac:dyDescent="0.2">
      <c r="A98" t="s">
        <v>242</v>
      </c>
      <c r="B98">
        <v>6.1790000000000003</v>
      </c>
      <c r="C98">
        <v>10.686999999999999</v>
      </c>
      <c r="D98">
        <v>7.6977499999999992</v>
      </c>
      <c r="E98">
        <v>6.7</v>
      </c>
      <c r="H98" s="3"/>
    </row>
    <row r="99" spans="1:8" x14ac:dyDescent="0.2">
      <c r="A99" t="s">
        <v>243</v>
      </c>
      <c r="B99">
        <v>1.859</v>
      </c>
      <c r="C99">
        <v>11.516</v>
      </c>
      <c r="D99">
        <v>6.8504999999999994</v>
      </c>
      <c r="H99" s="3"/>
    </row>
    <row r="100" spans="1:8" x14ac:dyDescent="0.2">
      <c r="A100" t="s">
        <v>244</v>
      </c>
      <c r="B100">
        <v>4.8179999999999996</v>
      </c>
      <c r="C100">
        <v>15.27</v>
      </c>
      <c r="D100">
        <v>9.0566666666666666</v>
      </c>
      <c r="H100" s="3"/>
    </row>
    <row r="101" spans="1:8" x14ac:dyDescent="0.2">
      <c r="A101" t="s">
        <v>40</v>
      </c>
      <c r="B101">
        <v>1.6970000000000001</v>
      </c>
      <c r="C101">
        <v>18.247</v>
      </c>
      <c r="D101">
        <v>9.9731666666666676</v>
      </c>
      <c r="E101">
        <v>1.73</v>
      </c>
      <c r="H101" s="3"/>
    </row>
    <row r="102" spans="1:8" x14ac:dyDescent="0.2">
      <c r="A102" t="s">
        <v>245</v>
      </c>
      <c r="B102">
        <v>8.27</v>
      </c>
      <c r="C102">
        <v>15.986000000000001</v>
      </c>
      <c r="D102">
        <v>11.940250000000001</v>
      </c>
      <c r="E102">
        <v>7.01</v>
      </c>
      <c r="H102" s="3"/>
    </row>
    <row r="103" spans="1:8" x14ac:dyDescent="0.2">
      <c r="A103" t="s">
        <v>246</v>
      </c>
      <c r="B103">
        <v>7.2679999999999998</v>
      </c>
      <c r="C103">
        <v>12.413</v>
      </c>
      <c r="D103">
        <v>9.3960000000000008</v>
      </c>
      <c r="E103">
        <v>2.2000000000000002</v>
      </c>
      <c r="H103" s="3"/>
    </row>
    <row r="104" spans="1:8" x14ac:dyDescent="0.2">
      <c r="A104" t="s">
        <v>247</v>
      </c>
      <c r="B104">
        <v>4.194</v>
      </c>
      <c r="C104">
        <v>12.484999999999999</v>
      </c>
      <c r="D104">
        <v>7.8804166666666662</v>
      </c>
      <c r="H104" s="3"/>
    </row>
    <row r="105" spans="1:8" x14ac:dyDescent="0.2">
      <c r="A105" t="s">
        <v>248</v>
      </c>
      <c r="B105">
        <v>1.425</v>
      </c>
      <c r="C105">
        <v>16.248999999999999</v>
      </c>
      <c r="D105">
        <v>7.980083333333333</v>
      </c>
      <c r="H105" s="3"/>
    </row>
    <row r="106" spans="1:8" x14ac:dyDescent="0.2">
      <c r="A106" t="s">
        <v>249</v>
      </c>
      <c r="B106">
        <v>2.2890000000000001</v>
      </c>
      <c r="C106">
        <v>10.247</v>
      </c>
      <c r="D106">
        <v>6.8107499999999996</v>
      </c>
      <c r="H106" s="3"/>
    </row>
    <row r="107" spans="1:8" x14ac:dyDescent="0.2">
      <c r="A107" t="s">
        <v>250</v>
      </c>
      <c r="B107">
        <v>8.6679999999999993</v>
      </c>
      <c r="C107">
        <v>12.243</v>
      </c>
      <c r="D107">
        <v>9.99</v>
      </c>
      <c r="E107">
        <v>5.85</v>
      </c>
      <c r="H107" s="3"/>
    </row>
    <row r="108" spans="1:8" x14ac:dyDescent="0.2">
      <c r="A108" t="s">
        <v>251</v>
      </c>
      <c r="B108">
        <v>7.67</v>
      </c>
      <c r="C108">
        <v>13.449</v>
      </c>
      <c r="D108">
        <v>10.1915</v>
      </c>
      <c r="H108" s="3"/>
    </row>
    <row r="109" spans="1:8" x14ac:dyDescent="0.2">
      <c r="A109" t="s">
        <v>252</v>
      </c>
      <c r="B109">
        <v>4.141</v>
      </c>
      <c r="C109">
        <v>14.888</v>
      </c>
      <c r="D109">
        <v>9.5169999999999977</v>
      </c>
      <c r="H109" s="3"/>
    </row>
    <row r="110" spans="1:8" x14ac:dyDescent="0.2">
      <c r="A110" t="s">
        <v>253</v>
      </c>
      <c r="B110">
        <v>5.8209999999999997</v>
      </c>
      <c r="C110">
        <v>15.962999999999999</v>
      </c>
      <c r="D110">
        <v>11.267583333333331</v>
      </c>
      <c r="H110" s="3"/>
    </row>
    <row r="111" spans="1:8" x14ac:dyDescent="0.2">
      <c r="A111" t="s">
        <v>254</v>
      </c>
      <c r="B111">
        <v>1.94</v>
      </c>
      <c r="C111">
        <v>11.224</v>
      </c>
      <c r="D111">
        <v>6.6734999999999998</v>
      </c>
      <c r="E111">
        <v>12</v>
      </c>
      <c r="H111" s="3"/>
    </row>
    <row r="112" spans="1:8" x14ac:dyDescent="0.2">
      <c r="A112" t="s">
        <v>255</v>
      </c>
      <c r="B112">
        <v>5.7190000000000003</v>
      </c>
      <c r="C112">
        <v>19.984000000000002</v>
      </c>
      <c r="D112">
        <v>11.32625</v>
      </c>
      <c r="H112" s="3"/>
    </row>
    <row r="113" spans="1:8" x14ac:dyDescent="0.2">
      <c r="A113" t="s">
        <v>256</v>
      </c>
      <c r="B113">
        <v>8.17</v>
      </c>
      <c r="C113">
        <v>22.178000000000001</v>
      </c>
      <c r="D113">
        <v>14.154833333333331</v>
      </c>
      <c r="H113" s="3"/>
    </row>
    <row r="114" spans="1:8" x14ac:dyDescent="0.2">
      <c r="A114" t="s">
        <v>257</v>
      </c>
      <c r="B114">
        <v>11.516</v>
      </c>
      <c r="C114">
        <v>18.366</v>
      </c>
      <c r="D114">
        <v>14.223416666666671</v>
      </c>
      <c r="E114">
        <v>2.19</v>
      </c>
      <c r="H114" s="3"/>
    </row>
    <row r="115" spans="1:8" x14ac:dyDescent="0.2">
      <c r="A115" t="s">
        <v>258</v>
      </c>
      <c r="B115">
        <v>9.2870000000000008</v>
      </c>
      <c r="C115">
        <v>12.775</v>
      </c>
      <c r="D115">
        <v>11.573499999999999</v>
      </c>
      <c r="H115" s="3"/>
    </row>
    <row r="116" spans="1:8" x14ac:dyDescent="0.2">
      <c r="A116" t="s">
        <v>259</v>
      </c>
      <c r="B116">
        <v>6.3310000000000004</v>
      </c>
      <c r="C116">
        <v>11.929</v>
      </c>
      <c r="D116">
        <v>9.0912500000000005</v>
      </c>
      <c r="H116" s="3"/>
    </row>
    <row r="117" spans="1:8" x14ac:dyDescent="0.2">
      <c r="A117" t="s">
        <v>260</v>
      </c>
      <c r="B117">
        <v>-4.0000000000000001E-3</v>
      </c>
      <c r="C117">
        <v>13.353</v>
      </c>
      <c r="D117">
        <v>6.9398333333333344</v>
      </c>
      <c r="H117" s="3"/>
    </row>
    <row r="118" spans="1:8" x14ac:dyDescent="0.2">
      <c r="A118" t="s">
        <v>261</v>
      </c>
      <c r="B118">
        <v>3.5379999999999998</v>
      </c>
      <c r="C118">
        <v>17.32</v>
      </c>
      <c r="D118">
        <v>10.279</v>
      </c>
      <c r="H118" s="3"/>
    </row>
    <row r="119" spans="1:8" x14ac:dyDescent="0.2">
      <c r="A119" t="s">
        <v>262</v>
      </c>
      <c r="B119">
        <v>8.9649999999999999</v>
      </c>
      <c r="C119">
        <v>17.843</v>
      </c>
      <c r="D119">
        <v>12.25791666666667</v>
      </c>
      <c r="E119">
        <v>6</v>
      </c>
      <c r="H119" s="3"/>
    </row>
    <row r="120" spans="1:8" x14ac:dyDescent="0.2">
      <c r="A120" t="s">
        <v>263</v>
      </c>
      <c r="B120">
        <v>10.736000000000001</v>
      </c>
      <c r="C120">
        <v>14.577</v>
      </c>
      <c r="D120">
        <v>12.449583333333329</v>
      </c>
      <c r="H120" s="3"/>
    </row>
    <row r="121" spans="1:8" x14ac:dyDescent="0.2">
      <c r="A121" t="s">
        <v>264</v>
      </c>
      <c r="B121">
        <v>7.444</v>
      </c>
      <c r="C121">
        <v>19.651</v>
      </c>
      <c r="D121">
        <v>13.39575</v>
      </c>
      <c r="H121" s="3"/>
    </row>
    <row r="122" spans="1:8" x14ac:dyDescent="0.2">
      <c r="A122" t="s">
        <v>265</v>
      </c>
      <c r="B122">
        <v>8.4689999999999994</v>
      </c>
      <c r="C122">
        <v>18.984999999999999</v>
      </c>
      <c r="D122">
        <v>13.469250000000001</v>
      </c>
      <c r="E122">
        <v>0.8</v>
      </c>
      <c r="H122" s="3"/>
    </row>
    <row r="123" spans="1:8" x14ac:dyDescent="0.2">
      <c r="A123" t="s">
        <v>266</v>
      </c>
      <c r="B123">
        <v>9.5340000000000007</v>
      </c>
      <c r="C123">
        <v>17.13</v>
      </c>
      <c r="D123">
        <v>13.30833333333333</v>
      </c>
      <c r="H123" s="3"/>
    </row>
    <row r="124" spans="1:8" x14ac:dyDescent="0.2">
      <c r="A124" t="s">
        <v>267</v>
      </c>
      <c r="B124">
        <v>2.1819999999999999</v>
      </c>
      <c r="C124">
        <v>19.722000000000001</v>
      </c>
      <c r="D124">
        <v>10.830181818181821</v>
      </c>
      <c r="H124" s="3"/>
    </row>
    <row r="125" spans="1:8" x14ac:dyDescent="0.2">
      <c r="A125" t="s">
        <v>268</v>
      </c>
      <c r="B125">
        <v>4.3499999999999996</v>
      </c>
      <c r="C125">
        <v>23.856999999999999</v>
      </c>
      <c r="D125">
        <v>13.68466666666667</v>
      </c>
      <c r="H125" s="3"/>
    </row>
    <row r="126" spans="1:8" x14ac:dyDescent="0.2">
      <c r="A126" t="s">
        <v>269</v>
      </c>
      <c r="B126">
        <v>8.6430000000000007</v>
      </c>
      <c r="C126">
        <v>25.283000000000001</v>
      </c>
      <c r="D126">
        <v>15.904999999999999</v>
      </c>
      <c r="H126" s="3"/>
    </row>
    <row r="127" spans="1:8" x14ac:dyDescent="0.2">
      <c r="A127" t="s">
        <v>270</v>
      </c>
      <c r="B127">
        <v>8.6180000000000003</v>
      </c>
      <c r="C127">
        <v>22.178000000000001</v>
      </c>
      <c r="D127">
        <v>16.121749999999999</v>
      </c>
      <c r="H127" s="3"/>
    </row>
    <row r="128" spans="1:8" x14ac:dyDescent="0.2">
      <c r="A128" t="s">
        <v>271</v>
      </c>
      <c r="B128">
        <v>13.81</v>
      </c>
      <c r="C128">
        <v>23.809000000000001</v>
      </c>
      <c r="D128">
        <v>18.041583333333332</v>
      </c>
      <c r="H128" s="3"/>
    </row>
    <row r="129" spans="1:8" x14ac:dyDescent="0.2">
      <c r="A129" t="s">
        <v>272</v>
      </c>
      <c r="B129">
        <v>11.637</v>
      </c>
      <c r="C129">
        <v>19.698</v>
      </c>
      <c r="D129">
        <v>15.11725</v>
      </c>
      <c r="E129">
        <v>0.3</v>
      </c>
      <c r="H129" s="3"/>
    </row>
    <row r="130" spans="1:8" x14ac:dyDescent="0.2">
      <c r="A130" t="s">
        <v>273</v>
      </c>
      <c r="B130">
        <v>12.847</v>
      </c>
      <c r="C130">
        <v>19.77</v>
      </c>
      <c r="D130">
        <v>16.14158333333333</v>
      </c>
      <c r="E130">
        <v>14.6</v>
      </c>
      <c r="H130" s="3"/>
    </row>
    <row r="131" spans="1:8" x14ac:dyDescent="0.2">
      <c r="A131" t="s">
        <v>274</v>
      </c>
      <c r="B131">
        <v>12.534000000000001</v>
      </c>
      <c r="C131">
        <v>18.271000000000001</v>
      </c>
      <c r="D131">
        <v>14.843833333333331</v>
      </c>
      <c r="E131">
        <v>2.0299999999999998</v>
      </c>
      <c r="H131" s="3"/>
    </row>
    <row r="132" spans="1:8" x14ac:dyDescent="0.2">
      <c r="A132" t="s">
        <v>275</v>
      </c>
      <c r="B132">
        <v>8.7919999999999998</v>
      </c>
      <c r="C132">
        <v>14.266</v>
      </c>
      <c r="D132">
        <v>12.011749999999999</v>
      </c>
      <c r="H132" s="3"/>
    </row>
    <row r="133" spans="1:8" x14ac:dyDescent="0.2">
      <c r="A133" t="s">
        <v>276</v>
      </c>
      <c r="B133">
        <v>11.175000000000001</v>
      </c>
      <c r="C133">
        <v>17.510000000000002</v>
      </c>
      <c r="D133">
        <v>13.87541666666667</v>
      </c>
      <c r="E133">
        <v>13.2</v>
      </c>
      <c r="H133" s="3"/>
    </row>
    <row r="134" spans="1:8" x14ac:dyDescent="0.2">
      <c r="A134" t="s">
        <v>277</v>
      </c>
      <c r="B134">
        <v>9.2620000000000005</v>
      </c>
      <c r="C134">
        <v>20.530999999999999</v>
      </c>
      <c r="D134">
        <v>14.844416666666669</v>
      </c>
      <c r="H134" s="3"/>
    </row>
    <row r="135" spans="1:8" x14ac:dyDescent="0.2">
      <c r="A135" t="s">
        <v>278</v>
      </c>
      <c r="B135">
        <v>7.3179999999999996</v>
      </c>
      <c r="C135">
        <v>20.792999999999999</v>
      </c>
      <c r="D135">
        <v>13.901833333333331</v>
      </c>
      <c r="H135" s="3"/>
    </row>
    <row r="136" spans="1:8" x14ac:dyDescent="0.2">
      <c r="A136" t="s">
        <v>279</v>
      </c>
      <c r="B136">
        <v>7.1669999999999998</v>
      </c>
      <c r="C136">
        <v>20.555</v>
      </c>
      <c r="D136">
        <v>13.814333333333339</v>
      </c>
      <c r="H136" s="3"/>
    </row>
    <row r="137" spans="1:8" x14ac:dyDescent="0.2">
      <c r="A137" t="s">
        <v>280</v>
      </c>
      <c r="B137">
        <v>9.6319999999999997</v>
      </c>
      <c r="C137">
        <v>17.439</v>
      </c>
      <c r="D137">
        <v>12.600416666666669</v>
      </c>
      <c r="H137" s="3"/>
    </row>
    <row r="138" spans="1:8" x14ac:dyDescent="0.2">
      <c r="A138" t="s">
        <v>281</v>
      </c>
      <c r="B138">
        <v>4.1680000000000001</v>
      </c>
      <c r="C138">
        <v>17.582000000000001</v>
      </c>
      <c r="D138">
        <v>10.920249999999999</v>
      </c>
      <c r="H138" s="3"/>
    </row>
    <row r="139" spans="1:8" x14ac:dyDescent="0.2">
      <c r="A139" t="s">
        <v>282</v>
      </c>
      <c r="B139">
        <v>4.532</v>
      </c>
      <c r="C139">
        <v>19.032</v>
      </c>
      <c r="D139">
        <v>11.922000000000001</v>
      </c>
      <c r="H139" s="3"/>
    </row>
    <row r="140" spans="1:8" x14ac:dyDescent="0.2">
      <c r="A140" t="s">
        <v>283</v>
      </c>
      <c r="B140">
        <v>5.3339999999999996</v>
      </c>
      <c r="C140">
        <v>21.151</v>
      </c>
      <c r="D140">
        <v>13.652416666666671</v>
      </c>
      <c r="H140" s="3"/>
    </row>
    <row r="141" spans="1:8" x14ac:dyDescent="0.2">
      <c r="A141" t="s">
        <v>284</v>
      </c>
      <c r="B141">
        <v>11.662000000000001</v>
      </c>
      <c r="C141">
        <v>21.032</v>
      </c>
      <c r="D141">
        <v>16.188416666666669</v>
      </c>
      <c r="H141" s="3"/>
    </row>
    <row r="142" spans="1:8" x14ac:dyDescent="0.2">
      <c r="A142" t="s">
        <v>285</v>
      </c>
      <c r="B142">
        <v>13.834</v>
      </c>
      <c r="C142">
        <v>27.358000000000001</v>
      </c>
      <c r="D142">
        <v>19.998333333333331</v>
      </c>
      <c r="H142" s="3"/>
    </row>
    <row r="143" spans="1:8" x14ac:dyDescent="0.2">
      <c r="A143" t="s">
        <v>286</v>
      </c>
      <c r="B143">
        <v>13.087999999999999</v>
      </c>
      <c r="C143">
        <v>29.14</v>
      </c>
      <c r="D143">
        <v>20.263666666666669</v>
      </c>
      <c r="H143" s="3"/>
    </row>
    <row r="144" spans="1:8" x14ac:dyDescent="0.2">
      <c r="A144" t="s">
        <v>287</v>
      </c>
      <c r="B144">
        <v>12.92</v>
      </c>
      <c r="C144">
        <v>19.532</v>
      </c>
      <c r="D144">
        <v>17.200416666666669</v>
      </c>
      <c r="H144" s="3"/>
    </row>
    <row r="145" spans="1:8" x14ac:dyDescent="0.2">
      <c r="A145" t="s">
        <v>288</v>
      </c>
      <c r="B145">
        <v>7.1669999999999998</v>
      </c>
      <c r="C145">
        <v>16.963000000000001</v>
      </c>
      <c r="D145">
        <v>12.079166666666669</v>
      </c>
      <c r="H145" s="3"/>
    </row>
    <row r="146" spans="1:8" x14ac:dyDescent="0.2">
      <c r="A146" t="s">
        <v>289</v>
      </c>
      <c r="B146">
        <v>6.3310000000000004</v>
      </c>
      <c r="C146">
        <v>22.536999999999999</v>
      </c>
      <c r="D146">
        <v>14.432</v>
      </c>
      <c r="H146" s="3"/>
    </row>
    <row r="147" spans="1:8" x14ac:dyDescent="0.2">
      <c r="A147" t="s">
        <v>290</v>
      </c>
      <c r="B147">
        <v>9.2870000000000008</v>
      </c>
      <c r="C147">
        <v>22.178000000000001</v>
      </c>
      <c r="D147">
        <v>16.048416666666672</v>
      </c>
      <c r="H147" s="3"/>
    </row>
    <row r="148" spans="1:8" x14ac:dyDescent="0.2">
      <c r="A148" t="s">
        <v>291</v>
      </c>
      <c r="B148">
        <v>8.1199999999999992</v>
      </c>
      <c r="C148">
        <v>25.428000000000001</v>
      </c>
      <c r="D148">
        <v>16.913333333333341</v>
      </c>
      <c r="H148" s="3"/>
    </row>
    <row r="149" spans="1:8" x14ac:dyDescent="0.2">
      <c r="A149" t="s">
        <v>292</v>
      </c>
      <c r="B149">
        <v>7.3680000000000003</v>
      </c>
      <c r="C149">
        <v>26.818000000000001</v>
      </c>
      <c r="D149">
        <v>17.654</v>
      </c>
      <c r="H149" s="3"/>
    </row>
    <row r="150" spans="1:8" x14ac:dyDescent="0.2">
      <c r="A150" t="s">
        <v>293</v>
      </c>
      <c r="B150">
        <v>10.565</v>
      </c>
      <c r="C150">
        <v>26.402000000000001</v>
      </c>
      <c r="D150">
        <v>18.821583333333329</v>
      </c>
      <c r="H150" s="3"/>
    </row>
    <row r="151" spans="1:8" x14ac:dyDescent="0.2">
      <c r="A151" t="s">
        <v>294</v>
      </c>
      <c r="B151">
        <v>11.394</v>
      </c>
      <c r="C151">
        <v>23.760999999999999</v>
      </c>
      <c r="D151">
        <v>17.926833333333331</v>
      </c>
      <c r="H151" s="3"/>
    </row>
    <row r="152" spans="1:8" x14ac:dyDescent="0.2">
      <c r="A152" t="s">
        <v>295</v>
      </c>
      <c r="B152">
        <v>11.175000000000001</v>
      </c>
      <c r="C152">
        <v>26.670999999999999</v>
      </c>
      <c r="D152">
        <v>18.976083333333332</v>
      </c>
      <c r="H152" s="3"/>
    </row>
    <row r="153" spans="1:8" x14ac:dyDescent="0.2">
      <c r="A153" t="s">
        <v>296</v>
      </c>
      <c r="B153">
        <v>11.662000000000001</v>
      </c>
      <c r="C153">
        <v>28.443999999999999</v>
      </c>
      <c r="D153">
        <v>19.84858333333333</v>
      </c>
      <c r="H153" s="3"/>
    </row>
    <row r="154" spans="1:8" x14ac:dyDescent="0.2">
      <c r="A154" t="s">
        <v>297</v>
      </c>
      <c r="B154">
        <v>9.2620000000000005</v>
      </c>
      <c r="C154">
        <v>22.417000000000002</v>
      </c>
      <c r="D154">
        <v>15.67583333333334</v>
      </c>
      <c r="H154" s="3"/>
    </row>
    <row r="155" spans="1:8" x14ac:dyDescent="0.2">
      <c r="A155" t="s">
        <v>298</v>
      </c>
      <c r="B155">
        <v>9.5090000000000003</v>
      </c>
      <c r="C155">
        <v>24.507999999999999</v>
      </c>
      <c r="D155">
        <v>17.24516666666667</v>
      </c>
      <c r="H155" s="3"/>
    </row>
    <row r="156" spans="1:8" x14ac:dyDescent="0.2">
      <c r="A156" t="s">
        <v>299</v>
      </c>
      <c r="B156">
        <v>8.5429999999999993</v>
      </c>
      <c r="C156">
        <v>25.817</v>
      </c>
      <c r="D156">
        <v>17.79741666666667</v>
      </c>
      <c r="H156" s="3"/>
    </row>
    <row r="157" spans="1:8" x14ac:dyDescent="0.2">
      <c r="A157" t="s">
        <v>300</v>
      </c>
      <c r="B157">
        <v>9.2620000000000005</v>
      </c>
      <c r="C157">
        <v>27.308</v>
      </c>
      <c r="D157">
        <v>18.973166666666671</v>
      </c>
      <c r="H157" s="3"/>
    </row>
    <row r="158" spans="1:8" x14ac:dyDescent="0.2">
      <c r="A158" t="s">
        <v>301</v>
      </c>
      <c r="B158">
        <v>10.858000000000001</v>
      </c>
      <c r="C158">
        <v>25.866</v>
      </c>
      <c r="D158">
        <v>19.16258333333333</v>
      </c>
      <c r="H158" s="3"/>
    </row>
    <row r="159" spans="1:8" x14ac:dyDescent="0.2">
      <c r="A159" t="s">
        <v>302</v>
      </c>
      <c r="B159">
        <v>13.738</v>
      </c>
      <c r="C159">
        <v>26.792999999999999</v>
      </c>
      <c r="D159">
        <v>19.836500000000001</v>
      </c>
      <c r="H159" s="3"/>
    </row>
    <row r="160" spans="1:8" x14ac:dyDescent="0.2">
      <c r="A160" t="s">
        <v>303</v>
      </c>
      <c r="B160">
        <v>13.738</v>
      </c>
      <c r="C160">
        <v>28.716999999999999</v>
      </c>
      <c r="D160">
        <v>20.049666666666671</v>
      </c>
      <c r="E160">
        <v>2.8</v>
      </c>
      <c r="H160" s="3"/>
    </row>
    <row r="161" spans="1:8" x14ac:dyDescent="0.2">
      <c r="A161" t="s">
        <v>304</v>
      </c>
      <c r="B161">
        <v>12.847</v>
      </c>
      <c r="C161">
        <v>30.192</v>
      </c>
      <c r="D161">
        <v>21.364750000000001</v>
      </c>
      <c r="H161" s="3"/>
    </row>
    <row r="162" spans="1:8" x14ac:dyDescent="0.2">
      <c r="A162" t="s">
        <v>305</v>
      </c>
      <c r="B162">
        <v>13.257</v>
      </c>
      <c r="C162">
        <v>30.318000000000001</v>
      </c>
      <c r="D162">
        <v>22.416</v>
      </c>
      <c r="H162" s="3"/>
    </row>
    <row r="163" spans="1:8" x14ac:dyDescent="0.2">
      <c r="A163" t="s">
        <v>306</v>
      </c>
      <c r="B163">
        <v>14.792</v>
      </c>
      <c r="C163">
        <v>30.545000000000002</v>
      </c>
      <c r="D163">
        <v>23.473833333333332</v>
      </c>
      <c r="H163" s="3"/>
    </row>
    <row r="164" spans="1:8" x14ac:dyDescent="0.2">
      <c r="A164" t="s">
        <v>307</v>
      </c>
      <c r="B164">
        <v>12.92</v>
      </c>
      <c r="C164">
        <v>29.614999999999998</v>
      </c>
      <c r="D164">
        <v>22.158999999999999</v>
      </c>
      <c r="H164" s="3"/>
    </row>
    <row r="165" spans="1:8" x14ac:dyDescent="0.2">
      <c r="A165" t="s">
        <v>308</v>
      </c>
      <c r="B165">
        <v>12.000999999999999</v>
      </c>
      <c r="C165">
        <v>27.727</v>
      </c>
      <c r="D165">
        <v>20.727916666666669</v>
      </c>
      <c r="H165" s="3"/>
    </row>
    <row r="166" spans="1:8" x14ac:dyDescent="0.2">
      <c r="A166" t="s">
        <v>309</v>
      </c>
      <c r="B166">
        <v>12.727</v>
      </c>
      <c r="C166">
        <v>25.355</v>
      </c>
      <c r="D166">
        <v>19.320083333333329</v>
      </c>
      <c r="H166" s="3"/>
    </row>
    <row r="167" spans="1:8" x14ac:dyDescent="0.2">
      <c r="A167" t="s">
        <v>310</v>
      </c>
      <c r="B167">
        <v>10.492000000000001</v>
      </c>
      <c r="C167">
        <v>27.382000000000001</v>
      </c>
      <c r="D167">
        <v>19.58808333333333</v>
      </c>
      <c r="H167" s="3"/>
    </row>
    <row r="168" spans="1:8" x14ac:dyDescent="0.2">
      <c r="A168" t="s">
        <v>311</v>
      </c>
      <c r="B168">
        <v>11.247999999999999</v>
      </c>
      <c r="C168">
        <v>27.603999999999999</v>
      </c>
      <c r="D168">
        <v>20.239249999999998</v>
      </c>
      <c r="H168" s="3"/>
    </row>
    <row r="169" spans="1:8" x14ac:dyDescent="0.2">
      <c r="A169" t="s">
        <v>312</v>
      </c>
      <c r="B169">
        <v>10.834</v>
      </c>
      <c r="C169">
        <v>29.388999999999999</v>
      </c>
      <c r="D169">
        <v>20.554500000000001</v>
      </c>
      <c r="H169" s="3"/>
    </row>
    <row r="170" spans="1:8" x14ac:dyDescent="0.2">
      <c r="A170" t="s">
        <v>313</v>
      </c>
      <c r="B170">
        <v>11.419</v>
      </c>
      <c r="C170">
        <v>31.23</v>
      </c>
      <c r="D170">
        <v>22.147500000000001</v>
      </c>
      <c r="H170" s="3"/>
    </row>
    <row r="171" spans="1:8" x14ac:dyDescent="0.2">
      <c r="A171" t="s">
        <v>314</v>
      </c>
      <c r="B171">
        <v>19.056000000000001</v>
      </c>
      <c r="C171">
        <v>28.146999999999998</v>
      </c>
      <c r="D171">
        <v>24.443666666666669</v>
      </c>
      <c r="E171">
        <v>0.24</v>
      </c>
      <c r="H171" s="3"/>
    </row>
    <row r="172" spans="1:8" x14ac:dyDescent="0.2">
      <c r="A172" t="s">
        <v>315</v>
      </c>
      <c r="B172">
        <v>19.341000000000001</v>
      </c>
      <c r="C172">
        <v>31.561</v>
      </c>
      <c r="D172">
        <v>24.696833333333331</v>
      </c>
      <c r="E172">
        <v>3.22</v>
      </c>
      <c r="H172" s="3"/>
    </row>
    <row r="173" spans="1:8" x14ac:dyDescent="0.2">
      <c r="A173" t="s">
        <v>316</v>
      </c>
      <c r="B173">
        <v>17.890999999999998</v>
      </c>
      <c r="C173">
        <v>31.026</v>
      </c>
      <c r="D173">
        <v>24.917000000000002</v>
      </c>
      <c r="E173">
        <v>0.86</v>
      </c>
      <c r="H173" s="3"/>
    </row>
    <row r="174" spans="1:8" x14ac:dyDescent="0.2">
      <c r="A174" t="s">
        <v>317</v>
      </c>
      <c r="B174">
        <v>19.126999999999999</v>
      </c>
      <c r="C174">
        <v>31.867999999999999</v>
      </c>
      <c r="D174">
        <v>23.931249999999999</v>
      </c>
      <c r="E174">
        <v>0.53</v>
      </c>
      <c r="H174" s="3"/>
    </row>
    <row r="175" spans="1:8" x14ac:dyDescent="0.2">
      <c r="A175" t="s">
        <v>318</v>
      </c>
      <c r="B175">
        <v>18.509</v>
      </c>
      <c r="C175">
        <v>24.870999999999999</v>
      </c>
      <c r="D175">
        <v>21.093333333333341</v>
      </c>
      <c r="E175">
        <v>3.55</v>
      </c>
      <c r="H175" s="3"/>
    </row>
    <row r="176" spans="1:8" x14ac:dyDescent="0.2">
      <c r="A176" t="s">
        <v>319</v>
      </c>
      <c r="B176">
        <v>12.461</v>
      </c>
      <c r="C176">
        <v>28.369</v>
      </c>
      <c r="D176">
        <v>21.12983333333333</v>
      </c>
      <c r="H176" s="3"/>
    </row>
    <row r="177" spans="1:8" x14ac:dyDescent="0.2">
      <c r="A177" t="s">
        <v>320</v>
      </c>
      <c r="B177">
        <v>13.978</v>
      </c>
      <c r="C177">
        <v>31.689</v>
      </c>
      <c r="D177">
        <v>23.31</v>
      </c>
      <c r="H177" s="3"/>
    </row>
    <row r="178" spans="1:8" x14ac:dyDescent="0.2">
      <c r="A178" t="s">
        <v>321</v>
      </c>
      <c r="B178">
        <v>14.553000000000001</v>
      </c>
      <c r="C178">
        <v>29.364999999999998</v>
      </c>
      <c r="D178">
        <v>22.346166666666669</v>
      </c>
      <c r="H178" s="3"/>
    </row>
    <row r="179" spans="1:8" x14ac:dyDescent="0.2">
      <c r="A179" t="s">
        <v>322</v>
      </c>
      <c r="B179">
        <v>13.882</v>
      </c>
      <c r="C179">
        <v>24.75</v>
      </c>
      <c r="D179">
        <v>20.301500000000001</v>
      </c>
      <c r="H179" s="3"/>
    </row>
    <row r="180" spans="1:8" x14ac:dyDescent="0.2">
      <c r="A180" t="s">
        <v>323</v>
      </c>
      <c r="B180">
        <v>16.891999999999999</v>
      </c>
      <c r="C180">
        <v>25.355</v>
      </c>
      <c r="D180">
        <v>20.742750000000001</v>
      </c>
      <c r="H180" s="3"/>
    </row>
    <row r="181" spans="1:8" x14ac:dyDescent="0.2">
      <c r="A181" t="s">
        <v>324</v>
      </c>
      <c r="B181">
        <v>13.209</v>
      </c>
      <c r="C181">
        <v>26.670999999999999</v>
      </c>
      <c r="D181">
        <v>20.46725</v>
      </c>
      <c r="E181">
        <v>1.32</v>
      </c>
      <c r="H181" s="3"/>
    </row>
    <row r="182" spans="1:8" x14ac:dyDescent="0.2">
      <c r="A182" t="s">
        <v>325</v>
      </c>
      <c r="B182">
        <v>16.201000000000001</v>
      </c>
      <c r="C182">
        <v>21.652000000000001</v>
      </c>
      <c r="D182">
        <v>18.88025</v>
      </c>
      <c r="H182" s="3"/>
    </row>
    <row r="183" spans="1:8" x14ac:dyDescent="0.2">
      <c r="A183" t="s">
        <v>326</v>
      </c>
      <c r="B183">
        <v>10.59</v>
      </c>
      <c r="C183">
        <v>21.39</v>
      </c>
      <c r="D183">
        <v>16.979083333333332</v>
      </c>
      <c r="E183">
        <v>2.12</v>
      </c>
      <c r="H183" s="3"/>
    </row>
    <row r="184" spans="1:8" x14ac:dyDescent="0.2">
      <c r="A184" t="s">
        <v>327</v>
      </c>
      <c r="B184">
        <v>15.318</v>
      </c>
      <c r="C184">
        <v>24.507999999999999</v>
      </c>
      <c r="D184">
        <v>19.603083333333331</v>
      </c>
      <c r="H184" s="3"/>
    </row>
    <row r="185" spans="1:8" x14ac:dyDescent="0.2">
      <c r="A185" t="s">
        <v>328</v>
      </c>
      <c r="B185">
        <v>16.152999999999999</v>
      </c>
      <c r="C185">
        <v>24.919</v>
      </c>
      <c r="D185">
        <v>19.90966666666667</v>
      </c>
      <c r="H185" s="3"/>
    </row>
    <row r="186" spans="1:8" x14ac:dyDescent="0.2">
      <c r="A186" t="s">
        <v>329</v>
      </c>
      <c r="B186">
        <v>13.257</v>
      </c>
      <c r="C186">
        <v>26.744</v>
      </c>
      <c r="D186">
        <v>20.859833333333341</v>
      </c>
      <c r="E186">
        <v>2.3199999999999998</v>
      </c>
      <c r="H186" s="3"/>
    </row>
    <row r="187" spans="1:8" x14ac:dyDescent="0.2">
      <c r="A187" t="s">
        <v>330</v>
      </c>
      <c r="B187">
        <v>16.391999999999999</v>
      </c>
      <c r="C187">
        <v>22.753</v>
      </c>
      <c r="D187">
        <v>19.815333333333339</v>
      </c>
      <c r="H187" s="3"/>
    </row>
    <row r="188" spans="1:8" x14ac:dyDescent="0.2">
      <c r="A188" t="s">
        <v>135</v>
      </c>
      <c r="B188">
        <v>11.443</v>
      </c>
      <c r="C188">
        <v>26.670999999999999</v>
      </c>
      <c r="D188">
        <v>19.829499999999999</v>
      </c>
      <c r="H188" s="3"/>
    </row>
    <row r="189" spans="1:8" x14ac:dyDescent="0.2">
      <c r="A189" t="s">
        <v>331</v>
      </c>
      <c r="B189">
        <v>9.1630000000000003</v>
      </c>
      <c r="C189">
        <v>32.174999999999997</v>
      </c>
      <c r="D189">
        <v>21.441749999999999</v>
      </c>
      <c r="H189" s="3"/>
    </row>
    <row r="190" spans="1:8" x14ac:dyDescent="0.2">
      <c r="A190" t="s">
        <v>332</v>
      </c>
      <c r="B190">
        <v>13.834</v>
      </c>
      <c r="C190">
        <v>34.651000000000003</v>
      </c>
      <c r="D190">
        <v>24.433583333333331</v>
      </c>
      <c r="H190" s="3"/>
    </row>
    <row r="191" spans="1:8" x14ac:dyDescent="0.2">
      <c r="A191" t="s">
        <v>333</v>
      </c>
      <c r="B191">
        <v>16.177</v>
      </c>
      <c r="C191">
        <v>36.933</v>
      </c>
      <c r="D191">
        <v>26.408583333333329</v>
      </c>
      <c r="H191" s="3"/>
    </row>
    <row r="192" spans="1:8" x14ac:dyDescent="0.2">
      <c r="A192" t="s">
        <v>334</v>
      </c>
      <c r="B192">
        <v>20.579000000000001</v>
      </c>
      <c r="C192">
        <v>30.748000000000001</v>
      </c>
      <c r="D192">
        <v>25.36483333333333</v>
      </c>
      <c r="H192" s="3"/>
    </row>
    <row r="193" spans="1:8" x14ac:dyDescent="0.2">
      <c r="A193" t="s">
        <v>335</v>
      </c>
      <c r="B193">
        <v>14.577</v>
      </c>
      <c r="C193">
        <v>34.36</v>
      </c>
      <c r="D193">
        <v>25.072333333333329</v>
      </c>
      <c r="E193">
        <v>4.62</v>
      </c>
      <c r="H193" s="3"/>
    </row>
    <row r="194" spans="1:8" x14ac:dyDescent="0.2">
      <c r="A194" t="s">
        <v>336</v>
      </c>
      <c r="B194">
        <v>20.317</v>
      </c>
      <c r="C194">
        <v>29.24</v>
      </c>
      <c r="D194">
        <v>24.48233333333333</v>
      </c>
      <c r="H194" s="3"/>
    </row>
    <row r="195" spans="1:8" x14ac:dyDescent="0.2">
      <c r="A195" t="s">
        <v>337</v>
      </c>
      <c r="B195">
        <v>14.601000000000001</v>
      </c>
      <c r="C195">
        <v>25.597999999999999</v>
      </c>
      <c r="D195">
        <v>21.074583333333329</v>
      </c>
      <c r="H195" s="3"/>
    </row>
    <row r="196" spans="1:8" x14ac:dyDescent="0.2">
      <c r="A196" t="s">
        <v>338</v>
      </c>
      <c r="B196">
        <v>13.185</v>
      </c>
      <c r="C196">
        <v>28.593</v>
      </c>
      <c r="D196">
        <v>20.916250000000002</v>
      </c>
      <c r="H196" s="3"/>
    </row>
    <row r="197" spans="1:8" x14ac:dyDescent="0.2">
      <c r="A197" t="s">
        <v>339</v>
      </c>
      <c r="B197">
        <v>14.601000000000001</v>
      </c>
      <c r="C197">
        <v>26.695</v>
      </c>
      <c r="D197">
        <v>21.50566666666667</v>
      </c>
      <c r="E197">
        <v>4</v>
      </c>
      <c r="H197" s="3"/>
    </row>
    <row r="198" spans="1:8" x14ac:dyDescent="0.2">
      <c r="A198" t="s">
        <v>340</v>
      </c>
      <c r="B198">
        <v>17.558</v>
      </c>
      <c r="C198">
        <v>25.939</v>
      </c>
      <c r="D198">
        <v>21.791583333333332</v>
      </c>
      <c r="H198" s="3"/>
    </row>
    <row r="199" spans="1:8" x14ac:dyDescent="0.2">
      <c r="A199" t="s">
        <v>341</v>
      </c>
      <c r="B199">
        <v>12.195</v>
      </c>
      <c r="C199">
        <v>27.161000000000001</v>
      </c>
      <c r="D199">
        <v>20.646166666666669</v>
      </c>
      <c r="H199" s="3"/>
    </row>
    <row r="200" spans="1:8" x14ac:dyDescent="0.2">
      <c r="A200" t="s">
        <v>342</v>
      </c>
      <c r="B200">
        <v>10.59</v>
      </c>
      <c r="C200">
        <v>28.393999999999998</v>
      </c>
      <c r="D200">
        <v>20.333500000000001</v>
      </c>
      <c r="H200" s="3"/>
    </row>
    <row r="201" spans="1:8" x14ac:dyDescent="0.2">
      <c r="A201" t="s">
        <v>343</v>
      </c>
      <c r="B201">
        <v>13.762</v>
      </c>
      <c r="C201">
        <v>27.603999999999999</v>
      </c>
      <c r="D201">
        <v>21.07566666666666</v>
      </c>
      <c r="H201" s="3"/>
    </row>
    <row r="202" spans="1:8" x14ac:dyDescent="0.2">
      <c r="A202" t="s">
        <v>344</v>
      </c>
      <c r="B202">
        <v>16.414999999999999</v>
      </c>
      <c r="C202">
        <v>24.532</v>
      </c>
      <c r="D202">
        <v>20.408583333333329</v>
      </c>
      <c r="E202">
        <v>0.77</v>
      </c>
      <c r="H202" s="3"/>
    </row>
    <row r="203" spans="1:8" x14ac:dyDescent="0.2">
      <c r="A203" t="s">
        <v>345</v>
      </c>
      <c r="B203">
        <v>14.385</v>
      </c>
      <c r="C203">
        <v>21.460999999999999</v>
      </c>
      <c r="D203">
        <v>17.18933333333333</v>
      </c>
      <c r="H203" s="3"/>
    </row>
    <row r="204" spans="1:8" x14ac:dyDescent="0.2">
      <c r="A204" t="s">
        <v>346</v>
      </c>
      <c r="B204">
        <v>10.198</v>
      </c>
      <c r="C204">
        <v>25.404</v>
      </c>
      <c r="D204">
        <v>18.54591666666667</v>
      </c>
      <c r="H204" s="3"/>
    </row>
    <row r="205" spans="1:8" x14ac:dyDescent="0.2">
      <c r="A205" t="s">
        <v>347</v>
      </c>
      <c r="B205">
        <v>12.871</v>
      </c>
      <c r="C205">
        <v>26.768999999999998</v>
      </c>
      <c r="D205">
        <v>20.181750000000001</v>
      </c>
      <c r="E205">
        <v>7.1</v>
      </c>
      <c r="H205" s="3"/>
    </row>
    <row r="206" spans="1:8" x14ac:dyDescent="0.2">
      <c r="A206" t="s">
        <v>348</v>
      </c>
      <c r="B206">
        <v>16.152999999999999</v>
      </c>
      <c r="C206">
        <v>26.916</v>
      </c>
      <c r="D206">
        <v>20.92583333333333</v>
      </c>
      <c r="E206">
        <v>2.1800000000000002</v>
      </c>
      <c r="H206" s="3"/>
    </row>
    <row r="207" spans="1:8" x14ac:dyDescent="0.2">
      <c r="A207" t="s">
        <v>349</v>
      </c>
      <c r="B207">
        <v>15.127000000000001</v>
      </c>
      <c r="C207">
        <v>19.103000000000002</v>
      </c>
      <c r="D207">
        <v>16.356416666666661</v>
      </c>
      <c r="E207">
        <v>11.3</v>
      </c>
      <c r="H207" s="3"/>
    </row>
    <row r="208" spans="1:8" x14ac:dyDescent="0.2">
      <c r="A208" t="s">
        <v>350</v>
      </c>
      <c r="B208">
        <v>12.05</v>
      </c>
      <c r="C208">
        <v>21.890999999999998</v>
      </c>
      <c r="D208">
        <v>16.155999999999999</v>
      </c>
      <c r="E208">
        <v>8.1999999999999993</v>
      </c>
      <c r="H208" s="3"/>
    </row>
    <row r="209" spans="1:8" x14ac:dyDescent="0.2">
      <c r="A209" t="s">
        <v>351</v>
      </c>
      <c r="B209">
        <v>12.727</v>
      </c>
      <c r="C209">
        <v>18.366</v>
      </c>
      <c r="D209">
        <v>15.48583333333333</v>
      </c>
      <c r="E209">
        <v>10.9</v>
      </c>
      <c r="H209" s="3"/>
    </row>
    <row r="210" spans="1:8" x14ac:dyDescent="0.2">
      <c r="A210" t="s">
        <v>352</v>
      </c>
      <c r="B210">
        <v>16.939</v>
      </c>
      <c r="C210">
        <v>23.497</v>
      </c>
      <c r="D210">
        <v>19.8385</v>
      </c>
      <c r="H210" s="3"/>
    </row>
    <row r="211" spans="1:8" x14ac:dyDescent="0.2">
      <c r="A211" t="s">
        <v>353</v>
      </c>
      <c r="B211">
        <v>17.748000000000001</v>
      </c>
      <c r="C211">
        <v>27.135999999999999</v>
      </c>
      <c r="D211">
        <v>21.619250000000001</v>
      </c>
      <c r="H211" s="3"/>
    </row>
    <row r="212" spans="1:8" x14ac:dyDescent="0.2">
      <c r="A212" t="s">
        <v>354</v>
      </c>
      <c r="B212">
        <v>16.82</v>
      </c>
      <c r="C212">
        <v>23.231999999999999</v>
      </c>
      <c r="D212">
        <v>19.364916666666669</v>
      </c>
      <c r="E212">
        <v>13.64</v>
      </c>
      <c r="H212" s="3"/>
    </row>
    <row r="213" spans="1:8" x14ac:dyDescent="0.2">
      <c r="A213" t="s">
        <v>355</v>
      </c>
      <c r="B213">
        <v>17.390999999999998</v>
      </c>
      <c r="C213">
        <v>22.8</v>
      </c>
      <c r="D213">
        <v>19.52566666666667</v>
      </c>
      <c r="E213">
        <v>37.92</v>
      </c>
      <c r="H213" s="3"/>
    </row>
    <row r="214" spans="1:8" x14ac:dyDescent="0.2">
      <c r="A214" t="s">
        <v>356</v>
      </c>
      <c r="B214">
        <v>16.463000000000001</v>
      </c>
      <c r="C214">
        <v>22.585000000000001</v>
      </c>
      <c r="D214">
        <v>18.619166666666668</v>
      </c>
      <c r="E214">
        <v>1.7</v>
      </c>
      <c r="H214" s="3"/>
    </row>
    <row r="215" spans="1:8" x14ac:dyDescent="0.2">
      <c r="A215" t="s">
        <v>357</v>
      </c>
      <c r="B215">
        <v>15.891</v>
      </c>
      <c r="C215">
        <v>20.126000000000001</v>
      </c>
      <c r="D215">
        <v>17.48983333333333</v>
      </c>
      <c r="E215">
        <v>12.32</v>
      </c>
      <c r="H215" s="3"/>
    </row>
    <row r="216" spans="1:8" x14ac:dyDescent="0.2">
      <c r="A216" t="s">
        <v>358</v>
      </c>
      <c r="B216">
        <v>16.844000000000001</v>
      </c>
      <c r="C216">
        <v>20.055</v>
      </c>
      <c r="D216">
        <v>18.112749999999991</v>
      </c>
      <c r="H216" s="3"/>
    </row>
    <row r="217" spans="1:8" x14ac:dyDescent="0.2">
      <c r="A217" t="s">
        <v>359</v>
      </c>
      <c r="B217">
        <v>14.984</v>
      </c>
      <c r="C217">
        <v>20.841000000000001</v>
      </c>
      <c r="D217">
        <v>17.66191666666667</v>
      </c>
      <c r="H217" s="3"/>
    </row>
    <row r="218" spans="1:8" x14ac:dyDescent="0.2">
      <c r="A218" t="s">
        <v>360</v>
      </c>
      <c r="B218">
        <v>11.175000000000001</v>
      </c>
      <c r="C218">
        <v>24.556999999999999</v>
      </c>
      <c r="D218">
        <v>17.356333333333328</v>
      </c>
      <c r="E218">
        <v>22.95</v>
      </c>
      <c r="H218" s="3"/>
    </row>
    <row r="219" spans="1:8" x14ac:dyDescent="0.2">
      <c r="A219" t="s">
        <v>361</v>
      </c>
      <c r="B219">
        <v>13.666</v>
      </c>
      <c r="C219">
        <v>19.673999999999999</v>
      </c>
      <c r="D219">
        <v>15.55275</v>
      </c>
      <c r="H219" s="3"/>
    </row>
    <row r="220" spans="1:8" x14ac:dyDescent="0.2">
      <c r="A220" t="s">
        <v>362</v>
      </c>
      <c r="B220">
        <v>12.92</v>
      </c>
      <c r="C220">
        <v>19.555</v>
      </c>
      <c r="D220">
        <v>15.056833333333341</v>
      </c>
      <c r="H220" s="3"/>
    </row>
    <row r="221" spans="1:8" x14ac:dyDescent="0.2">
      <c r="A221" t="s">
        <v>363</v>
      </c>
      <c r="B221">
        <v>10.834</v>
      </c>
      <c r="C221">
        <v>21.652000000000001</v>
      </c>
      <c r="D221">
        <v>16.051666666666669</v>
      </c>
      <c r="E221">
        <v>2.5</v>
      </c>
      <c r="H221" s="3"/>
    </row>
    <row r="222" spans="1:8" x14ac:dyDescent="0.2">
      <c r="A222" t="s">
        <v>364</v>
      </c>
      <c r="B222">
        <v>13.762</v>
      </c>
      <c r="C222">
        <v>20.673999999999999</v>
      </c>
      <c r="D222">
        <v>17.05466666666667</v>
      </c>
      <c r="E222">
        <v>2.93</v>
      </c>
      <c r="H222" s="3"/>
    </row>
    <row r="223" spans="1:8" x14ac:dyDescent="0.2">
      <c r="A223" t="s">
        <v>365</v>
      </c>
      <c r="B223">
        <v>10.541</v>
      </c>
      <c r="C223">
        <v>26.425999999999998</v>
      </c>
      <c r="D223">
        <v>17.9255</v>
      </c>
      <c r="H223" s="3"/>
    </row>
    <row r="224" spans="1:8" x14ac:dyDescent="0.2">
      <c r="A224" t="s">
        <v>366</v>
      </c>
      <c r="B224">
        <v>11.321</v>
      </c>
      <c r="C224">
        <v>30.117000000000001</v>
      </c>
      <c r="D224">
        <v>20.577083333333331</v>
      </c>
      <c r="H224" s="3"/>
    </row>
    <row r="225" spans="1:8" x14ac:dyDescent="0.2">
      <c r="A225" t="s">
        <v>367</v>
      </c>
      <c r="B225">
        <v>17.558</v>
      </c>
      <c r="C225">
        <v>25.452999999999999</v>
      </c>
      <c r="D225">
        <v>21.19691666666667</v>
      </c>
      <c r="H225" s="3"/>
    </row>
    <row r="226" spans="1:8" x14ac:dyDescent="0.2">
      <c r="A226" t="s">
        <v>368</v>
      </c>
      <c r="B226">
        <v>16.701000000000001</v>
      </c>
      <c r="C226">
        <v>26.207000000000001</v>
      </c>
      <c r="D226">
        <v>21.158416666666671</v>
      </c>
      <c r="H226" s="3"/>
    </row>
    <row r="227" spans="1:8" x14ac:dyDescent="0.2">
      <c r="A227" t="s">
        <v>45</v>
      </c>
      <c r="B227">
        <v>16.271999999999998</v>
      </c>
      <c r="C227">
        <v>27.974</v>
      </c>
      <c r="D227">
        <v>21.592416666666669</v>
      </c>
      <c r="E227">
        <v>9.7899999999999991</v>
      </c>
      <c r="H227" s="3"/>
    </row>
    <row r="228" spans="1:8" x14ac:dyDescent="0.2">
      <c r="A228" t="s">
        <v>369</v>
      </c>
      <c r="B228">
        <v>17.843</v>
      </c>
      <c r="C228">
        <v>27.038</v>
      </c>
      <c r="D228">
        <v>21.371749999999999</v>
      </c>
      <c r="H228" s="3"/>
    </row>
    <row r="229" spans="1:8" x14ac:dyDescent="0.2">
      <c r="A229" t="s">
        <v>370</v>
      </c>
      <c r="B229">
        <v>18.509</v>
      </c>
      <c r="C229">
        <v>28.393999999999998</v>
      </c>
      <c r="D229">
        <v>22.128499999999999</v>
      </c>
      <c r="E229">
        <v>32</v>
      </c>
      <c r="H229" s="3"/>
    </row>
    <row r="230" spans="1:8" x14ac:dyDescent="0.2">
      <c r="A230" t="s">
        <v>371</v>
      </c>
      <c r="B230">
        <v>16.606000000000002</v>
      </c>
      <c r="C230">
        <v>27.481000000000002</v>
      </c>
      <c r="D230">
        <v>21.50633333333333</v>
      </c>
      <c r="H230" s="3"/>
    </row>
    <row r="231" spans="1:8" x14ac:dyDescent="0.2">
      <c r="A231" t="s">
        <v>372</v>
      </c>
      <c r="B231">
        <v>17.795999999999999</v>
      </c>
      <c r="C231">
        <v>32.691000000000003</v>
      </c>
      <c r="D231">
        <v>24.220666666666659</v>
      </c>
      <c r="H231" s="3"/>
    </row>
    <row r="232" spans="1:8" x14ac:dyDescent="0.2">
      <c r="A232" t="s">
        <v>373</v>
      </c>
      <c r="B232">
        <v>17.962</v>
      </c>
      <c r="C232">
        <v>30.975999999999999</v>
      </c>
      <c r="D232">
        <v>23.944833333333339</v>
      </c>
      <c r="H232" s="3"/>
    </row>
    <row r="233" spans="1:8" x14ac:dyDescent="0.2">
      <c r="A233" t="s">
        <v>374</v>
      </c>
      <c r="B233">
        <v>18.39</v>
      </c>
      <c r="C233">
        <v>32.226999999999997</v>
      </c>
      <c r="D233">
        <v>25.092833333333331</v>
      </c>
      <c r="H233" s="3"/>
    </row>
    <row r="234" spans="1:8" x14ac:dyDescent="0.2">
      <c r="A234" t="s">
        <v>375</v>
      </c>
      <c r="B234">
        <v>20.484000000000002</v>
      </c>
      <c r="C234">
        <v>32.691000000000003</v>
      </c>
      <c r="D234">
        <v>25.904583333333331</v>
      </c>
      <c r="H234" s="3"/>
    </row>
    <row r="235" spans="1:8" x14ac:dyDescent="0.2">
      <c r="A235" t="s">
        <v>376</v>
      </c>
      <c r="B235">
        <v>18.175999999999998</v>
      </c>
      <c r="C235">
        <v>29.84</v>
      </c>
      <c r="D235">
        <v>23.92208333333333</v>
      </c>
      <c r="H235" s="3"/>
    </row>
    <row r="236" spans="1:8" x14ac:dyDescent="0.2">
      <c r="A236" t="s">
        <v>377</v>
      </c>
      <c r="B236">
        <v>15.676</v>
      </c>
      <c r="C236">
        <v>30.065999999999999</v>
      </c>
      <c r="D236">
        <v>22.293583333333331</v>
      </c>
      <c r="H236" s="3"/>
    </row>
    <row r="237" spans="1:8" x14ac:dyDescent="0.2">
      <c r="A237" t="s">
        <v>378</v>
      </c>
      <c r="B237">
        <v>15.247</v>
      </c>
      <c r="C237">
        <v>28.667000000000002</v>
      </c>
      <c r="D237">
        <v>20.915749999999999</v>
      </c>
      <c r="E237">
        <v>3.18</v>
      </c>
      <c r="H237" s="3"/>
    </row>
    <row r="238" spans="1:8" x14ac:dyDescent="0.2">
      <c r="A238" t="s">
        <v>379</v>
      </c>
      <c r="B238">
        <v>17.937999999999999</v>
      </c>
      <c r="C238">
        <v>28.122</v>
      </c>
      <c r="D238">
        <v>22.432749999999999</v>
      </c>
      <c r="H238" s="3"/>
    </row>
    <row r="239" spans="1:8" x14ac:dyDescent="0.2">
      <c r="A239" t="s">
        <v>380</v>
      </c>
      <c r="B239">
        <v>16.701000000000001</v>
      </c>
      <c r="C239">
        <v>23.978000000000002</v>
      </c>
      <c r="D239">
        <v>20.301500000000001</v>
      </c>
      <c r="H239" s="3"/>
    </row>
    <row r="240" spans="1:8" x14ac:dyDescent="0.2">
      <c r="A240" t="s">
        <v>381</v>
      </c>
      <c r="B240">
        <v>14.409000000000001</v>
      </c>
      <c r="C240">
        <v>21.460999999999999</v>
      </c>
      <c r="D240">
        <v>17.18825</v>
      </c>
      <c r="E240">
        <v>3.73</v>
      </c>
      <c r="H240" s="3"/>
    </row>
    <row r="241" spans="1:8" x14ac:dyDescent="0.2">
      <c r="A241" t="s">
        <v>382</v>
      </c>
      <c r="B241">
        <v>10.686999999999999</v>
      </c>
      <c r="C241">
        <v>18.771000000000001</v>
      </c>
      <c r="D241">
        <v>14.65808333333333</v>
      </c>
      <c r="E241">
        <v>3.33</v>
      </c>
      <c r="H241" s="3"/>
    </row>
    <row r="242" spans="1:8" x14ac:dyDescent="0.2">
      <c r="A242" t="s">
        <v>383</v>
      </c>
      <c r="B242">
        <v>13.064</v>
      </c>
      <c r="C242">
        <v>20.603000000000002</v>
      </c>
      <c r="D242">
        <v>16.264500000000002</v>
      </c>
      <c r="H242" s="3"/>
    </row>
    <row r="243" spans="1:8" x14ac:dyDescent="0.2">
      <c r="A243" t="s">
        <v>384</v>
      </c>
      <c r="B243">
        <v>10.907</v>
      </c>
      <c r="C243">
        <v>21.963000000000001</v>
      </c>
      <c r="D243">
        <v>15.78391666666667</v>
      </c>
      <c r="H243" s="3"/>
    </row>
    <row r="244" spans="1:8" x14ac:dyDescent="0.2">
      <c r="A244" t="s">
        <v>136</v>
      </c>
      <c r="B244">
        <v>12.195</v>
      </c>
      <c r="C244">
        <v>21.413</v>
      </c>
      <c r="D244">
        <v>16.309416666666671</v>
      </c>
      <c r="E244">
        <v>0.49</v>
      </c>
      <c r="H244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19.83203125" bestFit="1" customWidth="1"/>
    <col min="3" max="3" width="16.1640625" bestFit="1" customWidth="1"/>
    <col min="4" max="4" width="12.6640625" bestFit="1" customWidth="1"/>
    <col min="5" max="7" width="10.5" bestFit="1" customWidth="1"/>
    <col min="8" max="10" width="8" bestFit="1" customWidth="1"/>
    <col min="11" max="11" width="11.5" bestFit="1" customWidth="1"/>
    <col min="12" max="13" width="6.83203125" bestFit="1" customWidth="1"/>
    <col min="14" max="14" width="13.83203125" bestFit="1" customWidth="1"/>
    <col min="15" max="16" width="22.1640625" bestFit="1" customWidth="1"/>
  </cols>
  <sheetData>
    <row r="1" spans="1:16" x14ac:dyDescent="0.2">
      <c r="A1" s="1" t="s">
        <v>110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</vt:lpstr>
      <vt:lpstr>Accessions</vt:lpstr>
      <vt:lpstr>Design</vt:lpstr>
      <vt:lpstr>Treatments</vt:lpstr>
      <vt:lpstr>Observations</vt:lpstr>
      <vt:lpstr>Weather data</vt:lpstr>
      <vt:lpstr>Soil analysis results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2023_DH_MIC_oats_lupins</dc:title>
  <dc:subject>2023_DH_MIC_oats_lupins</dc:subject>
  <dc:creator>Progeno</dc:creator>
  <cp:keywords>Progeno</cp:keywords>
  <dc:description>Progeno trial template</dc:description>
  <cp:lastModifiedBy>Schlup  Yannik</cp:lastModifiedBy>
  <dcterms:created xsi:type="dcterms:W3CDTF">2025-07-03T13:06:09Z</dcterms:created>
  <dcterms:modified xsi:type="dcterms:W3CDTF">2025-08-05T15:57:57Z</dcterms:modified>
  <cp:category>Trial template</cp:category>
</cp:coreProperties>
</file>