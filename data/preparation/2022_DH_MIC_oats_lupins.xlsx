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cmac/Documents/Schaffe_fuer_cash/Doktorat Agroscope CROPDIVA/Publications/5_MCSLUOatallSites/data/preparation/"/>
    </mc:Choice>
  </mc:AlternateContent>
  <xr:revisionPtr revIDLastSave="0" documentId="13_ncr:1_{FC3A27E4-395B-0047-8F0A-3EE6AB28536B}" xr6:coauthVersionLast="47" xr6:coauthVersionMax="47" xr10:uidLastSave="{00000000-0000-0000-0000-000000000000}"/>
  <bookViews>
    <workbookView xWindow="4080" yWindow="500" windowWidth="30240" windowHeight="17320" activeTab="5" xr2:uid="{00000000-000D-0000-FFFF-FFFF00000000}"/>
  </bookViews>
  <sheets>
    <sheet name="Information" sheetId="1" r:id="rId1"/>
    <sheet name="Accessions" sheetId="2" r:id="rId2"/>
    <sheet name="Design" sheetId="3" r:id="rId3"/>
    <sheet name="Treatments" sheetId="4" r:id="rId4"/>
    <sheet name="Observations" sheetId="5" r:id="rId5"/>
    <sheet name="Weather data" sheetId="6" r:id="rId6"/>
    <sheet name="Soil analysis result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6" l="1"/>
  <c r="G31" i="6"/>
</calcChain>
</file>

<file path=xl/sharedStrings.xml><?xml version="1.0" encoding="utf-8"?>
<sst xmlns="http://schemas.openxmlformats.org/spreadsheetml/2006/main" count="864" uniqueCount="374">
  <si>
    <t>Trial property</t>
  </si>
  <si>
    <t>Compulsory</t>
  </si>
  <si>
    <t>Description</t>
  </si>
  <si>
    <t>value</t>
  </si>
  <si>
    <t>TrialID</t>
  </si>
  <si>
    <t>yes</t>
  </si>
  <si>
    <t>unique identifier of the trial, generated by the database</t>
  </si>
  <si>
    <t>643d23bc4f94ed25c001d683</t>
  </si>
  <si>
    <t>Crop</t>
  </si>
  <si>
    <t>AS for oats, FE for buckwheat, HV for barley, LA for lupins, TS for triticale, VF for faba bean</t>
  </si>
  <si>
    <t>MI</t>
  </si>
  <si>
    <t>Name</t>
  </si>
  <si>
    <t>Descriptive name for the trial</t>
  </si>
  <si>
    <t>2022_DH_MIC_oats_lupins</t>
  </si>
  <si>
    <t>Work package</t>
  </si>
  <si>
    <t>WP2 or WP3</t>
  </si>
  <si>
    <t>WP3</t>
  </si>
  <si>
    <t>Goal</t>
  </si>
  <si>
    <t>The main breeding goal in case of WP2, the type of trial in case of WP3</t>
  </si>
  <si>
    <t>Study effects of mixed intercropping vs. pure stands on the performance of oat and lupin cultivars</t>
  </si>
  <si>
    <t>Type</t>
  </si>
  <si>
    <t>The design of the trial, e.g. augmented design, randomised complete block design, ...</t>
  </si>
  <si>
    <t>Randomised complete block design (4 replications)</t>
  </si>
  <si>
    <t>NumberOfRows</t>
  </si>
  <si>
    <t>Number of plot rows in the trial</t>
  </si>
  <si>
    <t>NumberOfColumns</t>
  </si>
  <si>
    <t>Number of plot columns in the trial</t>
  </si>
  <si>
    <t>DesignType</t>
  </si>
  <si>
    <t>RCBD</t>
  </si>
  <si>
    <t>CropType</t>
  </si>
  <si>
    <t>Spring or winter crop</t>
  </si>
  <si>
    <t>Spring</t>
  </si>
  <si>
    <t>PreviousCrop</t>
  </si>
  <si>
    <t>no</t>
  </si>
  <si>
    <t>Previous crop</t>
  </si>
  <si>
    <t>SowingYear</t>
  </si>
  <si>
    <t>The year in which the trial is sown</t>
  </si>
  <si>
    <t>SowingDate</t>
  </si>
  <si>
    <t>Sowing date in format yyyy-mm-dd</t>
  </si>
  <si>
    <t>2022-03-29</t>
  </si>
  <si>
    <t>HarvestYear</t>
  </si>
  <si>
    <t>The year in which the trial is harvested</t>
  </si>
  <si>
    <t>HarvestDate</t>
  </si>
  <si>
    <t>Harvest date in format yyyy-mm-dd</t>
  </si>
  <si>
    <t>2022-07-14</t>
  </si>
  <si>
    <t>Country</t>
  </si>
  <si>
    <t>Country in which the trial is located</t>
  </si>
  <si>
    <t>Germany</t>
  </si>
  <si>
    <t>Location</t>
  </si>
  <si>
    <t>City or region of the field trial</t>
  </si>
  <si>
    <t>Obererlenbach</t>
  </si>
  <si>
    <t>Latitude</t>
  </si>
  <si>
    <t>Latitude coordinate of the field in decimal degrees</t>
  </si>
  <si>
    <t>Longitude</t>
  </si>
  <si>
    <t>Longitude coordinate of the field in decimal degrees</t>
  </si>
  <si>
    <t>Partner</t>
  </si>
  <si>
    <t>The code of the partner who set up the trial</t>
  </si>
  <si>
    <t>DH</t>
  </si>
  <si>
    <t>PartnerNr</t>
  </si>
  <si>
    <t>The number of the partner</t>
  </si>
  <si>
    <t>PlotSize</t>
  </si>
  <si>
    <t>The size of the plot in m2. For the trials in WP3 we suggest a plot width of at least 3 m, of which at least 1/3 is in the middle</t>
  </si>
  <si>
    <t>EntryNo</t>
  </si>
  <si>
    <t>cropdivaID</t>
  </si>
  <si>
    <t>Accession name</t>
  </si>
  <si>
    <t>Number of plots</t>
  </si>
  <si>
    <t>CD_MI_021</t>
  </si>
  <si>
    <t>Lunabor</t>
  </si>
  <si>
    <t>CD_MI_022</t>
  </si>
  <si>
    <t>Troll</t>
  </si>
  <si>
    <t>CD_MI_023</t>
  </si>
  <si>
    <t>Lion</t>
  </si>
  <si>
    <t>CD_MI_024</t>
  </si>
  <si>
    <t>Bison</t>
  </si>
  <si>
    <t>CD_MI_025</t>
  </si>
  <si>
    <t>Troll_with_N</t>
  </si>
  <si>
    <t>CD_MI_026</t>
  </si>
  <si>
    <t>Lion_with_N</t>
  </si>
  <si>
    <t>CD_MI_027</t>
  </si>
  <si>
    <t>Bison_with_N</t>
  </si>
  <si>
    <t>CD_MI_030</t>
  </si>
  <si>
    <t>Troll__Lunabor</t>
  </si>
  <si>
    <t>CD_MI_033</t>
  </si>
  <si>
    <t>Lion__Lunabor</t>
  </si>
  <si>
    <t>CD_MI_036</t>
  </si>
  <si>
    <t>Bison__Lunabor</t>
  </si>
  <si>
    <t>CD_MI_037</t>
  </si>
  <si>
    <t>Probor</t>
  </si>
  <si>
    <t>CD_MI_038</t>
  </si>
  <si>
    <t>Jowisz/Jupiter</t>
  </si>
  <si>
    <t>CD_MI_039</t>
  </si>
  <si>
    <t>Bison_Probor</t>
  </si>
  <si>
    <t>CD_MI_040</t>
  </si>
  <si>
    <t>Bison_Jowitz/Jupiter</t>
  </si>
  <si>
    <t>CD_MI_041</t>
  </si>
  <si>
    <t>Lion_Probor</t>
  </si>
  <si>
    <t>CD_MI_042</t>
  </si>
  <si>
    <t>Lion_Jowitz/Jupiter</t>
  </si>
  <si>
    <t>CD_MI_043</t>
  </si>
  <si>
    <t>Troll_Probor</t>
  </si>
  <si>
    <t>CD_MI_044</t>
  </si>
  <si>
    <t>Troll_Jowitz/Jupiter</t>
  </si>
  <si>
    <t>Plot</t>
  </si>
  <si>
    <t>Row</t>
  </si>
  <si>
    <t>Column</t>
  </si>
  <si>
    <t>Block1</t>
  </si>
  <si>
    <t>Block2</t>
  </si>
  <si>
    <t>IBlock1</t>
  </si>
  <si>
    <t>IBlock2</t>
  </si>
  <si>
    <t>No</t>
  </si>
  <si>
    <t>StartDate</t>
  </si>
  <si>
    <t>EndDate</t>
  </si>
  <si>
    <t>BBCHScale</t>
  </si>
  <si>
    <t>Amount</t>
  </si>
  <si>
    <t>Unit</t>
  </si>
  <si>
    <t>Product</t>
  </si>
  <si>
    <t>Remarks</t>
  </si>
  <si>
    <t>Plant_height_cereal</t>
  </si>
  <si>
    <t>Plant_height_legume</t>
  </si>
  <si>
    <t>Dry_matter_%_straw</t>
  </si>
  <si>
    <t>Dry_straw_yield</t>
  </si>
  <si>
    <t>Fresh_straw_yield</t>
  </si>
  <si>
    <t>Moisture_Straw</t>
  </si>
  <si>
    <t>Total Dry yield</t>
  </si>
  <si>
    <t>Total fresh yield</t>
  </si>
  <si>
    <t>Dry_matter_%_cereal</t>
  </si>
  <si>
    <t>Dry_matter_%_legume</t>
  </si>
  <si>
    <t>Dry_yield_cereals</t>
  </si>
  <si>
    <t>Dry_yield_legumes</t>
  </si>
  <si>
    <t>Fresh_yield_cereals</t>
  </si>
  <si>
    <t>Fresh_yield_legume</t>
  </si>
  <si>
    <t>HLW_cereal</t>
  </si>
  <si>
    <t>TKW_cereals</t>
  </si>
  <si>
    <t>TKW_legume</t>
  </si>
  <si>
    <t>2022-06-30</t>
  </si>
  <si>
    <t>2022-08-22</t>
  </si>
  <si>
    <t>2022-09-07</t>
  </si>
  <si>
    <t>2022-09-08</t>
  </si>
  <si>
    <t>2022-09-09</t>
  </si>
  <si>
    <t>NA</t>
  </si>
  <si>
    <t>Date</t>
  </si>
  <si>
    <t>Min. temp.</t>
  </si>
  <si>
    <t>Max. temp.</t>
  </si>
  <si>
    <t>Avg. temp.</t>
  </si>
  <si>
    <t>Precipitation</t>
  </si>
  <si>
    <t>Relative Air Moisture</t>
  </si>
  <si>
    <t>Solar Radiation</t>
  </si>
  <si>
    <t>Day Length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</si>
  <si>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</si>
  <si>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</si>
  <si>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</si>
  <si>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</si>
  <si>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</si>
  <si>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</si>
  <si>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</si>
  <si>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</si>
  <si>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</si>
  <si>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</si>
  <si>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</si>
  <si>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</si>
  <si>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</si>
  <si>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</si>
  <si>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</si>
  <si>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</si>
  <si>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</si>
  <si>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</si>
  <si>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</si>
  <si>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</si>
  <si>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</si>
  <si>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</si>
  <si>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</si>
  <si>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</si>
  <si>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</si>
  <si>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</si>
  <si>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</si>
  <si>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</si>
  <si>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</si>
  <si>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</si>
  <si>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</si>
  <si>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</si>
  <si>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</si>
  <si>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</si>
  <si>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</si>
  <si>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</si>
  <si>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</si>
  <si>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</si>
  <si>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</si>
  <si>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</si>
  <si>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</si>
  <si>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</si>
  <si>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</si>
  <si>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</si>
  <si>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</si>
  <si>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</si>
  <si>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</si>
  <si>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</si>
  <si>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</si>
  <si>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</si>
  <si>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</si>
  <si>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</si>
  <si>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</si>
  <si>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</si>
  <si>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</si>
  <si>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</si>
  <si>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</si>
  <si>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</si>
  <si>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</si>
  <si>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</si>
  <si>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</si>
  <si>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</si>
  <si>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</si>
  <si>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</si>
  <si>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</si>
  <si>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</si>
  <si>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</si>
  <si>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</si>
  <si>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</si>
  <si>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</si>
  <si>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</si>
  <si>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</si>
  <si>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</si>
  <si>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</si>
  <si>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</si>
  <si>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</si>
  <si>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</si>
  <si>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</si>
  <si>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</si>
  <si>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</si>
  <si>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</si>
  <si>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</si>
  <si>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</si>
  <si>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</si>
  <si>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</si>
  <si>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</si>
  <si>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</si>
  <si>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</si>
  <si>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</si>
  <si>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</si>
  <si>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</si>
  <si>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</si>
  <si>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</si>
  <si>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</si>
  <si>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</si>
  <si>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</si>
  <si>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</si>
  <si>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</si>
  <si>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</si>
  <si>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</si>
  <si>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</si>
  <si>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</si>
  <si>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</si>
  <si>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</si>
  <si>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</si>
  <si>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</si>
  <si>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</si>
  <si>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</si>
  <si>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</si>
  <si>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</si>
  <si>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</si>
  <si>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</si>
  <si>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</si>
  <si>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</si>
  <si>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</si>
  <si>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</si>
  <si>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</si>
  <si>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</si>
  <si>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</si>
  <si>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</si>
  <si>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</si>
  <si>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</si>
  <si>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</si>
  <si>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</si>
  <si>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</si>
  <si>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</si>
  <si>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</si>
  <si>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</si>
  <si>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</si>
  <si>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</si>
  <si>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</si>
  <si>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</si>
  <si>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</si>
  <si>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</si>
  <si>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</si>
  <si>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</si>
  <si>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</si>
  <si>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</si>
  <si>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</si>
  <si>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</si>
  <si>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</si>
  <si>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</si>
  <si>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</si>
  <si>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</si>
  <si>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</si>
  <si>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</si>
  <si>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</si>
  <si>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</si>
  <si>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</si>
  <si>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</si>
  <si>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</si>
  <si>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</si>
  <si>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</si>
  <si>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</si>
  <si>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</si>
  <si>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</si>
  <si>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</si>
  <si>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</si>
  <si>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</si>
  <si>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</si>
  <si>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</si>
  <si>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</si>
  <si>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</si>
  <si>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</si>
  <si>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</si>
  <si>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</si>
  <si>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</si>
  <si>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</si>
  <si>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</si>
  <si>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</si>
  <si>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</si>
  <si>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</si>
  <si>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</si>
  <si>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</si>
  <si>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</si>
  <si>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</si>
  <si>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</si>
  <si>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</si>
  <si>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</si>
  <si>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</si>
  <si>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</si>
  <si>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</si>
  <si>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</si>
  <si>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</si>
  <si>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</si>
  <si>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</si>
  <si>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</si>
  <si>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</si>
  <si>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</si>
  <si>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</si>
  <si>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</si>
  <si>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</si>
  <si>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</si>
  <si>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</si>
  <si>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</si>
  <si>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</si>
  <si>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</si>
  <si>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</si>
  <si>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</si>
  <si>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</si>
  <si>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</si>
  <si>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</si>
  <si>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</si>
  <si>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</si>
  <si>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</si>
  <si>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</si>
  <si>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</si>
  <si>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</si>
  <si>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</si>
  <si>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Soil description</t>
  </si>
  <si>
    <t>Sampling date</t>
  </si>
  <si>
    <t>Depth (cm)</t>
  </si>
  <si>
    <t>Sand (%)</t>
  </si>
  <si>
    <t>Silt (%)</t>
  </si>
  <si>
    <t>Clay (%)</t>
  </si>
  <si>
    <t>OC (%)</t>
  </si>
  <si>
    <t>pH-KCL</t>
  </si>
  <si>
    <t>pH-H2O</t>
  </si>
  <si>
    <t>CaCO3 (%)</t>
  </si>
  <si>
    <t>NH4-N</t>
  </si>
  <si>
    <t>NO3-N</t>
  </si>
  <si>
    <t>Total N (%)</t>
  </si>
  <si>
    <t>P-AmLact (mg/100g)</t>
  </si>
  <si>
    <t>K-AmLact (mg/100g)</t>
  </si>
  <si>
    <t>temp avg</t>
  </si>
  <si>
    <t>prec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</si>
</sst>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Times New Roman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20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workbookViewId="0"/>
  </sheetViews>
  <sheetFormatPr baseColWidth="10" defaultColWidth="8.83203125" defaultRowHeight="16" x14ac:dyDescent="0.2"/>
  <cols>
    <col min="1" max="1" width="18.6640625" bestFit="1" customWidth="1"/>
    <col min="2" max="2" width="12.6640625" bestFit="1" customWidth="1"/>
    <col min="3" max="3" width="153" bestFit="1" customWidth="1"/>
    <col min="4" max="4" width="116.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5</v>
      </c>
      <c r="C3" t="s">
        <v>9</v>
      </c>
      <c r="D3" t="s">
        <v>10</v>
      </c>
    </row>
    <row r="4" spans="1:4" x14ac:dyDescent="0.2">
      <c r="A4" t="s">
        <v>11</v>
      </c>
      <c r="B4" t="s">
        <v>5</v>
      </c>
      <c r="C4" t="s">
        <v>12</v>
      </c>
      <c r="D4" t="s">
        <v>13</v>
      </c>
    </row>
    <row r="5" spans="1:4" x14ac:dyDescent="0.2">
      <c r="A5" t="s">
        <v>14</v>
      </c>
      <c r="B5" t="s">
        <v>5</v>
      </c>
      <c r="C5" t="s">
        <v>15</v>
      </c>
      <c r="D5" t="s">
        <v>16</v>
      </c>
    </row>
    <row r="6" spans="1:4" x14ac:dyDescent="0.2">
      <c r="A6" t="s">
        <v>17</v>
      </c>
      <c r="B6" t="s">
        <v>5</v>
      </c>
      <c r="C6" t="s">
        <v>18</v>
      </c>
      <c r="D6" t="s">
        <v>19</v>
      </c>
    </row>
    <row r="7" spans="1:4" x14ac:dyDescent="0.2">
      <c r="A7" t="s">
        <v>20</v>
      </c>
      <c r="B7" t="s">
        <v>5</v>
      </c>
      <c r="C7" t="s">
        <v>21</v>
      </c>
      <c r="D7" t="s">
        <v>22</v>
      </c>
    </row>
    <row r="8" spans="1:4" x14ac:dyDescent="0.2">
      <c r="A8" t="s">
        <v>23</v>
      </c>
      <c r="B8" t="s">
        <v>5</v>
      </c>
      <c r="C8" t="s">
        <v>24</v>
      </c>
      <c r="D8">
        <v>8</v>
      </c>
    </row>
    <row r="9" spans="1:4" x14ac:dyDescent="0.2">
      <c r="A9" t="s">
        <v>25</v>
      </c>
      <c r="B9" t="s">
        <v>5</v>
      </c>
      <c r="C9" t="s">
        <v>26</v>
      </c>
      <c r="D9">
        <v>9</v>
      </c>
    </row>
    <row r="10" spans="1:4" x14ac:dyDescent="0.2">
      <c r="A10" t="s">
        <v>27</v>
      </c>
      <c r="B10" t="s">
        <v>5</v>
      </c>
      <c r="C10" t="s">
        <v>21</v>
      </c>
      <c r="D10" t="s">
        <v>28</v>
      </c>
    </row>
    <row r="11" spans="1:4" x14ac:dyDescent="0.2">
      <c r="A11" t="s">
        <v>29</v>
      </c>
      <c r="B11" t="s">
        <v>5</v>
      </c>
      <c r="C11" t="s">
        <v>30</v>
      </c>
      <c r="D11" t="s">
        <v>31</v>
      </c>
    </row>
    <row r="12" spans="1:4" x14ac:dyDescent="0.2">
      <c r="A12" t="s">
        <v>32</v>
      </c>
      <c r="B12" t="s">
        <v>33</v>
      </c>
      <c r="C12" t="s">
        <v>34</v>
      </c>
    </row>
    <row r="13" spans="1:4" x14ac:dyDescent="0.2">
      <c r="A13" t="s">
        <v>35</v>
      </c>
      <c r="B13" t="s">
        <v>5</v>
      </c>
      <c r="C13" t="s">
        <v>36</v>
      </c>
      <c r="D13">
        <v>2022</v>
      </c>
    </row>
    <row r="14" spans="1:4" x14ac:dyDescent="0.2">
      <c r="A14" t="s">
        <v>37</v>
      </c>
      <c r="B14" t="s">
        <v>33</v>
      </c>
      <c r="C14" t="s">
        <v>38</v>
      </c>
      <c r="D14" t="s">
        <v>39</v>
      </c>
    </row>
    <row r="15" spans="1:4" x14ac:dyDescent="0.2">
      <c r="A15" t="s">
        <v>40</v>
      </c>
      <c r="B15" t="s">
        <v>33</v>
      </c>
      <c r="C15" t="s">
        <v>41</v>
      </c>
      <c r="D15">
        <v>2023</v>
      </c>
    </row>
    <row r="16" spans="1:4" x14ac:dyDescent="0.2">
      <c r="A16" t="s">
        <v>42</v>
      </c>
      <c r="B16" t="s">
        <v>33</v>
      </c>
      <c r="C16" t="s">
        <v>43</v>
      </c>
      <c r="D16" t="s">
        <v>44</v>
      </c>
    </row>
    <row r="17" spans="1:4" x14ac:dyDescent="0.2">
      <c r="A17" t="s">
        <v>45</v>
      </c>
      <c r="B17" t="s">
        <v>5</v>
      </c>
      <c r="C17" t="s">
        <v>46</v>
      </c>
      <c r="D17" t="s">
        <v>47</v>
      </c>
    </row>
    <row r="18" spans="1:4" x14ac:dyDescent="0.2">
      <c r="A18" t="s">
        <v>48</v>
      </c>
      <c r="B18" t="s">
        <v>5</v>
      </c>
      <c r="C18" t="s">
        <v>49</v>
      </c>
      <c r="D18" t="s">
        <v>50</v>
      </c>
    </row>
    <row r="19" spans="1:4" x14ac:dyDescent="0.2">
      <c r="A19" t="s">
        <v>51</v>
      </c>
      <c r="B19" t="s">
        <v>33</v>
      </c>
      <c r="C19" t="s">
        <v>52</v>
      </c>
      <c r="D19">
        <v>50.24</v>
      </c>
    </row>
    <row r="20" spans="1:4" x14ac:dyDescent="0.2">
      <c r="A20" t="s">
        <v>53</v>
      </c>
      <c r="B20" t="s">
        <v>33</v>
      </c>
      <c r="C20" t="s">
        <v>54</v>
      </c>
      <c r="D20">
        <v>8.68</v>
      </c>
    </row>
    <row r="21" spans="1:4" x14ac:dyDescent="0.2">
      <c r="A21" t="s">
        <v>55</v>
      </c>
      <c r="B21" t="s">
        <v>5</v>
      </c>
      <c r="C21" t="s">
        <v>56</v>
      </c>
      <c r="D21" t="s">
        <v>57</v>
      </c>
    </row>
    <row r="22" spans="1:4" x14ac:dyDescent="0.2">
      <c r="A22" t="s">
        <v>58</v>
      </c>
      <c r="B22" t="s">
        <v>5</v>
      </c>
      <c r="C22" t="s">
        <v>59</v>
      </c>
      <c r="D22">
        <v>18</v>
      </c>
    </row>
    <row r="23" spans="1:4" x14ac:dyDescent="0.2">
      <c r="A23" t="s">
        <v>60</v>
      </c>
      <c r="B23" t="s">
        <v>33</v>
      </c>
      <c r="C23" t="s">
        <v>61</v>
      </c>
      <c r="D23">
        <v>7.5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workbookViewId="0">
      <selection activeCell="C19" sqref="C19"/>
    </sheetView>
  </sheetViews>
  <sheetFormatPr baseColWidth="10" defaultColWidth="8.83203125" defaultRowHeight="16" x14ac:dyDescent="0.2"/>
  <cols>
    <col min="1" max="1" width="9.1640625" bestFit="1" customWidth="1"/>
    <col min="2" max="2" width="12.6640625" bestFit="1" customWidth="1"/>
    <col min="3" max="3" width="24.6640625" bestFit="1" customWidth="1"/>
    <col min="4" max="4" width="18.6640625" bestFit="1" customWidth="1"/>
  </cols>
  <sheetData>
    <row r="1" spans="1:4" x14ac:dyDescent="0.2">
      <c r="A1" s="1" t="s">
        <v>62</v>
      </c>
      <c r="B1" s="1" t="s">
        <v>63</v>
      </c>
      <c r="C1" s="1" t="s">
        <v>64</v>
      </c>
      <c r="D1" s="1" t="s">
        <v>65</v>
      </c>
    </row>
    <row r="2" spans="1:4" x14ac:dyDescent="0.2">
      <c r="A2">
        <v>21</v>
      </c>
      <c r="B2" s="2" t="s">
        <v>66</v>
      </c>
      <c r="C2" s="2" t="s">
        <v>67</v>
      </c>
      <c r="D2">
        <v>4</v>
      </c>
    </row>
    <row r="3" spans="1:4" x14ac:dyDescent="0.2">
      <c r="A3">
        <v>22</v>
      </c>
      <c r="B3" s="2" t="s">
        <v>68</v>
      </c>
      <c r="C3" s="2" t="s">
        <v>69</v>
      </c>
      <c r="D3">
        <v>4</v>
      </c>
    </row>
    <row r="4" spans="1:4" x14ac:dyDescent="0.2">
      <c r="A4">
        <v>23</v>
      </c>
      <c r="B4" s="2" t="s">
        <v>70</v>
      </c>
      <c r="C4" s="2" t="s">
        <v>71</v>
      </c>
      <c r="D4">
        <v>4</v>
      </c>
    </row>
    <row r="5" spans="1:4" x14ac:dyDescent="0.2">
      <c r="A5">
        <v>24</v>
      </c>
      <c r="B5" s="2" t="s">
        <v>72</v>
      </c>
      <c r="C5" s="2" t="s">
        <v>73</v>
      </c>
      <c r="D5">
        <v>4</v>
      </c>
    </row>
    <row r="6" spans="1:4" x14ac:dyDescent="0.2">
      <c r="A6">
        <v>25</v>
      </c>
      <c r="B6" s="2" t="s">
        <v>74</v>
      </c>
      <c r="C6" s="2" t="s">
        <v>75</v>
      </c>
      <c r="D6">
        <v>4</v>
      </c>
    </row>
    <row r="7" spans="1:4" x14ac:dyDescent="0.2">
      <c r="A7">
        <v>26</v>
      </c>
      <c r="B7" s="2" t="s">
        <v>76</v>
      </c>
      <c r="C7" s="2" t="s">
        <v>77</v>
      </c>
      <c r="D7">
        <v>4</v>
      </c>
    </row>
    <row r="8" spans="1:4" x14ac:dyDescent="0.2">
      <c r="A8">
        <v>27</v>
      </c>
      <c r="B8" s="2" t="s">
        <v>78</v>
      </c>
      <c r="C8" s="2" t="s">
        <v>79</v>
      </c>
      <c r="D8">
        <v>4</v>
      </c>
    </row>
    <row r="9" spans="1:4" x14ac:dyDescent="0.2">
      <c r="A9">
        <v>30</v>
      </c>
      <c r="B9" s="2" t="s">
        <v>80</v>
      </c>
      <c r="C9" s="2" t="s">
        <v>81</v>
      </c>
      <c r="D9">
        <v>4</v>
      </c>
    </row>
    <row r="10" spans="1:4" x14ac:dyDescent="0.2">
      <c r="A10">
        <v>33</v>
      </c>
      <c r="B10" s="2" t="s">
        <v>82</v>
      </c>
      <c r="C10" s="2" t="s">
        <v>83</v>
      </c>
      <c r="D10">
        <v>4</v>
      </c>
    </row>
    <row r="11" spans="1:4" x14ac:dyDescent="0.2">
      <c r="A11">
        <v>36</v>
      </c>
      <c r="B11" s="2" t="s">
        <v>84</v>
      </c>
      <c r="C11" s="2" t="s">
        <v>85</v>
      </c>
      <c r="D11">
        <v>4</v>
      </c>
    </row>
    <row r="12" spans="1:4" x14ac:dyDescent="0.2">
      <c r="A12">
        <v>37</v>
      </c>
      <c r="B12" s="2" t="s">
        <v>86</v>
      </c>
      <c r="C12" s="2" t="s">
        <v>87</v>
      </c>
      <c r="D12">
        <v>4</v>
      </c>
    </row>
    <row r="13" spans="1:4" x14ac:dyDescent="0.2">
      <c r="A13">
        <v>38</v>
      </c>
      <c r="B13" s="2" t="s">
        <v>88</v>
      </c>
      <c r="C13" s="2" t="s">
        <v>89</v>
      </c>
      <c r="D13">
        <v>4</v>
      </c>
    </row>
    <row r="14" spans="1:4" x14ac:dyDescent="0.2">
      <c r="A14">
        <v>39</v>
      </c>
      <c r="B14" s="2" t="s">
        <v>90</v>
      </c>
      <c r="C14" s="2" t="s">
        <v>91</v>
      </c>
      <c r="D14">
        <v>4</v>
      </c>
    </row>
    <row r="15" spans="1:4" x14ac:dyDescent="0.2">
      <c r="A15">
        <v>40</v>
      </c>
      <c r="B15" s="2" t="s">
        <v>92</v>
      </c>
      <c r="C15" s="2" t="s">
        <v>93</v>
      </c>
      <c r="D15">
        <v>4</v>
      </c>
    </row>
    <row r="16" spans="1:4" x14ac:dyDescent="0.2">
      <c r="A16">
        <v>41</v>
      </c>
      <c r="B16" s="2" t="s">
        <v>94</v>
      </c>
      <c r="C16" s="2" t="s">
        <v>95</v>
      </c>
      <c r="D16">
        <v>4</v>
      </c>
    </row>
    <row r="17" spans="1:4" x14ac:dyDescent="0.2">
      <c r="A17">
        <v>42</v>
      </c>
      <c r="B17" s="2" t="s">
        <v>96</v>
      </c>
      <c r="C17" s="2" t="s">
        <v>97</v>
      </c>
      <c r="D17">
        <v>4</v>
      </c>
    </row>
    <row r="18" spans="1:4" x14ac:dyDescent="0.2">
      <c r="A18">
        <v>43</v>
      </c>
      <c r="B18" s="2" t="s">
        <v>98</v>
      </c>
      <c r="C18" s="2" t="s">
        <v>99</v>
      </c>
      <c r="D18">
        <v>4</v>
      </c>
    </row>
    <row r="19" spans="1:4" x14ac:dyDescent="0.2">
      <c r="A19">
        <v>44</v>
      </c>
      <c r="B19" s="2" t="s">
        <v>100</v>
      </c>
      <c r="C19" s="2" t="s">
        <v>101</v>
      </c>
      <c r="D19">
        <v>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3"/>
  <sheetViews>
    <sheetView workbookViewId="0">
      <selection activeCell="F73" sqref="F73"/>
    </sheetView>
  </sheetViews>
  <sheetFormatPr baseColWidth="10" defaultColWidth="8.83203125" defaultRowHeight="16" x14ac:dyDescent="0.2"/>
  <cols>
    <col min="1" max="1" width="5.83203125" bestFit="1" customWidth="1"/>
    <col min="2" max="2" width="4.5" bestFit="1" customWidth="1"/>
    <col min="3" max="3" width="8" bestFit="1" customWidth="1"/>
    <col min="4" max="4" width="9.1640625" bestFit="1" customWidth="1"/>
    <col min="5" max="5" width="12.6640625" bestFit="1" customWidth="1"/>
    <col min="6" max="6" width="24.6640625" bestFit="1" customWidth="1"/>
    <col min="7" max="8" width="8" bestFit="1" customWidth="1"/>
    <col min="9" max="9" width="9.1640625" bestFit="1" customWidth="1"/>
  </cols>
  <sheetData>
    <row r="1" spans="1:10" x14ac:dyDescent="0.2">
      <c r="A1" s="1" t="s">
        <v>102</v>
      </c>
      <c r="B1" s="1" t="s">
        <v>103</v>
      </c>
      <c r="C1" s="1" t="s">
        <v>104</v>
      </c>
      <c r="D1" s="1" t="s">
        <v>62</v>
      </c>
      <c r="E1" s="1" t="s">
        <v>63</v>
      </c>
      <c r="F1" s="1" t="s">
        <v>64</v>
      </c>
      <c r="G1" s="1" t="s">
        <v>105</v>
      </c>
      <c r="H1" s="1" t="s">
        <v>106</v>
      </c>
      <c r="I1" s="1" t="s">
        <v>107</v>
      </c>
      <c r="J1" s="1" t="s">
        <v>108</v>
      </c>
    </row>
    <row r="2" spans="1:10" x14ac:dyDescent="0.2">
      <c r="A2">
        <v>1</v>
      </c>
      <c r="B2">
        <v>1</v>
      </c>
      <c r="C2">
        <v>1</v>
      </c>
      <c r="D2">
        <v>23</v>
      </c>
      <c r="E2" s="2" t="s">
        <v>70</v>
      </c>
      <c r="F2" s="2" t="s">
        <v>71</v>
      </c>
    </row>
    <row r="3" spans="1:10" x14ac:dyDescent="0.2">
      <c r="A3">
        <v>2</v>
      </c>
      <c r="B3">
        <v>1</v>
      </c>
      <c r="C3">
        <v>2</v>
      </c>
      <c r="D3">
        <v>39</v>
      </c>
      <c r="E3" s="2" t="s">
        <v>90</v>
      </c>
      <c r="F3" s="2" t="s">
        <v>91</v>
      </c>
    </row>
    <row r="4" spans="1:10" x14ac:dyDescent="0.2">
      <c r="A4">
        <v>3</v>
      </c>
      <c r="B4">
        <v>1</v>
      </c>
      <c r="C4">
        <v>3</v>
      </c>
      <c r="D4">
        <v>44</v>
      </c>
      <c r="E4" s="2" t="s">
        <v>100</v>
      </c>
      <c r="F4" s="2" t="s">
        <v>101</v>
      </c>
    </row>
    <row r="5" spans="1:10" x14ac:dyDescent="0.2">
      <c r="A5">
        <v>4</v>
      </c>
      <c r="B5">
        <v>1</v>
      </c>
      <c r="C5">
        <v>4</v>
      </c>
      <c r="D5">
        <v>41</v>
      </c>
      <c r="E5" s="2" t="s">
        <v>94</v>
      </c>
      <c r="F5" s="2" t="s">
        <v>95</v>
      </c>
    </row>
    <row r="6" spans="1:10" x14ac:dyDescent="0.2">
      <c r="A6">
        <v>5</v>
      </c>
      <c r="B6">
        <v>1</v>
      </c>
      <c r="C6">
        <v>5</v>
      </c>
      <c r="D6">
        <v>27</v>
      </c>
      <c r="E6" s="2" t="s">
        <v>78</v>
      </c>
      <c r="F6" s="2" t="s">
        <v>79</v>
      </c>
    </row>
    <row r="7" spans="1:10" x14ac:dyDescent="0.2">
      <c r="A7">
        <v>6</v>
      </c>
      <c r="B7">
        <v>1</v>
      </c>
      <c r="C7">
        <v>6</v>
      </c>
      <c r="D7">
        <v>24</v>
      </c>
      <c r="E7" s="2" t="s">
        <v>72</v>
      </c>
      <c r="F7" s="2" t="s">
        <v>73</v>
      </c>
    </row>
    <row r="8" spans="1:10" x14ac:dyDescent="0.2">
      <c r="A8">
        <v>7</v>
      </c>
      <c r="B8">
        <v>1</v>
      </c>
      <c r="C8">
        <v>7</v>
      </c>
      <c r="D8">
        <v>37</v>
      </c>
      <c r="E8" s="2" t="s">
        <v>86</v>
      </c>
      <c r="F8" s="2" t="s">
        <v>87</v>
      </c>
    </row>
    <row r="9" spans="1:10" x14ac:dyDescent="0.2">
      <c r="A9">
        <v>8</v>
      </c>
      <c r="B9">
        <v>1</v>
      </c>
      <c r="C9">
        <v>8</v>
      </c>
      <c r="D9">
        <v>30</v>
      </c>
      <c r="E9" s="2" t="s">
        <v>80</v>
      </c>
      <c r="F9" s="2" t="s">
        <v>81</v>
      </c>
    </row>
    <row r="10" spans="1:10" x14ac:dyDescent="0.2">
      <c r="A10">
        <v>9</v>
      </c>
      <c r="B10">
        <v>1</v>
      </c>
      <c r="C10">
        <v>9</v>
      </c>
      <c r="D10">
        <v>40</v>
      </c>
      <c r="E10" s="2" t="s">
        <v>92</v>
      </c>
      <c r="F10" s="2" t="s">
        <v>93</v>
      </c>
    </row>
    <row r="11" spans="1:10" x14ac:dyDescent="0.2">
      <c r="A11">
        <v>10</v>
      </c>
      <c r="B11">
        <v>2</v>
      </c>
      <c r="C11">
        <v>1</v>
      </c>
      <c r="D11">
        <v>38</v>
      </c>
      <c r="E11" s="2" t="s">
        <v>88</v>
      </c>
      <c r="F11" s="2" t="s">
        <v>89</v>
      </c>
    </row>
    <row r="12" spans="1:10" x14ac:dyDescent="0.2">
      <c r="A12">
        <v>11</v>
      </c>
      <c r="B12">
        <v>2</v>
      </c>
      <c r="C12">
        <v>2</v>
      </c>
      <c r="D12">
        <v>21</v>
      </c>
      <c r="E12" s="2" t="s">
        <v>66</v>
      </c>
      <c r="F12" s="2" t="s">
        <v>67</v>
      </c>
    </row>
    <row r="13" spans="1:10" x14ac:dyDescent="0.2">
      <c r="A13">
        <v>12</v>
      </c>
      <c r="B13">
        <v>2</v>
      </c>
      <c r="C13">
        <v>3</v>
      </c>
      <c r="D13">
        <v>36</v>
      </c>
      <c r="E13" s="2" t="s">
        <v>84</v>
      </c>
      <c r="F13" s="2" t="s">
        <v>85</v>
      </c>
    </row>
    <row r="14" spans="1:10" x14ac:dyDescent="0.2">
      <c r="A14">
        <v>13</v>
      </c>
      <c r="B14">
        <v>2</v>
      </c>
      <c r="C14">
        <v>4</v>
      </c>
      <c r="D14">
        <v>26</v>
      </c>
      <c r="E14" s="2" t="s">
        <v>76</v>
      </c>
      <c r="F14" s="2" t="s">
        <v>77</v>
      </c>
    </row>
    <row r="15" spans="1:10" x14ac:dyDescent="0.2">
      <c r="A15">
        <v>14</v>
      </c>
      <c r="B15">
        <v>2</v>
      </c>
      <c r="C15">
        <v>5</v>
      </c>
      <c r="D15">
        <v>22</v>
      </c>
      <c r="E15" s="2" t="s">
        <v>68</v>
      </c>
      <c r="F15" s="2" t="s">
        <v>69</v>
      </c>
    </row>
    <row r="16" spans="1:10" x14ac:dyDescent="0.2">
      <c r="A16">
        <v>15</v>
      </c>
      <c r="B16">
        <v>2</v>
      </c>
      <c r="C16">
        <v>6</v>
      </c>
      <c r="D16">
        <v>33</v>
      </c>
      <c r="E16" s="2" t="s">
        <v>82</v>
      </c>
      <c r="F16" s="2" t="s">
        <v>83</v>
      </c>
    </row>
    <row r="17" spans="1:6" x14ac:dyDescent="0.2">
      <c r="A17">
        <v>16</v>
      </c>
      <c r="B17">
        <v>2</v>
      </c>
      <c r="C17">
        <v>7</v>
      </c>
      <c r="D17">
        <v>25</v>
      </c>
      <c r="E17" s="2" t="s">
        <v>74</v>
      </c>
      <c r="F17" s="2" t="s">
        <v>75</v>
      </c>
    </row>
    <row r="18" spans="1:6" x14ac:dyDescent="0.2">
      <c r="A18">
        <v>17</v>
      </c>
      <c r="B18">
        <v>2</v>
      </c>
      <c r="C18">
        <v>8</v>
      </c>
      <c r="D18">
        <v>43</v>
      </c>
      <c r="E18" s="2" t="s">
        <v>98</v>
      </c>
      <c r="F18" s="2" t="s">
        <v>99</v>
      </c>
    </row>
    <row r="19" spans="1:6" x14ac:dyDescent="0.2">
      <c r="A19">
        <v>18</v>
      </c>
      <c r="B19">
        <v>2</v>
      </c>
      <c r="C19">
        <v>9</v>
      </c>
      <c r="D19">
        <v>42</v>
      </c>
      <c r="E19" s="2" t="s">
        <v>96</v>
      </c>
      <c r="F19" s="2" t="s">
        <v>97</v>
      </c>
    </row>
    <row r="20" spans="1:6" x14ac:dyDescent="0.2">
      <c r="A20">
        <v>19</v>
      </c>
      <c r="B20">
        <v>3</v>
      </c>
      <c r="C20">
        <v>1</v>
      </c>
      <c r="D20">
        <v>27</v>
      </c>
      <c r="E20" s="2" t="s">
        <v>78</v>
      </c>
      <c r="F20" s="2" t="s">
        <v>79</v>
      </c>
    </row>
    <row r="21" spans="1:6" x14ac:dyDescent="0.2">
      <c r="A21">
        <v>20</v>
      </c>
      <c r="B21">
        <v>3</v>
      </c>
      <c r="C21">
        <v>2</v>
      </c>
      <c r="D21">
        <v>30</v>
      </c>
      <c r="E21" s="2" t="s">
        <v>80</v>
      </c>
      <c r="F21" s="2" t="s">
        <v>81</v>
      </c>
    </row>
    <row r="22" spans="1:6" x14ac:dyDescent="0.2">
      <c r="A22">
        <v>21</v>
      </c>
      <c r="B22">
        <v>3</v>
      </c>
      <c r="C22">
        <v>3</v>
      </c>
      <c r="D22">
        <v>40</v>
      </c>
      <c r="E22" s="2" t="s">
        <v>92</v>
      </c>
      <c r="F22" s="2" t="s">
        <v>93</v>
      </c>
    </row>
    <row r="23" spans="1:6" x14ac:dyDescent="0.2">
      <c r="A23">
        <v>22</v>
      </c>
      <c r="B23">
        <v>3</v>
      </c>
      <c r="C23">
        <v>4</v>
      </c>
      <c r="D23">
        <v>38</v>
      </c>
      <c r="E23" s="2" t="s">
        <v>88</v>
      </c>
      <c r="F23" s="2" t="s">
        <v>89</v>
      </c>
    </row>
    <row r="24" spans="1:6" x14ac:dyDescent="0.2">
      <c r="A24">
        <v>23</v>
      </c>
      <c r="B24">
        <v>3</v>
      </c>
      <c r="C24">
        <v>5</v>
      </c>
      <c r="D24">
        <v>43</v>
      </c>
      <c r="E24" s="2" t="s">
        <v>98</v>
      </c>
      <c r="F24" s="2" t="s">
        <v>99</v>
      </c>
    </row>
    <row r="25" spans="1:6" x14ac:dyDescent="0.2">
      <c r="A25">
        <v>24</v>
      </c>
      <c r="B25">
        <v>3</v>
      </c>
      <c r="C25">
        <v>6</v>
      </c>
      <c r="D25">
        <v>44</v>
      </c>
      <c r="E25" s="2" t="s">
        <v>100</v>
      </c>
      <c r="F25" s="2" t="s">
        <v>101</v>
      </c>
    </row>
    <row r="26" spans="1:6" x14ac:dyDescent="0.2">
      <c r="A26">
        <v>25</v>
      </c>
      <c r="B26">
        <v>3</v>
      </c>
      <c r="C26">
        <v>7</v>
      </c>
      <c r="D26">
        <v>22</v>
      </c>
      <c r="E26" s="2" t="s">
        <v>68</v>
      </c>
      <c r="F26" s="2" t="s">
        <v>69</v>
      </c>
    </row>
    <row r="27" spans="1:6" x14ac:dyDescent="0.2">
      <c r="A27">
        <v>26</v>
      </c>
      <c r="B27">
        <v>3</v>
      </c>
      <c r="C27">
        <v>8</v>
      </c>
      <c r="D27">
        <v>26</v>
      </c>
      <c r="E27" s="2" t="s">
        <v>76</v>
      </c>
      <c r="F27" s="2" t="s">
        <v>77</v>
      </c>
    </row>
    <row r="28" spans="1:6" x14ac:dyDescent="0.2">
      <c r="A28">
        <v>27</v>
      </c>
      <c r="B28">
        <v>3</v>
      </c>
      <c r="C28">
        <v>9</v>
      </c>
      <c r="D28">
        <v>21</v>
      </c>
      <c r="E28" s="2" t="s">
        <v>66</v>
      </c>
      <c r="F28" s="2" t="s">
        <v>67</v>
      </c>
    </row>
    <row r="29" spans="1:6" x14ac:dyDescent="0.2">
      <c r="A29">
        <v>28</v>
      </c>
      <c r="B29">
        <v>4</v>
      </c>
      <c r="C29">
        <v>1</v>
      </c>
      <c r="D29">
        <v>24</v>
      </c>
      <c r="E29" s="2" t="s">
        <v>72</v>
      </c>
      <c r="F29" s="2" t="s">
        <v>73</v>
      </c>
    </row>
    <row r="30" spans="1:6" x14ac:dyDescent="0.2">
      <c r="A30">
        <v>29</v>
      </c>
      <c r="B30">
        <v>4</v>
      </c>
      <c r="C30">
        <v>2</v>
      </c>
      <c r="D30">
        <v>25</v>
      </c>
      <c r="E30" s="2" t="s">
        <v>74</v>
      </c>
      <c r="F30" s="2" t="s">
        <v>75</v>
      </c>
    </row>
    <row r="31" spans="1:6" x14ac:dyDescent="0.2">
      <c r="A31">
        <v>30</v>
      </c>
      <c r="B31">
        <v>4</v>
      </c>
      <c r="C31">
        <v>3</v>
      </c>
      <c r="D31">
        <v>33</v>
      </c>
      <c r="E31" s="2" t="s">
        <v>82</v>
      </c>
      <c r="F31" s="2" t="s">
        <v>83</v>
      </c>
    </row>
    <row r="32" spans="1:6" x14ac:dyDescent="0.2">
      <c r="A32">
        <v>31</v>
      </c>
      <c r="B32">
        <v>4</v>
      </c>
      <c r="C32">
        <v>4</v>
      </c>
      <c r="D32">
        <v>42</v>
      </c>
      <c r="E32" s="2" t="s">
        <v>96</v>
      </c>
      <c r="F32" s="2" t="s">
        <v>97</v>
      </c>
    </row>
    <row r="33" spans="1:6" x14ac:dyDescent="0.2">
      <c r="A33">
        <v>32</v>
      </c>
      <c r="B33">
        <v>4</v>
      </c>
      <c r="C33">
        <v>5</v>
      </c>
      <c r="D33">
        <v>37</v>
      </c>
      <c r="E33" s="2" t="s">
        <v>86</v>
      </c>
      <c r="F33" s="2" t="s">
        <v>87</v>
      </c>
    </row>
    <row r="34" spans="1:6" x14ac:dyDescent="0.2">
      <c r="A34">
        <v>33</v>
      </c>
      <c r="B34">
        <v>4</v>
      </c>
      <c r="C34">
        <v>6</v>
      </c>
      <c r="D34">
        <v>23</v>
      </c>
      <c r="E34" s="2" t="s">
        <v>70</v>
      </c>
      <c r="F34" s="2" t="s">
        <v>71</v>
      </c>
    </row>
    <row r="35" spans="1:6" x14ac:dyDescent="0.2">
      <c r="A35">
        <v>34</v>
      </c>
      <c r="B35">
        <v>4</v>
      </c>
      <c r="C35">
        <v>7</v>
      </c>
      <c r="D35">
        <v>41</v>
      </c>
      <c r="E35" s="2" t="s">
        <v>94</v>
      </c>
      <c r="F35" s="2" t="s">
        <v>95</v>
      </c>
    </row>
    <row r="36" spans="1:6" x14ac:dyDescent="0.2">
      <c r="A36">
        <v>35</v>
      </c>
      <c r="B36">
        <v>4</v>
      </c>
      <c r="C36">
        <v>8</v>
      </c>
      <c r="D36">
        <v>36</v>
      </c>
      <c r="E36" s="2" t="s">
        <v>84</v>
      </c>
      <c r="F36" s="2" t="s">
        <v>85</v>
      </c>
    </row>
    <row r="37" spans="1:6" x14ac:dyDescent="0.2">
      <c r="A37">
        <v>36</v>
      </c>
      <c r="B37">
        <v>4</v>
      </c>
      <c r="C37">
        <v>9</v>
      </c>
      <c r="D37">
        <v>39</v>
      </c>
      <c r="E37" s="2" t="s">
        <v>90</v>
      </c>
      <c r="F37" s="2" t="s">
        <v>91</v>
      </c>
    </row>
    <row r="38" spans="1:6" x14ac:dyDescent="0.2">
      <c r="A38">
        <v>37</v>
      </c>
      <c r="B38">
        <v>5</v>
      </c>
      <c r="C38">
        <v>1</v>
      </c>
      <c r="D38">
        <v>41</v>
      </c>
      <c r="E38" s="2" t="s">
        <v>94</v>
      </c>
      <c r="F38" s="2" t="s">
        <v>95</v>
      </c>
    </row>
    <row r="39" spans="1:6" x14ac:dyDescent="0.2">
      <c r="A39">
        <v>38</v>
      </c>
      <c r="B39">
        <v>5</v>
      </c>
      <c r="C39">
        <v>2</v>
      </c>
      <c r="D39">
        <v>43</v>
      </c>
      <c r="E39" s="2" t="s">
        <v>98</v>
      </c>
      <c r="F39" s="2" t="s">
        <v>99</v>
      </c>
    </row>
    <row r="40" spans="1:6" x14ac:dyDescent="0.2">
      <c r="A40">
        <v>39</v>
      </c>
      <c r="B40">
        <v>5</v>
      </c>
      <c r="C40">
        <v>3</v>
      </c>
      <c r="D40">
        <v>37</v>
      </c>
      <c r="E40" s="2" t="s">
        <v>86</v>
      </c>
      <c r="F40" s="2" t="s">
        <v>87</v>
      </c>
    </row>
    <row r="41" spans="1:6" x14ac:dyDescent="0.2">
      <c r="A41">
        <v>40</v>
      </c>
      <c r="B41">
        <v>5</v>
      </c>
      <c r="C41">
        <v>4</v>
      </c>
      <c r="D41">
        <v>24</v>
      </c>
      <c r="E41" s="2" t="s">
        <v>72</v>
      </c>
      <c r="F41" s="2" t="s">
        <v>73</v>
      </c>
    </row>
    <row r="42" spans="1:6" x14ac:dyDescent="0.2">
      <c r="A42">
        <v>41</v>
      </c>
      <c r="B42">
        <v>5</v>
      </c>
      <c r="C42">
        <v>5</v>
      </c>
      <c r="D42">
        <v>21</v>
      </c>
      <c r="E42" s="2" t="s">
        <v>66</v>
      </c>
      <c r="F42" s="2" t="s">
        <v>67</v>
      </c>
    </row>
    <row r="43" spans="1:6" x14ac:dyDescent="0.2">
      <c r="A43">
        <v>42</v>
      </c>
      <c r="B43">
        <v>5</v>
      </c>
      <c r="C43">
        <v>6</v>
      </c>
      <c r="D43">
        <v>42</v>
      </c>
      <c r="E43" s="2" t="s">
        <v>96</v>
      </c>
      <c r="F43" s="2" t="s">
        <v>97</v>
      </c>
    </row>
    <row r="44" spans="1:6" x14ac:dyDescent="0.2">
      <c r="A44">
        <v>43</v>
      </c>
      <c r="B44">
        <v>5</v>
      </c>
      <c r="C44">
        <v>7</v>
      </c>
      <c r="D44">
        <v>26</v>
      </c>
      <c r="E44" s="2" t="s">
        <v>76</v>
      </c>
      <c r="F44" s="2" t="s">
        <v>77</v>
      </c>
    </row>
    <row r="45" spans="1:6" x14ac:dyDescent="0.2">
      <c r="A45">
        <v>44</v>
      </c>
      <c r="B45">
        <v>5</v>
      </c>
      <c r="C45">
        <v>8</v>
      </c>
      <c r="D45">
        <v>44</v>
      </c>
      <c r="E45" s="2" t="s">
        <v>100</v>
      </c>
      <c r="F45" s="2" t="s">
        <v>101</v>
      </c>
    </row>
    <row r="46" spans="1:6" x14ac:dyDescent="0.2">
      <c r="A46">
        <v>45</v>
      </c>
      <c r="B46">
        <v>5</v>
      </c>
      <c r="C46">
        <v>9</v>
      </c>
      <c r="D46">
        <v>27</v>
      </c>
      <c r="E46" s="2" t="s">
        <v>78</v>
      </c>
      <c r="F46" s="2" t="s">
        <v>79</v>
      </c>
    </row>
    <row r="47" spans="1:6" x14ac:dyDescent="0.2">
      <c r="A47">
        <v>46</v>
      </c>
      <c r="B47">
        <v>6</v>
      </c>
      <c r="C47">
        <v>1</v>
      </c>
      <c r="D47">
        <v>25</v>
      </c>
      <c r="E47" s="2" t="s">
        <v>74</v>
      </c>
      <c r="F47" s="2" t="s">
        <v>75</v>
      </c>
    </row>
    <row r="48" spans="1:6" x14ac:dyDescent="0.2">
      <c r="A48">
        <v>47</v>
      </c>
      <c r="B48">
        <v>6</v>
      </c>
      <c r="C48">
        <v>2</v>
      </c>
      <c r="D48">
        <v>36</v>
      </c>
      <c r="E48" s="2" t="s">
        <v>84</v>
      </c>
      <c r="F48" s="2" t="s">
        <v>85</v>
      </c>
    </row>
    <row r="49" spans="1:6" x14ac:dyDescent="0.2">
      <c r="A49">
        <v>48</v>
      </c>
      <c r="B49">
        <v>6</v>
      </c>
      <c r="C49">
        <v>3</v>
      </c>
      <c r="D49">
        <v>22</v>
      </c>
      <c r="E49" s="2" t="s">
        <v>68</v>
      </c>
      <c r="F49" s="2" t="s">
        <v>69</v>
      </c>
    </row>
    <row r="50" spans="1:6" x14ac:dyDescent="0.2">
      <c r="A50">
        <v>49</v>
      </c>
      <c r="B50">
        <v>6</v>
      </c>
      <c r="C50">
        <v>4</v>
      </c>
      <c r="D50">
        <v>40</v>
      </c>
      <c r="E50" s="2" t="s">
        <v>92</v>
      </c>
      <c r="F50" s="2" t="s">
        <v>93</v>
      </c>
    </row>
    <row r="51" spans="1:6" x14ac:dyDescent="0.2">
      <c r="A51">
        <v>50</v>
      </c>
      <c r="B51">
        <v>6</v>
      </c>
      <c r="C51">
        <v>5</v>
      </c>
      <c r="D51">
        <v>23</v>
      </c>
      <c r="E51" s="2" t="s">
        <v>70</v>
      </c>
      <c r="F51" s="2" t="s">
        <v>71</v>
      </c>
    </row>
    <row r="52" spans="1:6" x14ac:dyDescent="0.2">
      <c r="A52">
        <v>51</v>
      </c>
      <c r="B52">
        <v>6</v>
      </c>
      <c r="C52">
        <v>6</v>
      </c>
      <c r="D52">
        <v>30</v>
      </c>
      <c r="E52" s="2" t="s">
        <v>80</v>
      </c>
      <c r="F52" s="2" t="s">
        <v>81</v>
      </c>
    </row>
    <row r="53" spans="1:6" x14ac:dyDescent="0.2">
      <c r="A53">
        <v>52</v>
      </c>
      <c r="B53">
        <v>6</v>
      </c>
      <c r="C53">
        <v>7</v>
      </c>
      <c r="D53">
        <v>39</v>
      </c>
      <c r="E53" s="2" t="s">
        <v>90</v>
      </c>
      <c r="F53" s="2" t="s">
        <v>91</v>
      </c>
    </row>
    <row r="54" spans="1:6" x14ac:dyDescent="0.2">
      <c r="A54">
        <v>53</v>
      </c>
      <c r="B54">
        <v>6</v>
      </c>
      <c r="C54">
        <v>8</v>
      </c>
      <c r="D54">
        <v>33</v>
      </c>
      <c r="E54" s="2" t="s">
        <v>82</v>
      </c>
      <c r="F54" s="2" t="s">
        <v>83</v>
      </c>
    </row>
    <row r="55" spans="1:6" x14ac:dyDescent="0.2">
      <c r="A55">
        <v>54</v>
      </c>
      <c r="B55">
        <v>6</v>
      </c>
      <c r="C55">
        <v>9</v>
      </c>
      <c r="D55">
        <v>38</v>
      </c>
      <c r="E55" s="2" t="s">
        <v>88</v>
      </c>
      <c r="F55" s="2" t="s">
        <v>89</v>
      </c>
    </row>
    <row r="56" spans="1:6" x14ac:dyDescent="0.2">
      <c r="A56">
        <v>55</v>
      </c>
      <c r="B56">
        <v>7</v>
      </c>
      <c r="C56">
        <v>1</v>
      </c>
      <c r="D56">
        <v>26</v>
      </c>
      <c r="E56" s="2" t="s">
        <v>76</v>
      </c>
      <c r="F56" s="2" t="s">
        <v>77</v>
      </c>
    </row>
    <row r="57" spans="1:6" x14ac:dyDescent="0.2">
      <c r="A57">
        <v>56</v>
      </c>
      <c r="B57">
        <v>7</v>
      </c>
      <c r="C57">
        <v>2</v>
      </c>
      <c r="D57">
        <v>24</v>
      </c>
      <c r="E57" s="2" t="s">
        <v>72</v>
      </c>
      <c r="F57" s="2" t="s">
        <v>73</v>
      </c>
    </row>
    <row r="58" spans="1:6" x14ac:dyDescent="0.2">
      <c r="A58">
        <v>57</v>
      </c>
      <c r="B58">
        <v>7</v>
      </c>
      <c r="C58">
        <v>3</v>
      </c>
      <c r="D58">
        <v>27</v>
      </c>
      <c r="E58" s="2" t="s">
        <v>78</v>
      </c>
      <c r="F58" s="2" t="s">
        <v>79</v>
      </c>
    </row>
    <row r="59" spans="1:6" x14ac:dyDescent="0.2">
      <c r="A59">
        <v>58</v>
      </c>
      <c r="B59">
        <v>7</v>
      </c>
      <c r="C59">
        <v>4</v>
      </c>
      <c r="D59">
        <v>30</v>
      </c>
      <c r="E59" s="2" t="s">
        <v>80</v>
      </c>
      <c r="F59" s="2" t="s">
        <v>81</v>
      </c>
    </row>
    <row r="60" spans="1:6" x14ac:dyDescent="0.2">
      <c r="A60">
        <v>59</v>
      </c>
      <c r="B60">
        <v>7</v>
      </c>
      <c r="C60">
        <v>5</v>
      </c>
      <c r="D60">
        <v>33</v>
      </c>
      <c r="E60" s="2" t="s">
        <v>82</v>
      </c>
      <c r="F60" s="2" t="s">
        <v>83</v>
      </c>
    </row>
    <row r="61" spans="1:6" x14ac:dyDescent="0.2">
      <c r="A61">
        <v>60</v>
      </c>
      <c r="B61">
        <v>7</v>
      </c>
      <c r="C61">
        <v>6</v>
      </c>
      <c r="D61">
        <v>21</v>
      </c>
      <c r="E61" s="2" t="s">
        <v>66</v>
      </c>
      <c r="F61" s="2" t="s">
        <v>67</v>
      </c>
    </row>
    <row r="62" spans="1:6" x14ac:dyDescent="0.2">
      <c r="A62">
        <v>61</v>
      </c>
      <c r="B62">
        <v>7</v>
      </c>
      <c r="C62">
        <v>7</v>
      </c>
      <c r="D62">
        <v>40</v>
      </c>
      <c r="E62" s="2" t="s">
        <v>92</v>
      </c>
      <c r="F62" s="2" t="s">
        <v>93</v>
      </c>
    </row>
    <row r="63" spans="1:6" x14ac:dyDescent="0.2">
      <c r="A63">
        <v>62</v>
      </c>
      <c r="B63">
        <v>7</v>
      </c>
      <c r="C63">
        <v>8</v>
      </c>
      <c r="D63">
        <v>37</v>
      </c>
      <c r="E63" s="2" t="s">
        <v>86</v>
      </c>
      <c r="F63" s="2" t="s">
        <v>87</v>
      </c>
    </row>
    <row r="64" spans="1:6" x14ac:dyDescent="0.2">
      <c r="A64">
        <v>63</v>
      </c>
      <c r="B64">
        <v>7</v>
      </c>
      <c r="C64">
        <v>9</v>
      </c>
      <c r="D64">
        <v>25</v>
      </c>
      <c r="E64" s="2" t="s">
        <v>74</v>
      </c>
      <c r="F64" s="2" t="s">
        <v>75</v>
      </c>
    </row>
    <row r="65" spans="1:6" x14ac:dyDescent="0.2">
      <c r="A65">
        <v>64</v>
      </c>
      <c r="B65">
        <v>8</v>
      </c>
      <c r="C65">
        <v>1</v>
      </c>
      <c r="D65">
        <v>22</v>
      </c>
      <c r="E65" s="2" t="s">
        <v>68</v>
      </c>
      <c r="F65" s="2" t="s">
        <v>69</v>
      </c>
    </row>
    <row r="66" spans="1:6" x14ac:dyDescent="0.2">
      <c r="A66">
        <v>65</v>
      </c>
      <c r="B66">
        <v>8</v>
      </c>
      <c r="C66">
        <v>2</v>
      </c>
      <c r="D66">
        <v>44</v>
      </c>
      <c r="E66" s="2" t="s">
        <v>100</v>
      </c>
      <c r="F66" s="2" t="s">
        <v>101</v>
      </c>
    </row>
    <row r="67" spans="1:6" x14ac:dyDescent="0.2">
      <c r="A67">
        <v>66</v>
      </c>
      <c r="B67">
        <v>8</v>
      </c>
      <c r="C67">
        <v>3</v>
      </c>
      <c r="D67">
        <v>42</v>
      </c>
      <c r="E67" s="2" t="s">
        <v>96</v>
      </c>
      <c r="F67" s="2" t="s">
        <v>97</v>
      </c>
    </row>
    <row r="68" spans="1:6" x14ac:dyDescent="0.2">
      <c r="A68">
        <v>67</v>
      </c>
      <c r="B68">
        <v>8</v>
      </c>
      <c r="C68">
        <v>4</v>
      </c>
      <c r="D68">
        <v>36</v>
      </c>
      <c r="E68" s="2" t="s">
        <v>84</v>
      </c>
      <c r="F68" s="2" t="s">
        <v>85</v>
      </c>
    </row>
    <row r="69" spans="1:6" x14ac:dyDescent="0.2">
      <c r="A69">
        <v>68</v>
      </c>
      <c r="B69">
        <v>8</v>
      </c>
      <c r="C69">
        <v>5</v>
      </c>
      <c r="D69">
        <v>39</v>
      </c>
      <c r="E69" s="2" t="s">
        <v>90</v>
      </c>
      <c r="F69" s="2" t="s">
        <v>91</v>
      </c>
    </row>
    <row r="70" spans="1:6" x14ac:dyDescent="0.2">
      <c r="A70">
        <v>69</v>
      </c>
      <c r="B70">
        <v>8</v>
      </c>
      <c r="C70">
        <v>6</v>
      </c>
      <c r="D70">
        <v>38</v>
      </c>
      <c r="E70" s="2" t="s">
        <v>88</v>
      </c>
      <c r="F70" s="2" t="s">
        <v>89</v>
      </c>
    </row>
    <row r="71" spans="1:6" x14ac:dyDescent="0.2">
      <c r="A71">
        <v>70</v>
      </c>
      <c r="B71">
        <v>8</v>
      </c>
      <c r="C71">
        <v>7</v>
      </c>
      <c r="D71">
        <v>43</v>
      </c>
      <c r="E71" s="2" t="s">
        <v>98</v>
      </c>
      <c r="F71" s="2" t="s">
        <v>99</v>
      </c>
    </row>
    <row r="72" spans="1:6" x14ac:dyDescent="0.2">
      <c r="A72">
        <v>71</v>
      </c>
      <c r="B72">
        <v>8</v>
      </c>
      <c r="C72">
        <v>8</v>
      </c>
      <c r="D72">
        <v>23</v>
      </c>
      <c r="E72" s="2" t="s">
        <v>70</v>
      </c>
      <c r="F72" s="2" t="s">
        <v>71</v>
      </c>
    </row>
    <row r="73" spans="1:6" x14ac:dyDescent="0.2">
      <c r="A73">
        <v>72</v>
      </c>
      <c r="B73">
        <v>8</v>
      </c>
      <c r="C73">
        <v>9</v>
      </c>
      <c r="D73">
        <v>41</v>
      </c>
      <c r="E73" s="2" t="s">
        <v>94</v>
      </c>
      <c r="F73" s="2" t="s">
        <v>95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"/>
  <sheetViews>
    <sheetView workbookViewId="0"/>
  </sheetViews>
  <sheetFormatPr baseColWidth="10" defaultColWidth="8.83203125" defaultRowHeight="16" x14ac:dyDescent="0.2"/>
  <cols>
    <col min="1" max="1" width="3.33203125" bestFit="1" customWidth="1"/>
    <col min="2" max="2" width="5.83203125" bestFit="1" customWidth="1"/>
    <col min="3" max="3" width="11.5" bestFit="1" customWidth="1"/>
    <col min="4" max="4" width="9.1640625" bestFit="1" customWidth="1"/>
    <col min="5" max="5" width="11.5" bestFit="1" customWidth="1"/>
    <col min="6" max="6" width="8" bestFit="1" customWidth="1"/>
    <col min="7" max="7" width="5.83203125" bestFit="1" customWidth="1"/>
    <col min="8" max="9" width="9.1640625" bestFit="1" customWidth="1"/>
  </cols>
  <sheetData>
    <row r="1" spans="1:9" x14ac:dyDescent="0.2">
      <c r="A1" s="1" t="s">
        <v>109</v>
      </c>
      <c r="B1" s="1" t="s">
        <v>11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74"/>
  <sheetViews>
    <sheetView workbookViewId="0">
      <selection activeCell="F74" sqref="F74"/>
    </sheetView>
  </sheetViews>
  <sheetFormatPr baseColWidth="10" defaultColWidth="8.83203125" defaultRowHeight="16" x14ac:dyDescent="0.2"/>
  <cols>
    <col min="1" max="1" width="5.83203125" bestFit="1" customWidth="1"/>
    <col min="2" max="2" width="4.5" bestFit="1" customWidth="1"/>
    <col min="3" max="3" width="8" bestFit="1" customWidth="1"/>
    <col min="4" max="4" width="9.1640625" bestFit="1" customWidth="1"/>
    <col min="5" max="5" width="12.6640625" bestFit="1" customWidth="1"/>
    <col min="6" max="6" width="24.6640625" bestFit="1" customWidth="1"/>
    <col min="7" max="8" width="23.33203125" bestFit="1" customWidth="1"/>
    <col min="9" max="9" width="22.1640625" bestFit="1" customWidth="1"/>
    <col min="10" max="14" width="21" bestFit="1" customWidth="1"/>
    <col min="15" max="16" width="23.33203125" bestFit="1" customWidth="1"/>
    <col min="17" max="17" width="22.1640625" bestFit="1" customWidth="1"/>
    <col min="18" max="18" width="21" bestFit="1" customWidth="1"/>
    <col min="19" max="19" width="23.33203125" bestFit="1" customWidth="1"/>
    <col min="20" max="20" width="22.1640625" bestFit="1" customWidth="1"/>
    <col min="21" max="21" width="21" bestFit="1" customWidth="1"/>
    <col min="22" max="22" width="13.83203125" bestFit="1" customWidth="1"/>
    <col min="23" max="23" width="12.6640625" bestFit="1" customWidth="1"/>
  </cols>
  <sheetData>
    <row r="1" spans="1:23" x14ac:dyDescent="0.2">
      <c r="A1" s="1" t="s">
        <v>102</v>
      </c>
      <c r="B1" s="1" t="s">
        <v>103</v>
      </c>
      <c r="C1" s="1" t="s">
        <v>104</v>
      </c>
      <c r="D1" s="1" t="s">
        <v>62</v>
      </c>
      <c r="E1" s="1" t="s">
        <v>63</v>
      </c>
      <c r="F1" s="1" t="s">
        <v>64</v>
      </c>
      <c r="G1" s="1" t="s">
        <v>117</v>
      </c>
      <c r="H1" s="1" t="s">
        <v>118</v>
      </c>
      <c r="I1" s="1" t="s">
        <v>119</v>
      </c>
      <c r="J1" s="1" t="s">
        <v>120</v>
      </c>
      <c r="K1" s="1" t="s">
        <v>121</v>
      </c>
      <c r="L1" s="1" t="s">
        <v>122</v>
      </c>
      <c r="M1" s="1" t="s">
        <v>123</v>
      </c>
      <c r="N1" s="1" t="s">
        <v>124</v>
      </c>
      <c r="O1" s="1" t="s">
        <v>125</v>
      </c>
      <c r="P1" s="1" t="s">
        <v>126</v>
      </c>
      <c r="Q1" s="1" t="s">
        <v>127</v>
      </c>
      <c r="R1" s="1" t="s">
        <v>128</v>
      </c>
      <c r="S1" s="1" t="s">
        <v>129</v>
      </c>
      <c r="T1" s="1" t="s">
        <v>130</v>
      </c>
      <c r="U1" s="1" t="s">
        <v>131</v>
      </c>
      <c r="V1" s="1" t="s">
        <v>132</v>
      </c>
      <c r="W1" s="1" t="s">
        <v>133</v>
      </c>
    </row>
    <row r="2" spans="1:23" x14ac:dyDescent="0.2">
      <c r="G2" t="s">
        <v>134</v>
      </c>
      <c r="H2" t="s">
        <v>134</v>
      </c>
      <c r="I2" t="s">
        <v>44</v>
      </c>
      <c r="J2" t="s">
        <v>44</v>
      </c>
      <c r="K2" t="s">
        <v>44</v>
      </c>
      <c r="L2" t="s">
        <v>44</v>
      </c>
      <c r="M2" t="s">
        <v>44</v>
      </c>
      <c r="N2" t="s">
        <v>44</v>
      </c>
      <c r="O2" t="s">
        <v>135</v>
      </c>
      <c r="P2" t="s">
        <v>135</v>
      </c>
      <c r="Q2" t="s">
        <v>135</v>
      </c>
      <c r="R2" t="s">
        <v>135</v>
      </c>
      <c r="S2" t="s">
        <v>135</v>
      </c>
      <c r="T2" t="s">
        <v>135</v>
      </c>
      <c r="U2" t="s">
        <v>136</v>
      </c>
      <c r="V2" t="s">
        <v>137</v>
      </c>
      <c r="W2" t="s">
        <v>138</v>
      </c>
    </row>
    <row r="3" spans="1:23" x14ac:dyDescent="0.2">
      <c r="A3">
        <v>1</v>
      </c>
      <c r="B3">
        <v>1</v>
      </c>
      <c r="C3">
        <v>1</v>
      </c>
      <c r="D3">
        <v>23</v>
      </c>
      <c r="E3" s="2" t="s">
        <v>70</v>
      </c>
      <c r="F3" s="2" t="s">
        <v>71</v>
      </c>
      <c r="G3">
        <v>80.5</v>
      </c>
      <c r="H3" t="s">
        <v>139</v>
      </c>
      <c r="I3">
        <v>50.431965442764579</v>
      </c>
      <c r="J3">
        <v>2.9573304535637139</v>
      </c>
      <c r="K3">
        <v>5.863999999999999</v>
      </c>
      <c r="L3">
        <v>49.568034557235421</v>
      </c>
      <c r="M3">
        <v>2.8867408829174659</v>
      </c>
      <c r="N3">
        <v>3.3466666666666658</v>
      </c>
      <c r="O3">
        <v>0.89925194970555467</v>
      </c>
      <c r="P3" t="s">
        <v>139</v>
      </c>
      <c r="Q3">
        <v>2.3032839938458269</v>
      </c>
      <c r="R3" t="s">
        <v>139</v>
      </c>
      <c r="S3">
        <v>2.5613333333333328</v>
      </c>
      <c r="T3">
        <v>0</v>
      </c>
      <c r="U3">
        <v>49.185004999999997</v>
      </c>
      <c r="V3">
        <v>29.3</v>
      </c>
      <c r="W3" t="s">
        <v>139</v>
      </c>
    </row>
    <row r="4" spans="1:23" x14ac:dyDescent="0.2">
      <c r="A4">
        <v>2</v>
      </c>
      <c r="B4">
        <v>1</v>
      </c>
      <c r="C4">
        <v>2</v>
      </c>
      <c r="D4">
        <v>39</v>
      </c>
      <c r="E4" s="2" t="s">
        <v>90</v>
      </c>
      <c r="F4" s="2" t="s">
        <v>91</v>
      </c>
      <c r="G4">
        <v>74</v>
      </c>
      <c r="H4">
        <v>54</v>
      </c>
      <c r="I4">
        <v>58.789625360230538</v>
      </c>
      <c r="J4">
        <v>1.182847262247839</v>
      </c>
      <c r="K4">
        <v>2.012</v>
      </c>
      <c r="L4">
        <v>41.210374639769462</v>
      </c>
      <c r="M4">
        <v>3.033164640157739</v>
      </c>
      <c r="N4">
        <v>3.36</v>
      </c>
      <c r="O4">
        <v>0.9098120092012375</v>
      </c>
      <c r="P4">
        <v>0.90450558213716126</v>
      </c>
      <c r="Q4">
        <v>0.6016890087517518</v>
      </c>
      <c r="R4">
        <v>1.7390627325890491</v>
      </c>
      <c r="S4">
        <v>0.66133333333333344</v>
      </c>
      <c r="T4">
        <v>1.922666666666667</v>
      </c>
      <c r="U4">
        <v>50.534307499999997</v>
      </c>
      <c r="V4">
        <v>34</v>
      </c>
      <c r="W4">
        <v>126.4</v>
      </c>
    </row>
    <row r="5" spans="1:23" x14ac:dyDescent="0.2">
      <c r="A5">
        <v>3</v>
      </c>
      <c r="B5">
        <v>1</v>
      </c>
      <c r="C5">
        <v>3</v>
      </c>
      <c r="D5">
        <v>44</v>
      </c>
      <c r="E5" s="2" t="s">
        <v>100</v>
      </c>
      <c r="F5" s="2" t="s">
        <v>101</v>
      </c>
      <c r="G5">
        <v>62.5</v>
      </c>
      <c r="H5">
        <v>51</v>
      </c>
      <c r="I5">
        <v>58.897637795275593</v>
      </c>
      <c r="J5">
        <v>1.51798845144357</v>
      </c>
      <c r="K5">
        <v>2.5773333333333328</v>
      </c>
      <c r="L5">
        <v>41.102362204724407</v>
      </c>
      <c r="M5">
        <v>2.9540000000000002</v>
      </c>
      <c r="N5">
        <v>3.36</v>
      </c>
      <c r="O5">
        <v>0.89924369747899169</v>
      </c>
      <c r="P5">
        <v>0.90816935002981536</v>
      </c>
      <c r="Q5">
        <v>0.5371482352941177</v>
      </c>
      <c r="R5">
        <v>1.775168356191613</v>
      </c>
      <c r="S5">
        <v>0.59733333333333338</v>
      </c>
      <c r="T5">
        <v>1.954666666666667</v>
      </c>
      <c r="U5">
        <v>47.243974999999999</v>
      </c>
      <c r="V5">
        <v>29</v>
      </c>
      <c r="W5">
        <v>147.6</v>
      </c>
    </row>
    <row r="6" spans="1:23" x14ac:dyDescent="0.2">
      <c r="A6">
        <v>4</v>
      </c>
      <c r="B6">
        <v>1</v>
      </c>
      <c r="C6">
        <v>4</v>
      </c>
      <c r="D6">
        <v>41</v>
      </c>
      <c r="E6" s="2" t="s">
        <v>94</v>
      </c>
      <c r="F6" s="2" t="s">
        <v>95</v>
      </c>
      <c r="G6">
        <v>69.5</v>
      </c>
      <c r="H6">
        <v>48</v>
      </c>
      <c r="I6">
        <v>56.724367509986678</v>
      </c>
      <c r="J6">
        <v>1.6873608521970711</v>
      </c>
      <c r="K6">
        <v>2.9746666666666668</v>
      </c>
      <c r="L6">
        <v>43.275632490013322</v>
      </c>
      <c r="M6">
        <v>3.2267903838043019</v>
      </c>
      <c r="N6">
        <v>3.68</v>
      </c>
      <c r="O6">
        <v>0.89927947263529051</v>
      </c>
      <c r="P6">
        <v>0.9091451885759777</v>
      </c>
      <c r="Q6">
        <v>0.90647370841637287</v>
      </c>
      <c r="R6">
        <v>1.7710148273460049</v>
      </c>
      <c r="S6">
        <v>1.008</v>
      </c>
      <c r="T6">
        <v>1.948</v>
      </c>
      <c r="U6">
        <v>51.728000000000002</v>
      </c>
      <c r="V6">
        <v>31.3</v>
      </c>
      <c r="W6">
        <v>131.80000000000001</v>
      </c>
    </row>
    <row r="7" spans="1:23" x14ac:dyDescent="0.2">
      <c r="A7">
        <v>5</v>
      </c>
      <c r="B7">
        <v>1</v>
      </c>
      <c r="C7">
        <v>5</v>
      </c>
      <c r="D7">
        <v>27</v>
      </c>
      <c r="E7" s="2" t="s">
        <v>78</v>
      </c>
      <c r="F7" s="2" t="s">
        <v>79</v>
      </c>
      <c r="G7">
        <v>85</v>
      </c>
      <c r="H7" t="s">
        <v>139</v>
      </c>
      <c r="I7">
        <v>59.877800407331968</v>
      </c>
      <c r="J7">
        <v>3.664521384928717</v>
      </c>
      <c r="K7">
        <v>6.12</v>
      </c>
      <c r="L7">
        <v>40.122199592668032</v>
      </c>
      <c r="M7">
        <v>3.4170899470899472</v>
      </c>
      <c r="N7">
        <v>3.8666666666666671</v>
      </c>
      <c r="O7">
        <v>0.89635854341736698</v>
      </c>
      <c r="P7" t="s">
        <v>139</v>
      </c>
      <c r="Q7">
        <v>2.8802987861811391</v>
      </c>
      <c r="R7" t="s">
        <v>139</v>
      </c>
      <c r="S7">
        <v>3.2133333333333329</v>
      </c>
      <c r="T7">
        <v>0</v>
      </c>
      <c r="U7">
        <v>48.615799999999993</v>
      </c>
      <c r="V7">
        <v>29.5</v>
      </c>
      <c r="W7" t="s">
        <v>139</v>
      </c>
    </row>
    <row r="8" spans="1:23" x14ac:dyDescent="0.2">
      <c r="A8">
        <v>6</v>
      </c>
      <c r="B8">
        <v>1</v>
      </c>
      <c r="C8">
        <v>6</v>
      </c>
      <c r="D8">
        <v>24</v>
      </c>
      <c r="E8" s="2" t="s">
        <v>72</v>
      </c>
      <c r="F8" s="2" t="s">
        <v>73</v>
      </c>
      <c r="G8">
        <v>84.5</v>
      </c>
      <c r="H8" t="s">
        <v>139</v>
      </c>
      <c r="I8">
        <v>52.410901467505241</v>
      </c>
      <c r="J8">
        <v>3.7693920335429771</v>
      </c>
      <c r="K8">
        <v>7.1920000000000002</v>
      </c>
      <c r="L8">
        <v>47.589098532494759</v>
      </c>
      <c r="M8">
        <v>2.8217765348248771</v>
      </c>
      <c r="N8">
        <v>3.2133333333333338</v>
      </c>
      <c r="O8">
        <v>0.89511754068716098</v>
      </c>
      <c r="P8" t="s">
        <v>139</v>
      </c>
      <c r="Q8">
        <v>2.303435804701627</v>
      </c>
      <c r="R8" t="s">
        <v>139</v>
      </c>
      <c r="S8">
        <v>2.5733333333333328</v>
      </c>
      <c r="T8">
        <v>0</v>
      </c>
      <c r="U8">
        <v>47.868462499999993</v>
      </c>
      <c r="V8">
        <v>28.3</v>
      </c>
      <c r="W8" t="s">
        <v>139</v>
      </c>
    </row>
    <row r="9" spans="1:23" x14ac:dyDescent="0.2">
      <c r="A9">
        <v>7</v>
      </c>
      <c r="B9">
        <v>1</v>
      </c>
      <c r="C9">
        <v>7</v>
      </c>
      <c r="D9">
        <v>37</v>
      </c>
      <c r="E9" s="2" t="s">
        <v>86</v>
      </c>
      <c r="F9" s="2" t="s">
        <v>87</v>
      </c>
      <c r="G9" t="s">
        <v>139</v>
      </c>
      <c r="H9">
        <v>54.5</v>
      </c>
      <c r="I9">
        <v>70.183486238532112</v>
      </c>
      <c r="J9">
        <v>1.7208990825688071</v>
      </c>
      <c r="K9">
        <v>2.452</v>
      </c>
      <c r="L9">
        <v>29.816513761467888</v>
      </c>
      <c r="M9">
        <v>2.7376433372874658</v>
      </c>
      <c r="N9">
        <v>3.0266666666666668</v>
      </c>
      <c r="O9" t="s">
        <v>139</v>
      </c>
      <c r="P9">
        <v>0.90992336020702702</v>
      </c>
      <c r="Q9" t="s">
        <v>139</v>
      </c>
      <c r="R9">
        <v>2.027309246541257</v>
      </c>
      <c r="S9">
        <v>0</v>
      </c>
      <c r="T9">
        <v>2.2280000000000002</v>
      </c>
      <c r="U9" t="s">
        <v>139</v>
      </c>
      <c r="V9" t="s">
        <v>139</v>
      </c>
      <c r="W9">
        <v>132.9</v>
      </c>
    </row>
    <row r="10" spans="1:23" x14ac:dyDescent="0.2">
      <c r="A10">
        <v>8</v>
      </c>
      <c r="B10">
        <v>1</v>
      </c>
      <c r="C10">
        <v>8</v>
      </c>
      <c r="D10">
        <v>30</v>
      </c>
      <c r="E10" s="2" t="s">
        <v>80</v>
      </c>
      <c r="F10" s="2" t="s">
        <v>81</v>
      </c>
      <c r="G10">
        <v>56.5</v>
      </c>
      <c r="H10">
        <v>54</v>
      </c>
      <c r="I10">
        <v>65.325670498084293</v>
      </c>
      <c r="J10">
        <v>1.661885057471264</v>
      </c>
      <c r="K10">
        <v>2.544</v>
      </c>
      <c r="L10">
        <v>34.6743295019157</v>
      </c>
      <c r="M10">
        <v>2.927462595419847</v>
      </c>
      <c r="N10">
        <v>3.28</v>
      </c>
      <c r="O10">
        <v>0.89395282851569435</v>
      </c>
      <c r="P10">
        <v>0.90828520215096609</v>
      </c>
      <c r="Q10">
        <v>0.28844877933439739</v>
      </c>
      <c r="R10">
        <v>1.927986722432451</v>
      </c>
      <c r="S10">
        <v>0.32266666666666671</v>
      </c>
      <c r="T10">
        <v>2.1226666666666669</v>
      </c>
      <c r="U10">
        <v>44.506467499999992</v>
      </c>
      <c r="V10">
        <v>28.2</v>
      </c>
      <c r="W10">
        <v>133.80000000000001</v>
      </c>
    </row>
    <row r="11" spans="1:23" x14ac:dyDescent="0.2">
      <c r="A11">
        <v>9</v>
      </c>
      <c r="B11">
        <v>1</v>
      </c>
      <c r="C11">
        <v>9</v>
      </c>
      <c r="D11">
        <v>40</v>
      </c>
      <c r="E11" s="2" t="s">
        <v>92</v>
      </c>
      <c r="F11" s="2" t="s">
        <v>93</v>
      </c>
      <c r="G11">
        <v>80.5</v>
      </c>
      <c r="H11">
        <v>53.5</v>
      </c>
      <c r="I11">
        <v>65.008291873963515</v>
      </c>
      <c r="J11">
        <v>1.4258485351022669</v>
      </c>
      <c r="K11">
        <v>2.1933333333333329</v>
      </c>
      <c r="L11">
        <v>34.991708126036478</v>
      </c>
      <c r="M11">
        <v>2.7391507856904038</v>
      </c>
      <c r="N11">
        <v>3.04</v>
      </c>
      <c r="O11">
        <v>0.8951645025093603</v>
      </c>
      <c r="P11">
        <v>0.91983668591913981</v>
      </c>
      <c r="Q11">
        <v>0.55261488621577837</v>
      </c>
      <c r="R11">
        <v>1.664291177056364</v>
      </c>
      <c r="S11">
        <v>0.61733333333333329</v>
      </c>
      <c r="T11">
        <v>1.809333333333333</v>
      </c>
      <c r="U11">
        <v>49.51465249999999</v>
      </c>
      <c r="V11">
        <v>27.7</v>
      </c>
      <c r="W11">
        <v>144.6</v>
      </c>
    </row>
    <row r="12" spans="1:23" x14ac:dyDescent="0.2">
      <c r="A12">
        <v>10</v>
      </c>
      <c r="B12">
        <v>2</v>
      </c>
      <c r="C12">
        <v>1</v>
      </c>
      <c r="D12">
        <v>38</v>
      </c>
      <c r="E12" s="2" t="s">
        <v>88</v>
      </c>
      <c r="F12" s="2" t="s">
        <v>89</v>
      </c>
      <c r="G12" t="s">
        <v>139</v>
      </c>
      <c r="H12">
        <v>58</v>
      </c>
      <c r="I12">
        <v>71.397379912663766</v>
      </c>
      <c r="J12">
        <v>1.679266375545851</v>
      </c>
      <c r="K12">
        <v>2.3519999999999999</v>
      </c>
      <c r="L12">
        <v>28.602620087336241</v>
      </c>
      <c r="M12">
        <v>2.5170124257158291</v>
      </c>
      <c r="N12">
        <v>2.893333333333334</v>
      </c>
      <c r="O12" t="s">
        <v>139</v>
      </c>
      <c r="P12">
        <v>0.90233947237431567</v>
      </c>
      <c r="Q12" t="s">
        <v>139</v>
      </c>
      <c r="R12">
        <v>1.902131607765057</v>
      </c>
      <c r="S12">
        <v>0</v>
      </c>
      <c r="T12">
        <v>2.1080000000000001</v>
      </c>
      <c r="U12" t="s">
        <v>139</v>
      </c>
      <c r="V12" t="s">
        <v>139</v>
      </c>
      <c r="W12">
        <v>147.9</v>
      </c>
    </row>
    <row r="13" spans="1:23" x14ac:dyDescent="0.2">
      <c r="A13">
        <v>11</v>
      </c>
      <c r="B13">
        <v>2</v>
      </c>
      <c r="C13">
        <v>2</v>
      </c>
      <c r="D13">
        <v>21</v>
      </c>
      <c r="E13" s="2" t="s">
        <v>66</v>
      </c>
      <c r="F13" s="2" t="s">
        <v>67</v>
      </c>
      <c r="G13" t="s">
        <v>139</v>
      </c>
      <c r="H13">
        <v>55</v>
      </c>
      <c r="I13">
        <v>85.664335664335667</v>
      </c>
      <c r="J13">
        <v>1.608205128205128</v>
      </c>
      <c r="K13">
        <v>1.8773333333333331</v>
      </c>
      <c r="L13">
        <v>14.33566433566433</v>
      </c>
      <c r="M13">
        <v>2.6393735725938008</v>
      </c>
      <c r="N13">
        <v>2.96</v>
      </c>
      <c r="O13" t="s">
        <v>139</v>
      </c>
      <c r="P13">
        <v>0.91084769399342558</v>
      </c>
      <c r="Q13" t="s">
        <v>139</v>
      </c>
      <c r="R13">
        <v>2.0002215360095619</v>
      </c>
      <c r="S13">
        <v>0</v>
      </c>
      <c r="T13">
        <v>2.1960000000000002</v>
      </c>
      <c r="U13" t="s">
        <v>139</v>
      </c>
      <c r="V13" t="s">
        <v>139</v>
      </c>
      <c r="W13">
        <v>137.30000000000001</v>
      </c>
    </row>
    <row r="14" spans="1:23" x14ac:dyDescent="0.2">
      <c r="A14">
        <v>12</v>
      </c>
      <c r="B14">
        <v>2</v>
      </c>
      <c r="C14">
        <v>3</v>
      </c>
      <c r="D14">
        <v>36</v>
      </c>
      <c r="E14" s="2" t="s">
        <v>84</v>
      </c>
      <c r="F14" s="2" t="s">
        <v>85</v>
      </c>
      <c r="G14">
        <v>87.5</v>
      </c>
      <c r="H14">
        <v>52</v>
      </c>
      <c r="I14">
        <v>68.791208791208788</v>
      </c>
      <c r="J14">
        <v>2.430622710622711</v>
      </c>
      <c r="K14">
        <v>3.5333333333333332</v>
      </c>
      <c r="L14">
        <v>31.208791208791212</v>
      </c>
      <c r="M14">
        <v>3.320848409232688</v>
      </c>
      <c r="N14">
        <v>3.72</v>
      </c>
      <c r="O14">
        <v>0.89193496971628938</v>
      </c>
      <c r="P14">
        <v>0.90386146496815301</v>
      </c>
      <c r="Q14">
        <v>0.48996961003081502</v>
      </c>
      <c r="R14">
        <v>2.0583938428874728</v>
      </c>
      <c r="S14">
        <v>0.54933333333333334</v>
      </c>
      <c r="T14">
        <v>2.277333333333333</v>
      </c>
      <c r="U14">
        <v>50.405314999999987</v>
      </c>
      <c r="V14">
        <v>32.9</v>
      </c>
      <c r="W14">
        <v>132.9</v>
      </c>
    </row>
    <row r="15" spans="1:23" x14ac:dyDescent="0.2">
      <c r="A15">
        <v>13</v>
      </c>
      <c r="B15">
        <v>2</v>
      </c>
      <c r="C15">
        <v>4</v>
      </c>
      <c r="D15">
        <v>26</v>
      </c>
      <c r="E15" s="2" t="s">
        <v>76</v>
      </c>
      <c r="F15" s="2" t="s">
        <v>77</v>
      </c>
      <c r="G15">
        <v>78.5</v>
      </c>
      <c r="H15" t="s">
        <v>139</v>
      </c>
      <c r="I15">
        <v>51.330798479087463</v>
      </c>
      <c r="J15">
        <v>3.3659315589353618</v>
      </c>
      <c r="K15">
        <v>6.5573333333333341</v>
      </c>
      <c r="L15">
        <v>48.669201520912537</v>
      </c>
      <c r="M15">
        <v>3.906470809792844</v>
      </c>
      <c r="N15">
        <v>4.4266666666666667</v>
      </c>
      <c r="O15">
        <v>0.89435380678182974</v>
      </c>
      <c r="P15" t="s">
        <v>139</v>
      </c>
      <c r="Q15">
        <v>3.1147361910855191</v>
      </c>
      <c r="R15" t="s">
        <v>139</v>
      </c>
      <c r="S15">
        <v>3.4826666666666659</v>
      </c>
      <c r="T15">
        <v>0</v>
      </c>
      <c r="U15">
        <v>49.999909999999993</v>
      </c>
      <c r="V15">
        <v>28.7</v>
      </c>
      <c r="W15" t="s">
        <v>139</v>
      </c>
    </row>
    <row r="16" spans="1:23" x14ac:dyDescent="0.2">
      <c r="A16">
        <v>14</v>
      </c>
      <c r="B16">
        <v>2</v>
      </c>
      <c r="C16">
        <v>5</v>
      </c>
      <c r="D16">
        <v>22</v>
      </c>
      <c r="E16" s="2" t="s">
        <v>68</v>
      </c>
      <c r="F16" s="2" t="s">
        <v>69</v>
      </c>
      <c r="G16">
        <v>58</v>
      </c>
      <c r="H16" t="s">
        <v>139</v>
      </c>
      <c r="I16">
        <v>54.457364341085281</v>
      </c>
      <c r="J16">
        <v>3.4838191214470289</v>
      </c>
      <c r="K16">
        <v>6.397333333333334</v>
      </c>
      <c r="L16">
        <v>45.542635658914719</v>
      </c>
      <c r="M16">
        <v>3.2499408284023672</v>
      </c>
      <c r="N16">
        <v>3.68</v>
      </c>
      <c r="O16">
        <v>0.88392706398784415</v>
      </c>
      <c r="P16" t="s">
        <v>139</v>
      </c>
      <c r="Q16">
        <v>2.5822455962631552</v>
      </c>
      <c r="R16" t="s">
        <v>139</v>
      </c>
      <c r="S16">
        <v>2.9213333333333331</v>
      </c>
      <c r="T16">
        <v>0</v>
      </c>
      <c r="U16">
        <v>46.494589999999988</v>
      </c>
      <c r="V16">
        <v>25.1</v>
      </c>
      <c r="W16" t="s">
        <v>139</v>
      </c>
    </row>
    <row r="17" spans="1:23" x14ac:dyDescent="0.2">
      <c r="A17">
        <v>15</v>
      </c>
      <c r="B17">
        <v>2</v>
      </c>
      <c r="C17">
        <v>6</v>
      </c>
      <c r="D17">
        <v>33</v>
      </c>
      <c r="E17" s="2" t="s">
        <v>82</v>
      </c>
      <c r="F17" s="2" t="s">
        <v>83</v>
      </c>
      <c r="G17">
        <v>74.5</v>
      </c>
      <c r="H17">
        <v>55.5</v>
      </c>
      <c r="I17">
        <v>53.62997658079626</v>
      </c>
      <c r="J17">
        <v>1.6396471506635439</v>
      </c>
      <c r="K17">
        <v>3.0573333333333341</v>
      </c>
      <c r="L17">
        <v>46.37002341920374</v>
      </c>
      <c r="M17">
        <v>3.335841446453407</v>
      </c>
      <c r="N17">
        <v>3.72</v>
      </c>
      <c r="O17">
        <v>0.88972260118235569</v>
      </c>
      <c r="P17">
        <v>0.90618782331874259</v>
      </c>
      <c r="Q17">
        <v>0.61568804001819022</v>
      </c>
      <c r="R17">
        <v>2.0769824910465582</v>
      </c>
      <c r="S17">
        <v>0.69200000000000006</v>
      </c>
      <c r="T17">
        <v>2.2919999999999998</v>
      </c>
      <c r="U17">
        <v>52.706704999999999</v>
      </c>
      <c r="V17">
        <v>32</v>
      </c>
      <c r="W17">
        <v>135.30000000000001</v>
      </c>
    </row>
    <row r="18" spans="1:23" x14ac:dyDescent="0.2">
      <c r="A18">
        <v>16</v>
      </c>
      <c r="B18">
        <v>2</v>
      </c>
      <c r="C18">
        <v>7</v>
      </c>
      <c r="D18">
        <v>25</v>
      </c>
      <c r="E18" s="2" t="s">
        <v>74</v>
      </c>
      <c r="F18" s="2" t="s">
        <v>75</v>
      </c>
      <c r="G18">
        <v>64</v>
      </c>
      <c r="H18" t="s">
        <v>139</v>
      </c>
      <c r="I18">
        <v>51.405622489959832</v>
      </c>
      <c r="J18">
        <v>3.8958607764390889</v>
      </c>
      <c r="K18">
        <v>7.5786666666666669</v>
      </c>
      <c r="L18">
        <v>48.594377510040168</v>
      </c>
      <c r="M18">
        <v>2.7085455915599099</v>
      </c>
      <c r="N18">
        <v>3.12</v>
      </c>
      <c r="O18">
        <v>0.89490761604326274</v>
      </c>
      <c r="P18" t="s">
        <v>139</v>
      </c>
      <c r="Q18">
        <v>2.1370393871113111</v>
      </c>
      <c r="R18" t="s">
        <v>139</v>
      </c>
      <c r="S18">
        <v>2.3879999999999999</v>
      </c>
      <c r="T18">
        <v>0</v>
      </c>
      <c r="U18">
        <v>44.449137499999992</v>
      </c>
      <c r="V18">
        <v>23.8</v>
      </c>
      <c r="W18" t="s">
        <v>139</v>
      </c>
    </row>
    <row r="19" spans="1:23" x14ac:dyDescent="0.2">
      <c r="A19">
        <v>17</v>
      </c>
      <c r="B19">
        <v>2</v>
      </c>
      <c r="C19">
        <v>8</v>
      </c>
      <c r="D19">
        <v>43</v>
      </c>
      <c r="E19" s="2" t="s">
        <v>98</v>
      </c>
      <c r="F19" s="2" t="s">
        <v>99</v>
      </c>
      <c r="G19">
        <v>59.5</v>
      </c>
      <c r="H19">
        <v>51</v>
      </c>
      <c r="I19">
        <v>62.839879154078552</v>
      </c>
      <c r="J19">
        <v>1.3305297079556899</v>
      </c>
      <c r="K19">
        <v>2.1173333333333342</v>
      </c>
      <c r="L19">
        <v>37.160120845921448</v>
      </c>
      <c r="M19">
        <v>2.719242475481908</v>
      </c>
      <c r="N19">
        <v>3.04</v>
      </c>
      <c r="O19">
        <v>0.89617940199335544</v>
      </c>
      <c r="P19">
        <v>0.91284449308526527</v>
      </c>
      <c r="Q19">
        <v>0.46242857142857141</v>
      </c>
      <c r="R19">
        <v>1.657725599442841</v>
      </c>
      <c r="S19">
        <v>0.51600000000000001</v>
      </c>
      <c r="T19">
        <v>1.8160000000000001</v>
      </c>
      <c r="U19">
        <v>47.97697999999999</v>
      </c>
      <c r="V19">
        <v>29.4</v>
      </c>
      <c r="W19">
        <v>128</v>
      </c>
    </row>
    <row r="20" spans="1:23" x14ac:dyDescent="0.2">
      <c r="A20">
        <v>18</v>
      </c>
      <c r="B20">
        <v>2</v>
      </c>
      <c r="C20">
        <v>9</v>
      </c>
      <c r="D20">
        <v>42</v>
      </c>
      <c r="E20" s="2" t="s">
        <v>96</v>
      </c>
      <c r="F20" s="2" t="s">
        <v>97</v>
      </c>
      <c r="G20">
        <v>78</v>
      </c>
      <c r="H20">
        <v>59.5</v>
      </c>
      <c r="I20">
        <v>63.565891472868209</v>
      </c>
      <c r="J20">
        <v>1.806966408268734</v>
      </c>
      <c r="K20">
        <v>2.8426666666666671</v>
      </c>
      <c r="L20">
        <v>36.434108527131791</v>
      </c>
      <c r="M20">
        <v>3.034850640113798</v>
      </c>
      <c r="N20">
        <v>3.3466666666666658</v>
      </c>
      <c r="O20">
        <v>0.8936710809978442</v>
      </c>
      <c r="P20">
        <v>0.9138360394461601</v>
      </c>
      <c r="Q20">
        <v>0.57075793039728984</v>
      </c>
      <c r="R20">
        <v>1.892249825679849</v>
      </c>
      <c r="S20">
        <v>0.63866666666666672</v>
      </c>
      <c r="T20">
        <v>2.070666666666666</v>
      </c>
      <c r="U20">
        <v>52.299252499999987</v>
      </c>
      <c r="V20">
        <v>33.4</v>
      </c>
      <c r="W20">
        <v>153.6</v>
      </c>
    </row>
    <row r="21" spans="1:23" x14ac:dyDescent="0.2">
      <c r="A21">
        <v>19</v>
      </c>
      <c r="B21">
        <v>3</v>
      </c>
      <c r="C21">
        <v>1</v>
      </c>
      <c r="D21">
        <v>27</v>
      </c>
      <c r="E21" s="2" t="s">
        <v>78</v>
      </c>
      <c r="F21" s="2" t="s">
        <v>79</v>
      </c>
      <c r="G21">
        <v>93.5</v>
      </c>
      <c r="H21" t="s">
        <v>139</v>
      </c>
      <c r="I21">
        <v>59.877800407331968</v>
      </c>
      <c r="J21">
        <v>3.3810997963340119</v>
      </c>
      <c r="K21">
        <v>5.6466666666666674</v>
      </c>
      <c r="L21">
        <v>40.122199592668032</v>
      </c>
      <c r="M21">
        <v>3.8405818181818181</v>
      </c>
      <c r="N21">
        <v>4.293333333333333</v>
      </c>
      <c r="O21">
        <v>0.89334662347371041</v>
      </c>
      <c r="P21" t="s">
        <v>139</v>
      </c>
      <c r="Q21">
        <v>3.0469075504610021</v>
      </c>
      <c r="R21" t="s">
        <v>139</v>
      </c>
      <c r="S21">
        <v>3.4106666666666672</v>
      </c>
      <c r="T21">
        <v>0</v>
      </c>
      <c r="U21">
        <v>60.073609999999988</v>
      </c>
      <c r="V21">
        <v>34</v>
      </c>
      <c r="W21" t="s">
        <v>139</v>
      </c>
    </row>
    <row r="22" spans="1:23" x14ac:dyDescent="0.2">
      <c r="A22">
        <v>20</v>
      </c>
      <c r="B22">
        <v>3</v>
      </c>
      <c r="C22">
        <v>2</v>
      </c>
      <c r="D22">
        <v>30</v>
      </c>
      <c r="E22" s="2" t="s">
        <v>80</v>
      </c>
      <c r="F22" s="2" t="s">
        <v>81</v>
      </c>
      <c r="G22">
        <v>59.5</v>
      </c>
      <c r="H22">
        <v>55</v>
      </c>
      <c r="I22">
        <v>65.325670498084293</v>
      </c>
      <c r="J22">
        <v>1.4493588761174969</v>
      </c>
      <c r="K22">
        <v>2.218666666666667</v>
      </c>
      <c r="L22">
        <v>34.6743295019157</v>
      </c>
      <c r="M22">
        <v>3.052841328413284</v>
      </c>
      <c r="N22">
        <v>3.44</v>
      </c>
      <c r="O22">
        <v>0.89143224857510572</v>
      </c>
      <c r="P22">
        <v>0.90745911447945748</v>
      </c>
      <c r="Q22">
        <v>0.24722387693816261</v>
      </c>
      <c r="R22">
        <v>2.0883659087887252</v>
      </c>
      <c r="S22">
        <v>0.27733333333333332</v>
      </c>
      <c r="T22">
        <v>2.301333333333333</v>
      </c>
      <c r="U22">
        <v>47.039224999999988</v>
      </c>
      <c r="V22">
        <v>30.3</v>
      </c>
      <c r="W22">
        <v>141.1</v>
      </c>
    </row>
    <row r="23" spans="1:23" x14ac:dyDescent="0.2">
      <c r="A23">
        <v>21</v>
      </c>
      <c r="B23">
        <v>3</v>
      </c>
      <c r="C23">
        <v>3</v>
      </c>
      <c r="D23">
        <v>40</v>
      </c>
      <c r="E23" s="2" t="s">
        <v>92</v>
      </c>
      <c r="F23" s="2" t="s">
        <v>93</v>
      </c>
      <c r="G23">
        <v>79.5</v>
      </c>
      <c r="H23">
        <v>56.5</v>
      </c>
      <c r="I23">
        <v>65.008291873963515</v>
      </c>
      <c r="J23">
        <v>2.2640221116639032</v>
      </c>
      <c r="K23">
        <v>3.4826666666666668</v>
      </c>
      <c r="L23">
        <v>34.991708126036478</v>
      </c>
      <c r="M23">
        <v>3.1631756214915789</v>
      </c>
      <c r="N23">
        <v>3.56</v>
      </c>
      <c r="O23">
        <v>0.89263608950960172</v>
      </c>
      <c r="P23">
        <v>0.90870128575700193</v>
      </c>
      <c r="Q23">
        <v>0.83074665397026926</v>
      </c>
      <c r="R23">
        <v>1.6477783315060299</v>
      </c>
      <c r="S23">
        <v>0.93066666666666664</v>
      </c>
      <c r="T23">
        <v>1.813333333333333</v>
      </c>
      <c r="U23">
        <v>50.32341499999999</v>
      </c>
      <c r="V23">
        <v>36.200000000000003</v>
      </c>
      <c r="W23">
        <v>145.4</v>
      </c>
    </row>
    <row r="24" spans="1:23" x14ac:dyDescent="0.2">
      <c r="A24">
        <v>22</v>
      </c>
      <c r="B24">
        <v>3</v>
      </c>
      <c r="C24">
        <v>4</v>
      </c>
      <c r="D24">
        <v>38</v>
      </c>
      <c r="E24" s="2" t="s">
        <v>88</v>
      </c>
      <c r="F24" s="2" t="s">
        <v>89</v>
      </c>
      <c r="G24" t="s">
        <v>139</v>
      </c>
      <c r="H24">
        <v>53.5</v>
      </c>
      <c r="I24">
        <v>71.397379912663766</v>
      </c>
      <c r="J24">
        <v>1.7373362445414851</v>
      </c>
      <c r="K24">
        <v>2.4333333333333331</v>
      </c>
      <c r="L24">
        <v>28.602620087336241</v>
      </c>
      <c r="M24">
        <v>2.197671705118005</v>
      </c>
      <c r="N24">
        <v>2.5733333333333328</v>
      </c>
      <c r="O24" t="s">
        <v>139</v>
      </c>
      <c r="P24">
        <v>0.9065988835725679</v>
      </c>
      <c r="Q24" t="s">
        <v>139</v>
      </c>
      <c r="R24">
        <v>1.5412181020733651</v>
      </c>
      <c r="S24">
        <v>0</v>
      </c>
      <c r="T24">
        <v>1.7</v>
      </c>
      <c r="U24" t="s">
        <v>139</v>
      </c>
      <c r="V24" t="s">
        <v>139</v>
      </c>
      <c r="W24">
        <v>150.9</v>
      </c>
    </row>
    <row r="25" spans="1:23" x14ac:dyDescent="0.2">
      <c r="A25">
        <v>23</v>
      </c>
      <c r="B25">
        <v>3</v>
      </c>
      <c r="C25">
        <v>5</v>
      </c>
      <c r="D25">
        <v>43</v>
      </c>
      <c r="E25" s="2" t="s">
        <v>98</v>
      </c>
      <c r="F25" s="2" t="s">
        <v>99</v>
      </c>
      <c r="G25">
        <v>63</v>
      </c>
      <c r="H25">
        <v>52</v>
      </c>
      <c r="I25">
        <v>62.839879154078552</v>
      </c>
      <c r="J25">
        <v>1.830735146022155</v>
      </c>
      <c r="K25">
        <v>2.9133333333333331</v>
      </c>
      <c r="L25">
        <v>37.160120845921448</v>
      </c>
      <c r="M25">
        <v>3.0512156615093149</v>
      </c>
      <c r="N25">
        <v>3.4266666666666659</v>
      </c>
      <c r="O25">
        <v>0.89220412234042568</v>
      </c>
      <c r="P25">
        <v>0.90419518000595067</v>
      </c>
      <c r="Q25">
        <v>0.57814827127659585</v>
      </c>
      <c r="R25">
        <v>1.650457601904195</v>
      </c>
      <c r="S25">
        <v>0.64800000000000002</v>
      </c>
      <c r="T25">
        <v>1.825333333333333</v>
      </c>
      <c r="U25">
        <v>47.964694999999992</v>
      </c>
      <c r="V25">
        <v>28.6</v>
      </c>
      <c r="W25">
        <v>128.69999999999999</v>
      </c>
    </row>
    <row r="26" spans="1:23" x14ac:dyDescent="0.2">
      <c r="A26">
        <v>24</v>
      </c>
      <c r="B26">
        <v>3</v>
      </c>
      <c r="C26">
        <v>6</v>
      </c>
      <c r="D26">
        <v>44</v>
      </c>
      <c r="E26" s="2" t="s">
        <v>100</v>
      </c>
      <c r="F26" s="2" t="s">
        <v>101</v>
      </c>
      <c r="G26">
        <v>59.5</v>
      </c>
      <c r="H26">
        <v>57.5</v>
      </c>
      <c r="I26">
        <v>58.897637795275593</v>
      </c>
      <c r="J26">
        <v>1.7551496062992129</v>
      </c>
      <c r="K26">
        <v>2.98</v>
      </c>
      <c r="L26">
        <v>41.102362204724407</v>
      </c>
      <c r="M26">
        <v>2.9570512820512831</v>
      </c>
      <c r="N26">
        <v>3.2666666666666671</v>
      </c>
      <c r="O26">
        <v>0.89304249108011691</v>
      </c>
      <c r="P26">
        <v>0.91163900208726767</v>
      </c>
      <c r="Q26">
        <v>0.62393902043464156</v>
      </c>
      <c r="R26">
        <v>1.6701226518238741</v>
      </c>
      <c r="S26">
        <v>0.69866666666666655</v>
      </c>
      <c r="T26">
        <v>1.8320000000000001</v>
      </c>
      <c r="U26">
        <v>49.185004999999997</v>
      </c>
      <c r="V26">
        <v>29.7</v>
      </c>
      <c r="W26">
        <v>152.5</v>
      </c>
    </row>
    <row r="27" spans="1:23" x14ac:dyDescent="0.2">
      <c r="A27">
        <v>25</v>
      </c>
      <c r="B27">
        <v>3</v>
      </c>
      <c r="C27">
        <v>7</v>
      </c>
      <c r="D27">
        <v>22</v>
      </c>
      <c r="E27" s="2" t="s">
        <v>68</v>
      </c>
      <c r="F27" s="2" t="s">
        <v>69</v>
      </c>
      <c r="G27">
        <v>62</v>
      </c>
      <c r="H27" t="s">
        <v>139</v>
      </c>
      <c r="I27">
        <v>54.457364341085281</v>
      </c>
      <c r="J27">
        <v>2.890596899224807</v>
      </c>
      <c r="K27">
        <v>5.3079999999999998</v>
      </c>
      <c r="L27">
        <v>45.542635658914719</v>
      </c>
      <c r="M27">
        <v>2.6778931639895398</v>
      </c>
      <c r="N27">
        <v>3.0133333333333332</v>
      </c>
      <c r="O27">
        <v>0.89211098111315401</v>
      </c>
      <c r="P27" t="s">
        <v>139</v>
      </c>
      <c r="Q27">
        <v>1.9103069808902999</v>
      </c>
      <c r="R27" t="s">
        <v>139</v>
      </c>
      <c r="S27">
        <v>2.1413333333333329</v>
      </c>
      <c r="T27">
        <v>0</v>
      </c>
      <c r="U27">
        <v>47.852082499999987</v>
      </c>
      <c r="V27">
        <v>28.7</v>
      </c>
      <c r="W27" t="s">
        <v>139</v>
      </c>
    </row>
    <row r="28" spans="1:23" x14ac:dyDescent="0.2">
      <c r="A28">
        <v>26</v>
      </c>
      <c r="B28">
        <v>3</v>
      </c>
      <c r="C28">
        <v>8</v>
      </c>
      <c r="D28">
        <v>26</v>
      </c>
      <c r="E28" s="2" t="s">
        <v>76</v>
      </c>
      <c r="F28" s="2" t="s">
        <v>77</v>
      </c>
      <c r="G28">
        <v>82.5</v>
      </c>
      <c r="H28" t="s">
        <v>139</v>
      </c>
      <c r="I28">
        <v>51.330798479087463</v>
      </c>
      <c r="J28">
        <v>3.4069961977186312</v>
      </c>
      <c r="K28">
        <v>6.6373333333333324</v>
      </c>
      <c r="L28">
        <v>48.669201520912537</v>
      </c>
      <c r="M28">
        <v>3.5386333680194242</v>
      </c>
      <c r="N28">
        <v>3.9866666666666668</v>
      </c>
      <c r="O28">
        <v>0.88463974663499612</v>
      </c>
      <c r="P28" t="s">
        <v>139</v>
      </c>
      <c r="Q28">
        <v>2.7069976247030878</v>
      </c>
      <c r="R28" t="s">
        <v>139</v>
      </c>
      <c r="S28">
        <v>3.06</v>
      </c>
      <c r="T28">
        <v>0</v>
      </c>
      <c r="U28">
        <v>49.938484999999993</v>
      </c>
      <c r="V28">
        <v>28.9</v>
      </c>
      <c r="W28" t="s">
        <v>139</v>
      </c>
    </row>
    <row r="29" spans="1:23" x14ac:dyDescent="0.2">
      <c r="A29">
        <v>27</v>
      </c>
      <c r="B29">
        <v>3</v>
      </c>
      <c r="C29">
        <v>9</v>
      </c>
      <c r="D29">
        <v>21</v>
      </c>
      <c r="E29" s="2" t="s">
        <v>66</v>
      </c>
      <c r="F29" s="2" t="s">
        <v>67</v>
      </c>
      <c r="G29" t="s">
        <v>139</v>
      </c>
      <c r="H29">
        <v>59.5</v>
      </c>
      <c r="I29">
        <v>85.664335664335667</v>
      </c>
      <c r="J29">
        <v>2.2535431235431229</v>
      </c>
      <c r="K29">
        <v>2.630666666666666</v>
      </c>
      <c r="L29">
        <v>14.33566433566433</v>
      </c>
      <c r="M29">
        <v>3.1225021872265968</v>
      </c>
      <c r="N29">
        <v>3.4533333333333331</v>
      </c>
      <c r="O29" t="s">
        <v>139</v>
      </c>
      <c r="P29">
        <v>0.90805168986083518</v>
      </c>
      <c r="Q29" t="s">
        <v>139</v>
      </c>
      <c r="R29">
        <v>2.489272365805169</v>
      </c>
      <c r="S29">
        <v>0</v>
      </c>
      <c r="T29">
        <v>2.741333333333333</v>
      </c>
      <c r="U29" t="s">
        <v>139</v>
      </c>
      <c r="V29" t="s">
        <v>139</v>
      </c>
      <c r="W29">
        <v>139.5</v>
      </c>
    </row>
    <row r="30" spans="1:23" x14ac:dyDescent="0.2">
      <c r="A30">
        <v>28</v>
      </c>
      <c r="B30">
        <v>4</v>
      </c>
      <c r="C30">
        <v>1</v>
      </c>
      <c r="D30">
        <v>24</v>
      </c>
      <c r="E30" s="2" t="s">
        <v>72</v>
      </c>
      <c r="F30" s="2" t="s">
        <v>73</v>
      </c>
      <c r="G30">
        <v>85</v>
      </c>
      <c r="H30" t="s">
        <v>139</v>
      </c>
      <c r="I30">
        <v>52.410901467505241</v>
      </c>
      <c r="J30">
        <v>3.5213137665967849</v>
      </c>
      <c r="K30">
        <v>6.7186666666666657</v>
      </c>
      <c r="L30">
        <v>47.589098532494759</v>
      </c>
      <c r="M30">
        <v>3.68037387545274</v>
      </c>
      <c r="N30">
        <v>4.1733333333333338</v>
      </c>
      <c r="O30">
        <v>0.90004073319755606</v>
      </c>
      <c r="P30" t="s">
        <v>139</v>
      </c>
      <c r="Q30">
        <v>2.8537291513917178</v>
      </c>
      <c r="R30" t="s">
        <v>139</v>
      </c>
      <c r="S30">
        <v>3.170666666666667</v>
      </c>
      <c r="T30">
        <v>0</v>
      </c>
      <c r="U30">
        <v>49.09901</v>
      </c>
      <c r="V30">
        <v>31.2</v>
      </c>
      <c r="W30" t="s">
        <v>139</v>
      </c>
    </row>
    <row r="31" spans="1:23" x14ac:dyDescent="0.2">
      <c r="A31">
        <v>29</v>
      </c>
      <c r="B31">
        <v>4</v>
      </c>
      <c r="C31">
        <v>2</v>
      </c>
      <c r="D31">
        <v>25</v>
      </c>
      <c r="E31" s="2" t="s">
        <v>74</v>
      </c>
      <c r="F31" s="2" t="s">
        <v>75</v>
      </c>
      <c r="G31">
        <v>63.5</v>
      </c>
      <c r="H31" t="s">
        <v>139</v>
      </c>
      <c r="I31">
        <v>51.405622489959832</v>
      </c>
      <c r="J31">
        <v>3.1665863453815262</v>
      </c>
      <c r="K31">
        <v>6.16</v>
      </c>
      <c r="L31">
        <v>48.594377510040168</v>
      </c>
      <c r="M31">
        <v>3.279654088050314</v>
      </c>
      <c r="N31">
        <v>3.76</v>
      </c>
      <c r="O31">
        <v>0.89786940395065984</v>
      </c>
      <c r="P31" t="s">
        <v>139</v>
      </c>
      <c r="Q31">
        <v>2.384741136892953</v>
      </c>
      <c r="R31" t="s">
        <v>139</v>
      </c>
      <c r="S31">
        <v>2.6560000000000001</v>
      </c>
      <c r="T31">
        <v>0</v>
      </c>
      <c r="U31">
        <v>45.986809999999998</v>
      </c>
      <c r="V31">
        <v>27.3</v>
      </c>
      <c r="W31" t="s">
        <v>139</v>
      </c>
    </row>
    <row r="32" spans="1:23" x14ac:dyDescent="0.2">
      <c r="A32">
        <v>30</v>
      </c>
      <c r="B32">
        <v>4</v>
      </c>
      <c r="C32">
        <v>3</v>
      </c>
      <c r="D32">
        <v>33</v>
      </c>
      <c r="E32" s="2" t="s">
        <v>82</v>
      </c>
      <c r="F32" s="2" t="s">
        <v>83</v>
      </c>
      <c r="G32">
        <v>92</v>
      </c>
      <c r="H32">
        <v>71.5</v>
      </c>
      <c r="I32">
        <v>53.62997658079626</v>
      </c>
      <c r="J32">
        <v>3.0733551912568311</v>
      </c>
      <c r="K32">
        <v>5.730666666666667</v>
      </c>
      <c r="L32">
        <v>46.37002341920374</v>
      </c>
      <c r="M32">
        <v>4.2061016949152554</v>
      </c>
      <c r="N32">
        <v>4.7200000000000006</v>
      </c>
      <c r="O32">
        <v>0.89141882370392334</v>
      </c>
      <c r="P32">
        <v>0.90799321425007495</v>
      </c>
      <c r="Q32">
        <v>0.66915839699374502</v>
      </c>
      <c r="R32">
        <v>2.6888705717992218</v>
      </c>
      <c r="S32">
        <v>0.75066666666666659</v>
      </c>
      <c r="T32">
        <v>2.9613333333333332</v>
      </c>
      <c r="U32">
        <v>53.965917499999989</v>
      </c>
      <c r="V32">
        <v>35.9</v>
      </c>
      <c r="W32">
        <v>144.69999999999999</v>
      </c>
    </row>
    <row r="33" spans="1:23" x14ac:dyDescent="0.2">
      <c r="A33">
        <v>31</v>
      </c>
      <c r="B33">
        <v>4</v>
      </c>
      <c r="C33">
        <v>4</v>
      </c>
      <c r="D33">
        <v>42</v>
      </c>
      <c r="E33" s="2" t="s">
        <v>96</v>
      </c>
      <c r="F33" s="2" t="s">
        <v>97</v>
      </c>
      <c r="G33">
        <v>80</v>
      </c>
      <c r="H33">
        <v>58.5</v>
      </c>
      <c r="I33">
        <v>63.565891472868209</v>
      </c>
      <c r="J33">
        <v>2.3087131782945729</v>
      </c>
      <c r="K33">
        <v>3.6320000000000001</v>
      </c>
      <c r="L33">
        <v>36.434108527131791</v>
      </c>
      <c r="M33">
        <v>3.1420707985985259</v>
      </c>
      <c r="N33">
        <v>3.586666666666666</v>
      </c>
      <c r="O33">
        <v>0.8922704216821864</v>
      </c>
      <c r="P33">
        <v>0.90991349308939062</v>
      </c>
      <c r="Q33">
        <v>0.76497317485552785</v>
      </c>
      <c r="R33">
        <v>1.7276224188790561</v>
      </c>
      <c r="S33">
        <v>0.85733333333333339</v>
      </c>
      <c r="T33">
        <v>1.8986666666666669</v>
      </c>
      <c r="U33">
        <v>53.024067499999987</v>
      </c>
      <c r="V33">
        <v>33</v>
      </c>
      <c r="W33">
        <v>147</v>
      </c>
    </row>
    <row r="34" spans="1:23" x14ac:dyDescent="0.2">
      <c r="A34">
        <v>32</v>
      </c>
      <c r="B34">
        <v>4</v>
      </c>
      <c r="C34">
        <v>5</v>
      </c>
      <c r="D34">
        <v>37</v>
      </c>
      <c r="E34" s="2" t="s">
        <v>86</v>
      </c>
      <c r="F34" s="2" t="s">
        <v>87</v>
      </c>
      <c r="G34" t="s">
        <v>139</v>
      </c>
      <c r="H34">
        <v>56</v>
      </c>
      <c r="I34">
        <v>70.183486238532112</v>
      </c>
      <c r="J34">
        <v>1.4532660550458709</v>
      </c>
      <c r="K34">
        <v>2.070666666666666</v>
      </c>
      <c r="L34">
        <v>29.816513761467888</v>
      </c>
      <c r="M34">
        <v>2.986001719690456</v>
      </c>
      <c r="N34">
        <v>3.32</v>
      </c>
      <c r="O34" t="s">
        <v>139</v>
      </c>
      <c r="P34">
        <v>0.90441983438092399</v>
      </c>
      <c r="Q34" t="s">
        <v>139</v>
      </c>
      <c r="R34">
        <v>2.2827556619774518</v>
      </c>
      <c r="S34">
        <v>0</v>
      </c>
      <c r="T34">
        <v>2.524</v>
      </c>
      <c r="U34" t="s">
        <v>139</v>
      </c>
      <c r="V34" t="s">
        <v>139</v>
      </c>
      <c r="W34">
        <v>135.19999999999999</v>
      </c>
    </row>
    <row r="35" spans="1:23" x14ac:dyDescent="0.2">
      <c r="A35">
        <v>33</v>
      </c>
      <c r="B35">
        <v>4</v>
      </c>
      <c r="C35">
        <v>6</v>
      </c>
      <c r="D35">
        <v>23</v>
      </c>
      <c r="E35" s="2" t="s">
        <v>70</v>
      </c>
      <c r="F35" s="2" t="s">
        <v>71</v>
      </c>
      <c r="G35">
        <v>75</v>
      </c>
      <c r="H35" t="s">
        <v>139</v>
      </c>
      <c r="I35">
        <v>50.431965442764579</v>
      </c>
      <c r="J35">
        <v>2.6883599712023041</v>
      </c>
      <c r="K35">
        <v>5.3306666666666667</v>
      </c>
      <c r="L35">
        <v>49.568034557235421</v>
      </c>
      <c r="M35">
        <v>3.344002022500316</v>
      </c>
      <c r="N35">
        <v>3.7333333333333329</v>
      </c>
      <c r="O35">
        <v>0.89414206642066418</v>
      </c>
      <c r="P35" t="s">
        <v>139</v>
      </c>
      <c r="Q35">
        <v>2.5751291512915131</v>
      </c>
      <c r="R35" t="s">
        <v>139</v>
      </c>
      <c r="S35">
        <v>2.88</v>
      </c>
      <c r="T35">
        <v>0</v>
      </c>
      <c r="U35">
        <v>52.1927825</v>
      </c>
      <c r="V35">
        <v>32.9</v>
      </c>
      <c r="W35" t="s">
        <v>139</v>
      </c>
    </row>
    <row r="36" spans="1:23" x14ac:dyDescent="0.2">
      <c r="A36">
        <v>34</v>
      </c>
      <c r="B36">
        <v>4</v>
      </c>
      <c r="C36">
        <v>7</v>
      </c>
      <c r="D36">
        <v>41</v>
      </c>
      <c r="E36" s="2" t="s">
        <v>94</v>
      </c>
      <c r="F36" s="2" t="s">
        <v>95</v>
      </c>
      <c r="G36">
        <v>79.5</v>
      </c>
      <c r="H36">
        <v>53</v>
      </c>
      <c r="I36">
        <v>56.724367509986678</v>
      </c>
      <c r="J36">
        <v>1.704756324900133</v>
      </c>
      <c r="K36">
        <v>3.0053333333333332</v>
      </c>
      <c r="L36">
        <v>43.275632490013322</v>
      </c>
      <c r="M36">
        <v>2.9358598949211911</v>
      </c>
      <c r="N36">
        <v>3.24</v>
      </c>
      <c r="O36">
        <v>0.89568668563726228</v>
      </c>
      <c r="P36">
        <v>0.91323837035561317</v>
      </c>
      <c r="Q36">
        <v>0.64847716040137793</v>
      </c>
      <c r="R36">
        <v>1.6340878573563109</v>
      </c>
      <c r="S36">
        <v>0.72400000000000009</v>
      </c>
      <c r="T36">
        <v>1.789333333333333</v>
      </c>
      <c r="U36">
        <v>52.990079000000001</v>
      </c>
      <c r="V36">
        <v>34.299999999999997</v>
      </c>
      <c r="W36">
        <v>128.80000000000001</v>
      </c>
    </row>
    <row r="37" spans="1:23" x14ac:dyDescent="0.2">
      <c r="A37">
        <v>35</v>
      </c>
      <c r="B37">
        <v>4</v>
      </c>
      <c r="C37">
        <v>8</v>
      </c>
      <c r="D37">
        <v>36</v>
      </c>
      <c r="E37" s="2" t="s">
        <v>84</v>
      </c>
      <c r="F37" s="2" t="s">
        <v>85</v>
      </c>
      <c r="G37">
        <v>81.5</v>
      </c>
      <c r="H37">
        <v>59.5</v>
      </c>
      <c r="I37">
        <v>68.791208791208788</v>
      </c>
      <c r="J37">
        <v>1.993110622710623</v>
      </c>
      <c r="K37">
        <v>2.897333333333334</v>
      </c>
      <c r="L37">
        <v>31.208791208791212</v>
      </c>
      <c r="M37">
        <v>3.1947449768160738</v>
      </c>
      <c r="N37">
        <v>3.5333333333333332</v>
      </c>
      <c r="O37">
        <v>0.89393580947874773</v>
      </c>
      <c r="P37">
        <v>0.91011347800119458</v>
      </c>
      <c r="Q37">
        <v>0.46842236416686378</v>
      </c>
      <c r="R37">
        <v>1.963418143207911</v>
      </c>
      <c r="S37">
        <v>0.52400000000000002</v>
      </c>
      <c r="T37">
        <v>2.1573333333333329</v>
      </c>
      <c r="U37">
        <v>50.294749999999993</v>
      </c>
      <c r="V37">
        <v>40.5</v>
      </c>
      <c r="W37">
        <v>132.69999999999999</v>
      </c>
    </row>
    <row r="38" spans="1:23" x14ac:dyDescent="0.2">
      <c r="A38">
        <v>36</v>
      </c>
      <c r="B38">
        <v>4</v>
      </c>
      <c r="C38">
        <v>9</v>
      </c>
      <c r="D38">
        <v>39</v>
      </c>
      <c r="E38" s="2" t="s">
        <v>90</v>
      </c>
      <c r="F38" s="2" t="s">
        <v>91</v>
      </c>
      <c r="G38">
        <v>82</v>
      </c>
      <c r="H38">
        <v>57.5</v>
      </c>
      <c r="I38">
        <v>58.789625360230538</v>
      </c>
      <c r="J38">
        <v>1.7801498559077811</v>
      </c>
      <c r="K38">
        <v>3.028</v>
      </c>
      <c r="L38">
        <v>41.210374639769462</v>
      </c>
      <c r="M38">
        <v>3.1286908077994431</v>
      </c>
      <c r="N38">
        <v>3.4666666666666668</v>
      </c>
      <c r="O38">
        <v>0.89563900183369205</v>
      </c>
      <c r="P38">
        <v>0.91324701195219127</v>
      </c>
      <c r="Q38">
        <v>0.49319854367641991</v>
      </c>
      <c r="R38">
        <v>1.9616545816733071</v>
      </c>
      <c r="S38">
        <v>0.55066666666666675</v>
      </c>
      <c r="T38">
        <v>2.1480000000000001</v>
      </c>
      <c r="U38">
        <v>50.446264999999997</v>
      </c>
      <c r="V38">
        <v>35.9</v>
      </c>
      <c r="W38">
        <v>134.19999999999999</v>
      </c>
    </row>
    <row r="39" spans="1:23" x14ac:dyDescent="0.2">
      <c r="A39">
        <v>37</v>
      </c>
      <c r="B39">
        <v>5</v>
      </c>
      <c r="C39">
        <v>1</v>
      </c>
      <c r="D39">
        <v>41</v>
      </c>
      <c r="E39" s="2" t="s">
        <v>94</v>
      </c>
      <c r="F39" s="2" t="s">
        <v>95</v>
      </c>
      <c r="G39">
        <v>76</v>
      </c>
      <c r="H39">
        <v>50.5</v>
      </c>
      <c r="I39">
        <v>56.724367509986678</v>
      </c>
      <c r="J39">
        <v>1.1995312916111851</v>
      </c>
      <c r="K39">
        <v>2.114666666666666</v>
      </c>
      <c r="L39">
        <v>43.275632490013322</v>
      </c>
      <c r="M39">
        <v>3.1013286577050461</v>
      </c>
      <c r="N39">
        <v>3.4933333333333332</v>
      </c>
      <c r="O39">
        <v>0.89593695003443263</v>
      </c>
      <c r="P39">
        <v>0.90465301252734154</v>
      </c>
      <c r="Q39">
        <v>0.59848588262300095</v>
      </c>
      <c r="R39">
        <v>1.770707496520183</v>
      </c>
      <c r="S39">
        <v>0.66799999999999993</v>
      </c>
      <c r="T39">
        <v>1.9573333333333329</v>
      </c>
      <c r="U39">
        <v>52.246017500000001</v>
      </c>
      <c r="V39">
        <v>31.1</v>
      </c>
      <c r="W39">
        <v>128.80000000000001</v>
      </c>
    </row>
    <row r="40" spans="1:23" x14ac:dyDescent="0.2">
      <c r="A40">
        <v>38</v>
      </c>
      <c r="B40">
        <v>5</v>
      </c>
      <c r="C40">
        <v>2</v>
      </c>
      <c r="D40">
        <v>43</v>
      </c>
      <c r="E40" s="2" t="s">
        <v>98</v>
      </c>
      <c r="F40" s="2" t="s">
        <v>99</v>
      </c>
      <c r="G40">
        <v>61.5</v>
      </c>
      <c r="H40">
        <v>58</v>
      </c>
      <c r="I40">
        <v>62.839879154078552</v>
      </c>
      <c r="J40">
        <v>2.2999395770392752</v>
      </c>
      <c r="K40">
        <v>3.66</v>
      </c>
      <c r="L40">
        <v>37.160120845921448</v>
      </c>
      <c r="M40">
        <v>3.36379819605511</v>
      </c>
      <c r="N40">
        <v>3.773333333333333</v>
      </c>
      <c r="O40">
        <v>0.89123178376618095</v>
      </c>
      <c r="P40">
        <v>0.90334424928053991</v>
      </c>
      <c r="Q40">
        <v>0.49908979890906141</v>
      </c>
      <c r="R40">
        <v>2.0307178723826542</v>
      </c>
      <c r="S40">
        <v>0.56000000000000005</v>
      </c>
      <c r="T40">
        <v>2.2480000000000002</v>
      </c>
      <c r="U40">
        <v>48.415144999999988</v>
      </c>
      <c r="V40">
        <v>27.9</v>
      </c>
      <c r="W40">
        <v>132.5</v>
      </c>
    </row>
    <row r="41" spans="1:23" x14ac:dyDescent="0.2">
      <c r="A41">
        <v>39</v>
      </c>
      <c r="B41">
        <v>5</v>
      </c>
      <c r="C41">
        <v>3</v>
      </c>
      <c r="D41">
        <v>37</v>
      </c>
      <c r="E41" s="2" t="s">
        <v>86</v>
      </c>
      <c r="F41" s="2" t="s">
        <v>87</v>
      </c>
      <c r="G41" t="s">
        <v>139</v>
      </c>
      <c r="H41">
        <v>58</v>
      </c>
      <c r="I41">
        <v>70.183486238532112</v>
      </c>
      <c r="J41">
        <v>2.2046972477064219</v>
      </c>
      <c r="K41">
        <v>3.1413333333333329</v>
      </c>
      <c r="L41">
        <v>29.816513761467888</v>
      </c>
      <c r="M41">
        <v>2.8880627099664049</v>
      </c>
      <c r="N41">
        <v>3.24</v>
      </c>
      <c r="O41" t="s">
        <v>139</v>
      </c>
      <c r="P41">
        <v>0.90953375086986799</v>
      </c>
      <c r="Q41" t="s">
        <v>139</v>
      </c>
      <c r="R41">
        <v>2.0822259336580839</v>
      </c>
      <c r="S41">
        <v>0</v>
      </c>
      <c r="T41">
        <v>2.289333333333333</v>
      </c>
      <c r="U41" t="s">
        <v>139</v>
      </c>
      <c r="V41" t="s">
        <v>139</v>
      </c>
      <c r="W41">
        <v>136.30000000000001</v>
      </c>
    </row>
    <row r="42" spans="1:23" x14ac:dyDescent="0.2">
      <c r="A42">
        <v>40</v>
      </c>
      <c r="B42">
        <v>5</v>
      </c>
      <c r="C42">
        <v>4</v>
      </c>
      <c r="D42">
        <v>24</v>
      </c>
      <c r="E42" s="2" t="s">
        <v>72</v>
      </c>
      <c r="F42" s="2" t="s">
        <v>73</v>
      </c>
      <c r="G42">
        <v>86.5</v>
      </c>
      <c r="H42" t="s">
        <v>139</v>
      </c>
      <c r="I42">
        <v>52.410901467505241</v>
      </c>
      <c r="J42">
        <v>3.1502445842068481</v>
      </c>
      <c r="K42">
        <v>6.0106666666666664</v>
      </c>
      <c r="L42">
        <v>47.589098532494759</v>
      </c>
      <c r="M42">
        <v>3.1331090342679131</v>
      </c>
      <c r="N42">
        <v>3.5333333333333332</v>
      </c>
      <c r="O42">
        <v>0.89148395297108363</v>
      </c>
      <c r="P42" t="s">
        <v>139</v>
      </c>
      <c r="Q42">
        <v>2.5139847473784558</v>
      </c>
      <c r="R42" t="s">
        <v>139</v>
      </c>
      <c r="S42">
        <v>2.82</v>
      </c>
      <c r="T42">
        <v>0</v>
      </c>
      <c r="U42">
        <v>50.438074999999991</v>
      </c>
      <c r="V42">
        <v>33.5</v>
      </c>
      <c r="W42" t="s">
        <v>139</v>
      </c>
    </row>
    <row r="43" spans="1:23" x14ac:dyDescent="0.2">
      <c r="A43">
        <v>41</v>
      </c>
      <c r="B43">
        <v>5</v>
      </c>
      <c r="C43">
        <v>5</v>
      </c>
      <c r="D43">
        <v>21</v>
      </c>
      <c r="E43" s="2" t="s">
        <v>66</v>
      </c>
      <c r="F43" s="2" t="s">
        <v>67</v>
      </c>
      <c r="G43" t="s">
        <v>139</v>
      </c>
      <c r="H43">
        <v>57.5</v>
      </c>
      <c r="I43">
        <v>85.664335664335667</v>
      </c>
      <c r="J43">
        <v>1.936013986013986</v>
      </c>
      <c r="K43">
        <v>2.2599999999999998</v>
      </c>
      <c r="L43">
        <v>14.33566433566433</v>
      </c>
      <c r="M43">
        <v>3.0004267886062679</v>
      </c>
      <c r="N43">
        <v>3.3466666666666658</v>
      </c>
      <c r="O43" t="s">
        <v>139</v>
      </c>
      <c r="P43">
        <v>0.90819377990430628</v>
      </c>
      <c r="Q43" t="s">
        <v>139</v>
      </c>
      <c r="R43">
        <v>2.3504055023923449</v>
      </c>
      <c r="S43">
        <v>0</v>
      </c>
      <c r="T43">
        <v>2.5880000000000001</v>
      </c>
      <c r="U43" t="s">
        <v>139</v>
      </c>
      <c r="V43" t="s">
        <v>139</v>
      </c>
      <c r="W43">
        <v>133.80000000000001</v>
      </c>
    </row>
    <row r="44" spans="1:23" x14ac:dyDescent="0.2">
      <c r="A44">
        <v>42</v>
      </c>
      <c r="B44">
        <v>5</v>
      </c>
      <c r="C44">
        <v>6</v>
      </c>
      <c r="D44">
        <v>42</v>
      </c>
      <c r="E44" s="2" t="s">
        <v>96</v>
      </c>
      <c r="F44" s="2" t="s">
        <v>97</v>
      </c>
      <c r="G44">
        <v>80</v>
      </c>
      <c r="H44">
        <v>62</v>
      </c>
      <c r="I44">
        <v>63.565891472868209</v>
      </c>
      <c r="J44">
        <v>1.9290129198966399</v>
      </c>
      <c r="K44">
        <v>3.034666666666666</v>
      </c>
      <c r="L44">
        <v>36.434108527131791</v>
      </c>
      <c r="M44">
        <v>3.20038336208549</v>
      </c>
      <c r="N44">
        <v>3.5733333333333328</v>
      </c>
      <c r="O44">
        <v>0.89662027833001989</v>
      </c>
      <c r="P44">
        <v>0.90188078415762774</v>
      </c>
      <c r="Q44">
        <v>0.80695825049701797</v>
      </c>
      <c r="R44">
        <v>1.6774982585331879</v>
      </c>
      <c r="S44">
        <v>0.9</v>
      </c>
      <c r="T44">
        <v>1.86</v>
      </c>
      <c r="U44">
        <v>52.499907499999999</v>
      </c>
      <c r="V44">
        <v>31.7</v>
      </c>
      <c r="W44">
        <v>148.4</v>
      </c>
    </row>
    <row r="45" spans="1:23" x14ac:dyDescent="0.2">
      <c r="A45">
        <v>43</v>
      </c>
      <c r="B45">
        <v>5</v>
      </c>
      <c r="C45">
        <v>7</v>
      </c>
      <c r="D45">
        <v>26</v>
      </c>
      <c r="E45" s="2" t="s">
        <v>76</v>
      </c>
      <c r="F45" s="2" t="s">
        <v>77</v>
      </c>
      <c r="G45">
        <v>80</v>
      </c>
      <c r="H45" t="s">
        <v>139</v>
      </c>
      <c r="I45">
        <v>51.330798479087463</v>
      </c>
      <c r="J45">
        <v>3.2844866920152098</v>
      </c>
      <c r="K45">
        <v>6.3986666666666672</v>
      </c>
      <c r="L45">
        <v>48.669201520912537</v>
      </c>
      <c r="M45">
        <v>3.4198014559894112</v>
      </c>
      <c r="N45">
        <v>3.8533333333333331</v>
      </c>
      <c r="O45">
        <v>0.89958745232349968</v>
      </c>
      <c r="P45" t="s">
        <v>139</v>
      </c>
      <c r="Q45">
        <v>2.6795711579875978</v>
      </c>
      <c r="R45" t="s">
        <v>139</v>
      </c>
      <c r="S45">
        <v>2.9786666666666668</v>
      </c>
      <c r="T45">
        <v>0</v>
      </c>
      <c r="U45">
        <v>51.16698499999999</v>
      </c>
      <c r="V45">
        <v>33</v>
      </c>
      <c r="W45" t="s">
        <v>139</v>
      </c>
    </row>
    <row r="46" spans="1:23" x14ac:dyDescent="0.2">
      <c r="A46">
        <v>44</v>
      </c>
      <c r="B46">
        <v>5</v>
      </c>
      <c r="C46">
        <v>8</v>
      </c>
      <c r="D46">
        <v>44</v>
      </c>
      <c r="E46" s="2" t="s">
        <v>100</v>
      </c>
      <c r="F46" s="2" t="s">
        <v>101</v>
      </c>
      <c r="G46">
        <v>65.5</v>
      </c>
      <c r="H46">
        <v>55</v>
      </c>
      <c r="I46">
        <v>58.897637795275593</v>
      </c>
      <c r="J46">
        <v>2.166647769028871</v>
      </c>
      <c r="K46">
        <v>3.678666666666667</v>
      </c>
      <c r="L46">
        <v>41.102362204724407</v>
      </c>
      <c r="M46">
        <v>2.9311311053984581</v>
      </c>
      <c r="N46">
        <v>3.28</v>
      </c>
      <c r="O46">
        <v>0.90138549307253468</v>
      </c>
      <c r="P46">
        <v>0.90410006949270338</v>
      </c>
      <c r="Q46">
        <v>0.60693289866884004</v>
      </c>
      <c r="R46">
        <v>1.538175584896919</v>
      </c>
      <c r="S46">
        <v>0.67333333333333334</v>
      </c>
      <c r="T46">
        <v>1.7013333333333329</v>
      </c>
      <c r="U46">
        <v>48.630132499999988</v>
      </c>
      <c r="V46">
        <v>29.7</v>
      </c>
      <c r="W46">
        <v>150.19999999999999</v>
      </c>
    </row>
    <row r="47" spans="1:23" x14ac:dyDescent="0.2">
      <c r="A47">
        <v>45</v>
      </c>
      <c r="B47">
        <v>5</v>
      </c>
      <c r="C47">
        <v>9</v>
      </c>
      <c r="D47">
        <v>27</v>
      </c>
      <c r="E47" s="2" t="s">
        <v>78</v>
      </c>
      <c r="F47" s="2" t="s">
        <v>79</v>
      </c>
      <c r="G47">
        <v>96.5</v>
      </c>
      <c r="H47" t="s">
        <v>139</v>
      </c>
      <c r="I47">
        <v>59.877800407331968</v>
      </c>
      <c r="J47">
        <v>4.6433238289205701</v>
      </c>
      <c r="K47">
        <v>7.7546666666666662</v>
      </c>
      <c r="L47">
        <v>40.122199592668032</v>
      </c>
      <c r="M47">
        <v>3.9437398373983741</v>
      </c>
      <c r="N47">
        <v>4.4666666666666668</v>
      </c>
      <c r="O47">
        <v>0.90088346655448059</v>
      </c>
      <c r="P47" t="s">
        <v>139</v>
      </c>
      <c r="Q47">
        <v>3.1314709297433749</v>
      </c>
      <c r="R47" t="s">
        <v>139</v>
      </c>
      <c r="S47">
        <v>3.476</v>
      </c>
      <c r="T47">
        <v>0</v>
      </c>
      <c r="U47">
        <v>47.231689999999993</v>
      </c>
      <c r="V47">
        <v>27.6</v>
      </c>
      <c r="W47" t="s">
        <v>139</v>
      </c>
    </row>
    <row r="48" spans="1:23" x14ac:dyDescent="0.2">
      <c r="A48">
        <v>46</v>
      </c>
      <c r="B48">
        <v>6</v>
      </c>
      <c r="C48">
        <v>1</v>
      </c>
      <c r="D48">
        <v>25</v>
      </c>
      <c r="E48" s="2" t="s">
        <v>74</v>
      </c>
      <c r="F48" s="2" t="s">
        <v>75</v>
      </c>
      <c r="G48">
        <v>63</v>
      </c>
      <c r="H48" t="s">
        <v>139</v>
      </c>
      <c r="I48">
        <v>51.405622489959832</v>
      </c>
      <c r="J48">
        <v>2.7320374832663989</v>
      </c>
      <c r="K48">
        <v>5.3146666666666667</v>
      </c>
      <c r="L48">
        <v>48.594377510040168</v>
      </c>
      <c r="M48">
        <v>2.321780303030303</v>
      </c>
      <c r="N48">
        <v>2.7333333333333329</v>
      </c>
      <c r="O48">
        <v>0.89780316344463973</v>
      </c>
      <c r="P48" t="s">
        <v>139</v>
      </c>
      <c r="Q48">
        <v>1.5717540714704159</v>
      </c>
      <c r="R48" t="s">
        <v>139</v>
      </c>
      <c r="S48">
        <v>1.750666666666667</v>
      </c>
      <c r="T48">
        <v>0</v>
      </c>
      <c r="U48">
        <v>45.42374749999999</v>
      </c>
      <c r="V48">
        <v>27.6</v>
      </c>
      <c r="W48" t="s">
        <v>139</v>
      </c>
    </row>
    <row r="49" spans="1:23" x14ac:dyDescent="0.2">
      <c r="A49">
        <v>47</v>
      </c>
      <c r="B49">
        <v>6</v>
      </c>
      <c r="C49">
        <v>2</v>
      </c>
      <c r="D49">
        <v>36</v>
      </c>
      <c r="E49" s="2" t="s">
        <v>84</v>
      </c>
      <c r="F49" s="2" t="s">
        <v>85</v>
      </c>
      <c r="G49">
        <v>80.5</v>
      </c>
      <c r="H49">
        <v>51.5</v>
      </c>
      <c r="I49">
        <v>68.791208791208788</v>
      </c>
      <c r="J49">
        <v>1.743627838827839</v>
      </c>
      <c r="K49">
        <v>2.5346666666666668</v>
      </c>
      <c r="L49">
        <v>31.208791208791212</v>
      </c>
      <c r="M49">
        <v>3.060186081131373</v>
      </c>
      <c r="N49">
        <v>3.4133333333333331</v>
      </c>
      <c r="O49">
        <v>0.89551890462112971</v>
      </c>
      <c r="P49">
        <v>0.90466269841269842</v>
      </c>
      <c r="Q49">
        <v>0.41790882215652708</v>
      </c>
      <c r="R49">
        <v>1.9745771164021171</v>
      </c>
      <c r="S49">
        <v>0.46666666666666662</v>
      </c>
      <c r="T49">
        <v>2.182666666666667</v>
      </c>
      <c r="U49">
        <v>51.365592499999977</v>
      </c>
      <c r="V49">
        <v>32</v>
      </c>
      <c r="W49">
        <v>138</v>
      </c>
    </row>
    <row r="50" spans="1:23" x14ac:dyDescent="0.2">
      <c r="A50">
        <v>48</v>
      </c>
      <c r="B50">
        <v>6</v>
      </c>
      <c r="C50">
        <v>3</v>
      </c>
      <c r="D50">
        <v>22</v>
      </c>
      <c r="E50" s="2" t="s">
        <v>68</v>
      </c>
      <c r="F50" s="2" t="s">
        <v>69</v>
      </c>
      <c r="G50">
        <v>63</v>
      </c>
      <c r="H50" t="s">
        <v>139</v>
      </c>
      <c r="I50">
        <v>54.457364341085281</v>
      </c>
      <c r="J50">
        <v>4.4328294573643419</v>
      </c>
      <c r="K50">
        <v>8.14</v>
      </c>
      <c r="L50">
        <v>45.542635658914719</v>
      </c>
      <c r="M50">
        <v>3.2495620022753129</v>
      </c>
      <c r="N50">
        <v>3.746666666666667</v>
      </c>
      <c r="O50">
        <v>0.89310977207230802</v>
      </c>
      <c r="P50" t="s">
        <v>139</v>
      </c>
      <c r="Q50">
        <v>2.4864176054493048</v>
      </c>
      <c r="R50" t="s">
        <v>139</v>
      </c>
      <c r="S50">
        <v>2.7839999999999998</v>
      </c>
      <c r="T50">
        <v>0</v>
      </c>
      <c r="U50">
        <v>45.665352499999997</v>
      </c>
      <c r="V50">
        <v>26.5</v>
      </c>
      <c r="W50" t="s">
        <v>139</v>
      </c>
    </row>
    <row r="51" spans="1:23" x14ac:dyDescent="0.2">
      <c r="A51">
        <v>49</v>
      </c>
      <c r="B51">
        <v>6</v>
      </c>
      <c r="C51">
        <v>4</v>
      </c>
      <c r="D51">
        <v>40</v>
      </c>
      <c r="E51" s="2" t="s">
        <v>92</v>
      </c>
      <c r="F51" s="2" t="s">
        <v>93</v>
      </c>
      <c r="G51">
        <v>82.5</v>
      </c>
      <c r="H51">
        <v>57.5</v>
      </c>
      <c r="I51">
        <v>65.008291873963515</v>
      </c>
      <c r="J51">
        <v>2.5379237147595362</v>
      </c>
      <c r="K51">
        <v>3.9039999999999999</v>
      </c>
      <c r="L51">
        <v>34.991708126036478</v>
      </c>
      <c r="M51">
        <v>3.013359814630916</v>
      </c>
      <c r="N51">
        <v>3.4133333333333331</v>
      </c>
      <c r="O51">
        <v>0.89567430025445294</v>
      </c>
      <c r="P51">
        <v>0.90955274429724076</v>
      </c>
      <c r="Q51">
        <v>0.71056827820186597</v>
      </c>
      <c r="R51">
        <v>1.676002523491716</v>
      </c>
      <c r="S51">
        <v>0.79333333333333333</v>
      </c>
      <c r="T51">
        <v>1.8426666666666669</v>
      </c>
      <c r="U51">
        <v>50.178042499999989</v>
      </c>
      <c r="V51">
        <v>31.2</v>
      </c>
      <c r="W51">
        <v>146.5</v>
      </c>
    </row>
    <row r="52" spans="1:23" x14ac:dyDescent="0.2">
      <c r="A52">
        <v>50</v>
      </c>
      <c r="B52">
        <v>6</v>
      </c>
      <c r="C52">
        <v>5</v>
      </c>
      <c r="D52">
        <v>23</v>
      </c>
      <c r="E52" s="2" t="s">
        <v>70</v>
      </c>
      <c r="F52" s="2" t="s">
        <v>71</v>
      </c>
      <c r="G52">
        <v>84</v>
      </c>
      <c r="H52" t="s">
        <v>139</v>
      </c>
      <c r="I52">
        <v>50.431965442764579</v>
      </c>
      <c r="J52">
        <v>3.9800907127429799</v>
      </c>
      <c r="K52">
        <v>7.8919999999999986</v>
      </c>
      <c r="L52">
        <v>49.568034557235421</v>
      </c>
      <c r="M52">
        <v>4.2527914038775991</v>
      </c>
      <c r="N52">
        <v>4.8666666666666663</v>
      </c>
      <c r="O52">
        <v>0.89880573248407647</v>
      </c>
      <c r="P52" t="s">
        <v>139</v>
      </c>
      <c r="Q52">
        <v>3.6539449044585992</v>
      </c>
      <c r="R52" t="s">
        <v>139</v>
      </c>
      <c r="S52">
        <v>4.0653333333333332</v>
      </c>
      <c r="T52">
        <v>0</v>
      </c>
      <c r="U52">
        <v>49.991719999999987</v>
      </c>
      <c r="V52">
        <v>27</v>
      </c>
      <c r="W52" t="s">
        <v>139</v>
      </c>
    </row>
    <row r="53" spans="1:23" x14ac:dyDescent="0.2">
      <c r="A53">
        <v>51</v>
      </c>
      <c r="B53">
        <v>6</v>
      </c>
      <c r="C53">
        <v>6</v>
      </c>
      <c r="D53">
        <v>30</v>
      </c>
      <c r="E53" s="2" t="s">
        <v>80</v>
      </c>
      <c r="F53" s="2" t="s">
        <v>81</v>
      </c>
      <c r="G53">
        <v>65</v>
      </c>
      <c r="H53">
        <v>56.5</v>
      </c>
      <c r="I53">
        <v>65.325670498084293</v>
      </c>
      <c r="J53">
        <v>2.2184597701149422</v>
      </c>
      <c r="K53">
        <v>3.3959999999999999</v>
      </c>
      <c r="L53">
        <v>34.6743295019157</v>
      </c>
      <c r="M53">
        <v>2.9393719650372292</v>
      </c>
      <c r="N53">
        <v>3.2933333333333339</v>
      </c>
      <c r="O53">
        <v>0.89532403609515998</v>
      </c>
      <c r="P53">
        <v>0.90405096048571709</v>
      </c>
      <c r="Q53">
        <v>0.5288380639868745</v>
      </c>
      <c r="R53">
        <v>1.765912876148767</v>
      </c>
      <c r="S53">
        <v>0.59066666666666667</v>
      </c>
      <c r="T53">
        <v>1.9533333333333329</v>
      </c>
      <c r="U53">
        <v>47.882794999999987</v>
      </c>
      <c r="V53">
        <v>28.8</v>
      </c>
      <c r="W53">
        <v>135.9</v>
      </c>
    </row>
    <row r="54" spans="1:23" x14ac:dyDescent="0.2">
      <c r="A54">
        <v>52</v>
      </c>
      <c r="B54">
        <v>6</v>
      </c>
      <c r="C54">
        <v>7</v>
      </c>
      <c r="D54">
        <v>39</v>
      </c>
      <c r="E54" s="2" t="s">
        <v>90</v>
      </c>
      <c r="F54" s="2" t="s">
        <v>91</v>
      </c>
      <c r="G54">
        <v>82.5</v>
      </c>
      <c r="H54">
        <v>54</v>
      </c>
      <c r="I54">
        <v>58.789625360230538</v>
      </c>
      <c r="J54">
        <v>2.0380403458213259</v>
      </c>
      <c r="K54">
        <v>3.4666666666666668</v>
      </c>
      <c r="L54">
        <v>41.210374639769462</v>
      </c>
      <c r="M54">
        <v>3.168870568837594</v>
      </c>
      <c r="N54">
        <v>3.52</v>
      </c>
      <c r="O54">
        <v>0.89413719439829109</v>
      </c>
      <c r="P54">
        <v>0.90329320465625329</v>
      </c>
      <c r="Q54">
        <v>0.69981137748239575</v>
      </c>
      <c r="R54">
        <v>1.7716590720657981</v>
      </c>
      <c r="S54">
        <v>0.78266666666666662</v>
      </c>
      <c r="T54">
        <v>1.9613333333333329</v>
      </c>
      <c r="U54">
        <v>50.704249999999988</v>
      </c>
      <c r="V54">
        <v>34.799999999999997</v>
      </c>
      <c r="W54">
        <v>125.2</v>
      </c>
    </row>
    <row r="55" spans="1:23" x14ac:dyDescent="0.2">
      <c r="A55">
        <v>53</v>
      </c>
      <c r="B55">
        <v>6</v>
      </c>
      <c r="C55">
        <v>8</v>
      </c>
      <c r="D55">
        <v>33</v>
      </c>
      <c r="E55" s="2" t="s">
        <v>82</v>
      </c>
      <c r="F55" s="2" t="s">
        <v>83</v>
      </c>
      <c r="G55">
        <v>74.5</v>
      </c>
      <c r="H55">
        <v>54</v>
      </c>
      <c r="I55">
        <v>53.62997658079626</v>
      </c>
      <c r="J55">
        <v>1.47303669008587</v>
      </c>
      <c r="K55">
        <v>2.746666666666667</v>
      </c>
      <c r="L55">
        <v>46.37002341920374</v>
      </c>
      <c r="M55">
        <v>3.2379066972577291</v>
      </c>
      <c r="N55">
        <v>3.6133333333333328</v>
      </c>
      <c r="O55">
        <v>0.90174986743428542</v>
      </c>
      <c r="P55">
        <v>0.90153020667726558</v>
      </c>
      <c r="Q55">
        <v>0.50858692523293692</v>
      </c>
      <c r="R55">
        <v>1.986972575516694</v>
      </c>
      <c r="S55">
        <v>0.56399999999999995</v>
      </c>
      <c r="T55">
        <v>2.2040000000000002</v>
      </c>
      <c r="U55">
        <v>51.887704999999997</v>
      </c>
      <c r="V55">
        <v>33.9</v>
      </c>
      <c r="W55">
        <v>102.6</v>
      </c>
    </row>
    <row r="56" spans="1:23" x14ac:dyDescent="0.2">
      <c r="A56">
        <v>54</v>
      </c>
      <c r="B56">
        <v>6</v>
      </c>
      <c r="C56">
        <v>9</v>
      </c>
      <c r="D56">
        <v>38</v>
      </c>
      <c r="E56" s="2" t="s">
        <v>88</v>
      </c>
      <c r="F56" s="2" t="s">
        <v>89</v>
      </c>
      <c r="G56" t="s">
        <v>139</v>
      </c>
      <c r="H56">
        <v>61</v>
      </c>
      <c r="I56">
        <v>71.397379912663766</v>
      </c>
      <c r="J56">
        <v>1.75256768558952</v>
      </c>
      <c r="K56">
        <v>2.4546666666666672</v>
      </c>
      <c r="L56">
        <v>28.602620087336241</v>
      </c>
      <c r="M56">
        <v>2.3895780720665232</v>
      </c>
      <c r="N56">
        <v>2.64</v>
      </c>
      <c r="O56" t="s">
        <v>139</v>
      </c>
      <c r="P56">
        <v>0.91315161161957825</v>
      </c>
      <c r="Q56" t="s">
        <v>139</v>
      </c>
      <c r="R56">
        <v>1.836043507096432</v>
      </c>
      <c r="S56">
        <v>0</v>
      </c>
      <c r="T56">
        <v>2.0106666666666668</v>
      </c>
      <c r="U56" t="s">
        <v>139</v>
      </c>
      <c r="V56" t="s">
        <v>139</v>
      </c>
      <c r="W56">
        <v>146.6</v>
      </c>
    </row>
    <row r="57" spans="1:23" x14ac:dyDescent="0.2">
      <c r="A57">
        <v>55</v>
      </c>
      <c r="B57">
        <v>7</v>
      </c>
      <c r="C57">
        <v>1</v>
      </c>
      <c r="D57">
        <v>26</v>
      </c>
      <c r="E57" s="2" t="s">
        <v>76</v>
      </c>
      <c r="F57" s="2" t="s">
        <v>77</v>
      </c>
      <c r="G57">
        <v>78.5</v>
      </c>
      <c r="H57" t="s">
        <v>139</v>
      </c>
      <c r="I57">
        <v>51.330798479087463</v>
      </c>
      <c r="J57">
        <v>3.086007604562738</v>
      </c>
      <c r="K57">
        <v>6.0119999999999996</v>
      </c>
      <c r="L57">
        <v>48.669201520912537</v>
      </c>
      <c r="M57">
        <v>3.0926681783824641</v>
      </c>
      <c r="N57">
        <v>3.5333333333333332</v>
      </c>
      <c r="O57">
        <v>0.89271685761047459</v>
      </c>
      <c r="P57" t="s">
        <v>139</v>
      </c>
      <c r="Q57">
        <v>2.3293958537915982</v>
      </c>
      <c r="R57" t="s">
        <v>139</v>
      </c>
      <c r="S57">
        <v>2.6093333333333328</v>
      </c>
      <c r="T57">
        <v>0</v>
      </c>
      <c r="U57">
        <v>49.133817499999992</v>
      </c>
      <c r="V57">
        <v>28.7</v>
      </c>
      <c r="W57" t="s">
        <v>139</v>
      </c>
    </row>
    <row r="58" spans="1:23" x14ac:dyDescent="0.2">
      <c r="A58">
        <v>56</v>
      </c>
      <c r="B58">
        <v>7</v>
      </c>
      <c r="C58">
        <v>2</v>
      </c>
      <c r="D58">
        <v>24</v>
      </c>
      <c r="E58" s="2" t="s">
        <v>72</v>
      </c>
      <c r="F58" s="2" t="s">
        <v>73</v>
      </c>
      <c r="G58">
        <v>81.5</v>
      </c>
      <c r="H58" t="s">
        <v>139</v>
      </c>
      <c r="I58">
        <v>52.410901467505241</v>
      </c>
      <c r="J58">
        <v>2.3305380852550659</v>
      </c>
      <c r="K58">
        <v>4.4466666666666663</v>
      </c>
      <c r="L58">
        <v>47.589098532494759</v>
      </c>
      <c r="M58">
        <v>3.172259157867293</v>
      </c>
      <c r="N58">
        <v>3.5733333333333328</v>
      </c>
      <c r="O58">
        <v>0.89571817506806384</v>
      </c>
      <c r="P58" t="s">
        <v>139</v>
      </c>
      <c r="Q58">
        <v>2.5008451447900342</v>
      </c>
      <c r="R58" t="s">
        <v>139</v>
      </c>
      <c r="S58">
        <v>2.7919999999999998</v>
      </c>
      <c r="T58">
        <v>0</v>
      </c>
      <c r="U58">
        <v>48.914734999999993</v>
      </c>
      <c r="V58">
        <v>30.3</v>
      </c>
      <c r="W58" t="s">
        <v>139</v>
      </c>
    </row>
    <row r="59" spans="1:23" x14ac:dyDescent="0.2">
      <c r="A59">
        <v>57</v>
      </c>
      <c r="B59">
        <v>7</v>
      </c>
      <c r="C59">
        <v>3</v>
      </c>
      <c r="D59">
        <v>27</v>
      </c>
      <c r="E59" s="2" t="s">
        <v>78</v>
      </c>
      <c r="F59" s="2" t="s">
        <v>79</v>
      </c>
      <c r="G59">
        <v>86</v>
      </c>
      <c r="H59" t="s">
        <v>139</v>
      </c>
      <c r="I59">
        <v>59.877800407331968</v>
      </c>
      <c r="J59">
        <v>3.7627209775967412</v>
      </c>
      <c r="K59">
        <v>6.2839999999999998</v>
      </c>
      <c r="L59">
        <v>40.122199592668032</v>
      </c>
      <c r="M59">
        <v>3.1907786334188968</v>
      </c>
      <c r="N59">
        <v>3.586666666666666</v>
      </c>
      <c r="O59">
        <v>0.90250417362270452</v>
      </c>
      <c r="P59" t="s">
        <v>139</v>
      </c>
      <c r="Q59">
        <v>2.5751452420701169</v>
      </c>
      <c r="R59" t="s">
        <v>139</v>
      </c>
      <c r="S59">
        <v>2.8533333333333331</v>
      </c>
      <c r="T59">
        <v>0</v>
      </c>
      <c r="U59">
        <v>47.831607499999997</v>
      </c>
      <c r="V59">
        <v>29.6</v>
      </c>
      <c r="W59" t="s">
        <v>139</v>
      </c>
    </row>
    <row r="60" spans="1:23" x14ac:dyDescent="0.2">
      <c r="A60">
        <v>58</v>
      </c>
      <c r="B60">
        <v>7</v>
      </c>
      <c r="C60">
        <v>4</v>
      </c>
      <c r="D60">
        <v>30</v>
      </c>
      <c r="E60" s="2" t="s">
        <v>80</v>
      </c>
      <c r="F60" s="2" t="s">
        <v>81</v>
      </c>
      <c r="G60">
        <v>54.5</v>
      </c>
      <c r="H60">
        <v>51</v>
      </c>
      <c r="I60">
        <v>65.325670498084293</v>
      </c>
      <c r="J60">
        <v>1.495522349936143</v>
      </c>
      <c r="K60">
        <v>2.289333333333333</v>
      </c>
      <c r="L60">
        <v>34.6743295019157</v>
      </c>
      <c r="M60">
        <v>2.9725732135884422</v>
      </c>
      <c r="N60">
        <v>3.32</v>
      </c>
      <c r="O60">
        <v>0.89765670282354892</v>
      </c>
      <c r="P60">
        <v>0.9037619426751593</v>
      </c>
      <c r="Q60">
        <v>0.46079710744942182</v>
      </c>
      <c r="R60">
        <v>1.9376656050955421</v>
      </c>
      <c r="S60">
        <v>0.51333333333333331</v>
      </c>
      <c r="T60">
        <v>2.1440000000000001</v>
      </c>
      <c r="U60">
        <v>48.194014999999993</v>
      </c>
      <c r="V60">
        <v>30.2</v>
      </c>
      <c r="W60">
        <v>133.5</v>
      </c>
    </row>
    <row r="61" spans="1:23" x14ac:dyDescent="0.2">
      <c r="A61">
        <v>59</v>
      </c>
      <c r="B61">
        <v>7</v>
      </c>
      <c r="C61">
        <v>5</v>
      </c>
      <c r="D61">
        <v>33</v>
      </c>
      <c r="E61" s="2" t="s">
        <v>82</v>
      </c>
      <c r="F61" s="2" t="s">
        <v>83</v>
      </c>
      <c r="G61">
        <v>77</v>
      </c>
      <c r="H61">
        <v>53.5</v>
      </c>
      <c r="I61">
        <v>53.62997658079626</v>
      </c>
      <c r="J61">
        <v>1.573861046057768</v>
      </c>
      <c r="K61">
        <v>2.9346666666666672</v>
      </c>
      <c r="L61">
        <v>46.37002341920374</v>
      </c>
      <c r="M61">
        <v>3.582711711711712</v>
      </c>
      <c r="N61">
        <v>3.9733333333333332</v>
      </c>
      <c r="O61">
        <v>0.89786493034524528</v>
      </c>
      <c r="P61">
        <v>0.9048518592165441</v>
      </c>
      <c r="Q61">
        <v>0.79969836462749844</v>
      </c>
      <c r="R61">
        <v>2.124592165440446</v>
      </c>
      <c r="S61">
        <v>0.89066666666666661</v>
      </c>
      <c r="T61">
        <v>2.3479999999999999</v>
      </c>
      <c r="U61">
        <v>51.865182500000003</v>
      </c>
      <c r="V61">
        <v>31.4</v>
      </c>
      <c r="W61">
        <v>139.9</v>
      </c>
    </row>
    <row r="62" spans="1:23" x14ac:dyDescent="0.2">
      <c r="A62">
        <v>60</v>
      </c>
      <c r="B62">
        <v>7</v>
      </c>
      <c r="C62">
        <v>6</v>
      </c>
      <c r="D62">
        <v>21</v>
      </c>
      <c r="E62" s="2" t="s">
        <v>66</v>
      </c>
      <c r="F62" s="2" t="s">
        <v>67</v>
      </c>
      <c r="G62" t="s">
        <v>139</v>
      </c>
      <c r="H62">
        <v>54.5</v>
      </c>
      <c r="I62">
        <v>85.664335664335667</v>
      </c>
      <c r="J62">
        <v>1.677878787878788</v>
      </c>
      <c r="K62">
        <v>1.958666666666667</v>
      </c>
      <c r="L62">
        <v>14.33566433566433</v>
      </c>
      <c r="M62">
        <v>2.7634754625905069</v>
      </c>
      <c r="N62">
        <v>3.0533333333333341</v>
      </c>
      <c r="O62" t="s">
        <v>139</v>
      </c>
      <c r="P62">
        <v>0.90368750621210614</v>
      </c>
      <c r="Q62" t="s">
        <v>139</v>
      </c>
      <c r="R62">
        <v>2.0712517642381472</v>
      </c>
      <c r="S62">
        <v>0</v>
      </c>
      <c r="T62">
        <v>2.2919999999999998</v>
      </c>
      <c r="U62" t="s">
        <v>139</v>
      </c>
      <c r="V62" t="s">
        <v>139</v>
      </c>
      <c r="W62">
        <v>138.30000000000001</v>
      </c>
    </row>
    <row r="63" spans="1:23" x14ac:dyDescent="0.2">
      <c r="A63">
        <v>61</v>
      </c>
      <c r="B63">
        <v>7</v>
      </c>
      <c r="C63">
        <v>7</v>
      </c>
      <c r="D63">
        <v>40</v>
      </c>
      <c r="E63" s="2" t="s">
        <v>92</v>
      </c>
      <c r="F63" s="2" t="s">
        <v>93</v>
      </c>
      <c r="G63">
        <v>88.5</v>
      </c>
      <c r="H63">
        <v>56.5</v>
      </c>
      <c r="I63">
        <v>65.008291873963515</v>
      </c>
      <c r="J63">
        <v>2.4443117744610281</v>
      </c>
      <c r="K63">
        <v>3.76</v>
      </c>
      <c r="L63">
        <v>34.991708126036478</v>
      </c>
      <c r="M63">
        <v>3.1722884425419831</v>
      </c>
      <c r="N63">
        <v>3.52</v>
      </c>
      <c r="O63">
        <v>0.89300540455862776</v>
      </c>
      <c r="P63">
        <v>0.90756805264732276</v>
      </c>
      <c r="Q63">
        <v>0.76917532179316472</v>
      </c>
      <c r="R63">
        <v>1.7703627480307109</v>
      </c>
      <c r="S63">
        <v>0.8613333333333334</v>
      </c>
      <c r="T63">
        <v>1.950666666666667</v>
      </c>
      <c r="U63">
        <v>50.395077499999992</v>
      </c>
      <c r="V63">
        <v>35.700000000000003</v>
      </c>
      <c r="W63">
        <v>145</v>
      </c>
    </row>
    <row r="64" spans="1:23" x14ac:dyDescent="0.2">
      <c r="A64">
        <v>62</v>
      </c>
      <c r="B64">
        <v>7</v>
      </c>
      <c r="C64">
        <v>8</v>
      </c>
      <c r="D64">
        <v>37</v>
      </c>
      <c r="E64" s="2" t="s">
        <v>86</v>
      </c>
      <c r="F64" s="2" t="s">
        <v>87</v>
      </c>
      <c r="G64" t="s">
        <v>139</v>
      </c>
      <c r="H64">
        <v>52.5</v>
      </c>
      <c r="I64">
        <v>70.183486238532112</v>
      </c>
      <c r="J64">
        <v>1.4523302752293581</v>
      </c>
      <c r="K64">
        <v>2.0693333333333328</v>
      </c>
      <c r="L64">
        <v>29.816513761467888</v>
      </c>
      <c r="M64">
        <v>2.454809579897919</v>
      </c>
      <c r="N64">
        <v>2.706666666666667</v>
      </c>
      <c r="O64" t="s">
        <v>139</v>
      </c>
      <c r="P64">
        <v>0.90081575805809788</v>
      </c>
      <c r="Q64" t="s">
        <v>139</v>
      </c>
      <c r="R64">
        <v>1.889310916567184</v>
      </c>
      <c r="S64">
        <v>0</v>
      </c>
      <c r="T64">
        <v>2.0973333333333328</v>
      </c>
      <c r="U64" t="s">
        <v>139</v>
      </c>
      <c r="V64" t="s">
        <v>139</v>
      </c>
      <c r="W64">
        <v>128</v>
      </c>
    </row>
    <row r="65" spans="1:23" x14ac:dyDescent="0.2">
      <c r="A65">
        <v>63</v>
      </c>
      <c r="B65">
        <v>7</v>
      </c>
      <c r="C65">
        <v>9</v>
      </c>
      <c r="D65">
        <v>25</v>
      </c>
      <c r="E65" s="2" t="s">
        <v>74</v>
      </c>
      <c r="F65" s="2" t="s">
        <v>75</v>
      </c>
      <c r="G65">
        <v>59</v>
      </c>
      <c r="H65" t="s">
        <v>139</v>
      </c>
      <c r="I65">
        <v>51.405622489959832</v>
      </c>
      <c r="J65">
        <v>2.9006479250334669</v>
      </c>
      <c r="K65">
        <v>5.6426666666666669</v>
      </c>
      <c r="L65">
        <v>48.594377510040168</v>
      </c>
      <c r="M65">
        <v>3.1712837837837839</v>
      </c>
      <c r="N65">
        <v>3.600000000000001</v>
      </c>
      <c r="O65">
        <v>0.90138139237032289</v>
      </c>
      <c r="P65" t="s">
        <v>139</v>
      </c>
      <c r="Q65">
        <v>2.3532063550147888</v>
      </c>
      <c r="R65" t="s">
        <v>139</v>
      </c>
      <c r="S65">
        <v>2.610666666666666</v>
      </c>
      <c r="T65">
        <v>0</v>
      </c>
      <c r="U65">
        <v>43.525714999999991</v>
      </c>
      <c r="V65">
        <v>22.3</v>
      </c>
      <c r="W65" t="s">
        <v>139</v>
      </c>
    </row>
    <row r="66" spans="1:23" x14ac:dyDescent="0.2">
      <c r="A66">
        <v>64</v>
      </c>
      <c r="B66">
        <v>8</v>
      </c>
      <c r="C66">
        <v>1</v>
      </c>
      <c r="D66">
        <v>22</v>
      </c>
      <c r="E66" s="2" t="s">
        <v>68</v>
      </c>
      <c r="F66" s="2" t="s">
        <v>69</v>
      </c>
      <c r="G66">
        <v>57</v>
      </c>
      <c r="H66" t="s">
        <v>139</v>
      </c>
      <c r="I66">
        <v>54.457364341085281</v>
      </c>
      <c r="J66">
        <v>2.4215374677002579</v>
      </c>
      <c r="K66">
        <v>4.4466666666666663</v>
      </c>
      <c r="L66">
        <v>45.542635658914719</v>
      </c>
      <c r="M66">
        <v>2.946366343042071</v>
      </c>
      <c r="N66">
        <v>3.3466666666666658</v>
      </c>
      <c r="O66">
        <v>0.91586253597426781</v>
      </c>
      <c r="P66" t="s">
        <v>139</v>
      </c>
      <c r="Q66">
        <v>1.9281959257378249</v>
      </c>
      <c r="R66" t="s">
        <v>139</v>
      </c>
      <c r="S66">
        <v>2.1053333333333328</v>
      </c>
      <c r="T66">
        <v>0</v>
      </c>
      <c r="U66">
        <v>60.235362499999987</v>
      </c>
      <c r="V66">
        <v>23.7</v>
      </c>
      <c r="W66" t="s">
        <v>139</v>
      </c>
    </row>
    <row r="67" spans="1:23" x14ac:dyDescent="0.2">
      <c r="A67">
        <v>65</v>
      </c>
      <c r="B67">
        <v>8</v>
      </c>
      <c r="C67">
        <v>2</v>
      </c>
      <c r="D67">
        <v>44</v>
      </c>
      <c r="E67" s="2" t="s">
        <v>100</v>
      </c>
      <c r="F67" s="2" t="s">
        <v>101</v>
      </c>
      <c r="G67">
        <v>61</v>
      </c>
      <c r="H67">
        <v>53.5</v>
      </c>
      <c r="I67">
        <v>58.897637795275593</v>
      </c>
      <c r="J67">
        <v>1.28789501312336</v>
      </c>
      <c r="K67">
        <v>2.186666666666667</v>
      </c>
      <c r="L67">
        <v>41.102362204724407</v>
      </c>
      <c r="M67">
        <v>3.1396135265700482</v>
      </c>
      <c r="N67">
        <v>3.5733333333333328</v>
      </c>
      <c r="O67">
        <v>0.90722301248617032</v>
      </c>
      <c r="P67">
        <v>0.90139442231075706</v>
      </c>
      <c r="Q67">
        <v>0.57336494389125969</v>
      </c>
      <c r="R67">
        <v>1.90855245683931</v>
      </c>
      <c r="S67">
        <v>0.63200000000000001</v>
      </c>
      <c r="T67">
        <v>2.1173333333333328</v>
      </c>
      <c r="U67">
        <v>50.575257499999992</v>
      </c>
      <c r="V67">
        <v>30</v>
      </c>
      <c r="W67">
        <v>149.1</v>
      </c>
    </row>
    <row r="68" spans="1:23" x14ac:dyDescent="0.2">
      <c r="A68">
        <v>66</v>
      </c>
      <c r="B68">
        <v>8</v>
      </c>
      <c r="C68">
        <v>3</v>
      </c>
      <c r="D68">
        <v>42</v>
      </c>
      <c r="E68" s="2" t="s">
        <v>96</v>
      </c>
      <c r="F68" s="2" t="s">
        <v>97</v>
      </c>
      <c r="G68">
        <v>83.5</v>
      </c>
      <c r="H68">
        <v>54.5</v>
      </c>
      <c r="I68">
        <v>63.565891472868209</v>
      </c>
      <c r="J68">
        <v>1.805271317829457</v>
      </c>
      <c r="K68">
        <v>2.84</v>
      </c>
      <c r="L68">
        <v>36.434108527131791</v>
      </c>
      <c r="M68">
        <v>2.8430672504771528</v>
      </c>
      <c r="N68">
        <v>3.1733333333333329</v>
      </c>
      <c r="O68">
        <v>0.9036693704132871</v>
      </c>
      <c r="P68">
        <v>0.90316796174536762</v>
      </c>
      <c r="Q68">
        <v>0.65305173168533548</v>
      </c>
      <c r="R68">
        <v>1.548631998406057</v>
      </c>
      <c r="S68">
        <v>0.72266666666666668</v>
      </c>
      <c r="T68">
        <v>1.714666666666667</v>
      </c>
      <c r="U68">
        <v>51.502775</v>
      </c>
      <c r="V68">
        <v>32.1</v>
      </c>
      <c r="W68">
        <v>145.4</v>
      </c>
    </row>
    <row r="69" spans="1:23" x14ac:dyDescent="0.2">
      <c r="A69">
        <v>67</v>
      </c>
      <c r="B69">
        <v>8</v>
      </c>
      <c r="C69">
        <v>4</v>
      </c>
      <c r="D69">
        <v>36</v>
      </c>
      <c r="E69" s="2" t="s">
        <v>84</v>
      </c>
      <c r="F69" s="2" t="s">
        <v>85</v>
      </c>
      <c r="G69">
        <v>83.5</v>
      </c>
      <c r="H69">
        <v>54.5</v>
      </c>
      <c r="I69">
        <v>68.791208791208788</v>
      </c>
      <c r="J69">
        <v>2.0096205128205131</v>
      </c>
      <c r="K69">
        <v>2.9213333333333331</v>
      </c>
      <c r="L69">
        <v>31.208791208791212</v>
      </c>
      <c r="M69">
        <v>3.2431960359244338</v>
      </c>
      <c r="N69">
        <v>3.64</v>
      </c>
      <c r="O69">
        <v>0.90920225361312978</v>
      </c>
      <c r="P69">
        <v>0.90111420612813375</v>
      </c>
      <c r="Q69">
        <v>0.469148362864375</v>
      </c>
      <c r="R69">
        <v>2.0437270194986081</v>
      </c>
      <c r="S69">
        <v>0.51600000000000001</v>
      </c>
      <c r="T69">
        <v>2.2679999999999998</v>
      </c>
      <c r="U69">
        <v>49.451179999999987</v>
      </c>
      <c r="V69">
        <v>33.799999999999997</v>
      </c>
      <c r="W69">
        <v>137.9</v>
      </c>
    </row>
    <row r="70" spans="1:23" x14ac:dyDescent="0.2">
      <c r="A70">
        <v>68</v>
      </c>
      <c r="B70">
        <v>8</v>
      </c>
      <c r="C70">
        <v>5</v>
      </c>
      <c r="D70">
        <v>39</v>
      </c>
      <c r="E70" s="2" t="s">
        <v>90</v>
      </c>
      <c r="F70" s="2" t="s">
        <v>91</v>
      </c>
      <c r="G70">
        <v>84.5</v>
      </c>
      <c r="H70">
        <v>53.5</v>
      </c>
      <c r="I70">
        <v>58.789625360230538</v>
      </c>
      <c r="J70">
        <v>1.9714121037463981</v>
      </c>
      <c r="K70">
        <v>3.3533333333333331</v>
      </c>
      <c r="L70">
        <v>41.210374639769462</v>
      </c>
      <c r="M70">
        <v>3.397138211382114</v>
      </c>
      <c r="N70">
        <v>3.8</v>
      </c>
      <c r="O70">
        <v>0.90868085779852814</v>
      </c>
      <c r="P70">
        <v>0.90434523217659346</v>
      </c>
      <c r="Q70">
        <v>0.6372881749360344</v>
      </c>
      <c r="R70">
        <v>1.9992058599317231</v>
      </c>
      <c r="S70">
        <v>0.70133333333333336</v>
      </c>
      <c r="T70">
        <v>2.210666666666667</v>
      </c>
      <c r="U70">
        <v>50.747247499999993</v>
      </c>
      <c r="V70">
        <v>34.700000000000003</v>
      </c>
      <c r="W70">
        <v>129.1</v>
      </c>
    </row>
    <row r="71" spans="1:23" x14ac:dyDescent="0.2">
      <c r="A71">
        <v>69</v>
      </c>
      <c r="B71">
        <v>8</v>
      </c>
      <c r="C71">
        <v>6</v>
      </c>
      <c r="D71">
        <v>38</v>
      </c>
      <c r="E71" s="2" t="s">
        <v>88</v>
      </c>
      <c r="F71" s="2" t="s">
        <v>89</v>
      </c>
      <c r="G71" t="s">
        <v>139</v>
      </c>
      <c r="H71">
        <v>58</v>
      </c>
      <c r="I71">
        <v>71.397379912663766</v>
      </c>
      <c r="J71">
        <v>1.314663755458515</v>
      </c>
      <c r="K71">
        <v>1.841333333333333</v>
      </c>
      <c r="L71">
        <v>28.602620087336241</v>
      </c>
      <c r="M71">
        <v>2.624411319939512</v>
      </c>
      <c r="N71">
        <v>2.933333333333334</v>
      </c>
      <c r="O71" t="s">
        <v>139</v>
      </c>
      <c r="P71">
        <v>0.90469091631882337</v>
      </c>
      <c r="Q71" t="s">
        <v>139</v>
      </c>
      <c r="R71">
        <v>1.9975575432319621</v>
      </c>
      <c r="S71">
        <v>0</v>
      </c>
      <c r="T71">
        <v>2.2080000000000002</v>
      </c>
      <c r="U71" t="s">
        <v>139</v>
      </c>
      <c r="V71" t="s">
        <v>139</v>
      </c>
      <c r="W71">
        <v>146.80000000000001</v>
      </c>
    </row>
    <row r="72" spans="1:23" x14ac:dyDescent="0.2">
      <c r="A72">
        <v>70</v>
      </c>
      <c r="B72">
        <v>8</v>
      </c>
      <c r="C72">
        <v>7</v>
      </c>
      <c r="D72">
        <v>43</v>
      </c>
      <c r="E72" s="2" t="s">
        <v>98</v>
      </c>
      <c r="F72" s="2" t="s">
        <v>99</v>
      </c>
      <c r="G72">
        <v>60</v>
      </c>
      <c r="H72">
        <v>49</v>
      </c>
      <c r="I72">
        <v>62.839879154078552</v>
      </c>
      <c r="J72">
        <v>1.7368942598187309</v>
      </c>
      <c r="K72">
        <v>2.7639999999999998</v>
      </c>
      <c r="L72">
        <v>37.160120845921448</v>
      </c>
      <c r="M72">
        <v>3.0485045513654092</v>
      </c>
      <c r="N72">
        <v>3.399999999999999</v>
      </c>
      <c r="O72">
        <v>0.89855784988528342</v>
      </c>
      <c r="P72">
        <v>0.90205622330386426</v>
      </c>
      <c r="Q72">
        <v>0.39057314541680321</v>
      </c>
      <c r="R72">
        <v>1.8895071024138279</v>
      </c>
      <c r="S72">
        <v>0.4346666666666667</v>
      </c>
      <c r="T72">
        <v>2.0946666666666669</v>
      </c>
      <c r="U72">
        <v>49.082629999999988</v>
      </c>
      <c r="V72">
        <v>32.1</v>
      </c>
      <c r="W72">
        <v>130.9</v>
      </c>
    </row>
    <row r="73" spans="1:23" x14ac:dyDescent="0.2">
      <c r="A73">
        <v>71</v>
      </c>
      <c r="B73">
        <v>8</v>
      </c>
      <c r="C73">
        <v>8</v>
      </c>
      <c r="D73">
        <v>23</v>
      </c>
      <c r="E73" s="2" t="s">
        <v>70</v>
      </c>
      <c r="F73" s="2" t="s">
        <v>71</v>
      </c>
      <c r="G73">
        <v>80.5</v>
      </c>
      <c r="H73" t="s">
        <v>139</v>
      </c>
      <c r="I73">
        <v>50.431965442764579</v>
      </c>
      <c r="J73">
        <v>3.2747156227501799</v>
      </c>
      <c r="K73">
        <v>6.4933333333333332</v>
      </c>
      <c r="L73">
        <v>49.568034557235421</v>
      </c>
      <c r="M73">
        <v>3.8420247933884299</v>
      </c>
      <c r="N73">
        <v>4.3600000000000003</v>
      </c>
      <c r="O73">
        <v>0.90024038461538469</v>
      </c>
      <c r="P73" t="s">
        <v>139</v>
      </c>
      <c r="Q73">
        <v>3.237264423076923</v>
      </c>
      <c r="R73" t="s">
        <v>139</v>
      </c>
      <c r="S73">
        <v>3.5960000000000001</v>
      </c>
      <c r="T73">
        <v>0</v>
      </c>
      <c r="U73">
        <v>49.641597499999989</v>
      </c>
      <c r="V73">
        <v>27.8</v>
      </c>
      <c r="W73" t="s">
        <v>139</v>
      </c>
    </row>
    <row r="74" spans="1:23" x14ac:dyDescent="0.2">
      <c r="A74">
        <v>72</v>
      </c>
      <c r="B74">
        <v>8</v>
      </c>
      <c r="C74">
        <v>9</v>
      </c>
      <c r="D74">
        <v>41</v>
      </c>
      <c r="E74" s="2" t="s">
        <v>94</v>
      </c>
      <c r="F74" s="2" t="s">
        <v>95</v>
      </c>
      <c r="G74">
        <v>74</v>
      </c>
      <c r="H74">
        <v>49.5</v>
      </c>
      <c r="I74">
        <v>56.724367509986678</v>
      </c>
      <c r="J74">
        <v>2.0004793608521969</v>
      </c>
      <c r="K74">
        <v>3.5266666666666668</v>
      </c>
      <c r="L74">
        <v>43.275632490013322</v>
      </c>
      <c r="M74">
        <v>3.0796381153800958</v>
      </c>
      <c r="N74">
        <v>3.4533333333333331</v>
      </c>
      <c r="O74">
        <v>0.89622061760639116</v>
      </c>
      <c r="P74">
        <v>0.90393966458271313</v>
      </c>
      <c r="Q74">
        <v>0.73131602396681517</v>
      </c>
      <c r="R74">
        <v>1.7560534550626841</v>
      </c>
      <c r="S74">
        <v>0.81599999999999995</v>
      </c>
      <c r="T74">
        <v>1.942666666666667</v>
      </c>
      <c r="U74">
        <v>51.957320000000003</v>
      </c>
      <c r="V74">
        <v>32.799999999999997</v>
      </c>
      <c r="W74">
        <v>125.3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13"/>
  <sheetViews>
    <sheetView tabSelected="1" workbookViewId="0">
      <selection activeCell="G31" sqref="G31:G32"/>
    </sheetView>
  </sheetViews>
  <sheetFormatPr baseColWidth="10" defaultColWidth="8.83203125" defaultRowHeight="16" x14ac:dyDescent="0.2"/>
  <cols>
    <col min="1" max="1" width="12.6640625" bestFit="1" customWidth="1"/>
    <col min="2" max="3" width="21" bestFit="1" customWidth="1"/>
    <col min="4" max="5" width="22.1640625" bestFit="1" customWidth="1"/>
    <col min="6" max="6" width="25.6640625" bestFit="1" customWidth="1"/>
    <col min="7" max="7" width="18.6640625" bestFit="1" customWidth="1"/>
  </cols>
  <sheetData>
    <row r="1" spans="1:8" x14ac:dyDescent="0.2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</row>
    <row r="2" spans="1:8" x14ac:dyDescent="0.2">
      <c r="A2" t="s">
        <v>148</v>
      </c>
      <c r="B2">
        <v>5.7960000000000003</v>
      </c>
      <c r="C2">
        <v>11.759</v>
      </c>
      <c r="D2">
        <v>10.412750000000001</v>
      </c>
      <c r="H2" s="3"/>
    </row>
    <row r="3" spans="1:8" x14ac:dyDescent="0.2">
      <c r="A3" t="s">
        <v>149</v>
      </c>
      <c r="B3">
        <v>4.766</v>
      </c>
      <c r="C3">
        <v>11.782999999999999</v>
      </c>
      <c r="D3">
        <v>7.9668333333333301</v>
      </c>
      <c r="H3" s="3"/>
    </row>
    <row r="4" spans="1:8" x14ac:dyDescent="0.2">
      <c r="A4" t="s">
        <v>150</v>
      </c>
      <c r="B4">
        <v>7.97</v>
      </c>
      <c r="C4">
        <v>10.394</v>
      </c>
      <c r="D4">
        <v>9.3135833333333302</v>
      </c>
      <c r="E4">
        <v>33.229999999999997</v>
      </c>
      <c r="H4" s="3"/>
    </row>
    <row r="5" spans="1:8" x14ac:dyDescent="0.2">
      <c r="A5" t="s">
        <v>151</v>
      </c>
      <c r="B5">
        <v>6.2549999999999999</v>
      </c>
      <c r="C5">
        <v>9.2129999999999992</v>
      </c>
      <c r="D5">
        <v>7.3952499999999999</v>
      </c>
      <c r="E5">
        <v>9.81</v>
      </c>
      <c r="H5" s="3"/>
    </row>
    <row r="6" spans="1:8" x14ac:dyDescent="0.2">
      <c r="A6" t="s">
        <v>152</v>
      </c>
      <c r="B6">
        <v>2.5030000000000001</v>
      </c>
      <c r="C6">
        <v>6.4080000000000004</v>
      </c>
      <c r="D6">
        <v>4.17641666666667</v>
      </c>
      <c r="E6">
        <v>0.14000000000000001</v>
      </c>
      <c r="H6" s="3"/>
    </row>
    <row r="7" spans="1:8" x14ac:dyDescent="0.2">
      <c r="A7" t="s">
        <v>153</v>
      </c>
      <c r="B7">
        <v>-1.7849999999999999</v>
      </c>
      <c r="C7">
        <v>5.7960000000000003</v>
      </c>
      <c r="D7">
        <v>2.6896666666666702</v>
      </c>
      <c r="H7" s="3"/>
    </row>
    <row r="8" spans="1:8" x14ac:dyDescent="0.2">
      <c r="A8" t="s">
        <v>154</v>
      </c>
      <c r="B8">
        <v>-2.625</v>
      </c>
      <c r="C8">
        <v>2.7970000000000002</v>
      </c>
      <c r="D8">
        <v>0.83599999999999997</v>
      </c>
      <c r="H8" s="3"/>
    </row>
    <row r="9" spans="1:8" x14ac:dyDescent="0.2">
      <c r="A9" t="s">
        <v>155</v>
      </c>
      <c r="B9">
        <v>-3.2000000000000001E-2</v>
      </c>
      <c r="C9">
        <v>2.85</v>
      </c>
      <c r="D9">
        <v>1.5085</v>
      </c>
      <c r="H9" s="3"/>
    </row>
    <row r="10" spans="1:8" x14ac:dyDescent="0.2">
      <c r="A10" t="s">
        <v>156</v>
      </c>
      <c r="B10">
        <v>1.778</v>
      </c>
      <c r="C10">
        <v>5.4109999999999996</v>
      </c>
      <c r="D10">
        <v>3.60025</v>
      </c>
      <c r="E10">
        <v>32.5</v>
      </c>
      <c r="H10" s="3"/>
    </row>
    <row r="11" spans="1:8" x14ac:dyDescent="0.2">
      <c r="A11" t="s">
        <v>157</v>
      </c>
      <c r="B11">
        <v>-0.14299999999999999</v>
      </c>
      <c r="C11">
        <v>6.077</v>
      </c>
      <c r="D11">
        <v>2.2634166666666702</v>
      </c>
      <c r="H11" s="3"/>
    </row>
    <row r="12" spans="1:8" x14ac:dyDescent="0.2">
      <c r="A12" t="s">
        <v>158</v>
      </c>
      <c r="B12">
        <v>2.4E-2</v>
      </c>
      <c r="C12">
        <v>4.8689999999999998</v>
      </c>
      <c r="D12">
        <v>2.2906666666666702</v>
      </c>
      <c r="H12" s="3"/>
    </row>
    <row r="13" spans="1:8" x14ac:dyDescent="0.2">
      <c r="A13" t="s">
        <v>159</v>
      </c>
      <c r="B13">
        <v>-0.84499999999999997</v>
      </c>
      <c r="C13">
        <v>5.6929999999999996</v>
      </c>
      <c r="D13">
        <v>2.1710833333333301</v>
      </c>
      <c r="H13" s="3"/>
    </row>
    <row r="14" spans="1:8" x14ac:dyDescent="0.2">
      <c r="A14" t="s">
        <v>160</v>
      </c>
      <c r="B14">
        <v>0.77</v>
      </c>
      <c r="C14">
        <v>2.2360000000000002</v>
      </c>
      <c r="D14">
        <v>1.4650000000000001</v>
      </c>
      <c r="H14" s="3"/>
    </row>
    <row r="15" spans="1:8" x14ac:dyDescent="0.2">
      <c r="A15" t="s">
        <v>161</v>
      </c>
      <c r="B15">
        <v>-0.22700000000000001</v>
      </c>
      <c r="C15">
        <v>0.85199999999999998</v>
      </c>
      <c r="D15">
        <v>0.27483333333333299</v>
      </c>
      <c r="H15" s="3"/>
    </row>
    <row r="16" spans="1:8" x14ac:dyDescent="0.2">
      <c r="A16" t="s">
        <v>162</v>
      </c>
      <c r="B16">
        <v>0.32900000000000001</v>
      </c>
      <c r="C16">
        <v>2.7440000000000002</v>
      </c>
      <c r="D16">
        <v>1.63241666666667</v>
      </c>
      <c r="H16" s="3"/>
    </row>
    <row r="17" spans="1:8" x14ac:dyDescent="0.2">
      <c r="A17" t="s">
        <v>163</v>
      </c>
      <c r="B17">
        <v>0.74199999999999999</v>
      </c>
      <c r="C17">
        <v>3.38</v>
      </c>
      <c r="D17">
        <v>2.1035833333333298</v>
      </c>
      <c r="H17" s="3"/>
    </row>
    <row r="18" spans="1:8" x14ac:dyDescent="0.2">
      <c r="A18" t="s">
        <v>164</v>
      </c>
      <c r="B18">
        <v>2.8769999999999998</v>
      </c>
      <c r="C18">
        <v>7.0659999999999998</v>
      </c>
      <c r="D18">
        <v>4.9255000000000004</v>
      </c>
      <c r="H18" s="3"/>
    </row>
    <row r="19" spans="1:8" x14ac:dyDescent="0.2">
      <c r="A19" t="s">
        <v>165</v>
      </c>
      <c r="B19">
        <v>4.5579999999999998</v>
      </c>
      <c r="C19">
        <v>7.6449999999999996</v>
      </c>
      <c r="D19">
        <v>5.9078333333333299</v>
      </c>
      <c r="H19" s="3"/>
    </row>
    <row r="20" spans="1:8" x14ac:dyDescent="0.2">
      <c r="A20" t="s">
        <v>166</v>
      </c>
      <c r="B20">
        <v>0.77</v>
      </c>
      <c r="C20">
        <v>5.0759999999999996</v>
      </c>
      <c r="D20">
        <v>3.4934166666666702</v>
      </c>
      <c r="E20">
        <v>1.03</v>
      </c>
      <c r="H20" s="3"/>
    </row>
    <row r="21" spans="1:8" x14ac:dyDescent="0.2">
      <c r="A21" t="s">
        <v>167</v>
      </c>
      <c r="B21">
        <v>2.2090000000000001</v>
      </c>
      <c r="C21">
        <v>4.4279999999999999</v>
      </c>
      <c r="D21">
        <v>3.3345833333333301</v>
      </c>
      <c r="E21">
        <v>0.14000000000000001</v>
      </c>
      <c r="H21" s="3"/>
    </row>
    <row r="22" spans="1:8" x14ac:dyDescent="0.2">
      <c r="A22" t="s">
        <v>168</v>
      </c>
      <c r="B22">
        <v>0.82499999999999996</v>
      </c>
      <c r="C22">
        <v>4.9729999999999999</v>
      </c>
      <c r="D22">
        <v>2.7866666666666702</v>
      </c>
      <c r="H22" s="3"/>
    </row>
    <row r="23" spans="1:8" x14ac:dyDescent="0.2">
      <c r="A23" t="s">
        <v>169</v>
      </c>
      <c r="B23">
        <v>4.7140000000000004</v>
      </c>
      <c r="C23">
        <v>6.6870000000000003</v>
      </c>
      <c r="D23">
        <v>5.4685833333333296</v>
      </c>
      <c r="H23" s="3"/>
    </row>
    <row r="24" spans="1:8" x14ac:dyDescent="0.2">
      <c r="A24" t="s">
        <v>170</v>
      </c>
      <c r="B24">
        <v>4.194</v>
      </c>
      <c r="C24">
        <v>6.9649999999999999</v>
      </c>
      <c r="D24">
        <v>5.3190833333333298</v>
      </c>
      <c r="H24" s="3"/>
    </row>
    <row r="25" spans="1:8" x14ac:dyDescent="0.2">
      <c r="A25" t="s">
        <v>171</v>
      </c>
      <c r="B25">
        <v>4.2720000000000002</v>
      </c>
      <c r="C25">
        <v>5.5389999999999997</v>
      </c>
      <c r="D25">
        <v>4.7515000000000001</v>
      </c>
      <c r="H25" s="3"/>
    </row>
    <row r="26" spans="1:8" x14ac:dyDescent="0.2">
      <c r="A26" t="s">
        <v>172</v>
      </c>
      <c r="B26">
        <v>-2.1309999999999998</v>
      </c>
      <c r="C26">
        <v>3.88</v>
      </c>
      <c r="D26">
        <v>1.34941666666667</v>
      </c>
      <c r="H26" s="3"/>
    </row>
    <row r="27" spans="1:8" x14ac:dyDescent="0.2">
      <c r="A27" t="s">
        <v>173</v>
      </c>
      <c r="B27">
        <v>1.153</v>
      </c>
      <c r="C27">
        <v>2.3959999999999999</v>
      </c>
      <c r="D27">
        <v>1.94533333333333</v>
      </c>
      <c r="H27" s="3"/>
    </row>
    <row r="28" spans="1:8" x14ac:dyDescent="0.2">
      <c r="A28" t="s">
        <v>174</v>
      </c>
      <c r="B28">
        <v>1.071</v>
      </c>
      <c r="C28">
        <v>4.2460000000000004</v>
      </c>
      <c r="D28">
        <v>2.0262500000000001</v>
      </c>
      <c r="E28">
        <v>1.71</v>
      </c>
      <c r="H28" s="3"/>
    </row>
    <row r="29" spans="1:8" x14ac:dyDescent="0.2">
      <c r="A29" t="s">
        <v>175</v>
      </c>
      <c r="B29">
        <v>1.94</v>
      </c>
      <c r="C29">
        <v>6.8639999999999999</v>
      </c>
      <c r="D29">
        <v>4.8395000000000001</v>
      </c>
      <c r="H29" s="3"/>
    </row>
    <row r="30" spans="1:8" x14ac:dyDescent="0.2">
      <c r="A30" t="s">
        <v>176</v>
      </c>
      <c r="B30">
        <v>3.7749999999999999</v>
      </c>
      <c r="C30">
        <v>7.6189999999999998</v>
      </c>
      <c r="D30">
        <v>5.3684166666666702</v>
      </c>
      <c r="H30" s="3"/>
    </row>
    <row r="31" spans="1:8" x14ac:dyDescent="0.2">
      <c r="A31" t="s">
        <v>177</v>
      </c>
      <c r="B31">
        <v>2.1280000000000001</v>
      </c>
      <c r="C31">
        <v>8.4689999999999994</v>
      </c>
      <c r="D31">
        <v>6.1511666666666702</v>
      </c>
      <c r="E31">
        <v>3.8</v>
      </c>
      <c r="F31" s="4" t="s">
        <v>372</v>
      </c>
      <c r="G31">
        <f>AVERAGE(D33:D213)</f>
        <v>13.367138581952117</v>
      </c>
      <c r="H31" s="3"/>
    </row>
    <row r="32" spans="1:8" x14ac:dyDescent="0.2">
      <c r="A32" t="s">
        <v>178</v>
      </c>
      <c r="B32">
        <v>2.1819999999999999</v>
      </c>
      <c r="C32">
        <v>5.77</v>
      </c>
      <c r="D32">
        <v>4.0758333333333301</v>
      </c>
      <c r="E32">
        <v>0.1</v>
      </c>
      <c r="F32" s="4" t="s">
        <v>373</v>
      </c>
      <c r="G32">
        <f>SUM(E33:E213)</f>
        <v>174.86599999999999</v>
      </c>
      <c r="H32" s="3"/>
    </row>
    <row r="33" spans="1:8" x14ac:dyDescent="0.2">
      <c r="A33" t="s">
        <v>179</v>
      </c>
      <c r="B33">
        <v>3.1949999999999998</v>
      </c>
      <c r="C33">
        <v>8.3190000000000008</v>
      </c>
      <c r="D33">
        <v>4.3814166666666674</v>
      </c>
      <c r="E33">
        <v>1.3</v>
      </c>
      <c r="H33" s="3"/>
    </row>
    <row r="34" spans="1:8" x14ac:dyDescent="0.2">
      <c r="A34" t="s">
        <v>180</v>
      </c>
      <c r="B34">
        <v>2.7170000000000001</v>
      </c>
      <c r="C34">
        <v>8.7669999999999995</v>
      </c>
      <c r="D34">
        <v>6.8591666666666669</v>
      </c>
      <c r="H34" s="3"/>
    </row>
    <row r="35" spans="1:8" x14ac:dyDescent="0.2">
      <c r="A35" t="s">
        <v>181</v>
      </c>
      <c r="B35">
        <v>3.274</v>
      </c>
      <c r="C35">
        <v>8.9410000000000007</v>
      </c>
      <c r="D35">
        <v>6.5155000000000003</v>
      </c>
      <c r="H35" s="3"/>
    </row>
    <row r="36" spans="1:8" x14ac:dyDescent="0.2">
      <c r="A36" t="s">
        <v>182</v>
      </c>
      <c r="B36">
        <v>5.1790000000000003</v>
      </c>
      <c r="C36">
        <v>7.67</v>
      </c>
      <c r="D36">
        <v>6.6926666666666668</v>
      </c>
      <c r="H36" s="3"/>
    </row>
    <row r="37" spans="1:8" x14ac:dyDescent="0.2">
      <c r="A37" t="s">
        <v>183</v>
      </c>
      <c r="B37">
        <v>1.5880000000000001</v>
      </c>
      <c r="C37">
        <v>6.3570000000000002</v>
      </c>
      <c r="D37">
        <v>4.0067499999999994</v>
      </c>
      <c r="H37" s="3"/>
    </row>
    <row r="38" spans="1:8" x14ac:dyDescent="0.2">
      <c r="A38" t="s">
        <v>184</v>
      </c>
      <c r="B38">
        <v>4.8179999999999996</v>
      </c>
      <c r="C38">
        <v>6.0510000000000002</v>
      </c>
      <c r="D38">
        <v>5.4593333333333334</v>
      </c>
      <c r="E38">
        <v>17</v>
      </c>
      <c r="H38" s="3"/>
    </row>
    <row r="39" spans="1:8" x14ac:dyDescent="0.2">
      <c r="A39" t="s">
        <v>185</v>
      </c>
      <c r="B39">
        <v>2.77</v>
      </c>
      <c r="C39">
        <v>7.0149999999999997</v>
      </c>
      <c r="D39">
        <v>4.4863333333333344</v>
      </c>
      <c r="H39" s="3"/>
    </row>
    <row r="40" spans="1:8" x14ac:dyDescent="0.2">
      <c r="A40" t="s">
        <v>186</v>
      </c>
      <c r="B40">
        <v>3.1419999999999999</v>
      </c>
      <c r="C40">
        <v>7.5940000000000003</v>
      </c>
      <c r="D40">
        <v>5.6795833333333334</v>
      </c>
      <c r="H40" s="3"/>
    </row>
    <row r="41" spans="1:8" x14ac:dyDescent="0.2">
      <c r="A41" t="s">
        <v>187</v>
      </c>
      <c r="B41">
        <v>3.7490000000000001</v>
      </c>
      <c r="C41">
        <v>11.952999999999999</v>
      </c>
      <c r="D41">
        <v>8.3778333333333332</v>
      </c>
      <c r="H41" s="3"/>
    </row>
    <row r="42" spans="1:8" x14ac:dyDescent="0.2">
      <c r="A42" t="s">
        <v>188</v>
      </c>
      <c r="B42">
        <v>1.4530000000000001</v>
      </c>
      <c r="C42">
        <v>8.2200000000000006</v>
      </c>
      <c r="D42">
        <v>4.9351666666666656</v>
      </c>
      <c r="E42">
        <v>4.05</v>
      </c>
      <c r="H42" s="3"/>
    </row>
    <row r="43" spans="1:8" x14ac:dyDescent="0.2">
      <c r="A43" t="s">
        <v>189</v>
      </c>
      <c r="B43">
        <v>0.74199999999999999</v>
      </c>
      <c r="C43">
        <v>7.4189999999999996</v>
      </c>
      <c r="D43">
        <v>4.3304166666666664</v>
      </c>
      <c r="H43" s="3"/>
    </row>
    <row r="44" spans="1:8" x14ac:dyDescent="0.2">
      <c r="A44" t="s">
        <v>190</v>
      </c>
      <c r="B44">
        <v>-4.0460000000000003</v>
      </c>
      <c r="C44">
        <v>7.0410000000000004</v>
      </c>
      <c r="D44">
        <v>0.70308333333333328</v>
      </c>
      <c r="H44" s="3"/>
    </row>
    <row r="45" spans="1:8" x14ac:dyDescent="0.2">
      <c r="A45" t="s">
        <v>191</v>
      </c>
      <c r="B45">
        <v>-4.1970000000000001</v>
      </c>
      <c r="C45">
        <v>10.785</v>
      </c>
      <c r="D45">
        <v>2.1789166666666659</v>
      </c>
      <c r="H45" s="3"/>
    </row>
    <row r="46" spans="1:8" x14ac:dyDescent="0.2">
      <c r="A46" t="s">
        <v>192</v>
      </c>
      <c r="B46">
        <v>-4.0000000000000001E-3</v>
      </c>
      <c r="C46">
        <v>11.856</v>
      </c>
      <c r="D46">
        <v>6.2597500000000004</v>
      </c>
      <c r="H46" s="3"/>
    </row>
    <row r="47" spans="1:8" x14ac:dyDescent="0.2">
      <c r="A47" t="s">
        <v>193</v>
      </c>
      <c r="B47">
        <v>5.4880000000000004</v>
      </c>
      <c r="C47">
        <v>9.8539999999999992</v>
      </c>
      <c r="D47">
        <v>7.1464999999999996</v>
      </c>
      <c r="H47" s="3"/>
    </row>
    <row r="48" spans="1:8" x14ac:dyDescent="0.2">
      <c r="A48" t="s">
        <v>194</v>
      </c>
      <c r="B48">
        <v>5.3849999999999998</v>
      </c>
      <c r="C48">
        <v>11.977</v>
      </c>
      <c r="D48">
        <v>8.0228333333333346</v>
      </c>
      <c r="E48">
        <v>10.26</v>
      </c>
      <c r="H48" s="3"/>
    </row>
    <row r="49" spans="1:8" x14ac:dyDescent="0.2">
      <c r="A49" t="s">
        <v>195</v>
      </c>
      <c r="B49">
        <v>7.6189999999999998</v>
      </c>
      <c r="C49">
        <v>12.847</v>
      </c>
      <c r="D49">
        <v>10.926916666666671</v>
      </c>
      <c r="E49">
        <v>0.86</v>
      </c>
      <c r="H49" s="3"/>
    </row>
    <row r="50" spans="1:8" x14ac:dyDescent="0.2">
      <c r="A50" t="s">
        <v>196</v>
      </c>
      <c r="B50">
        <v>7.5940000000000003</v>
      </c>
      <c r="C50">
        <v>13.087999999999999</v>
      </c>
      <c r="D50">
        <v>9.4209166666666651</v>
      </c>
      <c r="H50" s="3"/>
    </row>
    <row r="51" spans="1:8" x14ac:dyDescent="0.2">
      <c r="A51" t="s">
        <v>197</v>
      </c>
      <c r="B51">
        <v>4.5060000000000002</v>
      </c>
      <c r="C51">
        <v>8.3940000000000001</v>
      </c>
      <c r="D51">
        <v>6.7830000000000004</v>
      </c>
      <c r="H51" s="3"/>
    </row>
    <row r="52" spans="1:8" x14ac:dyDescent="0.2">
      <c r="A52" t="s">
        <v>198</v>
      </c>
      <c r="B52">
        <v>6.306</v>
      </c>
      <c r="C52">
        <v>9.5579999999999998</v>
      </c>
      <c r="D52">
        <v>7.6699166666666656</v>
      </c>
      <c r="E52">
        <v>9.6999999999999993</v>
      </c>
      <c r="H52" s="3"/>
    </row>
    <row r="53" spans="1:8" x14ac:dyDescent="0.2">
      <c r="A53" t="s">
        <v>199</v>
      </c>
      <c r="B53">
        <v>4.74</v>
      </c>
      <c r="C53">
        <v>9.9280000000000008</v>
      </c>
      <c r="D53">
        <v>6.6435833333333321</v>
      </c>
      <c r="E53">
        <v>2.67</v>
      </c>
      <c r="H53" s="3"/>
    </row>
    <row r="54" spans="1:8" x14ac:dyDescent="0.2">
      <c r="A54" t="s">
        <v>200</v>
      </c>
      <c r="B54">
        <v>3.9580000000000002</v>
      </c>
      <c r="C54">
        <v>8.7669999999999995</v>
      </c>
      <c r="D54">
        <v>6.7167499999999984</v>
      </c>
      <c r="E54">
        <v>2.1800000000000002</v>
      </c>
      <c r="H54" s="3"/>
    </row>
    <row r="55" spans="1:8" x14ac:dyDescent="0.2">
      <c r="A55" t="s">
        <v>201</v>
      </c>
      <c r="B55">
        <v>1.994</v>
      </c>
      <c r="C55">
        <v>12.388999999999999</v>
      </c>
      <c r="D55">
        <v>6.914583333333332</v>
      </c>
      <c r="H55" s="3"/>
    </row>
    <row r="56" spans="1:8" x14ac:dyDescent="0.2">
      <c r="A56" t="s">
        <v>202</v>
      </c>
      <c r="B56">
        <v>3.67</v>
      </c>
      <c r="C56">
        <v>11.516</v>
      </c>
      <c r="D56">
        <v>6.5906666666666656</v>
      </c>
      <c r="E56">
        <v>1.77</v>
      </c>
      <c r="H56" s="3"/>
    </row>
    <row r="57" spans="1:8" x14ac:dyDescent="0.2">
      <c r="A57" t="s">
        <v>203</v>
      </c>
      <c r="B57">
        <v>1.5880000000000001</v>
      </c>
      <c r="C57">
        <v>7.3929999999999998</v>
      </c>
      <c r="D57">
        <v>3.8733333333333331</v>
      </c>
      <c r="H57" s="3"/>
    </row>
    <row r="58" spans="1:8" x14ac:dyDescent="0.2">
      <c r="A58" t="s">
        <v>204</v>
      </c>
      <c r="B58">
        <v>-0.47899999999999998</v>
      </c>
      <c r="C58">
        <v>8.27</v>
      </c>
      <c r="D58">
        <v>2.9742500000000001</v>
      </c>
      <c r="H58" s="3"/>
    </row>
    <row r="59" spans="1:8" x14ac:dyDescent="0.2">
      <c r="A59" t="s">
        <v>205</v>
      </c>
      <c r="B59">
        <v>-2.2469999999999999</v>
      </c>
      <c r="C59">
        <v>9.7059999999999995</v>
      </c>
      <c r="D59">
        <v>2.7324999999999999</v>
      </c>
      <c r="H59" s="3"/>
    </row>
    <row r="60" spans="1:8" x14ac:dyDescent="0.2">
      <c r="A60" t="s">
        <v>206</v>
      </c>
      <c r="B60">
        <v>-3.8959999999999999</v>
      </c>
      <c r="C60">
        <v>10.932</v>
      </c>
      <c r="D60">
        <v>1.945583333333333</v>
      </c>
      <c r="H60" s="3"/>
    </row>
    <row r="61" spans="1:8" x14ac:dyDescent="0.2">
      <c r="A61" t="s">
        <v>207</v>
      </c>
      <c r="B61">
        <v>-4.0460000000000003</v>
      </c>
      <c r="C61">
        <v>8.3190000000000008</v>
      </c>
      <c r="D61">
        <v>1.6656666666666671</v>
      </c>
      <c r="H61" s="3"/>
    </row>
    <row r="62" spans="1:8" x14ac:dyDescent="0.2">
      <c r="A62" t="s">
        <v>208</v>
      </c>
      <c r="B62">
        <v>-2.7120000000000002</v>
      </c>
      <c r="C62">
        <v>9.9030000000000005</v>
      </c>
      <c r="D62">
        <v>2.4096666666666668</v>
      </c>
      <c r="H62" s="3"/>
    </row>
    <row r="63" spans="1:8" x14ac:dyDescent="0.2">
      <c r="A63" t="s">
        <v>209</v>
      </c>
      <c r="B63">
        <v>-4.016</v>
      </c>
      <c r="C63">
        <v>12.34</v>
      </c>
      <c r="D63">
        <v>2.3715833333333332</v>
      </c>
      <c r="H63" s="3"/>
    </row>
    <row r="64" spans="1:8" x14ac:dyDescent="0.2">
      <c r="A64" t="s">
        <v>210</v>
      </c>
      <c r="B64">
        <v>-3.7469999999999999</v>
      </c>
      <c r="C64">
        <v>8.8659999999999997</v>
      </c>
      <c r="D64">
        <v>1.6026666666666669</v>
      </c>
      <c r="H64" s="3"/>
    </row>
    <row r="65" spans="1:8" x14ac:dyDescent="0.2">
      <c r="A65" t="s">
        <v>211</v>
      </c>
      <c r="B65">
        <v>-4.2869999999999999</v>
      </c>
      <c r="C65">
        <v>7.5940000000000003</v>
      </c>
      <c r="D65">
        <v>1.3748333333333329</v>
      </c>
      <c r="H65" s="3"/>
    </row>
    <row r="66" spans="1:8" x14ac:dyDescent="0.2">
      <c r="A66" t="s">
        <v>212</v>
      </c>
      <c r="B66">
        <v>-3.5680000000000001</v>
      </c>
      <c r="C66">
        <v>7.2930000000000001</v>
      </c>
      <c r="D66">
        <v>1.7124166666666669</v>
      </c>
      <c r="H66" s="3"/>
    </row>
    <row r="67" spans="1:8" x14ac:dyDescent="0.2">
      <c r="A67" t="s">
        <v>213</v>
      </c>
      <c r="B67">
        <v>-2.8</v>
      </c>
      <c r="C67">
        <v>7.1669999999999998</v>
      </c>
      <c r="D67">
        <v>1.320416666666667</v>
      </c>
      <c r="H67" s="3"/>
    </row>
    <row r="68" spans="1:8" x14ac:dyDescent="0.2">
      <c r="A68" t="s">
        <v>214</v>
      </c>
      <c r="B68">
        <v>-5.8230000000000004</v>
      </c>
      <c r="C68">
        <v>11.71</v>
      </c>
      <c r="D68">
        <v>1.660833333333334</v>
      </c>
      <c r="H68" s="3"/>
    </row>
    <row r="69" spans="1:8" x14ac:dyDescent="0.2">
      <c r="A69" t="s">
        <v>215</v>
      </c>
      <c r="B69">
        <v>-5.2640000000000002</v>
      </c>
      <c r="C69">
        <v>14.194000000000001</v>
      </c>
      <c r="D69">
        <v>2.6604166666666669</v>
      </c>
      <c r="H69" s="3"/>
    </row>
    <row r="70" spans="1:8" x14ac:dyDescent="0.2">
      <c r="A70" t="s">
        <v>216</v>
      </c>
      <c r="B70">
        <v>-4.3479999999999999</v>
      </c>
      <c r="C70">
        <v>16.295999999999999</v>
      </c>
      <c r="D70">
        <v>4.3019166666666671</v>
      </c>
      <c r="H70" s="3"/>
    </row>
    <row r="71" spans="1:8" x14ac:dyDescent="0.2">
      <c r="A71" t="s">
        <v>217</v>
      </c>
      <c r="B71">
        <v>-2.8879999999999999</v>
      </c>
      <c r="C71">
        <v>13.858000000000001</v>
      </c>
      <c r="D71">
        <v>4.1829999999999989</v>
      </c>
      <c r="H71" s="3"/>
    </row>
    <row r="72" spans="1:8" x14ac:dyDescent="0.2">
      <c r="A72" t="s">
        <v>218</v>
      </c>
      <c r="B72">
        <v>-0.84499999999999997</v>
      </c>
      <c r="C72">
        <v>14.744999999999999</v>
      </c>
      <c r="D72">
        <v>5.4976666666666674</v>
      </c>
      <c r="H72" s="3"/>
    </row>
    <row r="73" spans="1:8" x14ac:dyDescent="0.2">
      <c r="A73" t="s">
        <v>219</v>
      </c>
      <c r="B73">
        <v>-3.2120000000000002</v>
      </c>
      <c r="C73">
        <v>15.414</v>
      </c>
      <c r="D73">
        <v>5.2096666666666671</v>
      </c>
      <c r="E73">
        <v>1.59</v>
      </c>
      <c r="H73" s="3"/>
    </row>
    <row r="74" spans="1:8" x14ac:dyDescent="0.2">
      <c r="A74" t="s">
        <v>220</v>
      </c>
      <c r="B74">
        <v>2.3959999999999999</v>
      </c>
      <c r="C74">
        <v>11.662000000000001</v>
      </c>
      <c r="D74">
        <v>7.5614166666666662</v>
      </c>
      <c r="E74">
        <v>11.09</v>
      </c>
      <c r="H74" s="3"/>
    </row>
    <row r="75" spans="1:8" x14ac:dyDescent="0.2">
      <c r="A75" t="s">
        <v>221</v>
      </c>
      <c r="B75">
        <v>1.044</v>
      </c>
      <c r="C75">
        <v>6.9139999999999997</v>
      </c>
      <c r="D75">
        <v>4.2780833333333339</v>
      </c>
      <c r="H75" s="3"/>
    </row>
    <row r="76" spans="1:8" x14ac:dyDescent="0.2">
      <c r="A76" t="s">
        <v>222</v>
      </c>
      <c r="B76">
        <v>0.60499999999999998</v>
      </c>
      <c r="C76">
        <v>13.305</v>
      </c>
      <c r="D76">
        <v>5.9239999999999986</v>
      </c>
      <c r="H76" s="3"/>
    </row>
    <row r="77" spans="1:8" x14ac:dyDescent="0.2">
      <c r="A77" t="s">
        <v>223</v>
      </c>
      <c r="B77">
        <v>5.6929999999999996</v>
      </c>
      <c r="C77">
        <v>10.394</v>
      </c>
      <c r="D77">
        <v>7.9339166666666658</v>
      </c>
      <c r="H77" s="3"/>
    </row>
    <row r="78" spans="1:8" x14ac:dyDescent="0.2">
      <c r="A78" t="s">
        <v>224</v>
      </c>
      <c r="B78">
        <v>3.9849999999999999</v>
      </c>
      <c r="C78">
        <v>14.792</v>
      </c>
      <c r="D78">
        <v>7.9950833333333344</v>
      </c>
      <c r="H78" s="3"/>
    </row>
    <row r="79" spans="1:8" x14ac:dyDescent="0.2">
      <c r="A79" t="s">
        <v>225</v>
      </c>
      <c r="B79">
        <v>0.98899999999999999</v>
      </c>
      <c r="C79">
        <v>12.364000000000001</v>
      </c>
      <c r="D79">
        <v>6.524166666666666</v>
      </c>
      <c r="H79" s="3"/>
    </row>
    <row r="80" spans="1:8" x14ac:dyDescent="0.2">
      <c r="A80" t="s">
        <v>226</v>
      </c>
      <c r="B80">
        <v>0.38400000000000001</v>
      </c>
      <c r="C80">
        <v>16.486999999999998</v>
      </c>
      <c r="D80">
        <v>7.8599999999999994</v>
      </c>
      <c r="H80" s="3"/>
    </row>
    <row r="81" spans="1:8" x14ac:dyDescent="0.2">
      <c r="A81" t="s">
        <v>227</v>
      </c>
      <c r="B81">
        <v>-0.39500000000000002</v>
      </c>
      <c r="C81">
        <v>17.558</v>
      </c>
      <c r="D81">
        <v>7.5010000000000003</v>
      </c>
      <c r="H81" s="3"/>
    </row>
    <row r="82" spans="1:8" x14ac:dyDescent="0.2">
      <c r="A82" t="s">
        <v>228</v>
      </c>
      <c r="B82">
        <v>-1.5840000000000001</v>
      </c>
      <c r="C82">
        <v>18.675000000000001</v>
      </c>
      <c r="D82">
        <v>7.712833333333335</v>
      </c>
      <c r="H82" s="3"/>
    </row>
    <row r="83" spans="1:8" x14ac:dyDescent="0.2">
      <c r="A83" t="s">
        <v>229</v>
      </c>
      <c r="B83">
        <v>-1.756</v>
      </c>
      <c r="C83">
        <v>19.936</v>
      </c>
      <c r="D83">
        <v>7.8850000000000007</v>
      </c>
      <c r="H83" s="3"/>
    </row>
    <row r="84" spans="1:8" x14ac:dyDescent="0.2">
      <c r="A84" t="s">
        <v>230</v>
      </c>
      <c r="B84">
        <v>-0.93</v>
      </c>
      <c r="C84">
        <v>20.603000000000002</v>
      </c>
      <c r="D84">
        <v>8.6112500000000001</v>
      </c>
      <c r="H84" s="3"/>
    </row>
    <row r="85" spans="1:8" x14ac:dyDescent="0.2">
      <c r="A85" t="s">
        <v>231</v>
      </c>
      <c r="B85">
        <v>0.38400000000000001</v>
      </c>
      <c r="C85">
        <v>19.27</v>
      </c>
      <c r="D85">
        <v>9.3333333333333339</v>
      </c>
      <c r="H85" s="3"/>
    </row>
    <row r="86" spans="1:8" x14ac:dyDescent="0.2">
      <c r="A86" t="s">
        <v>232</v>
      </c>
      <c r="B86">
        <v>0.57699999999999996</v>
      </c>
      <c r="C86">
        <v>19.911999999999999</v>
      </c>
      <c r="D86">
        <v>9.753166666666667</v>
      </c>
      <c r="E86">
        <v>0.42</v>
      </c>
      <c r="H86" s="3"/>
    </row>
    <row r="87" spans="1:8" x14ac:dyDescent="0.2">
      <c r="A87" t="s">
        <v>233</v>
      </c>
      <c r="B87">
        <v>2.0470000000000002</v>
      </c>
      <c r="C87">
        <v>20.698</v>
      </c>
      <c r="D87">
        <v>11.358750000000001</v>
      </c>
      <c r="E87">
        <v>1.94</v>
      </c>
      <c r="H87" s="3"/>
    </row>
    <row r="88" spans="1:8" x14ac:dyDescent="0.2">
      <c r="A88" t="s">
        <v>234</v>
      </c>
      <c r="B88">
        <v>3.38</v>
      </c>
      <c r="C88">
        <v>21.199000000000002</v>
      </c>
      <c r="D88">
        <v>11.82925</v>
      </c>
      <c r="E88">
        <v>0.49</v>
      </c>
      <c r="H88" s="3"/>
    </row>
    <row r="89" spans="1:8" x14ac:dyDescent="0.2">
      <c r="A89" t="s">
        <v>39</v>
      </c>
      <c r="B89">
        <v>5.6929999999999996</v>
      </c>
      <c r="C89">
        <v>15.461</v>
      </c>
      <c r="D89">
        <v>10.54841666666667</v>
      </c>
      <c r="H89" s="3"/>
    </row>
    <row r="90" spans="1:8" x14ac:dyDescent="0.2">
      <c r="A90" t="s">
        <v>235</v>
      </c>
      <c r="B90">
        <v>3.9319999999999999</v>
      </c>
      <c r="C90">
        <v>12.92</v>
      </c>
      <c r="D90">
        <v>8.6227499999999981</v>
      </c>
      <c r="H90" s="3"/>
    </row>
    <row r="91" spans="1:8" x14ac:dyDescent="0.2">
      <c r="A91" t="s">
        <v>236</v>
      </c>
      <c r="B91">
        <v>1.859</v>
      </c>
      <c r="C91">
        <v>8.7170000000000005</v>
      </c>
      <c r="D91">
        <v>4.8210833333333332</v>
      </c>
      <c r="H91" s="3"/>
    </row>
    <row r="92" spans="1:8" x14ac:dyDescent="0.2">
      <c r="A92" t="s">
        <v>237</v>
      </c>
      <c r="B92">
        <v>-4.0000000000000001E-3</v>
      </c>
      <c r="C92">
        <v>3.1419999999999999</v>
      </c>
      <c r="D92">
        <v>1.62625</v>
      </c>
      <c r="H92" s="3"/>
    </row>
    <row r="93" spans="1:8" x14ac:dyDescent="0.2">
      <c r="A93" t="s">
        <v>238</v>
      </c>
      <c r="B93">
        <v>-0.73199999999999998</v>
      </c>
      <c r="C93">
        <v>3.9319999999999999</v>
      </c>
      <c r="D93">
        <v>1.35575</v>
      </c>
      <c r="E93">
        <v>11.14</v>
      </c>
      <c r="H93" s="3"/>
    </row>
    <row r="94" spans="1:8" x14ac:dyDescent="0.2">
      <c r="A94" t="s">
        <v>239</v>
      </c>
      <c r="B94">
        <v>-1.929</v>
      </c>
      <c r="C94">
        <v>8.4190000000000005</v>
      </c>
      <c r="D94">
        <v>2.5105833333333329</v>
      </c>
      <c r="H94" s="3"/>
    </row>
    <row r="95" spans="1:8" x14ac:dyDescent="0.2">
      <c r="A95" t="s">
        <v>240</v>
      </c>
      <c r="B95">
        <v>-1.929</v>
      </c>
      <c r="C95">
        <v>9.1630000000000003</v>
      </c>
      <c r="D95">
        <v>3.7963333333333331</v>
      </c>
      <c r="H95" s="3"/>
    </row>
    <row r="96" spans="1:8" x14ac:dyDescent="0.2">
      <c r="A96" t="s">
        <v>241</v>
      </c>
      <c r="B96">
        <v>6</v>
      </c>
      <c r="C96">
        <v>11.516</v>
      </c>
      <c r="D96">
        <v>8.4573333333333345</v>
      </c>
      <c r="H96" s="3"/>
    </row>
    <row r="97" spans="1:8" x14ac:dyDescent="0.2">
      <c r="A97" t="s">
        <v>242</v>
      </c>
      <c r="B97">
        <v>9.5830000000000002</v>
      </c>
      <c r="C97">
        <v>15.151</v>
      </c>
      <c r="D97">
        <v>11.53758333333333</v>
      </c>
      <c r="E97">
        <v>1.956</v>
      </c>
      <c r="H97" s="3"/>
    </row>
    <row r="98" spans="1:8" x14ac:dyDescent="0.2">
      <c r="A98" t="s">
        <v>243</v>
      </c>
      <c r="B98">
        <v>9.6080000000000005</v>
      </c>
      <c r="C98">
        <v>13.978</v>
      </c>
      <c r="D98">
        <v>10.95366666666667</v>
      </c>
      <c r="E98">
        <v>20.22</v>
      </c>
      <c r="H98" s="3"/>
    </row>
    <row r="99" spans="1:8" x14ac:dyDescent="0.2">
      <c r="A99" t="s">
        <v>244</v>
      </c>
      <c r="B99">
        <v>3.036</v>
      </c>
      <c r="C99">
        <v>9.41</v>
      </c>
      <c r="D99">
        <v>5.7826666666666684</v>
      </c>
      <c r="H99" s="3"/>
    </row>
    <row r="100" spans="1:8" x14ac:dyDescent="0.2">
      <c r="A100" t="s">
        <v>245</v>
      </c>
      <c r="B100">
        <v>3.1949999999999998</v>
      </c>
      <c r="C100">
        <v>10.663</v>
      </c>
      <c r="D100">
        <v>6.1800833333333332</v>
      </c>
      <c r="H100" s="3"/>
    </row>
    <row r="101" spans="1:8" x14ac:dyDescent="0.2">
      <c r="A101" t="s">
        <v>246</v>
      </c>
      <c r="B101">
        <v>1.18</v>
      </c>
      <c r="C101">
        <v>10.785</v>
      </c>
      <c r="D101">
        <v>5.6277499999999998</v>
      </c>
      <c r="H101" s="3"/>
    </row>
    <row r="102" spans="1:8" x14ac:dyDescent="0.2">
      <c r="A102" t="s">
        <v>247</v>
      </c>
      <c r="B102">
        <v>-0.33900000000000002</v>
      </c>
      <c r="C102">
        <v>17.058</v>
      </c>
      <c r="D102">
        <v>7.3226666666666667</v>
      </c>
      <c r="H102" s="3"/>
    </row>
    <row r="103" spans="1:8" x14ac:dyDescent="0.2">
      <c r="A103" t="s">
        <v>248</v>
      </c>
      <c r="B103">
        <v>1.8049999999999999</v>
      </c>
      <c r="C103">
        <v>22.992000000000001</v>
      </c>
      <c r="D103">
        <v>11.551166666666671</v>
      </c>
      <c r="H103" s="3"/>
    </row>
    <row r="104" spans="1:8" x14ac:dyDescent="0.2">
      <c r="A104" t="s">
        <v>249</v>
      </c>
      <c r="B104">
        <v>6.6360000000000001</v>
      </c>
      <c r="C104">
        <v>23.689</v>
      </c>
      <c r="D104">
        <v>14.474833333333329</v>
      </c>
      <c r="H104" s="3"/>
    </row>
    <row r="105" spans="1:8" x14ac:dyDescent="0.2">
      <c r="A105" t="s">
        <v>250</v>
      </c>
      <c r="B105">
        <v>10.932</v>
      </c>
      <c r="C105">
        <v>17.390999999999998</v>
      </c>
      <c r="D105">
        <v>14.8245</v>
      </c>
      <c r="H105" s="3"/>
    </row>
    <row r="106" spans="1:8" x14ac:dyDescent="0.2">
      <c r="A106" t="s">
        <v>251</v>
      </c>
      <c r="B106">
        <v>4.9989999999999997</v>
      </c>
      <c r="C106">
        <v>18.771000000000001</v>
      </c>
      <c r="D106">
        <v>11.86275</v>
      </c>
      <c r="H106" s="3"/>
    </row>
    <row r="107" spans="1:8" x14ac:dyDescent="0.2">
      <c r="A107" t="s">
        <v>252</v>
      </c>
      <c r="B107">
        <v>6.2549999999999999</v>
      </c>
      <c r="C107">
        <v>16.391999999999999</v>
      </c>
      <c r="D107">
        <v>10.855333333333331</v>
      </c>
      <c r="H107" s="3"/>
    </row>
    <row r="108" spans="1:8" x14ac:dyDescent="0.2">
      <c r="A108" t="s">
        <v>253</v>
      </c>
      <c r="B108">
        <v>0.41199999999999998</v>
      </c>
      <c r="C108">
        <v>18.437999999999999</v>
      </c>
      <c r="D108">
        <v>9.0357500000000019</v>
      </c>
      <c r="H108" s="3"/>
    </row>
    <row r="109" spans="1:8" x14ac:dyDescent="0.2">
      <c r="A109" t="s">
        <v>254</v>
      </c>
      <c r="B109">
        <v>1.262</v>
      </c>
      <c r="C109">
        <v>18.841999999999999</v>
      </c>
      <c r="D109">
        <v>9.8609166666666663</v>
      </c>
      <c r="H109" s="3"/>
    </row>
    <row r="110" spans="1:8" x14ac:dyDescent="0.2">
      <c r="A110" t="s">
        <v>255</v>
      </c>
      <c r="B110">
        <v>1.5609999999999999</v>
      </c>
      <c r="C110">
        <v>19.579000000000001</v>
      </c>
      <c r="D110">
        <v>10.84266666666667</v>
      </c>
      <c r="H110" s="3"/>
    </row>
    <row r="111" spans="1:8" x14ac:dyDescent="0.2">
      <c r="A111" t="s">
        <v>256</v>
      </c>
      <c r="B111">
        <v>1.208</v>
      </c>
      <c r="C111">
        <v>18.460999999999999</v>
      </c>
      <c r="D111">
        <v>10.189666666666669</v>
      </c>
      <c r="H111" s="3"/>
    </row>
    <row r="112" spans="1:8" x14ac:dyDescent="0.2">
      <c r="A112" t="s">
        <v>257</v>
      </c>
      <c r="B112">
        <v>3.1419999999999999</v>
      </c>
      <c r="C112">
        <v>19.079999999999998</v>
      </c>
      <c r="D112">
        <v>10.23925</v>
      </c>
      <c r="H112" s="3"/>
    </row>
    <row r="113" spans="1:8" x14ac:dyDescent="0.2">
      <c r="A113" t="s">
        <v>258</v>
      </c>
      <c r="B113">
        <v>5.024</v>
      </c>
      <c r="C113">
        <v>19.103000000000002</v>
      </c>
      <c r="D113">
        <v>12.08333333333333</v>
      </c>
      <c r="H113" s="3"/>
    </row>
    <row r="114" spans="1:8" x14ac:dyDescent="0.2">
      <c r="A114" t="s">
        <v>259</v>
      </c>
      <c r="B114">
        <v>5.7960000000000003</v>
      </c>
      <c r="C114">
        <v>16.773</v>
      </c>
      <c r="D114">
        <v>11.686999999999999</v>
      </c>
      <c r="H114" s="3"/>
    </row>
    <row r="115" spans="1:8" x14ac:dyDescent="0.2">
      <c r="A115" t="s">
        <v>260</v>
      </c>
      <c r="B115">
        <v>8.9649999999999999</v>
      </c>
      <c r="C115">
        <v>14.864000000000001</v>
      </c>
      <c r="D115">
        <v>11.529</v>
      </c>
      <c r="H115" s="3"/>
    </row>
    <row r="116" spans="1:8" x14ac:dyDescent="0.2">
      <c r="A116" t="s">
        <v>261</v>
      </c>
      <c r="B116">
        <v>4.7140000000000004</v>
      </c>
      <c r="C116">
        <v>16.677</v>
      </c>
      <c r="D116">
        <v>10.122083333333331</v>
      </c>
      <c r="E116">
        <v>14.2</v>
      </c>
      <c r="H116" s="3"/>
    </row>
    <row r="117" spans="1:8" x14ac:dyDescent="0.2">
      <c r="A117" t="s">
        <v>262</v>
      </c>
      <c r="B117">
        <v>6.2549999999999999</v>
      </c>
      <c r="C117">
        <v>9.9770000000000003</v>
      </c>
      <c r="D117">
        <v>8.2580833333333334</v>
      </c>
      <c r="E117">
        <v>11.47</v>
      </c>
      <c r="H117" s="3"/>
    </row>
    <row r="118" spans="1:8" x14ac:dyDescent="0.2">
      <c r="A118" t="s">
        <v>263</v>
      </c>
      <c r="B118">
        <v>2.903</v>
      </c>
      <c r="C118">
        <v>19.364999999999998</v>
      </c>
      <c r="D118">
        <v>11.18091666666667</v>
      </c>
      <c r="H118" s="3"/>
    </row>
    <row r="119" spans="1:8" x14ac:dyDescent="0.2">
      <c r="A119" t="s">
        <v>264</v>
      </c>
      <c r="B119">
        <v>3.4060000000000001</v>
      </c>
      <c r="C119">
        <v>20.792999999999999</v>
      </c>
      <c r="D119">
        <v>12.397</v>
      </c>
      <c r="H119" s="3"/>
    </row>
    <row r="120" spans="1:8" x14ac:dyDescent="0.2">
      <c r="A120" t="s">
        <v>265</v>
      </c>
      <c r="B120">
        <v>6.5350000000000001</v>
      </c>
      <c r="C120">
        <v>20.030999999999999</v>
      </c>
      <c r="D120">
        <v>13.134833333333329</v>
      </c>
      <c r="H120" s="3"/>
    </row>
    <row r="121" spans="1:8" x14ac:dyDescent="0.2">
      <c r="A121" t="s">
        <v>266</v>
      </c>
      <c r="B121">
        <v>8.4440000000000008</v>
      </c>
      <c r="C121">
        <v>13.161</v>
      </c>
      <c r="D121">
        <v>10.277416666666671</v>
      </c>
      <c r="E121">
        <v>2.4900000000000002</v>
      </c>
      <c r="H121" s="3"/>
    </row>
    <row r="122" spans="1:8" x14ac:dyDescent="0.2">
      <c r="A122" t="s">
        <v>267</v>
      </c>
      <c r="B122">
        <v>8.1950000000000003</v>
      </c>
      <c r="C122">
        <v>17.652999999999999</v>
      </c>
      <c r="D122">
        <v>12.502666666666659</v>
      </c>
      <c r="H122" s="3"/>
    </row>
    <row r="123" spans="1:8" x14ac:dyDescent="0.2">
      <c r="A123" t="s">
        <v>268</v>
      </c>
      <c r="B123">
        <v>7.2169999999999996</v>
      </c>
      <c r="C123">
        <v>21.39</v>
      </c>
      <c r="D123">
        <v>14.09583333333333</v>
      </c>
      <c r="H123" s="3"/>
    </row>
    <row r="124" spans="1:8" x14ac:dyDescent="0.2">
      <c r="A124" t="s">
        <v>269</v>
      </c>
      <c r="B124">
        <v>11.759</v>
      </c>
      <c r="C124">
        <v>21.7</v>
      </c>
      <c r="D124">
        <v>15.923</v>
      </c>
      <c r="H124" s="3"/>
    </row>
    <row r="125" spans="1:8" x14ac:dyDescent="0.2">
      <c r="A125" t="s">
        <v>270</v>
      </c>
      <c r="B125">
        <v>10.834</v>
      </c>
      <c r="C125">
        <v>21.509</v>
      </c>
      <c r="D125">
        <v>15.46608333333333</v>
      </c>
      <c r="E125">
        <v>0.39</v>
      </c>
      <c r="H125" s="3"/>
    </row>
    <row r="126" spans="1:8" x14ac:dyDescent="0.2">
      <c r="A126" t="s">
        <v>271</v>
      </c>
      <c r="B126">
        <v>11.077999999999999</v>
      </c>
      <c r="C126">
        <v>19.222000000000001</v>
      </c>
      <c r="D126">
        <v>14.223166666666661</v>
      </c>
      <c r="H126" s="3"/>
    </row>
    <row r="127" spans="1:8" x14ac:dyDescent="0.2">
      <c r="A127" t="s">
        <v>272</v>
      </c>
      <c r="B127">
        <v>6.99</v>
      </c>
      <c r="C127">
        <v>22.8</v>
      </c>
      <c r="D127">
        <v>14.92491666666667</v>
      </c>
      <c r="H127" s="3"/>
    </row>
    <row r="128" spans="1:8" x14ac:dyDescent="0.2">
      <c r="A128" t="s">
        <v>273</v>
      </c>
      <c r="B128">
        <v>5.8470000000000004</v>
      </c>
      <c r="C128">
        <v>23.809000000000001</v>
      </c>
      <c r="D128">
        <v>15.123583333333331</v>
      </c>
      <c r="H128" s="3"/>
    </row>
    <row r="129" spans="1:8" x14ac:dyDescent="0.2">
      <c r="A129" t="s">
        <v>274</v>
      </c>
      <c r="B129">
        <v>11.929</v>
      </c>
      <c r="C129">
        <v>22.847999999999999</v>
      </c>
      <c r="D129">
        <v>16.614666666666668</v>
      </c>
      <c r="H129" s="3"/>
    </row>
    <row r="130" spans="1:8" x14ac:dyDescent="0.2">
      <c r="A130" t="s">
        <v>275</v>
      </c>
      <c r="B130">
        <v>8.9410000000000007</v>
      </c>
      <c r="C130">
        <v>25.452999999999999</v>
      </c>
      <c r="D130">
        <v>17.371749999999999</v>
      </c>
      <c r="H130" s="3"/>
    </row>
    <row r="131" spans="1:8" x14ac:dyDescent="0.2">
      <c r="A131" t="s">
        <v>276</v>
      </c>
      <c r="B131">
        <v>8.7170000000000005</v>
      </c>
      <c r="C131">
        <v>26.622</v>
      </c>
      <c r="D131">
        <v>17.84458333333334</v>
      </c>
      <c r="H131" s="3"/>
    </row>
    <row r="132" spans="1:8" x14ac:dyDescent="0.2">
      <c r="A132" t="s">
        <v>277</v>
      </c>
      <c r="B132">
        <v>13.786</v>
      </c>
      <c r="C132">
        <v>29.315000000000001</v>
      </c>
      <c r="D132">
        <v>21.98416666666667</v>
      </c>
      <c r="H132" s="3"/>
    </row>
    <row r="133" spans="1:8" x14ac:dyDescent="0.2">
      <c r="A133" t="s">
        <v>278</v>
      </c>
      <c r="B133">
        <v>16.367999999999999</v>
      </c>
      <c r="C133">
        <v>25.306999999999999</v>
      </c>
      <c r="D133">
        <v>20.759916666666669</v>
      </c>
      <c r="H133" s="3"/>
    </row>
    <row r="134" spans="1:8" x14ac:dyDescent="0.2">
      <c r="A134" t="s">
        <v>279</v>
      </c>
      <c r="B134">
        <v>9.0640000000000001</v>
      </c>
      <c r="C134">
        <v>22.561</v>
      </c>
      <c r="D134">
        <v>16.62233333333333</v>
      </c>
      <c r="H134" s="3"/>
    </row>
    <row r="135" spans="1:8" x14ac:dyDescent="0.2">
      <c r="A135" t="s">
        <v>280</v>
      </c>
      <c r="B135">
        <v>7.3929999999999998</v>
      </c>
      <c r="C135">
        <v>25.744</v>
      </c>
      <c r="D135">
        <v>16.49666666666667</v>
      </c>
      <c r="H135" s="3"/>
    </row>
    <row r="136" spans="1:8" x14ac:dyDescent="0.2">
      <c r="A136" t="s">
        <v>281</v>
      </c>
      <c r="B136">
        <v>8.0950000000000006</v>
      </c>
      <c r="C136">
        <v>26.061</v>
      </c>
      <c r="D136">
        <v>17.742583333333329</v>
      </c>
      <c r="H136" s="3"/>
    </row>
    <row r="137" spans="1:8" x14ac:dyDescent="0.2">
      <c r="A137" t="s">
        <v>282</v>
      </c>
      <c r="B137">
        <v>10.712</v>
      </c>
      <c r="C137">
        <v>28.344999999999999</v>
      </c>
      <c r="D137">
        <v>17.707583333333329</v>
      </c>
      <c r="E137">
        <v>3.52</v>
      </c>
      <c r="H137" s="3"/>
    </row>
    <row r="138" spans="1:8" x14ac:dyDescent="0.2">
      <c r="A138" t="s">
        <v>283</v>
      </c>
      <c r="B138">
        <v>10.638</v>
      </c>
      <c r="C138">
        <v>25.088999999999999</v>
      </c>
      <c r="D138">
        <v>18.570166666666669</v>
      </c>
      <c r="H138" s="3"/>
    </row>
    <row r="139" spans="1:8" x14ac:dyDescent="0.2">
      <c r="A139" t="s">
        <v>284</v>
      </c>
      <c r="B139">
        <v>12.243</v>
      </c>
      <c r="C139">
        <v>29.54</v>
      </c>
      <c r="D139">
        <v>21.223916666666671</v>
      </c>
      <c r="H139" s="3"/>
    </row>
    <row r="140" spans="1:8" x14ac:dyDescent="0.2">
      <c r="A140" t="s">
        <v>285</v>
      </c>
      <c r="B140">
        <v>12.823</v>
      </c>
      <c r="C140">
        <v>30.696999999999999</v>
      </c>
      <c r="D140">
        <v>20.599</v>
      </c>
      <c r="E140">
        <v>6.23</v>
      </c>
      <c r="H140" s="3"/>
    </row>
    <row r="141" spans="1:8" x14ac:dyDescent="0.2">
      <c r="A141" t="s">
        <v>286</v>
      </c>
      <c r="B141">
        <v>15.223000000000001</v>
      </c>
      <c r="C141">
        <v>27.504999999999999</v>
      </c>
      <c r="D141">
        <v>20.20108333333333</v>
      </c>
      <c r="E141">
        <v>3.41</v>
      </c>
      <c r="H141" s="3"/>
    </row>
    <row r="142" spans="1:8" x14ac:dyDescent="0.2">
      <c r="A142" t="s">
        <v>287</v>
      </c>
      <c r="B142">
        <v>10.638</v>
      </c>
      <c r="C142">
        <v>20.555</v>
      </c>
      <c r="D142">
        <v>16.349250000000001</v>
      </c>
      <c r="H142" s="3"/>
    </row>
    <row r="143" spans="1:8" x14ac:dyDescent="0.2">
      <c r="A143" t="s">
        <v>288</v>
      </c>
      <c r="B143">
        <v>9.8290000000000006</v>
      </c>
      <c r="C143">
        <v>24.195</v>
      </c>
      <c r="D143">
        <v>16.969000000000001</v>
      </c>
      <c r="H143" s="3"/>
    </row>
    <row r="144" spans="1:8" x14ac:dyDescent="0.2">
      <c r="A144" t="s">
        <v>289</v>
      </c>
      <c r="B144">
        <v>12.413</v>
      </c>
      <c r="C144">
        <v>25.597999999999999</v>
      </c>
      <c r="D144">
        <v>18.566916666666661</v>
      </c>
      <c r="H144" s="3"/>
    </row>
    <row r="145" spans="1:8" x14ac:dyDescent="0.2">
      <c r="A145" t="s">
        <v>290</v>
      </c>
      <c r="B145">
        <v>13.137</v>
      </c>
      <c r="C145">
        <v>21.890999999999998</v>
      </c>
      <c r="D145">
        <v>17.29366666666667</v>
      </c>
      <c r="E145">
        <v>1.89</v>
      </c>
      <c r="H145" s="3"/>
    </row>
    <row r="146" spans="1:8" x14ac:dyDescent="0.2">
      <c r="A146" t="s">
        <v>291</v>
      </c>
      <c r="B146">
        <v>7.0149999999999997</v>
      </c>
      <c r="C146">
        <v>23.664999999999999</v>
      </c>
      <c r="D146">
        <v>15.916499999999999</v>
      </c>
      <c r="H146" s="3"/>
    </row>
    <row r="147" spans="1:8" x14ac:dyDescent="0.2">
      <c r="A147" t="s">
        <v>292</v>
      </c>
      <c r="B147">
        <v>13.545999999999999</v>
      </c>
      <c r="C147">
        <v>23.521000000000001</v>
      </c>
      <c r="D147">
        <v>18.609416666666672</v>
      </c>
      <c r="H147" s="3"/>
    </row>
    <row r="148" spans="1:8" x14ac:dyDescent="0.2">
      <c r="A148" t="s">
        <v>293</v>
      </c>
      <c r="B148">
        <v>14.912000000000001</v>
      </c>
      <c r="C148">
        <v>22.13</v>
      </c>
      <c r="D148">
        <v>17.505833333333332</v>
      </c>
      <c r="H148" s="3"/>
    </row>
    <row r="149" spans="1:8" x14ac:dyDescent="0.2">
      <c r="A149" t="s">
        <v>294</v>
      </c>
      <c r="B149">
        <v>8.9410000000000007</v>
      </c>
      <c r="C149">
        <v>18.295000000000002</v>
      </c>
      <c r="D149">
        <v>14.1195</v>
      </c>
      <c r="H149" s="3"/>
    </row>
    <row r="150" spans="1:8" x14ac:dyDescent="0.2">
      <c r="A150" t="s">
        <v>295</v>
      </c>
      <c r="B150">
        <v>5.8470000000000004</v>
      </c>
      <c r="C150">
        <v>17.414999999999999</v>
      </c>
      <c r="D150">
        <v>11.7355</v>
      </c>
      <c r="E150">
        <v>1.77</v>
      </c>
      <c r="H150" s="3"/>
    </row>
    <row r="151" spans="1:8" x14ac:dyDescent="0.2">
      <c r="A151" t="s">
        <v>296</v>
      </c>
      <c r="B151">
        <v>5.9240000000000004</v>
      </c>
      <c r="C151">
        <v>17.914999999999999</v>
      </c>
      <c r="D151">
        <v>11.96166666666667</v>
      </c>
      <c r="H151" s="3"/>
    </row>
    <row r="152" spans="1:8" x14ac:dyDescent="0.2">
      <c r="A152" t="s">
        <v>297</v>
      </c>
      <c r="B152">
        <v>7.0410000000000004</v>
      </c>
      <c r="C152">
        <v>22.321000000000002</v>
      </c>
      <c r="D152">
        <v>14.21441666666667</v>
      </c>
      <c r="H152" s="3"/>
    </row>
    <row r="153" spans="1:8" x14ac:dyDescent="0.2">
      <c r="A153" t="s">
        <v>298</v>
      </c>
      <c r="B153">
        <v>7.343</v>
      </c>
      <c r="C153">
        <v>22.8</v>
      </c>
      <c r="D153">
        <v>15.52166666666667</v>
      </c>
      <c r="H153" s="3"/>
    </row>
    <row r="154" spans="1:8" x14ac:dyDescent="0.2">
      <c r="A154" t="s">
        <v>299</v>
      </c>
      <c r="B154">
        <v>5.8979999999999997</v>
      </c>
      <c r="C154">
        <v>23.327999999999999</v>
      </c>
      <c r="D154">
        <v>15.62933333333333</v>
      </c>
      <c r="H154" s="3"/>
    </row>
    <row r="155" spans="1:8" x14ac:dyDescent="0.2">
      <c r="A155" t="s">
        <v>300</v>
      </c>
      <c r="B155">
        <v>10.59</v>
      </c>
      <c r="C155">
        <v>25.744</v>
      </c>
      <c r="D155">
        <v>18.26958333333333</v>
      </c>
      <c r="H155" s="3"/>
    </row>
    <row r="156" spans="1:8" x14ac:dyDescent="0.2">
      <c r="A156" t="s">
        <v>301</v>
      </c>
      <c r="B156">
        <v>15.509</v>
      </c>
      <c r="C156">
        <v>28.692</v>
      </c>
      <c r="D156">
        <v>21.36483333333333</v>
      </c>
      <c r="H156" s="3"/>
    </row>
    <row r="157" spans="1:8" x14ac:dyDescent="0.2">
      <c r="A157" t="s">
        <v>302</v>
      </c>
      <c r="B157">
        <v>15.055</v>
      </c>
      <c r="C157">
        <v>22.154</v>
      </c>
      <c r="D157">
        <v>18.71316666666667</v>
      </c>
      <c r="E157">
        <v>0.9</v>
      </c>
      <c r="H157" s="3"/>
    </row>
    <row r="158" spans="1:8" x14ac:dyDescent="0.2">
      <c r="A158" t="s">
        <v>303</v>
      </c>
      <c r="B158">
        <v>13.545999999999999</v>
      </c>
      <c r="C158">
        <v>24.895</v>
      </c>
      <c r="D158">
        <v>19.729083333333339</v>
      </c>
      <c r="H158" s="3"/>
    </row>
    <row r="159" spans="1:8" x14ac:dyDescent="0.2">
      <c r="A159" t="s">
        <v>304</v>
      </c>
      <c r="B159">
        <v>11.175000000000001</v>
      </c>
      <c r="C159">
        <v>25.428000000000001</v>
      </c>
      <c r="D159">
        <v>18.341333333333331</v>
      </c>
      <c r="E159">
        <v>0.9</v>
      </c>
      <c r="H159" s="3"/>
    </row>
    <row r="160" spans="1:8" x14ac:dyDescent="0.2">
      <c r="A160" t="s">
        <v>305</v>
      </c>
      <c r="B160">
        <v>13.353</v>
      </c>
      <c r="C160">
        <v>22.776</v>
      </c>
      <c r="D160">
        <v>17.47658333333333</v>
      </c>
      <c r="E160">
        <v>1.39</v>
      </c>
      <c r="H160" s="3"/>
    </row>
    <row r="161" spans="1:8" x14ac:dyDescent="0.2">
      <c r="A161" t="s">
        <v>306</v>
      </c>
      <c r="B161">
        <v>13.112</v>
      </c>
      <c r="C161">
        <v>21.581</v>
      </c>
      <c r="D161">
        <v>17.127833333333339</v>
      </c>
      <c r="E161">
        <v>0.56000000000000005</v>
      </c>
      <c r="H161" s="3"/>
    </row>
    <row r="162" spans="1:8" x14ac:dyDescent="0.2">
      <c r="A162" t="s">
        <v>307</v>
      </c>
      <c r="B162">
        <v>8.6679999999999993</v>
      </c>
      <c r="C162">
        <v>25.939</v>
      </c>
      <c r="D162">
        <v>17.94616666666667</v>
      </c>
      <c r="H162" s="3"/>
    </row>
    <row r="163" spans="1:8" x14ac:dyDescent="0.2">
      <c r="A163" t="s">
        <v>308</v>
      </c>
      <c r="B163">
        <v>12.534000000000001</v>
      </c>
      <c r="C163">
        <v>29.14</v>
      </c>
      <c r="D163">
        <v>20.67166666666667</v>
      </c>
      <c r="H163" s="3"/>
    </row>
    <row r="164" spans="1:8" x14ac:dyDescent="0.2">
      <c r="A164" t="s">
        <v>309</v>
      </c>
      <c r="B164">
        <v>12.195</v>
      </c>
      <c r="C164">
        <v>29.114999999999998</v>
      </c>
      <c r="D164">
        <v>21.496166666666671</v>
      </c>
      <c r="H164" s="3"/>
    </row>
    <row r="165" spans="1:8" x14ac:dyDescent="0.2">
      <c r="A165" t="s">
        <v>310</v>
      </c>
      <c r="B165">
        <v>14.361000000000001</v>
      </c>
      <c r="C165">
        <v>22.465</v>
      </c>
      <c r="D165">
        <v>18.790916666666671</v>
      </c>
      <c r="H165" s="3"/>
    </row>
    <row r="166" spans="1:8" x14ac:dyDescent="0.2">
      <c r="A166" t="s">
        <v>311</v>
      </c>
      <c r="B166">
        <v>7.72</v>
      </c>
      <c r="C166">
        <v>25.866</v>
      </c>
      <c r="D166">
        <v>17.489583333333329</v>
      </c>
      <c r="H166" s="3"/>
    </row>
    <row r="167" spans="1:8" x14ac:dyDescent="0.2">
      <c r="A167" t="s">
        <v>312</v>
      </c>
      <c r="B167">
        <v>10.907</v>
      </c>
      <c r="C167">
        <v>31.356999999999999</v>
      </c>
      <c r="D167">
        <v>21.62016666666667</v>
      </c>
      <c r="H167" s="3"/>
    </row>
    <row r="168" spans="1:8" x14ac:dyDescent="0.2">
      <c r="A168" t="s">
        <v>313</v>
      </c>
      <c r="B168">
        <v>15.605</v>
      </c>
      <c r="C168">
        <v>29.49</v>
      </c>
      <c r="D168">
        <v>22.711083333333331</v>
      </c>
      <c r="H168" s="3"/>
    </row>
    <row r="169" spans="1:8" x14ac:dyDescent="0.2">
      <c r="A169" t="s">
        <v>314</v>
      </c>
      <c r="B169">
        <v>10.638</v>
      </c>
      <c r="C169">
        <v>31.23</v>
      </c>
      <c r="D169">
        <v>21.248416666666671</v>
      </c>
      <c r="H169" s="3"/>
    </row>
    <row r="170" spans="1:8" x14ac:dyDescent="0.2">
      <c r="A170" t="s">
        <v>315</v>
      </c>
      <c r="B170">
        <v>13.69</v>
      </c>
      <c r="C170">
        <v>36.497999999999998</v>
      </c>
      <c r="D170">
        <v>25.547333333333331</v>
      </c>
      <c r="H170" s="3"/>
    </row>
    <row r="171" spans="1:8" x14ac:dyDescent="0.2">
      <c r="A171" t="s">
        <v>316</v>
      </c>
      <c r="B171">
        <v>17.439</v>
      </c>
      <c r="C171">
        <v>35.716000000000001</v>
      </c>
      <c r="D171">
        <v>27.044166666666669</v>
      </c>
      <c r="H171" s="3"/>
    </row>
    <row r="172" spans="1:8" x14ac:dyDescent="0.2">
      <c r="A172" t="s">
        <v>317</v>
      </c>
      <c r="B172">
        <v>14.601000000000001</v>
      </c>
      <c r="C172">
        <v>22.154</v>
      </c>
      <c r="D172">
        <v>17.598333333333329</v>
      </c>
      <c r="E172">
        <v>3.13</v>
      </c>
      <c r="H172" s="3"/>
    </row>
    <row r="173" spans="1:8" x14ac:dyDescent="0.2">
      <c r="A173" t="s">
        <v>318</v>
      </c>
      <c r="B173">
        <v>8.17</v>
      </c>
      <c r="C173">
        <v>27.504999999999999</v>
      </c>
      <c r="D173">
        <v>17.691916666666671</v>
      </c>
      <c r="H173" s="3"/>
    </row>
    <row r="174" spans="1:8" x14ac:dyDescent="0.2">
      <c r="A174" t="s">
        <v>319</v>
      </c>
      <c r="B174">
        <v>14.122</v>
      </c>
      <c r="C174">
        <v>29.74</v>
      </c>
      <c r="D174">
        <v>22.02791666666667</v>
      </c>
      <c r="H174" s="3"/>
    </row>
    <row r="175" spans="1:8" x14ac:dyDescent="0.2">
      <c r="A175" t="s">
        <v>320</v>
      </c>
      <c r="B175">
        <v>14.505000000000001</v>
      </c>
      <c r="C175">
        <v>32.741999999999997</v>
      </c>
      <c r="D175">
        <v>23.81175</v>
      </c>
      <c r="E175">
        <v>2.1</v>
      </c>
      <c r="H175" s="3"/>
    </row>
    <row r="176" spans="1:8" x14ac:dyDescent="0.2">
      <c r="A176" t="s">
        <v>321</v>
      </c>
      <c r="B176">
        <v>17.652999999999999</v>
      </c>
      <c r="C176">
        <v>27.949000000000002</v>
      </c>
      <c r="D176">
        <v>21.630416666666669</v>
      </c>
      <c r="E176">
        <v>6.7</v>
      </c>
      <c r="H176" s="3"/>
    </row>
    <row r="177" spans="1:8" x14ac:dyDescent="0.2">
      <c r="A177" t="s">
        <v>322</v>
      </c>
      <c r="B177">
        <v>15.318</v>
      </c>
      <c r="C177">
        <v>27.53</v>
      </c>
      <c r="D177">
        <v>21.247916666666669</v>
      </c>
      <c r="H177" s="3"/>
    </row>
    <row r="178" spans="1:8" x14ac:dyDescent="0.2">
      <c r="A178" t="s">
        <v>323</v>
      </c>
      <c r="B178">
        <v>16.701000000000001</v>
      </c>
      <c r="C178">
        <v>27.186</v>
      </c>
      <c r="D178">
        <v>22.098833333333332</v>
      </c>
      <c r="E178">
        <v>10</v>
      </c>
      <c r="H178" s="3"/>
    </row>
    <row r="179" spans="1:8" x14ac:dyDescent="0.2">
      <c r="A179" t="s">
        <v>324</v>
      </c>
      <c r="B179">
        <v>17.414999999999999</v>
      </c>
      <c r="C179">
        <v>24.677</v>
      </c>
      <c r="D179">
        <v>21.155416666666671</v>
      </c>
      <c r="H179" s="3"/>
    </row>
    <row r="180" spans="1:8" x14ac:dyDescent="0.2">
      <c r="A180" t="s">
        <v>325</v>
      </c>
      <c r="B180">
        <v>11.54</v>
      </c>
      <c r="C180">
        <v>26.622</v>
      </c>
      <c r="D180">
        <v>19.98116666666667</v>
      </c>
      <c r="H180" s="3"/>
    </row>
    <row r="181" spans="1:8" x14ac:dyDescent="0.2">
      <c r="A181" t="s">
        <v>326</v>
      </c>
      <c r="B181">
        <v>17.677</v>
      </c>
      <c r="C181">
        <v>28.742000000000001</v>
      </c>
      <c r="D181">
        <v>22.637583333333339</v>
      </c>
      <c r="H181" s="3"/>
    </row>
    <row r="182" spans="1:8" x14ac:dyDescent="0.2">
      <c r="A182" t="s">
        <v>134</v>
      </c>
      <c r="B182">
        <v>17.344000000000001</v>
      </c>
      <c r="C182">
        <v>33.417000000000002</v>
      </c>
      <c r="D182">
        <v>25.058499999999999</v>
      </c>
      <c r="E182">
        <v>0.54</v>
      </c>
      <c r="H182" s="3"/>
    </row>
    <row r="183" spans="1:8" x14ac:dyDescent="0.2">
      <c r="A183" t="s">
        <v>327</v>
      </c>
      <c r="B183">
        <v>14.888</v>
      </c>
      <c r="C183">
        <v>21.39</v>
      </c>
      <c r="D183">
        <v>17.848333333333329</v>
      </c>
      <c r="H183" s="3"/>
    </row>
    <row r="184" spans="1:8" x14ac:dyDescent="0.2">
      <c r="A184" t="s">
        <v>328</v>
      </c>
      <c r="B184">
        <v>10.834</v>
      </c>
      <c r="C184">
        <v>28.965</v>
      </c>
      <c r="D184">
        <v>20.045500000000001</v>
      </c>
      <c r="H184" s="3"/>
    </row>
    <row r="185" spans="1:8" x14ac:dyDescent="0.2">
      <c r="A185" t="s">
        <v>329</v>
      </c>
      <c r="B185">
        <v>12.218999999999999</v>
      </c>
      <c r="C185">
        <v>30.545000000000002</v>
      </c>
      <c r="D185">
        <v>22.44541666666667</v>
      </c>
      <c r="H185" s="3"/>
    </row>
    <row r="186" spans="1:8" x14ac:dyDescent="0.2">
      <c r="A186" t="s">
        <v>330</v>
      </c>
      <c r="B186">
        <v>14.026</v>
      </c>
      <c r="C186">
        <v>27.283999999999999</v>
      </c>
      <c r="D186">
        <v>21.752416666666669</v>
      </c>
      <c r="H186" s="3"/>
    </row>
    <row r="187" spans="1:8" x14ac:dyDescent="0.2">
      <c r="A187" t="s">
        <v>331</v>
      </c>
      <c r="B187">
        <v>12.05</v>
      </c>
      <c r="C187">
        <v>27.751000000000001</v>
      </c>
      <c r="D187">
        <v>20.664999999999999</v>
      </c>
      <c r="H187" s="3"/>
    </row>
    <row r="188" spans="1:8" x14ac:dyDescent="0.2">
      <c r="A188" t="s">
        <v>332</v>
      </c>
      <c r="B188">
        <v>14.17</v>
      </c>
      <c r="C188">
        <v>23.568999999999999</v>
      </c>
      <c r="D188">
        <v>18.86716666666667</v>
      </c>
      <c r="H188" s="3"/>
    </row>
    <row r="189" spans="1:8" x14ac:dyDescent="0.2">
      <c r="A189" t="s">
        <v>333</v>
      </c>
      <c r="B189">
        <v>16.32</v>
      </c>
      <c r="C189">
        <v>22.225999999999999</v>
      </c>
      <c r="D189">
        <v>18.400416666666668</v>
      </c>
      <c r="H189" s="3"/>
    </row>
    <row r="190" spans="1:8" x14ac:dyDescent="0.2">
      <c r="A190" t="s">
        <v>334</v>
      </c>
      <c r="B190">
        <v>11.419</v>
      </c>
      <c r="C190">
        <v>25.768000000000001</v>
      </c>
      <c r="D190">
        <v>18.59233333333334</v>
      </c>
      <c r="H190" s="3"/>
    </row>
    <row r="191" spans="1:8" x14ac:dyDescent="0.2">
      <c r="A191" t="s">
        <v>335</v>
      </c>
      <c r="B191">
        <v>12.316000000000001</v>
      </c>
      <c r="C191">
        <v>26.989000000000001</v>
      </c>
      <c r="D191">
        <v>19.188166666666671</v>
      </c>
      <c r="E191">
        <v>0.37</v>
      </c>
      <c r="H191" s="3"/>
    </row>
    <row r="192" spans="1:8" x14ac:dyDescent="0.2">
      <c r="A192" t="s">
        <v>336</v>
      </c>
      <c r="B192">
        <v>12.388999999999999</v>
      </c>
      <c r="C192">
        <v>20.530999999999999</v>
      </c>
      <c r="D192">
        <v>17.167249999999999</v>
      </c>
      <c r="H192" s="3"/>
    </row>
    <row r="193" spans="1:8" x14ac:dyDescent="0.2">
      <c r="A193" t="s">
        <v>337</v>
      </c>
      <c r="B193">
        <v>16.106000000000002</v>
      </c>
      <c r="C193">
        <v>24.507999999999999</v>
      </c>
      <c r="D193">
        <v>19.845083333333331</v>
      </c>
      <c r="H193" s="3"/>
    </row>
    <row r="194" spans="1:8" x14ac:dyDescent="0.2">
      <c r="A194" t="s">
        <v>338</v>
      </c>
      <c r="B194">
        <v>11.952999999999999</v>
      </c>
      <c r="C194">
        <v>29.715</v>
      </c>
      <c r="D194">
        <v>21.074750000000002</v>
      </c>
      <c r="H194" s="3"/>
    </row>
    <row r="195" spans="1:8" x14ac:dyDescent="0.2">
      <c r="A195" t="s">
        <v>339</v>
      </c>
      <c r="B195">
        <v>15.795999999999999</v>
      </c>
      <c r="C195">
        <v>32.691000000000003</v>
      </c>
      <c r="D195">
        <v>24.225833333333341</v>
      </c>
      <c r="H195" s="3"/>
    </row>
    <row r="196" spans="1:8" x14ac:dyDescent="0.2">
      <c r="A196" t="s">
        <v>44</v>
      </c>
      <c r="B196">
        <v>20.126000000000001</v>
      </c>
      <c r="C196">
        <v>27.702000000000002</v>
      </c>
      <c r="D196">
        <v>23.872583333333338</v>
      </c>
      <c r="H196" s="3"/>
    </row>
    <row r="197" spans="1:8" x14ac:dyDescent="0.2">
      <c r="A197" t="s">
        <v>340</v>
      </c>
      <c r="B197">
        <v>11.224</v>
      </c>
      <c r="C197">
        <v>25.306999999999999</v>
      </c>
      <c r="D197">
        <v>19.08583333333333</v>
      </c>
      <c r="H197" s="3"/>
    </row>
    <row r="198" spans="1:8" x14ac:dyDescent="0.2">
      <c r="A198" t="s">
        <v>341</v>
      </c>
      <c r="B198">
        <v>8.7170000000000005</v>
      </c>
      <c r="C198">
        <v>26.109000000000002</v>
      </c>
      <c r="D198">
        <v>18.321249999999999</v>
      </c>
      <c r="H198" s="3"/>
    </row>
    <row r="199" spans="1:8" x14ac:dyDescent="0.2">
      <c r="A199" t="s">
        <v>342</v>
      </c>
      <c r="B199">
        <v>8.7420000000000009</v>
      </c>
      <c r="C199">
        <v>29.388999999999999</v>
      </c>
      <c r="D199">
        <v>19.73266666666667</v>
      </c>
      <c r="H199" s="3"/>
    </row>
    <row r="200" spans="1:8" x14ac:dyDescent="0.2">
      <c r="A200" t="s">
        <v>343</v>
      </c>
      <c r="B200">
        <v>11.029</v>
      </c>
      <c r="C200">
        <v>34.44</v>
      </c>
      <c r="D200">
        <v>23.37733333333334</v>
      </c>
      <c r="H200" s="3"/>
    </row>
    <row r="201" spans="1:8" x14ac:dyDescent="0.2">
      <c r="A201" t="s">
        <v>344</v>
      </c>
      <c r="B201">
        <v>12.92</v>
      </c>
      <c r="C201">
        <v>37.314999999999998</v>
      </c>
      <c r="D201">
        <v>25.912333333333329</v>
      </c>
      <c r="H201" s="3"/>
    </row>
    <row r="202" spans="1:8" x14ac:dyDescent="0.2">
      <c r="A202" t="s">
        <v>345</v>
      </c>
      <c r="B202">
        <v>14.577</v>
      </c>
      <c r="C202">
        <v>37.755000000000003</v>
      </c>
      <c r="D202">
        <v>26.39875</v>
      </c>
      <c r="E202">
        <v>4.2699999999999996</v>
      </c>
      <c r="H202" s="3"/>
    </row>
    <row r="203" spans="1:8" x14ac:dyDescent="0.2">
      <c r="A203" t="s">
        <v>346</v>
      </c>
      <c r="B203">
        <v>19.056000000000001</v>
      </c>
      <c r="C203">
        <v>28.419</v>
      </c>
      <c r="D203">
        <v>23.24766666666666</v>
      </c>
      <c r="H203" s="3"/>
    </row>
    <row r="204" spans="1:8" x14ac:dyDescent="0.2">
      <c r="A204" t="s">
        <v>347</v>
      </c>
      <c r="B204">
        <v>15.199</v>
      </c>
      <c r="C204">
        <v>30.065999999999999</v>
      </c>
      <c r="D204">
        <v>22.845916666666671</v>
      </c>
      <c r="H204" s="3"/>
    </row>
    <row r="205" spans="1:8" x14ac:dyDescent="0.2">
      <c r="A205" t="s">
        <v>348</v>
      </c>
      <c r="B205">
        <v>18.343</v>
      </c>
      <c r="C205">
        <v>29.715</v>
      </c>
      <c r="D205">
        <v>23.556416666666671</v>
      </c>
      <c r="H205" s="3"/>
    </row>
    <row r="206" spans="1:8" x14ac:dyDescent="0.2">
      <c r="A206" t="s">
        <v>349</v>
      </c>
      <c r="B206">
        <v>16.271999999999998</v>
      </c>
      <c r="C206">
        <v>32.664999999999999</v>
      </c>
      <c r="D206">
        <v>24.835249999999998</v>
      </c>
      <c r="H206" s="3"/>
    </row>
    <row r="207" spans="1:8" x14ac:dyDescent="0.2">
      <c r="A207" t="s">
        <v>350</v>
      </c>
      <c r="B207">
        <v>15.724</v>
      </c>
      <c r="C207">
        <v>34.176000000000002</v>
      </c>
      <c r="D207">
        <v>25.01808333333333</v>
      </c>
      <c r="H207" s="3"/>
    </row>
    <row r="208" spans="1:8" x14ac:dyDescent="0.2">
      <c r="A208" t="s">
        <v>351</v>
      </c>
      <c r="B208">
        <v>17.463000000000001</v>
      </c>
      <c r="C208">
        <v>27.186</v>
      </c>
      <c r="D208">
        <v>22.423249999999999</v>
      </c>
      <c r="H208" s="3"/>
    </row>
    <row r="209" spans="1:8" x14ac:dyDescent="0.2">
      <c r="A209" t="s">
        <v>352</v>
      </c>
      <c r="B209">
        <v>17.058</v>
      </c>
      <c r="C209">
        <v>24.677</v>
      </c>
      <c r="D209">
        <v>20.72325</v>
      </c>
      <c r="H209" s="3"/>
    </row>
    <row r="210" spans="1:8" x14ac:dyDescent="0.2">
      <c r="A210" t="s">
        <v>353</v>
      </c>
      <c r="B210">
        <v>12.896000000000001</v>
      </c>
      <c r="C210">
        <v>27.751000000000001</v>
      </c>
      <c r="D210">
        <v>20.448833333333329</v>
      </c>
      <c r="H210" s="3"/>
    </row>
    <row r="211" spans="1:8" x14ac:dyDescent="0.2">
      <c r="A211" t="s">
        <v>354</v>
      </c>
      <c r="B211">
        <v>16.963000000000001</v>
      </c>
      <c r="C211">
        <v>30.748000000000001</v>
      </c>
      <c r="D211">
        <v>22.756166666666662</v>
      </c>
      <c r="H211" s="3"/>
    </row>
    <row r="212" spans="1:8" x14ac:dyDescent="0.2">
      <c r="A212" t="s">
        <v>355</v>
      </c>
      <c r="B212">
        <v>14.768000000000001</v>
      </c>
      <c r="C212">
        <v>28.568000000000001</v>
      </c>
      <c r="D212">
        <v>21.964500000000001</v>
      </c>
      <c r="H212" s="3"/>
    </row>
    <row r="213" spans="1:8" x14ac:dyDescent="0.2">
      <c r="A213" t="s">
        <v>356</v>
      </c>
      <c r="B213">
        <v>16.082000000000001</v>
      </c>
      <c r="C213">
        <v>29.59</v>
      </c>
      <c r="D213">
        <v>23.087500000000009</v>
      </c>
      <c r="H213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"/>
  <sheetViews>
    <sheetView workbookViewId="0"/>
  </sheetViews>
  <sheetFormatPr baseColWidth="10" defaultColWidth="8.83203125" defaultRowHeight="16" x14ac:dyDescent="0.2"/>
  <cols>
    <col min="1" max="1" width="3.33203125" bestFit="1" customWidth="1"/>
    <col min="2" max="2" width="19.83203125" bestFit="1" customWidth="1"/>
    <col min="3" max="3" width="16.1640625" bestFit="1" customWidth="1"/>
    <col min="4" max="4" width="12.6640625" bestFit="1" customWidth="1"/>
    <col min="5" max="7" width="10.5" bestFit="1" customWidth="1"/>
    <col min="8" max="10" width="8" bestFit="1" customWidth="1"/>
    <col min="11" max="11" width="11.5" bestFit="1" customWidth="1"/>
    <col min="12" max="13" width="6.83203125" bestFit="1" customWidth="1"/>
    <col min="14" max="14" width="13.83203125" bestFit="1" customWidth="1"/>
    <col min="15" max="16" width="22.1640625" bestFit="1" customWidth="1"/>
  </cols>
  <sheetData>
    <row r="1" spans="1:16" x14ac:dyDescent="0.2">
      <c r="A1" s="1" t="s">
        <v>109</v>
      </c>
      <c r="B1" s="1" t="s">
        <v>357</v>
      </c>
      <c r="C1" s="1" t="s">
        <v>358</v>
      </c>
      <c r="D1" s="1" t="s">
        <v>359</v>
      </c>
      <c r="E1" s="1" t="s">
        <v>360</v>
      </c>
      <c r="F1" s="1" t="s">
        <v>361</v>
      </c>
      <c r="G1" s="1" t="s">
        <v>362</v>
      </c>
      <c r="H1" s="1" t="s">
        <v>363</v>
      </c>
      <c r="I1" s="1" t="s">
        <v>364</v>
      </c>
      <c r="J1" t="s">
        <v>365</v>
      </c>
      <c r="K1" t="s">
        <v>366</v>
      </c>
      <c r="L1" t="s">
        <v>367</v>
      </c>
      <c r="M1" t="s">
        <v>368</v>
      </c>
      <c r="N1" t="s">
        <v>369</v>
      </c>
      <c r="O1" t="s">
        <v>370</v>
      </c>
      <c r="P1" t="s">
        <v>371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Information</vt:lpstr>
      <vt:lpstr>Accessions</vt:lpstr>
      <vt:lpstr>Design</vt:lpstr>
      <vt:lpstr>Treatments</vt:lpstr>
      <vt:lpstr>Observations</vt:lpstr>
      <vt:lpstr>Weather data</vt:lpstr>
      <vt:lpstr>Soil analysis results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2022_DH_MIC_oats_lupins</dc:title>
  <dc:subject>2022_DH_MIC_oats_lupins</dc:subject>
  <dc:creator>Progeno</dc:creator>
  <cp:keywords>Progeno</cp:keywords>
  <dc:description>Progeno trial template</dc:description>
  <cp:lastModifiedBy>Schlup  Yannik</cp:lastModifiedBy>
  <dcterms:created xsi:type="dcterms:W3CDTF">2025-07-03T13:05:49Z</dcterms:created>
  <dcterms:modified xsi:type="dcterms:W3CDTF">2025-08-05T15:57:54Z</dcterms:modified>
  <cp:category>Trial template</cp:category>
</cp:coreProperties>
</file>