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ottenfelderhof\DottenfelderHof\IBDF\10 Projekte\EU-CROPDIVA\WP3\Oats-Lupins\"/>
    </mc:Choice>
  </mc:AlternateContent>
  <xr:revisionPtr revIDLastSave="0" documentId="8_{FB1A9859-EC26-4895-81AB-B5C756A12277}" xr6:coauthVersionLast="47" xr6:coauthVersionMax="47" xr10:uidLastSave="{00000000-0000-0000-0000-000000000000}"/>
  <bookViews>
    <workbookView xWindow="-120" yWindow="-120" windowWidth="29040" windowHeight="15720" xr2:uid="{AAD87BA7-7A6E-4C43-9DC9-ABE8FF9DA7D8}"/>
  </bookViews>
  <sheets>
    <sheet name="Oats-Lupins 22 Results" sheetId="2" r:id="rId1"/>
    <sheet name="OL-23 Results" sheetId="1" r:id="rId2"/>
    <sheet name="OL-24 Feldbuch Ergebnisse" sheetId="3" r:id="rId3"/>
  </sheets>
  <definedNames>
    <definedName name="_xlnm._FilterDatabase" localSheetId="0" hidden="1">'Oats-Lupins 22 Results'!$A$1:$BB$1</definedName>
    <definedName name="_xlnm._FilterDatabase" localSheetId="1" hidden="1">'OL-23 Results'!$A$1:$BD$73</definedName>
    <definedName name="_xlnm._FilterDatabase" localSheetId="2">'OL-24 Feldbuch Ergebnisse'!$A$1:$BB$73</definedName>
    <definedName name="_xlnm.Print_Area" localSheetId="0">'Oats-Lupins 22 Results'!$A$1:$BB$73</definedName>
    <definedName name="_xlnm.Print_Area" localSheetId="1">'OL-23 Results'!$A$1:$AP$73</definedName>
    <definedName name="_xlnm.Print_Area" localSheetId="2">'OL-24 Feldbuch Ergebnisse'!$A$1:$BH$73</definedName>
    <definedName name="_xlnm.Print_Titles" localSheetId="0">'Oats-Lupins 22 Results'!$1:$1</definedName>
    <definedName name="_xlnm.Print_Titles" localSheetId="1">'OL-23 Results'!$1:$1</definedName>
    <definedName name="_xlnm.Print_Titles" localSheetId="2">'OL-24 Feldbuch Ergebnisse'!$1:$1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73" i="3" l="1"/>
  <c r="BG73" i="3" s="1"/>
  <c r="BD73" i="3"/>
  <c r="BC73" i="3"/>
  <c r="BB73" i="3"/>
  <c r="BA73" i="3"/>
  <c r="AX73" i="3"/>
  <c r="AW73" i="3"/>
  <c r="AV73" i="3"/>
  <c r="AU73" i="3"/>
  <c r="Q73" i="3"/>
  <c r="BF72" i="3"/>
  <c r="BG72" i="3" s="1"/>
  <c r="BD72" i="3"/>
  <c r="BC72" i="3"/>
  <c r="BB72" i="3"/>
  <c r="BA72" i="3"/>
  <c r="AX72" i="3"/>
  <c r="AZ72" i="3" s="1"/>
  <c r="AW72" i="3"/>
  <c r="AV72" i="3"/>
  <c r="AU72" i="3"/>
  <c r="AY72" i="3" s="1"/>
  <c r="Q72" i="3"/>
  <c r="BF71" i="3"/>
  <c r="BG71" i="3" s="1"/>
  <c r="BD71" i="3"/>
  <c r="BH71" i="3" s="1"/>
  <c r="BC71" i="3"/>
  <c r="BB71" i="3"/>
  <c r="BA71" i="3"/>
  <c r="AX71" i="3"/>
  <c r="AW71" i="3"/>
  <c r="AV71" i="3"/>
  <c r="AU71" i="3"/>
  <c r="Q71" i="3"/>
  <c r="BF70" i="3"/>
  <c r="BD70" i="3"/>
  <c r="BH70" i="3" s="1"/>
  <c r="BC70" i="3"/>
  <c r="BB70" i="3"/>
  <c r="BA70" i="3"/>
  <c r="AX70" i="3"/>
  <c r="AW70" i="3"/>
  <c r="AV70" i="3"/>
  <c r="AU70" i="3"/>
  <c r="Q70" i="3"/>
  <c r="BF69" i="3"/>
  <c r="BG69" i="3" s="1"/>
  <c r="BD69" i="3"/>
  <c r="BC69" i="3"/>
  <c r="BB69" i="3"/>
  <c r="BA69" i="3"/>
  <c r="AX69" i="3"/>
  <c r="AW69" i="3"/>
  <c r="AY69" i="3" s="1"/>
  <c r="AV69" i="3"/>
  <c r="AU69" i="3"/>
  <c r="Q69" i="3"/>
  <c r="BF68" i="3"/>
  <c r="BG68" i="3" s="1"/>
  <c r="BD68" i="3"/>
  <c r="BH68" i="3" s="1"/>
  <c r="BC68" i="3"/>
  <c r="BB68" i="3"/>
  <c r="BA68" i="3"/>
  <c r="AX68" i="3"/>
  <c r="AW68" i="3"/>
  <c r="AV68" i="3"/>
  <c r="AU68" i="3"/>
  <c r="Q68" i="3"/>
  <c r="BF67" i="3"/>
  <c r="BG67" i="3" s="1"/>
  <c r="BD67" i="3"/>
  <c r="BC67" i="3"/>
  <c r="BB67" i="3"/>
  <c r="BA67" i="3"/>
  <c r="AX67" i="3"/>
  <c r="AW67" i="3"/>
  <c r="AV67" i="3"/>
  <c r="AU67" i="3"/>
  <c r="Q67" i="3"/>
  <c r="BF66" i="3"/>
  <c r="BD66" i="3"/>
  <c r="BH66" i="3" s="1"/>
  <c r="BC66" i="3"/>
  <c r="BB66" i="3"/>
  <c r="BA66" i="3"/>
  <c r="AX66" i="3"/>
  <c r="AW66" i="3"/>
  <c r="AV66" i="3"/>
  <c r="AU66" i="3"/>
  <c r="Q66" i="3"/>
  <c r="BF65" i="3"/>
  <c r="BG65" i="3" s="1"/>
  <c r="BD65" i="3"/>
  <c r="BC65" i="3"/>
  <c r="BB65" i="3"/>
  <c r="BA65" i="3"/>
  <c r="AX65" i="3"/>
  <c r="AW65" i="3"/>
  <c r="AY65" i="3" s="1"/>
  <c r="AV65" i="3"/>
  <c r="AU65" i="3"/>
  <c r="Q65" i="3"/>
  <c r="BF64" i="3"/>
  <c r="BG64" i="3" s="1"/>
  <c r="BD64" i="3"/>
  <c r="BC64" i="3"/>
  <c r="BB64" i="3"/>
  <c r="BA64" i="3"/>
  <c r="AX64" i="3"/>
  <c r="AZ64" i="3" s="1"/>
  <c r="AW64" i="3"/>
  <c r="AV64" i="3"/>
  <c r="AU64" i="3"/>
  <c r="Q64" i="3"/>
  <c r="BF63" i="3"/>
  <c r="BG63" i="3" s="1"/>
  <c r="BD63" i="3"/>
  <c r="BE63" i="3" s="1"/>
  <c r="BC63" i="3"/>
  <c r="BB63" i="3"/>
  <c r="BA63" i="3"/>
  <c r="AX63" i="3"/>
  <c r="AW63" i="3"/>
  <c r="AV63" i="3"/>
  <c r="AU63" i="3"/>
  <c r="Q63" i="3"/>
  <c r="BF62" i="3"/>
  <c r="BD62" i="3"/>
  <c r="BC62" i="3"/>
  <c r="BB62" i="3"/>
  <c r="BA62" i="3"/>
  <c r="AX62" i="3"/>
  <c r="AW62" i="3"/>
  <c r="AV62" i="3"/>
  <c r="AU62" i="3"/>
  <c r="Q62" i="3"/>
  <c r="BF61" i="3"/>
  <c r="BG61" i="3" s="1"/>
  <c r="BD61" i="3"/>
  <c r="BC61" i="3"/>
  <c r="BB61" i="3"/>
  <c r="BA61" i="3"/>
  <c r="AX61" i="3"/>
  <c r="AW61" i="3"/>
  <c r="AV61" i="3"/>
  <c r="AU61" i="3"/>
  <c r="Q61" i="3"/>
  <c r="BF60" i="3"/>
  <c r="BG60" i="3" s="1"/>
  <c r="BD60" i="3"/>
  <c r="BC60" i="3"/>
  <c r="BB60" i="3"/>
  <c r="BA60" i="3"/>
  <c r="AX60" i="3"/>
  <c r="AW60" i="3"/>
  <c r="AV60" i="3"/>
  <c r="AU60" i="3"/>
  <c r="AY60" i="3" s="1"/>
  <c r="Q60" i="3"/>
  <c r="BF59" i="3"/>
  <c r="BG59" i="3" s="1"/>
  <c r="BD59" i="3"/>
  <c r="BH59" i="3" s="1"/>
  <c r="BC59" i="3"/>
  <c r="BB59" i="3"/>
  <c r="BA59" i="3"/>
  <c r="AX59" i="3"/>
  <c r="AZ59" i="3" s="1"/>
  <c r="AW59" i="3"/>
  <c r="AV59" i="3"/>
  <c r="AU59" i="3"/>
  <c r="Q59" i="3"/>
  <c r="BF58" i="3"/>
  <c r="BD58" i="3"/>
  <c r="BH58" i="3" s="1"/>
  <c r="BC58" i="3"/>
  <c r="BB58" i="3"/>
  <c r="BA58" i="3"/>
  <c r="AX58" i="3"/>
  <c r="AW58" i="3"/>
  <c r="AV58" i="3"/>
  <c r="AU58" i="3"/>
  <c r="Q58" i="3"/>
  <c r="BF57" i="3"/>
  <c r="BG57" i="3" s="1"/>
  <c r="BD57" i="3"/>
  <c r="BC57" i="3"/>
  <c r="BB57" i="3"/>
  <c r="BA57" i="3"/>
  <c r="AX57" i="3"/>
  <c r="AW57" i="3"/>
  <c r="AY57" i="3" s="1"/>
  <c r="AV57" i="3"/>
  <c r="AU57" i="3"/>
  <c r="Q57" i="3"/>
  <c r="BF56" i="3"/>
  <c r="BG56" i="3" s="1"/>
  <c r="BD56" i="3"/>
  <c r="BC56" i="3"/>
  <c r="BB56" i="3"/>
  <c r="BA56" i="3"/>
  <c r="AX56" i="3"/>
  <c r="AZ56" i="3" s="1"/>
  <c r="AW56" i="3"/>
  <c r="AV56" i="3"/>
  <c r="AU56" i="3"/>
  <c r="Q56" i="3"/>
  <c r="BF55" i="3"/>
  <c r="BG55" i="3" s="1"/>
  <c r="BD55" i="3"/>
  <c r="BC55" i="3"/>
  <c r="BB55" i="3"/>
  <c r="BA55" i="3"/>
  <c r="AX55" i="3"/>
  <c r="AW55" i="3"/>
  <c r="AV55" i="3"/>
  <c r="AU55" i="3"/>
  <c r="Q55" i="3"/>
  <c r="BF54" i="3"/>
  <c r="BD54" i="3"/>
  <c r="BC54" i="3"/>
  <c r="BB54" i="3"/>
  <c r="BA54" i="3"/>
  <c r="AX54" i="3"/>
  <c r="AW54" i="3"/>
  <c r="BH54" i="3" s="1"/>
  <c r="AV54" i="3"/>
  <c r="AU54" i="3"/>
  <c r="Q54" i="3"/>
  <c r="BF53" i="3"/>
  <c r="BG53" i="3" s="1"/>
  <c r="BD53" i="3"/>
  <c r="BC53" i="3"/>
  <c r="BB53" i="3"/>
  <c r="BA53" i="3"/>
  <c r="AX53" i="3"/>
  <c r="AW53" i="3"/>
  <c r="AV53" i="3"/>
  <c r="AU53" i="3"/>
  <c r="BF52" i="3"/>
  <c r="BG52" i="3" s="1"/>
  <c r="BD52" i="3"/>
  <c r="BE52" i="3" s="1"/>
  <c r="BC52" i="3"/>
  <c r="BB52" i="3"/>
  <c r="BA52" i="3"/>
  <c r="AX52" i="3"/>
  <c r="AW52" i="3"/>
  <c r="AV52" i="3"/>
  <c r="AU52" i="3"/>
  <c r="BF51" i="3"/>
  <c r="BG51" i="3" s="1"/>
  <c r="BD51" i="3"/>
  <c r="BC51" i="3"/>
  <c r="BB51" i="3"/>
  <c r="BA51" i="3"/>
  <c r="AX51" i="3"/>
  <c r="AW51" i="3"/>
  <c r="AV51" i="3"/>
  <c r="AZ51" i="3" s="1"/>
  <c r="AU51" i="3"/>
  <c r="BF50" i="3"/>
  <c r="BG50" i="3" s="1"/>
  <c r="BD50" i="3"/>
  <c r="BH50" i="3" s="1"/>
  <c r="BC50" i="3"/>
  <c r="BB50" i="3"/>
  <c r="BA50" i="3"/>
  <c r="AX50" i="3"/>
  <c r="AW50" i="3"/>
  <c r="AV50" i="3"/>
  <c r="AU50" i="3"/>
  <c r="BF49" i="3"/>
  <c r="BG49" i="3" s="1"/>
  <c r="BD49" i="3"/>
  <c r="BH49" i="3" s="1"/>
  <c r="BC49" i="3"/>
  <c r="BB49" i="3"/>
  <c r="BA49" i="3"/>
  <c r="AX49" i="3"/>
  <c r="AW49" i="3"/>
  <c r="AV49" i="3"/>
  <c r="AU49" i="3"/>
  <c r="BF48" i="3"/>
  <c r="BD48" i="3"/>
  <c r="BC48" i="3"/>
  <c r="BB48" i="3"/>
  <c r="BA48" i="3"/>
  <c r="AX48" i="3"/>
  <c r="AW48" i="3"/>
  <c r="AV48" i="3"/>
  <c r="AU48" i="3"/>
  <c r="BF47" i="3"/>
  <c r="BG47" i="3" s="1"/>
  <c r="BD47" i="3"/>
  <c r="BC47" i="3"/>
  <c r="BB47" i="3"/>
  <c r="BA47" i="3"/>
  <c r="AX47" i="3"/>
  <c r="AW47" i="3"/>
  <c r="AV47" i="3"/>
  <c r="AU47" i="3"/>
  <c r="BF46" i="3"/>
  <c r="BG46" i="3" s="1"/>
  <c r="BD46" i="3"/>
  <c r="BC46" i="3"/>
  <c r="BB46" i="3"/>
  <c r="BA46" i="3"/>
  <c r="AX46" i="3"/>
  <c r="AW46" i="3"/>
  <c r="AV46" i="3"/>
  <c r="AU46" i="3"/>
  <c r="BF45" i="3"/>
  <c r="BG45" i="3" s="1"/>
  <c r="BD45" i="3"/>
  <c r="BC45" i="3"/>
  <c r="BB45" i="3"/>
  <c r="BA45" i="3"/>
  <c r="AX45" i="3"/>
  <c r="AW45" i="3"/>
  <c r="AV45" i="3"/>
  <c r="AU45" i="3"/>
  <c r="Q45" i="3"/>
  <c r="BF44" i="3"/>
  <c r="BG44" i="3" s="1"/>
  <c r="BD44" i="3"/>
  <c r="BH44" i="3" s="1"/>
  <c r="BC44" i="3"/>
  <c r="BB44" i="3"/>
  <c r="BA44" i="3"/>
  <c r="AX44" i="3"/>
  <c r="AW44" i="3"/>
  <c r="AV44" i="3"/>
  <c r="AU44" i="3"/>
  <c r="Q44" i="3"/>
  <c r="BF43" i="3"/>
  <c r="BG43" i="3" s="1"/>
  <c r="BD43" i="3"/>
  <c r="BH43" i="3" s="1"/>
  <c r="BC43" i="3"/>
  <c r="BB43" i="3"/>
  <c r="BA43" i="3"/>
  <c r="AX43" i="3"/>
  <c r="AW43" i="3"/>
  <c r="AV43" i="3"/>
  <c r="AU43" i="3"/>
  <c r="Q43" i="3"/>
  <c r="BF42" i="3"/>
  <c r="BG42" i="3" s="1"/>
  <c r="BD42" i="3"/>
  <c r="BE42" i="3" s="1"/>
  <c r="BC42" i="3"/>
  <c r="BB42" i="3"/>
  <c r="BA42" i="3"/>
  <c r="AX42" i="3"/>
  <c r="AW42" i="3"/>
  <c r="AY42" i="3" s="1"/>
  <c r="AV42" i="3"/>
  <c r="AU42" i="3"/>
  <c r="Q42" i="3"/>
  <c r="BF41" i="3"/>
  <c r="BG41" i="3" s="1"/>
  <c r="BD41" i="3"/>
  <c r="BC41" i="3"/>
  <c r="BB41" i="3"/>
  <c r="BA41" i="3"/>
  <c r="AX41" i="3"/>
  <c r="AW41" i="3"/>
  <c r="AV41" i="3"/>
  <c r="AZ41" i="3" s="1"/>
  <c r="AU41" i="3"/>
  <c r="Q41" i="3"/>
  <c r="BF40" i="3"/>
  <c r="BG40" i="3" s="1"/>
  <c r="BD40" i="3"/>
  <c r="BC40" i="3"/>
  <c r="BB40" i="3"/>
  <c r="BA40" i="3"/>
  <c r="AX40" i="3"/>
  <c r="AW40" i="3"/>
  <c r="AV40" i="3"/>
  <c r="AU40" i="3"/>
  <c r="Q40" i="3"/>
  <c r="BF39" i="3"/>
  <c r="BD39" i="3"/>
  <c r="BC39" i="3"/>
  <c r="BB39" i="3"/>
  <c r="BA39" i="3"/>
  <c r="AX39" i="3"/>
  <c r="AW39" i="3"/>
  <c r="AV39" i="3"/>
  <c r="AU39" i="3"/>
  <c r="Q39" i="3"/>
  <c r="BF38" i="3"/>
  <c r="BG38" i="3" s="1"/>
  <c r="BD38" i="3"/>
  <c r="BC38" i="3"/>
  <c r="BB38" i="3"/>
  <c r="BA38" i="3"/>
  <c r="AX38" i="3"/>
  <c r="AW38" i="3"/>
  <c r="AY38" i="3" s="1"/>
  <c r="AV38" i="3"/>
  <c r="AU38" i="3"/>
  <c r="Q38" i="3"/>
  <c r="BF37" i="3"/>
  <c r="BG37" i="3" s="1"/>
  <c r="BD37" i="3"/>
  <c r="BC37" i="3"/>
  <c r="BB37" i="3"/>
  <c r="BA37" i="3"/>
  <c r="AX37" i="3"/>
  <c r="AW37" i="3"/>
  <c r="AV37" i="3"/>
  <c r="AU37" i="3"/>
  <c r="Q37" i="3"/>
  <c r="BF36" i="3"/>
  <c r="BG36" i="3" s="1"/>
  <c r="BD36" i="3"/>
  <c r="BC36" i="3"/>
  <c r="BB36" i="3"/>
  <c r="BA36" i="3"/>
  <c r="AX36" i="3"/>
  <c r="AW36" i="3"/>
  <c r="AV36" i="3"/>
  <c r="AU36" i="3"/>
  <c r="Q36" i="3"/>
  <c r="BF35" i="3"/>
  <c r="BD35" i="3"/>
  <c r="BC35" i="3"/>
  <c r="BB35" i="3"/>
  <c r="BA35" i="3"/>
  <c r="AX35" i="3"/>
  <c r="AW35" i="3"/>
  <c r="BH35" i="3" s="1"/>
  <c r="AV35" i="3"/>
  <c r="AU35" i="3"/>
  <c r="Q35" i="3"/>
  <c r="BF34" i="3"/>
  <c r="BG34" i="3" s="1"/>
  <c r="BD34" i="3"/>
  <c r="BC34" i="3"/>
  <c r="BB34" i="3"/>
  <c r="BA34" i="3"/>
  <c r="AX34" i="3"/>
  <c r="AW34" i="3"/>
  <c r="AV34" i="3"/>
  <c r="AU34" i="3"/>
  <c r="Q34" i="3"/>
  <c r="BF33" i="3"/>
  <c r="BG33" i="3" s="1"/>
  <c r="BD33" i="3"/>
  <c r="BC33" i="3"/>
  <c r="BB33" i="3"/>
  <c r="BA33" i="3"/>
  <c r="AX33" i="3"/>
  <c r="AW33" i="3"/>
  <c r="AV33" i="3"/>
  <c r="AZ33" i="3" s="1"/>
  <c r="AU33" i="3"/>
  <c r="Q33" i="3"/>
  <c r="BF32" i="3"/>
  <c r="BG32" i="3" s="1"/>
  <c r="BD32" i="3"/>
  <c r="BH32" i="3" s="1"/>
  <c r="BC32" i="3"/>
  <c r="BB32" i="3"/>
  <c r="BA32" i="3"/>
  <c r="AX32" i="3"/>
  <c r="AZ32" i="3" s="1"/>
  <c r="AW32" i="3"/>
  <c r="AY32" i="3" s="1"/>
  <c r="AV32" i="3"/>
  <c r="AU32" i="3"/>
  <c r="Q32" i="3"/>
  <c r="BF31" i="3"/>
  <c r="BG31" i="3" s="1"/>
  <c r="BD31" i="3"/>
  <c r="BE31" i="3" s="1"/>
  <c r="BC31" i="3"/>
  <c r="BB31" i="3"/>
  <c r="BA31" i="3"/>
  <c r="AX31" i="3"/>
  <c r="AW31" i="3"/>
  <c r="AV31" i="3"/>
  <c r="AU31" i="3"/>
  <c r="Q31" i="3"/>
  <c r="BF30" i="3"/>
  <c r="BG30" i="3" s="1"/>
  <c r="BD30" i="3"/>
  <c r="BH30" i="3" s="1"/>
  <c r="BC30" i="3"/>
  <c r="BB30" i="3"/>
  <c r="BA30" i="3"/>
  <c r="AY30" i="3"/>
  <c r="AX30" i="3"/>
  <c r="AW30" i="3"/>
  <c r="AV30" i="3"/>
  <c r="AU30" i="3"/>
  <c r="Q30" i="3"/>
  <c r="BF29" i="3"/>
  <c r="BG29" i="3" s="1"/>
  <c r="BD29" i="3"/>
  <c r="BC29" i="3"/>
  <c r="BB29" i="3"/>
  <c r="BA29" i="3"/>
  <c r="AX29" i="3"/>
  <c r="AW29" i="3"/>
  <c r="AY29" i="3" s="1"/>
  <c r="AV29" i="3"/>
  <c r="AU29" i="3"/>
  <c r="Q29" i="3"/>
  <c r="BF28" i="3"/>
  <c r="BG28" i="3" s="1"/>
  <c r="BD28" i="3"/>
  <c r="BC28" i="3"/>
  <c r="BB28" i="3"/>
  <c r="BA28" i="3"/>
  <c r="AX28" i="3"/>
  <c r="AW28" i="3"/>
  <c r="AV28" i="3"/>
  <c r="AU28" i="3"/>
  <c r="Q28" i="3"/>
  <c r="BF27" i="3"/>
  <c r="BG27" i="3" s="1"/>
  <c r="BD27" i="3"/>
  <c r="BE27" i="3" s="1"/>
  <c r="BC27" i="3"/>
  <c r="BB27" i="3"/>
  <c r="BA27" i="3"/>
  <c r="AX27" i="3"/>
  <c r="AW27" i="3"/>
  <c r="AV27" i="3"/>
  <c r="AU27" i="3"/>
  <c r="Q27" i="3"/>
  <c r="BF26" i="3"/>
  <c r="BG26" i="3" s="1"/>
  <c r="BD26" i="3"/>
  <c r="BC26" i="3"/>
  <c r="BB26" i="3"/>
  <c r="BA26" i="3"/>
  <c r="AX26" i="3"/>
  <c r="AW26" i="3"/>
  <c r="AV26" i="3"/>
  <c r="AU26" i="3"/>
  <c r="Q26" i="3"/>
  <c r="BF25" i="3"/>
  <c r="BG25" i="3" s="1"/>
  <c r="BD25" i="3"/>
  <c r="BC25" i="3"/>
  <c r="BB25" i="3"/>
  <c r="BA25" i="3"/>
  <c r="AX25" i="3"/>
  <c r="AW25" i="3"/>
  <c r="AV25" i="3"/>
  <c r="AZ25" i="3" s="1"/>
  <c r="AU25" i="3"/>
  <c r="BF24" i="3"/>
  <c r="BG24" i="3" s="1"/>
  <c r="BD24" i="3"/>
  <c r="BC24" i="3"/>
  <c r="BB24" i="3"/>
  <c r="BA24" i="3"/>
  <c r="AX24" i="3"/>
  <c r="AZ24" i="3" s="1"/>
  <c r="AW24" i="3"/>
  <c r="AY24" i="3" s="1"/>
  <c r="AV24" i="3"/>
  <c r="AU24" i="3"/>
  <c r="BF23" i="3"/>
  <c r="BG23" i="3" s="1"/>
  <c r="BD23" i="3"/>
  <c r="BH23" i="3" s="1"/>
  <c r="BC23" i="3"/>
  <c r="BB23" i="3"/>
  <c r="BA23" i="3"/>
  <c r="AX23" i="3"/>
  <c r="AW23" i="3"/>
  <c r="AV23" i="3"/>
  <c r="AU23" i="3"/>
  <c r="BF22" i="3"/>
  <c r="BG22" i="3" s="1"/>
  <c r="BD22" i="3"/>
  <c r="BC22" i="3"/>
  <c r="BB22" i="3"/>
  <c r="BA22" i="3"/>
  <c r="AX22" i="3"/>
  <c r="AW22" i="3"/>
  <c r="AV22" i="3"/>
  <c r="AU22" i="3"/>
  <c r="BF21" i="3"/>
  <c r="BG21" i="3" s="1"/>
  <c r="BD21" i="3"/>
  <c r="BC21" i="3"/>
  <c r="BB21" i="3"/>
  <c r="BA21" i="3"/>
  <c r="AX21" i="3"/>
  <c r="AW21" i="3"/>
  <c r="AY21" i="3" s="1"/>
  <c r="AV21" i="3"/>
  <c r="AU21" i="3"/>
  <c r="Q21" i="3"/>
  <c r="BF20" i="3"/>
  <c r="BG20" i="3" s="1"/>
  <c r="BD20" i="3"/>
  <c r="BC20" i="3"/>
  <c r="BB20" i="3"/>
  <c r="BA20" i="3"/>
  <c r="AX20" i="3"/>
  <c r="AZ20" i="3" s="1"/>
  <c r="AW20" i="3"/>
  <c r="AV20" i="3"/>
  <c r="AU20" i="3"/>
  <c r="BF19" i="3"/>
  <c r="BG19" i="3" s="1"/>
  <c r="BD19" i="3"/>
  <c r="BC19" i="3"/>
  <c r="BB19" i="3"/>
  <c r="BA19" i="3"/>
  <c r="AX19" i="3"/>
  <c r="AW19" i="3"/>
  <c r="AV19" i="3"/>
  <c r="AU19" i="3"/>
  <c r="Q19" i="3"/>
  <c r="BF18" i="3"/>
  <c r="BG18" i="3" s="1"/>
  <c r="BD18" i="3"/>
  <c r="BE18" i="3" s="1"/>
  <c r="BC18" i="3"/>
  <c r="BB18" i="3"/>
  <c r="BA18" i="3"/>
  <c r="AX18" i="3"/>
  <c r="AW18" i="3"/>
  <c r="AV18" i="3"/>
  <c r="AU18" i="3"/>
  <c r="Q18" i="3"/>
  <c r="BF17" i="3"/>
  <c r="BG17" i="3" s="1"/>
  <c r="BD17" i="3"/>
  <c r="BE17" i="3" s="1"/>
  <c r="BC17" i="3"/>
  <c r="BB17" i="3"/>
  <c r="BA17" i="3"/>
  <c r="AX17" i="3"/>
  <c r="AW17" i="3"/>
  <c r="AV17" i="3"/>
  <c r="AU17" i="3"/>
  <c r="Q17" i="3"/>
  <c r="BF16" i="3"/>
  <c r="BG16" i="3" s="1"/>
  <c r="BD16" i="3"/>
  <c r="BC16" i="3"/>
  <c r="BB16" i="3"/>
  <c r="BA16" i="3"/>
  <c r="AX16" i="3"/>
  <c r="AW16" i="3"/>
  <c r="AV16" i="3"/>
  <c r="AU16" i="3"/>
  <c r="Q16" i="3"/>
  <c r="BF15" i="3"/>
  <c r="BG15" i="3" s="1"/>
  <c r="BD15" i="3"/>
  <c r="BC15" i="3"/>
  <c r="BB15" i="3"/>
  <c r="BA15" i="3"/>
  <c r="AX15" i="3"/>
  <c r="AW15" i="3"/>
  <c r="AV15" i="3"/>
  <c r="AU15" i="3"/>
  <c r="Q15" i="3"/>
  <c r="BF14" i="3"/>
  <c r="BG14" i="3" s="1"/>
  <c r="BD14" i="3"/>
  <c r="BE14" i="3" s="1"/>
  <c r="BC14" i="3"/>
  <c r="BB14" i="3"/>
  <c r="BA14" i="3"/>
  <c r="AX14" i="3"/>
  <c r="AW14" i="3"/>
  <c r="AV14" i="3"/>
  <c r="AU14" i="3"/>
  <c r="Q14" i="3"/>
  <c r="BF13" i="3"/>
  <c r="BG13" i="3" s="1"/>
  <c r="BD13" i="3"/>
  <c r="BE13" i="3" s="1"/>
  <c r="BC13" i="3"/>
  <c r="BB13" i="3"/>
  <c r="BA13" i="3"/>
  <c r="AX13" i="3"/>
  <c r="AW13" i="3"/>
  <c r="AV13" i="3"/>
  <c r="AU13" i="3"/>
  <c r="Q13" i="3"/>
  <c r="BF12" i="3"/>
  <c r="BG12" i="3" s="1"/>
  <c r="BD12" i="3"/>
  <c r="BE12" i="3" s="1"/>
  <c r="BC12" i="3"/>
  <c r="BB12" i="3"/>
  <c r="BA12" i="3"/>
  <c r="AX12" i="3"/>
  <c r="AW12" i="3"/>
  <c r="AV12" i="3"/>
  <c r="AU12" i="3"/>
  <c r="Q12" i="3"/>
  <c r="BF11" i="3"/>
  <c r="BG11" i="3" s="1"/>
  <c r="BD11" i="3"/>
  <c r="BC11" i="3"/>
  <c r="BB11" i="3"/>
  <c r="BA11" i="3"/>
  <c r="AX11" i="3"/>
  <c r="AW11" i="3"/>
  <c r="AV11" i="3"/>
  <c r="AU11" i="3"/>
  <c r="Q11" i="3"/>
  <c r="BF10" i="3"/>
  <c r="BG10" i="3" s="1"/>
  <c r="BD10" i="3"/>
  <c r="BH10" i="3" s="1"/>
  <c r="BC10" i="3"/>
  <c r="BB10" i="3"/>
  <c r="BA10" i="3"/>
  <c r="AX10" i="3"/>
  <c r="AW10" i="3"/>
  <c r="AV10" i="3"/>
  <c r="AU10" i="3"/>
  <c r="Q10" i="3"/>
  <c r="BF9" i="3"/>
  <c r="BG9" i="3" s="1"/>
  <c r="BD9" i="3"/>
  <c r="BE9" i="3" s="1"/>
  <c r="BC9" i="3"/>
  <c r="BB9" i="3"/>
  <c r="BA9" i="3"/>
  <c r="AX9" i="3"/>
  <c r="AW9" i="3"/>
  <c r="AV9" i="3"/>
  <c r="AU9" i="3"/>
  <c r="Q9" i="3"/>
  <c r="BF8" i="3"/>
  <c r="BG8" i="3" s="1"/>
  <c r="BD8" i="3"/>
  <c r="BE8" i="3" s="1"/>
  <c r="BC8" i="3"/>
  <c r="BB8" i="3"/>
  <c r="BA8" i="3"/>
  <c r="AX8" i="3"/>
  <c r="AZ8" i="3" s="1"/>
  <c r="AW8" i="3"/>
  <c r="AV8" i="3"/>
  <c r="AU8" i="3"/>
  <c r="AY8" i="3" s="1"/>
  <c r="Q8" i="3"/>
  <c r="BF7" i="3"/>
  <c r="BG7" i="3" s="1"/>
  <c r="BD7" i="3"/>
  <c r="BH7" i="3" s="1"/>
  <c r="BC7" i="3"/>
  <c r="BB7" i="3"/>
  <c r="BA7" i="3"/>
  <c r="AX7" i="3"/>
  <c r="AW7" i="3"/>
  <c r="AY7" i="3" s="1"/>
  <c r="AV7" i="3"/>
  <c r="AU7" i="3"/>
  <c r="Q7" i="3"/>
  <c r="BF6" i="3"/>
  <c r="BD6" i="3"/>
  <c r="BH6" i="3" s="1"/>
  <c r="BC6" i="3"/>
  <c r="BB6" i="3"/>
  <c r="BA6" i="3"/>
  <c r="AX6" i="3"/>
  <c r="AW6" i="3"/>
  <c r="AV6" i="3"/>
  <c r="AU6" i="3"/>
  <c r="Q6" i="3"/>
  <c r="BF5" i="3"/>
  <c r="BG5" i="3" s="1"/>
  <c r="BD5" i="3"/>
  <c r="BE5" i="3" s="1"/>
  <c r="BC5" i="3"/>
  <c r="BB5" i="3"/>
  <c r="BA5" i="3"/>
  <c r="AX5" i="3"/>
  <c r="AW5" i="3"/>
  <c r="AY5" i="3" s="1"/>
  <c r="AV5" i="3"/>
  <c r="AU5" i="3"/>
  <c r="Q5" i="3"/>
  <c r="BF4" i="3"/>
  <c r="BG4" i="3" s="1"/>
  <c r="BD4" i="3"/>
  <c r="BE4" i="3" s="1"/>
  <c r="BC4" i="3"/>
  <c r="BB4" i="3"/>
  <c r="BA4" i="3"/>
  <c r="AX4" i="3"/>
  <c r="AZ4" i="3" s="1"/>
  <c r="AW4" i="3"/>
  <c r="AV4" i="3"/>
  <c r="AU4" i="3"/>
  <c r="Q4" i="3"/>
  <c r="BF3" i="3"/>
  <c r="BG3" i="3" s="1"/>
  <c r="BD3" i="3"/>
  <c r="BH3" i="3" s="1"/>
  <c r="BC3" i="3"/>
  <c r="BB3" i="3"/>
  <c r="BA3" i="3"/>
  <c r="AX3" i="3"/>
  <c r="AW3" i="3"/>
  <c r="AV3" i="3"/>
  <c r="AU3" i="3"/>
  <c r="Q3" i="3"/>
  <c r="BF2" i="3"/>
  <c r="BG2" i="3" s="1"/>
  <c r="BD2" i="3"/>
  <c r="BC2" i="3"/>
  <c r="BB2" i="3"/>
  <c r="BA2" i="3"/>
  <c r="AX2" i="3"/>
  <c r="AW2" i="3"/>
  <c r="AV2" i="3"/>
  <c r="AU2" i="3"/>
  <c r="Q2" i="3"/>
  <c r="AY4" i="3" l="1"/>
  <c r="AZ11" i="3"/>
  <c r="AZ42" i="3"/>
  <c r="AZ69" i="3"/>
  <c r="AY55" i="3"/>
  <c r="BH14" i="3"/>
  <c r="AY34" i="3"/>
  <c r="AY46" i="3"/>
  <c r="AY50" i="3"/>
  <c r="AZ55" i="3"/>
  <c r="AZ68" i="3"/>
  <c r="AZ3" i="3"/>
  <c r="BH13" i="3"/>
  <c r="AZ17" i="3"/>
  <c r="BH24" i="3"/>
  <c r="AZ34" i="3"/>
  <c r="AZ46" i="3"/>
  <c r="BH57" i="3"/>
  <c r="AZ9" i="3"/>
  <c r="BH11" i="3"/>
  <c r="AY16" i="3"/>
  <c r="AZ40" i="3"/>
  <c r="AZ45" i="3"/>
  <c r="AZ67" i="3"/>
  <c r="AZ16" i="3"/>
  <c r="AY26" i="3"/>
  <c r="BH39" i="3"/>
  <c r="BE56" i="3"/>
  <c r="AZ60" i="3"/>
  <c r="BH62" i="3"/>
  <c r="AZ12" i="3"/>
  <c r="BH18" i="3"/>
  <c r="AZ21" i="3"/>
  <c r="AY31" i="3"/>
  <c r="AZ37" i="3"/>
  <c r="AZ38" i="3"/>
  <c r="AZ44" i="3"/>
  <c r="BH48" i="3"/>
  <c r="AY52" i="3"/>
  <c r="AZ65" i="3"/>
  <c r="BH67" i="3"/>
  <c r="AZ71" i="3"/>
  <c r="BE2" i="3"/>
  <c r="AY12" i="3"/>
  <c r="BE16" i="3"/>
  <c r="BH17" i="3"/>
  <c r="BE22" i="3"/>
  <c r="AZ52" i="3"/>
  <c r="AY56" i="3"/>
  <c r="BE10" i="3"/>
  <c r="BE44" i="3"/>
  <c r="BE24" i="3"/>
  <c r="AY47" i="3"/>
  <c r="AY53" i="3"/>
  <c r="BE58" i="3"/>
  <c r="BE6" i="3"/>
  <c r="BH9" i="3"/>
  <c r="AY17" i="3"/>
  <c r="BE23" i="3"/>
  <c r="AZ47" i="3"/>
  <c r="AZ53" i="3"/>
  <c r="AZ63" i="3"/>
  <c r="BG6" i="3"/>
  <c r="BE49" i="3"/>
  <c r="AY61" i="3"/>
  <c r="AY73" i="3"/>
  <c r="BH5" i="3"/>
  <c r="AY13" i="3"/>
  <c r="AY15" i="3"/>
  <c r="AZ18" i="3"/>
  <c r="AZ19" i="3"/>
  <c r="AZ26" i="3"/>
  <c r="AZ35" i="3"/>
  <c r="AZ36" i="3"/>
  <c r="BH40" i="3"/>
  <c r="BH55" i="3"/>
  <c r="AZ61" i="3"/>
  <c r="BE66" i="3"/>
  <c r="AZ73" i="3"/>
  <c r="AZ13" i="3"/>
  <c r="AZ15" i="3"/>
  <c r="BH21" i="3"/>
  <c r="BH22" i="3"/>
  <c r="AY25" i="3"/>
  <c r="AY33" i="3"/>
  <c r="BE39" i="3"/>
  <c r="AY45" i="3"/>
  <c r="BE48" i="3"/>
  <c r="AY51" i="3"/>
  <c r="BG66" i="3"/>
  <c r="AY9" i="3"/>
  <c r="AY11" i="3"/>
  <c r="BH28" i="3"/>
  <c r="BH38" i="3"/>
  <c r="BG39" i="3"/>
  <c r="BG48" i="3"/>
  <c r="BH53" i="3"/>
  <c r="BE54" i="3"/>
  <c r="AY59" i="3"/>
  <c r="BH63" i="3"/>
  <c r="BH64" i="3"/>
  <c r="AY68" i="3"/>
  <c r="AY71" i="3"/>
  <c r="BE43" i="3"/>
  <c r="BE70" i="3"/>
  <c r="AY63" i="3"/>
  <c r="BG70" i="3"/>
  <c r="AZ28" i="3"/>
  <c r="AY19" i="3"/>
  <c r="BH19" i="3"/>
  <c r="BE62" i="3"/>
  <c r="AZ5" i="3"/>
  <c r="AZ7" i="3"/>
  <c r="BH15" i="3"/>
  <c r="BH26" i="3"/>
  <c r="AZ31" i="3"/>
  <c r="BE35" i="3"/>
  <c r="AY41" i="3"/>
  <c r="BH46" i="3"/>
  <c r="AY49" i="3"/>
  <c r="AZ50" i="3"/>
  <c r="AZ57" i="3"/>
  <c r="AY37" i="3"/>
  <c r="BH36" i="3"/>
  <c r="BH61" i="3"/>
  <c r="AY3" i="3"/>
  <c r="AY20" i="3"/>
  <c r="AZ29" i="3"/>
  <c r="AZ30" i="3"/>
  <c r="BH34" i="3"/>
  <c r="BG35" i="3"/>
  <c r="BH60" i="3"/>
  <c r="AY64" i="3"/>
  <c r="AY67" i="3"/>
  <c r="BE72" i="3"/>
  <c r="AZ49" i="3"/>
  <c r="AZ2" i="3"/>
  <c r="BE15" i="3"/>
  <c r="AY70" i="3"/>
  <c r="BE59" i="3"/>
  <c r="BG62" i="3"/>
  <c r="AY2" i="3"/>
  <c r="AY28" i="3"/>
  <c r="BE36" i="3"/>
  <c r="AZ6" i="3"/>
  <c r="AY10" i="3"/>
  <c r="AY23" i="3"/>
  <c r="BE32" i="3"/>
  <c r="AY44" i="3"/>
  <c r="AZ66" i="3"/>
  <c r="BE11" i="3"/>
  <c r="AY27" i="3"/>
  <c r="BE55" i="3"/>
  <c r="BG58" i="3"/>
  <c r="BE20" i="3"/>
  <c r="BH20" i="3"/>
  <c r="AZ48" i="3"/>
  <c r="AY6" i="3"/>
  <c r="BH51" i="3"/>
  <c r="BE51" i="3"/>
  <c r="BE19" i="3"/>
  <c r="AY66" i="3"/>
  <c r="AZ70" i="3"/>
  <c r="AY43" i="3"/>
  <c r="AY62" i="3"/>
  <c r="AZ10" i="3"/>
  <c r="AY22" i="3"/>
  <c r="AZ23" i="3"/>
  <c r="BE29" i="3"/>
  <c r="BH29" i="3"/>
  <c r="AZ43" i="3"/>
  <c r="BE50" i="3"/>
  <c r="AY58" i="3"/>
  <c r="AZ62" i="3"/>
  <c r="AY14" i="3"/>
  <c r="AZ22" i="3"/>
  <c r="BE28" i="3"/>
  <c r="BH31" i="3"/>
  <c r="AY39" i="3"/>
  <c r="AY40" i="3"/>
  <c r="AY54" i="3"/>
  <c r="AZ58" i="3"/>
  <c r="BE3" i="3"/>
  <c r="AZ14" i="3"/>
  <c r="BH25" i="3"/>
  <c r="BE25" i="3"/>
  <c r="AZ39" i="3"/>
  <c r="BH47" i="3"/>
  <c r="AZ54" i="3"/>
  <c r="BH73" i="3"/>
  <c r="AY18" i="3"/>
  <c r="BH27" i="3"/>
  <c r="AY35" i="3"/>
  <c r="AY36" i="3"/>
  <c r="BH69" i="3"/>
  <c r="BE71" i="3"/>
  <c r="BH41" i="3"/>
  <c r="BE41" i="3"/>
  <c r="BE40" i="3"/>
  <c r="AY48" i="3"/>
  <c r="AZ27" i="3"/>
  <c r="BH37" i="3"/>
  <c r="BE37" i="3"/>
  <c r="BG54" i="3"/>
  <c r="BE33" i="3"/>
  <c r="BH33" i="3"/>
  <c r="BH2" i="3"/>
  <c r="BE7" i="3"/>
  <c r="BH45" i="3"/>
  <c r="BE45" i="3"/>
  <c r="BH65" i="3"/>
  <c r="BE67" i="3"/>
  <c r="BE60" i="3"/>
  <c r="BE64" i="3"/>
  <c r="BE68" i="3"/>
  <c r="BE46" i="3"/>
  <c r="BE53" i="3"/>
  <c r="BH56" i="3"/>
  <c r="BE57" i="3"/>
  <c r="BE61" i="3"/>
  <c r="BE65" i="3"/>
  <c r="BE69" i="3"/>
  <c r="BH72" i="3"/>
  <c r="BH4" i="3"/>
  <c r="BH8" i="3"/>
  <c r="BH12" i="3"/>
  <c r="BH16" i="3"/>
  <c r="BH52" i="3"/>
  <c r="BE26" i="3"/>
  <c r="BE30" i="3"/>
  <c r="BE34" i="3"/>
  <c r="BE38" i="3"/>
  <c r="BE21" i="3"/>
  <c r="BE47" i="3"/>
  <c r="BE73" i="3"/>
  <c r="BH42" i="3"/>
  <c r="AY73" i="2" l="1"/>
  <c r="AX73" i="2"/>
  <c r="AW73" i="2"/>
  <c r="AV73" i="2"/>
  <c r="AU73" i="2"/>
  <c r="AH73" i="2"/>
  <c r="AG73" i="2"/>
  <c r="AZ73" i="2" s="1"/>
  <c r="AD73" i="2"/>
  <c r="AC73" i="2"/>
  <c r="AB73" i="2"/>
  <c r="Y73" i="2"/>
  <c r="X73" i="2"/>
  <c r="V73" i="2"/>
  <c r="U73" i="2"/>
  <c r="Q73" i="2"/>
  <c r="R73" i="2" s="1"/>
  <c r="O73" i="2"/>
  <c r="N73" i="2"/>
  <c r="AY72" i="2"/>
  <c r="AX72" i="2"/>
  <c r="AZ72" i="2" s="1"/>
  <c r="AW72" i="2"/>
  <c r="AV72" i="2"/>
  <c r="AU72" i="2"/>
  <c r="AI72" i="2"/>
  <c r="AJ72" i="2" s="1"/>
  <c r="AH72" i="2"/>
  <c r="AG72" i="2"/>
  <c r="AC72" i="2"/>
  <c r="AB72" i="2"/>
  <c r="X72" i="2"/>
  <c r="Y72" i="2" s="1"/>
  <c r="AD72" i="2" s="1"/>
  <c r="V72" i="2"/>
  <c r="U72" i="2"/>
  <c r="Q72" i="2"/>
  <c r="R72" i="2" s="1"/>
  <c r="O72" i="2"/>
  <c r="N72" i="2"/>
  <c r="AY71" i="2"/>
  <c r="AX71" i="2"/>
  <c r="AZ71" i="2" s="1"/>
  <c r="AW71" i="2"/>
  <c r="AV71" i="2"/>
  <c r="AU71" i="2"/>
  <c r="AH71" i="2"/>
  <c r="AG71" i="2"/>
  <c r="AI71" i="2" s="1"/>
  <c r="AC71" i="2"/>
  <c r="AB71" i="2"/>
  <c r="X71" i="2"/>
  <c r="Y71" i="2" s="1"/>
  <c r="V71" i="2"/>
  <c r="U71" i="2"/>
  <c r="R71" i="2"/>
  <c r="Q71" i="2"/>
  <c r="AJ71" i="2" s="1"/>
  <c r="O71" i="2"/>
  <c r="N71" i="2"/>
  <c r="AZ70" i="2"/>
  <c r="AY70" i="2"/>
  <c r="AX70" i="2"/>
  <c r="AW70" i="2"/>
  <c r="AV70" i="2"/>
  <c r="AU70" i="2"/>
  <c r="AH70" i="2"/>
  <c r="AI70" i="2" s="1"/>
  <c r="AG70" i="2"/>
  <c r="AC70" i="2"/>
  <c r="AB70" i="2"/>
  <c r="Y70" i="2"/>
  <c r="AD70" i="2" s="1"/>
  <c r="X70" i="2"/>
  <c r="V70" i="2"/>
  <c r="U70" i="2"/>
  <c r="Q70" i="2"/>
  <c r="R70" i="2" s="1"/>
  <c r="O70" i="2"/>
  <c r="N70" i="2"/>
  <c r="AY69" i="2"/>
  <c r="AX69" i="2"/>
  <c r="AW69" i="2"/>
  <c r="AV69" i="2"/>
  <c r="AU69" i="2"/>
  <c r="AH69" i="2"/>
  <c r="AG69" i="2"/>
  <c r="AZ69" i="2" s="1"/>
  <c r="AC69" i="2"/>
  <c r="AB69" i="2"/>
  <c r="Y69" i="2"/>
  <c r="X69" i="2"/>
  <c r="V69" i="2"/>
  <c r="U69" i="2"/>
  <c r="Q69" i="2"/>
  <c r="R69" i="2" s="1"/>
  <c r="AD69" i="2" s="1"/>
  <c r="O69" i="2"/>
  <c r="N69" i="2"/>
  <c r="AY68" i="2"/>
  <c r="AX68" i="2"/>
  <c r="AZ68" i="2" s="1"/>
  <c r="AW68" i="2"/>
  <c r="AV68" i="2"/>
  <c r="AU68" i="2"/>
  <c r="AI68" i="2"/>
  <c r="AJ68" i="2" s="1"/>
  <c r="AH68" i="2"/>
  <c r="AG68" i="2"/>
  <c r="AC68" i="2"/>
  <c r="AB68" i="2"/>
  <c r="Y68" i="2"/>
  <c r="AD68" i="2" s="1"/>
  <c r="X68" i="2"/>
  <c r="V68" i="2"/>
  <c r="U68" i="2"/>
  <c r="Q68" i="2"/>
  <c r="R68" i="2" s="1"/>
  <c r="O68" i="2"/>
  <c r="N68" i="2"/>
  <c r="AY67" i="2"/>
  <c r="AX67" i="2"/>
  <c r="AZ67" i="2" s="1"/>
  <c r="AW67" i="2"/>
  <c r="AV67" i="2"/>
  <c r="AU67" i="2"/>
  <c r="AH67" i="2"/>
  <c r="AG67" i="2"/>
  <c r="AI67" i="2" s="1"/>
  <c r="AC67" i="2"/>
  <c r="AB67" i="2"/>
  <c r="X67" i="2"/>
  <c r="Y67" i="2" s="1"/>
  <c r="V67" i="2"/>
  <c r="U67" i="2"/>
  <c r="R67" i="2"/>
  <c r="Q67" i="2"/>
  <c r="AJ67" i="2" s="1"/>
  <c r="O67" i="2"/>
  <c r="N67" i="2"/>
  <c r="AZ66" i="2"/>
  <c r="AY66" i="2"/>
  <c r="AX66" i="2"/>
  <c r="AW66" i="2"/>
  <c r="AV66" i="2"/>
  <c r="AU66" i="2"/>
  <c r="AI66" i="2"/>
  <c r="AH66" i="2"/>
  <c r="AG66" i="2"/>
  <c r="AC66" i="2"/>
  <c r="AB66" i="2"/>
  <c r="Y66" i="2"/>
  <c r="X66" i="2"/>
  <c r="V66" i="2"/>
  <c r="U66" i="2"/>
  <c r="Q66" i="2"/>
  <c r="O66" i="2"/>
  <c r="N66" i="2"/>
  <c r="AY65" i="2"/>
  <c r="AX65" i="2"/>
  <c r="AW65" i="2"/>
  <c r="AV65" i="2"/>
  <c r="AU65" i="2"/>
  <c r="AH65" i="2"/>
  <c r="AG65" i="2"/>
  <c r="AZ65" i="2" s="1"/>
  <c r="AD65" i="2"/>
  <c r="AC65" i="2"/>
  <c r="AB65" i="2"/>
  <c r="Y65" i="2"/>
  <c r="X65" i="2"/>
  <c r="V65" i="2"/>
  <c r="U65" i="2"/>
  <c r="Q65" i="2"/>
  <c r="R65" i="2" s="1"/>
  <c r="O65" i="2"/>
  <c r="N65" i="2"/>
  <c r="AY64" i="2"/>
  <c r="AX64" i="2"/>
  <c r="AZ64" i="2" s="1"/>
  <c r="AW64" i="2"/>
  <c r="AV64" i="2"/>
  <c r="AU64" i="2"/>
  <c r="AI64" i="2"/>
  <c r="AH64" i="2"/>
  <c r="AG64" i="2"/>
  <c r="AC64" i="2"/>
  <c r="AB64" i="2"/>
  <c r="X64" i="2"/>
  <c r="Y64" i="2" s="1"/>
  <c r="AD64" i="2" s="1"/>
  <c r="V64" i="2"/>
  <c r="U64" i="2"/>
  <c r="Q64" i="2"/>
  <c r="R64" i="2" s="1"/>
  <c r="O64" i="2"/>
  <c r="N64" i="2"/>
  <c r="AY63" i="2"/>
  <c r="AX63" i="2"/>
  <c r="AZ63" i="2" s="1"/>
  <c r="AW63" i="2"/>
  <c r="AV63" i="2"/>
  <c r="AU63" i="2"/>
  <c r="AH63" i="2"/>
  <c r="AG63" i="2"/>
  <c r="AI63" i="2" s="1"/>
  <c r="AC63" i="2"/>
  <c r="AB63" i="2"/>
  <c r="X63" i="2"/>
  <c r="Y63" i="2" s="1"/>
  <c r="V63" i="2"/>
  <c r="U63" i="2"/>
  <c r="R63" i="2" s="1"/>
  <c r="Q63" i="2"/>
  <c r="O63" i="2"/>
  <c r="N63" i="2"/>
  <c r="AZ62" i="2"/>
  <c r="AY62" i="2"/>
  <c r="AX62" i="2"/>
  <c r="AW62" i="2"/>
  <c r="AV62" i="2"/>
  <c r="AU62" i="2"/>
  <c r="AH62" i="2"/>
  <c r="AI62" i="2" s="1"/>
  <c r="AG62" i="2"/>
  <c r="AC62" i="2"/>
  <c r="AB62" i="2"/>
  <c r="Y62" i="2"/>
  <c r="X62" i="2"/>
  <c r="V62" i="2"/>
  <c r="U62" i="2"/>
  <c r="Q62" i="2"/>
  <c r="O62" i="2"/>
  <c r="N62" i="2"/>
  <c r="AY61" i="2"/>
  <c r="AX61" i="2"/>
  <c r="AW61" i="2"/>
  <c r="AV61" i="2"/>
  <c r="AU61" i="2"/>
  <c r="AH61" i="2"/>
  <c r="AG61" i="2"/>
  <c r="AZ61" i="2" s="1"/>
  <c r="AD61" i="2"/>
  <c r="AC61" i="2"/>
  <c r="AB61" i="2"/>
  <c r="Y61" i="2"/>
  <c r="X61" i="2"/>
  <c r="V61" i="2"/>
  <c r="U61" i="2"/>
  <c r="Q61" i="2"/>
  <c r="R61" i="2" s="1"/>
  <c r="O61" i="2"/>
  <c r="N61" i="2"/>
  <c r="AY60" i="2"/>
  <c r="AX60" i="2"/>
  <c r="AZ60" i="2" s="1"/>
  <c r="AW60" i="2"/>
  <c r="AV60" i="2"/>
  <c r="AU60" i="2"/>
  <c r="AI60" i="2"/>
  <c r="AH60" i="2"/>
  <c r="AG60" i="2"/>
  <c r="AC60" i="2"/>
  <c r="AB60" i="2"/>
  <c r="X60" i="2"/>
  <c r="Y60" i="2" s="1"/>
  <c r="AD60" i="2" s="1"/>
  <c r="V60" i="2"/>
  <c r="U60" i="2"/>
  <c r="Q60" i="2"/>
  <c r="R60" i="2" s="1"/>
  <c r="O60" i="2"/>
  <c r="N60" i="2"/>
  <c r="AY59" i="2"/>
  <c r="AX59" i="2"/>
  <c r="AZ59" i="2" s="1"/>
  <c r="AW59" i="2"/>
  <c r="AV59" i="2"/>
  <c r="AU59" i="2"/>
  <c r="AH59" i="2"/>
  <c r="AG59" i="2"/>
  <c r="AI59" i="2" s="1"/>
  <c r="AC59" i="2"/>
  <c r="AB59" i="2"/>
  <c r="X59" i="2"/>
  <c r="Y59" i="2" s="1"/>
  <c r="V59" i="2"/>
  <c r="U59" i="2"/>
  <c r="R59" i="2"/>
  <c r="Q59" i="2"/>
  <c r="AJ59" i="2" s="1"/>
  <c r="O59" i="2"/>
  <c r="N59" i="2"/>
  <c r="AZ58" i="2"/>
  <c r="AY58" i="2"/>
  <c r="AX58" i="2"/>
  <c r="AW58" i="2"/>
  <c r="AV58" i="2"/>
  <c r="AU58" i="2"/>
  <c r="AH58" i="2"/>
  <c r="AI58" i="2" s="1"/>
  <c r="AG58" i="2"/>
  <c r="AC58" i="2"/>
  <c r="AB58" i="2"/>
  <c r="Y58" i="2"/>
  <c r="AD58" i="2" s="1"/>
  <c r="X58" i="2"/>
  <c r="V58" i="2"/>
  <c r="U58" i="2"/>
  <c r="Q58" i="2"/>
  <c r="R58" i="2" s="1"/>
  <c r="O58" i="2"/>
  <c r="N58" i="2"/>
  <c r="AY57" i="2"/>
  <c r="AX57" i="2"/>
  <c r="AW57" i="2"/>
  <c r="AV57" i="2"/>
  <c r="AU57" i="2"/>
  <c r="AH57" i="2"/>
  <c r="AG57" i="2"/>
  <c r="AZ57" i="2" s="1"/>
  <c r="AC57" i="2"/>
  <c r="AB57" i="2"/>
  <c r="Y57" i="2"/>
  <c r="X57" i="2"/>
  <c r="V57" i="2"/>
  <c r="U57" i="2"/>
  <c r="Q57" i="2"/>
  <c r="R57" i="2" s="1"/>
  <c r="AD57" i="2" s="1"/>
  <c r="O57" i="2"/>
  <c r="N57" i="2"/>
  <c r="AY56" i="2"/>
  <c r="AX56" i="2"/>
  <c r="AZ56" i="2" s="1"/>
  <c r="AW56" i="2"/>
  <c r="AV56" i="2"/>
  <c r="AU56" i="2"/>
  <c r="AI56" i="2"/>
  <c r="AH56" i="2"/>
  <c r="AG56" i="2"/>
  <c r="AC56" i="2"/>
  <c r="AB56" i="2"/>
  <c r="Y56" i="2"/>
  <c r="AD56" i="2" s="1"/>
  <c r="X56" i="2"/>
  <c r="V56" i="2"/>
  <c r="U56" i="2"/>
  <c r="Q56" i="2"/>
  <c r="R56" i="2" s="1"/>
  <c r="O56" i="2"/>
  <c r="N56" i="2"/>
  <c r="AY55" i="2"/>
  <c r="AX55" i="2"/>
  <c r="AZ55" i="2" s="1"/>
  <c r="AW55" i="2"/>
  <c r="AV55" i="2"/>
  <c r="AU55" i="2"/>
  <c r="AH55" i="2"/>
  <c r="AG55" i="2"/>
  <c r="AI55" i="2" s="1"/>
  <c r="AC55" i="2"/>
  <c r="AB55" i="2"/>
  <c r="X55" i="2"/>
  <c r="Y55" i="2" s="1"/>
  <c r="V55" i="2"/>
  <c r="U55" i="2"/>
  <c r="R55" i="2"/>
  <c r="Q55" i="2"/>
  <c r="AJ55" i="2" s="1"/>
  <c r="O55" i="2"/>
  <c r="N55" i="2"/>
  <c r="AZ54" i="2"/>
  <c r="AY54" i="2"/>
  <c r="AX54" i="2"/>
  <c r="AW54" i="2"/>
  <c r="AV54" i="2"/>
  <c r="AU54" i="2"/>
  <c r="AI54" i="2"/>
  <c r="AH54" i="2"/>
  <c r="AG54" i="2"/>
  <c r="AC54" i="2"/>
  <c r="AB54" i="2"/>
  <c r="Y54" i="2"/>
  <c r="X54" i="2"/>
  <c r="V54" i="2"/>
  <c r="U54" i="2"/>
  <c r="Q54" i="2"/>
  <c r="O54" i="2"/>
  <c r="N54" i="2"/>
  <c r="AY53" i="2"/>
  <c r="AX53" i="2"/>
  <c r="AW53" i="2"/>
  <c r="AV53" i="2"/>
  <c r="AU53" i="2"/>
  <c r="AH53" i="2"/>
  <c r="AG53" i="2"/>
  <c r="AZ53" i="2" s="1"/>
  <c r="AD53" i="2"/>
  <c r="AC53" i="2"/>
  <c r="AB53" i="2"/>
  <c r="Y53" i="2"/>
  <c r="X53" i="2"/>
  <c r="V53" i="2"/>
  <c r="U53" i="2"/>
  <c r="Q53" i="2"/>
  <c r="R53" i="2" s="1"/>
  <c r="O53" i="2"/>
  <c r="N53" i="2"/>
  <c r="AY52" i="2"/>
  <c r="AX52" i="2"/>
  <c r="AZ52" i="2" s="1"/>
  <c r="AW52" i="2"/>
  <c r="AV52" i="2"/>
  <c r="AU52" i="2"/>
  <c r="AI52" i="2"/>
  <c r="AJ52" i="2" s="1"/>
  <c r="AH52" i="2"/>
  <c r="AG52" i="2"/>
  <c r="AC52" i="2"/>
  <c r="AB52" i="2"/>
  <c r="X52" i="2"/>
  <c r="Y52" i="2" s="1"/>
  <c r="AD52" i="2" s="1"/>
  <c r="V52" i="2"/>
  <c r="U52" i="2"/>
  <c r="Q52" i="2"/>
  <c r="R52" i="2" s="1"/>
  <c r="O52" i="2"/>
  <c r="N52" i="2"/>
  <c r="AY51" i="2"/>
  <c r="AX51" i="2"/>
  <c r="AZ51" i="2" s="1"/>
  <c r="AW51" i="2"/>
  <c r="AV51" i="2"/>
  <c r="AU51" i="2"/>
  <c r="AH51" i="2"/>
  <c r="AG51" i="2"/>
  <c r="AI51" i="2" s="1"/>
  <c r="AC51" i="2"/>
  <c r="AB51" i="2"/>
  <c r="X51" i="2"/>
  <c r="Y51" i="2" s="1"/>
  <c r="V51" i="2"/>
  <c r="U51" i="2"/>
  <c r="R51" i="2" s="1"/>
  <c r="Q51" i="2"/>
  <c r="O51" i="2"/>
  <c r="N51" i="2"/>
  <c r="AZ50" i="2"/>
  <c r="AY50" i="2"/>
  <c r="AX50" i="2"/>
  <c r="AW50" i="2"/>
  <c r="AV50" i="2"/>
  <c r="AU50" i="2"/>
  <c r="AH50" i="2"/>
  <c r="AI50" i="2" s="1"/>
  <c r="AG50" i="2"/>
  <c r="AC50" i="2"/>
  <c r="AB50" i="2"/>
  <c r="Y50" i="2"/>
  <c r="X50" i="2"/>
  <c r="V50" i="2"/>
  <c r="U50" i="2"/>
  <c r="Q50" i="2"/>
  <c r="O50" i="2"/>
  <c r="N50" i="2"/>
  <c r="AY49" i="2"/>
  <c r="AX49" i="2"/>
  <c r="AW49" i="2"/>
  <c r="AV49" i="2"/>
  <c r="AU49" i="2"/>
  <c r="AH49" i="2"/>
  <c r="AG49" i="2"/>
  <c r="AZ49" i="2" s="1"/>
  <c r="AD49" i="2"/>
  <c r="AC49" i="2"/>
  <c r="AB49" i="2"/>
  <c r="Y49" i="2"/>
  <c r="X49" i="2"/>
  <c r="V49" i="2"/>
  <c r="U49" i="2"/>
  <c r="Q49" i="2"/>
  <c r="R49" i="2" s="1"/>
  <c r="O49" i="2"/>
  <c r="N49" i="2"/>
  <c r="AY48" i="2"/>
  <c r="AX48" i="2"/>
  <c r="AZ48" i="2" s="1"/>
  <c r="AW48" i="2"/>
  <c r="AV48" i="2"/>
  <c r="AU48" i="2"/>
  <c r="AI48" i="2"/>
  <c r="AH48" i="2"/>
  <c r="AG48" i="2"/>
  <c r="AC48" i="2"/>
  <c r="AB48" i="2"/>
  <c r="X48" i="2"/>
  <c r="Y48" i="2" s="1"/>
  <c r="V48" i="2"/>
  <c r="U48" i="2"/>
  <c r="Q48" i="2"/>
  <c r="AJ48" i="2" s="1"/>
  <c r="O48" i="2"/>
  <c r="N48" i="2"/>
  <c r="AY47" i="2"/>
  <c r="AX47" i="2"/>
  <c r="AZ47" i="2" s="1"/>
  <c r="AW47" i="2"/>
  <c r="AV47" i="2"/>
  <c r="AU47" i="2"/>
  <c r="AH47" i="2"/>
  <c r="AG47" i="2"/>
  <c r="AI47" i="2" s="1"/>
  <c r="AC47" i="2"/>
  <c r="AB47" i="2"/>
  <c r="X47" i="2"/>
  <c r="Y47" i="2" s="1"/>
  <c r="V47" i="2"/>
  <c r="U47" i="2"/>
  <c r="R47" i="2"/>
  <c r="Q47" i="2"/>
  <c r="AJ47" i="2" s="1"/>
  <c r="O47" i="2"/>
  <c r="N47" i="2"/>
  <c r="AZ46" i="2"/>
  <c r="AY46" i="2"/>
  <c r="AX46" i="2"/>
  <c r="AW46" i="2"/>
  <c r="AV46" i="2"/>
  <c r="AU46" i="2"/>
  <c r="AH46" i="2"/>
  <c r="AI46" i="2" s="1"/>
  <c r="AJ46" i="2" s="1"/>
  <c r="AG46" i="2"/>
  <c r="AC46" i="2"/>
  <c r="AB46" i="2"/>
  <c r="Y46" i="2"/>
  <c r="AD46" i="2" s="1"/>
  <c r="X46" i="2"/>
  <c r="V46" i="2"/>
  <c r="U46" i="2"/>
  <c r="Q46" i="2"/>
  <c r="R46" i="2" s="1"/>
  <c r="O46" i="2"/>
  <c r="N46" i="2"/>
  <c r="AY45" i="2"/>
  <c r="AX45" i="2"/>
  <c r="AW45" i="2"/>
  <c r="AV45" i="2"/>
  <c r="AU45" i="2"/>
  <c r="AH45" i="2"/>
  <c r="AG45" i="2"/>
  <c r="AZ45" i="2" s="1"/>
  <c r="AC45" i="2"/>
  <c r="AB45" i="2"/>
  <c r="Y45" i="2"/>
  <c r="X45" i="2"/>
  <c r="V45" i="2"/>
  <c r="U45" i="2"/>
  <c r="Q45" i="2"/>
  <c r="R45" i="2" s="1"/>
  <c r="AD45" i="2" s="1"/>
  <c r="O45" i="2"/>
  <c r="N45" i="2"/>
  <c r="AY44" i="2"/>
  <c r="AX44" i="2"/>
  <c r="AZ44" i="2" s="1"/>
  <c r="AW44" i="2"/>
  <c r="AV44" i="2"/>
  <c r="AU44" i="2"/>
  <c r="AI44" i="2"/>
  <c r="AJ44" i="2" s="1"/>
  <c r="AH44" i="2"/>
  <c r="AG44" i="2"/>
  <c r="AC44" i="2"/>
  <c r="AB44" i="2"/>
  <c r="Y44" i="2"/>
  <c r="AD44" i="2" s="1"/>
  <c r="X44" i="2"/>
  <c r="V44" i="2"/>
  <c r="U44" i="2"/>
  <c r="Q44" i="2"/>
  <c r="R44" i="2" s="1"/>
  <c r="O44" i="2"/>
  <c r="N44" i="2"/>
  <c r="AY43" i="2"/>
  <c r="AX43" i="2"/>
  <c r="AZ43" i="2" s="1"/>
  <c r="AW43" i="2"/>
  <c r="AV43" i="2"/>
  <c r="AU43" i="2"/>
  <c r="AH43" i="2"/>
  <c r="AG43" i="2"/>
  <c r="AI43" i="2" s="1"/>
  <c r="AC43" i="2"/>
  <c r="AB43" i="2"/>
  <c r="X43" i="2"/>
  <c r="Y43" i="2" s="1"/>
  <c r="V43" i="2"/>
  <c r="U43" i="2"/>
  <c r="R43" i="2"/>
  <c r="Q43" i="2"/>
  <c r="AJ43" i="2" s="1"/>
  <c r="O43" i="2"/>
  <c r="N43" i="2"/>
  <c r="AZ42" i="2"/>
  <c r="AY42" i="2"/>
  <c r="AX42" i="2"/>
  <c r="AW42" i="2"/>
  <c r="AV42" i="2"/>
  <c r="AU42" i="2"/>
  <c r="AI42" i="2"/>
  <c r="AH42" i="2"/>
  <c r="AG42" i="2"/>
  <c r="AC42" i="2"/>
  <c r="AB42" i="2"/>
  <c r="Y42" i="2"/>
  <c r="X42" i="2"/>
  <c r="V42" i="2"/>
  <c r="U42" i="2"/>
  <c r="Q42" i="2"/>
  <c r="O42" i="2"/>
  <c r="N42" i="2"/>
  <c r="AY41" i="2"/>
  <c r="AX41" i="2"/>
  <c r="AW41" i="2"/>
  <c r="AV41" i="2"/>
  <c r="AU41" i="2"/>
  <c r="AH41" i="2"/>
  <c r="AG41" i="2"/>
  <c r="AZ41" i="2" s="1"/>
  <c r="AD41" i="2"/>
  <c r="AC41" i="2"/>
  <c r="AB41" i="2"/>
  <c r="Y41" i="2"/>
  <c r="X41" i="2"/>
  <c r="V41" i="2"/>
  <c r="U41" i="2"/>
  <c r="Q41" i="2"/>
  <c r="R41" i="2" s="1"/>
  <c r="O41" i="2"/>
  <c r="N41" i="2"/>
  <c r="AY40" i="2"/>
  <c r="AX40" i="2"/>
  <c r="AZ40" i="2" s="1"/>
  <c r="AW40" i="2"/>
  <c r="AV40" i="2"/>
  <c r="AU40" i="2"/>
  <c r="AI40" i="2"/>
  <c r="AH40" i="2"/>
  <c r="AG40" i="2"/>
  <c r="AC40" i="2"/>
  <c r="AB40" i="2"/>
  <c r="X40" i="2"/>
  <c r="Y40" i="2" s="1"/>
  <c r="AD40" i="2" s="1"/>
  <c r="V40" i="2"/>
  <c r="U40" i="2"/>
  <c r="Q40" i="2"/>
  <c r="R40" i="2" s="1"/>
  <c r="O40" i="2"/>
  <c r="N40" i="2"/>
  <c r="AY39" i="2"/>
  <c r="AX39" i="2"/>
  <c r="AZ39" i="2" s="1"/>
  <c r="AW39" i="2"/>
  <c r="AV39" i="2"/>
  <c r="AU39" i="2"/>
  <c r="AH39" i="2"/>
  <c r="AG39" i="2"/>
  <c r="AI39" i="2" s="1"/>
  <c r="AC39" i="2"/>
  <c r="AB39" i="2"/>
  <c r="X39" i="2"/>
  <c r="Y39" i="2" s="1"/>
  <c r="V39" i="2"/>
  <c r="U39" i="2"/>
  <c r="R39" i="2" s="1"/>
  <c r="Q39" i="2"/>
  <c r="O39" i="2"/>
  <c r="N39" i="2"/>
  <c r="AZ38" i="2"/>
  <c r="AY38" i="2"/>
  <c r="AX38" i="2"/>
  <c r="AW38" i="2"/>
  <c r="AV38" i="2"/>
  <c r="AU38" i="2"/>
  <c r="AH38" i="2"/>
  <c r="AI38" i="2" s="1"/>
  <c r="AG38" i="2"/>
  <c r="AC38" i="2"/>
  <c r="AB38" i="2"/>
  <c r="Y38" i="2"/>
  <c r="X38" i="2"/>
  <c r="V38" i="2"/>
  <c r="U38" i="2"/>
  <c r="Q38" i="2"/>
  <c r="R38" i="2" s="1"/>
  <c r="O38" i="2"/>
  <c r="N38" i="2"/>
  <c r="AY37" i="2"/>
  <c r="AX37" i="2"/>
  <c r="AW37" i="2"/>
  <c r="AV37" i="2"/>
  <c r="AU37" i="2"/>
  <c r="AH37" i="2"/>
  <c r="AG37" i="2"/>
  <c r="AZ37" i="2" s="1"/>
  <c r="AD37" i="2"/>
  <c r="AC37" i="2"/>
  <c r="AB37" i="2"/>
  <c r="Y37" i="2"/>
  <c r="X37" i="2"/>
  <c r="V37" i="2"/>
  <c r="U37" i="2"/>
  <c r="Q37" i="2"/>
  <c r="R37" i="2" s="1"/>
  <c r="O37" i="2"/>
  <c r="N37" i="2"/>
  <c r="AY36" i="2"/>
  <c r="AX36" i="2"/>
  <c r="AZ36" i="2" s="1"/>
  <c r="AW36" i="2"/>
  <c r="AV36" i="2"/>
  <c r="AU36" i="2"/>
  <c r="AI36" i="2"/>
  <c r="AJ36" i="2" s="1"/>
  <c r="AH36" i="2"/>
  <c r="AG36" i="2"/>
  <c r="AC36" i="2"/>
  <c r="AB36" i="2"/>
  <c r="X36" i="2"/>
  <c r="Y36" i="2" s="1"/>
  <c r="AD36" i="2" s="1"/>
  <c r="V36" i="2"/>
  <c r="U36" i="2"/>
  <c r="Q36" i="2"/>
  <c r="R36" i="2" s="1"/>
  <c r="O36" i="2"/>
  <c r="N36" i="2"/>
  <c r="AY35" i="2"/>
  <c r="AX35" i="2"/>
  <c r="AZ35" i="2" s="1"/>
  <c r="AW35" i="2"/>
  <c r="AV35" i="2"/>
  <c r="AU35" i="2"/>
  <c r="AH35" i="2"/>
  <c r="AG35" i="2"/>
  <c r="AI35" i="2" s="1"/>
  <c r="AC35" i="2"/>
  <c r="AB35" i="2"/>
  <c r="X35" i="2"/>
  <c r="Y35" i="2" s="1"/>
  <c r="V35" i="2"/>
  <c r="U35" i="2"/>
  <c r="R35" i="2"/>
  <c r="Q35" i="2"/>
  <c r="AJ35" i="2" s="1"/>
  <c r="O35" i="2"/>
  <c r="N35" i="2"/>
  <c r="AZ34" i="2"/>
  <c r="AY34" i="2"/>
  <c r="AX34" i="2"/>
  <c r="AW34" i="2"/>
  <c r="AV34" i="2"/>
  <c r="AU34" i="2"/>
  <c r="AH34" i="2"/>
  <c r="AI34" i="2" s="1"/>
  <c r="AJ34" i="2" s="1"/>
  <c r="AG34" i="2"/>
  <c r="AC34" i="2"/>
  <c r="AB34" i="2"/>
  <c r="Y34" i="2"/>
  <c r="AD34" i="2" s="1"/>
  <c r="X34" i="2"/>
  <c r="V34" i="2"/>
  <c r="U34" i="2"/>
  <c r="Q34" i="2"/>
  <c r="R34" i="2" s="1"/>
  <c r="O34" i="2"/>
  <c r="N34" i="2"/>
  <c r="AY33" i="2"/>
  <c r="AX33" i="2"/>
  <c r="AW33" i="2"/>
  <c r="AV33" i="2"/>
  <c r="AU33" i="2"/>
  <c r="AH33" i="2"/>
  <c r="AG33" i="2"/>
  <c r="AZ33" i="2" s="1"/>
  <c r="AC33" i="2"/>
  <c r="AB33" i="2"/>
  <c r="Y33" i="2"/>
  <c r="X33" i="2"/>
  <c r="V33" i="2"/>
  <c r="U33" i="2"/>
  <c r="Q33" i="2"/>
  <c r="R33" i="2" s="1"/>
  <c r="AD33" i="2" s="1"/>
  <c r="O33" i="2"/>
  <c r="N33" i="2"/>
  <c r="AY32" i="2"/>
  <c r="AX32" i="2"/>
  <c r="AZ32" i="2" s="1"/>
  <c r="AW32" i="2"/>
  <c r="AV32" i="2"/>
  <c r="AU32" i="2"/>
  <c r="AI32" i="2"/>
  <c r="AH32" i="2"/>
  <c r="AG32" i="2"/>
  <c r="AC32" i="2"/>
  <c r="AB32" i="2"/>
  <c r="Y32" i="2"/>
  <c r="X32" i="2"/>
  <c r="V32" i="2"/>
  <c r="U32" i="2"/>
  <c r="Q32" i="2"/>
  <c r="AJ32" i="2" s="1"/>
  <c r="O32" i="2"/>
  <c r="N32" i="2"/>
  <c r="AY31" i="2"/>
  <c r="AX31" i="2"/>
  <c r="AZ31" i="2" s="1"/>
  <c r="AW31" i="2"/>
  <c r="AV31" i="2"/>
  <c r="AU31" i="2"/>
  <c r="AH31" i="2"/>
  <c r="AG31" i="2"/>
  <c r="AI31" i="2" s="1"/>
  <c r="AC31" i="2"/>
  <c r="AB31" i="2"/>
  <c r="X31" i="2"/>
  <c r="Y31" i="2" s="1"/>
  <c r="V31" i="2"/>
  <c r="U31" i="2"/>
  <c r="R31" i="2"/>
  <c r="Q31" i="2"/>
  <c r="AJ31" i="2" s="1"/>
  <c r="O31" i="2"/>
  <c r="N31" i="2"/>
  <c r="AZ30" i="2"/>
  <c r="AY30" i="2"/>
  <c r="AX30" i="2"/>
  <c r="AW30" i="2"/>
  <c r="AV30" i="2"/>
  <c r="AU30" i="2"/>
  <c r="AI30" i="2"/>
  <c r="AH30" i="2"/>
  <c r="AG30" i="2"/>
  <c r="AC30" i="2"/>
  <c r="AB30" i="2"/>
  <c r="Y30" i="2"/>
  <c r="X30" i="2"/>
  <c r="V30" i="2"/>
  <c r="U30" i="2"/>
  <c r="Q30" i="2"/>
  <c r="O30" i="2"/>
  <c r="N30" i="2"/>
  <c r="AY29" i="2"/>
  <c r="AX29" i="2"/>
  <c r="AW29" i="2"/>
  <c r="AV29" i="2"/>
  <c r="AU29" i="2"/>
  <c r="AH29" i="2"/>
  <c r="AG29" i="2"/>
  <c r="AZ29" i="2" s="1"/>
  <c r="AD29" i="2"/>
  <c r="AC29" i="2"/>
  <c r="AB29" i="2"/>
  <c r="Y29" i="2"/>
  <c r="X29" i="2"/>
  <c r="V29" i="2"/>
  <c r="U29" i="2"/>
  <c r="Q29" i="2"/>
  <c r="R29" i="2" s="1"/>
  <c r="O29" i="2"/>
  <c r="N29" i="2"/>
  <c r="AY28" i="2"/>
  <c r="AX28" i="2"/>
  <c r="AZ28" i="2" s="1"/>
  <c r="AW28" i="2"/>
  <c r="AV28" i="2"/>
  <c r="AU28" i="2"/>
  <c r="AI28" i="2"/>
  <c r="AH28" i="2"/>
  <c r="AG28" i="2"/>
  <c r="AC28" i="2"/>
  <c r="AB28" i="2"/>
  <c r="X28" i="2"/>
  <c r="Y28" i="2" s="1"/>
  <c r="AD28" i="2" s="1"/>
  <c r="V28" i="2"/>
  <c r="U28" i="2"/>
  <c r="Q28" i="2"/>
  <c r="R28" i="2" s="1"/>
  <c r="O28" i="2"/>
  <c r="N28" i="2"/>
  <c r="AY27" i="2"/>
  <c r="AX27" i="2"/>
  <c r="AZ27" i="2" s="1"/>
  <c r="AW27" i="2"/>
  <c r="AV27" i="2"/>
  <c r="AU27" i="2"/>
  <c r="AH27" i="2"/>
  <c r="AG27" i="2"/>
  <c r="AI27" i="2" s="1"/>
  <c r="AC27" i="2"/>
  <c r="AB27" i="2"/>
  <c r="X27" i="2"/>
  <c r="Y27" i="2" s="1"/>
  <c r="V27" i="2"/>
  <c r="U27" i="2"/>
  <c r="R27" i="2" s="1"/>
  <c r="Q27" i="2"/>
  <c r="O27" i="2"/>
  <c r="N27" i="2"/>
  <c r="AZ26" i="2"/>
  <c r="AY26" i="2"/>
  <c r="AX26" i="2"/>
  <c r="AW26" i="2"/>
  <c r="AV26" i="2"/>
  <c r="AU26" i="2"/>
  <c r="AH26" i="2"/>
  <c r="AI26" i="2" s="1"/>
  <c r="AG26" i="2"/>
  <c r="AC26" i="2"/>
  <c r="AB26" i="2"/>
  <c r="Y26" i="2"/>
  <c r="X26" i="2"/>
  <c r="V26" i="2"/>
  <c r="U26" i="2"/>
  <c r="Q26" i="2"/>
  <c r="O26" i="2"/>
  <c r="N26" i="2"/>
  <c r="AY25" i="2"/>
  <c r="AX25" i="2"/>
  <c r="AW25" i="2"/>
  <c r="AV25" i="2"/>
  <c r="AU25" i="2"/>
  <c r="AH25" i="2"/>
  <c r="AG25" i="2"/>
  <c r="AZ25" i="2" s="1"/>
  <c r="AD25" i="2"/>
  <c r="AC25" i="2"/>
  <c r="AB25" i="2"/>
  <c r="Y25" i="2"/>
  <c r="X25" i="2"/>
  <c r="V25" i="2"/>
  <c r="U25" i="2"/>
  <c r="Q25" i="2"/>
  <c r="R25" i="2" s="1"/>
  <c r="O25" i="2"/>
  <c r="N25" i="2"/>
  <c r="AY24" i="2"/>
  <c r="AX24" i="2"/>
  <c r="AZ24" i="2" s="1"/>
  <c r="AW24" i="2"/>
  <c r="AV24" i="2"/>
  <c r="AU24" i="2"/>
  <c r="AI24" i="2"/>
  <c r="AH24" i="2"/>
  <c r="AG24" i="2"/>
  <c r="AC24" i="2"/>
  <c r="AB24" i="2"/>
  <c r="X24" i="2"/>
  <c r="Y24" i="2" s="1"/>
  <c r="V24" i="2"/>
  <c r="U24" i="2"/>
  <c r="Q24" i="2"/>
  <c r="AJ24" i="2" s="1"/>
  <c r="O24" i="2"/>
  <c r="N24" i="2"/>
  <c r="AY23" i="2"/>
  <c r="AX23" i="2"/>
  <c r="AZ23" i="2" s="1"/>
  <c r="AW23" i="2"/>
  <c r="AV23" i="2"/>
  <c r="AU23" i="2"/>
  <c r="AH23" i="2"/>
  <c r="AG23" i="2"/>
  <c r="AI23" i="2" s="1"/>
  <c r="AC23" i="2"/>
  <c r="AB23" i="2"/>
  <c r="X23" i="2"/>
  <c r="Y23" i="2" s="1"/>
  <c r="V23" i="2"/>
  <c r="U23" i="2"/>
  <c r="R23" i="2"/>
  <c r="Q23" i="2"/>
  <c r="AJ23" i="2" s="1"/>
  <c r="O23" i="2"/>
  <c r="N23" i="2"/>
  <c r="AZ22" i="2"/>
  <c r="AY22" i="2"/>
  <c r="AX22" i="2"/>
  <c r="AW22" i="2"/>
  <c r="AV22" i="2"/>
  <c r="AU22" i="2"/>
  <c r="AH22" i="2"/>
  <c r="AI22" i="2" s="1"/>
  <c r="AG22" i="2"/>
  <c r="AC22" i="2"/>
  <c r="AB22" i="2"/>
  <c r="Y22" i="2"/>
  <c r="X22" i="2"/>
  <c r="V22" i="2"/>
  <c r="U22" i="2"/>
  <c r="Q22" i="2"/>
  <c r="O22" i="2"/>
  <c r="N22" i="2"/>
  <c r="AY21" i="2"/>
  <c r="AX21" i="2"/>
  <c r="AW21" i="2"/>
  <c r="AV21" i="2"/>
  <c r="AU21" i="2"/>
  <c r="AH21" i="2"/>
  <c r="AG21" i="2"/>
  <c r="AZ21" i="2" s="1"/>
  <c r="AC21" i="2"/>
  <c r="AB21" i="2"/>
  <c r="Y21" i="2"/>
  <c r="X21" i="2"/>
  <c r="V21" i="2"/>
  <c r="U21" i="2"/>
  <c r="Q21" i="2"/>
  <c r="R21" i="2" s="1"/>
  <c r="AD21" i="2" s="1"/>
  <c r="O21" i="2"/>
  <c r="N21" i="2"/>
  <c r="AY20" i="2"/>
  <c r="AX20" i="2"/>
  <c r="AZ20" i="2" s="1"/>
  <c r="AW20" i="2"/>
  <c r="AV20" i="2"/>
  <c r="AU20" i="2"/>
  <c r="AI20" i="2"/>
  <c r="AH20" i="2"/>
  <c r="AG20" i="2"/>
  <c r="AC20" i="2"/>
  <c r="AB20" i="2"/>
  <c r="Y20" i="2"/>
  <c r="AD20" i="2" s="1"/>
  <c r="X20" i="2"/>
  <c r="V20" i="2"/>
  <c r="U20" i="2"/>
  <c r="Q20" i="2"/>
  <c r="R20" i="2" s="1"/>
  <c r="O20" i="2"/>
  <c r="N20" i="2"/>
  <c r="AY19" i="2"/>
  <c r="AX19" i="2"/>
  <c r="AZ19" i="2" s="1"/>
  <c r="AW19" i="2"/>
  <c r="AV19" i="2"/>
  <c r="AU19" i="2"/>
  <c r="AH19" i="2"/>
  <c r="AG19" i="2"/>
  <c r="AI19" i="2" s="1"/>
  <c r="AC19" i="2"/>
  <c r="AB19" i="2"/>
  <c r="X19" i="2"/>
  <c r="Y19" i="2" s="1"/>
  <c r="V19" i="2"/>
  <c r="U19" i="2"/>
  <c r="R19" i="2"/>
  <c r="Q19" i="2"/>
  <c r="AJ19" i="2" s="1"/>
  <c r="O19" i="2"/>
  <c r="N19" i="2"/>
  <c r="AZ18" i="2"/>
  <c r="AY18" i="2"/>
  <c r="AX18" i="2"/>
  <c r="AW18" i="2"/>
  <c r="AV18" i="2"/>
  <c r="AU18" i="2"/>
  <c r="AH18" i="2"/>
  <c r="AI18" i="2" s="1"/>
  <c r="AJ18" i="2" s="1"/>
  <c r="AG18" i="2"/>
  <c r="AC18" i="2"/>
  <c r="AB18" i="2"/>
  <c r="Y18" i="2"/>
  <c r="AD18" i="2" s="1"/>
  <c r="X18" i="2"/>
  <c r="V18" i="2"/>
  <c r="U18" i="2"/>
  <c r="Q18" i="2"/>
  <c r="R18" i="2" s="1"/>
  <c r="O18" i="2"/>
  <c r="N18" i="2"/>
  <c r="AY17" i="2"/>
  <c r="AX17" i="2"/>
  <c r="AW17" i="2"/>
  <c r="AV17" i="2"/>
  <c r="AU17" i="2"/>
  <c r="AH17" i="2"/>
  <c r="AG17" i="2"/>
  <c r="AC17" i="2"/>
  <c r="AB17" i="2"/>
  <c r="Y17" i="2"/>
  <c r="X17" i="2"/>
  <c r="V17" i="2"/>
  <c r="U17" i="2"/>
  <c r="Q17" i="2"/>
  <c r="R17" i="2" s="1"/>
  <c r="AD17" i="2" s="1"/>
  <c r="O17" i="2"/>
  <c r="N17" i="2"/>
  <c r="AZ16" i="2"/>
  <c r="AY16" i="2"/>
  <c r="AX16" i="2"/>
  <c r="AW16" i="2"/>
  <c r="AV16" i="2"/>
  <c r="AU16" i="2"/>
  <c r="AH16" i="2"/>
  <c r="AG16" i="2"/>
  <c r="AI16" i="2" s="1"/>
  <c r="AC16" i="2"/>
  <c r="AB16" i="2"/>
  <c r="X16" i="2"/>
  <c r="Y16" i="2" s="1"/>
  <c r="V16" i="2"/>
  <c r="U16" i="2"/>
  <c r="Q16" i="2"/>
  <c r="O16" i="2"/>
  <c r="N16" i="2"/>
  <c r="AY15" i="2"/>
  <c r="AX15" i="2"/>
  <c r="AZ15" i="2" s="1"/>
  <c r="AW15" i="2"/>
  <c r="AV15" i="2"/>
  <c r="AU15" i="2"/>
  <c r="AH15" i="2"/>
  <c r="AG15" i="2"/>
  <c r="AI15" i="2" s="1"/>
  <c r="AC15" i="2"/>
  <c r="AB15" i="2"/>
  <c r="X15" i="2"/>
  <c r="Y15" i="2" s="1"/>
  <c r="V15" i="2"/>
  <c r="U15" i="2"/>
  <c r="R15" i="2"/>
  <c r="Q15" i="2"/>
  <c r="O15" i="2"/>
  <c r="N15" i="2"/>
  <c r="AZ14" i="2"/>
  <c r="AY14" i="2"/>
  <c r="AX14" i="2"/>
  <c r="AW14" i="2"/>
  <c r="AV14" i="2"/>
  <c r="AU14" i="2"/>
  <c r="AH14" i="2"/>
  <c r="AI14" i="2" s="1"/>
  <c r="AG14" i="2"/>
  <c r="AC14" i="2"/>
  <c r="AB14" i="2"/>
  <c r="Y14" i="2"/>
  <c r="X14" i="2"/>
  <c r="V14" i="2"/>
  <c r="U14" i="2"/>
  <c r="Q14" i="2"/>
  <c r="R14" i="2" s="1"/>
  <c r="O14" i="2"/>
  <c r="N14" i="2"/>
  <c r="AY13" i="2"/>
  <c r="AX13" i="2"/>
  <c r="AW13" i="2"/>
  <c r="AV13" i="2"/>
  <c r="AU13" i="2"/>
  <c r="AH13" i="2"/>
  <c r="AG13" i="2"/>
  <c r="AD13" i="2"/>
  <c r="AC13" i="2"/>
  <c r="AB13" i="2"/>
  <c r="Y13" i="2"/>
  <c r="X13" i="2"/>
  <c r="V13" i="2"/>
  <c r="U13" i="2"/>
  <c r="Q13" i="2"/>
  <c r="R13" i="2" s="1"/>
  <c r="O13" i="2"/>
  <c r="N13" i="2"/>
  <c r="AY12" i="2"/>
  <c r="AX12" i="2"/>
  <c r="AZ12" i="2" s="1"/>
  <c r="AW12" i="2"/>
  <c r="AV12" i="2"/>
  <c r="AU12" i="2"/>
  <c r="AH12" i="2"/>
  <c r="AG12" i="2"/>
  <c r="AI12" i="2" s="1"/>
  <c r="AC12" i="2"/>
  <c r="AB12" i="2"/>
  <c r="X12" i="2"/>
  <c r="Y12" i="2" s="1"/>
  <c r="AD12" i="2" s="1"/>
  <c r="V12" i="2"/>
  <c r="U12" i="2"/>
  <c r="Q12" i="2"/>
  <c r="R12" i="2" s="1"/>
  <c r="O12" i="2"/>
  <c r="N12" i="2"/>
  <c r="AY11" i="2"/>
  <c r="AX11" i="2"/>
  <c r="AZ11" i="2" s="1"/>
  <c r="AW11" i="2"/>
  <c r="AV11" i="2"/>
  <c r="AU11" i="2"/>
  <c r="AH11" i="2"/>
  <c r="AG11" i="2"/>
  <c r="AI11" i="2" s="1"/>
  <c r="AC11" i="2"/>
  <c r="AB11" i="2"/>
  <c r="X11" i="2"/>
  <c r="Y11" i="2" s="1"/>
  <c r="V11" i="2"/>
  <c r="U11" i="2"/>
  <c r="R11" i="2" s="1"/>
  <c r="Q11" i="2"/>
  <c r="O11" i="2"/>
  <c r="N11" i="2"/>
  <c r="AZ10" i="2"/>
  <c r="AY10" i="2"/>
  <c r="AX10" i="2"/>
  <c r="AW10" i="2"/>
  <c r="AV10" i="2"/>
  <c r="AU10" i="2"/>
  <c r="AI10" i="2"/>
  <c r="AJ10" i="2" s="1"/>
  <c r="AH10" i="2"/>
  <c r="AG10" i="2"/>
  <c r="AC10" i="2"/>
  <c r="AB10" i="2"/>
  <c r="Y10" i="2"/>
  <c r="X10" i="2"/>
  <c r="V10" i="2"/>
  <c r="U10" i="2"/>
  <c r="Q10" i="2"/>
  <c r="R10" i="2" s="1"/>
  <c r="O10" i="2"/>
  <c r="N10" i="2"/>
  <c r="AY9" i="2"/>
  <c r="AX9" i="2"/>
  <c r="AW9" i="2"/>
  <c r="AV9" i="2"/>
  <c r="AU9" i="2"/>
  <c r="AH9" i="2"/>
  <c r="AG9" i="2"/>
  <c r="AD9" i="2"/>
  <c r="AC9" i="2"/>
  <c r="AB9" i="2"/>
  <c r="Y9" i="2"/>
  <c r="X9" i="2"/>
  <c r="V9" i="2"/>
  <c r="U9" i="2"/>
  <c r="Q9" i="2"/>
  <c r="R9" i="2" s="1"/>
  <c r="O9" i="2"/>
  <c r="N9" i="2"/>
  <c r="AZ8" i="2"/>
  <c r="AY8" i="2"/>
  <c r="AX8" i="2"/>
  <c r="AW8" i="2"/>
  <c r="AV8" i="2"/>
  <c r="AU8" i="2"/>
  <c r="AH8" i="2"/>
  <c r="AG8" i="2"/>
  <c r="AI8" i="2" s="1"/>
  <c r="AC8" i="2"/>
  <c r="AB8" i="2"/>
  <c r="X8" i="2"/>
  <c r="Y8" i="2" s="1"/>
  <c r="V8" i="2"/>
  <c r="U8" i="2"/>
  <c r="Q8" i="2"/>
  <c r="O8" i="2"/>
  <c r="N8" i="2"/>
  <c r="AY7" i="2"/>
  <c r="AX7" i="2"/>
  <c r="AZ7" i="2" s="1"/>
  <c r="AW7" i="2"/>
  <c r="AV7" i="2"/>
  <c r="AU7" i="2"/>
  <c r="AH7" i="2"/>
  <c r="AG7" i="2"/>
  <c r="AI7" i="2" s="1"/>
  <c r="AC7" i="2"/>
  <c r="AB7" i="2"/>
  <c r="X7" i="2"/>
  <c r="Y7" i="2" s="1"/>
  <c r="V7" i="2"/>
  <c r="U7" i="2"/>
  <c r="R7" i="2"/>
  <c r="Q7" i="2"/>
  <c r="AJ7" i="2" s="1"/>
  <c r="O7" i="2"/>
  <c r="N7" i="2"/>
  <c r="AZ6" i="2"/>
  <c r="AY6" i="2"/>
  <c r="AX6" i="2"/>
  <c r="AW6" i="2"/>
  <c r="AV6" i="2"/>
  <c r="AU6" i="2"/>
  <c r="AH6" i="2"/>
  <c r="AI6" i="2" s="1"/>
  <c r="AJ6" i="2" s="1"/>
  <c r="AG6" i="2"/>
  <c r="AC6" i="2"/>
  <c r="AB6" i="2"/>
  <c r="Y6" i="2"/>
  <c r="AD6" i="2" s="1"/>
  <c r="X6" i="2"/>
  <c r="V6" i="2"/>
  <c r="U6" i="2"/>
  <c r="Q6" i="2"/>
  <c r="R6" i="2" s="1"/>
  <c r="O6" i="2"/>
  <c r="N6" i="2"/>
  <c r="AY5" i="2"/>
  <c r="AX5" i="2"/>
  <c r="AW5" i="2"/>
  <c r="AV5" i="2"/>
  <c r="AU5" i="2"/>
  <c r="AH5" i="2"/>
  <c r="AG5" i="2"/>
  <c r="AC5" i="2"/>
  <c r="AB5" i="2"/>
  <c r="Y5" i="2"/>
  <c r="X5" i="2"/>
  <c r="V5" i="2"/>
  <c r="U5" i="2"/>
  <c r="Q5" i="2"/>
  <c r="R5" i="2" s="1"/>
  <c r="AD5" i="2" s="1"/>
  <c r="O5" i="2"/>
  <c r="N5" i="2"/>
  <c r="AY4" i="2"/>
  <c r="AX4" i="2"/>
  <c r="AZ4" i="2" s="1"/>
  <c r="AW4" i="2"/>
  <c r="AV4" i="2"/>
  <c r="AU4" i="2"/>
  <c r="AH4" i="2"/>
  <c r="AG4" i="2"/>
  <c r="AI4" i="2" s="1"/>
  <c r="AC4" i="2"/>
  <c r="AB4" i="2"/>
  <c r="Y4" i="2"/>
  <c r="AD4" i="2" s="1"/>
  <c r="X4" i="2"/>
  <c r="V4" i="2"/>
  <c r="U4" i="2"/>
  <c r="Q4" i="2"/>
  <c r="R4" i="2" s="1"/>
  <c r="O4" i="2"/>
  <c r="N4" i="2"/>
  <c r="AY3" i="2"/>
  <c r="AX3" i="2"/>
  <c r="AZ3" i="2" s="1"/>
  <c r="AW3" i="2"/>
  <c r="AV3" i="2"/>
  <c r="AU3" i="2"/>
  <c r="AH3" i="2"/>
  <c r="AG3" i="2"/>
  <c r="AI3" i="2" s="1"/>
  <c r="AC3" i="2"/>
  <c r="AB3" i="2"/>
  <c r="X3" i="2"/>
  <c r="Y3" i="2" s="1"/>
  <c r="V3" i="2"/>
  <c r="U3" i="2"/>
  <c r="R3" i="2"/>
  <c r="Q3" i="2"/>
  <c r="AJ3" i="2" s="1"/>
  <c r="O3" i="2"/>
  <c r="N3" i="2"/>
  <c r="AZ2" i="2"/>
  <c r="AY2" i="2"/>
  <c r="AX2" i="2"/>
  <c r="AW2" i="2"/>
  <c r="AV2" i="2"/>
  <c r="AU2" i="2"/>
  <c r="AH2" i="2"/>
  <c r="AI2" i="2" s="1"/>
  <c r="AJ2" i="2" s="1"/>
  <c r="AG2" i="2"/>
  <c r="AC2" i="2"/>
  <c r="AB2" i="2"/>
  <c r="Y2" i="2"/>
  <c r="AD2" i="2" s="1"/>
  <c r="X2" i="2"/>
  <c r="V2" i="2"/>
  <c r="U2" i="2"/>
  <c r="Q2" i="2"/>
  <c r="R2" i="2" s="1"/>
  <c r="O2" i="2"/>
  <c r="N2" i="2"/>
  <c r="AX73" i="1"/>
  <c r="AT73" i="1"/>
  <c r="AU73" i="1" s="1"/>
  <c r="AS73" i="1"/>
  <c r="AP73" i="1"/>
  <c r="AN73" i="1" s="1"/>
  <c r="AO73" i="1"/>
  <c r="AM73" i="1" s="1"/>
  <c r="AL73" i="1"/>
  <c r="AK73" i="1"/>
  <c r="AJ73" i="1"/>
  <c r="AI73" i="1"/>
  <c r="AD73" i="1"/>
  <c r="P73" i="1"/>
  <c r="O73" i="1"/>
  <c r="AX72" i="1"/>
  <c r="AS72" i="1" s="1"/>
  <c r="AT72" i="1"/>
  <c r="AU72" i="1" s="1"/>
  <c r="AP72" i="1"/>
  <c r="AO72" i="1"/>
  <c r="AL72" i="1"/>
  <c r="AN72" i="1" s="1"/>
  <c r="AK72" i="1"/>
  <c r="AM72" i="1" s="1"/>
  <c r="AJ72" i="1"/>
  <c r="AI72" i="1"/>
  <c r="AD72" i="1"/>
  <c r="P72" i="1"/>
  <c r="O72" i="1"/>
  <c r="AX71" i="1"/>
  <c r="AT71" i="1"/>
  <c r="AP71" i="1"/>
  <c r="AO71" i="1"/>
  <c r="AL71" i="1"/>
  <c r="AN71" i="1" s="1"/>
  <c r="AK71" i="1"/>
  <c r="AM71" i="1" s="1"/>
  <c r="AJ71" i="1"/>
  <c r="AI71" i="1"/>
  <c r="AD71" i="1"/>
  <c r="P71" i="1"/>
  <c r="O71" i="1"/>
  <c r="AX70" i="1"/>
  <c r="AT70" i="1"/>
  <c r="AU70" i="1" s="1"/>
  <c r="AS70" i="1"/>
  <c r="AP70" i="1"/>
  <c r="AO70" i="1"/>
  <c r="AL70" i="1"/>
  <c r="AN70" i="1" s="1"/>
  <c r="AK70" i="1"/>
  <c r="AM70" i="1" s="1"/>
  <c r="AJ70" i="1"/>
  <c r="AI70" i="1"/>
  <c r="AD70" i="1"/>
  <c r="P70" i="1"/>
  <c r="O70" i="1"/>
  <c r="AX69" i="1"/>
  <c r="AT69" i="1"/>
  <c r="AU69" i="1" s="1"/>
  <c r="AS69" i="1"/>
  <c r="AP69" i="1"/>
  <c r="AO69" i="1"/>
  <c r="AM69" i="1" s="1"/>
  <c r="AN69" i="1"/>
  <c r="AL69" i="1"/>
  <c r="AK69" i="1"/>
  <c r="AJ69" i="1"/>
  <c r="AI69" i="1"/>
  <c r="AD69" i="1"/>
  <c r="P69" i="1"/>
  <c r="O69" i="1"/>
  <c r="AX68" i="1"/>
  <c r="AT68" i="1"/>
  <c r="AU68" i="1" s="1"/>
  <c r="AS68" i="1"/>
  <c r="AP68" i="1"/>
  <c r="AO68" i="1"/>
  <c r="AL68" i="1"/>
  <c r="AN68" i="1" s="1"/>
  <c r="AK68" i="1"/>
  <c r="AM68" i="1" s="1"/>
  <c r="AJ68" i="1"/>
  <c r="AI68" i="1"/>
  <c r="AD68" i="1"/>
  <c r="P68" i="1"/>
  <c r="O68" i="1"/>
  <c r="AX67" i="1"/>
  <c r="AT67" i="1"/>
  <c r="AP67" i="1"/>
  <c r="AO67" i="1"/>
  <c r="AL67" i="1"/>
  <c r="AN67" i="1" s="1"/>
  <c r="AK67" i="1"/>
  <c r="AM67" i="1" s="1"/>
  <c r="AJ67" i="1"/>
  <c r="AI67" i="1"/>
  <c r="AD67" i="1"/>
  <c r="P67" i="1"/>
  <c r="O67" i="1"/>
  <c r="AX66" i="1"/>
  <c r="AT66" i="1"/>
  <c r="AU66" i="1" s="1"/>
  <c r="AS66" i="1"/>
  <c r="AP66" i="1"/>
  <c r="AO66" i="1"/>
  <c r="AM66" i="1"/>
  <c r="AL66" i="1"/>
  <c r="AN66" i="1" s="1"/>
  <c r="AK66" i="1"/>
  <c r="AJ66" i="1"/>
  <c r="AI66" i="1"/>
  <c r="AD66" i="1"/>
  <c r="P66" i="1"/>
  <c r="O66" i="1"/>
  <c r="AX65" i="1"/>
  <c r="AT65" i="1"/>
  <c r="AU65" i="1" s="1"/>
  <c r="AS65" i="1"/>
  <c r="AP65" i="1"/>
  <c r="AO65" i="1"/>
  <c r="AM65" i="1" s="1"/>
  <c r="AN65" i="1"/>
  <c r="AL65" i="1"/>
  <c r="AK65" i="1"/>
  <c r="AJ65" i="1"/>
  <c r="AI65" i="1"/>
  <c r="AD65" i="1"/>
  <c r="P65" i="1"/>
  <c r="O65" i="1"/>
  <c r="AX64" i="1"/>
  <c r="AT64" i="1"/>
  <c r="AU64" i="1" s="1"/>
  <c r="AS64" i="1"/>
  <c r="AP64" i="1"/>
  <c r="AO64" i="1"/>
  <c r="AL64" i="1"/>
  <c r="AN64" i="1" s="1"/>
  <c r="AK64" i="1"/>
  <c r="AM64" i="1" s="1"/>
  <c r="AJ64" i="1"/>
  <c r="AI64" i="1"/>
  <c r="AD64" i="1"/>
  <c r="P64" i="1"/>
  <c r="O64" i="1"/>
  <c r="AX63" i="1"/>
  <c r="AT63" i="1"/>
  <c r="AP63" i="1"/>
  <c r="AO63" i="1"/>
  <c r="AL63" i="1"/>
  <c r="AN63" i="1" s="1"/>
  <c r="AK63" i="1"/>
  <c r="AM63" i="1" s="1"/>
  <c r="AJ63" i="1"/>
  <c r="AI63" i="1"/>
  <c r="P63" i="1"/>
  <c r="O63" i="1"/>
  <c r="AX62" i="1"/>
  <c r="AU62" i="1"/>
  <c r="AT62" i="1"/>
  <c r="AS62" i="1"/>
  <c r="AP62" i="1"/>
  <c r="AO62" i="1"/>
  <c r="AL62" i="1"/>
  <c r="AN62" i="1" s="1"/>
  <c r="AK62" i="1"/>
  <c r="AM62" i="1" s="1"/>
  <c r="AJ62" i="1"/>
  <c r="AI62" i="1"/>
  <c r="P62" i="1"/>
  <c r="O62" i="1"/>
  <c r="AX61" i="1"/>
  <c r="AT61" i="1"/>
  <c r="AU61" i="1" s="1"/>
  <c r="AS61" i="1"/>
  <c r="AP61" i="1"/>
  <c r="AO61" i="1"/>
  <c r="AM61" i="1" s="1"/>
  <c r="AL61" i="1"/>
  <c r="AN61" i="1" s="1"/>
  <c r="AK61" i="1"/>
  <c r="AJ61" i="1"/>
  <c r="AI61" i="1"/>
  <c r="AD61" i="1"/>
  <c r="P61" i="1"/>
  <c r="O61" i="1"/>
  <c r="AX60" i="1"/>
  <c r="AT60" i="1"/>
  <c r="AU60" i="1" s="1"/>
  <c r="AS60" i="1"/>
  <c r="AP60" i="1"/>
  <c r="AN60" i="1" s="1"/>
  <c r="AO60" i="1"/>
  <c r="AM60" i="1" s="1"/>
  <c r="AL60" i="1"/>
  <c r="AK60" i="1"/>
  <c r="AJ60" i="1"/>
  <c r="AI60" i="1"/>
  <c r="P60" i="1"/>
  <c r="O60" i="1"/>
  <c r="AX59" i="1"/>
  <c r="AT59" i="1"/>
  <c r="AU59" i="1" s="1"/>
  <c r="AS59" i="1"/>
  <c r="AP59" i="1"/>
  <c r="AO59" i="1"/>
  <c r="AM59" i="1" s="1"/>
  <c r="AL59" i="1"/>
  <c r="AN59" i="1" s="1"/>
  <c r="AK59" i="1"/>
  <c r="AJ59" i="1"/>
  <c r="AI59" i="1"/>
  <c r="AD59" i="1"/>
  <c r="P59" i="1"/>
  <c r="O59" i="1"/>
  <c r="AX58" i="1"/>
  <c r="AS58" i="1" s="1"/>
  <c r="AT58" i="1"/>
  <c r="AU58" i="1" s="1"/>
  <c r="AP58" i="1"/>
  <c r="AO58" i="1"/>
  <c r="AL58" i="1"/>
  <c r="AN58" i="1" s="1"/>
  <c r="AK58" i="1"/>
  <c r="AM58" i="1" s="1"/>
  <c r="AJ58" i="1"/>
  <c r="AI58" i="1"/>
  <c r="AD58" i="1"/>
  <c r="P58" i="1"/>
  <c r="O58" i="1"/>
  <c r="AX57" i="1"/>
  <c r="AT57" i="1"/>
  <c r="AU57" i="1" s="1"/>
  <c r="AS57" i="1"/>
  <c r="AP57" i="1"/>
  <c r="AO57" i="1"/>
  <c r="AM57" i="1"/>
  <c r="AL57" i="1"/>
  <c r="AN57" i="1" s="1"/>
  <c r="AK57" i="1"/>
  <c r="AJ57" i="1"/>
  <c r="AI57" i="1"/>
  <c r="AD57" i="1"/>
  <c r="P57" i="1"/>
  <c r="O57" i="1"/>
  <c r="AX56" i="1"/>
  <c r="AT56" i="1"/>
  <c r="AU56" i="1" s="1"/>
  <c r="AS56" i="1"/>
  <c r="AP56" i="1"/>
  <c r="AO56" i="1"/>
  <c r="AM56" i="1" s="1"/>
  <c r="AN56" i="1"/>
  <c r="AL56" i="1"/>
  <c r="AK56" i="1"/>
  <c r="AJ56" i="1"/>
  <c r="AI56" i="1"/>
  <c r="AD56" i="1"/>
  <c r="P56" i="1"/>
  <c r="O56" i="1"/>
  <c r="AX55" i="1"/>
  <c r="AT55" i="1"/>
  <c r="AU55" i="1" s="1"/>
  <c r="AS55" i="1"/>
  <c r="AP55" i="1"/>
  <c r="AO55" i="1"/>
  <c r="AM55" i="1" s="1"/>
  <c r="AL55" i="1"/>
  <c r="AN55" i="1" s="1"/>
  <c r="AK55" i="1"/>
  <c r="AJ55" i="1"/>
  <c r="AI55" i="1"/>
  <c r="P55" i="1"/>
  <c r="O55" i="1"/>
  <c r="AX54" i="1"/>
  <c r="AS54" i="1" s="1"/>
  <c r="AT54" i="1"/>
  <c r="AP54" i="1"/>
  <c r="AO54" i="1"/>
  <c r="AL54" i="1"/>
  <c r="AN54" i="1" s="1"/>
  <c r="AK54" i="1"/>
  <c r="AM54" i="1" s="1"/>
  <c r="AJ54" i="1"/>
  <c r="AI54" i="1"/>
  <c r="AD54" i="1"/>
  <c r="P54" i="1"/>
  <c r="O54" i="1"/>
  <c r="AX53" i="1"/>
  <c r="AU53" i="1"/>
  <c r="AT53" i="1"/>
  <c r="AS53" i="1"/>
  <c r="AP53" i="1"/>
  <c r="AO53" i="1"/>
  <c r="AL53" i="1"/>
  <c r="AN53" i="1" s="1"/>
  <c r="AK53" i="1"/>
  <c r="AM53" i="1" s="1"/>
  <c r="AJ53" i="1"/>
  <c r="AI53" i="1"/>
  <c r="AD53" i="1"/>
  <c r="P53" i="1"/>
  <c r="O53" i="1"/>
  <c r="AX52" i="1"/>
  <c r="AT52" i="1"/>
  <c r="AU52" i="1" s="1"/>
  <c r="AS52" i="1"/>
  <c r="AP52" i="1"/>
  <c r="AO52" i="1"/>
  <c r="AN52" i="1"/>
  <c r="AM52" i="1"/>
  <c r="AL52" i="1"/>
  <c r="AK52" i="1"/>
  <c r="AJ52" i="1"/>
  <c r="AI52" i="1"/>
  <c r="AD52" i="1"/>
  <c r="P52" i="1"/>
  <c r="O52" i="1"/>
  <c r="AX51" i="1"/>
  <c r="AT51" i="1"/>
  <c r="AU51" i="1" s="1"/>
  <c r="AS51" i="1"/>
  <c r="AP51" i="1"/>
  <c r="AN51" i="1" s="1"/>
  <c r="AO51" i="1"/>
  <c r="AL51" i="1"/>
  <c r="AK51" i="1"/>
  <c r="AM51" i="1" s="1"/>
  <c r="AJ51" i="1"/>
  <c r="AI51" i="1"/>
  <c r="AD51" i="1"/>
  <c r="P51" i="1"/>
  <c r="O51" i="1"/>
  <c r="AX50" i="1"/>
  <c r="AS50" i="1" s="1"/>
  <c r="AU50" i="1"/>
  <c r="AT50" i="1"/>
  <c r="AP50" i="1"/>
  <c r="AO50" i="1"/>
  <c r="AL50" i="1"/>
  <c r="AN50" i="1" s="1"/>
  <c r="AK50" i="1"/>
  <c r="AM50" i="1" s="1"/>
  <c r="AJ50" i="1"/>
  <c r="AI50" i="1"/>
  <c r="AD50" i="1"/>
  <c r="P50" i="1"/>
  <c r="O50" i="1"/>
  <c r="AX49" i="1"/>
  <c r="AU49" i="1"/>
  <c r="AT49" i="1"/>
  <c r="AS49" i="1"/>
  <c r="AP49" i="1"/>
  <c r="AO49" i="1"/>
  <c r="AN49" i="1"/>
  <c r="AM49" i="1"/>
  <c r="AL49" i="1"/>
  <c r="AK49" i="1"/>
  <c r="AJ49" i="1"/>
  <c r="AI49" i="1"/>
  <c r="AD49" i="1"/>
  <c r="P49" i="1"/>
  <c r="O49" i="1"/>
  <c r="AX48" i="1"/>
  <c r="AT48" i="1"/>
  <c r="AU48" i="1" s="1"/>
  <c r="AS48" i="1"/>
  <c r="AP48" i="1"/>
  <c r="AN48" i="1" s="1"/>
  <c r="AO48" i="1"/>
  <c r="AM48" i="1" s="1"/>
  <c r="AL48" i="1"/>
  <c r="AK48" i="1"/>
  <c r="AJ48" i="1"/>
  <c r="AI48" i="1"/>
  <c r="AD48" i="1"/>
  <c r="P48" i="1"/>
  <c r="O48" i="1"/>
  <c r="AX47" i="1"/>
  <c r="AT47" i="1"/>
  <c r="AU47" i="1" s="1"/>
  <c r="AS47" i="1"/>
  <c r="AP47" i="1"/>
  <c r="AN47" i="1" s="1"/>
  <c r="AO47" i="1"/>
  <c r="AL47" i="1"/>
  <c r="AK47" i="1"/>
  <c r="AM47" i="1" s="1"/>
  <c r="AJ47" i="1"/>
  <c r="AI47" i="1"/>
  <c r="AD47" i="1"/>
  <c r="P47" i="1"/>
  <c r="O47" i="1"/>
  <c r="AX46" i="1"/>
  <c r="AS46" i="1" s="1"/>
  <c r="AU46" i="1"/>
  <c r="AT46" i="1"/>
  <c r="AP46" i="1"/>
  <c r="AO46" i="1"/>
  <c r="AL46" i="1"/>
  <c r="AN46" i="1" s="1"/>
  <c r="AK46" i="1"/>
  <c r="AM46" i="1" s="1"/>
  <c r="AJ46" i="1"/>
  <c r="AI46" i="1"/>
  <c r="AD46" i="1"/>
  <c r="P46" i="1"/>
  <c r="O46" i="1"/>
  <c r="AX45" i="1"/>
  <c r="AU45" i="1"/>
  <c r="AT45" i="1"/>
  <c r="AS45" i="1"/>
  <c r="AP45" i="1"/>
  <c r="AO45" i="1"/>
  <c r="AL45" i="1"/>
  <c r="AN45" i="1" s="1"/>
  <c r="AK45" i="1"/>
  <c r="AM45" i="1" s="1"/>
  <c r="AJ45" i="1"/>
  <c r="AI45" i="1"/>
  <c r="AD45" i="1"/>
  <c r="P45" i="1"/>
  <c r="O45" i="1"/>
  <c r="AX44" i="1"/>
  <c r="AT44" i="1"/>
  <c r="AU44" i="1" s="1"/>
  <c r="AS44" i="1"/>
  <c r="AP44" i="1"/>
  <c r="AN44" i="1" s="1"/>
  <c r="AO44" i="1"/>
  <c r="AM44" i="1"/>
  <c r="AL44" i="1"/>
  <c r="AK44" i="1"/>
  <c r="AJ44" i="1"/>
  <c r="AI44" i="1"/>
  <c r="AD44" i="1"/>
  <c r="P44" i="1"/>
  <c r="O44" i="1"/>
  <c r="AX43" i="1"/>
  <c r="AU43" i="1"/>
  <c r="AT43" i="1"/>
  <c r="AS43" i="1"/>
  <c r="AP43" i="1"/>
  <c r="AN43" i="1" s="1"/>
  <c r="AO43" i="1"/>
  <c r="AL43" i="1"/>
  <c r="AK43" i="1"/>
  <c r="AM43" i="1" s="1"/>
  <c r="AJ43" i="1"/>
  <c r="AI43" i="1"/>
  <c r="AD43" i="1"/>
  <c r="P43" i="1"/>
  <c r="O43" i="1"/>
  <c r="AX42" i="1"/>
  <c r="AS42" i="1" s="1"/>
  <c r="AT42" i="1"/>
  <c r="AP42" i="1"/>
  <c r="AO42" i="1"/>
  <c r="AL42" i="1"/>
  <c r="AN42" i="1" s="1"/>
  <c r="AK42" i="1"/>
  <c r="AM42" i="1" s="1"/>
  <c r="AJ42" i="1"/>
  <c r="AI42" i="1"/>
  <c r="AD42" i="1"/>
  <c r="P42" i="1"/>
  <c r="O42" i="1"/>
  <c r="AX41" i="1"/>
  <c r="AU41" i="1"/>
  <c r="AT41" i="1"/>
  <c r="AS41" i="1"/>
  <c r="AP41" i="1"/>
  <c r="AO41" i="1"/>
  <c r="AL41" i="1"/>
  <c r="AN41" i="1" s="1"/>
  <c r="AK41" i="1"/>
  <c r="AM41" i="1" s="1"/>
  <c r="AJ41" i="1"/>
  <c r="AI41" i="1"/>
  <c r="P41" i="1"/>
  <c r="O41" i="1"/>
  <c r="AX40" i="1"/>
  <c r="AT40" i="1"/>
  <c r="AU40" i="1" s="1"/>
  <c r="AS40" i="1"/>
  <c r="AP40" i="1"/>
  <c r="AO40" i="1"/>
  <c r="AM40" i="1"/>
  <c r="AL40" i="1"/>
  <c r="AN40" i="1" s="1"/>
  <c r="AK40" i="1"/>
  <c r="AJ40" i="1"/>
  <c r="AI40" i="1"/>
  <c r="AD40" i="1"/>
  <c r="P40" i="1"/>
  <c r="O40" i="1"/>
  <c r="AX39" i="1"/>
  <c r="AT39" i="1"/>
  <c r="AU39" i="1" s="1"/>
  <c r="AS39" i="1"/>
  <c r="AP39" i="1"/>
  <c r="AN39" i="1" s="1"/>
  <c r="AO39" i="1"/>
  <c r="AM39" i="1" s="1"/>
  <c r="AL39" i="1"/>
  <c r="AK39" i="1"/>
  <c r="AJ39" i="1"/>
  <c r="AI39" i="1"/>
  <c r="P39" i="1"/>
  <c r="O39" i="1"/>
  <c r="AX38" i="1"/>
  <c r="AT38" i="1"/>
  <c r="AU38" i="1" s="1"/>
  <c r="AS38" i="1"/>
  <c r="AP38" i="1"/>
  <c r="AO38" i="1"/>
  <c r="AL38" i="1"/>
  <c r="AN38" i="1" s="1"/>
  <c r="AK38" i="1"/>
  <c r="AM38" i="1" s="1"/>
  <c r="AJ38" i="1"/>
  <c r="AI38" i="1"/>
  <c r="AD38" i="1"/>
  <c r="P38" i="1"/>
  <c r="O38" i="1"/>
  <c r="AX37" i="1"/>
  <c r="AT37" i="1"/>
  <c r="AP37" i="1"/>
  <c r="AO37" i="1"/>
  <c r="AL37" i="1"/>
  <c r="AN37" i="1" s="1"/>
  <c r="AK37" i="1"/>
  <c r="AM37" i="1" s="1"/>
  <c r="AJ37" i="1"/>
  <c r="AI37" i="1"/>
  <c r="AD37" i="1"/>
  <c r="P37" i="1"/>
  <c r="O37" i="1"/>
  <c r="AX36" i="1"/>
  <c r="AT36" i="1"/>
  <c r="AU36" i="1" s="1"/>
  <c r="AS36" i="1"/>
  <c r="AP36" i="1"/>
  <c r="AO36" i="1"/>
  <c r="AN36" i="1"/>
  <c r="AM36" i="1"/>
  <c r="AL36" i="1"/>
  <c r="AK36" i="1"/>
  <c r="AJ36" i="1"/>
  <c r="AI36" i="1"/>
  <c r="AD36" i="1"/>
  <c r="P36" i="1"/>
  <c r="O36" i="1"/>
  <c r="AX35" i="1"/>
  <c r="AT35" i="1"/>
  <c r="AU35" i="1" s="1"/>
  <c r="AS35" i="1"/>
  <c r="AP35" i="1"/>
  <c r="AN35" i="1" s="1"/>
  <c r="AO35" i="1"/>
  <c r="AM35" i="1" s="1"/>
  <c r="AL35" i="1"/>
  <c r="AK35" i="1"/>
  <c r="AJ35" i="1"/>
  <c r="AI35" i="1"/>
  <c r="P35" i="1"/>
  <c r="O35" i="1"/>
  <c r="AX34" i="1"/>
  <c r="AT34" i="1"/>
  <c r="AU34" i="1" s="1"/>
  <c r="AS34" i="1"/>
  <c r="AP34" i="1"/>
  <c r="AN34" i="1" s="1"/>
  <c r="AO34" i="1"/>
  <c r="AL34" i="1"/>
  <c r="AK34" i="1"/>
  <c r="AM34" i="1" s="1"/>
  <c r="AJ34" i="1"/>
  <c r="AI34" i="1"/>
  <c r="AD34" i="1"/>
  <c r="P34" i="1"/>
  <c r="O34" i="1"/>
  <c r="AX33" i="1"/>
  <c r="AS33" i="1" s="1"/>
  <c r="AU33" i="1"/>
  <c r="AT33" i="1"/>
  <c r="AP33" i="1"/>
  <c r="AO33" i="1"/>
  <c r="AL33" i="1"/>
  <c r="AN33" i="1" s="1"/>
  <c r="AK33" i="1"/>
  <c r="AM33" i="1" s="1"/>
  <c r="AJ33" i="1"/>
  <c r="AI33" i="1"/>
  <c r="AD33" i="1"/>
  <c r="P33" i="1"/>
  <c r="O33" i="1"/>
  <c r="AX32" i="1"/>
  <c r="AU32" i="1"/>
  <c r="AT32" i="1"/>
  <c r="AS32" i="1"/>
  <c r="AP32" i="1"/>
  <c r="AO32" i="1"/>
  <c r="AM32" i="1"/>
  <c r="AL32" i="1"/>
  <c r="AN32" i="1" s="1"/>
  <c r="AK32" i="1"/>
  <c r="AJ32" i="1"/>
  <c r="AI32" i="1"/>
  <c r="AD32" i="1"/>
  <c r="P32" i="1"/>
  <c r="O32" i="1"/>
  <c r="AX31" i="1"/>
  <c r="AT31" i="1"/>
  <c r="AU31" i="1" s="1"/>
  <c r="AS31" i="1"/>
  <c r="AP31" i="1"/>
  <c r="AO31" i="1"/>
  <c r="AM31" i="1" s="1"/>
  <c r="AN31" i="1"/>
  <c r="AL31" i="1"/>
  <c r="AK31" i="1"/>
  <c r="AJ31" i="1"/>
  <c r="AI31" i="1"/>
  <c r="P31" i="1"/>
  <c r="O31" i="1"/>
  <c r="AX30" i="1"/>
  <c r="AT30" i="1"/>
  <c r="AU30" i="1" s="1"/>
  <c r="AS30" i="1"/>
  <c r="AP30" i="1"/>
  <c r="AN30" i="1" s="1"/>
  <c r="AO30" i="1"/>
  <c r="AM30" i="1" s="1"/>
  <c r="AL30" i="1"/>
  <c r="AK30" i="1"/>
  <c r="AJ30" i="1"/>
  <c r="AI30" i="1"/>
  <c r="AD30" i="1"/>
  <c r="P30" i="1"/>
  <c r="O30" i="1"/>
  <c r="AX29" i="1"/>
  <c r="AS29" i="1" s="1"/>
  <c r="AT29" i="1"/>
  <c r="AU29" i="1" s="1"/>
  <c r="AP29" i="1"/>
  <c r="AO29" i="1"/>
  <c r="AL29" i="1"/>
  <c r="AN29" i="1" s="1"/>
  <c r="AK29" i="1"/>
  <c r="AM29" i="1" s="1"/>
  <c r="AJ29" i="1"/>
  <c r="AI29" i="1"/>
  <c r="AD29" i="1"/>
  <c r="P29" i="1"/>
  <c r="O29" i="1"/>
  <c r="AX28" i="1"/>
  <c r="AT28" i="1"/>
  <c r="AU28" i="1" s="1"/>
  <c r="AS28" i="1"/>
  <c r="AP28" i="1"/>
  <c r="AO28" i="1"/>
  <c r="AL28" i="1"/>
  <c r="AN28" i="1" s="1"/>
  <c r="AK28" i="1"/>
  <c r="AM28" i="1" s="1"/>
  <c r="AJ28" i="1"/>
  <c r="AI28" i="1"/>
  <c r="AD28" i="1"/>
  <c r="P28" i="1"/>
  <c r="O28" i="1"/>
  <c r="AX27" i="1"/>
  <c r="AT27" i="1"/>
  <c r="AU27" i="1" s="1"/>
  <c r="AS27" i="1"/>
  <c r="AP27" i="1"/>
  <c r="AN27" i="1" s="1"/>
  <c r="AO27" i="1"/>
  <c r="AM27" i="1"/>
  <c r="AL27" i="1"/>
  <c r="AK27" i="1"/>
  <c r="AJ27" i="1"/>
  <c r="AI27" i="1"/>
  <c r="AD27" i="1"/>
  <c r="P27" i="1"/>
  <c r="O27" i="1"/>
  <c r="AX26" i="1"/>
  <c r="AU26" i="1"/>
  <c r="AT26" i="1"/>
  <c r="AS26" i="1"/>
  <c r="AP26" i="1"/>
  <c r="AN26" i="1" s="1"/>
  <c r="AO26" i="1"/>
  <c r="AM26" i="1" s="1"/>
  <c r="AL26" i="1"/>
  <c r="AK26" i="1"/>
  <c r="AJ26" i="1"/>
  <c r="AI26" i="1"/>
  <c r="AD26" i="1"/>
  <c r="P26" i="1"/>
  <c r="O26" i="1"/>
  <c r="AX25" i="1"/>
  <c r="AS25" i="1" s="1"/>
  <c r="AT25" i="1"/>
  <c r="AU25" i="1" s="1"/>
  <c r="AP25" i="1"/>
  <c r="AO25" i="1"/>
  <c r="AL25" i="1"/>
  <c r="AN25" i="1" s="1"/>
  <c r="AK25" i="1"/>
  <c r="AM25" i="1" s="1"/>
  <c r="AJ25" i="1"/>
  <c r="AI25" i="1"/>
  <c r="AD25" i="1"/>
  <c r="P25" i="1"/>
  <c r="O25" i="1"/>
  <c r="AX24" i="1"/>
  <c r="AT24" i="1"/>
  <c r="AU24" i="1" s="1"/>
  <c r="AS24" i="1"/>
  <c r="AP24" i="1"/>
  <c r="AO24" i="1"/>
  <c r="AL24" i="1"/>
  <c r="AN24" i="1" s="1"/>
  <c r="AK24" i="1"/>
  <c r="AM24" i="1" s="1"/>
  <c r="AJ24" i="1"/>
  <c r="AI24" i="1"/>
  <c r="AD24" i="1"/>
  <c r="P24" i="1"/>
  <c r="O24" i="1"/>
  <c r="AX23" i="1"/>
  <c r="AT23" i="1"/>
  <c r="AU23" i="1" s="1"/>
  <c r="AS23" i="1"/>
  <c r="AP23" i="1"/>
  <c r="AO23" i="1"/>
  <c r="AM23" i="1"/>
  <c r="AL23" i="1"/>
  <c r="AN23" i="1" s="1"/>
  <c r="AK23" i="1"/>
  <c r="AJ23" i="1"/>
  <c r="AI23" i="1"/>
  <c r="AD23" i="1"/>
  <c r="P23" i="1"/>
  <c r="O23" i="1"/>
  <c r="AX22" i="1"/>
  <c r="AT22" i="1"/>
  <c r="AU22" i="1" s="1"/>
  <c r="AS22" i="1"/>
  <c r="AP22" i="1"/>
  <c r="AN22" i="1" s="1"/>
  <c r="AO22" i="1"/>
  <c r="AM22" i="1" s="1"/>
  <c r="AL22" i="1"/>
  <c r="AK22" i="1"/>
  <c r="AJ22" i="1"/>
  <c r="AI22" i="1"/>
  <c r="P22" i="1"/>
  <c r="O22" i="1"/>
  <c r="AX21" i="1"/>
  <c r="AT21" i="1"/>
  <c r="AU21" i="1" s="1"/>
  <c r="AS21" i="1"/>
  <c r="AP21" i="1"/>
  <c r="AO21" i="1"/>
  <c r="AL21" i="1"/>
  <c r="AN21" i="1" s="1"/>
  <c r="AK21" i="1"/>
  <c r="AM21" i="1" s="1"/>
  <c r="AJ21" i="1"/>
  <c r="AI21" i="1"/>
  <c r="AD21" i="1"/>
  <c r="P21" i="1"/>
  <c r="O21" i="1"/>
  <c r="AX20" i="1"/>
  <c r="AT20" i="1"/>
  <c r="AP20" i="1"/>
  <c r="AO20" i="1"/>
  <c r="AL20" i="1"/>
  <c r="AN20" i="1" s="1"/>
  <c r="AK20" i="1"/>
  <c r="AM20" i="1" s="1"/>
  <c r="AJ20" i="1"/>
  <c r="AI20" i="1"/>
  <c r="P20" i="1"/>
  <c r="O20" i="1"/>
  <c r="AX19" i="1"/>
  <c r="AT19" i="1"/>
  <c r="AU19" i="1" s="1"/>
  <c r="AS19" i="1"/>
  <c r="AP19" i="1"/>
  <c r="AO19" i="1"/>
  <c r="AN19" i="1"/>
  <c r="AM19" i="1"/>
  <c r="AL19" i="1"/>
  <c r="AK19" i="1"/>
  <c r="AJ19" i="1"/>
  <c r="AI19" i="1"/>
  <c r="AD19" i="1"/>
  <c r="P19" i="1"/>
  <c r="O19" i="1"/>
  <c r="AX18" i="1"/>
  <c r="AT18" i="1"/>
  <c r="AU18" i="1" s="1"/>
  <c r="AS18" i="1"/>
  <c r="AP18" i="1"/>
  <c r="AN18" i="1" s="1"/>
  <c r="AO18" i="1"/>
  <c r="AM18" i="1" s="1"/>
  <c r="AL18" i="1"/>
  <c r="AK18" i="1"/>
  <c r="AJ18" i="1"/>
  <c r="AI18" i="1"/>
  <c r="AD18" i="1"/>
  <c r="P18" i="1"/>
  <c r="O18" i="1"/>
  <c r="AX17" i="1"/>
  <c r="AS17" i="1" s="1"/>
  <c r="AT17" i="1"/>
  <c r="AU17" i="1" s="1"/>
  <c r="AP17" i="1"/>
  <c r="AN17" i="1" s="1"/>
  <c r="AO17" i="1"/>
  <c r="AL17" i="1"/>
  <c r="AK17" i="1"/>
  <c r="AM17" i="1" s="1"/>
  <c r="AJ17" i="1"/>
  <c r="AI17" i="1"/>
  <c r="AD17" i="1"/>
  <c r="P17" i="1"/>
  <c r="O17" i="1"/>
  <c r="AX16" i="1"/>
  <c r="AS16" i="1" s="1"/>
  <c r="AU16" i="1"/>
  <c r="AT16" i="1"/>
  <c r="AP16" i="1"/>
  <c r="AO16" i="1"/>
  <c r="AL16" i="1"/>
  <c r="AN16" i="1" s="1"/>
  <c r="AK16" i="1"/>
  <c r="AM16" i="1" s="1"/>
  <c r="AJ16" i="1"/>
  <c r="AI16" i="1"/>
  <c r="AD16" i="1"/>
  <c r="P16" i="1"/>
  <c r="O16" i="1"/>
  <c r="AX15" i="1"/>
  <c r="AT15" i="1"/>
  <c r="AU15" i="1" s="1"/>
  <c r="AS15" i="1"/>
  <c r="AP15" i="1"/>
  <c r="AO15" i="1"/>
  <c r="AN15" i="1"/>
  <c r="AL15" i="1"/>
  <c r="AK15" i="1"/>
  <c r="AM15" i="1" s="1"/>
  <c r="AJ15" i="1"/>
  <c r="AI15" i="1"/>
  <c r="P15" i="1"/>
  <c r="O15" i="1"/>
  <c r="AX14" i="1"/>
  <c r="AT14" i="1"/>
  <c r="AU14" i="1" s="1"/>
  <c r="AS14" i="1"/>
  <c r="AP14" i="1"/>
  <c r="AN14" i="1" s="1"/>
  <c r="AO14" i="1"/>
  <c r="AM14" i="1" s="1"/>
  <c r="AL14" i="1"/>
  <c r="AK14" i="1"/>
  <c r="AJ14" i="1"/>
  <c r="AI14" i="1"/>
  <c r="P14" i="1"/>
  <c r="O14" i="1"/>
  <c r="AX13" i="1"/>
  <c r="AT13" i="1"/>
  <c r="AU13" i="1" s="1"/>
  <c r="AS13" i="1"/>
  <c r="AP13" i="1"/>
  <c r="AN13" i="1" s="1"/>
  <c r="AO13" i="1"/>
  <c r="AM13" i="1" s="1"/>
  <c r="AL13" i="1"/>
  <c r="AK13" i="1"/>
  <c r="AJ13" i="1"/>
  <c r="AI13" i="1"/>
  <c r="AD13" i="1"/>
  <c r="P13" i="1"/>
  <c r="O13" i="1"/>
  <c r="AX12" i="1"/>
  <c r="AS12" i="1" s="1"/>
  <c r="AT12" i="1"/>
  <c r="AU12" i="1" s="1"/>
  <c r="AP12" i="1"/>
  <c r="AO12" i="1"/>
  <c r="AL12" i="1"/>
  <c r="AN12" i="1" s="1"/>
  <c r="AK12" i="1"/>
  <c r="AM12" i="1" s="1"/>
  <c r="AJ12" i="1"/>
  <c r="AI12" i="1"/>
  <c r="P12" i="1"/>
  <c r="O12" i="1"/>
  <c r="AX11" i="1"/>
  <c r="AS11" i="1" s="1"/>
  <c r="AU11" i="1"/>
  <c r="AT11" i="1"/>
  <c r="AP11" i="1"/>
  <c r="AO11" i="1"/>
  <c r="AL11" i="1"/>
  <c r="AN11" i="1" s="1"/>
  <c r="AK11" i="1"/>
  <c r="AM11" i="1" s="1"/>
  <c r="AJ11" i="1"/>
  <c r="AI11" i="1"/>
  <c r="AD11" i="1"/>
  <c r="P11" i="1"/>
  <c r="O11" i="1"/>
  <c r="AX10" i="1"/>
  <c r="AT10" i="1"/>
  <c r="AU10" i="1" s="1"/>
  <c r="AS10" i="1"/>
  <c r="AP10" i="1"/>
  <c r="AO10" i="1"/>
  <c r="AL10" i="1"/>
  <c r="AN10" i="1" s="1"/>
  <c r="AK10" i="1"/>
  <c r="AM10" i="1" s="1"/>
  <c r="AJ10" i="1"/>
  <c r="AI10" i="1"/>
  <c r="AD10" i="1"/>
  <c r="P10" i="1"/>
  <c r="O10" i="1"/>
  <c r="AX9" i="1"/>
  <c r="AT9" i="1"/>
  <c r="AU9" i="1" s="1"/>
  <c r="AS9" i="1"/>
  <c r="AP9" i="1"/>
  <c r="AO9" i="1"/>
  <c r="AN9" i="1"/>
  <c r="AM9" i="1"/>
  <c r="AL9" i="1"/>
  <c r="AK9" i="1"/>
  <c r="AJ9" i="1"/>
  <c r="AI9" i="1"/>
  <c r="AD9" i="1"/>
  <c r="P9" i="1"/>
  <c r="O9" i="1"/>
  <c r="AX8" i="1"/>
  <c r="AT8" i="1"/>
  <c r="AU8" i="1" s="1"/>
  <c r="AS8" i="1"/>
  <c r="AP8" i="1"/>
  <c r="AN8" i="1" s="1"/>
  <c r="AO8" i="1"/>
  <c r="AL8" i="1"/>
  <c r="AK8" i="1"/>
  <c r="AM8" i="1" s="1"/>
  <c r="AJ8" i="1"/>
  <c r="AI8" i="1"/>
  <c r="AD8" i="1"/>
  <c r="P8" i="1"/>
  <c r="O8" i="1"/>
  <c r="AX7" i="1"/>
  <c r="AS7" i="1" s="1"/>
  <c r="AU7" i="1"/>
  <c r="AT7" i="1"/>
  <c r="AP7" i="1"/>
  <c r="AO7" i="1"/>
  <c r="AL7" i="1"/>
  <c r="AN7" i="1" s="1"/>
  <c r="AK7" i="1"/>
  <c r="AM7" i="1" s="1"/>
  <c r="AJ7" i="1"/>
  <c r="AI7" i="1"/>
  <c r="AD7" i="1"/>
  <c r="P7" i="1"/>
  <c r="O7" i="1"/>
  <c r="AX6" i="1"/>
  <c r="AT6" i="1"/>
  <c r="AU6" i="1" s="1"/>
  <c r="AS6" i="1"/>
  <c r="AP6" i="1"/>
  <c r="AO6" i="1"/>
  <c r="AN6" i="1"/>
  <c r="AL6" i="1"/>
  <c r="AK6" i="1"/>
  <c r="AM6" i="1" s="1"/>
  <c r="AJ6" i="1"/>
  <c r="AI6" i="1"/>
  <c r="AD6" i="1"/>
  <c r="P6" i="1"/>
  <c r="O6" i="1"/>
  <c r="AX5" i="1"/>
  <c r="AT5" i="1"/>
  <c r="AU5" i="1" s="1"/>
  <c r="AS5" i="1"/>
  <c r="AP5" i="1"/>
  <c r="AN5" i="1" s="1"/>
  <c r="AO5" i="1"/>
  <c r="AM5" i="1"/>
  <c r="AL5" i="1"/>
  <c r="AK5" i="1"/>
  <c r="AJ5" i="1"/>
  <c r="AI5" i="1"/>
  <c r="P5" i="1"/>
  <c r="O5" i="1"/>
  <c r="AX4" i="1"/>
  <c r="AT4" i="1"/>
  <c r="AU4" i="1" s="1"/>
  <c r="AS4" i="1"/>
  <c r="AP4" i="1"/>
  <c r="AN4" i="1" s="1"/>
  <c r="AO4" i="1"/>
  <c r="AM4" i="1" s="1"/>
  <c r="AL4" i="1"/>
  <c r="AK4" i="1"/>
  <c r="AJ4" i="1"/>
  <c r="AI4" i="1"/>
  <c r="AD4" i="1"/>
  <c r="P4" i="1"/>
  <c r="O4" i="1"/>
  <c r="AX3" i="1"/>
  <c r="AS3" i="1" s="1"/>
  <c r="AU3" i="1"/>
  <c r="AT3" i="1"/>
  <c r="AP3" i="1"/>
  <c r="AO3" i="1"/>
  <c r="AL3" i="1"/>
  <c r="AN3" i="1" s="1"/>
  <c r="AK3" i="1"/>
  <c r="AM3" i="1" s="1"/>
  <c r="AJ3" i="1"/>
  <c r="AI3" i="1"/>
  <c r="AD3" i="1"/>
  <c r="P3" i="1"/>
  <c r="O3" i="1"/>
  <c r="AX2" i="1"/>
  <c r="AT2" i="1"/>
  <c r="AU2" i="1" s="1"/>
  <c r="AS2" i="1"/>
  <c r="AP2" i="1"/>
  <c r="AO2" i="1"/>
  <c r="AM2" i="1"/>
  <c r="AL2" i="1"/>
  <c r="AN2" i="1" s="1"/>
  <c r="AK2" i="1"/>
  <c r="AJ2" i="1"/>
  <c r="AI2" i="1"/>
  <c r="AD2" i="1"/>
  <c r="P2" i="1"/>
  <c r="O2" i="1"/>
  <c r="AD63" i="2" l="1"/>
  <c r="AD7" i="2"/>
  <c r="AJ8" i="2"/>
  <c r="AZ9" i="2"/>
  <c r="AI9" i="2"/>
  <c r="AJ22" i="2"/>
  <c r="AD26" i="2"/>
  <c r="AD38" i="2"/>
  <c r="AZ17" i="2"/>
  <c r="AI17" i="2"/>
  <c r="AJ17" i="2" s="1"/>
  <c r="AJ26" i="2"/>
  <c r="AD30" i="2"/>
  <c r="AJ50" i="2"/>
  <c r="AD54" i="2"/>
  <c r="AZ13" i="2"/>
  <c r="AI13" i="2"/>
  <c r="AD14" i="2"/>
  <c r="AD47" i="2"/>
  <c r="AD59" i="2"/>
  <c r="AJ15" i="2"/>
  <c r="AD3" i="2"/>
  <c r="AD19" i="2"/>
  <c r="AJ27" i="2"/>
  <c r="AD31" i="2"/>
  <c r="AJ39" i="2"/>
  <c r="AD43" i="2"/>
  <c r="AJ51" i="2"/>
  <c r="AD55" i="2"/>
  <c r="AJ63" i="2"/>
  <c r="AD67" i="2"/>
  <c r="AZ5" i="2"/>
  <c r="AI5" i="2"/>
  <c r="AD42" i="2"/>
  <c r="AD66" i="2"/>
  <c r="AD23" i="2"/>
  <c r="AD35" i="2"/>
  <c r="AD10" i="2"/>
  <c r="AJ11" i="2"/>
  <c r="AJ14" i="2"/>
  <c r="AD22" i="2"/>
  <c r="AJ30" i="2"/>
  <c r="AJ42" i="2"/>
  <c r="AJ54" i="2"/>
  <c r="AJ66" i="2"/>
  <c r="AD27" i="2"/>
  <c r="AD39" i="2"/>
  <c r="AD51" i="2"/>
  <c r="AD11" i="2"/>
  <c r="AJ62" i="2"/>
  <c r="AD71" i="2"/>
  <c r="AD15" i="2"/>
  <c r="AJ16" i="2"/>
  <c r="AJ38" i="2"/>
  <c r="R26" i="2"/>
  <c r="R30" i="2"/>
  <c r="R42" i="2"/>
  <c r="R50" i="2"/>
  <c r="AD50" i="2" s="1"/>
  <c r="R62" i="2"/>
  <c r="AD62" i="2" s="1"/>
  <c r="AI21" i="2"/>
  <c r="AJ21" i="2" s="1"/>
  <c r="AI25" i="2"/>
  <c r="AJ25" i="2" s="1"/>
  <c r="AI53" i="2"/>
  <c r="AI65" i="2"/>
  <c r="AJ65" i="2" s="1"/>
  <c r="AJ5" i="2"/>
  <c r="AJ9" i="2"/>
  <c r="AJ13" i="2"/>
  <c r="AJ45" i="2"/>
  <c r="AJ49" i="2"/>
  <c r="AJ53" i="2"/>
  <c r="AJ57" i="2"/>
  <c r="AJ61" i="2"/>
  <c r="R22" i="2"/>
  <c r="AI29" i="2"/>
  <c r="AJ29" i="2" s="1"/>
  <c r="AI37" i="2"/>
  <c r="AJ37" i="2" s="1"/>
  <c r="AI41" i="2"/>
  <c r="AJ41" i="2" s="1"/>
  <c r="AI57" i="2"/>
  <c r="AI61" i="2"/>
  <c r="AI69" i="2"/>
  <c r="AJ69" i="2" s="1"/>
  <c r="AI73" i="2"/>
  <c r="AJ73" i="2" s="1"/>
  <c r="AJ4" i="2"/>
  <c r="AJ12" i="2"/>
  <c r="AJ20" i="2"/>
  <c r="AJ28" i="2"/>
  <c r="AJ40" i="2"/>
  <c r="AJ56" i="2"/>
  <c r="AJ60" i="2"/>
  <c r="AJ64" i="2"/>
  <c r="R8" i="2"/>
  <c r="AD8" i="2" s="1"/>
  <c r="R16" i="2"/>
  <c r="AD16" i="2" s="1"/>
  <c r="R24" i="2"/>
  <c r="AD24" i="2" s="1"/>
  <c r="R32" i="2"/>
  <c r="AD32" i="2" s="1"/>
  <c r="R48" i="2"/>
  <c r="AD48" i="2" s="1"/>
  <c r="AJ70" i="2"/>
  <c r="R54" i="2"/>
  <c r="R66" i="2"/>
  <c r="AI45" i="2"/>
  <c r="AI49" i="2"/>
  <c r="AJ58" i="2"/>
  <c r="AI33" i="2"/>
  <c r="AJ33" i="2" s="1"/>
  <c r="AU63" i="1"/>
  <c r="AS63" i="1"/>
  <c r="AU20" i="1"/>
  <c r="AS20" i="1"/>
  <c r="AU37" i="1"/>
  <c r="AS37" i="1"/>
  <c r="AU67" i="1"/>
  <c r="AS67" i="1"/>
  <c r="AU42" i="1"/>
  <c r="AU71" i="1"/>
  <c r="AS71" i="1"/>
  <c r="AU54" i="1"/>
</calcChain>
</file>

<file path=xl/sharedStrings.xml><?xml version="1.0" encoding="utf-8"?>
<sst xmlns="http://schemas.openxmlformats.org/spreadsheetml/2006/main" count="978" uniqueCount="165">
  <si>
    <t>TRT</t>
  </si>
  <si>
    <t>Entry</t>
  </si>
  <si>
    <t>Sorte(n)</t>
  </si>
  <si>
    <t>Rep</t>
  </si>
  <si>
    <t>ROW</t>
  </si>
  <si>
    <t>COL</t>
  </si>
  <si>
    <t>Treat
Info</t>
  </si>
  <si>
    <t>PLOT</t>
  </si>
  <si>
    <t>Aufgang
(Datum)</t>
  </si>
  <si>
    <t>Risp-schieben
(Datum)</t>
  </si>
  <si>
    <t>Blühbeginn
(Datum)</t>
  </si>
  <si>
    <t>Blühende
(Datum)</t>
  </si>
  <si>
    <t>Pflanzen lfd. meter Lupine</t>
  </si>
  <si>
    <t>Pflanzen lfd. Meter Hafer</t>
  </si>
  <si>
    <t>Pflanzen /m² Lupine</t>
  </si>
  <si>
    <t>Pflanzen/m² Hafer</t>
  </si>
  <si>
    <t>WH (cm) Hafer</t>
  </si>
  <si>
    <t>WH (cm) Lupine</t>
  </si>
  <si>
    <t>x</t>
  </si>
  <si>
    <t>Hafer/Lupine  yield/plot 
(Erntesack) (kg)</t>
  </si>
  <si>
    <t>Hafer yield/plot nach Petkus</t>
  </si>
  <si>
    <t>Lupine yield/plot nach Petkus</t>
  </si>
  <si>
    <t>Hafer/Lupine FM 
(ca. 100g)</t>
  </si>
  <si>
    <t xml:space="preserve">Hafer/Lupine TM
</t>
  </si>
  <si>
    <t xml:space="preserve">Hafer
FM (ca. 100 g)
Probe für TM Bestimmung </t>
  </si>
  <si>
    <t xml:space="preserve">Hafer
TM
Probe für TM Bestimmung </t>
  </si>
  <si>
    <t xml:space="preserve">Lupine
FM (ca. 100g) 
Probe für TM Bestimmung </t>
  </si>
  <si>
    <t xml:space="preserve">Lupine
TM
Probe für TM Bestimmung </t>
  </si>
  <si>
    <t>HLG  Probe 1 
(nur Hafer)
(g)</t>
  </si>
  <si>
    <t>Hafer
HLG</t>
  </si>
  <si>
    <t>HAfer
TKG (50 Körner) 
Probe 1</t>
  </si>
  <si>
    <t>Hafer
TKG (50 Körner) 
Probe 2</t>
  </si>
  <si>
    <t>Lupine
TKG (50 Körner) 
Probe 1</t>
  </si>
  <si>
    <t>Lupine
TKG (50 Körner) 
Probe 2</t>
  </si>
  <si>
    <t>Hafer
TKG</t>
  </si>
  <si>
    <t>Lupine
TKG</t>
  </si>
  <si>
    <t>Hafer TM %</t>
  </si>
  <si>
    <t>Lupine TM %</t>
  </si>
  <si>
    <t>Hafer dry yield/ha
t</t>
  </si>
  <si>
    <t>Lupine dry yield/ha
t</t>
  </si>
  <si>
    <t>Hafer fresh yield/ha
t</t>
  </si>
  <si>
    <t>Lupine fresh
yield/ha
t</t>
  </si>
  <si>
    <t>Strohertrag Frischmasse
(kg/Parzelle)</t>
  </si>
  <si>
    <t>Strohertrag Trockenmasse (kg/Parzelle)</t>
  </si>
  <si>
    <t>Strohertrag FM t/ha</t>
  </si>
  <si>
    <t>Strohertrag TM t/ha</t>
  </si>
  <si>
    <t>Strohmisch probe 
FM
g</t>
  </si>
  <si>
    <t>Strohmisch probe 
TM
g</t>
  </si>
  <si>
    <t>% Stroh TM</t>
  </si>
  <si>
    <t>Troll + Lunabor</t>
  </si>
  <si>
    <t>Mixed C + D</t>
  </si>
  <si>
    <t>Lion</t>
  </si>
  <si>
    <t>Oats B, no N</t>
  </si>
  <si>
    <t>-</t>
  </si>
  <si>
    <t>Bison + Probor</t>
  </si>
  <si>
    <t>Mixed A + E</t>
  </si>
  <si>
    <t>Lunabor</t>
  </si>
  <si>
    <t>Lupin D pure</t>
  </si>
  <si>
    <t>Lion + Probor</t>
  </si>
  <si>
    <t>Mixed B + E</t>
  </si>
  <si>
    <t>Troll + Probor</t>
  </si>
  <si>
    <t>Mixed C + E</t>
  </si>
  <si>
    <t>Lion + N</t>
  </si>
  <si>
    <t>Oats B, with N</t>
  </si>
  <si>
    <t>Lion + Jowisz</t>
  </si>
  <si>
    <t>Mixed B + F</t>
  </si>
  <si>
    <t>Bison + Jowisz</t>
  </si>
  <si>
    <t>Mixed A + F</t>
  </si>
  <si>
    <t>Bison</t>
  </si>
  <si>
    <t>Oats A, no N</t>
  </si>
  <si>
    <t>Jowisz</t>
  </si>
  <si>
    <t>Lupin F pure</t>
  </si>
  <si>
    <t>Troll +N</t>
  </si>
  <si>
    <t>Oats C, with N</t>
  </si>
  <si>
    <t>Probor</t>
  </si>
  <si>
    <t>Lupin E pure</t>
  </si>
  <si>
    <t>Bison + Lunabor</t>
  </si>
  <si>
    <t>Mixed A + D</t>
  </si>
  <si>
    <t>Lion + Lunabor</t>
  </si>
  <si>
    <t>Mixed B + D</t>
  </si>
  <si>
    <t>Troll + Jowisz</t>
  </si>
  <si>
    <t>Mixed C + F</t>
  </si>
  <si>
    <t>Troll</t>
  </si>
  <si>
    <t>Oats C, no N</t>
  </si>
  <si>
    <t>Bison + N</t>
  </si>
  <si>
    <t>Oats A, with N</t>
  </si>
  <si>
    <r>
      <t xml:space="preserve">Emergence
date
</t>
    </r>
    <r>
      <rPr>
        <sz val="8"/>
        <color theme="1"/>
        <rFont val="Calibri"/>
        <family val="2"/>
        <scheme val="minor"/>
      </rPr>
      <t>15.04.2022</t>
    </r>
  </si>
  <si>
    <r>
      <t xml:space="preserve">MnA
</t>
    </r>
    <r>
      <rPr>
        <sz val="8"/>
        <color theme="1"/>
        <rFont val="Calibri"/>
        <family val="2"/>
        <scheme val="minor"/>
      </rPr>
      <t>04.05.22</t>
    </r>
  </si>
  <si>
    <r>
      <t xml:space="preserve">Pflanzenhöhe 
Lupine 1
</t>
    </r>
    <r>
      <rPr>
        <sz val="8"/>
        <color theme="1"/>
        <rFont val="Calibri"/>
        <family val="2"/>
        <scheme val="minor"/>
      </rPr>
      <t>30.06.2022</t>
    </r>
  </si>
  <si>
    <r>
      <t xml:space="preserve">Pflanzenhöhe Lupine 2
</t>
    </r>
    <r>
      <rPr>
        <sz val="8"/>
        <color theme="1"/>
        <rFont val="Calibri"/>
        <family val="2"/>
        <scheme val="minor"/>
      </rPr>
      <t>30.06.2022</t>
    </r>
  </si>
  <si>
    <r>
      <t xml:space="preserve">Pflanzenhöhe Hafer 1
</t>
    </r>
    <r>
      <rPr>
        <sz val="8"/>
        <color theme="1"/>
        <rFont val="Calibri"/>
        <family val="2"/>
        <scheme val="minor"/>
      </rPr>
      <t>30.06.2022</t>
    </r>
  </si>
  <si>
    <r>
      <t xml:space="preserve">Pflanzenhöhe HAfer 2
</t>
    </r>
    <r>
      <rPr>
        <sz val="8"/>
        <color theme="1"/>
        <rFont val="Calibri"/>
        <family val="2"/>
        <scheme val="minor"/>
      </rPr>
      <t>30.06.2022</t>
    </r>
  </si>
  <si>
    <r>
      <t xml:space="preserve">Pflanzenhöhe Lupine
[cm]
</t>
    </r>
    <r>
      <rPr>
        <sz val="8"/>
        <color theme="1"/>
        <rFont val="Calibri"/>
        <family val="2"/>
        <scheme val="minor"/>
      </rPr>
      <t>30.06.2022</t>
    </r>
  </si>
  <si>
    <r>
      <t xml:space="preserve">Pflanzenhöhe Hafer
[cm]
</t>
    </r>
    <r>
      <rPr>
        <sz val="8"/>
        <color theme="1"/>
        <rFont val="Calibri"/>
        <family val="2"/>
        <scheme val="minor"/>
      </rPr>
      <t>30.06.2022</t>
    </r>
  </si>
  <si>
    <r>
      <t xml:space="preserve">Kornertrag/Parzelle gesamt
[kg]
</t>
    </r>
    <r>
      <rPr>
        <sz val="8"/>
        <color theme="1"/>
        <rFont val="Calibri"/>
        <family val="2"/>
        <scheme val="minor"/>
      </rPr>
      <t>14.07.2022</t>
    </r>
  </si>
  <si>
    <t xml:space="preserve">Kornertrag
gesamt
[t/ha]
</t>
  </si>
  <si>
    <t>Kornertrag bei 86% TM [t/ha]</t>
  </si>
  <si>
    <t xml:space="preserve"> Korn gesamt FM [g]</t>
  </si>
  <si>
    <t>Korn gesamt TM [g]</t>
  </si>
  <si>
    <t>Korn gesamt TM [%]</t>
  </si>
  <si>
    <t>Kornfeuchte gesamt
[%]</t>
  </si>
  <si>
    <t>Strohertrag Frischmasse [kg/Parzelle]</t>
  </si>
  <si>
    <t>Strohertrag Frischmasse
[t/ha]</t>
  </si>
  <si>
    <t>Strohertrag
Trockenmasse
[t/ha]</t>
  </si>
  <si>
    <t>Stroh Mischprobe FM [g]</t>
  </si>
  <si>
    <t>Stroh Mischprobe TM [g]</t>
  </si>
  <si>
    <t>Stroh Mischprobe TM
[%]</t>
  </si>
  <si>
    <t xml:space="preserve">Strohfeuchte
Mischprobe
[%]
</t>
  </si>
  <si>
    <t>Ernteindex
gesamt</t>
  </si>
  <si>
    <t>HAFER
yield/plot
after Petkus
(g)</t>
  </si>
  <si>
    <t>LUPINE
yield/plot
after Petkus
(g)</t>
  </si>
  <si>
    <t xml:space="preserve">HAFER
yield/t/ha
after Petkus
</t>
  </si>
  <si>
    <t xml:space="preserve">LUPINE
yield/t/ha
after Petkus
</t>
  </si>
  <si>
    <t>HAfer/Lupine  yield after petkus</t>
  </si>
  <si>
    <t>Difference
before/after</t>
  </si>
  <si>
    <t>HLG 1</t>
  </si>
  <si>
    <t>HLG 2</t>
  </si>
  <si>
    <t>HAfer
TKG (50 Körner) 
1</t>
  </si>
  <si>
    <t>Hafer
TKG (50 Körner) 
2</t>
  </si>
  <si>
    <t>Lupine
TKG (50 Körner) 
1</t>
  </si>
  <si>
    <t>Lupine
TKG (50 Körner) 
2</t>
  </si>
  <si>
    <t xml:space="preserve">Hafer
FM
Probe für TM Bestimmung </t>
  </si>
  <si>
    <t xml:space="preserve">Lupine
FM
Probe für TM Bestimmung </t>
  </si>
  <si>
    <t>Hafer HLG
[kg]</t>
  </si>
  <si>
    <t>Hafer TKG
[g]</t>
  </si>
  <si>
    <t>Lupine TKG
[g]</t>
  </si>
  <si>
    <t>Hafer TM
[%]</t>
  </si>
  <si>
    <t>Lupine TM
[%]</t>
  </si>
  <si>
    <t>Hafer Dry Yield</t>
  </si>
  <si>
    <t>Comments</t>
  </si>
  <si>
    <t>R1</t>
  </si>
  <si>
    <t>Kaspero + Lunabor</t>
  </si>
  <si>
    <t>1-8</t>
  </si>
  <si>
    <t>R2</t>
  </si>
  <si>
    <t>Kaspero+ Probor</t>
  </si>
  <si>
    <r>
      <rPr>
        <sz val="11"/>
        <color theme="0" tint="-4.9989318521683403E-2"/>
        <rFont val="Calibri"/>
        <family val="2"/>
        <scheme val="minor"/>
      </rPr>
      <t>x</t>
    </r>
    <r>
      <rPr>
        <sz val="11"/>
        <color theme="1" tint="0.499984740745262"/>
        <rFont val="Calibri"/>
        <family val="2"/>
        <scheme val="minor"/>
      </rPr>
      <t>(R3)</t>
    </r>
  </si>
  <si>
    <t>Kaspero+ Jowisz
0,7%      / 0,7%</t>
  </si>
  <si>
    <r>
      <rPr>
        <sz val="11"/>
        <color theme="0" tint="-4.9989318521683403E-2"/>
        <rFont val="Calibri"/>
        <family val="2"/>
        <scheme val="minor"/>
      </rPr>
      <t>x</t>
    </r>
    <r>
      <rPr>
        <sz val="11"/>
        <color theme="1" tint="0.499984740745262"/>
        <rFont val="Calibri"/>
        <family val="2"/>
        <scheme val="minor"/>
      </rPr>
      <t>(R4)</t>
    </r>
  </si>
  <si>
    <t>Bison+Lunabor
0,3%    / 0,7%</t>
  </si>
  <si>
    <r>
      <rPr>
        <sz val="11"/>
        <color theme="0" tint="-4.9989318521683403E-2"/>
        <rFont val="Calibri"/>
        <family val="2"/>
        <scheme val="minor"/>
      </rPr>
      <t>x</t>
    </r>
    <r>
      <rPr>
        <sz val="11"/>
        <color theme="1" tint="0.499984740745262"/>
        <rFont val="Calibri"/>
        <family val="2"/>
        <scheme val="minor"/>
      </rPr>
      <t>(R5)</t>
    </r>
  </si>
  <si>
    <r>
      <t xml:space="preserve">MnA (1-9)
</t>
    </r>
    <r>
      <rPr>
        <b/>
        <sz val="9"/>
        <rFont val="Arial"/>
        <family val="2"/>
      </rPr>
      <t>(15.04.2024)</t>
    </r>
  </si>
  <si>
    <r>
      <t xml:space="preserve">Bestand Hafer </t>
    </r>
    <r>
      <rPr>
        <b/>
        <sz val="9"/>
        <rFont val="Arial"/>
        <family val="2"/>
      </rPr>
      <t>(18.05.2024</t>
    </r>
    <r>
      <rPr>
        <b/>
        <sz val="14"/>
        <rFont val="Arial"/>
        <family val="2"/>
      </rPr>
      <t>)</t>
    </r>
  </si>
  <si>
    <t>Glbr (Datum)</t>
  </si>
  <si>
    <t>Bestandesdichte Lupine</t>
  </si>
  <si>
    <t>Bestandesdichte Hafer</t>
  </si>
  <si>
    <t xml:space="preserve">Bestandesdichte </t>
  </si>
  <si>
    <t>MnRsch 
Hafer
(1-9)</t>
  </si>
  <si>
    <t>MnBlüte
Lupine
(1-9)</t>
  </si>
  <si>
    <t>MvE (1-9)</t>
  </si>
  <si>
    <t>LvE (1-9) 07.08.</t>
  </si>
  <si>
    <t>Gelbreife Juli Hafer</t>
  </si>
  <si>
    <t>Gelbreife Juli Lupine</t>
  </si>
  <si>
    <t>HLG 
Probe 1 
(nur Hafer)
(g)</t>
  </si>
  <si>
    <t>HLG 
Probe 2 
(nur Hafer)
(g)</t>
  </si>
  <si>
    <t>Hafer
TKG (50 Körner) 
Probe 1</t>
  </si>
  <si>
    <t xml:space="preserve">Stroh Mischprobe FM [g] </t>
  </si>
  <si>
    <t>Hafer 
TM</t>
  </si>
  <si>
    <t>Lupine 
TM</t>
  </si>
  <si>
    <t>Hafer yield/ha</t>
  </si>
  <si>
    <t>Lupine 
yield/ha</t>
  </si>
  <si>
    <t>Hafer dry yield/ha</t>
  </si>
  <si>
    <t>Lupine dry
yield/ha</t>
  </si>
  <si>
    <t xml:space="preserve">Hafer
TKG </t>
  </si>
  <si>
    <t>Hafer 
HLG</t>
  </si>
  <si>
    <t>Ernteindex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</si>
</sst>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07]d/\ mmm/\ yy;@"/>
    <numFmt numFmtId="166" formatCode="0.000"/>
    <numFmt numFmtId="167" formatCode="0.0000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11"/>
      <color theme="1" tint="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9"/>
      <name val="Arial"/>
      <family val="2"/>
    </font>
    <font>
      <b/>
      <sz val="11"/>
      <color theme="1"/>
      <name val="Arial"/>
      <family val="2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49" fontId="5" fillId="0" borderId="2" xfId="1" applyNumberFormat="1" applyFont="1" applyBorder="1" applyAlignment="1" applyProtection="1">
      <alignment horizontal="center" vertical="top" wrapText="1"/>
      <protection locked="0"/>
    </xf>
    <xf numFmtId="0" fontId="5" fillId="0" borderId="2" xfId="1" applyFont="1" applyBorder="1" applyAlignment="1" applyProtection="1">
      <alignment horizontal="center" vertical="top" wrapText="1"/>
      <protection locked="0"/>
    </xf>
    <xf numFmtId="0" fontId="6" fillId="0" borderId="2" xfId="1" applyFont="1" applyBorder="1" applyAlignment="1" applyProtection="1">
      <alignment horizontal="left" vertical="top" wrapText="1"/>
      <protection locked="0"/>
    </xf>
    <xf numFmtId="0" fontId="6" fillId="0" borderId="2" xfId="1" applyFont="1" applyBorder="1" applyAlignment="1" applyProtection="1">
      <alignment horizontal="center" vertical="top" wrapText="1"/>
      <protection locked="0"/>
    </xf>
    <xf numFmtId="0" fontId="6" fillId="2" borderId="2" xfId="1" applyFont="1" applyFill="1" applyBorder="1" applyAlignment="1" applyProtection="1">
      <alignment horizontal="center" vertical="top" wrapText="1"/>
      <protection locked="0"/>
    </xf>
    <xf numFmtId="0" fontId="7" fillId="0" borderId="2" xfId="1" applyFont="1" applyBorder="1" applyAlignment="1" applyProtection="1">
      <alignment horizontal="center" vertical="top" wrapText="1"/>
      <protection locked="0"/>
    </xf>
    <xf numFmtId="164" fontId="7" fillId="0" borderId="2" xfId="1" applyNumberFormat="1" applyFont="1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3" xfId="1" applyNumberFormat="1" applyFont="1" applyBorder="1" applyAlignment="1" applyProtection="1">
      <alignment horizontal="center" vertical="center" wrapText="1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165" fontId="8" fillId="0" borderId="1" xfId="0" applyNumberFormat="1" applyFont="1" applyBorder="1" applyAlignment="1">
      <alignment horizontal="center" vertical="center"/>
    </xf>
    <xf numFmtId="0" fontId="12" fillId="0" borderId="3" xfId="2" applyFont="1" applyBorder="1" applyAlignment="1" applyProtection="1">
      <alignment horizontal="center" vertical="center" wrapText="1"/>
      <protection locked="0"/>
    </xf>
    <xf numFmtId="0" fontId="12" fillId="2" borderId="3" xfId="2" applyFont="1" applyFill="1" applyBorder="1" applyAlignment="1" applyProtection="1">
      <alignment horizontal="center" vertical="center" wrapText="1"/>
      <protection locked="0"/>
    </xf>
    <xf numFmtId="164" fontId="12" fillId="0" borderId="3" xfId="2" applyNumberFormat="1" applyFont="1" applyBorder="1" applyAlignment="1" applyProtection="1">
      <alignment horizontal="center" vertical="center" wrapText="1"/>
      <protection locked="0"/>
    </xf>
    <xf numFmtId="2" fontId="12" fillId="0" borderId="3" xfId="2" applyNumberFormat="1" applyFont="1" applyBorder="1" applyAlignment="1" applyProtection="1">
      <alignment horizontal="center" vertical="center" wrapText="1"/>
      <protection locked="0"/>
    </xf>
    <xf numFmtId="166" fontId="12" fillId="0" borderId="3" xfId="2" applyNumberFormat="1" applyFont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/>
    <xf numFmtId="0" fontId="8" fillId="0" borderId="1" xfId="0" applyFont="1" applyBorder="1"/>
    <xf numFmtId="2" fontId="8" fillId="0" borderId="1" xfId="0" applyNumberFormat="1" applyFont="1" applyBorder="1"/>
    <xf numFmtId="167" fontId="8" fillId="0" borderId="1" xfId="0" applyNumberFormat="1" applyFont="1" applyBorder="1"/>
    <xf numFmtId="0" fontId="8" fillId="3" borderId="1" xfId="0" applyFont="1" applyFill="1" applyBorder="1" applyAlignment="1">
      <alignment horizontal="center" vertical="center"/>
    </xf>
    <xf numFmtId="0" fontId="11" fillId="0" borderId="4" xfId="2" applyFont="1" applyBorder="1" applyAlignment="1" applyProtection="1">
      <alignment horizontal="center" vertical="center" wrapText="1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164" fontId="12" fillId="0" borderId="4" xfId="2" applyNumberFormat="1" applyFont="1" applyBorder="1" applyAlignment="1" applyProtection="1">
      <alignment horizontal="center" vertical="center" wrapText="1"/>
      <protection locked="0"/>
    </xf>
    <xf numFmtId="1" fontId="10" fillId="0" borderId="4" xfId="1" applyNumberFormat="1" applyFont="1" applyBorder="1" applyAlignment="1" applyProtection="1">
      <alignment horizontal="center" vertical="center" wrapText="1"/>
      <protection locked="0"/>
    </xf>
    <xf numFmtId="0" fontId="13" fillId="0" borderId="1" xfId="0" applyFont="1" applyBorder="1"/>
    <xf numFmtId="0" fontId="11" fillId="0" borderId="4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164" fontId="12" fillId="0" borderId="4" xfId="1" applyNumberFormat="1" applyFont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/>
    <xf numFmtId="0" fontId="11" fillId="2" borderId="4" xfId="1" applyFont="1" applyFill="1" applyBorder="1" applyAlignment="1" applyProtection="1">
      <alignment horizontal="center" vertical="center" wrapText="1"/>
      <protection locked="0"/>
    </xf>
    <xf numFmtId="164" fontId="11" fillId="0" borderId="4" xfId="1" applyNumberFormat="1" applyFont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2" fontId="2" fillId="5" borderId="1" xfId="0" applyNumberFormat="1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2" fontId="4" fillId="5" borderId="1" xfId="0" applyNumberFormat="1" applyFont="1" applyFill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/>
    <xf numFmtId="2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2" fontId="13" fillId="0" borderId="1" xfId="0" applyNumberFormat="1" applyFont="1" applyBorder="1"/>
    <xf numFmtId="2" fontId="13" fillId="5" borderId="1" xfId="0" applyNumberFormat="1" applyFont="1" applyFill="1" applyBorder="1"/>
    <xf numFmtId="2" fontId="13" fillId="0" borderId="1" xfId="0" applyNumberFormat="1" applyFont="1" applyBorder="1" applyAlignment="1">
      <alignment horizontal="center"/>
    </xf>
    <xf numFmtId="2" fontId="8" fillId="5" borderId="1" xfId="0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/>
    <xf numFmtId="2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6" fillId="6" borderId="2" xfId="1" applyFont="1" applyFill="1" applyBorder="1" applyAlignment="1" applyProtection="1">
      <alignment horizontal="center" vertical="top" wrapText="1"/>
      <protection locked="0"/>
    </xf>
    <xf numFmtId="2" fontId="7" fillId="0" borderId="2" xfId="1" applyNumberFormat="1" applyFont="1" applyBorder="1" applyAlignment="1" applyProtection="1">
      <alignment horizontal="center" vertical="top" wrapText="1"/>
      <protection locked="0"/>
    </xf>
    <xf numFmtId="164" fontId="7" fillId="6" borderId="2" xfId="1" applyNumberFormat="1" applyFont="1" applyFill="1" applyBorder="1" applyAlignment="1" applyProtection="1">
      <alignment horizontal="center" vertical="top" wrapText="1"/>
      <protection locked="0"/>
    </xf>
    <xf numFmtId="0" fontId="20" fillId="0" borderId="2" xfId="1" applyFont="1" applyBorder="1" applyAlignment="1" applyProtection="1">
      <alignment horizontal="center" vertical="top" wrapText="1"/>
      <protection locked="0"/>
    </xf>
    <xf numFmtId="0" fontId="21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1" fillId="6" borderId="3" xfId="2" applyFont="1" applyFill="1" applyBorder="1" applyAlignment="1" applyProtection="1">
      <alignment horizontal="center" vertical="center" wrapText="1"/>
      <protection locked="0"/>
    </xf>
    <xf numFmtId="164" fontId="12" fillId="6" borderId="3" xfId="2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/>
    <xf numFmtId="1" fontId="23" fillId="0" borderId="1" xfId="1" applyNumberFormat="1" applyFont="1" applyBorder="1" applyAlignment="1" applyProtection="1">
      <alignment horizontal="center" vertical="center" wrapText="1"/>
      <protection locked="0"/>
    </xf>
    <xf numFmtId="0" fontId="11" fillId="6" borderId="4" xfId="2" applyFont="1" applyFill="1" applyBorder="1" applyAlignment="1" applyProtection="1">
      <alignment horizontal="center" vertical="center" wrapText="1"/>
      <protection locked="0"/>
    </xf>
    <xf numFmtId="2" fontId="12" fillId="0" borderId="4" xfId="2" applyNumberFormat="1" applyFont="1" applyBorder="1" applyAlignment="1" applyProtection="1">
      <alignment horizontal="center" vertical="center" wrapText="1"/>
      <protection locked="0"/>
    </xf>
    <xf numFmtId="0" fontId="11" fillId="6" borderId="4" xfId="1" applyFont="1" applyFill="1" applyBorder="1" applyAlignment="1" applyProtection="1">
      <alignment horizontal="center" vertical="center" wrapText="1"/>
      <protection locked="0"/>
    </xf>
    <xf numFmtId="2" fontId="12" fillId="0" borderId="4" xfId="1" applyNumberFormat="1" applyFont="1" applyBorder="1" applyAlignment="1" applyProtection="1">
      <alignment horizontal="center" vertical="center" wrapText="1"/>
      <protection locked="0"/>
    </xf>
    <xf numFmtId="164" fontId="12" fillId="6" borderId="3" xfId="1" applyNumberFormat="1" applyFont="1" applyFill="1" applyBorder="1" applyAlignment="1" applyProtection="1">
      <alignment horizontal="center" vertical="center" wrapText="1"/>
      <protection locked="0"/>
    </xf>
    <xf numFmtId="1" fontId="23" fillId="0" borderId="4" xfId="1" applyNumberFormat="1" applyFont="1" applyBorder="1" applyAlignment="1" applyProtection="1">
      <alignment horizontal="center" vertical="center" wrapText="1"/>
      <protection locked="0"/>
    </xf>
    <xf numFmtId="14" fontId="21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21" fillId="0" borderId="4" xfId="0" applyFont="1" applyBorder="1" applyAlignment="1">
      <alignment horizontal="center" vertical="center"/>
    </xf>
    <xf numFmtId="2" fontId="11" fillId="0" borderId="4" xfId="1" applyNumberFormat="1" applyFont="1" applyBorder="1" applyAlignment="1" applyProtection="1">
      <alignment horizontal="center" vertical="center" wrapText="1"/>
      <protection locked="0"/>
    </xf>
    <xf numFmtId="164" fontId="11" fillId="6" borderId="4" xfId="1" applyNumberFormat="1" applyFont="1" applyFill="1" applyBorder="1" applyAlignment="1" applyProtection="1">
      <alignment horizontal="center" vertical="center" wrapText="1"/>
      <protection locked="0"/>
    </xf>
    <xf numFmtId="0" fontId="21" fillId="4" borderId="1" xfId="0" applyFont="1" applyFill="1" applyBorder="1" applyAlignment="1">
      <alignment horizontal="center" vertical="center"/>
    </xf>
  </cellXfs>
  <cellStyles count="3">
    <cellStyle name="Standard" xfId="0" builtinId="0"/>
    <cellStyle name="Standard 2" xfId="1" xr:uid="{737D1435-1060-4897-A2E2-8E814F5EE3AC}"/>
    <cellStyle name="Standard_t.t. EA2" xfId="2" xr:uid="{8024E392-7D8C-49FF-84BD-829B23D12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6CC9-55C6-4E93-AB0B-4E84898C87B2}">
  <sheetPr>
    <tabColor theme="8" tint="0.59999389629810485"/>
    <pageSetUpPr fitToPage="1"/>
  </sheetPr>
  <dimension ref="A1:BB399"/>
  <sheetViews>
    <sheetView tabSelected="1" zoomScale="90" zoomScaleNormal="90" workbookViewId="0">
      <selection activeCell="N12" sqref="N12"/>
    </sheetView>
  </sheetViews>
  <sheetFormatPr baseColWidth="10" defaultColWidth="10.85546875" defaultRowHeight="21" x14ac:dyDescent="0.25"/>
  <cols>
    <col min="1" max="1" width="6.5703125" style="69" customWidth="1"/>
    <col min="2" max="2" width="14.5703125" style="37" customWidth="1"/>
    <col min="3" max="5" width="5.5703125" style="37" customWidth="1"/>
    <col min="6" max="6" width="20.5703125" style="37" customWidth="1"/>
    <col min="7" max="7" width="8.5703125" style="38" customWidth="1"/>
    <col min="8" max="8" width="11.140625" style="38" customWidth="1"/>
    <col min="9" max="9" width="7.5703125" style="11" customWidth="1"/>
    <col min="10" max="13" width="10.5703125" style="11" customWidth="1"/>
    <col min="14" max="15" width="10.5703125" style="47" customWidth="1"/>
    <col min="16" max="16" width="15.5703125" style="22" customWidth="1"/>
    <col min="17" max="18" width="15.5703125" style="65" customWidth="1"/>
    <col min="19" max="20" width="15.5703125" style="22" customWidth="1"/>
    <col min="21" max="21" width="15.5703125" style="48" customWidth="1"/>
    <col min="22" max="22" width="15.5703125" style="65" customWidth="1"/>
    <col min="23" max="23" width="15.5703125" style="66" customWidth="1"/>
    <col min="24" max="25" width="15.5703125" style="47" customWidth="1"/>
    <col min="26" max="26" width="15.5703125" style="11" customWidth="1"/>
    <col min="27" max="27" width="15.5703125" style="67" customWidth="1"/>
    <col min="28" max="29" width="15.5703125" style="65" customWidth="1"/>
    <col min="30" max="30" width="14.42578125" style="48" customWidth="1"/>
    <col min="31" max="33" width="15.5703125" style="22" customWidth="1"/>
    <col min="34" max="34" width="14" style="22" customWidth="1"/>
    <col min="35" max="36" width="10.85546875" style="22" customWidth="1"/>
    <col min="37" max="43" width="15.5703125" style="37" customWidth="1"/>
    <col min="44" max="45" width="15.5703125" style="68" customWidth="1"/>
    <col min="46" max="46" width="15.5703125" style="37" customWidth="1"/>
    <col min="47" max="53" width="15.5703125" style="49" customWidth="1"/>
    <col min="54" max="54" width="17.5703125" style="22" customWidth="1"/>
    <col min="55" max="16384" width="10.85546875" style="22"/>
  </cols>
  <sheetData>
    <row r="1" spans="1:54" s="10" customFormat="1" ht="62.45" customHeight="1" x14ac:dyDescent="0.2">
      <c r="A1" s="39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40" t="s">
        <v>86</v>
      </c>
      <c r="I1" s="40" t="s">
        <v>87</v>
      </c>
      <c r="J1" s="40" t="s">
        <v>88</v>
      </c>
      <c r="K1" s="40" t="s">
        <v>89</v>
      </c>
      <c r="L1" s="40" t="s">
        <v>90</v>
      </c>
      <c r="M1" s="40" t="s">
        <v>91</v>
      </c>
      <c r="N1" s="41" t="s">
        <v>92</v>
      </c>
      <c r="O1" s="41" t="s">
        <v>93</v>
      </c>
      <c r="P1" s="40" t="s">
        <v>94</v>
      </c>
      <c r="Q1" s="41" t="s">
        <v>95</v>
      </c>
      <c r="R1" s="41" t="s">
        <v>96</v>
      </c>
      <c r="S1" s="40" t="s">
        <v>97</v>
      </c>
      <c r="T1" s="40" t="s">
        <v>98</v>
      </c>
      <c r="U1" s="42" t="s">
        <v>99</v>
      </c>
      <c r="V1" s="41" t="s">
        <v>100</v>
      </c>
      <c r="W1" s="43" t="s">
        <v>101</v>
      </c>
      <c r="X1" s="41" t="s">
        <v>102</v>
      </c>
      <c r="Y1" s="41" t="s">
        <v>103</v>
      </c>
      <c r="Z1" s="40" t="s">
        <v>104</v>
      </c>
      <c r="AA1" s="40" t="s">
        <v>105</v>
      </c>
      <c r="AB1" s="41" t="s">
        <v>106</v>
      </c>
      <c r="AC1" s="41" t="s">
        <v>107</v>
      </c>
      <c r="AD1" s="44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45" t="s">
        <v>25</v>
      </c>
      <c r="AS1" s="10" t="s">
        <v>122</v>
      </c>
      <c r="AT1" s="10" t="s">
        <v>27</v>
      </c>
      <c r="AU1" s="45" t="s">
        <v>123</v>
      </c>
      <c r="AV1" s="45" t="s">
        <v>124</v>
      </c>
      <c r="AW1" s="45" t="s">
        <v>125</v>
      </c>
      <c r="AX1" s="45" t="s">
        <v>126</v>
      </c>
      <c r="AY1" s="45" t="s">
        <v>127</v>
      </c>
      <c r="AZ1" s="45" t="s">
        <v>128</v>
      </c>
      <c r="BA1" s="45"/>
      <c r="BB1" s="10" t="s">
        <v>129</v>
      </c>
    </row>
    <row r="2" spans="1:54" ht="24.95" customHeight="1" x14ac:dyDescent="0.25">
      <c r="A2" s="11">
        <v>3</v>
      </c>
      <c r="B2" s="11" t="s">
        <v>82</v>
      </c>
      <c r="C2" s="11">
        <v>1</v>
      </c>
      <c r="D2" s="11">
        <v>1</v>
      </c>
      <c r="E2" s="11">
        <v>3</v>
      </c>
      <c r="F2" s="11" t="s">
        <v>83</v>
      </c>
      <c r="G2" s="12">
        <v>1</v>
      </c>
      <c r="H2" s="46">
        <v>44666</v>
      </c>
      <c r="I2" s="11">
        <v>6</v>
      </c>
      <c r="L2" s="11">
        <v>58</v>
      </c>
      <c r="M2" s="11">
        <v>56</v>
      </c>
      <c r="N2" s="47" t="e">
        <f t="shared" ref="N2:N65" si="0">AVERAGE(J2:K2)</f>
        <v>#DIV/0!</v>
      </c>
      <c r="O2" s="47">
        <f t="shared" ref="O2:O65" si="1">AVERAGE(L2:M2)</f>
        <v>57</v>
      </c>
      <c r="P2" s="23">
        <v>2.5099999999999998</v>
      </c>
      <c r="Q2" s="48">
        <f t="shared" ref="Q2:Q65" si="2">P2/(5*1.5)*10</f>
        <v>3.3466666666666662</v>
      </c>
      <c r="R2" s="48">
        <f t="shared" ref="R2:R65" si="3">Q2*U2/0.86</f>
        <v>3.4260073756303147</v>
      </c>
      <c r="S2" s="23">
        <v>257.5</v>
      </c>
      <c r="T2" s="23">
        <v>226.7</v>
      </c>
      <c r="U2" s="48">
        <f t="shared" ref="U2:U65" si="4">T2/S2</f>
        <v>0.88038834951456302</v>
      </c>
      <c r="V2" s="48">
        <f t="shared" ref="V2:V65" si="5">(1-(T2/S2))*100</f>
        <v>11.961165048543698</v>
      </c>
      <c r="W2" s="23">
        <v>3.335</v>
      </c>
      <c r="X2" s="48">
        <f t="shared" ref="X2:X65" si="6">W2/(5*1.5)*10</f>
        <v>4.4466666666666663</v>
      </c>
      <c r="Y2" s="48">
        <f t="shared" ref="Y2:Y65" si="7">X2*(AB2/100)</f>
        <v>2.4215374677002584</v>
      </c>
      <c r="Z2" s="23">
        <v>1.032</v>
      </c>
      <c r="AA2" s="23">
        <v>0.56200000000000006</v>
      </c>
      <c r="AB2" s="48">
        <f t="shared" ref="AB2:AB65" si="8">AA2/Z2*100</f>
        <v>54.457364341085281</v>
      </c>
      <c r="AC2" s="48">
        <f t="shared" ref="AC2:AC65" si="9">(1-(AA2/Z2))*100</f>
        <v>45.542635658914719</v>
      </c>
      <c r="AD2" s="48">
        <f>Y2/R2</f>
        <v>0.70681034866562287</v>
      </c>
      <c r="AE2" s="22">
        <v>1579</v>
      </c>
      <c r="AF2" s="22">
        <v>0</v>
      </c>
      <c r="AG2" s="23">
        <f t="shared" ref="AG2:AH33" si="10">AE2/(1.5*5)/100</f>
        <v>2.1053333333333333</v>
      </c>
      <c r="AH2" s="23">
        <f t="shared" si="10"/>
        <v>0</v>
      </c>
      <c r="AI2" s="23">
        <f t="shared" ref="AI2:AI65" si="11">AG2+AH2</f>
        <v>2.1053333333333333</v>
      </c>
      <c r="AJ2" s="23">
        <f t="shared" ref="AJ2:AJ65" si="12">Q2-AI2</f>
        <v>1.241333333333333</v>
      </c>
      <c r="AK2" s="11">
        <v>181.14</v>
      </c>
      <c r="AL2" s="11">
        <v>119.61</v>
      </c>
      <c r="AM2" s="11">
        <v>1.21</v>
      </c>
      <c r="AN2" s="11">
        <v>1.1599999999999999</v>
      </c>
      <c r="AO2" s="11" t="s">
        <v>53</v>
      </c>
      <c r="AP2" s="11" t="s">
        <v>53</v>
      </c>
      <c r="AQ2" s="11">
        <v>118.14</v>
      </c>
      <c r="AR2" s="11">
        <v>108.2</v>
      </c>
      <c r="AS2" s="11" t="s">
        <v>53</v>
      </c>
      <c r="AT2" s="11" t="s">
        <v>53</v>
      </c>
      <c r="AU2" s="49">
        <f t="shared" ref="AU2:AU65" si="13">0.4095*AVERAGE(AK2:AL2)-1.3432</f>
        <v>60.235362499999994</v>
      </c>
      <c r="AV2" s="49">
        <f t="shared" ref="AV2:AV65" si="14">AVERAGE(AM2:AN2)*20</f>
        <v>23.700000000000003</v>
      </c>
      <c r="AW2" s="49" t="e">
        <f t="shared" ref="AW2:AW65" si="15">AVERAGE(AO2:AP2)*20</f>
        <v>#DIV/0!</v>
      </c>
      <c r="AX2" s="49">
        <f t="shared" ref="AX2:AX65" si="16">AR2/AQ2</f>
        <v>0.91586253597426781</v>
      </c>
      <c r="AY2" s="49" t="e">
        <f t="shared" ref="AY2:AY65" si="17">AT2/AS2</f>
        <v>#VALUE!</v>
      </c>
      <c r="AZ2" s="50">
        <f>AG2*AX2</f>
        <v>1.9281959257378252</v>
      </c>
    </row>
    <row r="3" spans="1:54" ht="24.95" customHeight="1" x14ac:dyDescent="0.25">
      <c r="A3" s="11">
        <v>18</v>
      </c>
      <c r="B3" s="11" t="s">
        <v>80</v>
      </c>
      <c r="C3" s="11">
        <v>1</v>
      </c>
      <c r="D3" s="11">
        <v>1</v>
      </c>
      <c r="E3" s="11">
        <v>6</v>
      </c>
      <c r="F3" s="11" t="s">
        <v>81</v>
      </c>
      <c r="G3" s="12">
        <v>2</v>
      </c>
      <c r="H3" s="46">
        <v>44666</v>
      </c>
      <c r="I3" s="11">
        <v>3</v>
      </c>
      <c r="J3" s="11">
        <v>55</v>
      </c>
      <c r="K3" s="11">
        <v>52</v>
      </c>
      <c r="L3" s="11">
        <v>65</v>
      </c>
      <c r="M3" s="11">
        <v>57</v>
      </c>
      <c r="N3" s="47">
        <f t="shared" si="0"/>
        <v>53.5</v>
      </c>
      <c r="O3" s="47">
        <f t="shared" si="1"/>
        <v>61</v>
      </c>
      <c r="P3" s="23">
        <v>2.68</v>
      </c>
      <c r="Q3" s="48">
        <f t="shared" si="2"/>
        <v>3.5733333333333333</v>
      </c>
      <c r="R3" s="48">
        <f t="shared" si="3"/>
        <v>3.6507134029884281</v>
      </c>
      <c r="S3" s="23">
        <v>276</v>
      </c>
      <c r="T3" s="23">
        <v>242.5</v>
      </c>
      <c r="U3" s="48">
        <f t="shared" si="4"/>
        <v>0.87862318840579712</v>
      </c>
      <c r="V3" s="48">
        <f t="shared" si="5"/>
        <v>12.137681159420289</v>
      </c>
      <c r="W3" s="23">
        <v>1.64</v>
      </c>
      <c r="X3" s="48">
        <f t="shared" si="6"/>
        <v>2.1866666666666665</v>
      </c>
      <c r="Y3" s="48">
        <f t="shared" si="7"/>
        <v>1.2878950131233595</v>
      </c>
      <c r="Z3" s="23">
        <v>0.63500000000000001</v>
      </c>
      <c r="AA3" s="23">
        <v>0.374</v>
      </c>
      <c r="AB3" s="48">
        <f t="shared" si="8"/>
        <v>58.897637795275593</v>
      </c>
      <c r="AC3" s="48">
        <f t="shared" si="9"/>
        <v>41.102362204724407</v>
      </c>
      <c r="AD3" s="48">
        <f t="shared" ref="AD3:AD66" si="18">Y3/R3</f>
        <v>0.35277899713220567</v>
      </c>
      <c r="AE3" s="22">
        <v>474</v>
      </c>
      <c r="AF3" s="22">
        <v>1588</v>
      </c>
      <c r="AG3" s="23">
        <f t="shared" si="10"/>
        <v>0.63200000000000001</v>
      </c>
      <c r="AH3" s="23">
        <f t="shared" si="10"/>
        <v>2.1173333333333333</v>
      </c>
      <c r="AI3" s="23">
        <f t="shared" si="11"/>
        <v>2.7493333333333334</v>
      </c>
      <c r="AJ3" s="23">
        <f t="shared" si="12"/>
        <v>0.82399999999999984</v>
      </c>
      <c r="AK3" s="11">
        <v>126.54</v>
      </c>
      <c r="AL3" s="11">
        <v>127.03</v>
      </c>
      <c r="AM3" s="11">
        <v>1.52</v>
      </c>
      <c r="AN3" s="11">
        <v>1.48</v>
      </c>
      <c r="AO3" s="11">
        <v>7.45</v>
      </c>
      <c r="AP3" s="11">
        <v>7.46</v>
      </c>
      <c r="AQ3" s="11">
        <v>126.54</v>
      </c>
      <c r="AR3" s="11">
        <v>114.8</v>
      </c>
      <c r="AS3" s="11">
        <v>100.39999999999999</v>
      </c>
      <c r="AT3" s="11">
        <v>90.5</v>
      </c>
      <c r="AU3" s="49">
        <f t="shared" si="13"/>
        <v>50.575257499999992</v>
      </c>
      <c r="AV3" s="49">
        <f t="shared" si="14"/>
        <v>30</v>
      </c>
      <c r="AW3" s="49">
        <f t="shared" si="15"/>
        <v>149.1</v>
      </c>
      <c r="AX3" s="49">
        <f t="shared" si="16"/>
        <v>0.90722301248617032</v>
      </c>
      <c r="AY3" s="49">
        <f t="shared" si="17"/>
        <v>0.90139442231075706</v>
      </c>
      <c r="AZ3" s="50">
        <f t="shared" ref="AZ3:AZ66" si="19">AG3*AX3</f>
        <v>0.57336494389125969</v>
      </c>
      <c r="BB3" s="11"/>
    </row>
    <row r="4" spans="1:54" ht="24.95" customHeight="1" x14ac:dyDescent="0.25">
      <c r="A4" s="11">
        <v>15</v>
      </c>
      <c r="B4" s="11" t="s">
        <v>64</v>
      </c>
      <c r="C4" s="11">
        <v>1</v>
      </c>
      <c r="D4" s="11">
        <v>1</v>
      </c>
      <c r="E4" s="11">
        <v>9</v>
      </c>
      <c r="F4" s="11" t="s">
        <v>65</v>
      </c>
      <c r="G4" s="12">
        <v>3</v>
      </c>
      <c r="H4" s="46">
        <v>44666</v>
      </c>
      <c r="I4" s="11">
        <v>7</v>
      </c>
      <c r="J4" s="11">
        <v>53</v>
      </c>
      <c r="K4" s="11">
        <v>56</v>
      </c>
      <c r="L4" s="11">
        <v>83</v>
      </c>
      <c r="M4" s="11">
        <v>84</v>
      </c>
      <c r="N4" s="47">
        <f t="shared" si="0"/>
        <v>54.5</v>
      </c>
      <c r="O4" s="47">
        <f t="shared" si="1"/>
        <v>83.5</v>
      </c>
      <c r="P4" s="23">
        <v>2.38</v>
      </c>
      <c r="Q4" s="48">
        <f t="shared" si="2"/>
        <v>3.1733333333333329</v>
      </c>
      <c r="R4" s="48">
        <f t="shared" si="3"/>
        <v>3.3058921517176194</v>
      </c>
      <c r="S4" s="23">
        <v>296.89999999999998</v>
      </c>
      <c r="T4" s="23">
        <v>266</v>
      </c>
      <c r="U4" s="48">
        <f t="shared" si="4"/>
        <v>0.89592455372179192</v>
      </c>
      <c r="V4" s="48">
        <f t="shared" si="5"/>
        <v>10.407544627820808</v>
      </c>
      <c r="W4" s="23">
        <v>2.13</v>
      </c>
      <c r="X4" s="48">
        <f t="shared" si="6"/>
        <v>2.84</v>
      </c>
      <c r="Y4" s="48">
        <f t="shared" si="7"/>
        <v>1.805271317829457</v>
      </c>
      <c r="Z4" s="23">
        <v>0.64500000000000002</v>
      </c>
      <c r="AA4" s="23">
        <v>0.41</v>
      </c>
      <c r="AB4" s="48">
        <f t="shared" si="8"/>
        <v>63.565891472868209</v>
      </c>
      <c r="AC4" s="48">
        <f t="shared" si="9"/>
        <v>36.434108527131791</v>
      </c>
      <c r="AD4" s="48">
        <f t="shared" si="18"/>
        <v>0.54607689391546088</v>
      </c>
      <c r="AE4" s="22">
        <v>542</v>
      </c>
      <c r="AF4" s="22">
        <v>1286</v>
      </c>
      <c r="AG4" s="23">
        <f t="shared" si="10"/>
        <v>0.72266666666666668</v>
      </c>
      <c r="AH4" s="23">
        <f t="shared" si="10"/>
        <v>1.7146666666666668</v>
      </c>
      <c r="AI4" s="23">
        <f t="shared" si="11"/>
        <v>2.4373333333333336</v>
      </c>
      <c r="AJ4" s="23">
        <f t="shared" si="12"/>
        <v>0.73599999999999932</v>
      </c>
      <c r="AK4" s="11">
        <v>129.43</v>
      </c>
      <c r="AL4" s="11">
        <v>128.66999999999999</v>
      </c>
      <c r="AM4" s="11">
        <v>1.64</v>
      </c>
      <c r="AN4" s="11">
        <v>1.57</v>
      </c>
      <c r="AO4" s="11">
        <v>7.26</v>
      </c>
      <c r="AP4" s="11">
        <v>7.28</v>
      </c>
      <c r="AQ4" s="11">
        <v>129.44999999999999</v>
      </c>
      <c r="AR4" s="11">
        <v>116.98</v>
      </c>
      <c r="AS4" s="11">
        <v>100.38</v>
      </c>
      <c r="AT4" s="11">
        <v>90.66</v>
      </c>
      <c r="AU4" s="49">
        <f t="shared" si="13"/>
        <v>51.502775</v>
      </c>
      <c r="AV4" s="49">
        <f t="shared" si="14"/>
        <v>32.1</v>
      </c>
      <c r="AW4" s="49">
        <f t="shared" si="15"/>
        <v>145.39999999999998</v>
      </c>
      <c r="AX4" s="49">
        <f t="shared" si="16"/>
        <v>0.9036693704132871</v>
      </c>
      <c r="AY4" s="49">
        <f t="shared" si="17"/>
        <v>0.90316796174536762</v>
      </c>
      <c r="AZ4" s="50">
        <f t="shared" si="19"/>
        <v>0.65305173168533548</v>
      </c>
      <c r="BB4" s="11"/>
    </row>
    <row r="5" spans="1:54" ht="24.95" customHeight="1" x14ac:dyDescent="0.25">
      <c r="A5" s="11">
        <v>10</v>
      </c>
      <c r="B5" s="11" t="s">
        <v>76</v>
      </c>
      <c r="C5" s="11">
        <v>1</v>
      </c>
      <c r="D5" s="11">
        <v>1</v>
      </c>
      <c r="E5" s="11">
        <v>12</v>
      </c>
      <c r="F5" s="11" t="s">
        <v>77</v>
      </c>
      <c r="G5" s="12">
        <v>4</v>
      </c>
      <c r="H5" s="46">
        <v>44666</v>
      </c>
      <c r="I5" s="11">
        <v>4</v>
      </c>
      <c r="J5" s="11">
        <v>52</v>
      </c>
      <c r="K5" s="11">
        <v>57</v>
      </c>
      <c r="L5" s="11">
        <v>86</v>
      </c>
      <c r="M5" s="11">
        <v>81</v>
      </c>
      <c r="N5" s="47">
        <f t="shared" si="0"/>
        <v>54.5</v>
      </c>
      <c r="O5" s="47">
        <f t="shared" si="1"/>
        <v>83.5</v>
      </c>
      <c r="P5" s="23">
        <v>2.73</v>
      </c>
      <c r="Q5" s="48">
        <f t="shared" si="2"/>
        <v>3.6399999999999997</v>
      </c>
      <c r="R5" s="48">
        <f t="shared" si="3"/>
        <v>3.7711581813074817</v>
      </c>
      <c r="S5" s="23">
        <v>322.89999999999998</v>
      </c>
      <c r="T5" s="23">
        <v>287.7</v>
      </c>
      <c r="U5" s="48">
        <f t="shared" si="4"/>
        <v>0.89098792195726229</v>
      </c>
      <c r="V5" s="48">
        <f t="shared" si="5"/>
        <v>10.901207804273771</v>
      </c>
      <c r="W5" s="23">
        <v>2.1909999999999998</v>
      </c>
      <c r="X5" s="48">
        <f t="shared" si="6"/>
        <v>2.9213333333333331</v>
      </c>
      <c r="Y5" s="48">
        <f t="shared" si="7"/>
        <v>2.0096205128205127</v>
      </c>
      <c r="Z5" s="23">
        <v>0.45500000000000002</v>
      </c>
      <c r="AA5" s="23">
        <v>0.313</v>
      </c>
      <c r="AB5" s="48">
        <f t="shared" si="8"/>
        <v>68.791208791208788</v>
      </c>
      <c r="AC5" s="48">
        <f t="shared" si="9"/>
        <v>31.208791208791208</v>
      </c>
      <c r="AD5" s="48">
        <f t="shared" si="18"/>
        <v>0.5328921292089015</v>
      </c>
      <c r="AE5" s="22">
        <v>387</v>
      </c>
      <c r="AF5" s="22">
        <v>1701</v>
      </c>
      <c r="AG5" s="23">
        <f t="shared" si="10"/>
        <v>0.51600000000000001</v>
      </c>
      <c r="AH5" s="23">
        <f t="shared" si="10"/>
        <v>2.2680000000000002</v>
      </c>
      <c r="AI5" s="23">
        <f t="shared" si="11"/>
        <v>2.7840000000000003</v>
      </c>
      <c r="AJ5" s="23">
        <f t="shared" si="12"/>
        <v>0.85599999999999943</v>
      </c>
      <c r="AK5" s="11">
        <v>122.47</v>
      </c>
      <c r="AL5" s="11">
        <v>125.61</v>
      </c>
      <c r="AM5" s="11">
        <v>1.66</v>
      </c>
      <c r="AN5" s="11">
        <v>1.72</v>
      </c>
      <c r="AO5" s="11">
        <v>7.02</v>
      </c>
      <c r="AP5" s="11">
        <v>6.77</v>
      </c>
      <c r="AQ5" s="11">
        <v>122.47</v>
      </c>
      <c r="AR5" s="11">
        <v>111.35000000000001</v>
      </c>
      <c r="AS5" s="11">
        <v>100.52</v>
      </c>
      <c r="AT5" s="11">
        <v>90.58</v>
      </c>
      <c r="AU5" s="49">
        <f t="shared" si="13"/>
        <v>49.451179999999994</v>
      </c>
      <c r="AV5" s="49">
        <f t="shared" si="14"/>
        <v>33.799999999999997</v>
      </c>
      <c r="AW5" s="49">
        <f t="shared" si="15"/>
        <v>137.89999999999998</v>
      </c>
      <c r="AX5" s="49">
        <f t="shared" si="16"/>
        <v>0.90920225361312978</v>
      </c>
      <c r="AY5" s="49">
        <f t="shared" si="17"/>
        <v>0.90111420612813375</v>
      </c>
      <c r="AZ5" s="50">
        <f t="shared" si="19"/>
        <v>0.469148362864375</v>
      </c>
      <c r="BB5" s="11"/>
    </row>
    <row r="6" spans="1:54" ht="24.95" customHeight="1" x14ac:dyDescent="0.25">
      <c r="A6" s="11">
        <v>11</v>
      </c>
      <c r="B6" s="11" t="s">
        <v>54</v>
      </c>
      <c r="C6" s="11">
        <v>1</v>
      </c>
      <c r="D6" s="11">
        <v>1</v>
      </c>
      <c r="E6" s="11">
        <v>15</v>
      </c>
      <c r="F6" s="11" t="s">
        <v>55</v>
      </c>
      <c r="G6" s="12">
        <v>5</v>
      </c>
      <c r="H6" s="46">
        <v>44666</v>
      </c>
      <c r="I6" s="11">
        <v>3</v>
      </c>
      <c r="J6" s="11">
        <v>53</v>
      </c>
      <c r="K6" s="11">
        <v>54</v>
      </c>
      <c r="L6" s="11">
        <v>88</v>
      </c>
      <c r="M6" s="11">
        <v>81</v>
      </c>
      <c r="N6" s="47">
        <f t="shared" si="0"/>
        <v>53.5</v>
      </c>
      <c r="O6" s="47">
        <f t="shared" si="1"/>
        <v>84.5</v>
      </c>
      <c r="P6" s="23">
        <v>2.85</v>
      </c>
      <c r="Q6" s="48">
        <f t="shared" si="2"/>
        <v>3.8</v>
      </c>
      <c r="R6" s="48">
        <f t="shared" si="3"/>
        <v>3.9501607109094343</v>
      </c>
      <c r="S6" s="23">
        <v>307.5</v>
      </c>
      <c r="T6" s="23">
        <v>274.89999999999998</v>
      </c>
      <c r="U6" s="48">
        <f t="shared" si="4"/>
        <v>0.89398373983739832</v>
      </c>
      <c r="V6" s="48">
        <f t="shared" si="5"/>
        <v>10.601626016260168</v>
      </c>
      <c r="W6" s="23">
        <v>2.5150000000000001</v>
      </c>
      <c r="X6" s="48">
        <f t="shared" si="6"/>
        <v>3.3533333333333335</v>
      </c>
      <c r="Y6" s="48">
        <f t="shared" si="7"/>
        <v>1.9714121037463979</v>
      </c>
      <c r="Z6" s="23">
        <v>0.69399999999999995</v>
      </c>
      <c r="AA6" s="23">
        <v>0.40799999999999997</v>
      </c>
      <c r="AB6" s="48">
        <f t="shared" si="8"/>
        <v>58.789625360230545</v>
      </c>
      <c r="AC6" s="48">
        <f t="shared" si="9"/>
        <v>41.210374639769455</v>
      </c>
      <c r="AD6" s="48">
        <f t="shared" si="18"/>
        <v>0.49907136646410655</v>
      </c>
      <c r="AE6" s="22">
        <v>526</v>
      </c>
      <c r="AF6" s="22">
        <v>1658</v>
      </c>
      <c r="AG6" s="23">
        <f t="shared" si="10"/>
        <v>0.70133333333333336</v>
      </c>
      <c r="AH6" s="23">
        <f t="shared" si="10"/>
        <v>2.2106666666666666</v>
      </c>
      <c r="AI6" s="23">
        <f t="shared" si="11"/>
        <v>2.9119999999999999</v>
      </c>
      <c r="AJ6" s="23">
        <f t="shared" si="12"/>
        <v>0.8879999999999999</v>
      </c>
      <c r="AK6" s="11">
        <v>126.37</v>
      </c>
      <c r="AL6" s="11">
        <v>128.04</v>
      </c>
      <c r="AM6" s="11">
        <v>1.71</v>
      </c>
      <c r="AN6" s="11">
        <v>1.76</v>
      </c>
      <c r="AO6" s="11">
        <v>6.39</v>
      </c>
      <c r="AP6" s="11">
        <v>6.52</v>
      </c>
      <c r="AQ6" s="11">
        <v>126.37</v>
      </c>
      <c r="AR6" s="11">
        <v>114.83</v>
      </c>
      <c r="AS6" s="11">
        <v>100.57</v>
      </c>
      <c r="AT6" s="11">
        <v>90.95</v>
      </c>
      <c r="AU6" s="49">
        <f t="shared" si="13"/>
        <v>50.747247499999993</v>
      </c>
      <c r="AV6" s="49">
        <f t="shared" si="14"/>
        <v>34.699999999999996</v>
      </c>
      <c r="AW6" s="49">
        <f t="shared" si="15"/>
        <v>129.1</v>
      </c>
      <c r="AX6" s="49">
        <f t="shared" si="16"/>
        <v>0.90868085779852814</v>
      </c>
      <c r="AY6" s="49">
        <f t="shared" si="17"/>
        <v>0.90434523217659346</v>
      </c>
      <c r="AZ6" s="50">
        <f t="shared" si="19"/>
        <v>0.6372881749360344</v>
      </c>
      <c r="BB6" s="11"/>
    </row>
    <row r="7" spans="1:54" ht="24.95" customHeight="1" x14ac:dyDescent="0.25">
      <c r="A7" s="11">
        <v>9</v>
      </c>
      <c r="B7" s="11" t="s">
        <v>70</v>
      </c>
      <c r="C7" s="11">
        <v>1</v>
      </c>
      <c r="D7" s="11">
        <v>1</v>
      </c>
      <c r="E7" s="11">
        <v>18</v>
      </c>
      <c r="F7" s="11" t="s">
        <v>71</v>
      </c>
      <c r="G7" s="12">
        <v>6</v>
      </c>
      <c r="H7" s="46">
        <v>44666</v>
      </c>
      <c r="I7" s="11">
        <v>3</v>
      </c>
      <c r="J7" s="11">
        <v>58</v>
      </c>
      <c r="K7" s="11">
        <v>58</v>
      </c>
      <c r="N7" s="47">
        <f t="shared" si="0"/>
        <v>58</v>
      </c>
      <c r="O7" s="47" t="e">
        <f t="shared" si="1"/>
        <v>#DIV/0!</v>
      </c>
      <c r="P7" s="23">
        <v>2.2000000000000002</v>
      </c>
      <c r="Q7" s="48">
        <f t="shared" si="2"/>
        <v>2.9333333333333336</v>
      </c>
      <c r="R7" s="48">
        <f t="shared" si="3"/>
        <v>3.0516410696971072</v>
      </c>
      <c r="S7" s="23">
        <v>308.60000000000002</v>
      </c>
      <c r="T7" s="23">
        <v>276.10000000000002</v>
      </c>
      <c r="U7" s="48">
        <f t="shared" si="4"/>
        <v>0.89468567725210635</v>
      </c>
      <c r="V7" s="48">
        <f t="shared" si="5"/>
        <v>10.531432274789365</v>
      </c>
      <c r="W7" s="23">
        <v>1.381</v>
      </c>
      <c r="X7" s="48">
        <f t="shared" si="6"/>
        <v>1.8413333333333335</v>
      </c>
      <c r="Y7" s="48">
        <f t="shared" si="7"/>
        <v>1.3146637554585154</v>
      </c>
      <c r="Z7" s="23">
        <v>0.45800000000000002</v>
      </c>
      <c r="AA7" s="23">
        <v>0.32700000000000001</v>
      </c>
      <c r="AB7" s="48">
        <f t="shared" si="8"/>
        <v>71.397379912663766</v>
      </c>
      <c r="AC7" s="48">
        <f t="shared" si="9"/>
        <v>28.602620087336238</v>
      </c>
      <c r="AD7" s="48">
        <f t="shared" si="18"/>
        <v>0.43080549954356306</v>
      </c>
      <c r="AE7" s="22">
        <v>0</v>
      </c>
      <c r="AF7" s="22">
        <v>1656</v>
      </c>
      <c r="AG7" s="23">
        <f t="shared" si="10"/>
        <v>0</v>
      </c>
      <c r="AH7" s="23">
        <f t="shared" si="10"/>
        <v>2.2080000000000002</v>
      </c>
      <c r="AI7" s="23">
        <f t="shared" si="11"/>
        <v>2.2080000000000002</v>
      </c>
      <c r="AJ7" s="23">
        <f t="shared" si="12"/>
        <v>0.72533333333333339</v>
      </c>
      <c r="AK7" s="11" t="s">
        <v>53</v>
      </c>
      <c r="AL7" s="11" t="s">
        <v>53</v>
      </c>
      <c r="AM7" s="11" t="s">
        <v>53</v>
      </c>
      <c r="AN7" s="11" t="s">
        <v>53</v>
      </c>
      <c r="AO7" s="11">
        <v>7.17</v>
      </c>
      <c r="AP7" s="11">
        <v>7.51</v>
      </c>
      <c r="AQ7" s="11" t="s">
        <v>53</v>
      </c>
      <c r="AR7" s="11" t="s">
        <v>53</v>
      </c>
      <c r="AS7" s="11">
        <v>100.61999999999999</v>
      </c>
      <c r="AT7" s="11">
        <v>91.03</v>
      </c>
      <c r="AU7" s="49" t="e">
        <f t="shared" si="13"/>
        <v>#DIV/0!</v>
      </c>
      <c r="AV7" s="49" t="e">
        <f t="shared" si="14"/>
        <v>#DIV/0!</v>
      </c>
      <c r="AW7" s="49">
        <f t="shared" si="15"/>
        <v>146.80000000000001</v>
      </c>
      <c r="AX7" s="49" t="e">
        <f t="shared" si="16"/>
        <v>#VALUE!</v>
      </c>
      <c r="AY7" s="49">
        <f t="shared" si="17"/>
        <v>0.90469091631882337</v>
      </c>
      <c r="AZ7" s="50" t="e">
        <f t="shared" si="19"/>
        <v>#VALUE!</v>
      </c>
      <c r="BB7" s="11"/>
    </row>
    <row r="8" spans="1:54" ht="24.95" customHeight="1" x14ac:dyDescent="0.25">
      <c r="A8" s="11">
        <v>17</v>
      </c>
      <c r="B8" s="11" t="s">
        <v>60</v>
      </c>
      <c r="C8" s="11">
        <v>1</v>
      </c>
      <c r="D8" s="11">
        <v>1</v>
      </c>
      <c r="E8" s="11">
        <v>21</v>
      </c>
      <c r="F8" s="11" t="s">
        <v>61</v>
      </c>
      <c r="G8" s="12">
        <v>7</v>
      </c>
      <c r="H8" s="46">
        <v>44666</v>
      </c>
      <c r="I8" s="11">
        <v>6</v>
      </c>
      <c r="J8" s="11">
        <v>45</v>
      </c>
      <c r="K8" s="11">
        <v>53</v>
      </c>
      <c r="L8" s="11">
        <v>60</v>
      </c>
      <c r="M8" s="11">
        <v>60</v>
      </c>
      <c r="N8" s="47">
        <f t="shared" si="0"/>
        <v>49</v>
      </c>
      <c r="O8" s="47">
        <f t="shared" si="1"/>
        <v>60</v>
      </c>
      <c r="P8" s="23">
        <v>2.5499999999999998</v>
      </c>
      <c r="Q8" s="48">
        <f t="shared" si="2"/>
        <v>3.3999999999999995</v>
      </c>
      <c r="R8" s="48">
        <f t="shared" si="3"/>
        <v>3.5447727341458242</v>
      </c>
      <c r="S8" s="23">
        <v>307.60000000000002</v>
      </c>
      <c r="T8" s="23">
        <v>275.8</v>
      </c>
      <c r="U8" s="48">
        <f t="shared" si="4"/>
        <v>0.89661898569570864</v>
      </c>
      <c r="V8" s="48">
        <f t="shared" si="5"/>
        <v>10.338101430429136</v>
      </c>
      <c r="W8" s="23">
        <v>2.073</v>
      </c>
      <c r="X8" s="48">
        <f t="shared" si="6"/>
        <v>2.7639999999999998</v>
      </c>
      <c r="Y8" s="48">
        <f t="shared" si="7"/>
        <v>1.7368942598187309</v>
      </c>
      <c r="Z8" s="23">
        <v>0.66200000000000003</v>
      </c>
      <c r="AA8" s="23">
        <v>0.41599999999999998</v>
      </c>
      <c r="AB8" s="48">
        <f t="shared" si="8"/>
        <v>62.839879154078545</v>
      </c>
      <c r="AC8" s="48">
        <f t="shared" si="9"/>
        <v>37.160120845921455</v>
      </c>
      <c r="AD8" s="48">
        <f t="shared" si="18"/>
        <v>0.48998748018108595</v>
      </c>
      <c r="AE8" s="22">
        <v>326</v>
      </c>
      <c r="AF8" s="22">
        <v>1571</v>
      </c>
      <c r="AG8" s="23">
        <f t="shared" si="10"/>
        <v>0.4346666666666667</v>
      </c>
      <c r="AH8" s="23">
        <f t="shared" si="10"/>
        <v>2.0946666666666669</v>
      </c>
      <c r="AI8" s="23">
        <f t="shared" si="11"/>
        <v>2.5293333333333337</v>
      </c>
      <c r="AJ8" s="23">
        <f t="shared" si="12"/>
        <v>0.87066666666666581</v>
      </c>
      <c r="AK8" s="11">
        <v>122.04</v>
      </c>
      <c r="AL8" s="11">
        <v>124.24</v>
      </c>
      <c r="AM8" s="11">
        <v>1.57</v>
      </c>
      <c r="AN8" s="11">
        <v>1.64</v>
      </c>
      <c r="AO8" s="11">
        <v>6.51</v>
      </c>
      <c r="AP8" s="11">
        <v>6.58</v>
      </c>
      <c r="AQ8" s="11">
        <v>122.04</v>
      </c>
      <c r="AR8" s="11">
        <v>109.66</v>
      </c>
      <c r="AS8" s="11">
        <v>100.66999999999999</v>
      </c>
      <c r="AT8" s="11">
        <v>90.81</v>
      </c>
      <c r="AU8" s="49">
        <f t="shared" si="13"/>
        <v>49.082629999999995</v>
      </c>
      <c r="AV8" s="49">
        <f t="shared" si="14"/>
        <v>32.1</v>
      </c>
      <c r="AW8" s="49">
        <f t="shared" si="15"/>
        <v>130.9</v>
      </c>
      <c r="AX8" s="49">
        <f t="shared" si="16"/>
        <v>0.89855784988528342</v>
      </c>
      <c r="AY8" s="49">
        <f t="shared" si="17"/>
        <v>0.90205622330386426</v>
      </c>
      <c r="AZ8" s="50">
        <f t="shared" si="19"/>
        <v>0.39057314541680321</v>
      </c>
      <c r="BB8" s="11"/>
    </row>
    <row r="9" spans="1:54" ht="24.95" customHeight="1" x14ac:dyDescent="0.25">
      <c r="A9" s="11">
        <v>2</v>
      </c>
      <c r="B9" s="11" t="s">
        <v>51</v>
      </c>
      <c r="C9" s="11">
        <v>1</v>
      </c>
      <c r="D9" s="11">
        <v>1</v>
      </c>
      <c r="E9" s="11">
        <v>24</v>
      </c>
      <c r="F9" s="11" t="s">
        <v>52</v>
      </c>
      <c r="G9" s="12">
        <v>8</v>
      </c>
      <c r="H9" s="46">
        <v>44666</v>
      </c>
      <c r="I9" s="11">
        <v>4</v>
      </c>
      <c r="L9" s="11">
        <v>82</v>
      </c>
      <c r="M9" s="11">
        <v>79</v>
      </c>
      <c r="N9" s="47" t="e">
        <f t="shared" si="0"/>
        <v>#DIV/0!</v>
      </c>
      <c r="O9" s="47">
        <f t="shared" si="1"/>
        <v>80.5</v>
      </c>
      <c r="P9" s="23">
        <v>3.27</v>
      </c>
      <c r="Q9" s="48">
        <f t="shared" si="2"/>
        <v>4.3600000000000003</v>
      </c>
      <c r="R9" s="48">
        <f t="shared" si="3"/>
        <v>4.4674706899865466</v>
      </c>
      <c r="S9" s="23">
        <v>290.39999999999998</v>
      </c>
      <c r="T9" s="23">
        <v>255.9</v>
      </c>
      <c r="U9" s="48">
        <f t="shared" si="4"/>
        <v>0.88119834710743805</v>
      </c>
      <c r="V9" s="48">
        <f t="shared" si="5"/>
        <v>11.880165289256194</v>
      </c>
      <c r="W9" s="23">
        <v>4.87</v>
      </c>
      <c r="X9" s="48">
        <f t="shared" si="6"/>
        <v>6.4933333333333332</v>
      </c>
      <c r="Y9" s="48">
        <f t="shared" si="7"/>
        <v>3.2747156227501799</v>
      </c>
      <c r="Z9" s="23">
        <v>0.92600000000000005</v>
      </c>
      <c r="AA9" s="23">
        <v>0.46700000000000003</v>
      </c>
      <c r="AB9" s="48">
        <f t="shared" si="8"/>
        <v>50.431965442764579</v>
      </c>
      <c r="AC9" s="48">
        <f t="shared" si="9"/>
        <v>49.568034557235421</v>
      </c>
      <c r="AD9" s="48">
        <f t="shared" si="18"/>
        <v>0.7330133424468066</v>
      </c>
      <c r="AE9" s="22">
        <v>2697</v>
      </c>
      <c r="AF9" s="22">
        <v>0</v>
      </c>
      <c r="AG9" s="23">
        <f t="shared" si="10"/>
        <v>3.5960000000000001</v>
      </c>
      <c r="AH9" s="23">
        <f t="shared" si="10"/>
        <v>0</v>
      </c>
      <c r="AI9" s="23">
        <f t="shared" si="11"/>
        <v>3.5960000000000001</v>
      </c>
      <c r="AJ9" s="23">
        <f t="shared" si="12"/>
        <v>0.76400000000000023</v>
      </c>
      <c r="AK9" s="11">
        <v>124.8</v>
      </c>
      <c r="AL9" s="11">
        <v>124.21</v>
      </c>
      <c r="AM9" s="11">
        <v>1.38</v>
      </c>
      <c r="AN9" s="11">
        <v>1.4</v>
      </c>
      <c r="AO9" s="11" t="s">
        <v>53</v>
      </c>
      <c r="AP9" s="11" t="s">
        <v>53</v>
      </c>
      <c r="AQ9" s="11">
        <v>124.8</v>
      </c>
      <c r="AR9" s="11">
        <v>112.35000000000001</v>
      </c>
      <c r="AS9" s="11" t="s">
        <v>53</v>
      </c>
      <c r="AT9" s="11" t="s">
        <v>53</v>
      </c>
      <c r="AU9" s="49">
        <f t="shared" si="13"/>
        <v>49.641597499999989</v>
      </c>
      <c r="AV9" s="49">
        <f t="shared" si="14"/>
        <v>27.799999999999997</v>
      </c>
      <c r="AW9" s="49" t="e">
        <f t="shared" si="15"/>
        <v>#DIV/0!</v>
      </c>
      <c r="AX9" s="49">
        <f t="shared" si="16"/>
        <v>0.90024038461538469</v>
      </c>
      <c r="AY9" s="49" t="e">
        <f t="shared" si="17"/>
        <v>#VALUE!</v>
      </c>
      <c r="AZ9" s="50">
        <f t="shared" si="19"/>
        <v>3.2372644230769234</v>
      </c>
      <c r="BB9" s="11"/>
    </row>
    <row r="10" spans="1:54" ht="24.95" customHeight="1" x14ac:dyDescent="0.25">
      <c r="A10" s="11">
        <v>14</v>
      </c>
      <c r="B10" s="11" t="s">
        <v>58</v>
      </c>
      <c r="C10" s="11">
        <v>1</v>
      </c>
      <c r="D10" s="11">
        <v>1</v>
      </c>
      <c r="E10" s="11">
        <v>27</v>
      </c>
      <c r="F10" s="11" t="s">
        <v>59</v>
      </c>
      <c r="G10" s="12">
        <v>9</v>
      </c>
      <c r="H10" s="46">
        <v>44666</v>
      </c>
      <c r="I10" s="11">
        <v>4</v>
      </c>
      <c r="J10" s="11">
        <v>47</v>
      </c>
      <c r="K10" s="11">
        <v>52</v>
      </c>
      <c r="L10" s="11">
        <v>75</v>
      </c>
      <c r="M10" s="11">
        <v>73</v>
      </c>
      <c r="N10" s="47">
        <f t="shared" si="0"/>
        <v>49.5</v>
      </c>
      <c r="O10" s="47">
        <f t="shared" si="1"/>
        <v>74</v>
      </c>
      <c r="P10" s="23">
        <v>2.59</v>
      </c>
      <c r="Q10" s="48">
        <f t="shared" si="2"/>
        <v>3.4533333333333331</v>
      </c>
      <c r="R10" s="48">
        <f t="shared" si="3"/>
        <v>3.5809745527675538</v>
      </c>
      <c r="S10" s="23">
        <v>283.7</v>
      </c>
      <c r="T10" s="23">
        <v>253</v>
      </c>
      <c r="U10" s="48">
        <f t="shared" si="4"/>
        <v>0.89178709904829045</v>
      </c>
      <c r="V10" s="48">
        <f t="shared" si="5"/>
        <v>10.821290095170955</v>
      </c>
      <c r="W10" s="23">
        <v>2.645</v>
      </c>
      <c r="X10" s="48">
        <f t="shared" si="6"/>
        <v>3.5266666666666668</v>
      </c>
      <c r="Y10" s="48">
        <f t="shared" si="7"/>
        <v>2.0004793608521974</v>
      </c>
      <c r="Z10" s="23">
        <v>0.751</v>
      </c>
      <c r="AA10" s="23">
        <v>0.42599999999999999</v>
      </c>
      <c r="AB10" s="48">
        <f t="shared" si="8"/>
        <v>56.724367509986685</v>
      </c>
      <c r="AC10" s="48">
        <f t="shared" si="9"/>
        <v>43.275632490013315</v>
      </c>
      <c r="AD10" s="48">
        <f t="shared" si="18"/>
        <v>0.55864104348525134</v>
      </c>
      <c r="AE10" s="22">
        <v>612</v>
      </c>
      <c r="AF10" s="22">
        <v>1457</v>
      </c>
      <c r="AG10" s="23">
        <f t="shared" si="10"/>
        <v>0.81599999999999995</v>
      </c>
      <c r="AH10" s="23">
        <f t="shared" si="10"/>
        <v>1.9426666666666668</v>
      </c>
      <c r="AI10" s="23">
        <f t="shared" si="11"/>
        <v>2.7586666666666666</v>
      </c>
      <c r="AJ10" s="23">
        <f t="shared" si="12"/>
        <v>0.69466666666666654</v>
      </c>
      <c r="AK10" s="11">
        <v>130.18</v>
      </c>
      <c r="AL10" s="11">
        <v>130.13999999999999</v>
      </c>
      <c r="AM10" s="11">
        <v>1.67</v>
      </c>
      <c r="AN10" s="11">
        <v>1.61</v>
      </c>
      <c r="AO10" s="11">
        <v>6.29</v>
      </c>
      <c r="AP10" s="11">
        <v>6.24</v>
      </c>
      <c r="AQ10" s="11">
        <v>130.18</v>
      </c>
      <c r="AR10" s="11">
        <v>116.67</v>
      </c>
      <c r="AS10" s="11">
        <v>100.77</v>
      </c>
      <c r="AT10" s="11">
        <v>91.09</v>
      </c>
      <c r="AU10" s="49">
        <f t="shared" si="13"/>
        <v>51.957319999999996</v>
      </c>
      <c r="AV10" s="49">
        <f t="shared" si="14"/>
        <v>32.800000000000004</v>
      </c>
      <c r="AW10" s="49">
        <f t="shared" si="15"/>
        <v>125.30000000000001</v>
      </c>
      <c r="AX10" s="49">
        <f t="shared" si="16"/>
        <v>0.89622061760639116</v>
      </c>
      <c r="AY10" s="49">
        <f t="shared" si="17"/>
        <v>0.90393966458271313</v>
      </c>
      <c r="AZ10" s="50">
        <f t="shared" si="19"/>
        <v>0.73131602396681517</v>
      </c>
      <c r="BB10" s="11"/>
    </row>
    <row r="11" spans="1:54" ht="24.95" customHeight="1" x14ac:dyDescent="0.25">
      <c r="A11" s="11">
        <v>6</v>
      </c>
      <c r="B11" s="11" t="s">
        <v>72</v>
      </c>
      <c r="C11" s="11">
        <v>1</v>
      </c>
      <c r="D11" s="11">
        <v>2</v>
      </c>
      <c r="E11" s="11">
        <v>27</v>
      </c>
      <c r="F11" s="11" t="s">
        <v>73</v>
      </c>
      <c r="G11" s="12">
        <v>10</v>
      </c>
      <c r="H11" s="46">
        <v>44666</v>
      </c>
      <c r="I11" s="11">
        <v>4</v>
      </c>
      <c r="L11" s="11">
        <v>60</v>
      </c>
      <c r="M11" s="11">
        <v>58</v>
      </c>
      <c r="N11" s="47" t="e">
        <f t="shared" si="0"/>
        <v>#DIV/0!</v>
      </c>
      <c r="O11" s="47">
        <f t="shared" si="1"/>
        <v>59</v>
      </c>
      <c r="P11" s="23">
        <v>2.7</v>
      </c>
      <c r="Q11" s="48">
        <f t="shared" si="2"/>
        <v>3.6000000000000005</v>
      </c>
      <c r="R11" s="48">
        <f t="shared" si="3"/>
        <v>3.6875392834695164</v>
      </c>
      <c r="S11" s="23">
        <v>236.8</v>
      </c>
      <c r="T11" s="23">
        <v>208.6</v>
      </c>
      <c r="U11" s="48">
        <f t="shared" si="4"/>
        <v>0.88091216216216206</v>
      </c>
      <c r="V11" s="48">
        <f t="shared" si="5"/>
        <v>11.908783783783793</v>
      </c>
      <c r="W11" s="23">
        <v>4.2320000000000002</v>
      </c>
      <c r="X11" s="48">
        <f t="shared" si="6"/>
        <v>5.6426666666666669</v>
      </c>
      <c r="Y11" s="48">
        <f t="shared" si="7"/>
        <v>2.9006479250334669</v>
      </c>
      <c r="Z11" s="23">
        <v>1.2450000000000001</v>
      </c>
      <c r="AA11" s="23">
        <v>0.64</v>
      </c>
      <c r="AB11" s="48">
        <f t="shared" si="8"/>
        <v>51.405622489959832</v>
      </c>
      <c r="AC11" s="48">
        <f t="shared" si="9"/>
        <v>48.594377510040168</v>
      </c>
      <c r="AD11" s="48">
        <f t="shared" si="18"/>
        <v>0.78660800660117103</v>
      </c>
      <c r="AE11" s="22">
        <v>1958</v>
      </c>
      <c r="AF11" s="22">
        <v>0</v>
      </c>
      <c r="AG11" s="23">
        <f t="shared" si="10"/>
        <v>2.6106666666666665</v>
      </c>
      <c r="AH11" s="23">
        <f t="shared" si="10"/>
        <v>0</v>
      </c>
      <c r="AI11" s="23">
        <f t="shared" si="11"/>
        <v>2.6106666666666665</v>
      </c>
      <c r="AJ11" s="23">
        <f t="shared" si="12"/>
        <v>0.98933333333333406</v>
      </c>
      <c r="AK11" s="11">
        <v>109.31</v>
      </c>
      <c r="AL11" s="11">
        <v>109.83</v>
      </c>
      <c r="AM11" s="11">
        <v>1.1000000000000001</v>
      </c>
      <c r="AN11" s="11">
        <v>1.1299999999999999</v>
      </c>
      <c r="AO11" s="11" t="s">
        <v>53</v>
      </c>
      <c r="AP11" s="11" t="s">
        <v>53</v>
      </c>
      <c r="AQ11" s="11">
        <v>109.31</v>
      </c>
      <c r="AR11" s="11">
        <v>98.53</v>
      </c>
      <c r="AS11" s="11" t="s">
        <v>53</v>
      </c>
      <c r="AT11" s="11" t="s">
        <v>53</v>
      </c>
      <c r="AU11" s="49">
        <f t="shared" si="13"/>
        <v>43.525714999999991</v>
      </c>
      <c r="AV11" s="49">
        <f t="shared" si="14"/>
        <v>22.3</v>
      </c>
      <c r="AW11" s="49" t="e">
        <f t="shared" si="15"/>
        <v>#DIV/0!</v>
      </c>
      <c r="AX11" s="49">
        <f t="shared" si="16"/>
        <v>0.90138139237032289</v>
      </c>
      <c r="AY11" s="49" t="e">
        <f t="shared" si="17"/>
        <v>#VALUE!</v>
      </c>
      <c r="AZ11" s="50">
        <f t="shared" si="19"/>
        <v>2.3532063550147893</v>
      </c>
      <c r="BB11" s="11"/>
    </row>
    <row r="12" spans="1:54" ht="24.95" customHeight="1" x14ac:dyDescent="0.25">
      <c r="A12" s="11">
        <v>8</v>
      </c>
      <c r="B12" s="11" t="s">
        <v>74</v>
      </c>
      <c r="C12" s="11">
        <v>1</v>
      </c>
      <c r="D12" s="11">
        <v>2</v>
      </c>
      <c r="E12" s="11">
        <v>24</v>
      </c>
      <c r="F12" s="11" t="s">
        <v>75</v>
      </c>
      <c r="G12" s="12">
        <v>11</v>
      </c>
      <c r="H12" s="46">
        <v>44666</v>
      </c>
      <c r="I12" s="11">
        <v>3</v>
      </c>
      <c r="J12" s="11">
        <v>51</v>
      </c>
      <c r="K12" s="11">
        <v>54</v>
      </c>
      <c r="N12" s="47">
        <f t="shared" si="0"/>
        <v>52.5</v>
      </c>
      <c r="O12" s="47" t="e">
        <f t="shared" si="1"/>
        <v>#DIV/0!</v>
      </c>
      <c r="P12" s="23">
        <v>2.0299999999999998</v>
      </c>
      <c r="Q12" s="48">
        <f t="shared" si="2"/>
        <v>2.7066666666666666</v>
      </c>
      <c r="R12" s="48">
        <f t="shared" si="3"/>
        <v>2.8544297440673478</v>
      </c>
      <c r="S12" s="23">
        <v>254.7</v>
      </c>
      <c r="T12" s="23">
        <v>231</v>
      </c>
      <c r="U12" s="48">
        <f t="shared" si="4"/>
        <v>0.90694935217903416</v>
      </c>
      <c r="V12" s="48">
        <f t="shared" si="5"/>
        <v>9.3050647820965828</v>
      </c>
      <c r="W12" s="23">
        <v>1.552</v>
      </c>
      <c r="X12" s="48">
        <f t="shared" si="6"/>
        <v>2.0693333333333332</v>
      </c>
      <c r="Y12" s="48">
        <f t="shared" si="7"/>
        <v>1.4523302752293579</v>
      </c>
      <c r="Z12" s="23">
        <v>0.436</v>
      </c>
      <c r="AA12" s="23">
        <v>0.30599999999999999</v>
      </c>
      <c r="AB12" s="48">
        <f t="shared" si="8"/>
        <v>70.183486238532112</v>
      </c>
      <c r="AC12" s="48">
        <f t="shared" si="9"/>
        <v>29.816513761467888</v>
      </c>
      <c r="AD12" s="48">
        <f t="shared" si="18"/>
        <v>0.50879874631627697</v>
      </c>
      <c r="AE12" s="22">
        <v>0</v>
      </c>
      <c r="AF12" s="22">
        <v>1573</v>
      </c>
      <c r="AG12" s="23">
        <f t="shared" si="10"/>
        <v>0</v>
      </c>
      <c r="AH12" s="23">
        <f t="shared" si="10"/>
        <v>2.0973333333333333</v>
      </c>
      <c r="AI12" s="23">
        <f t="shared" si="11"/>
        <v>2.0973333333333333</v>
      </c>
      <c r="AJ12" s="23">
        <f t="shared" si="12"/>
        <v>0.60933333333333328</v>
      </c>
      <c r="AK12" s="11" t="s">
        <v>53</v>
      </c>
      <c r="AL12" s="11" t="s">
        <v>53</v>
      </c>
      <c r="AM12" s="11" t="s">
        <v>53</v>
      </c>
      <c r="AN12" s="11" t="s">
        <v>53</v>
      </c>
      <c r="AO12" s="11">
        <v>6.5</v>
      </c>
      <c r="AP12" s="11">
        <v>6.3</v>
      </c>
      <c r="AQ12" s="11" t="s">
        <v>53</v>
      </c>
      <c r="AR12" s="11" t="s">
        <v>53</v>
      </c>
      <c r="AS12" s="11">
        <v>100.52</v>
      </c>
      <c r="AT12" s="11">
        <v>90.55</v>
      </c>
      <c r="AU12" s="49" t="e">
        <f t="shared" si="13"/>
        <v>#DIV/0!</v>
      </c>
      <c r="AV12" s="49" t="e">
        <f t="shared" si="14"/>
        <v>#DIV/0!</v>
      </c>
      <c r="AW12" s="49">
        <f t="shared" si="15"/>
        <v>128</v>
      </c>
      <c r="AX12" s="49" t="e">
        <f t="shared" si="16"/>
        <v>#VALUE!</v>
      </c>
      <c r="AY12" s="49">
        <f t="shared" si="17"/>
        <v>0.90081575805809788</v>
      </c>
      <c r="AZ12" s="50" t="e">
        <f t="shared" si="19"/>
        <v>#VALUE!</v>
      </c>
      <c r="BB12" s="11"/>
    </row>
    <row r="13" spans="1:54" ht="24.95" customHeight="1" x14ac:dyDescent="0.25">
      <c r="A13" s="11">
        <v>12</v>
      </c>
      <c r="B13" s="11" t="s">
        <v>66</v>
      </c>
      <c r="C13" s="11">
        <v>1</v>
      </c>
      <c r="D13" s="11">
        <v>2</v>
      </c>
      <c r="E13" s="11">
        <v>21</v>
      </c>
      <c r="F13" s="11" t="s">
        <v>67</v>
      </c>
      <c r="G13" s="12">
        <v>12</v>
      </c>
      <c r="H13" s="46">
        <v>44666</v>
      </c>
      <c r="I13" s="11">
        <v>5</v>
      </c>
      <c r="J13" s="11">
        <v>58</v>
      </c>
      <c r="K13" s="11">
        <v>55</v>
      </c>
      <c r="L13" s="11">
        <v>92</v>
      </c>
      <c r="M13" s="11">
        <v>85</v>
      </c>
      <c r="N13" s="47">
        <f t="shared" si="0"/>
        <v>56.5</v>
      </c>
      <c r="O13" s="47">
        <f t="shared" si="1"/>
        <v>88.5</v>
      </c>
      <c r="P13" s="23">
        <v>2.64</v>
      </c>
      <c r="Q13" s="48">
        <f t="shared" si="2"/>
        <v>3.5200000000000005</v>
      </c>
      <c r="R13" s="48">
        <f t="shared" si="3"/>
        <v>3.6887074913278868</v>
      </c>
      <c r="S13" s="23">
        <v>303.7</v>
      </c>
      <c r="T13" s="23">
        <v>273.7</v>
      </c>
      <c r="U13" s="48">
        <f t="shared" si="4"/>
        <v>0.90121830754033583</v>
      </c>
      <c r="V13" s="48">
        <f t="shared" si="5"/>
        <v>9.8781692459664168</v>
      </c>
      <c r="W13" s="23">
        <v>2.82</v>
      </c>
      <c r="X13" s="48">
        <f t="shared" si="6"/>
        <v>3.76</v>
      </c>
      <c r="Y13" s="48">
        <f t="shared" si="7"/>
        <v>2.4443117744610281</v>
      </c>
      <c r="Z13" s="23">
        <v>0.60299999999999998</v>
      </c>
      <c r="AA13" s="23">
        <v>0.39200000000000002</v>
      </c>
      <c r="AB13" s="48">
        <f t="shared" si="8"/>
        <v>65.008291873963515</v>
      </c>
      <c r="AC13" s="48">
        <f t="shared" si="9"/>
        <v>34.991708126036478</v>
      </c>
      <c r="AD13" s="48">
        <f t="shared" si="18"/>
        <v>0.66264722269455623</v>
      </c>
      <c r="AE13" s="22">
        <v>646</v>
      </c>
      <c r="AF13" s="22">
        <v>1463</v>
      </c>
      <c r="AG13" s="23">
        <f t="shared" si="10"/>
        <v>0.8613333333333334</v>
      </c>
      <c r="AH13" s="23">
        <f t="shared" si="10"/>
        <v>1.9506666666666665</v>
      </c>
      <c r="AI13" s="23">
        <f t="shared" si="11"/>
        <v>2.8119999999999998</v>
      </c>
      <c r="AJ13" s="23">
        <f t="shared" si="12"/>
        <v>0.70800000000000063</v>
      </c>
      <c r="AK13" s="11">
        <v>127.67</v>
      </c>
      <c r="AL13" s="11">
        <v>125.02</v>
      </c>
      <c r="AM13" s="11">
        <v>1.78</v>
      </c>
      <c r="AN13" s="11">
        <v>1.79</v>
      </c>
      <c r="AO13" s="11">
        <v>7.17</v>
      </c>
      <c r="AP13" s="11">
        <v>7.33</v>
      </c>
      <c r="AQ13" s="11">
        <v>127.67</v>
      </c>
      <c r="AR13" s="11">
        <v>114.01</v>
      </c>
      <c r="AS13" s="11">
        <v>100.28999999999999</v>
      </c>
      <c r="AT13" s="11">
        <v>91.02</v>
      </c>
      <c r="AU13" s="49">
        <f t="shared" si="13"/>
        <v>50.395077499999992</v>
      </c>
      <c r="AV13" s="49">
        <f t="shared" si="14"/>
        <v>35.700000000000003</v>
      </c>
      <c r="AW13" s="49">
        <f t="shared" si="15"/>
        <v>145</v>
      </c>
      <c r="AX13" s="49">
        <f t="shared" si="16"/>
        <v>0.89300540455862776</v>
      </c>
      <c r="AY13" s="49">
        <f t="shared" si="17"/>
        <v>0.90756805264732276</v>
      </c>
      <c r="AZ13" s="50">
        <f t="shared" si="19"/>
        <v>0.76917532179316472</v>
      </c>
      <c r="BB13" s="11"/>
    </row>
    <row r="14" spans="1:54" ht="24.95" customHeight="1" x14ac:dyDescent="0.25">
      <c r="A14" s="11">
        <v>7</v>
      </c>
      <c r="B14" s="11" t="s">
        <v>56</v>
      </c>
      <c r="C14" s="11">
        <v>1</v>
      </c>
      <c r="D14" s="11">
        <v>2</v>
      </c>
      <c r="E14" s="11">
        <v>18</v>
      </c>
      <c r="F14" s="11" t="s">
        <v>57</v>
      </c>
      <c r="G14" s="12">
        <v>13</v>
      </c>
      <c r="H14" s="46">
        <v>44666</v>
      </c>
      <c r="I14" s="11">
        <v>5</v>
      </c>
      <c r="J14" s="11">
        <v>54</v>
      </c>
      <c r="K14" s="11">
        <v>55</v>
      </c>
      <c r="N14" s="47">
        <f t="shared" si="0"/>
        <v>54.5</v>
      </c>
      <c r="O14" s="47" t="e">
        <f t="shared" si="1"/>
        <v>#DIV/0!</v>
      </c>
      <c r="P14" s="23">
        <v>2.29</v>
      </c>
      <c r="Q14" s="48">
        <f t="shared" si="2"/>
        <v>3.0533333333333337</v>
      </c>
      <c r="R14" s="48">
        <f t="shared" si="3"/>
        <v>3.2133435611517527</v>
      </c>
      <c r="S14" s="23">
        <v>372.9</v>
      </c>
      <c r="T14" s="23">
        <v>337.5</v>
      </c>
      <c r="U14" s="48">
        <f t="shared" si="4"/>
        <v>0.90506838294448921</v>
      </c>
      <c r="V14" s="48">
        <f t="shared" si="5"/>
        <v>9.4931617055510777</v>
      </c>
      <c r="W14" s="23">
        <v>1.4690000000000001</v>
      </c>
      <c r="X14" s="48">
        <f t="shared" si="6"/>
        <v>1.9586666666666668</v>
      </c>
      <c r="Y14" s="48">
        <f t="shared" si="7"/>
        <v>1.677878787878788</v>
      </c>
      <c r="Z14" s="23">
        <v>0.28599999999999998</v>
      </c>
      <c r="AA14" s="23">
        <v>0.245</v>
      </c>
      <c r="AB14" s="48">
        <f t="shared" si="8"/>
        <v>85.664335664335667</v>
      </c>
      <c r="AC14" s="48">
        <f t="shared" si="9"/>
        <v>14.335664335664333</v>
      </c>
      <c r="AD14" s="48">
        <f t="shared" si="18"/>
        <v>0.52215978651140216</v>
      </c>
      <c r="AE14" s="22">
        <v>0</v>
      </c>
      <c r="AF14" s="22">
        <v>1719</v>
      </c>
      <c r="AG14" s="23">
        <f t="shared" si="10"/>
        <v>0</v>
      </c>
      <c r="AH14" s="23">
        <f t="shared" si="10"/>
        <v>2.2919999999999998</v>
      </c>
      <c r="AI14" s="23">
        <f t="shared" si="11"/>
        <v>2.2919999999999998</v>
      </c>
      <c r="AJ14" s="23">
        <f t="shared" si="12"/>
        <v>0.76133333333333386</v>
      </c>
      <c r="AK14" s="11" t="s">
        <v>53</v>
      </c>
      <c r="AL14" s="11" t="s">
        <v>53</v>
      </c>
      <c r="AM14" s="11" t="s">
        <v>53</v>
      </c>
      <c r="AN14" s="11" t="s">
        <v>53</v>
      </c>
      <c r="AO14" s="11">
        <v>6.99</v>
      </c>
      <c r="AP14" s="11">
        <v>6.84</v>
      </c>
      <c r="AQ14" s="11" t="s">
        <v>53</v>
      </c>
      <c r="AR14" s="11" t="s">
        <v>53</v>
      </c>
      <c r="AS14" s="11">
        <v>100.61</v>
      </c>
      <c r="AT14" s="11">
        <v>90.92</v>
      </c>
      <c r="AU14" s="49" t="e">
        <f t="shared" si="13"/>
        <v>#DIV/0!</v>
      </c>
      <c r="AV14" s="49" t="e">
        <f t="shared" si="14"/>
        <v>#DIV/0!</v>
      </c>
      <c r="AW14" s="49">
        <f t="shared" si="15"/>
        <v>138.30000000000001</v>
      </c>
      <c r="AX14" s="49" t="e">
        <f t="shared" si="16"/>
        <v>#VALUE!</v>
      </c>
      <c r="AY14" s="49">
        <f t="shared" si="17"/>
        <v>0.90368750621210614</v>
      </c>
      <c r="AZ14" s="50" t="e">
        <f t="shared" si="19"/>
        <v>#VALUE!</v>
      </c>
      <c r="BB14" s="11"/>
    </row>
    <row r="15" spans="1:54" ht="24.95" customHeight="1" x14ac:dyDescent="0.25">
      <c r="A15" s="11">
        <v>13</v>
      </c>
      <c r="B15" s="11" t="s">
        <v>78</v>
      </c>
      <c r="C15" s="11">
        <v>1</v>
      </c>
      <c r="D15" s="11">
        <v>2</v>
      </c>
      <c r="E15" s="11">
        <v>15</v>
      </c>
      <c r="F15" s="11" t="s">
        <v>79</v>
      </c>
      <c r="G15" s="12">
        <v>14</v>
      </c>
      <c r="H15" s="46">
        <v>44666</v>
      </c>
      <c r="I15" s="11">
        <v>3</v>
      </c>
      <c r="J15" s="11">
        <v>54</v>
      </c>
      <c r="K15" s="11">
        <v>53</v>
      </c>
      <c r="L15" s="11">
        <v>77</v>
      </c>
      <c r="M15" s="11">
        <v>77</v>
      </c>
      <c r="N15" s="47">
        <f t="shared" si="0"/>
        <v>53.5</v>
      </c>
      <c r="O15" s="47">
        <f t="shared" si="1"/>
        <v>77</v>
      </c>
      <c r="P15" s="23">
        <v>2.98</v>
      </c>
      <c r="Q15" s="48">
        <f t="shared" si="2"/>
        <v>3.9733333333333332</v>
      </c>
      <c r="R15" s="48">
        <f t="shared" si="3"/>
        <v>4.1659438508275715</v>
      </c>
      <c r="S15" s="23">
        <v>296</v>
      </c>
      <c r="T15" s="23">
        <v>266.89999999999998</v>
      </c>
      <c r="U15" s="48">
        <f t="shared" si="4"/>
        <v>0.90168918918918917</v>
      </c>
      <c r="V15" s="48">
        <f t="shared" si="5"/>
        <v>9.8310810810810842</v>
      </c>
      <c r="W15" s="23">
        <v>2.2010000000000001</v>
      </c>
      <c r="X15" s="48">
        <f t="shared" si="6"/>
        <v>2.9346666666666668</v>
      </c>
      <c r="Y15" s="48">
        <f t="shared" si="7"/>
        <v>1.5738610460577676</v>
      </c>
      <c r="Z15" s="23">
        <v>0.85399999999999998</v>
      </c>
      <c r="AA15" s="23">
        <v>0.45800000000000002</v>
      </c>
      <c r="AB15" s="48">
        <f t="shared" si="8"/>
        <v>53.62997658079626</v>
      </c>
      <c r="AC15" s="48">
        <f t="shared" si="9"/>
        <v>46.37002341920374</v>
      </c>
      <c r="AD15" s="48">
        <f t="shared" si="18"/>
        <v>0.37779218885658228</v>
      </c>
      <c r="AE15" s="22">
        <v>668</v>
      </c>
      <c r="AF15" s="22">
        <v>1761</v>
      </c>
      <c r="AG15" s="23">
        <f t="shared" si="10"/>
        <v>0.89066666666666661</v>
      </c>
      <c r="AH15" s="23">
        <f t="shared" si="10"/>
        <v>2.3480000000000003</v>
      </c>
      <c r="AI15" s="23">
        <f t="shared" si="11"/>
        <v>3.238666666666667</v>
      </c>
      <c r="AJ15" s="23">
        <f t="shared" si="12"/>
        <v>0.73466666666666613</v>
      </c>
      <c r="AK15" s="11">
        <v>132.08000000000001</v>
      </c>
      <c r="AL15" s="11">
        <v>127.79</v>
      </c>
      <c r="AM15" s="11">
        <v>1.56</v>
      </c>
      <c r="AN15" s="11">
        <v>1.58</v>
      </c>
      <c r="AO15" s="11">
        <v>6.94</v>
      </c>
      <c r="AP15" s="11">
        <v>7.05</v>
      </c>
      <c r="AQ15" s="11">
        <v>132.08000000000001</v>
      </c>
      <c r="AR15" s="11">
        <v>118.59</v>
      </c>
      <c r="AS15" s="11">
        <v>100.58</v>
      </c>
      <c r="AT15" s="11">
        <v>91.01</v>
      </c>
      <c r="AU15" s="49">
        <f t="shared" si="13"/>
        <v>51.865182499999996</v>
      </c>
      <c r="AV15" s="49">
        <f t="shared" si="14"/>
        <v>31.400000000000002</v>
      </c>
      <c r="AW15" s="49">
        <f t="shared" si="15"/>
        <v>139.9</v>
      </c>
      <c r="AX15" s="49">
        <f t="shared" si="16"/>
        <v>0.89786493034524528</v>
      </c>
      <c r="AY15" s="49">
        <f t="shared" si="17"/>
        <v>0.9048518592165441</v>
      </c>
      <c r="AZ15" s="50">
        <f t="shared" si="19"/>
        <v>0.79969836462749844</v>
      </c>
      <c r="BB15" s="11"/>
    </row>
    <row r="16" spans="1:54" ht="24.95" customHeight="1" x14ac:dyDescent="0.25">
      <c r="A16" s="11">
        <v>16</v>
      </c>
      <c r="B16" s="11" t="s">
        <v>49</v>
      </c>
      <c r="C16" s="11">
        <v>1</v>
      </c>
      <c r="D16" s="11">
        <v>2</v>
      </c>
      <c r="E16" s="11">
        <v>12</v>
      </c>
      <c r="F16" s="11" t="s">
        <v>50</v>
      </c>
      <c r="G16" s="12">
        <v>15</v>
      </c>
      <c r="H16" s="46">
        <v>44666</v>
      </c>
      <c r="I16" s="11">
        <v>3</v>
      </c>
      <c r="J16" s="11">
        <v>50</v>
      </c>
      <c r="K16" s="11">
        <v>52</v>
      </c>
      <c r="L16" s="11">
        <v>55</v>
      </c>
      <c r="M16" s="11">
        <v>54</v>
      </c>
      <c r="N16" s="47">
        <f t="shared" si="0"/>
        <v>51</v>
      </c>
      <c r="O16" s="47">
        <f t="shared" si="1"/>
        <v>54.5</v>
      </c>
      <c r="P16" s="23">
        <v>2.4900000000000002</v>
      </c>
      <c r="Q16" s="48">
        <f t="shared" si="2"/>
        <v>3.3200000000000003</v>
      </c>
      <c r="R16" s="48">
        <f t="shared" si="3"/>
        <v>3.4564804809167935</v>
      </c>
      <c r="S16" s="23">
        <v>256.10000000000002</v>
      </c>
      <c r="T16" s="23">
        <v>229.3</v>
      </c>
      <c r="U16" s="48">
        <f t="shared" si="4"/>
        <v>0.89535337758688005</v>
      </c>
      <c r="V16" s="48">
        <f t="shared" si="5"/>
        <v>10.464662241311995</v>
      </c>
      <c r="W16" s="23">
        <v>1.7170000000000001</v>
      </c>
      <c r="X16" s="48">
        <f t="shared" si="6"/>
        <v>2.2893333333333334</v>
      </c>
      <c r="Y16" s="48">
        <f t="shared" si="7"/>
        <v>1.495522349936143</v>
      </c>
      <c r="Z16" s="23">
        <v>0.52200000000000002</v>
      </c>
      <c r="AA16" s="23">
        <v>0.34100000000000003</v>
      </c>
      <c r="AB16" s="48">
        <f t="shared" si="8"/>
        <v>65.325670498084293</v>
      </c>
      <c r="AC16" s="48">
        <f t="shared" si="9"/>
        <v>34.6743295019157</v>
      </c>
      <c r="AD16" s="48">
        <f t="shared" si="18"/>
        <v>0.43267200789731414</v>
      </c>
      <c r="AE16" s="22">
        <v>385</v>
      </c>
      <c r="AF16" s="22">
        <v>1608</v>
      </c>
      <c r="AG16" s="23">
        <f t="shared" si="10"/>
        <v>0.51333333333333331</v>
      </c>
      <c r="AH16" s="23">
        <f t="shared" si="10"/>
        <v>2.1440000000000001</v>
      </c>
      <c r="AI16" s="23">
        <f t="shared" si="11"/>
        <v>2.6573333333333333</v>
      </c>
      <c r="AJ16" s="23">
        <f t="shared" si="12"/>
        <v>0.66266666666666696</v>
      </c>
      <c r="AK16" s="11">
        <v>121.17</v>
      </c>
      <c r="AL16" s="11">
        <v>120.77</v>
      </c>
      <c r="AM16" s="11">
        <v>1.52</v>
      </c>
      <c r="AN16" s="11">
        <v>1.5</v>
      </c>
      <c r="AO16" s="11">
        <v>6.64</v>
      </c>
      <c r="AP16" s="11">
        <v>6.71</v>
      </c>
      <c r="AQ16" s="11">
        <v>120.77</v>
      </c>
      <c r="AR16" s="11">
        <v>108.41</v>
      </c>
      <c r="AS16" s="11">
        <v>100.47999999999999</v>
      </c>
      <c r="AT16" s="11">
        <v>90.81</v>
      </c>
      <c r="AU16" s="49">
        <f t="shared" si="13"/>
        <v>48.194014999999993</v>
      </c>
      <c r="AV16" s="49">
        <f t="shared" si="14"/>
        <v>30.2</v>
      </c>
      <c r="AW16" s="49">
        <f t="shared" si="15"/>
        <v>133.5</v>
      </c>
      <c r="AX16" s="49">
        <f t="shared" si="16"/>
        <v>0.89765670282354892</v>
      </c>
      <c r="AY16" s="49">
        <f t="shared" si="17"/>
        <v>0.9037619426751593</v>
      </c>
      <c r="AZ16" s="50">
        <f t="shared" si="19"/>
        <v>0.46079710744942176</v>
      </c>
      <c r="BB16" s="11"/>
    </row>
    <row r="17" spans="1:54" ht="24.95" customHeight="1" x14ac:dyDescent="0.25">
      <c r="A17" s="11">
        <v>4</v>
      </c>
      <c r="B17" s="11" t="s">
        <v>84</v>
      </c>
      <c r="C17" s="11">
        <v>1</v>
      </c>
      <c r="D17" s="11">
        <v>2</v>
      </c>
      <c r="E17" s="11">
        <v>9</v>
      </c>
      <c r="F17" s="11" t="s">
        <v>85</v>
      </c>
      <c r="G17" s="12">
        <v>16</v>
      </c>
      <c r="H17" s="46">
        <v>44666</v>
      </c>
      <c r="I17" s="11">
        <v>4</v>
      </c>
      <c r="L17" s="11">
        <v>83</v>
      </c>
      <c r="M17" s="11">
        <v>89</v>
      </c>
      <c r="N17" s="47" t="e">
        <f t="shared" si="0"/>
        <v>#DIV/0!</v>
      </c>
      <c r="O17" s="47">
        <f t="shared" si="1"/>
        <v>86</v>
      </c>
      <c r="P17" s="23">
        <v>2.69</v>
      </c>
      <c r="Q17" s="48">
        <f t="shared" si="2"/>
        <v>3.5866666666666664</v>
      </c>
      <c r="R17" s="48">
        <f t="shared" si="3"/>
        <v>3.7102077132777875</v>
      </c>
      <c r="S17" s="23">
        <v>272.7</v>
      </c>
      <c r="T17" s="23">
        <v>242.6</v>
      </c>
      <c r="U17" s="48">
        <f t="shared" si="4"/>
        <v>0.88962229556288963</v>
      </c>
      <c r="V17" s="48">
        <f t="shared" si="5"/>
        <v>11.037770443711036</v>
      </c>
      <c r="W17" s="23">
        <v>4.7130000000000001</v>
      </c>
      <c r="X17" s="48">
        <f t="shared" si="6"/>
        <v>6.2839999999999998</v>
      </c>
      <c r="Y17" s="48">
        <f t="shared" si="7"/>
        <v>3.7627209775967412</v>
      </c>
      <c r="Z17" s="23">
        <v>0.49099999999999999</v>
      </c>
      <c r="AA17" s="23">
        <v>0.29399999999999998</v>
      </c>
      <c r="AB17" s="48">
        <f t="shared" si="8"/>
        <v>59.877800407331975</v>
      </c>
      <c r="AC17" s="48">
        <f t="shared" si="9"/>
        <v>40.122199592668025</v>
      </c>
      <c r="AD17" s="48">
        <f t="shared" si="18"/>
        <v>1.01415372625393</v>
      </c>
      <c r="AE17" s="22">
        <v>2140</v>
      </c>
      <c r="AF17" s="22">
        <v>0</v>
      </c>
      <c r="AG17" s="23">
        <f t="shared" si="10"/>
        <v>2.8533333333333331</v>
      </c>
      <c r="AH17" s="23">
        <f t="shared" si="10"/>
        <v>0</v>
      </c>
      <c r="AI17" s="23">
        <f t="shared" si="11"/>
        <v>2.8533333333333331</v>
      </c>
      <c r="AJ17" s="23">
        <f t="shared" si="12"/>
        <v>0.73333333333333339</v>
      </c>
      <c r="AK17" s="11">
        <v>119.8</v>
      </c>
      <c r="AL17" s="11">
        <v>120.37</v>
      </c>
      <c r="AM17" s="11">
        <v>1.46</v>
      </c>
      <c r="AN17" s="11">
        <v>1.5</v>
      </c>
      <c r="AO17" s="11" t="s">
        <v>53</v>
      </c>
      <c r="AP17" s="11" t="s">
        <v>53</v>
      </c>
      <c r="AQ17" s="11">
        <v>119.8</v>
      </c>
      <c r="AR17" s="11">
        <v>108.12</v>
      </c>
      <c r="AS17" s="11" t="s">
        <v>53</v>
      </c>
      <c r="AT17" s="11" t="s">
        <v>53</v>
      </c>
      <c r="AU17" s="49">
        <f t="shared" si="13"/>
        <v>47.831607499999997</v>
      </c>
      <c r="AV17" s="49">
        <f t="shared" si="14"/>
        <v>29.6</v>
      </c>
      <c r="AW17" s="49" t="e">
        <f t="shared" si="15"/>
        <v>#DIV/0!</v>
      </c>
      <c r="AX17" s="49">
        <f t="shared" si="16"/>
        <v>0.90250417362270452</v>
      </c>
      <c r="AY17" s="49" t="e">
        <f t="shared" si="17"/>
        <v>#VALUE!</v>
      </c>
      <c r="AZ17" s="50">
        <f t="shared" si="19"/>
        <v>2.5751452420701169</v>
      </c>
      <c r="BB17" s="11"/>
    </row>
    <row r="18" spans="1:54" ht="24.95" customHeight="1" x14ac:dyDescent="0.25">
      <c r="A18" s="11">
        <v>1</v>
      </c>
      <c r="B18" s="11" t="s">
        <v>68</v>
      </c>
      <c r="C18" s="11">
        <v>1</v>
      </c>
      <c r="D18" s="11">
        <v>2</v>
      </c>
      <c r="E18" s="11">
        <v>6</v>
      </c>
      <c r="F18" s="11" t="s">
        <v>69</v>
      </c>
      <c r="G18" s="12">
        <v>17</v>
      </c>
      <c r="H18" s="46">
        <v>44666</v>
      </c>
      <c r="I18" s="11">
        <v>3</v>
      </c>
      <c r="L18" s="11">
        <v>81</v>
      </c>
      <c r="M18" s="11">
        <v>82</v>
      </c>
      <c r="N18" s="47" t="e">
        <f t="shared" si="0"/>
        <v>#DIV/0!</v>
      </c>
      <c r="O18" s="47">
        <f t="shared" si="1"/>
        <v>81.5</v>
      </c>
      <c r="P18" s="23">
        <v>2.68</v>
      </c>
      <c r="Q18" s="48">
        <f t="shared" si="2"/>
        <v>3.5733333333333333</v>
      </c>
      <c r="R18" s="48">
        <f t="shared" si="3"/>
        <v>3.6886734393805729</v>
      </c>
      <c r="S18" s="23">
        <v>255.7</v>
      </c>
      <c r="T18" s="23">
        <v>227</v>
      </c>
      <c r="U18" s="48">
        <f t="shared" si="4"/>
        <v>0.88775909268674236</v>
      </c>
      <c r="V18" s="48">
        <f t="shared" si="5"/>
        <v>11.224090731325765</v>
      </c>
      <c r="W18" s="23">
        <v>3.335</v>
      </c>
      <c r="X18" s="48">
        <f t="shared" si="6"/>
        <v>4.4466666666666663</v>
      </c>
      <c r="Y18" s="48">
        <f t="shared" si="7"/>
        <v>2.3305380852550663</v>
      </c>
      <c r="Z18" s="23">
        <v>0.95399999999999996</v>
      </c>
      <c r="AA18" s="23">
        <v>0.5</v>
      </c>
      <c r="AB18" s="48">
        <f t="shared" si="8"/>
        <v>52.410901467505241</v>
      </c>
      <c r="AC18" s="48">
        <f t="shared" si="9"/>
        <v>47.589098532494759</v>
      </c>
      <c r="AD18" s="48">
        <f t="shared" si="18"/>
        <v>0.63180927332142101</v>
      </c>
      <c r="AE18" s="22">
        <v>2094</v>
      </c>
      <c r="AF18" s="22">
        <v>0</v>
      </c>
      <c r="AG18" s="23">
        <f t="shared" si="10"/>
        <v>2.7919999999999998</v>
      </c>
      <c r="AH18" s="23">
        <f t="shared" si="10"/>
        <v>0</v>
      </c>
      <c r="AI18" s="23">
        <f t="shared" si="11"/>
        <v>2.7919999999999998</v>
      </c>
      <c r="AJ18" s="23">
        <f t="shared" si="12"/>
        <v>0.78133333333333344</v>
      </c>
      <c r="AK18" s="11">
        <v>121.21</v>
      </c>
      <c r="AL18" s="11">
        <v>124.25</v>
      </c>
      <c r="AM18" s="11">
        <v>1.58</v>
      </c>
      <c r="AN18" s="11">
        <v>1.45</v>
      </c>
      <c r="AO18" s="11" t="s">
        <v>53</v>
      </c>
      <c r="AP18" s="11" t="s">
        <v>53</v>
      </c>
      <c r="AQ18" s="11">
        <v>121.21</v>
      </c>
      <c r="AR18" s="11">
        <v>108.57000000000001</v>
      </c>
      <c r="AS18" s="11" t="s">
        <v>53</v>
      </c>
      <c r="AT18" s="11" t="s">
        <v>53</v>
      </c>
      <c r="AU18" s="49">
        <f t="shared" si="13"/>
        <v>48.914734999999993</v>
      </c>
      <c r="AV18" s="49">
        <f t="shared" si="14"/>
        <v>30.300000000000004</v>
      </c>
      <c r="AW18" s="49" t="e">
        <f t="shared" si="15"/>
        <v>#DIV/0!</v>
      </c>
      <c r="AX18" s="49">
        <f t="shared" si="16"/>
        <v>0.89571817506806384</v>
      </c>
      <c r="AY18" s="49" t="e">
        <f t="shared" si="17"/>
        <v>#VALUE!</v>
      </c>
      <c r="AZ18" s="50">
        <f t="shared" si="19"/>
        <v>2.5008451447900342</v>
      </c>
      <c r="BB18" s="11"/>
    </row>
    <row r="19" spans="1:54" ht="24.95" customHeight="1" x14ac:dyDescent="0.25">
      <c r="A19" s="11">
        <v>5</v>
      </c>
      <c r="B19" s="11" t="s">
        <v>62</v>
      </c>
      <c r="C19" s="11">
        <v>1</v>
      </c>
      <c r="D19" s="11">
        <v>2</v>
      </c>
      <c r="E19" s="11">
        <v>3</v>
      </c>
      <c r="F19" s="11" t="s">
        <v>63</v>
      </c>
      <c r="G19" s="12">
        <v>18</v>
      </c>
      <c r="H19" s="46">
        <v>44666</v>
      </c>
      <c r="I19" s="11">
        <v>7</v>
      </c>
      <c r="L19" s="11">
        <v>78</v>
      </c>
      <c r="M19" s="11">
        <v>79</v>
      </c>
      <c r="N19" s="47" t="e">
        <f t="shared" si="0"/>
        <v>#DIV/0!</v>
      </c>
      <c r="O19" s="47">
        <f t="shared" si="1"/>
        <v>78.5</v>
      </c>
      <c r="P19" s="23">
        <v>2.65</v>
      </c>
      <c r="Q19" s="48">
        <f t="shared" si="2"/>
        <v>3.5333333333333332</v>
      </c>
      <c r="R19" s="48">
        <f t="shared" si="3"/>
        <v>3.5961257888168183</v>
      </c>
      <c r="S19" s="23">
        <v>264.60000000000002</v>
      </c>
      <c r="T19" s="23">
        <v>231.6</v>
      </c>
      <c r="U19" s="48">
        <f t="shared" si="4"/>
        <v>0.87528344671201808</v>
      </c>
      <c r="V19" s="48">
        <f t="shared" si="5"/>
        <v>12.471655328798192</v>
      </c>
      <c r="W19" s="23">
        <v>4.5090000000000003</v>
      </c>
      <c r="X19" s="48">
        <f t="shared" si="6"/>
        <v>6.0120000000000005</v>
      </c>
      <c r="Y19" s="48">
        <f t="shared" si="7"/>
        <v>3.086007604562738</v>
      </c>
      <c r="Z19" s="23">
        <v>0.78900000000000003</v>
      </c>
      <c r="AA19" s="23">
        <v>0.40500000000000003</v>
      </c>
      <c r="AB19" s="48">
        <f t="shared" si="8"/>
        <v>51.330798479087456</v>
      </c>
      <c r="AC19" s="48">
        <f t="shared" si="9"/>
        <v>48.669201520912544</v>
      </c>
      <c r="AD19" s="48">
        <f t="shared" si="18"/>
        <v>0.85814784737496153</v>
      </c>
      <c r="AE19" s="22">
        <v>1957</v>
      </c>
      <c r="AF19" s="22">
        <v>0</v>
      </c>
      <c r="AG19" s="23">
        <f t="shared" si="10"/>
        <v>2.6093333333333333</v>
      </c>
      <c r="AH19" s="23">
        <f t="shared" si="10"/>
        <v>0</v>
      </c>
      <c r="AI19" s="23">
        <f t="shared" si="11"/>
        <v>2.6093333333333333</v>
      </c>
      <c r="AJ19" s="23">
        <f t="shared" si="12"/>
        <v>0.92399999999999993</v>
      </c>
      <c r="AK19" s="11">
        <v>122.2</v>
      </c>
      <c r="AL19" s="11">
        <v>124.33</v>
      </c>
      <c r="AM19" s="11">
        <v>1.47</v>
      </c>
      <c r="AN19" s="11">
        <v>1.4</v>
      </c>
      <c r="AO19" s="11" t="s">
        <v>53</v>
      </c>
      <c r="AP19" s="11" t="s">
        <v>53</v>
      </c>
      <c r="AQ19" s="11">
        <v>122.2</v>
      </c>
      <c r="AR19" s="11">
        <v>109.09</v>
      </c>
      <c r="AS19" s="11" t="s">
        <v>53</v>
      </c>
      <c r="AT19" s="11" t="s">
        <v>53</v>
      </c>
      <c r="AU19" s="49">
        <f t="shared" si="13"/>
        <v>49.133817499999992</v>
      </c>
      <c r="AV19" s="49">
        <f t="shared" si="14"/>
        <v>28.700000000000003</v>
      </c>
      <c r="AW19" s="49" t="e">
        <f t="shared" si="15"/>
        <v>#DIV/0!</v>
      </c>
      <c r="AX19" s="49">
        <f t="shared" si="16"/>
        <v>0.89271685761047459</v>
      </c>
      <c r="AY19" s="49" t="e">
        <f t="shared" si="17"/>
        <v>#VALUE!</v>
      </c>
      <c r="AZ19" s="50">
        <f t="shared" si="19"/>
        <v>2.3293958537915982</v>
      </c>
      <c r="BB19" s="11"/>
    </row>
    <row r="20" spans="1:54" ht="24.95" customHeight="1" x14ac:dyDescent="0.25">
      <c r="A20" s="11">
        <v>6</v>
      </c>
      <c r="B20" s="11" t="s">
        <v>72</v>
      </c>
      <c r="C20" s="11">
        <v>2</v>
      </c>
      <c r="D20" s="11">
        <v>3</v>
      </c>
      <c r="E20" s="11">
        <v>3</v>
      </c>
      <c r="F20" s="11" t="s">
        <v>73</v>
      </c>
      <c r="G20" s="12">
        <v>19</v>
      </c>
      <c r="H20" s="46">
        <v>44666</v>
      </c>
      <c r="I20" s="11">
        <v>8</v>
      </c>
      <c r="L20" s="11">
        <v>67</v>
      </c>
      <c r="M20" s="11">
        <v>59</v>
      </c>
      <c r="N20" s="47" t="e">
        <f t="shared" si="0"/>
        <v>#DIV/0!</v>
      </c>
      <c r="O20" s="47">
        <f t="shared" si="1"/>
        <v>63</v>
      </c>
      <c r="P20" s="23">
        <v>2.0499999999999998</v>
      </c>
      <c r="Q20" s="48">
        <f t="shared" si="2"/>
        <v>2.7333333333333334</v>
      </c>
      <c r="R20" s="48">
        <f t="shared" si="3"/>
        <v>2.6997445384073293</v>
      </c>
      <c r="S20" s="23">
        <v>246.4</v>
      </c>
      <c r="T20" s="23">
        <v>209.3</v>
      </c>
      <c r="U20" s="48">
        <f t="shared" si="4"/>
        <v>0.84943181818181823</v>
      </c>
      <c r="V20" s="48">
        <f t="shared" si="5"/>
        <v>15.056818181818176</v>
      </c>
      <c r="W20" s="23">
        <v>3.9860000000000002</v>
      </c>
      <c r="X20" s="48">
        <f t="shared" si="6"/>
        <v>5.3146666666666667</v>
      </c>
      <c r="Y20" s="48">
        <f t="shared" si="7"/>
        <v>2.7320374832663985</v>
      </c>
      <c r="Z20" s="23">
        <v>1.2450000000000001</v>
      </c>
      <c r="AA20" s="23">
        <v>0.64</v>
      </c>
      <c r="AB20" s="48">
        <f t="shared" si="8"/>
        <v>51.405622489959832</v>
      </c>
      <c r="AC20" s="48">
        <f t="shared" si="9"/>
        <v>48.594377510040168</v>
      </c>
      <c r="AD20" s="48">
        <f t="shared" si="18"/>
        <v>1.0119614816882341</v>
      </c>
      <c r="AE20" s="22">
        <v>1313</v>
      </c>
      <c r="AF20" s="22">
        <v>0</v>
      </c>
      <c r="AG20" s="23">
        <f t="shared" si="10"/>
        <v>1.7506666666666666</v>
      </c>
      <c r="AH20" s="23">
        <f t="shared" si="10"/>
        <v>0</v>
      </c>
      <c r="AI20" s="23">
        <f t="shared" si="11"/>
        <v>1.7506666666666666</v>
      </c>
      <c r="AJ20" s="23">
        <f t="shared" si="12"/>
        <v>0.9826666666666668</v>
      </c>
      <c r="AK20" s="11">
        <v>113.8</v>
      </c>
      <c r="AL20" s="11">
        <v>114.61</v>
      </c>
      <c r="AM20" s="11">
        <v>1.46</v>
      </c>
      <c r="AN20" s="11">
        <v>1.3</v>
      </c>
      <c r="AO20" s="11" t="s">
        <v>53</v>
      </c>
      <c r="AP20" s="11" t="s">
        <v>53</v>
      </c>
      <c r="AQ20" s="11">
        <v>113.8</v>
      </c>
      <c r="AR20" s="11">
        <v>102.17</v>
      </c>
      <c r="AS20" s="11" t="s">
        <v>53</v>
      </c>
      <c r="AT20" s="11" t="s">
        <v>53</v>
      </c>
      <c r="AU20" s="49">
        <f t="shared" si="13"/>
        <v>45.42374749999999</v>
      </c>
      <c r="AV20" s="49">
        <f t="shared" si="14"/>
        <v>27.599999999999998</v>
      </c>
      <c r="AW20" s="49" t="e">
        <f t="shared" si="15"/>
        <v>#DIV/0!</v>
      </c>
      <c r="AX20" s="49">
        <f t="shared" si="16"/>
        <v>0.89780316344463973</v>
      </c>
      <c r="AY20" s="49" t="e">
        <f t="shared" si="17"/>
        <v>#VALUE!</v>
      </c>
      <c r="AZ20" s="50">
        <f t="shared" si="19"/>
        <v>1.5717540714704159</v>
      </c>
      <c r="BB20" s="11"/>
    </row>
    <row r="21" spans="1:54" ht="24.95" customHeight="1" x14ac:dyDescent="0.25">
      <c r="A21" s="11">
        <v>10</v>
      </c>
      <c r="B21" s="11" t="s">
        <v>76</v>
      </c>
      <c r="C21" s="11">
        <v>2</v>
      </c>
      <c r="D21" s="11">
        <v>3</v>
      </c>
      <c r="E21" s="11">
        <v>6</v>
      </c>
      <c r="F21" s="11" t="s">
        <v>77</v>
      </c>
      <c r="G21" s="12">
        <v>20</v>
      </c>
      <c r="H21" s="46">
        <v>44666</v>
      </c>
      <c r="I21" s="11">
        <v>4</v>
      </c>
      <c r="J21" s="11">
        <v>53</v>
      </c>
      <c r="K21" s="11">
        <v>50</v>
      </c>
      <c r="L21" s="11">
        <v>85</v>
      </c>
      <c r="M21" s="11">
        <v>76</v>
      </c>
      <c r="N21" s="47">
        <f t="shared" si="0"/>
        <v>51.5</v>
      </c>
      <c r="O21" s="47">
        <f t="shared" si="1"/>
        <v>80.5</v>
      </c>
      <c r="P21" s="23">
        <v>2.56</v>
      </c>
      <c r="Q21" s="48">
        <f t="shared" si="2"/>
        <v>3.4133333333333331</v>
      </c>
      <c r="R21" s="48">
        <f t="shared" si="3"/>
        <v>3.5583559082922949</v>
      </c>
      <c r="S21" s="23">
        <v>268.7</v>
      </c>
      <c r="T21" s="23">
        <v>240.9</v>
      </c>
      <c r="U21" s="48">
        <f t="shared" si="4"/>
        <v>0.89653889095645711</v>
      </c>
      <c r="V21" s="48">
        <f t="shared" si="5"/>
        <v>10.346110904354289</v>
      </c>
      <c r="W21" s="23">
        <v>1.901</v>
      </c>
      <c r="X21" s="48">
        <f t="shared" si="6"/>
        <v>2.5346666666666668</v>
      </c>
      <c r="Y21" s="48">
        <f t="shared" si="7"/>
        <v>1.743627838827839</v>
      </c>
      <c r="Z21" s="23">
        <v>0.45500000000000002</v>
      </c>
      <c r="AA21" s="23">
        <v>0.313</v>
      </c>
      <c r="AB21" s="48">
        <f t="shared" si="8"/>
        <v>68.791208791208788</v>
      </c>
      <c r="AC21" s="48">
        <f t="shared" si="9"/>
        <v>31.208791208791208</v>
      </c>
      <c r="AD21" s="48">
        <f t="shared" si="18"/>
        <v>0.49000939865642351</v>
      </c>
      <c r="AE21" s="22">
        <v>350</v>
      </c>
      <c r="AF21" s="22">
        <v>1637</v>
      </c>
      <c r="AG21" s="23">
        <f t="shared" si="10"/>
        <v>0.46666666666666662</v>
      </c>
      <c r="AH21" s="23">
        <f t="shared" si="10"/>
        <v>2.182666666666667</v>
      </c>
      <c r="AI21" s="23">
        <f t="shared" si="11"/>
        <v>2.6493333333333338</v>
      </c>
      <c r="AJ21" s="23">
        <f t="shared" si="12"/>
        <v>0.76399999999999935</v>
      </c>
      <c r="AK21" s="11">
        <v>128.54</v>
      </c>
      <c r="AL21" s="11">
        <v>128.88999999999999</v>
      </c>
      <c r="AM21" s="11">
        <v>1.72</v>
      </c>
      <c r="AN21" s="11">
        <v>1.48</v>
      </c>
      <c r="AO21" s="11">
        <v>6.97</v>
      </c>
      <c r="AP21" s="11">
        <v>6.83</v>
      </c>
      <c r="AQ21" s="11">
        <v>128.54</v>
      </c>
      <c r="AR21" s="11">
        <v>115.11</v>
      </c>
      <c r="AS21" s="11">
        <v>100.8</v>
      </c>
      <c r="AT21" s="11">
        <v>91.19</v>
      </c>
      <c r="AU21" s="49">
        <f t="shared" si="13"/>
        <v>51.365592499999984</v>
      </c>
      <c r="AV21" s="49">
        <f t="shared" si="14"/>
        <v>32</v>
      </c>
      <c r="AW21" s="49">
        <f t="shared" si="15"/>
        <v>138</v>
      </c>
      <c r="AX21" s="49">
        <f t="shared" si="16"/>
        <v>0.89551890462112971</v>
      </c>
      <c r="AY21" s="49">
        <f t="shared" si="17"/>
        <v>0.90466269841269842</v>
      </c>
      <c r="AZ21" s="50">
        <f t="shared" si="19"/>
        <v>0.41790882215652714</v>
      </c>
      <c r="BB21" s="11"/>
    </row>
    <row r="22" spans="1:54" ht="24.95" customHeight="1" x14ac:dyDescent="0.25">
      <c r="A22" s="11">
        <v>3</v>
      </c>
      <c r="B22" s="11" t="s">
        <v>82</v>
      </c>
      <c r="C22" s="11">
        <v>2</v>
      </c>
      <c r="D22" s="11">
        <v>3</v>
      </c>
      <c r="E22" s="11">
        <v>9</v>
      </c>
      <c r="F22" s="11" t="s">
        <v>83</v>
      </c>
      <c r="G22" s="12">
        <v>21</v>
      </c>
      <c r="H22" s="46">
        <v>44666</v>
      </c>
      <c r="I22" s="11">
        <v>4</v>
      </c>
      <c r="L22" s="11">
        <v>65</v>
      </c>
      <c r="M22" s="11">
        <v>61</v>
      </c>
      <c r="N22" s="47" t="e">
        <f t="shared" si="0"/>
        <v>#DIV/0!</v>
      </c>
      <c r="O22" s="47">
        <f t="shared" si="1"/>
        <v>63</v>
      </c>
      <c r="P22" s="23">
        <v>2.81</v>
      </c>
      <c r="Q22" s="48">
        <f t="shared" si="2"/>
        <v>3.7466666666666666</v>
      </c>
      <c r="R22" s="48">
        <f t="shared" si="3"/>
        <v>3.7785604677619919</v>
      </c>
      <c r="S22" s="23">
        <v>234.4</v>
      </c>
      <c r="T22" s="23">
        <v>203.3</v>
      </c>
      <c r="U22" s="48">
        <f t="shared" si="4"/>
        <v>0.86732081911262804</v>
      </c>
      <c r="V22" s="48">
        <f t="shared" si="5"/>
        <v>13.267918088737197</v>
      </c>
      <c r="W22" s="23">
        <v>6.1050000000000004</v>
      </c>
      <c r="X22" s="48">
        <f t="shared" si="6"/>
        <v>8.14</v>
      </c>
      <c r="Y22" s="48">
        <f t="shared" si="7"/>
        <v>4.4328294573643419</v>
      </c>
      <c r="Z22" s="23">
        <v>1.032</v>
      </c>
      <c r="AA22" s="23">
        <v>0.56200000000000006</v>
      </c>
      <c r="AB22" s="48">
        <f t="shared" si="8"/>
        <v>54.457364341085281</v>
      </c>
      <c r="AC22" s="48">
        <f t="shared" si="9"/>
        <v>45.542635658914719</v>
      </c>
      <c r="AD22" s="48">
        <f t="shared" si="18"/>
        <v>1.1731529758976882</v>
      </c>
      <c r="AE22" s="22">
        <v>2088</v>
      </c>
      <c r="AF22" s="22">
        <v>0</v>
      </c>
      <c r="AG22" s="23">
        <f t="shared" si="10"/>
        <v>2.7839999999999998</v>
      </c>
      <c r="AH22" s="23">
        <f t="shared" si="10"/>
        <v>0</v>
      </c>
      <c r="AI22" s="23">
        <f t="shared" si="11"/>
        <v>2.7839999999999998</v>
      </c>
      <c r="AJ22" s="23">
        <f t="shared" si="12"/>
        <v>0.96266666666666678</v>
      </c>
      <c r="AK22" s="11">
        <v>114.51</v>
      </c>
      <c r="AL22" s="11">
        <v>115.08</v>
      </c>
      <c r="AM22" s="11">
        <v>1.19</v>
      </c>
      <c r="AN22" s="11">
        <v>1.46</v>
      </c>
      <c r="AO22" s="11" t="s">
        <v>53</v>
      </c>
      <c r="AP22" s="11" t="s">
        <v>53</v>
      </c>
      <c r="AQ22" s="11">
        <v>114.51</v>
      </c>
      <c r="AR22" s="11">
        <v>102.27</v>
      </c>
      <c r="AS22" s="11" t="s">
        <v>53</v>
      </c>
      <c r="AT22" s="11" t="s">
        <v>53</v>
      </c>
      <c r="AU22" s="49">
        <f t="shared" si="13"/>
        <v>45.665352499999997</v>
      </c>
      <c r="AV22" s="49">
        <f t="shared" si="14"/>
        <v>26.5</v>
      </c>
      <c r="AW22" s="49" t="e">
        <f t="shared" si="15"/>
        <v>#DIV/0!</v>
      </c>
      <c r="AX22" s="49">
        <f t="shared" si="16"/>
        <v>0.89310977207230802</v>
      </c>
      <c r="AY22" s="49" t="e">
        <f t="shared" si="17"/>
        <v>#VALUE!</v>
      </c>
      <c r="AZ22" s="50">
        <f t="shared" si="19"/>
        <v>2.4864176054493052</v>
      </c>
      <c r="BB22" s="11"/>
    </row>
    <row r="23" spans="1:54" ht="24.95" customHeight="1" x14ac:dyDescent="0.25">
      <c r="A23" s="11">
        <v>12</v>
      </c>
      <c r="B23" s="11" t="s">
        <v>66</v>
      </c>
      <c r="C23" s="11">
        <v>2</v>
      </c>
      <c r="D23" s="11">
        <v>3</v>
      </c>
      <c r="E23" s="11">
        <v>12</v>
      </c>
      <c r="F23" s="11" t="s">
        <v>67</v>
      </c>
      <c r="G23" s="12">
        <v>22</v>
      </c>
      <c r="H23" s="46">
        <v>44666</v>
      </c>
      <c r="I23" s="11">
        <v>4</v>
      </c>
      <c r="J23" s="11">
        <v>58</v>
      </c>
      <c r="K23" s="11">
        <v>57</v>
      </c>
      <c r="L23" s="11">
        <v>80</v>
      </c>
      <c r="M23" s="11">
        <v>85</v>
      </c>
      <c r="N23" s="47">
        <f t="shared" si="0"/>
        <v>57.5</v>
      </c>
      <c r="O23" s="47">
        <f t="shared" si="1"/>
        <v>82.5</v>
      </c>
      <c r="P23" s="23">
        <v>2.56</v>
      </c>
      <c r="Q23" s="48">
        <f t="shared" si="2"/>
        <v>3.4133333333333331</v>
      </c>
      <c r="R23" s="48">
        <f t="shared" si="3"/>
        <v>3.5039067611987402</v>
      </c>
      <c r="S23" s="23">
        <v>302.10000000000002</v>
      </c>
      <c r="T23" s="23">
        <v>266.7</v>
      </c>
      <c r="U23" s="48">
        <f t="shared" si="4"/>
        <v>0.88282025819265131</v>
      </c>
      <c r="V23" s="48">
        <f t="shared" si="5"/>
        <v>11.717974180734869</v>
      </c>
      <c r="W23" s="23">
        <v>2.9279999999999999</v>
      </c>
      <c r="X23" s="48">
        <f t="shared" si="6"/>
        <v>3.9039999999999999</v>
      </c>
      <c r="Y23" s="48">
        <f t="shared" si="7"/>
        <v>2.5379237147595357</v>
      </c>
      <c r="Z23" s="23">
        <v>0.60299999999999998</v>
      </c>
      <c r="AA23" s="23">
        <v>0.39200000000000002</v>
      </c>
      <c r="AB23" s="48">
        <f t="shared" si="8"/>
        <v>65.008291873963515</v>
      </c>
      <c r="AC23" s="48">
        <f t="shared" si="9"/>
        <v>34.991708126036478</v>
      </c>
      <c r="AD23" s="48">
        <f t="shared" si="18"/>
        <v>0.72431257100325153</v>
      </c>
      <c r="AE23" s="22">
        <v>595</v>
      </c>
      <c r="AF23" s="22">
        <v>1382</v>
      </c>
      <c r="AG23" s="23">
        <f t="shared" si="10"/>
        <v>0.79333333333333333</v>
      </c>
      <c r="AH23" s="23">
        <f t="shared" si="10"/>
        <v>1.8426666666666669</v>
      </c>
      <c r="AI23" s="23">
        <f t="shared" si="11"/>
        <v>2.6360000000000001</v>
      </c>
      <c r="AJ23" s="23">
        <f t="shared" si="12"/>
        <v>0.77733333333333299</v>
      </c>
      <c r="AK23" s="11">
        <v>125.76</v>
      </c>
      <c r="AL23" s="11">
        <v>125.87</v>
      </c>
      <c r="AM23" s="11">
        <v>1.59</v>
      </c>
      <c r="AN23" s="11">
        <v>1.53</v>
      </c>
      <c r="AO23" s="11">
        <v>7.14</v>
      </c>
      <c r="AP23" s="11">
        <v>7.51</v>
      </c>
      <c r="AQ23" s="11">
        <v>125.76</v>
      </c>
      <c r="AR23" s="11">
        <v>112.64</v>
      </c>
      <c r="AS23" s="11">
        <v>100.39</v>
      </c>
      <c r="AT23" s="11">
        <v>91.31</v>
      </c>
      <c r="AU23" s="49">
        <f t="shared" si="13"/>
        <v>50.178042499999989</v>
      </c>
      <c r="AV23" s="49">
        <f t="shared" si="14"/>
        <v>31.200000000000003</v>
      </c>
      <c r="AW23" s="49">
        <f t="shared" si="15"/>
        <v>146.5</v>
      </c>
      <c r="AX23" s="49">
        <f t="shared" si="16"/>
        <v>0.89567430025445294</v>
      </c>
      <c r="AY23" s="49">
        <f t="shared" si="17"/>
        <v>0.90955274429724076</v>
      </c>
      <c r="AZ23" s="50">
        <f t="shared" si="19"/>
        <v>0.71056827820186597</v>
      </c>
      <c r="BB23" s="11"/>
    </row>
    <row r="24" spans="1:54" ht="24.95" customHeight="1" x14ac:dyDescent="0.25">
      <c r="A24" s="11">
        <v>2</v>
      </c>
      <c r="B24" s="11" t="s">
        <v>51</v>
      </c>
      <c r="C24" s="11">
        <v>2</v>
      </c>
      <c r="D24" s="11">
        <v>3</v>
      </c>
      <c r="E24" s="11">
        <v>15</v>
      </c>
      <c r="F24" s="11" t="s">
        <v>52</v>
      </c>
      <c r="G24" s="12">
        <v>23</v>
      </c>
      <c r="H24" s="46">
        <v>44666</v>
      </c>
      <c r="I24" s="11">
        <v>4</v>
      </c>
      <c r="L24" s="11">
        <v>82</v>
      </c>
      <c r="M24" s="11">
        <v>86</v>
      </c>
      <c r="N24" s="47" t="e">
        <f t="shared" si="0"/>
        <v>#DIV/0!</v>
      </c>
      <c r="O24" s="47">
        <f t="shared" si="1"/>
        <v>84</v>
      </c>
      <c r="P24" s="23">
        <v>3.65</v>
      </c>
      <c r="Q24" s="48">
        <f t="shared" si="2"/>
        <v>4.8666666666666663</v>
      </c>
      <c r="R24" s="48">
        <f t="shared" si="3"/>
        <v>4.9451062835786042</v>
      </c>
      <c r="S24" s="23">
        <v>285.39999999999998</v>
      </c>
      <c r="T24" s="23">
        <v>249.4</v>
      </c>
      <c r="U24" s="48">
        <f t="shared" si="4"/>
        <v>0.87386124737210946</v>
      </c>
      <c r="V24" s="48">
        <f t="shared" si="5"/>
        <v>12.613875262789055</v>
      </c>
      <c r="W24" s="23">
        <v>5.9189999999999996</v>
      </c>
      <c r="X24" s="48">
        <f t="shared" si="6"/>
        <v>7.8919999999999995</v>
      </c>
      <c r="Y24" s="48">
        <f t="shared" si="7"/>
        <v>3.9800907127429803</v>
      </c>
      <c r="Z24" s="23">
        <v>0.92600000000000005</v>
      </c>
      <c r="AA24" s="23">
        <v>0.46700000000000003</v>
      </c>
      <c r="AB24" s="48">
        <f t="shared" si="8"/>
        <v>50.431965442764579</v>
      </c>
      <c r="AC24" s="48">
        <f t="shared" si="9"/>
        <v>49.568034557235421</v>
      </c>
      <c r="AD24" s="48">
        <f t="shared" si="18"/>
        <v>0.8048544327469388</v>
      </c>
      <c r="AE24" s="22">
        <v>3049</v>
      </c>
      <c r="AF24" s="22">
        <v>0</v>
      </c>
      <c r="AG24" s="23">
        <f t="shared" si="10"/>
        <v>4.0653333333333332</v>
      </c>
      <c r="AH24" s="23">
        <f t="shared" si="10"/>
        <v>0</v>
      </c>
      <c r="AI24" s="23">
        <f t="shared" si="11"/>
        <v>4.0653333333333332</v>
      </c>
      <c r="AJ24" s="23">
        <f t="shared" si="12"/>
        <v>0.80133333333333301</v>
      </c>
      <c r="AK24" s="11">
        <v>125.12</v>
      </c>
      <c r="AL24" s="11">
        <v>125.6</v>
      </c>
      <c r="AM24" s="11">
        <v>1.3</v>
      </c>
      <c r="AN24" s="11">
        <v>1.4</v>
      </c>
      <c r="AO24" s="11" t="s">
        <v>53</v>
      </c>
      <c r="AP24" s="11" t="s">
        <v>53</v>
      </c>
      <c r="AQ24" s="11">
        <v>125.6</v>
      </c>
      <c r="AR24" s="11">
        <v>112.89</v>
      </c>
      <c r="AS24" s="11" t="s">
        <v>53</v>
      </c>
      <c r="AT24" s="11" t="s">
        <v>53</v>
      </c>
      <c r="AU24" s="49">
        <f t="shared" si="13"/>
        <v>49.991719999999994</v>
      </c>
      <c r="AV24" s="49">
        <f t="shared" si="14"/>
        <v>27</v>
      </c>
      <c r="AW24" s="49" t="e">
        <f t="shared" si="15"/>
        <v>#DIV/0!</v>
      </c>
      <c r="AX24" s="49">
        <f t="shared" si="16"/>
        <v>0.89880573248407647</v>
      </c>
      <c r="AY24" s="49" t="e">
        <f t="shared" si="17"/>
        <v>#VALUE!</v>
      </c>
      <c r="AZ24" s="50">
        <f t="shared" si="19"/>
        <v>3.6539449044585988</v>
      </c>
      <c r="BB24" s="11"/>
    </row>
    <row r="25" spans="1:54" ht="24.95" customHeight="1" x14ac:dyDescent="0.25">
      <c r="A25" s="11">
        <v>16</v>
      </c>
      <c r="B25" s="11" t="s">
        <v>49</v>
      </c>
      <c r="C25" s="11">
        <v>2</v>
      </c>
      <c r="D25" s="11">
        <v>3</v>
      </c>
      <c r="E25" s="11">
        <v>18</v>
      </c>
      <c r="F25" s="11" t="s">
        <v>50</v>
      </c>
      <c r="G25" s="12">
        <v>24</v>
      </c>
      <c r="H25" s="46">
        <v>44666</v>
      </c>
      <c r="I25" s="11">
        <v>3</v>
      </c>
      <c r="J25" s="11">
        <v>59</v>
      </c>
      <c r="K25" s="11">
        <v>54</v>
      </c>
      <c r="L25" s="11">
        <v>65</v>
      </c>
      <c r="M25" s="11">
        <v>65</v>
      </c>
      <c r="N25" s="47">
        <f t="shared" si="0"/>
        <v>56.5</v>
      </c>
      <c r="O25" s="47">
        <f t="shared" si="1"/>
        <v>65</v>
      </c>
      <c r="P25" s="23">
        <v>2.4700000000000002</v>
      </c>
      <c r="Q25" s="48">
        <f t="shared" si="2"/>
        <v>3.2933333333333339</v>
      </c>
      <c r="R25" s="48">
        <f t="shared" si="3"/>
        <v>3.4178743779502665</v>
      </c>
      <c r="S25" s="23">
        <v>308.89999999999998</v>
      </c>
      <c r="T25" s="23">
        <v>275.7</v>
      </c>
      <c r="U25" s="48">
        <f t="shared" si="4"/>
        <v>0.89252185173195209</v>
      </c>
      <c r="V25" s="48">
        <f t="shared" si="5"/>
        <v>10.747814826804792</v>
      </c>
      <c r="W25" s="23">
        <v>2.5470000000000002</v>
      </c>
      <c r="X25" s="48">
        <f t="shared" si="6"/>
        <v>3.3959999999999999</v>
      </c>
      <c r="Y25" s="48">
        <f t="shared" si="7"/>
        <v>2.2184597701149422</v>
      </c>
      <c r="Z25" s="23">
        <v>0.52200000000000002</v>
      </c>
      <c r="AA25" s="23">
        <v>0.34100000000000003</v>
      </c>
      <c r="AB25" s="48">
        <f t="shared" si="8"/>
        <v>65.325670498084293</v>
      </c>
      <c r="AC25" s="48">
        <f t="shared" si="9"/>
        <v>34.6743295019157</v>
      </c>
      <c r="AD25" s="48">
        <f t="shared" si="18"/>
        <v>0.64907586552241125</v>
      </c>
      <c r="AE25" s="22">
        <v>443</v>
      </c>
      <c r="AF25" s="22">
        <v>1465</v>
      </c>
      <c r="AG25" s="23">
        <f t="shared" si="10"/>
        <v>0.59066666666666667</v>
      </c>
      <c r="AH25" s="23">
        <f t="shared" si="10"/>
        <v>1.9533333333333334</v>
      </c>
      <c r="AI25" s="23">
        <f t="shared" si="11"/>
        <v>2.544</v>
      </c>
      <c r="AJ25" s="23">
        <f t="shared" si="12"/>
        <v>0.74933333333333385</v>
      </c>
      <c r="AK25" s="11">
        <v>121.9</v>
      </c>
      <c r="AL25" s="11">
        <v>118.52</v>
      </c>
      <c r="AM25" s="11">
        <v>1.41</v>
      </c>
      <c r="AN25" s="11">
        <v>1.47</v>
      </c>
      <c r="AO25" s="11">
        <v>6.99</v>
      </c>
      <c r="AP25" s="11">
        <v>6.6</v>
      </c>
      <c r="AQ25" s="11">
        <v>121.9</v>
      </c>
      <c r="AR25" s="11">
        <v>109.14</v>
      </c>
      <c r="AS25" s="11">
        <v>100.47</v>
      </c>
      <c r="AT25" s="11">
        <v>90.83</v>
      </c>
      <c r="AU25" s="49">
        <f t="shared" si="13"/>
        <v>47.882794999999994</v>
      </c>
      <c r="AV25" s="49">
        <f t="shared" si="14"/>
        <v>28.799999999999997</v>
      </c>
      <c r="AW25" s="49">
        <f t="shared" si="15"/>
        <v>135.9</v>
      </c>
      <c r="AX25" s="49">
        <f t="shared" si="16"/>
        <v>0.89532403609515998</v>
      </c>
      <c r="AY25" s="49">
        <f t="shared" si="17"/>
        <v>0.90405096048571709</v>
      </c>
      <c r="AZ25" s="50">
        <f t="shared" si="19"/>
        <v>0.5288380639868745</v>
      </c>
      <c r="BB25" s="11"/>
    </row>
    <row r="26" spans="1:54" ht="24.95" customHeight="1" x14ac:dyDescent="0.25">
      <c r="A26" s="11">
        <v>11</v>
      </c>
      <c r="B26" s="11" t="s">
        <v>54</v>
      </c>
      <c r="C26" s="11">
        <v>2</v>
      </c>
      <c r="D26" s="11">
        <v>3</v>
      </c>
      <c r="E26" s="11">
        <v>21</v>
      </c>
      <c r="F26" s="11" t="s">
        <v>55</v>
      </c>
      <c r="G26" s="12">
        <v>25</v>
      </c>
      <c r="H26" s="46">
        <v>44666</v>
      </c>
      <c r="I26" s="11">
        <v>6</v>
      </c>
      <c r="J26" s="11">
        <v>59</v>
      </c>
      <c r="K26" s="11">
        <v>49</v>
      </c>
      <c r="L26" s="11">
        <v>83</v>
      </c>
      <c r="M26" s="11">
        <v>82</v>
      </c>
      <c r="N26" s="47">
        <f t="shared" si="0"/>
        <v>54</v>
      </c>
      <c r="O26" s="47">
        <f t="shared" si="1"/>
        <v>82.5</v>
      </c>
      <c r="P26" s="23">
        <v>2.64</v>
      </c>
      <c r="Q26" s="48">
        <f t="shared" si="2"/>
        <v>3.5200000000000005</v>
      </c>
      <c r="R26" s="48">
        <f t="shared" si="3"/>
        <v>3.6847332195785971</v>
      </c>
      <c r="S26" s="23">
        <v>242.6</v>
      </c>
      <c r="T26" s="23">
        <v>218.4</v>
      </c>
      <c r="U26" s="48">
        <f t="shared" si="4"/>
        <v>0.90024732069249802</v>
      </c>
      <c r="V26" s="48">
        <f t="shared" si="5"/>
        <v>9.9752679307501975</v>
      </c>
      <c r="W26" s="23">
        <v>2.6</v>
      </c>
      <c r="X26" s="48">
        <f t="shared" si="6"/>
        <v>3.4666666666666668</v>
      </c>
      <c r="Y26" s="48">
        <f t="shared" si="7"/>
        <v>2.0380403458213259</v>
      </c>
      <c r="Z26" s="23">
        <v>0.69399999999999995</v>
      </c>
      <c r="AA26" s="23">
        <v>0.40799999999999997</v>
      </c>
      <c r="AB26" s="48">
        <f t="shared" si="8"/>
        <v>58.789625360230545</v>
      </c>
      <c r="AC26" s="48">
        <f t="shared" si="9"/>
        <v>41.210374639769455</v>
      </c>
      <c r="AD26" s="48">
        <f t="shared" si="18"/>
        <v>0.55310390857941283</v>
      </c>
      <c r="AE26" s="22">
        <v>587</v>
      </c>
      <c r="AF26" s="22">
        <v>1471</v>
      </c>
      <c r="AG26" s="23">
        <f t="shared" si="10"/>
        <v>0.78266666666666662</v>
      </c>
      <c r="AH26" s="23">
        <f t="shared" si="10"/>
        <v>1.9613333333333332</v>
      </c>
      <c r="AI26" s="23">
        <f t="shared" si="11"/>
        <v>2.7439999999999998</v>
      </c>
      <c r="AJ26" s="23">
        <f t="shared" si="12"/>
        <v>0.77600000000000069</v>
      </c>
      <c r="AK26" s="11">
        <v>126.39</v>
      </c>
      <c r="AL26" s="11">
        <v>127.81</v>
      </c>
      <c r="AM26" s="11">
        <v>1.7</v>
      </c>
      <c r="AN26" s="11">
        <v>1.78</v>
      </c>
      <c r="AO26" s="11">
        <v>6.33</v>
      </c>
      <c r="AP26" s="11">
        <v>6.19</v>
      </c>
      <c r="AQ26" s="11">
        <v>126.39</v>
      </c>
      <c r="AR26" s="11">
        <v>113.01</v>
      </c>
      <c r="AS26" s="11">
        <v>100.50999999999999</v>
      </c>
      <c r="AT26" s="11">
        <v>90.79</v>
      </c>
      <c r="AU26" s="49">
        <f t="shared" si="13"/>
        <v>50.704249999999995</v>
      </c>
      <c r="AV26" s="49">
        <f t="shared" si="14"/>
        <v>34.799999999999997</v>
      </c>
      <c r="AW26" s="49">
        <f t="shared" si="15"/>
        <v>125.19999999999999</v>
      </c>
      <c r="AX26" s="49">
        <f t="shared" si="16"/>
        <v>0.89413719439829109</v>
      </c>
      <c r="AY26" s="49">
        <f t="shared" si="17"/>
        <v>0.90329320465625329</v>
      </c>
      <c r="AZ26" s="50">
        <f t="shared" si="19"/>
        <v>0.69981137748239575</v>
      </c>
      <c r="BB26" s="11"/>
    </row>
    <row r="27" spans="1:54" ht="24.95" customHeight="1" x14ac:dyDescent="0.25">
      <c r="A27" s="11">
        <v>13</v>
      </c>
      <c r="B27" s="11" t="s">
        <v>78</v>
      </c>
      <c r="C27" s="11">
        <v>2</v>
      </c>
      <c r="D27" s="11">
        <v>3</v>
      </c>
      <c r="E27" s="11">
        <v>24</v>
      </c>
      <c r="F27" s="11" t="s">
        <v>79</v>
      </c>
      <c r="G27" s="12">
        <v>26</v>
      </c>
      <c r="H27" s="46">
        <v>44666</v>
      </c>
      <c r="I27" s="11">
        <v>3</v>
      </c>
      <c r="J27" s="11">
        <v>53</v>
      </c>
      <c r="K27" s="11">
        <v>55</v>
      </c>
      <c r="L27" s="11">
        <v>77</v>
      </c>
      <c r="M27" s="11">
        <v>72</v>
      </c>
      <c r="N27" s="47">
        <f t="shared" si="0"/>
        <v>54</v>
      </c>
      <c r="O27" s="47">
        <f t="shared" si="1"/>
        <v>74.5</v>
      </c>
      <c r="P27" s="23">
        <v>2.71</v>
      </c>
      <c r="Q27" s="48">
        <f t="shared" si="2"/>
        <v>3.6133333333333333</v>
      </c>
      <c r="R27" s="48">
        <f t="shared" si="3"/>
        <v>3.7650077875089871</v>
      </c>
      <c r="S27" s="23">
        <v>305.10000000000002</v>
      </c>
      <c r="T27" s="23">
        <v>273.39999999999998</v>
      </c>
      <c r="U27" s="48">
        <f t="shared" si="4"/>
        <v>0.89609963946247118</v>
      </c>
      <c r="V27" s="48">
        <f t="shared" si="5"/>
        <v>10.390036053752883</v>
      </c>
      <c r="W27" s="23">
        <v>2.06</v>
      </c>
      <c r="X27" s="48">
        <f t="shared" si="6"/>
        <v>2.7466666666666666</v>
      </c>
      <c r="Y27" s="48">
        <f t="shared" si="7"/>
        <v>1.4730366900858705</v>
      </c>
      <c r="Z27" s="23">
        <v>0.85399999999999998</v>
      </c>
      <c r="AA27" s="23">
        <v>0.45800000000000002</v>
      </c>
      <c r="AB27" s="48">
        <f t="shared" si="8"/>
        <v>53.62997658079626</v>
      </c>
      <c r="AC27" s="48">
        <f t="shared" si="9"/>
        <v>46.37002341920374</v>
      </c>
      <c r="AD27" s="48">
        <f t="shared" si="18"/>
        <v>0.39124399555637157</v>
      </c>
      <c r="AE27" s="22">
        <v>423</v>
      </c>
      <c r="AF27" s="22">
        <v>1653</v>
      </c>
      <c r="AG27" s="23">
        <f t="shared" si="10"/>
        <v>0.56399999999999995</v>
      </c>
      <c r="AH27" s="23">
        <f t="shared" si="10"/>
        <v>2.2040000000000002</v>
      </c>
      <c r="AI27" s="23">
        <f t="shared" si="11"/>
        <v>2.7680000000000002</v>
      </c>
      <c r="AJ27" s="23">
        <f t="shared" si="12"/>
        <v>0.84533333333333305</v>
      </c>
      <c r="AK27" s="11">
        <v>132.01</v>
      </c>
      <c r="AL27" s="11">
        <v>127.97</v>
      </c>
      <c r="AM27" s="11">
        <v>1.7</v>
      </c>
      <c r="AN27" s="11">
        <v>1.69</v>
      </c>
      <c r="AO27" s="11">
        <v>3.67</v>
      </c>
      <c r="AP27" s="11">
        <v>6.59</v>
      </c>
      <c r="AQ27" s="11">
        <v>132.01</v>
      </c>
      <c r="AR27" s="11">
        <v>119.04</v>
      </c>
      <c r="AS27" s="11">
        <v>100.64</v>
      </c>
      <c r="AT27" s="11">
        <v>90.73</v>
      </c>
      <c r="AU27" s="49">
        <f t="shared" si="13"/>
        <v>51.887704999999997</v>
      </c>
      <c r="AV27" s="49">
        <f t="shared" si="14"/>
        <v>33.9</v>
      </c>
      <c r="AW27" s="49">
        <f t="shared" si="15"/>
        <v>102.6</v>
      </c>
      <c r="AX27" s="49">
        <f t="shared" si="16"/>
        <v>0.90174986743428542</v>
      </c>
      <c r="AY27" s="49">
        <f t="shared" si="17"/>
        <v>0.90153020667726558</v>
      </c>
      <c r="AZ27" s="50">
        <f t="shared" si="19"/>
        <v>0.50858692523293692</v>
      </c>
      <c r="BB27" s="11"/>
    </row>
    <row r="28" spans="1:54" ht="24.95" customHeight="1" x14ac:dyDescent="0.25">
      <c r="A28" s="11">
        <v>9</v>
      </c>
      <c r="B28" s="11" t="s">
        <v>70</v>
      </c>
      <c r="C28" s="11">
        <v>2</v>
      </c>
      <c r="D28" s="11">
        <v>3</v>
      </c>
      <c r="E28" s="11">
        <v>27</v>
      </c>
      <c r="F28" s="11" t="s">
        <v>71</v>
      </c>
      <c r="G28" s="12">
        <v>27</v>
      </c>
      <c r="H28" s="46">
        <v>44666</v>
      </c>
      <c r="I28" s="11">
        <v>4</v>
      </c>
      <c r="J28" s="11">
        <v>60</v>
      </c>
      <c r="K28" s="11">
        <v>62</v>
      </c>
      <c r="N28" s="47">
        <f t="shared" si="0"/>
        <v>61</v>
      </c>
      <c r="O28" s="47" t="e">
        <f t="shared" si="1"/>
        <v>#DIV/0!</v>
      </c>
      <c r="P28" s="23">
        <v>1.98</v>
      </c>
      <c r="Q28" s="48">
        <f t="shared" si="2"/>
        <v>2.64</v>
      </c>
      <c r="R28" s="48">
        <f t="shared" si="3"/>
        <v>2.7785791535657243</v>
      </c>
      <c r="S28" s="23">
        <v>324.7</v>
      </c>
      <c r="T28" s="23">
        <v>293.89999999999998</v>
      </c>
      <c r="U28" s="48">
        <f t="shared" si="4"/>
        <v>0.90514320911610713</v>
      </c>
      <c r="V28" s="48">
        <f t="shared" si="5"/>
        <v>9.4856790883892863</v>
      </c>
      <c r="W28" s="23">
        <v>1.841</v>
      </c>
      <c r="X28" s="48">
        <f t="shared" si="6"/>
        <v>2.4546666666666668</v>
      </c>
      <c r="Y28" s="48">
        <f t="shared" si="7"/>
        <v>1.7525676855895198</v>
      </c>
      <c r="Z28" s="23">
        <v>0.45800000000000002</v>
      </c>
      <c r="AA28" s="23">
        <v>0.32700000000000001</v>
      </c>
      <c r="AB28" s="48">
        <f t="shared" si="8"/>
        <v>71.397379912663766</v>
      </c>
      <c r="AC28" s="48">
        <f t="shared" si="9"/>
        <v>28.602620087336238</v>
      </c>
      <c r="AD28" s="48">
        <f t="shared" si="18"/>
        <v>0.63074240060444786</v>
      </c>
      <c r="AE28" s="22">
        <v>0</v>
      </c>
      <c r="AF28" s="22">
        <v>1508</v>
      </c>
      <c r="AG28" s="23">
        <f t="shared" si="10"/>
        <v>0</v>
      </c>
      <c r="AH28" s="23">
        <f t="shared" si="10"/>
        <v>2.0106666666666668</v>
      </c>
      <c r="AI28" s="23">
        <f t="shared" si="11"/>
        <v>2.0106666666666668</v>
      </c>
      <c r="AJ28" s="23">
        <f t="shared" si="12"/>
        <v>0.6293333333333333</v>
      </c>
      <c r="AK28" s="11" t="s">
        <v>53</v>
      </c>
      <c r="AL28" s="11" t="s">
        <v>53</v>
      </c>
      <c r="AM28" s="11" t="s">
        <v>53</v>
      </c>
      <c r="AN28" s="11" t="s">
        <v>53</v>
      </c>
      <c r="AO28" s="11">
        <v>7.37</v>
      </c>
      <c r="AP28" s="11">
        <v>7.29</v>
      </c>
      <c r="AQ28" s="11" t="s">
        <v>53</v>
      </c>
      <c r="AR28" s="11" t="s">
        <v>53</v>
      </c>
      <c r="AS28" s="11">
        <v>100.52</v>
      </c>
      <c r="AT28" s="11">
        <v>91.79</v>
      </c>
      <c r="AU28" s="49" t="e">
        <f t="shared" si="13"/>
        <v>#DIV/0!</v>
      </c>
      <c r="AV28" s="49" t="e">
        <f t="shared" si="14"/>
        <v>#DIV/0!</v>
      </c>
      <c r="AW28" s="49">
        <f t="shared" si="15"/>
        <v>146.6</v>
      </c>
      <c r="AX28" s="49" t="e">
        <f t="shared" si="16"/>
        <v>#VALUE!</v>
      </c>
      <c r="AY28" s="49">
        <f t="shared" si="17"/>
        <v>0.91315161161957825</v>
      </c>
      <c r="AZ28" s="50" t="e">
        <f t="shared" si="19"/>
        <v>#VALUE!</v>
      </c>
      <c r="BB28" s="11"/>
    </row>
    <row r="29" spans="1:54" ht="24.95" customHeight="1" x14ac:dyDescent="0.25">
      <c r="A29" s="11">
        <v>5</v>
      </c>
      <c r="B29" s="11" t="s">
        <v>62</v>
      </c>
      <c r="C29" s="11">
        <v>2</v>
      </c>
      <c r="D29" s="11">
        <v>4</v>
      </c>
      <c r="E29" s="11">
        <v>27</v>
      </c>
      <c r="F29" s="11" t="s">
        <v>85</v>
      </c>
      <c r="G29" s="12">
        <v>28</v>
      </c>
      <c r="H29" s="46">
        <v>44666</v>
      </c>
      <c r="I29" s="11">
        <v>3</v>
      </c>
      <c r="L29" s="11">
        <v>97</v>
      </c>
      <c r="M29" s="11">
        <v>96</v>
      </c>
      <c r="N29" s="47" t="e">
        <f t="shared" si="0"/>
        <v>#DIV/0!</v>
      </c>
      <c r="O29" s="47">
        <f t="shared" si="1"/>
        <v>96.5</v>
      </c>
      <c r="P29" s="23">
        <v>3.35</v>
      </c>
      <c r="Q29" s="48">
        <f t="shared" si="2"/>
        <v>4.4666666666666668</v>
      </c>
      <c r="R29" s="48">
        <f t="shared" si="3"/>
        <v>4.5857439969748537</v>
      </c>
      <c r="S29" s="23">
        <v>184.5</v>
      </c>
      <c r="T29" s="23">
        <v>162.9</v>
      </c>
      <c r="U29" s="48">
        <f t="shared" si="4"/>
        <v>0.88292682926829269</v>
      </c>
      <c r="V29" s="48">
        <f t="shared" si="5"/>
        <v>11.707317073170731</v>
      </c>
      <c r="W29" s="23">
        <v>5.8159999999999998</v>
      </c>
      <c r="X29" s="48">
        <f t="shared" si="6"/>
        <v>7.7546666666666662</v>
      </c>
      <c r="Y29" s="48">
        <f t="shared" si="7"/>
        <v>4.6433238289205701</v>
      </c>
      <c r="Z29" s="23">
        <v>0.49099999999999999</v>
      </c>
      <c r="AA29" s="23">
        <v>0.29399999999999998</v>
      </c>
      <c r="AB29" s="48">
        <f t="shared" si="8"/>
        <v>59.877800407331975</v>
      </c>
      <c r="AC29" s="48">
        <f t="shared" si="9"/>
        <v>40.122199592668025</v>
      </c>
      <c r="AD29" s="48">
        <f t="shared" si="18"/>
        <v>1.0125562682922773</v>
      </c>
      <c r="AE29" s="22">
        <v>2607</v>
      </c>
      <c r="AF29" s="22">
        <v>0</v>
      </c>
      <c r="AG29" s="23">
        <f t="shared" si="10"/>
        <v>3.4760000000000004</v>
      </c>
      <c r="AH29" s="23">
        <f t="shared" si="10"/>
        <v>0</v>
      </c>
      <c r="AI29" s="23">
        <f t="shared" si="11"/>
        <v>3.4760000000000004</v>
      </c>
      <c r="AJ29" s="23">
        <f t="shared" si="12"/>
        <v>0.99066666666666636</v>
      </c>
      <c r="AK29" s="11">
        <v>118.85</v>
      </c>
      <c r="AL29" s="11">
        <v>118.39</v>
      </c>
      <c r="AM29" s="11">
        <v>1.48</v>
      </c>
      <c r="AN29" s="11">
        <v>1.28</v>
      </c>
      <c r="AO29" s="11" t="s">
        <v>53</v>
      </c>
      <c r="AP29" s="11" t="s">
        <v>53</v>
      </c>
      <c r="AQ29" s="11">
        <v>118.85</v>
      </c>
      <c r="AR29" s="11">
        <v>107.07000000000001</v>
      </c>
      <c r="AS29" s="11" t="s">
        <v>53</v>
      </c>
      <c r="AT29" s="11" t="s">
        <v>53</v>
      </c>
      <c r="AU29" s="49">
        <f t="shared" si="13"/>
        <v>47.231689999999993</v>
      </c>
      <c r="AV29" s="49">
        <f t="shared" si="14"/>
        <v>27.599999999999998</v>
      </c>
      <c r="AW29" s="49" t="e">
        <f t="shared" si="15"/>
        <v>#DIV/0!</v>
      </c>
      <c r="AX29" s="49">
        <f t="shared" si="16"/>
        <v>0.90088346655448059</v>
      </c>
      <c r="AY29" s="49" t="e">
        <f t="shared" si="17"/>
        <v>#VALUE!</v>
      </c>
      <c r="AZ29" s="50">
        <f t="shared" si="19"/>
        <v>3.1314709297433749</v>
      </c>
      <c r="BB29" s="11"/>
    </row>
    <row r="30" spans="1:54" ht="24.95" customHeight="1" x14ac:dyDescent="0.25">
      <c r="A30" s="11">
        <v>18</v>
      </c>
      <c r="B30" s="11" t="s">
        <v>80</v>
      </c>
      <c r="C30" s="11">
        <v>2</v>
      </c>
      <c r="D30" s="11">
        <v>4</v>
      </c>
      <c r="E30" s="11">
        <v>24</v>
      </c>
      <c r="F30" s="11" t="s">
        <v>81</v>
      </c>
      <c r="G30" s="12">
        <v>29</v>
      </c>
      <c r="H30" s="46">
        <v>44666</v>
      </c>
      <c r="I30" s="11">
        <v>4</v>
      </c>
      <c r="J30" s="11">
        <v>53</v>
      </c>
      <c r="K30" s="11">
        <v>57</v>
      </c>
      <c r="L30" s="11">
        <v>68</v>
      </c>
      <c r="M30" s="11">
        <v>63</v>
      </c>
      <c r="N30" s="47">
        <f t="shared" si="0"/>
        <v>55</v>
      </c>
      <c r="O30" s="47">
        <f t="shared" si="1"/>
        <v>65.5</v>
      </c>
      <c r="P30" s="23">
        <v>2.46</v>
      </c>
      <c r="Q30" s="48">
        <f t="shared" si="2"/>
        <v>3.2800000000000002</v>
      </c>
      <c r="R30" s="48">
        <f t="shared" si="3"/>
        <v>3.4082919830214631</v>
      </c>
      <c r="S30" s="23">
        <v>311.2</v>
      </c>
      <c r="T30" s="23">
        <v>278.10000000000002</v>
      </c>
      <c r="U30" s="48">
        <f t="shared" si="4"/>
        <v>0.89363753213367625</v>
      </c>
      <c r="V30" s="48">
        <f t="shared" si="5"/>
        <v>10.636246786632375</v>
      </c>
      <c r="W30" s="23">
        <v>2.7589999999999999</v>
      </c>
      <c r="X30" s="48">
        <f t="shared" si="6"/>
        <v>3.6786666666666665</v>
      </c>
      <c r="Y30" s="48">
        <f t="shared" si="7"/>
        <v>2.1666477690288715</v>
      </c>
      <c r="Z30" s="23">
        <v>0.63500000000000001</v>
      </c>
      <c r="AA30" s="23">
        <v>0.374</v>
      </c>
      <c r="AB30" s="48">
        <f t="shared" si="8"/>
        <v>58.897637795275593</v>
      </c>
      <c r="AC30" s="48">
        <f t="shared" si="9"/>
        <v>41.102362204724407</v>
      </c>
      <c r="AD30" s="48">
        <f t="shared" si="18"/>
        <v>0.63569898935364411</v>
      </c>
      <c r="AE30" s="22">
        <v>505</v>
      </c>
      <c r="AF30" s="22">
        <v>1276</v>
      </c>
      <c r="AG30" s="23">
        <f t="shared" si="10"/>
        <v>0.67333333333333334</v>
      </c>
      <c r="AH30" s="23">
        <f t="shared" si="10"/>
        <v>1.7013333333333334</v>
      </c>
      <c r="AI30" s="23">
        <f t="shared" si="11"/>
        <v>2.3746666666666667</v>
      </c>
      <c r="AJ30" s="23">
        <f t="shared" si="12"/>
        <v>0.90533333333333355</v>
      </c>
      <c r="AK30" s="11">
        <v>122.7</v>
      </c>
      <c r="AL30" s="11">
        <v>121.37</v>
      </c>
      <c r="AM30" s="11">
        <v>1.5</v>
      </c>
      <c r="AN30" s="11">
        <v>1.47</v>
      </c>
      <c r="AO30" s="11">
        <v>7.72</v>
      </c>
      <c r="AP30" s="11">
        <v>7.3</v>
      </c>
      <c r="AQ30" s="11">
        <v>122.7</v>
      </c>
      <c r="AR30" s="11">
        <v>110.60000000000001</v>
      </c>
      <c r="AS30" s="11">
        <v>100.72999999999999</v>
      </c>
      <c r="AT30" s="11">
        <v>91.070000000000007</v>
      </c>
      <c r="AU30" s="49">
        <f t="shared" si="13"/>
        <v>48.630132499999995</v>
      </c>
      <c r="AV30" s="49">
        <f t="shared" si="14"/>
        <v>29.699999999999996</v>
      </c>
      <c r="AW30" s="49">
        <f t="shared" si="15"/>
        <v>150.19999999999999</v>
      </c>
      <c r="AX30" s="49">
        <f t="shared" si="16"/>
        <v>0.90138549307253468</v>
      </c>
      <c r="AY30" s="49">
        <f t="shared" si="17"/>
        <v>0.90410006949270338</v>
      </c>
      <c r="AZ30" s="50">
        <f t="shared" si="19"/>
        <v>0.60693289866884004</v>
      </c>
      <c r="BB30" s="11"/>
    </row>
    <row r="31" spans="1:54" ht="24.95" customHeight="1" x14ac:dyDescent="0.25">
      <c r="A31" s="11">
        <v>5</v>
      </c>
      <c r="B31" s="11" t="s">
        <v>84</v>
      </c>
      <c r="C31" s="11">
        <v>2</v>
      </c>
      <c r="D31" s="11">
        <v>4</v>
      </c>
      <c r="E31" s="11">
        <v>21</v>
      </c>
      <c r="F31" s="11" t="s">
        <v>85</v>
      </c>
      <c r="G31" s="12">
        <v>30</v>
      </c>
      <c r="H31" s="46">
        <v>44666</v>
      </c>
      <c r="I31" s="11">
        <v>3</v>
      </c>
      <c r="L31" s="11">
        <v>85</v>
      </c>
      <c r="M31" s="11">
        <v>75</v>
      </c>
      <c r="N31" s="47" t="e">
        <f t="shared" si="0"/>
        <v>#DIV/0!</v>
      </c>
      <c r="O31" s="47">
        <f t="shared" si="1"/>
        <v>80</v>
      </c>
      <c r="P31" s="23">
        <v>2.89</v>
      </c>
      <c r="Q31" s="48">
        <f t="shared" si="2"/>
        <v>3.8533333333333335</v>
      </c>
      <c r="R31" s="48">
        <f t="shared" si="3"/>
        <v>3.97651332091792</v>
      </c>
      <c r="S31" s="23">
        <v>302.2</v>
      </c>
      <c r="T31" s="23">
        <v>268.2</v>
      </c>
      <c r="U31" s="48">
        <f t="shared" si="4"/>
        <v>0.88749172733289217</v>
      </c>
      <c r="V31" s="48">
        <f t="shared" si="5"/>
        <v>11.250827266710782</v>
      </c>
      <c r="W31" s="23">
        <v>4.7990000000000004</v>
      </c>
      <c r="X31" s="48">
        <f t="shared" si="6"/>
        <v>6.3986666666666672</v>
      </c>
      <c r="Y31" s="48">
        <f t="shared" si="7"/>
        <v>3.2844866920152098</v>
      </c>
      <c r="Z31" s="23">
        <v>0.78900000000000003</v>
      </c>
      <c r="AA31" s="23">
        <v>0.40500000000000003</v>
      </c>
      <c r="AB31" s="48">
        <f t="shared" si="8"/>
        <v>51.330798479087456</v>
      </c>
      <c r="AC31" s="48">
        <f t="shared" si="9"/>
        <v>48.669201520912544</v>
      </c>
      <c r="AD31" s="48">
        <f t="shared" si="18"/>
        <v>0.82597150492055538</v>
      </c>
      <c r="AE31" s="22">
        <v>2234</v>
      </c>
      <c r="AF31" s="22">
        <v>0</v>
      </c>
      <c r="AG31" s="23">
        <f t="shared" si="10"/>
        <v>2.9786666666666668</v>
      </c>
      <c r="AH31" s="23">
        <f t="shared" si="10"/>
        <v>0</v>
      </c>
      <c r="AI31" s="23">
        <f t="shared" si="11"/>
        <v>2.9786666666666668</v>
      </c>
      <c r="AJ31" s="23">
        <f t="shared" si="12"/>
        <v>0.8746666666666667</v>
      </c>
      <c r="AK31" s="11">
        <v>128.47</v>
      </c>
      <c r="AL31" s="11">
        <v>127.99</v>
      </c>
      <c r="AM31" s="11">
        <v>1.75</v>
      </c>
      <c r="AN31" s="11">
        <v>1.55</v>
      </c>
      <c r="AO31" s="11" t="s">
        <v>53</v>
      </c>
      <c r="AP31" s="11" t="s">
        <v>53</v>
      </c>
      <c r="AQ31" s="11">
        <v>128.47</v>
      </c>
      <c r="AR31" s="11">
        <v>115.57000000000001</v>
      </c>
      <c r="AS31" s="11" t="s">
        <v>53</v>
      </c>
      <c r="AT31" s="11" t="s">
        <v>53</v>
      </c>
      <c r="AU31" s="49">
        <f t="shared" si="13"/>
        <v>51.16698499999999</v>
      </c>
      <c r="AV31" s="49">
        <f t="shared" si="14"/>
        <v>33</v>
      </c>
      <c r="AW31" s="49" t="e">
        <f t="shared" si="15"/>
        <v>#DIV/0!</v>
      </c>
      <c r="AX31" s="49">
        <f t="shared" si="16"/>
        <v>0.89958745232349968</v>
      </c>
      <c r="AY31" s="49" t="e">
        <f t="shared" si="17"/>
        <v>#VALUE!</v>
      </c>
      <c r="AZ31" s="50">
        <f t="shared" si="19"/>
        <v>2.6795711579875978</v>
      </c>
      <c r="BB31" s="11"/>
    </row>
    <row r="32" spans="1:54" ht="24.95" customHeight="1" x14ac:dyDescent="0.25">
      <c r="A32" s="11">
        <v>15</v>
      </c>
      <c r="B32" s="11" t="s">
        <v>64</v>
      </c>
      <c r="C32" s="11">
        <v>2</v>
      </c>
      <c r="D32" s="11">
        <v>4</v>
      </c>
      <c r="E32" s="11">
        <v>18</v>
      </c>
      <c r="F32" s="11" t="s">
        <v>65</v>
      </c>
      <c r="G32" s="12">
        <v>31</v>
      </c>
      <c r="H32" s="46">
        <v>44666</v>
      </c>
      <c r="I32" s="11">
        <v>5</v>
      </c>
      <c r="J32" s="11">
        <v>60</v>
      </c>
      <c r="K32" s="11">
        <v>64</v>
      </c>
      <c r="L32" s="11">
        <v>76</v>
      </c>
      <c r="M32" s="11">
        <v>84</v>
      </c>
      <c r="N32" s="47">
        <f t="shared" si="0"/>
        <v>62</v>
      </c>
      <c r="O32" s="47">
        <f t="shared" si="1"/>
        <v>80</v>
      </c>
      <c r="P32" s="23">
        <v>2.68</v>
      </c>
      <c r="Q32" s="48">
        <f t="shared" si="2"/>
        <v>3.5733333333333333</v>
      </c>
      <c r="R32" s="48">
        <f t="shared" si="3"/>
        <v>3.721376002424988</v>
      </c>
      <c r="S32" s="23">
        <v>347.8</v>
      </c>
      <c r="T32" s="23">
        <v>311.5</v>
      </c>
      <c r="U32" s="48">
        <f t="shared" si="4"/>
        <v>0.8956296722254169</v>
      </c>
      <c r="V32" s="48">
        <f t="shared" si="5"/>
        <v>10.43703277745831</v>
      </c>
      <c r="W32" s="23">
        <v>2.2759999999999998</v>
      </c>
      <c r="X32" s="48">
        <f t="shared" si="6"/>
        <v>3.0346666666666664</v>
      </c>
      <c r="Y32" s="48">
        <f t="shared" si="7"/>
        <v>1.9290129198966404</v>
      </c>
      <c r="Z32" s="23">
        <v>0.64500000000000002</v>
      </c>
      <c r="AA32" s="23">
        <v>0.41</v>
      </c>
      <c r="AB32" s="48">
        <f t="shared" si="8"/>
        <v>63.565891472868209</v>
      </c>
      <c r="AC32" s="48">
        <f t="shared" si="9"/>
        <v>36.434108527131791</v>
      </c>
      <c r="AD32" s="48">
        <f t="shared" si="18"/>
        <v>0.51836012234174222</v>
      </c>
      <c r="AE32" s="22">
        <v>675</v>
      </c>
      <c r="AF32" s="22">
        <v>1395</v>
      </c>
      <c r="AG32" s="23">
        <f t="shared" si="10"/>
        <v>0.9</v>
      </c>
      <c r="AH32" s="23">
        <f t="shared" si="10"/>
        <v>1.86</v>
      </c>
      <c r="AI32" s="23">
        <f t="shared" si="11"/>
        <v>2.7600000000000002</v>
      </c>
      <c r="AJ32" s="23">
        <f t="shared" si="12"/>
        <v>0.81333333333333302</v>
      </c>
      <c r="AK32" s="11">
        <v>130.78</v>
      </c>
      <c r="AL32" s="11">
        <v>132.19</v>
      </c>
      <c r="AM32" s="11">
        <v>1.46</v>
      </c>
      <c r="AN32" s="11">
        <v>1.71</v>
      </c>
      <c r="AO32" s="11">
        <v>7.42</v>
      </c>
      <c r="AP32" s="11">
        <v>7.42</v>
      </c>
      <c r="AQ32" s="11">
        <v>130.78</v>
      </c>
      <c r="AR32" s="11">
        <v>117.26</v>
      </c>
      <c r="AS32" s="11">
        <v>100.49</v>
      </c>
      <c r="AT32" s="11">
        <v>90.63000000000001</v>
      </c>
      <c r="AU32" s="49">
        <f t="shared" si="13"/>
        <v>52.499907499999999</v>
      </c>
      <c r="AV32" s="49">
        <f t="shared" si="14"/>
        <v>31.7</v>
      </c>
      <c r="AW32" s="49">
        <f t="shared" si="15"/>
        <v>148.4</v>
      </c>
      <c r="AX32" s="49">
        <f t="shared" si="16"/>
        <v>0.89662027833001989</v>
      </c>
      <c r="AY32" s="49">
        <f t="shared" si="17"/>
        <v>0.90188078415762774</v>
      </c>
      <c r="AZ32" s="50">
        <f t="shared" si="19"/>
        <v>0.80695825049701797</v>
      </c>
      <c r="BB32" s="11"/>
    </row>
    <row r="33" spans="1:54" ht="24.95" customHeight="1" x14ac:dyDescent="0.25">
      <c r="A33" s="11">
        <v>7</v>
      </c>
      <c r="B33" s="11" t="s">
        <v>56</v>
      </c>
      <c r="C33" s="11">
        <v>2</v>
      </c>
      <c r="D33" s="11">
        <v>4</v>
      </c>
      <c r="E33" s="11">
        <v>15</v>
      </c>
      <c r="F33" s="11" t="s">
        <v>57</v>
      </c>
      <c r="G33" s="12">
        <v>32</v>
      </c>
      <c r="H33" s="46">
        <v>44666</v>
      </c>
      <c r="I33" s="11">
        <v>2</v>
      </c>
      <c r="J33" s="11">
        <v>57</v>
      </c>
      <c r="K33" s="11">
        <v>58</v>
      </c>
      <c r="N33" s="47">
        <f t="shared" si="0"/>
        <v>57.5</v>
      </c>
      <c r="O33" s="47" t="e">
        <f t="shared" si="1"/>
        <v>#DIV/0!</v>
      </c>
      <c r="P33" s="23">
        <v>2.5099999999999998</v>
      </c>
      <c r="Q33" s="48">
        <f t="shared" si="2"/>
        <v>3.3466666666666662</v>
      </c>
      <c r="R33" s="48">
        <f t="shared" si="3"/>
        <v>3.4888683588444982</v>
      </c>
      <c r="S33" s="23">
        <v>349.9</v>
      </c>
      <c r="T33" s="23">
        <v>313.7</v>
      </c>
      <c r="U33" s="48">
        <f t="shared" si="4"/>
        <v>0.89654186910545874</v>
      </c>
      <c r="V33" s="48">
        <f t="shared" si="5"/>
        <v>10.345813089454126</v>
      </c>
      <c r="W33" s="23">
        <v>1.6950000000000001</v>
      </c>
      <c r="X33" s="48">
        <f t="shared" si="6"/>
        <v>2.2600000000000002</v>
      </c>
      <c r="Y33" s="48">
        <f t="shared" si="7"/>
        <v>1.9360139860139862</v>
      </c>
      <c r="Z33" s="23">
        <v>0.28599999999999998</v>
      </c>
      <c r="AA33" s="23">
        <v>0.245</v>
      </c>
      <c r="AB33" s="48">
        <f t="shared" si="8"/>
        <v>85.664335664335667</v>
      </c>
      <c r="AC33" s="48">
        <f t="shared" si="9"/>
        <v>14.335664335664333</v>
      </c>
      <c r="AD33" s="48">
        <f t="shared" si="18"/>
        <v>0.55491173265568206</v>
      </c>
      <c r="AE33" s="22">
        <v>0</v>
      </c>
      <c r="AF33" s="22">
        <v>1941</v>
      </c>
      <c r="AG33" s="23">
        <f t="shared" si="10"/>
        <v>0</v>
      </c>
      <c r="AH33" s="23">
        <f t="shared" si="10"/>
        <v>2.5880000000000001</v>
      </c>
      <c r="AI33" s="23">
        <f t="shared" si="11"/>
        <v>2.5880000000000001</v>
      </c>
      <c r="AJ33" s="23">
        <f t="shared" si="12"/>
        <v>0.75866666666666616</v>
      </c>
      <c r="AK33" s="11" t="s">
        <v>53</v>
      </c>
      <c r="AL33" s="11" t="s">
        <v>53</v>
      </c>
      <c r="AM33" s="11" t="s">
        <v>53</v>
      </c>
      <c r="AN33" s="11" t="s">
        <v>53</v>
      </c>
      <c r="AO33" s="11">
        <v>6.54</v>
      </c>
      <c r="AP33" s="11">
        <v>6.84</v>
      </c>
      <c r="AQ33" s="11" t="s">
        <v>53</v>
      </c>
      <c r="AR33" s="11" t="s">
        <v>53</v>
      </c>
      <c r="AS33" s="11">
        <v>100.32</v>
      </c>
      <c r="AT33" s="11">
        <v>91.11</v>
      </c>
      <c r="AU33" s="49" t="e">
        <f t="shared" si="13"/>
        <v>#DIV/0!</v>
      </c>
      <c r="AV33" s="49" t="e">
        <f t="shared" si="14"/>
        <v>#DIV/0!</v>
      </c>
      <c r="AW33" s="49">
        <f t="shared" si="15"/>
        <v>133.79999999999998</v>
      </c>
      <c r="AX33" s="49" t="e">
        <f t="shared" si="16"/>
        <v>#VALUE!</v>
      </c>
      <c r="AY33" s="49">
        <f t="shared" si="17"/>
        <v>0.90819377990430628</v>
      </c>
      <c r="AZ33" s="50" t="e">
        <f t="shared" si="19"/>
        <v>#VALUE!</v>
      </c>
      <c r="BB33" s="11"/>
    </row>
    <row r="34" spans="1:54" ht="24.95" customHeight="1" x14ac:dyDescent="0.25">
      <c r="A34" s="11">
        <v>1</v>
      </c>
      <c r="B34" s="11" t="s">
        <v>68</v>
      </c>
      <c r="C34" s="11">
        <v>2</v>
      </c>
      <c r="D34" s="11">
        <v>4</v>
      </c>
      <c r="E34" s="11">
        <v>12</v>
      </c>
      <c r="F34" s="11" t="s">
        <v>69</v>
      </c>
      <c r="G34" s="12">
        <v>33</v>
      </c>
      <c r="H34" s="46">
        <v>44666</v>
      </c>
      <c r="I34" s="11">
        <v>2</v>
      </c>
      <c r="L34" s="11">
        <v>89</v>
      </c>
      <c r="M34" s="11">
        <v>84</v>
      </c>
      <c r="N34" s="47" t="e">
        <f t="shared" si="0"/>
        <v>#DIV/0!</v>
      </c>
      <c r="O34" s="47">
        <f t="shared" si="1"/>
        <v>86.5</v>
      </c>
      <c r="P34" s="23">
        <v>2.65</v>
      </c>
      <c r="Q34" s="48">
        <f t="shared" si="2"/>
        <v>3.5333333333333332</v>
      </c>
      <c r="R34" s="48">
        <f t="shared" si="3"/>
        <v>3.6431500398464101</v>
      </c>
      <c r="S34" s="23">
        <v>267.5</v>
      </c>
      <c r="T34" s="23">
        <v>237.2</v>
      </c>
      <c r="U34" s="48">
        <f t="shared" si="4"/>
        <v>0.8867289719626168</v>
      </c>
      <c r="V34" s="48">
        <f t="shared" si="5"/>
        <v>11.32710280373832</v>
      </c>
      <c r="W34" s="23">
        <v>4.508</v>
      </c>
      <c r="X34" s="48">
        <f t="shared" si="6"/>
        <v>6.0106666666666664</v>
      </c>
      <c r="Y34" s="48">
        <f t="shared" si="7"/>
        <v>3.1502445842068485</v>
      </c>
      <c r="Z34" s="23">
        <v>0.95399999999999996</v>
      </c>
      <c r="AA34" s="23">
        <v>0.5</v>
      </c>
      <c r="AB34" s="48">
        <f t="shared" si="8"/>
        <v>52.410901467505241</v>
      </c>
      <c r="AC34" s="48">
        <f t="shared" si="9"/>
        <v>47.589098532494759</v>
      </c>
      <c r="AD34" s="48">
        <f t="shared" si="18"/>
        <v>0.86470349827800619</v>
      </c>
      <c r="AE34" s="22">
        <v>2115</v>
      </c>
      <c r="AF34" s="22">
        <v>0</v>
      </c>
      <c r="AG34" s="23">
        <f t="shared" ref="AG34:AH65" si="20">AE34/(1.5*5)/100</f>
        <v>2.82</v>
      </c>
      <c r="AH34" s="23">
        <f t="shared" si="20"/>
        <v>0</v>
      </c>
      <c r="AI34" s="23">
        <f t="shared" si="11"/>
        <v>2.82</v>
      </c>
      <c r="AJ34" s="23">
        <f t="shared" si="12"/>
        <v>0.71333333333333337</v>
      </c>
      <c r="AK34" s="11">
        <v>125.88</v>
      </c>
      <c r="AL34" s="11">
        <v>127.02</v>
      </c>
      <c r="AM34" s="11">
        <v>1.63</v>
      </c>
      <c r="AN34" s="11">
        <v>1.72</v>
      </c>
      <c r="AO34" s="11" t="s">
        <v>53</v>
      </c>
      <c r="AP34" s="11" t="s">
        <v>53</v>
      </c>
      <c r="AQ34" s="11">
        <v>125.88</v>
      </c>
      <c r="AR34" s="11">
        <v>112.22</v>
      </c>
      <c r="AS34" s="11" t="s">
        <v>53</v>
      </c>
      <c r="AT34" s="11" t="s">
        <v>53</v>
      </c>
      <c r="AU34" s="49">
        <f t="shared" si="13"/>
        <v>50.438074999999991</v>
      </c>
      <c r="AV34" s="49">
        <f t="shared" si="14"/>
        <v>33.5</v>
      </c>
      <c r="AW34" s="49" t="e">
        <f t="shared" si="15"/>
        <v>#DIV/0!</v>
      </c>
      <c r="AX34" s="49">
        <f t="shared" si="16"/>
        <v>0.89148395297108363</v>
      </c>
      <c r="AY34" s="49" t="e">
        <f t="shared" si="17"/>
        <v>#VALUE!</v>
      </c>
      <c r="AZ34" s="50">
        <f t="shared" si="19"/>
        <v>2.5139847473784558</v>
      </c>
      <c r="BB34" s="11"/>
    </row>
    <row r="35" spans="1:54" ht="24.95" customHeight="1" x14ac:dyDescent="0.25">
      <c r="A35" s="11">
        <v>8</v>
      </c>
      <c r="B35" s="11" t="s">
        <v>74</v>
      </c>
      <c r="C35" s="11">
        <v>2</v>
      </c>
      <c r="D35" s="11">
        <v>4</v>
      </c>
      <c r="E35" s="11">
        <v>9</v>
      </c>
      <c r="F35" s="11" t="s">
        <v>75</v>
      </c>
      <c r="G35" s="12">
        <v>34</v>
      </c>
      <c r="H35" s="46">
        <v>44666</v>
      </c>
      <c r="I35" s="11">
        <v>4</v>
      </c>
      <c r="J35" s="11">
        <v>62</v>
      </c>
      <c r="K35" s="11">
        <v>54</v>
      </c>
      <c r="N35" s="47">
        <f t="shared" si="0"/>
        <v>58</v>
      </c>
      <c r="O35" s="47" t="e">
        <f t="shared" si="1"/>
        <v>#DIV/0!</v>
      </c>
      <c r="P35" s="23">
        <v>2.4300000000000002</v>
      </c>
      <c r="Q35" s="48">
        <f t="shared" si="2"/>
        <v>3.24</v>
      </c>
      <c r="R35" s="48">
        <f t="shared" si="3"/>
        <v>3.3582124534493087</v>
      </c>
      <c r="S35" s="23">
        <v>357.2</v>
      </c>
      <c r="T35" s="23">
        <v>318.39999999999998</v>
      </c>
      <c r="U35" s="48">
        <f t="shared" si="4"/>
        <v>0.89137737961926089</v>
      </c>
      <c r="V35" s="48">
        <f t="shared" si="5"/>
        <v>10.862262038073911</v>
      </c>
      <c r="W35" s="23">
        <v>2.3559999999999999</v>
      </c>
      <c r="X35" s="48">
        <f t="shared" si="6"/>
        <v>3.1413333333333333</v>
      </c>
      <c r="Y35" s="48">
        <f t="shared" si="7"/>
        <v>2.2046972477064219</v>
      </c>
      <c r="Z35" s="23">
        <v>0.436</v>
      </c>
      <c r="AA35" s="23">
        <v>0.30599999999999999</v>
      </c>
      <c r="AB35" s="48">
        <f t="shared" si="8"/>
        <v>70.183486238532112</v>
      </c>
      <c r="AC35" s="48">
        <f t="shared" si="9"/>
        <v>29.816513761467888</v>
      </c>
      <c r="AD35" s="48">
        <f t="shared" si="18"/>
        <v>0.65650916321328012</v>
      </c>
      <c r="AE35" s="22">
        <v>0</v>
      </c>
      <c r="AF35" s="22">
        <v>1717</v>
      </c>
      <c r="AG35" s="23">
        <f t="shared" si="20"/>
        <v>0</v>
      </c>
      <c r="AH35" s="23">
        <f t="shared" si="20"/>
        <v>2.2893333333333334</v>
      </c>
      <c r="AI35" s="23">
        <f t="shared" si="11"/>
        <v>2.2893333333333334</v>
      </c>
      <c r="AJ35" s="23">
        <f t="shared" si="12"/>
        <v>0.95066666666666677</v>
      </c>
      <c r="AK35" s="11" t="s">
        <v>53</v>
      </c>
      <c r="AL35" s="11" t="s">
        <v>53</v>
      </c>
      <c r="AM35" s="11" t="s">
        <v>53</v>
      </c>
      <c r="AN35" s="11" t="s">
        <v>53</v>
      </c>
      <c r="AO35" s="11">
        <v>6.71</v>
      </c>
      <c r="AP35" s="11">
        <v>6.92</v>
      </c>
      <c r="AQ35" s="11" t="s">
        <v>53</v>
      </c>
      <c r="AR35" s="11" t="s">
        <v>53</v>
      </c>
      <c r="AS35" s="11">
        <v>100.58999999999999</v>
      </c>
      <c r="AT35" s="11">
        <v>91.490000000000009</v>
      </c>
      <c r="AU35" s="49" t="e">
        <f t="shared" si="13"/>
        <v>#DIV/0!</v>
      </c>
      <c r="AV35" s="49" t="e">
        <f t="shared" si="14"/>
        <v>#DIV/0!</v>
      </c>
      <c r="AW35" s="49">
        <f t="shared" si="15"/>
        <v>136.29999999999998</v>
      </c>
      <c r="AX35" s="49" t="e">
        <f t="shared" si="16"/>
        <v>#VALUE!</v>
      </c>
      <c r="AY35" s="49">
        <f t="shared" si="17"/>
        <v>0.90953375086986799</v>
      </c>
      <c r="AZ35" s="50" t="e">
        <f t="shared" si="19"/>
        <v>#VALUE!</v>
      </c>
      <c r="BB35" s="11"/>
    </row>
    <row r="36" spans="1:54" ht="24.95" customHeight="1" x14ac:dyDescent="0.25">
      <c r="A36" s="11">
        <v>17</v>
      </c>
      <c r="B36" s="11" t="s">
        <v>60</v>
      </c>
      <c r="C36" s="11">
        <v>2</v>
      </c>
      <c r="D36" s="11">
        <v>4</v>
      </c>
      <c r="E36" s="11">
        <v>6</v>
      </c>
      <c r="F36" s="11" t="s">
        <v>61</v>
      </c>
      <c r="G36" s="12">
        <v>35</v>
      </c>
      <c r="H36" s="46">
        <v>44666</v>
      </c>
      <c r="I36" s="11">
        <v>4</v>
      </c>
      <c r="J36" s="11">
        <v>57</v>
      </c>
      <c r="K36" s="11">
        <v>59</v>
      </c>
      <c r="L36" s="11">
        <v>59</v>
      </c>
      <c r="M36" s="11">
        <v>64</v>
      </c>
      <c r="N36" s="47">
        <f t="shared" si="0"/>
        <v>58</v>
      </c>
      <c r="O36" s="47">
        <f t="shared" si="1"/>
        <v>61.5</v>
      </c>
      <c r="P36" s="23">
        <v>2.83</v>
      </c>
      <c r="Q36" s="48">
        <f t="shared" si="2"/>
        <v>3.7733333333333334</v>
      </c>
      <c r="R36" s="48">
        <f t="shared" si="3"/>
        <v>3.9113932512268716</v>
      </c>
      <c r="S36" s="23">
        <v>336.3</v>
      </c>
      <c r="T36" s="23">
        <v>299.8</v>
      </c>
      <c r="U36" s="48">
        <f t="shared" si="4"/>
        <v>0.89146595301813858</v>
      </c>
      <c r="V36" s="48">
        <f t="shared" si="5"/>
        <v>10.853404698186143</v>
      </c>
      <c r="W36" s="23">
        <v>2.7450000000000001</v>
      </c>
      <c r="X36" s="48">
        <f t="shared" si="6"/>
        <v>3.66</v>
      </c>
      <c r="Y36" s="48">
        <f t="shared" si="7"/>
        <v>2.2999395770392748</v>
      </c>
      <c r="Z36" s="23">
        <v>0.66200000000000003</v>
      </c>
      <c r="AA36" s="23">
        <v>0.41599999999999998</v>
      </c>
      <c r="AB36" s="48">
        <f t="shared" si="8"/>
        <v>62.839879154078545</v>
      </c>
      <c r="AC36" s="48">
        <f t="shared" si="9"/>
        <v>37.160120845921455</v>
      </c>
      <c r="AD36" s="48">
        <f t="shared" si="18"/>
        <v>0.58801031482013766</v>
      </c>
      <c r="AE36" s="22">
        <v>420</v>
      </c>
      <c r="AF36" s="22">
        <v>1686</v>
      </c>
      <c r="AG36" s="23">
        <f t="shared" si="20"/>
        <v>0.56000000000000005</v>
      </c>
      <c r="AH36" s="23">
        <f t="shared" si="20"/>
        <v>2.2480000000000002</v>
      </c>
      <c r="AI36" s="23">
        <f t="shared" si="11"/>
        <v>2.8080000000000003</v>
      </c>
      <c r="AJ36" s="23">
        <f t="shared" si="12"/>
        <v>0.96533333333333315</v>
      </c>
      <c r="AK36" s="11">
        <v>122.83</v>
      </c>
      <c r="AL36" s="11">
        <v>120.19</v>
      </c>
      <c r="AM36" s="11">
        <v>1.48</v>
      </c>
      <c r="AN36" s="11">
        <v>1.31</v>
      </c>
      <c r="AO36" s="11">
        <v>6.57</v>
      </c>
      <c r="AP36" s="11">
        <v>6.68</v>
      </c>
      <c r="AQ36" s="11">
        <v>122.83</v>
      </c>
      <c r="AR36" s="11">
        <v>109.47</v>
      </c>
      <c r="AS36" s="11">
        <v>100.77</v>
      </c>
      <c r="AT36" s="11">
        <v>91.03</v>
      </c>
      <c r="AU36" s="49">
        <f t="shared" si="13"/>
        <v>48.415144999999988</v>
      </c>
      <c r="AV36" s="49">
        <f t="shared" si="14"/>
        <v>27.9</v>
      </c>
      <c r="AW36" s="49">
        <f t="shared" si="15"/>
        <v>132.5</v>
      </c>
      <c r="AX36" s="49">
        <f t="shared" si="16"/>
        <v>0.89123178376618095</v>
      </c>
      <c r="AY36" s="49">
        <f t="shared" si="17"/>
        <v>0.90334424928053991</v>
      </c>
      <c r="AZ36" s="50">
        <f t="shared" si="19"/>
        <v>0.49908979890906136</v>
      </c>
      <c r="BB36" s="11"/>
    </row>
    <row r="37" spans="1:54" ht="24.95" customHeight="1" x14ac:dyDescent="0.25">
      <c r="A37" s="11">
        <v>14</v>
      </c>
      <c r="B37" s="11" t="s">
        <v>58</v>
      </c>
      <c r="C37" s="11">
        <v>2</v>
      </c>
      <c r="D37" s="11">
        <v>4</v>
      </c>
      <c r="E37" s="11">
        <v>3</v>
      </c>
      <c r="F37" s="11" t="s">
        <v>59</v>
      </c>
      <c r="G37" s="12">
        <v>36</v>
      </c>
      <c r="H37" s="46">
        <v>44666</v>
      </c>
      <c r="I37" s="11">
        <v>8</v>
      </c>
      <c r="J37" s="11">
        <v>49</v>
      </c>
      <c r="K37" s="11">
        <v>52</v>
      </c>
      <c r="L37" s="11">
        <v>80</v>
      </c>
      <c r="M37" s="11">
        <v>72</v>
      </c>
      <c r="N37" s="47">
        <f t="shared" si="0"/>
        <v>50.5</v>
      </c>
      <c r="O37" s="47">
        <f t="shared" si="1"/>
        <v>76</v>
      </c>
      <c r="P37" s="23">
        <v>2.62</v>
      </c>
      <c r="Q37" s="48">
        <f t="shared" si="2"/>
        <v>3.4933333333333332</v>
      </c>
      <c r="R37" s="48">
        <f t="shared" si="3"/>
        <v>3.6061961136105189</v>
      </c>
      <c r="S37" s="23">
        <v>342.2</v>
      </c>
      <c r="T37" s="23">
        <v>303.8</v>
      </c>
      <c r="U37" s="48">
        <f t="shared" si="4"/>
        <v>0.88778492109877272</v>
      </c>
      <c r="V37" s="48">
        <f t="shared" si="5"/>
        <v>11.221507890122728</v>
      </c>
      <c r="W37" s="23">
        <v>1.5860000000000001</v>
      </c>
      <c r="X37" s="48">
        <f t="shared" si="6"/>
        <v>2.1146666666666665</v>
      </c>
      <c r="Y37" s="48">
        <f t="shared" si="7"/>
        <v>1.1995312916111849</v>
      </c>
      <c r="Z37" s="23">
        <v>0.751</v>
      </c>
      <c r="AA37" s="23">
        <v>0.42599999999999999</v>
      </c>
      <c r="AB37" s="48">
        <f t="shared" si="8"/>
        <v>56.724367509986685</v>
      </c>
      <c r="AC37" s="48">
        <f t="shared" si="9"/>
        <v>43.275632490013315</v>
      </c>
      <c r="AD37" s="48">
        <f t="shared" si="18"/>
        <v>0.33263063178508495</v>
      </c>
      <c r="AE37" s="22">
        <v>501</v>
      </c>
      <c r="AF37" s="22">
        <v>1468</v>
      </c>
      <c r="AG37" s="23">
        <f t="shared" si="20"/>
        <v>0.66799999999999993</v>
      </c>
      <c r="AH37" s="23">
        <f t="shared" si="20"/>
        <v>1.9573333333333331</v>
      </c>
      <c r="AI37" s="23">
        <f t="shared" si="11"/>
        <v>2.6253333333333329</v>
      </c>
      <c r="AJ37" s="23">
        <f t="shared" si="12"/>
        <v>0.86800000000000033</v>
      </c>
      <c r="AK37" s="11">
        <v>130.69</v>
      </c>
      <c r="AL37" s="11">
        <v>131.04</v>
      </c>
      <c r="AM37" s="11">
        <v>1.61</v>
      </c>
      <c r="AN37" s="11">
        <v>1.5</v>
      </c>
      <c r="AO37" s="11">
        <v>6.51</v>
      </c>
      <c r="AP37" s="11">
        <v>6.37</v>
      </c>
      <c r="AQ37" s="11">
        <v>130.69</v>
      </c>
      <c r="AR37" s="11">
        <v>117.09</v>
      </c>
      <c r="AS37" s="11">
        <v>100.58</v>
      </c>
      <c r="AT37" s="11">
        <v>90.990000000000009</v>
      </c>
      <c r="AU37" s="49">
        <f t="shared" si="13"/>
        <v>52.246017500000001</v>
      </c>
      <c r="AV37" s="49">
        <f t="shared" si="14"/>
        <v>31.1</v>
      </c>
      <c r="AW37" s="49">
        <f t="shared" si="15"/>
        <v>128.79999999999998</v>
      </c>
      <c r="AX37" s="49">
        <f t="shared" si="16"/>
        <v>0.89593695003443263</v>
      </c>
      <c r="AY37" s="49">
        <f t="shared" si="17"/>
        <v>0.90465301252734154</v>
      </c>
      <c r="AZ37" s="50">
        <f t="shared" si="19"/>
        <v>0.59848588262300095</v>
      </c>
      <c r="BB37" s="11"/>
    </row>
    <row r="38" spans="1:54" ht="24.95" customHeight="1" x14ac:dyDescent="0.25">
      <c r="A38" s="11">
        <v>1</v>
      </c>
      <c r="B38" s="11" t="s">
        <v>68</v>
      </c>
      <c r="C38" s="11">
        <v>3</v>
      </c>
      <c r="D38" s="11">
        <v>5</v>
      </c>
      <c r="E38" s="11">
        <v>3</v>
      </c>
      <c r="F38" s="11" t="s">
        <v>69</v>
      </c>
      <c r="G38" s="12">
        <v>37</v>
      </c>
      <c r="H38" s="46">
        <v>44666</v>
      </c>
      <c r="I38" s="11">
        <v>3</v>
      </c>
      <c r="L38" s="11">
        <v>82</v>
      </c>
      <c r="M38" s="11">
        <v>88</v>
      </c>
      <c r="N38" s="47" t="e">
        <f t="shared" si="0"/>
        <v>#DIV/0!</v>
      </c>
      <c r="O38" s="47">
        <f t="shared" si="1"/>
        <v>85</v>
      </c>
      <c r="P38" s="23">
        <v>3.13</v>
      </c>
      <c r="Q38" s="48">
        <f t="shared" si="2"/>
        <v>4.1733333333333338</v>
      </c>
      <c r="R38" s="48">
        <f t="shared" si="3"/>
        <v>4.2795045063403956</v>
      </c>
      <c r="S38" s="23">
        <v>285.3</v>
      </c>
      <c r="T38" s="23">
        <v>251.6</v>
      </c>
      <c r="U38" s="48">
        <f t="shared" si="4"/>
        <v>0.88187872415001745</v>
      </c>
      <c r="V38" s="48">
        <f t="shared" si="5"/>
        <v>11.812127584998255</v>
      </c>
      <c r="W38" s="23">
        <v>5.0389999999999997</v>
      </c>
      <c r="X38" s="48">
        <f t="shared" si="6"/>
        <v>6.7186666666666657</v>
      </c>
      <c r="Y38" s="48">
        <f t="shared" si="7"/>
        <v>3.5213137665967853</v>
      </c>
      <c r="Z38" s="23">
        <v>0.95399999999999996</v>
      </c>
      <c r="AA38" s="23">
        <v>0.5</v>
      </c>
      <c r="AB38" s="48">
        <f t="shared" si="8"/>
        <v>52.410901467505241</v>
      </c>
      <c r="AC38" s="48">
        <f t="shared" si="9"/>
        <v>47.589098532494759</v>
      </c>
      <c r="AD38" s="48">
        <f t="shared" si="18"/>
        <v>0.82283212025590913</v>
      </c>
      <c r="AE38" s="22">
        <v>2378</v>
      </c>
      <c r="AF38" s="22">
        <v>0</v>
      </c>
      <c r="AG38" s="23">
        <f t="shared" si="20"/>
        <v>3.1706666666666665</v>
      </c>
      <c r="AH38" s="23">
        <f t="shared" si="20"/>
        <v>0</v>
      </c>
      <c r="AI38" s="23">
        <f t="shared" si="11"/>
        <v>3.1706666666666665</v>
      </c>
      <c r="AJ38" s="23">
        <f t="shared" si="12"/>
        <v>1.0026666666666673</v>
      </c>
      <c r="AK38" s="11">
        <v>122.75</v>
      </c>
      <c r="AL38" s="11">
        <v>123.61</v>
      </c>
      <c r="AM38" s="11">
        <v>1.55</v>
      </c>
      <c r="AN38" s="11">
        <v>1.57</v>
      </c>
      <c r="AO38" s="11" t="s">
        <v>53</v>
      </c>
      <c r="AP38" s="11" t="s">
        <v>53</v>
      </c>
      <c r="AQ38" s="11">
        <v>122.75</v>
      </c>
      <c r="AR38" s="11">
        <v>110.48</v>
      </c>
      <c r="AS38" s="11" t="s">
        <v>53</v>
      </c>
      <c r="AT38" s="11" t="s">
        <v>53</v>
      </c>
      <c r="AU38" s="49">
        <f t="shared" si="13"/>
        <v>49.09901</v>
      </c>
      <c r="AV38" s="49">
        <f t="shared" si="14"/>
        <v>31.200000000000003</v>
      </c>
      <c r="AW38" s="49" t="e">
        <f t="shared" si="15"/>
        <v>#DIV/0!</v>
      </c>
      <c r="AX38" s="49">
        <f t="shared" si="16"/>
        <v>0.90004073319755606</v>
      </c>
      <c r="AY38" s="49" t="e">
        <f t="shared" si="17"/>
        <v>#VALUE!</v>
      </c>
      <c r="AZ38" s="50">
        <f t="shared" si="19"/>
        <v>2.8537291513917178</v>
      </c>
      <c r="BB38" s="11"/>
    </row>
    <row r="39" spans="1:54" ht="24.95" customHeight="1" x14ac:dyDescent="0.25">
      <c r="A39" s="11">
        <v>6</v>
      </c>
      <c r="B39" s="11" t="s">
        <v>72</v>
      </c>
      <c r="C39" s="11">
        <v>3</v>
      </c>
      <c r="D39" s="11">
        <v>5</v>
      </c>
      <c r="E39" s="11">
        <v>6</v>
      </c>
      <c r="F39" s="11" t="s">
        <v>73</v>
      </c>
      <c r="G39" s="12">
        <v>38</v>
      </c>
      <c r="H39" s="46">
        <v>44666</v>
      </c>
      <c r="I39" s="11">
        <v>3</v>
      </c>
      <c r="L39" s="11">
        <v>62</v>
      </c>
      <c r="M39" s="11">
        <v>65</v>
      </c>
      <c r="N39" s="47" t="e">
        <f t="shared" si="0"/>
        <v>#DIV/0!</v>
      </c>
      <c r="O39" s="47">
        <f t="shared" si="1"/>
        <v>63.5</v>
      </c>
      <c r="P39" s="23">
        <v>2.82</v>
      </c>
      <c r="Q39" s="48">
        <f t="shared" si="2"/>
        <v>3.76</v>
      </c>
      <c r="R39" s="48">
        <f t="shared" si="3"/>
        <v>3.8135512651747843</v>
      </c>
      <c r="S39" s="23">
        <v>254.4</v>
      </c>
      <c r="T39" s="23">
        <v>221.9</v>
      </c>
      <c r="U39" s="48">
        <f t="shared" si="4"/>
        <v>0.87224842767295596</v>
      </c>
      <c r="V39" s="48">
        <f t="shared" si="5"/>
        <v>12.775157232704403</v>
      </c>
      <c r="W39" s="23">
        <v>4.62</v>
      </c>
      <c r="X39" s="48">
        <f t="shared" si="6"/>
        <v>6.16</v>
      </c>
      <c r="Y39" s="48">
        <f t="shared" si="7"/>
        <v>3.1665863453815257</v>
      </c>
      <c r="Z39" s="23">
        <v>1.2450000000000001</v>
      </c>
      <c r="AA39" s="23">
        <v>0.64</v>
      </c>
      <c r="AB39" s="48">
        <f t="shared" si="8"/>
        <v>51.405622489959832</v>
      </c>
      <c r="AC39" s="48">
        <f t="shared" si="9"/>
        <v>48.594377510040168</v>
      </c>
      <c r="AD39" s="48">
        <f t="shared" si="18"/>
        <v>0.83035106261680036</v>
      </c>
      <c r="AE39" s="22">
        <v>1992</v>
      </c>
      <c r="AF39" s="22">
        <v>0</v>
      </c>
      <c r="AG39" s="23">
        <f t="shared" si="20"/>
        <v>2.6560000000000001</v>
      </c>
      <c r="AH39" s="23">
        <f t="shared" si="20"/>
        <v>0</v>
      </c>
      <c r="AI39" s="23">
        <f t="shared" si="11"/>
        <v>2.6560000000000001</v>
      </c>
      <c r="AJ39" s="23">
        <f t="shared" si="12"/>
        <v>1.1039999999999996</v>
      </c>
      <c r="AK39" s="11">
        <v>115.93</v>
      </c>
      <c r="AL39" s="11">
        <v>115.23</v>
      </c>
      <c r="AM39" s="11">
        <v>1.34</v>
      </c>
      <c r="AN39" s="11">
        <v>1.39</v>
      </c>
      <c r="AO39" s="11" t="s">
        <v>53</v>
      </c>
      <c r="AP39" s="11" t="s">
        <v>53</v>
      </c>
      <c r="AQ39" s="11">
        <v>115.93</v>
      </c>
      <c r="AR39" s="11">
        <v>104.09</v>
      </c>
      <c r="AS39" s="11" t="s">
        <v>53</v>
      </c>
      <c r="AT39" s="11" t="s">
        <v>53</v>
      </c>
      <c r="AU39" s="49">
        <f t="shared" si="13"/>
        <v>45.986809999999998</v>
      </c>
      <c r="AV39" s="49">
        <f t="shared" si="14"/>
        <v>27.3</v>
      </c>
      <c r="AW39" s="49" t="e">
        <f t="shared" si="15"/>
        <v>#DIV/0!</v>
      </c>
      <c r="AX39" s="49">
        <f t="shared" si="16"/>
        <v>0.89786940395065984</v>
      </c>
      <c r="AY39" s="49" t="e">
        <f t="shared" si="17"/>
        <v>#VALUE!</v>
      </c>
      <c r="AZ39" s="50">
        <f t="shared" si="19"/>
        <v>2.3847411368929525</v>
      </c>
      <c r="BB39" s="11"/>
    </row>
    <row r="40" spans="1:54" ht="24.95" customHeight="1" x14ac:dyDescent="0.25">
      <c r="A40" s="11">
        <v>13</v>
      </c>
      <c r="B40" s="11" t="s">
        <v>78</v>
      </c>
      <c r="C40" s="11">
        <v>3</v>
      </c>
      <c r="D40" s="11">
        <v>5</v>
      </c>
      <c r="E40" s="11">
        <v>9</v>
      </c>
      <c r="F40" s="11" t="s">
        <v>79</v>
      </c>
      <c r="G40" s="12">
        <v>39</v>
      </c>
      <c r="H40" s="46">
        <v>44666</v>
      </c>
      <c r="I40" s="11">
        <v>4</v>
      </c>
      <c r="J40" s="11">
        <v>73</v>
      </c>
      <c r="K40" s="11">
        <v>70</v>
      </c>
      <c r="L40" s="11">
        <v>92</v>
      </c>
      <c r="M40" s="11">
        <v>92</v>
      </c>
      <c r="N40" s="47">
        <f t="shared" si="0"/>
        <v>71.5</v>
      </c>
      <c r="O40" s="47">
        <f t="shared" si="1"/>
        <v>92</v>
      </c>
      <c r="P40" s="23">
        <v>3.54</v>
      </c>
      <c r="Q40" s="48">
        <f t="shared" si="2"/>
        <v>4.7200000000000006</v>
      </c>
      <c r="R40" s="48">
        <f t="shared" si="3"/>
        <v>4.8908159243200631</v>
      </c>
      <c r="S40" s="23">
        <v>348.1</v>
      </c>
      <c r="T40" s="23">
        <v>310.2</v>
      </c>
      <c r="U40" s="48">
        <f t="shared" si="4"/>
        <v>0.89112324044814695</v>
      </c>
      <c r="V40" s="48">
        <f t="shared" si="5"/>
        <v>10.887675955185305</v>
      </c>
      <c r="W40" s="23">
        <v>4.298</v>
      </c>
      <c r="X40" s="48">
        <f t="shared" si="6"/>
        <v>5.730666666666667</v>
      </c>
      <c r="Y40" s="48">
        <f t="shared" si="7"/>
        <v>3.0733551912568311</v>
      </c>
      <c r="Z40" s="23">
        <v>0.85399999999999998</v>
      </c>
      <c r="AA40" s="23">
        <v>0.45800000000000002</v>
      </c>
      <c r="AB40" s="48">
        <f t="shared" si="8"/>
        <v>53.62997658079626</v>
      </c>
      <c r="AC40" s="48">
        <f t="shared" si="9"/>
        <v>46.37002341920374</v>
      </c>
      <c r="AD40" s="48">
        <f t="shared" si="18"/>
        <v>0.62839314315107841</v>
      </c>
      <c r="AE40" s="22">
        <v>563</v>
      </c>
      <c r="AF40" s="22">
        <v>2221</v>
      </c>
      <c r="AG40" s="23">
        <f t="shared" si="20"/>
        <v>0.75066666666666659</v>
      </c>
      <c r="AH40" s="23">
        <f t="shared" si="20"/>
        <v>2.9613333333333332</v>
      </c>
      <c r="AI40" s="23">
        <f t="shared" si="11"/>
        <v>3.7119999999999997</v>
      </c>
      <c r="AJ40" s="23">
        <f t="shared" si="12"/>
        <v>1.0080000000000009</v>
      </c>
      <c r="AK40" s="11">
        <v>134.83000000000001</v>
      </c>
      <c r="AL40" s="11">
        <v>135.30000000000001</v>
      </c>
      <c r="AM40" s="11">
        <v>1.88</v>
      </c>
      <c r="AN40" s="11">
        <v>1.71</v>
      </c>
      <c r="AO40" s="11">
        <v>7.16</v>
      </c>
      <c r="AP40" s="11">
        <v>7.31</v>
      </c>
      <c r="AQ40" s="11">
        <v>134.83000000000001</v>
      </c>
      <c r="AR40" s="11">
        <v>120.19</v>
      </c>
      <c r="AS40" s="11">
        <v>100.21</v>
      </c>
      <c r="AT40" s="11">
        <v>90.990000000000009</v>
      </c>
      <c r="AU40" s="49">
        <f t="shared" si="13"/>
        <v>53.965917499999989</v>
      </c>
      <c r="AV40" s="49">
        <f t="shared" si="14"/>
        <v>35.9</v>
      </c>
      <c r="AW40" s="49">
        <f t="shared" si="15"/>
        <v>144.69999999999999</v>
      </c>
      <c r="AX40" s="49">
        <f t="shared" si="16"/>
        <v>0.89141882370392334</v>
      </c>
      <c r="AY40" s="49">
        <f t="shared" si="17"/>
        <v>0.90799321425007495</v>
      </c>
      <c r="AZ40" s="50">
        <f t="shared" si="19"/>
        <v>0.66915839699374502</v>
      </c>
      <c r="BB40" s="11"/>
    </row>
    <row r="41" spans="1:54" ht="24.95" customHeight="1" x14ac:dyDescent="0.25">
      <c r="A41" s="11">
        <v>15</v>
      </c>
      <c r="B41" s="11" t="s">
        <v>64</v>
      </c>
      <c r="C41" s="11">
        <v>3</v>
      </c>
      <c r="D41" s="11">
        <v>5</v>
      </c>
      <c r="E41" s="11">
        <v>12</v>
      </c>
      <c r="F41" s="11" t="s">
        <v>65</v>
      </c>
      <c r="G41" s="12">
        <v>40</v>
      </c>
      <c r="H41" s="46">
        <v>44666</v>
      </c>
      <c r="I41" s="11">
        <v>5</v>
      </c>
      <c r="J41" s="11">
        <v>57</v>
      </c>
      <c r="K41" s="11">
        <v>60</v>
      </c>
      <c r="L41" s="11">
        <v>78</v>
      </c>
      <c r="M41" s="11">
        <v>82</v>
      </c>
      <c r="N41" s="47">
        <f t="shared" si="0"/>
        <v>58.5</v>
      </c>
      <c r="O41" s="47">
        <f t="shared" si="1"/>
        <v>80</v>
      </c>
      <c r="P41" s="23">
        <v>2.69</v>
      </c>
      <c r="Q41" s="48">
        <f t="shared" si="2"/>
        <v>3.5866666666666664</v>
      </c>
      <c r="R41" s="48">
        <f t="shared" si="3"/>
        <v>3.6535706960447976</v>
      </c>
      <c r="S41" s="23">
        <v>275.89999999999998</v>
      </c>
      <c r="T41" s="23">
        <v>241.7</v>
      </c>
      <c r="U41" s="48">
        <f t="shared" si="4"/>
        <v>0.87604204421891996</v>
      </c>
      <c r="V41" s="48">
        <f t="shared" si="5"/>
        <v>12.395795578108004</v>
      </c>
      <c r="W41" s="23">
        <v>2.7240000000000002</v>
      </c>
      <c r="X41" s="48">
        <f t="shared" si="6"/>
        <v>3.6320000000000001</v>
      </c>
      <c r="Y41" s="48">
        <f t="shared" si="7"/>
        <v>2.3087131782945733</v>
      </c>
      <c r="Z41" s="23">
        <v>0.64500000000000002</v>
      </c>
      <c r="AA41" s="23">
        <v>0.41</v>
      </c>
      <c r="AB41" s="48">
        <f t="shared" si="8"/>
        <v>63.565891472868209</v>
      </c>
      <c r="AC41" s="48">
        <f t="shared" si="9"/>
        <v>36.434108527131791</v>
      </c>
      <c r="AD41" s="48">
        <f t="shared" si="18"/>
        <v>0.63190598194634351</v>
      </c>
      <c r="AE41" s="22">
        <v>643</v>
      </c>
      <c r="AF41" s="22">
        <v>1424</v>
      </c>
      <c r="AG41" s="23">
        <f t="shared" si="20"/>
        <v>0.85733333333333339</v>
      </c>
      <c r="AH41" s="23">
        <f t="shared" si="20"/>
        <v>1.8986666666666667</v>
      </c>
      <c r="AI41" s="23">
        <f t="shared" si="11"/>
        <v>2.7560000000000002</v>
      </c>
      <c r="AJ41" s="23">
        <f t="shared" si="12"/>
        <v>0.83066666666666622</v>
      </c>
      <c r="AK41" s="11">
        <v>132.09</v>
      </c>
      <c r="AL41" s="11">
        <v>133.44</v>
      </c>
      <c r="AM41" s="11">
        <v>1.62</v>
      </c>
      <c r="AN41" s="11">
        <v>1.68</v>
      </c>
      <c r="AO41" s="11">
        <v>7.33</v>
      </c>
      <c r="AP41" s="11">
        <v>7.37</v>
      </c>
      <c r="AQ41" s="11">
        <v>132.09</v>
      </c>
      <c r="AR41" s="11">
        <v>117.86</v>
      </c>
      <c r="AS41" s="11">
        <v>100.57</v>
      </c>
      <c r="AT41" s="11">
        <v>91.51</v>
      </c>
      <c r="AU41" s="49">
        <f t="shared" si="13"/>
        <v>53.024067499999987</v>
      </c>
      <c r="AV41" s="49">
        <f t="shared" si="14"/>
        <v>33</v>
      </c>
      <c r="AW41" s="49">
        <f t="shared" si="15"/>
        <v>147</v>
      </c>
      <c r="AX41" s="49">
        <f t="shared" si="16"/>
        <v>0.8922704216821864</v>
      </c>
      <c r="AY41" s="49">
        <f t="shared" si="17"/>
        <v>0.90991349308939062</v>
      </c>
      <c r="AZ41" s="50">
        <f t="shared" si="19"/>
        <v>0.76497317485552785</v>
      </c>
      <c r="BB41" s="11"/>
    </row>
    <row r="42" spans="1:54" ht="24.95" customHeight="1" x14ac:dyDescent="0.25">
      <c r="A42" s="11">
        <v>8</v>
      </c>
      <c r="B42" s="11" t="s">
        <v>74</v>
      </c>
      <c r="C42" s="11">
        <v>3</v>
      </c>
      <c r="D42" s="11">
        <v>5</v>
      </c>
      <c r="E42" s="11">
        <v>15</v>
      </c>
      <c r="F42" s="11" t="s">
        <v>75</v>
      </c>
      <c r="G42" s="12">
        <v>41</v>
      </c>
      <c r="H42" s="46">
        <v>44666</v>
      </c>
      <c r="I42" s="11">
        <v>2</v>
      </c>
      <c r="J42" s="11">
        <v>52</v>
      </c>
      <c r="K42" s="11">
        <v>60</v>
      </c>
      <c r="N42" s="47">
        <f t="shared" si="0"/>
        <v>56</v>
      </c>
      <c r="O42" s="47" t="e">
        <f t="shared" si="1"/>
        <v>#DIV/0!</v>
      </c>
      <c r="P42" s="23">
        <v>2.4900000000000002</v>
      </c>
      <c r="Q42" s="48">
        <f t="shared" si="2"/>
        <v>3.3200000000000003</v>
      </c>
      <c r="R42" s="48">
        <f t="shared" si="3"/>
        <v>3.4720950228958798</v>
      </c>
      <c r="S42" s="23">
        <v>348.9</v>
      </c>
      <c r="T42" s="23">
        <v>313.8</v>
      </c>
      <c r="U42" s="48">
        <f t="shared" si="4"/>
        <v>0.89939810834049883</v>
      </c>
      <c r="V42" s="48">
        <f t="shared" si="5"/>
        <v>10.060189165950117</v>
      </c>
      <c r="W42" s="23">
        <v>1.5529999999999999</v>
      </c>
      <c r="X42" s="48">
        <f t="shared" si="6"/>
        <v>2.0706666666666664</v>
      </c>
      <c r="Y42" s="48">
        <f t="shared" si="7"/>
        <v>1.4532660550458714</v>
      </c>
      <c r="Z42" s="23">
        <v>0.436</v>
      </c>
      <c r="AA42" s="23">
        <v>0.30599999999999999</v>
      </c>
      <c r="AB42" s="48">
        <f t="shared" si="8"/>
        <v>70.183486238532112</v>
      </c>
      <c r="AC42" s="48">
        <f t="shared" si="9"/>
        <v>29.816513761467888</v>
      </c>
      <c r="AD42" s="48">
        <f t="shared" si="18"/>
        <v>0.41855595698351122</v>
      </c>
      <c r="AE42" s="22">
        <v>0</v>
      </c>
      <c r="AF42" s="22">
        <v>1893</v>
      </c>
      <c r="AG42" s="23">
        <f t="shared" si="20"/>
        <v>0</v>
      </c>
      <c r="AH42" s="23">
        <f t="shared" si="20"/>
        <v>2.524</v>
      </c>
      <c r="AI42" s="23">
        <f t="shared" si="11"/>
        <v>2.524</v>
      </c>
      <c r="AJ42" s="23">
        <f t="shared" si="12"/>
        <v>0.79600000000000026</v>
      </c>
      <c r="AK42" s="11" t="s">
        <v>53</v>
      </c>
      <c r="AL42" s="11" t="s">
        <v>53</v>
      </c>
      <c r="AM42" s="11" t="s">
        <v>53</v>
      </c>
      <c r="AN42" s="11" t="s">
        <v>53</v>
      </c>
      <c r="AO42" s="11">
        <v>6.73</v>
      </c>
      <c r="AP42" s="11">
        <v>6.79</v>
      </c>
      <c r="AQ42" s="11" t="s">
        <v>53</v>
      </c>
      <c r="AR42" s="11" t="s">
        <v>53</v>
      </c>
      <c r="AS42" s="11">
        <v>100.22999999999999</v>
      </c>
      <c r="AT42" s="11">
        <v>90.65</v>
      </c>
      <c r="AU42" s="49" t="e">
        <f t="shared" si="13"/>
        <v>#DIV/0!</v>
      </c>
      <c r="AV42" s="49" t="e">
        <f t="shared" si="14"/>
        <v>#DIV/0!</v>
      </c>
      <c r="AW42" s="49">
        <f t="shared" si="15"/>
        <v>135.19999999999999</v>
      </c>
      <c r="AX42" s="49" t="e">
        <f t="shared" si="16"/>
        <v>#VALUE!</v>
      </c>
      <c r="AY42" s="49">
        <f t="shared" si="17"/>
        <v>0.90441983438092399</v>
      </c>
      <c r="AZ42" s="50" t="e">
        <f t="shared" si="19"/>
        <v>#VALUE!</v>
      </c>
      <c r="BB42" s="11"/>
    </row>
    <row r="43" spans="1:54" ht="24.95" customHeight="1" x14ac:dyDescent="0.25">
      <c r="A43" s="11">
        <v>2</v>
      </c>
      <c r="B43" s="11" t="s">
        <v>51</v>
      </c>
      <c r="C43" s="11">
        <v>3</v>
      </c>
      <c r="D43" s="11">
        <v>5</v>
      </c>
      <c r="E43" s="11">
        <v>18</v>
      </c>
      <c r="F43" s="11" t="s">
        <v>52</v>
      </c>
      <c r="G43" s="12">
        <v>42</v>
      </c>
      <c r="H43" s="46">
        <v>44666</v>
      </c>
      <c r="I43" s="11">
        <v>3</v>
      </c>
      <c r="L43" s="11">
        <v>79</v>
      </c>
      <c r="M43" s="11">
        <v>71</v>
      </c>
      <c r="N43" s="47" t="e">
        <f t="shared" si="0"/>
        <v>#DIV/0!</v>
      </c>
      <c r="O43" s="47">
        <f t="shared" si="1"/>
        <v>75</v>
      </c>
      <c r="P43" s="23">
        <v>2.8</v>
      </c>
      <c r="Q43" s="48">
        <f t="shared" si="2"/>
        <v>3.7333333333333329</v>
      </c>
      <c r="R43" s="48">
        <f t="shared" si="3"/>
        <v>3.888374444767809</v>
      </c>
      <c r="S43" s="23">
        <v>263.7</v>
      </c>
      <c r="T43" s="23">
        <v>236.2</v>
      </c>
      <c r="U43" s="48">
        <f t="shared" si="4"/>
        <v>0.89571482745544173</v>
      </c>
      <c r="V43" s="48">
        <f t="shared" si="5"/>
        <v>10.428517254455826</v>
      </c>
      <c r="W43" s="23">
        <v>3.9980000000000002</v>
      </c>
      <c r="X43" s="48">
        <f t="shared" si="6"/>
        <v>5.3306666666666667</v>
      </c>
      <c r="Y43" s="48">
        <f t="shared" si="7"/>
        <v>2.6883599712023041</v>
      </c>
      <c r="Z43" s="23">
        <v>0.92600000000000005</v>
      </c>
      <c r="AA43" s="23">
        <v>0.46700000000000003</v>
      </c>
      <c r="AB43" s="48">
        <f t="shared" si="8"/>
        <v>50.431965442764579</v>
      </c>
      <c r="AC43" s="48">
        <f t="shared" si="9"/>
        <v>49.568034557235421</v>
      </c>
      <c r="AD43" s="48">
        <f t="shared" si="18"/>
        <v>0.69138402419544687</v>
      </c>
      <c r="AE43" s="22">
        <v>2160</v>
      </c>
      <c r="AF43" s="22">
        <v>0</v>
      </c>
      <c r="AG43" s="23">
        <f t="shared" si="20"/>
        <v>2.88</v>
      </c>
      <c r="AH43" s="23">
        <f t="shared" si="20"/>
        <v>0</v>
      </c>
      <c r="AI43" s="23">
        <f t="shared" si="11"/>
        <v>2.88</v>
      </c>
      <c r="AJ43" s="23">
        <f t="shared" si="12"/>
        <v>0.85333333333333306</v>
      </c>
      <c r="AK43" s="11">
        <v>130.08000000000001</v>
      </c>
      <c r="AL43" s="11">
        <v>131.38999999999999</v>
      </c>
      <c r="AM43" s="11">
        <v>1.66</v>
      </c>
      <c r="AN43" s="11">
        <v>1.63</v>
      </c>
      <c r="AO43" s="11" t="s">
        <v>53</v>
      </c>
      <c r="AP43" s="11" t="s">
        <v>53</v>
      </c>
      <c r="AQ43" s="11">
        <v>130.08000000000001</v>
      </c>
      <c r="AR43" s="11">
        <v>116.31</v>
      </c>
      <c r="AS43" s="11" t="s">
        <v>53</v>
      </c>
      <c r="AT43" s="11" t="s">
        <v>53</v>
      </c>
      <c r="AU43" s="49">
        <f t="shared" si="13"/>
        <v>52.1927825</v>
      </c>
      <c r="AV43" s="49">
        <f t="shared" si="14"/>
        <v>32.9</v>
      </c>
      <c r="AW43" s="49" t="e">
        <f t="shared" si="15"/>
        <v>#DIV/0!</v>
      </c>
      <c r="AX43" s="49">
        <f t="shared" si="16"/>
        <v>0.89414206642066418</v>
      </c>
      <c r="AY43" s="49" t="e">
        <f t="shared" si="17"/>
        <v>#VALUE!</v>
      </c>
      <c r="AZ43" s="50">
        <f t="shared" si="19"/>
        <v>2.5751291512915127</v>
      </c>
      <c r="BB43" s="11"/>
    </row>
    <row r="44" spans="1:54" ht="24.95" customHeight="1" x14ac:dyDescent="0.25">
      <c r="A44" s="11">
        <v>14</v>
      </c>
      <c r="B44" s="11" t="s">
        <v>58</v>
      </c>
      <c r="C44" s="11">
        <v>3</v>
      </c>
      <c r="D44" s="11">
        <v>5</v>
      </c>
      <c r="E44" s="11">
        <v>21</v>
      </c>
      <c r="F44" s="11" t="s">
        <v>59</v>
      </c>
      <c r="G44" s="12">
        <v>43</v>
      </c>
      <c r="H44" s="46">
        <v>44666</v>
      </c>
      <c r="I44" s="11">
        <v>3</v>
      </c>
      <c r="J44" s="11">
        <v>51</v>
      </c>
      <c r="K44" s="11">
        <v>55</v>
      </c>
      <c r="L44" s="11">
        <v>80</v>
      </c>
      <c r="M44" s="11">
        <v>79</v>
      </c>
      <c r="N44" s="47">
        <f t="shared" si="0"/>
        <v>53</v>
      </c>
      <c r="O44" s="47">
        <f t="shared" si="1"/>
        <v>79.5</v>
      </c>
      <c r="P44" s="23">
        <v>2.4300000000000002</v>
      </c>
      <c r="Q44" s="48">
        <f t="shared" si="2"/>
        <v>3.24</v>
      </c>
      <c r="R44" s="48">
        <f t="shared" si="3"/>
        <v>3.4137905754897573</v>
      </c>
      <c r="S44" s="23">
        <v>285.5</v>
      </c>
      <c r="T44" s="23">
        <v>258.7</v>
      </c>
      <c r="U44" s="48">
        <f t="shared" si="4"/>
        <v>0.90612959719789843</v>
      </c>
      <c r="V44" s="48">
        <f t="shared" si="5"/>
        <v>9.387040280210158</v>
      </c>
      <c r="W44" s="23">
        <v>2.254</v>
      </c>
      <c r="X44" s="48">
        <f t="shared" si="6"/>
        <v>3.0053333333333332</v>
      </c>
      <c r="Y44" s="48">
        <f t="shared" si="7"/>
        <v>1.704756324900133</v>
      </c>
      <c r="Z44" s="23">
        <v>0.751</v>
      </c>
      <c r="AA44" s="23">
        <v>0.42599999999999999</v>
      </c>
      <c r="AB44" s="48">
        <f t="shared" si="8"/>
        <v>56.724367509986685</v>
      </c>
      <c r="AC44" s="48">
        <f t="shared" si="9"/>
        <v>43.275632490013315</v>
      </c>
      <c r="AD44" s="48">
        <f t="shared" si="18"/>
        <v>0.49937343466230677</v>
      </c>
      <c r="AE44" s="22">
        <v>543</v>
      </c>
      <c r="AF44" s="22">
        <v>1342</v>
      </c>
      <c r="AG44" s="23">
        <f t="shared" si="20"/>
        <v>0.72400000000000009</v>
      </c>
      <c r="AH44" s="23">
        <f t="shared" si="20"/>
        <v>1.7893333333333334</v>
      </c>
      <c r="AI44" s="23">
        <f t="shared" si="11"/>
        <v>2.5133333333333336</v>
      </c>
      <c r="AJ44" s="23">
        <f t="shared" si="12"/>
        <v>0.72666666666666657</v>
      </c>
      <c r="AK44" s="11">
        <v>133.524</v>
      </c>
      <c r="AL44" s="11">
        <v>131.84</v>
      </c>
      <c r="AM44" s="11">
        <v>1.74</v>
      </c>
      <c r="AN44" s="11">
        <v>1.69</v>
      </c>
      <c r="AO44" s="11">
        <v>6.47</v>
      </c>
      <c r="AP44" s="11">
        <v>6.41</v>
      </c>
      <c r="AQ44" s="11">
        <v>133.54</v>
      </c>
      <c r="AR44" s="11">
        <v>119.61</v>
      </c>
      <c r="AS44" s="11">
        <v>100.39</v>
      </c>
      <c r="AT44" s="11">
        <v>91.68</v>
      </c>
      <c r="AU44" s="49">
        <f t="shared" si="13"/>
        <v>52.990079000000001</v>
      </c>
      <c r="AV44" s="49">
        <f t="shared" si="14"/>
        <v>34.299999999999997</v>
      </c>
      <c r="AW44" s="49">
        <f t="shared" si="15"/>
        <v>128.79999999999998</v>
      </c>
      <c r="AX44" s="49">
        <f t="shared" si="16"/>
        <v>0.89568668563726228</v>
      </c>
      <c r="AY44" s="49">
        <f t="shared" si="17"/>
        <v>0.91323837035561317</v>
      </c>
      <c r="AZ44" s="50">
        <f t="shared" si="19"/>
        <v>0.64847716040137793</v>
      </c>
      <c r="BB44" s="11"/>
    </row>
    <row r="45" spans="1:54" ht="24.95" customHeight="1" x14ac:dyDescent="0.25">
      <c r="A45" s="11">
        <v>10</v>
      </c>
      <c r="B45" s="11" t="s">
        <v>76</v>
      </c>
      <c r="C45" s="11">
        <v>3</v>
      </c>
      <c r="D45" s="11">
        <v>5</v>
      </c>
      <c r="E45" s="11">
        <v>24</v>
      </c>
      <c r="F45" s="11" t="s">
        <v>77</v>
      </c>
      <c r="G45" s="12">
        <v>44</v>
      </c>
      <c r="H45" s="46">
        <v>44666</v>
      </c>
      <c r="I45" s="11">
        <v>2</v>
      </c>
      <c r="J45" s="11">
        <v>60</v>
      </c>
      <c r="K45" s="11">
        <v>59</v>
      </c>
      <c r="L45" s="11">
        <v>86</v>
      </c>
      <c r="M45" s="11">
        <v>77</v>
      </c>
      <c r="N45" s="47">
        <f t="shared" si="0"/>
        <v>59.5</v>
      </c>
      <c r="O45" s="47">
        <f t="shared" si="1"/>
        <v>81.5</v>
      </c>
      <c r="P45" s="23">
        <v>2.65</v>
      </c>
      <c r="Q45" s="48">
        <f t="shared" si="2"/>
        <v>3.5333333333333332</v>
      </c>
      <c r="R45" s="48">
        <f t="shared" si="3"/>
        <v>3.7148197404838075</v>
      </c>
      <c r="S45" s="23">
        <v>388.2</v>
      </c>
      <c r="T45" s="23">
        <v>351</v>
      </c>
      <c r="U45" s="48">
        <f t="shared" si="4"/>
        <v>0.90417310664605877</v>
      </c>
      <c r="V45" s="48">
        <f t="shared" si="5"/>
        <v>9.5826893353941234</v>
      </c>
      <c r="W45" s="23">
        <v>2.173</v>
      </c>
      <c r="X45" s="48">
        <f t="shared" si="6"/>
        <v>2.8973333333333335</v>
      </c>
      <c r="Y45" s="48">
        <f t="shared" si="7"/>
        <v>1.9931106227106228</v>
      </c>
      <c r="Z45" s="23">
        <v>0.45500000000000002</v>
      </c>
      <c r="AA45" s="23">
        <v>0.313</v>
      </c>
      <c r="AB45" s="48">
        <f t="shared" si="8"/>
        <v>68.791208791208788</v>
      </c>
      <c r="AC45" s="48">
        <f t="shared" si="9"/>
        <v>31.208791208791208</v>
      </c>
      <c r="AD45" s="48">
        <f t="shared" si="18"/>
        <v>0.53652956588710432</v>
      </c>
      <c r="AE45" s="22">
        <v>393</v>
      </c>
      <c r="AF45" s="22">
        <v>1618</v>
      </c>
      <c r="AG45" s="23">
        <f t="shared" si="20"/>
        <v>0.52400000000000002</v>
      </c>
      <c r="AH45" s="23">
        <f t="shared" si="20"/>
        <v>2.1573333333333333</v>
      </c>
      <c r="AI45" s="23">
        <f t="shared" si="11"/>
        <v>2.6813333333333333</v>
      </c>
      <c r="AJ45" s="23">
        <f t="shared" si="12"/>
        <v>0.85199999999999987</v>
      </c>
      <c r="AK45" s="11">
        <v>126.81</v>
      </c>
      <c r="AL45" s="11">
        <v>125.39</v>
      </c>
      <c r="AM45" s="11">
        <v>1.95</v>
      </c>
      <c r="AN45" s="11">
        <v>2.1</v>
      </c>
      <c r="AO45" s="11">
        <v>6.61</v>
      </c>
      <c r="AP45" s="11">
        <v>6.66</v>
      </c>
      <c r="AQ45" s="11">
        <v>126.81</v>
      </c>
      <c r="AR45" s="11">
        <v>113.36</v>
      </c>
      <c r="AS45" s="11">
        <v>100.46</v>
      </c>
      <c r="AT45" s="11">
        <v>91.43</v>
      </c>
      <c r="AU45" s="49">
        <f t="shared" si="13"/>
        <v>50.294749999999993</v>
      </c>
      <c r="AV45" s="49">
        <f t="shared" si="14"/>
        <v>40.5</v>
      </c>
      <c r="AW45" s="49">
        <f t="shared" si="15"/>
        <v>132.69999999999999</v>
      </c>
      <c r="AX45" s="49">
        <f t="shared" si="16"/>
        <v>0.89393580947874773</v>
      </c>
      <c r="AY45" s="49">
        <f t="shared" si="17"/>
        <v>0.91011347800119458</v>
      </c>
      <c r="AZ45" s="50">
        <f t="shared" si="19"/>
        <v>0.46842236416686384</v>
      </c>
      <c r="BB45" s="11"/>
    </row>
    <row r="46" spans="1:54" ht="24.95" customHeight="1" x14ac:dyDescent="0.25">
      <c r="A46" s="11">
        <v>11</v>
      </c>
      <c r="B46" s="11" t="s">
        <v>54</v>
      </c>
      <c r="C46" s="11">
        <v>3</v>
      </c>
      <c r="D46" s="11">
        <v>5</v>
      </c>
      <c r="E46" s="11">
        <v>27</v>
      </c>
      <c r="F46" s="11" t="s">
        <v>55</v>
      </c>
      <c r="G46" s="12">
        <v>45</v>
      </c>
      <c r="H46" s="46">
        <v>44666</v>
      </c>
      <c r="I46" s="11">
        <v>5</v>
      </c>
      <c r="J46" s="11">
        <v>59</v>
      </c>
      <c r="K46" s="11">
        <v>56</v>
      </c>
      <c r="L46" s="11">
        <v>78</v>
      </c>
      <c r="M46" s="11">
        <v>86</v>
      </c>
      <c r="N46" s="47">
        <f t="shared" si="0"/>
        <v>57.5</v>
      </c>
      <c r="O46" s="47">
        <f t="shared" si="1"/>
        <v>82</v>
      </c>
      <c r="P46" s="23">
        <v>2.6</v>
      </c>
      <c r="Q46" s="48">
        <f t="shared" si="2"/>
        <v>3.4666666666666668</v>
      </c>
      <c r="R46" s="48">
        <f t="shared" si="3"/>
        <v>3.638012567208655</v>
      </c>
      <c r="S46" s="23">
        <v>323.10000000000002</v>
      </c>
      <c r="T46" s="23">
        <v>291.60000000000002</v>
      </c>
      <c r="U46" s="48">
        <f t="shared" si="4"/>
        <v>0.90250696378830086</v>
      </c>
      <c r="V46" s="48">
        <f t="shared" si="5"/>
        <v>9.7493036211699131</v>
      </c>
      <c r="W46" s="23">
        <v>2.2709999999999999</v>
      </c>
      <c r="X46" s="48">
        <f t="shared" si="6"/>
        <v>3.028</v>
      </c>
      <c r="Y46" s="48">
        <f t="shared" si="7"/>
        <v>1.7801498559077809</v>
      </c>
      <c r="Z46" s="23">
        <v>0.69399999999999995</v>
      </c>
      <c r="AA46" s="23">
        <v>0.40799999999999997</v>
      </c>
      <c r="AB46" s="48">
        <f t="shared" si="8"/>
        <v>58.789625360230545</v>
      </c>
      <c r="AC46" s="48">
        <f t="shared" si="9"/>
        <v>41.210374639769455</v>
      </c>
      <c r="AD46" s="48">
        <f t="shared" si="18"/>
        <v>0.48931932559915259</v>
      </c>
      <c r="AE46" s="22">
        <v>413</v>
      </c>
      <c r="AF46" s="22">
        <v>1611</v>
      </c>
      <c r="AG46" s="23">
        <f t="shared" si="20"/>
        <v>0.55066666666666675</v>
      </c>
      <c r="AH46" s="23">
        <f t="shared" si="20"/>
        <v>2.1480000000000001</v>
      </c>
      <c r="AI46" s="23">
        <f t="shared" si="11"/>
        <v>2.698666666666667</v>
      </c>
      <c r="AJ46" s="23">
        <f t="shared" si="12"/>
        <v>0.76799999999999979</v>
      </c>
      <c r="AK46" s="11">
        <v>125.43</v>
      </c>
      <c r="AL46" s="11">
        <v>127.51</v>
      </c>
      <c r="AM46" s="11">
        <v>1.76</v>
      </c>
      <c r="AN46" s="11">
        <v>1.83</v>
      </c>
      <c r="AO46" s="11">
        <v>6.74</v>
      </c>
      <c r="AP46" s="11">
        <v>6.68</v>
      </c>
      <c r="AQ46" s="11">
        <v>125.43</v>
      </c>
      <c r="AR46" s="11">
        <v>112.34</v>
      </c>
      <c r="AS46" s="11">
        <v>100.39999999999999</v>
      </c>
      <c r="AT46" s="11">
        <v>91.69</v>
      </c>
      <c r="AU46" s="49">
        <f t="shared" si="13"/>
        <v>50.446264999999997</v>
      </c>
      <c r="AV46" s="49">
        <f t="shared" si="14"/>
        <v>35.9</v>
      </c>
      <c r="AW46" s="49">
        <f t="shared" si="15"/>
        <v>134.19999999999999</v>
      </c>
      <c r="AX46" s="49">
        <f t="shared" si="16"/>
        <v>0.89563900183369205</v>
      </c>
      <c r="AY46" s="49">
        <f t="shared" si="17"/>
        <v>0.91324701195219127</v>
      </c>
      <c r="AZ46" s="50">
        <f t="shared" si="19"/>
        <v>0.49319854367641985</v>
      </c>
      <c r="BB46" s="11"/>
    </row>
    <row r="47" spans="1:54" ht="24.95" customHeight="1" x14ac:dyDescent="0.25">
      <c r="A47" s="11">
        <v>7</v>
      </c>
      <c r="B47" s="11" t="s">
        <v>56</v>
      </c>
      <c r="C47" s="11">
        <v>3</v>
      </c>
      <c r="D47" s="11">
        <v>6</v>
      </c>
      <c r="E47" s="11">
        <v>27</v>
      </c>
      <c r="F47" s="11" t="s">
        <v>57</v>
      </c>
      <c r="G47" s="12">
        <v>46</v>
      </c>
      <c r="H47" s="46">
        <v>44666</v>
      </c>
      <c r="I47" s="11">
        <v>4</v>
      </c>
      <c r="J47" s="11">
        <v>59</v>
      </c>
      <c r="K47" s="11">
        <v>60</v>
      </c>
      <c r="N47" s="47">
        <f t="shared" si="0"/>
        <v>59.5</v>
      </c>
      <c r="O47" s="47" t="e">
        <f t="shared" si="1"/>
        <v>#DIV/0!</v>
      </c>
      <c r="P47" s="23">
        <v>2.59</v>
      </c>
      <c r="Q47" s="48">
        <f t="shared" si="2"/>
        <v>3.4533333333333331</v>
      </c>
      <c r="R47" s="48">
        <f t="shared" si="3"/>
        <v>3.6308164967751124</v>
      </c>
      <c r="S47" s="23">
        <v>304.8</v>
      </c>
      <c r="T47" s="23">
        <v>275.60000000000002</v>
      </c>
      <c r="U47" s="48">
        <f t="shared" si="4"/>
        <v>0.90419947506561682</v>
      </c>
      <c r="V47" s="48">
        <f t="shared" si="5"/>
        <v>9.580052493438318</v>
      </c>
      <c r="W47" s="23">
        <v>1.9730000000000001</v>
      </c>
      <c r="X47" s="48">
        <f t="shared" si="6"/>
        <v>2.6306666666666665</v>
      </c>
      <c r="Y47" s="48">
        <f t="shared" si="7"/>
        <v>2.2535431235431234</v>
      </c>
      <c r="Z47" s="23">
        <v>0.28599999999999998</v>
      </c>
      <c r="AA47" s="23">
        <v>0.245</v>
      </c>
      <c r="AB47" s="48">
        <f t="shared" si="8"/>
        <v>85.664335664335667</v>
      </c>
      <c r="AC47" s="48">
        <f t="shared" si="9"/>
        <v>14.335664335664333</v>
      </c>
      <c r="AD47" s="48">
        <f t="shared" si="18"/>
        <v>0.62067117011964612</v>
      </c>
      <c r="AE47" s="22">
        <v>0</v>
      </c>
      <c r="AF47" s="22">
        <v>2056</v>
      </c>
      <c r="AG47" s="23">
        <f t="shared" si="20"/>
        <v>0</v>
      </c>
      <c r="AH47" s="23">
        <f t="shared" si="20"/>
        <v>2.7413333333333334</v>
      </c>
      <c r="AI47" s="23">
        <f t="shared" si="11"/>
        <v>2.7413333333333334</v>
      </c>
      <c r="AJ47" s="23">
        <f t="shared" si="12"/>
        <v>0.71199999999999974</v>
      </c>
      <c r="AK47" s="11" t="s">
        <v>53</v>
      </c>
      <c r="AL47" s="11" t="s">
        <v>53</v>
      </c>
      <c r="AM47" s="11" t="s">
        <v>53</v>
      </c>
      <c r="AN47" s="11" t="s">
        <v>53</v>
      </c>
      <c r="AO47" s="11">
        <v>6.95</v>
      </c>
      <c r="AP47" s="11">
        <v>7</v>
      </c>
      <c r="AQ47" s="11" t="s">
        <v>53</v>
      </c>
      <c r="AR47" s="11" t="s">
        <v>53</v>
      </c>
      <c r="AS47" s="11">
        <v>100.6</v>
      </c>
      <c r="AT47" s="11">
        <v>91.350000000000009</v>
      </c>
      <c r="AU47" s="49" t="e">
        <f t="shared" si="13"/>
        <v>#DIV/0!</v>
      </c>
      <c r="AV47" s="49" t="e">
        <f t="shared" si="14"/>
        <v>#DIV/0!</v>
      </c>
      <c r="AW47" s="49">
        <f t="shared" si="15"/>
        <v>139.5</v>
      </c>
      <c r="AX47" s="49" t="e">
        <f t="shared" si="16"/>
        <v>#VALUE!</v>
      </c>
      <c r="AY47" s="49">
        <f t="shared" si="17"/>
        <v>0.90805168986083518</v>
      </c>
      <c r="AZ47" s="50" t="e">
        <f t="shared" si="19"/>
        <v>#VALUE!</v>
      </c>
      <c r="BB47" s="11"/>
    </row>
    <row r="48" spans="1:54" ht="24.95" customHeight="1" x14ac:dyDescent="0.25">
      <c r="A48" s="11">
        <v>5</v>
      </c>
      <c r="B48" s="11" t="s">
        <v>62</v>
      </c>
      <c r="C48" s="11">
        <v>3</v>
      </c>
      <c r="D48" s="11">
        <v>6</v>
      </c>
      <c r="E48" s="11">
        <v>24</v>
      </c>
      <c r="F48" s="11" t="s">
        <v>85</v>
      </c>
      <c r="G48" s="12">
        <v>47</v>
      </c>
      <c r="H48" s="46">
        <v>44666</v>
      </c>
      <c r="I48" s="11">
        <v>2</v>
      </c>
      <c r="L48" s="11">
        <v>81</v>
      </c>
      <c r="M48" s="11">
        <v>84</v>
      </c>
      <c r="N48" s="47" t="e">
        <f t="shared" si="0"/>
        <v>#DIV/0!</v>
      </c>
      <c r="O48" s="47">
        <f t="shared" si="1"/>
        <v>82.5</v>
      </c>
      <c r="P48" s="23">
        <v>2.99</v>
      </c>
      <c r="Q48" s="48">
        <f t="shared" si="2"/>
        <v>3.9866666666666668</v>
      </c>
      <c r="R48" s="48">
        <f t="shared" si="3"/>
        <v>4.1146899628132836</v>
      </c>
      <c r="S48" s="23">
        <v>288.3</v>
      </c>
      <c r="T48" s="23">
        <v>255.9</v>
      </c>
      <c r="U48" s="48">
        <f t="shared" si="4"/>
        <v>0.88761706555671172</v>
      </c>
      <c r="V48" s="48">
        <f t="shared" si="5"/>
        <v>11.238293444328828</v>
      </c>
      <c r="W48" s="23">
        <v>4.9779999999999998</v>
      </c>
      <c r="X48" s="48">
        <f t="shared" si="6"/>
        <v>6.6373333333333324</v>
      </c>
      <c r="Y48" s="48">
        <f t="shared" si="7"/>
        <v>3.4069961977186312</v>
      </c>
      <c r="Z48" s="23">
        <v>0.78900000000000003</v>
      </c>
      <c r="AA48" s="23">
        <v>0.40500000000000003</v>
      </c>
      <c r="AB48" s="48">
        <f t="shared" si="8"/>
        <v>51.330798479087456</v>
      </c>
      <c r="AC48" s="48">
        <f t="shared" si="9"/>
        <v>48.669201520912544</v>
      </c>
      <c r="AD48" s="48">
        <f t="shared" si="18"/>
        <v>0.82800799781017032</v>
      </c>
      <c r="AE48" s="22">
        <v>2295</v>
      </c>
      <c r="AF48" s="22">
        <v>0</v>
      </c>
      <c r="AG48" s="23">
        <f t="shared" si="20"/>
        <v>3.06</v>
      </c>
      <c r="AH48" s="23">
        <f t="shared" si="20"/>
        <v>0</v>
      </c>
      <c r="AI48" s="23">
        <f t="shared" si="11"/>
        <v>3.06</v>
      </c>
      <c r="AJ48" s="23">
        <f t="shared" si="12"/>
        <v>0.92666666666666675</v>
      </c>
      <c r="AK48" s="11">
        <v>126.3</v>
      </c>
      <c r="AL48" s="11">
        <v>124.16</v>
      </c>
      <c r="AM48" s="11">
        <v>1.34</v>
      </c>
      <c r="AN48" s="11">
        <v>1.55</v>
      </c>
      <c r="AO48" s="11" t="s">
        <v>53</v>
      </c>
      <c r="AP48" s="11" t="s">
        <v>53</v>
      </c>
      <c r="AQ48" s="11">
        <v>126.3</v>
      </c>
      <c r="AR48" s="11">
        <v>111.73</v>
      </c>
      <c r="AS48" s="11" t="s">
        <v>53</v>
      </c>
      <c r="AT48" s="11" t="s">
        <v>53</v>
      </c>
      <c r="AU48" s="49">
        <f t="shared" si="13"/>
        <v>49.938484999999993</v>
      </c>
      <c r="AV48" s="49">
        <f t="shared" si="14"/>
        <v>28.900000000000002</v>
      </c>
      <c r="AW48" s="49" t="e">
        <f t="shared" si="15"/>
        <v>#DIV/0!</v>
      </c>
      <c r="AX48" s="49">
        <f t="shared" si="16"/>
        <v>0.88463974663499612</v>
      </c>
      <c r="AY48" s="49" t="e">
        <f t="shared" si="17"/>
        <v>#VALUE!</v>
      </c>
      <c r="AZ48" s="50">
        <f t="shared" si="19"/>
        <v>2.7069976247030882</v>
      </c>
      <c r="BB48" s="11"/>
    </row>
    <row r="49" spans="1:54" ht="24.95" customHeight="1" x14ac:dyDescent="0.25">
      <c r="A49" s="11">
        <v>3</v>
      </c>
      <c r="B49" s="11" t="s">
        <v>82</v>
      </c>
      <c r="C49" s="11">
        <v>3</v>
      </c>
      <c r="D49" s="11">
        <v>6</v>
      </c>
      <c r="E49" s="11">
        <v>21</v>
      </c>
      <c r="F49" s="11" t="s">
        <v>83</v>
      </c>
      <c r="G49" s="12">
        <v>48</v>
      </c>
      <c r="H49" s="46">
        <v>44666</v>
      </c>
      <c r="I49" s="11">
        <v>4</v>
      </c>
      <c r="L49" s="11">
        <v>64</v>
      </c>
      <c r="M49" s="11">
        <v>60</v>
      </c>
      <c r="N49" s="47" t="e">
        <f t="shared" si="0"/>
        <v>#DIV/0!</v>
      </c>
      <c r="O49" s="47">
        <f t="shared" si="1"/>
        <v>62</v>
      </c>
      <c r="P49" s="23">
        <v>2.2599999999999998</v>
      </c>
      <c r="Q49" s="48">
        <f t="shared" si="2"/>
        <v>3.0133333333333328</v>
      </c>
      <c r="R49" s="48">
        <f t="shared" si="3"/>
        <v>3.1138292604529538</v>
      </c>
      <c r="S49" s="23">
        <v>267.7</v>
      </c>
      <c r="T49" s="23">
        <v>237.9</v>
      </c>
      <c r="U49" s="48">
        <f t="shared" si="4"/>
        <v>0.88868135973104223</v>
      </c>
      <c r="V49" s="48">
        <f t="shared" si="5"/>
        <v>11.131864026895776</v>
      </c>
      <c r="W49" s="23">
        <v>3.9809999999999999</v>
      </c>
      <c r="X49" s="48">
        <f t="shared" si="6"/>
        <v>5.3079999999999998</v>
      </c>
      <c r="Y49" s="48">
        <f t="shared" si="7"/>
        <v>2.8905968992248066</v>
      </c>
      <c r="Z49" s="23">
        <v>1.032</v>
      </c>
      <c r="AA49" s="23">
        <v>0.56200000000000006</v>
      </c>
      <c r="AB49" s="48">
        <f t="shared" si="8"/>
        <v>54.457364341085281</v>
      </c>
      <c r="AC49" s="48">
        <f t="shared" si="9"/>
        <v>45.542635658914719</v>
      </c>
      <c r="AD49" s="48">
        <f t="shared" si="18"/>
        <v>0.92830937647632139</v>
      </c>
      <c r="AE49" s="22">
        <v>1606</v>
      </c>
      <c r="AF49" s="22">
        <v>0</v>
      </c>
      <c r="AG49" s="23">
        <f t="shared" si="20"/>
        <v>2.1413333333333333</v>
      </c>
      <c r="AH49" s="23">
        <f t="shared" si="20"/>
        <v>0</v>
      </c>
      <c r="AI49" s="23">
        <f t="shared" si="11"/>
        <v>2.1413333333333333</v>
      </c>
      <c r="AJ49" s="23">
        <f t="shared" si="12"/>
        <v>0.87199999999999944</v>
      </c>
      <c r="AK49" s="11">
        <v>119.66</v>
      </c>
      <c r="AL49" s="11">
        <v>120.61</v>
      </c>
      <c r="AM49" s="11">
        <v>1.44</v>
      </c>
      <c r="AN49" s="11">
        <v>1.43</v>
      </c>
      <c r="AO49" s="11" t="s">
        <v>53</v>
      </c>
      <c r="AP49" s="11" t="s">
        <v>53</v>
      </c>
      <c r="AQ49" s="11">
        <v>119.66</v>
      </c>
      <c r="AR49" s="11">
        <v>106.75</v>
      </c>
      <c r="AS49" s="11" t="s">
        <v>53</v>
      </c>
      <c r="AT49" s="11" t="s">
        <v>53</v>
      </c>
      <c r="AU49" s="49">
        <f t="shared" si="13"/>
        <v>47.852082499999987</v>
      </c>
      <c r="AV49" s="49">
        <f t="shared" si="14"/>
        <v>28.700000000000003</v>
      </c>
      <c r="AW49" s="49" t="e">
        <f t="shared" si="15"/>
        <v>#DIV/0!</v>
      </c>
      <c r="AX49" s="49">
        <f t="shared" si="16"/>
        <v>0.89211098111315401</v>
      </c>
      <c r="AY49" s="49" t="e">
        <f t="shared" si="17"/>
        <v>#VALUE!</v>
      </c>
      <c r="AZ49" s="50">
        <f t="shared" si="19"/>
        <v>1.9103069808903004</v>
      </c>
      <c r="BB49" s="11"/>
    </row>
    <row r="50" spans="1:54" ht="24.95" customHeight="1" x14ac:dyDescent="0.25">
      <c r="A50" s="11">
        <v>18</v>
      </c>
      <c r="B50" s="11" t="s">
        <v>80</v>
      </c>
      <c r="C50" s="11">
        <v>3</v>
      </c>
      <c r="D50" s="11">
        <v>6</v>
      </c>
      <c r="E50" s="11">
        <v>18</v>
      </c>
      <c r="F50" s="11" t="s">
        <v>81</v>
      </c>
      <c r="G50" s="12">
        <v>49</v>
      </c>
      <c r="H50" s="46">
        <v>44666</v>
      </c>
      <c r="I50" s="11">
        <v>3</v>
      </c>
      <c r="J50" s="11">
        <v>54</v>
      </c>
      <c r="K50" s="11">
        <v>61</v>
      </c>
      <c r="L50" s="11">
        <v>59</v>
      </c>
      <c r="M50" s="11">
        <v>60</v>
      </c>
      <c r="N50" s="47">
        <f t="shared" si="0"/>
        <v>57.5</v>
      </c>
      <c r="O50" s="47">
        <f t="shared" si="1"/>
        <v>59.5</v>
      </c>
      <c r="P50" s="23">
        <v>2.4500000000000002</v>
      </c>
      <c r="Q50" s="48">
        <f t="shared" si="2"/>
        <v>3.2666666666666671</v>
      </c>
      <c r="R50" s="48">
        <f t="shared" si="3"/>
        <v>3.4384317233154449</v>
      </c>
      <c r="S50" s="23">
        <v>291.2</v>
      </c>
      <c r="T50" s="23">
        <v>263.60000000000002</v>
      </c>
      <c r="U50" s="48">
        <f t="shared" si="4"/>
        <v>0.90521978021978033</v>
      </c>
      <c r="V50" s="48">
        <f t="shared" si="5"/>
        <v>9.4780219780219674</v>
      </c>
      <c r="W50" s="23">
        <v>2.2349999999999999</v>
      </c>
      <c r="X50" s="48">
        <f t="shared" si="6"/>
        <v>2.98</v>
      </c>
      <c r="Y50" s="48">
        <f t="shared" si="7"/>
        <v>1.7551496062992127</v>
      </c>
      <c r="Z50" s="23">
        <v>0.63500000000000001</v>
      </c>
      <c r="AA50" s="23">
        <v>0.374</v>
      </c>
      <c r="AB50" s="48">
        <f t="shared" si="8"/>
        <v>58.897637795275593</v>
      </c>
      <c r="AC50" s="48">
        <f t="shared" si="9"/>
        <v>41.102362204724407</v>
      </c>
      <c r="AD50" s="48">
        <f t="shared" si="18"/>
        <v>0.51045062037958455</v>
      </c>
      <c r="AE50" s="22">
        <v>524</v>
      </c>
      <c r="AF50" s="22">
        <v>1374</v>
      </c>
      <c r="AG50" s="23">
        <f t="shared" si="20"/>
        <v>0.69866666666666655</v>
      </c>
      <c r="AH50" s="23">
        <f t="shared" si="20"/>
        <v>1.8319999999999999</v>
      </c>
      <c r="AI50" s="23">
        <f t="shared" si="11"/>
        <v>2.5306666666666664</v>
      </c>
      <c r="AJ50" s="23">
        <f t="shared" si="12"/>
        <v>0.73600000000000065</v>
      </c>
      <c r="AK50" s="11">
        <v>123.38</v>
      </c>
      <c r="AL50" s="11">
        <v>123.4</v>
      </c>
      <c r="AM50" s="11">
        <v>1.52</v>
      </c>
      <c r="AN50" s="11">
        <v>1.45</v>
      </c>
      <c r="AO50" s="11">
        <v>7.63</v>
      </c>
      <c r="AP50" s="11">
        <v>7.62</v>
      </c>
      <c r="AQ50" s="11">
        <v>123.32</v>
      </c>
      <c r="AR50" s="11">
        <v>110.13000000000001</v>
      </c>
      <c r="AS50" s="11">
        <v>100.61</v>
      </c>
      <c r="AT50" s="11">
        <v>91.72</v>
      </c>
      <c r="AU50" s="49">
        <f t="shared" si="13"/>
        <v>49.185004999999997</v>
      </c>
      <c r="AV50" s="49">
        <f t="shared" si="14"/>
        <v>29.699999999999996</v>
      </c>
      <c r="AW50" s="49">
        <f t="shared" si="15"/>
        <v>152.5</v>
      </c>
      <c r="AX50" s="49">
        <f t="shared" si="16"/>
        <v>0.89304249108011691</v>
      </c>
      <c r="AY50" s="49">
        <f t="shared" si="17"/>
        <v>0.91163900208726767</v>
      </c>
      <c r="AZ50" s="50">
        <f t="shared" si="19"/>
        <v>0.62393902043464156</v>
      </c>
      <c r="BB50" s="11"/>
    </row>
    <row r="51" spans="1:54" ht="24.95" customHeight="1" x14ac:dyDescent="0.25">
      <c r="A51" s="11">
        <v>17</v>
      </c>
      <c r="B51" s="11" t="s">
        <v>60</v>
      </c>
      <c r="C51" s="11">
        <v>3</v>
      </c>
      <c r="D51" s="11">
        <v>6</v>
      </c>
      <c r="E51" s="11">
        <v>15</v>
      </c>
      <c r="F51" s="11" t="s">
        <v>61</v>
      </c>
      <c r="G51" s="12">
        <v>50</v>
      </c>
      <c r="H51" s="46">
        <v>44666</v>
      </c>
      <c r="I51" s="11">
        <v>3</v>
      </c>
      <c r="J51" s="11">
        <v>49</v>
      </c>
      <c r="K51" s="11">
        <v>55</v>
      </c>
      <c r="L51" s="11">
        <v>64</v>
      </c>
      <c r="M51" s="11">
        <v>62</v>
      </c>
      <c r="N51" s="47">
        <f t="shared" si="0"/>
        <v>52</v>
      </c>
      <c r="O51" s="47">
        <f t="shared" si="1"/>
        <v>63</v>
      </c>
      <c r="P51" s="23">
        <v>2.57</v>
      </c>
      <c r="Q51" s="48">
        <f t="shared" si="2"/>
        <v>3.4266666666666663</v>
      </c>
      <c r="R51" s="48">
        <f t="shared" si="3"/>
        <v>3.5479251878015292</v>
      </c>
      <c r="S51" s="23">
        <v>316.7</v>
      </c>
      <c r="T51" s="23">
        <v>282</v>
      </c>
      <c r="U51" s="48">
        <f t="shared" si="4"/>
        <v>0.89043258604357445</v>
      </c>
      <c r="V51" s="48">
        <f t="shared" si="5"/>
        <v>10.956741395642556</v>
      </c>
      <c r="W51" s="23">
        <v>2.1850000000000001</v>
      </c>
      <c r="X51" s="48">
        <f t="shared" si="6"/>
        <v>2.9133333333333331</v>
      </c>
      <c r="Y51" s="48">
        <f t="shared" si="7"/>
        <v>1.8307351460221548</v>
      </c>
      <c r="Z51" s="23">
        <v>0.66200000000000003</v>
      </c>
      <c r="AA51" s="23">
        <v>0.41599999999999998</v>
      </c>
      <c r="AB51" s="48">
        <f t="shared" si="8"/>
        <v>62.839879154078545</v>
      </c>
      <c r="AC51" s="48">
        <f t="shared" si="9"/>
        <v>37.160120845921455</v>
      </c>
      <c r="AD51" s="48">
        <f t="shared" si="18"/>
        <v>0.51600162041651432</v>
      </c>
      <c r="AE51" s="22">
        <v>486</v>
      </c>
      <c r="AF51" s="22">
        <v>1369</v>
      </c>
      <c r="AG51" s="23">
        <f t="shared" si="20"/>
        <v>0.64800000000000002</v>
      </c>
      <c r="AH51" s="23">
        <f t="shared" si="20"/>
        <v>1.8253333333333333</v>
      </c>
      <c r="AI51" s="23">
        <f t="shared" si="11"/>
        <v>2.4733333333333332</v>
      </c>
      <c r="AJ51" s="23">
        <f t="shared" si="12"/>
        <v>0.95333333333333314</v>
      </c>
      <c r="AK51" s="11">
        <v>120.32</v>
      </c>
      <c r="AL51" s="11">
        <v>120.5</v>
      </c>
      <c r="AM51" s="11">
        <v>1.51</v>
      </c>
      <c r="AN51" s="11">
        <v>1.35</v>
      </c>
      <c r="AO51" s="11">
        <v>6.36</v>
      </c>
      <c r="AP51" s="11">
        <v>6.51</v>
      </c>
      <c r="AQ51" s="11">
        <v>120.32</v>
      </c>
      <c r="AR51" s="11">
        <v>107.35000000000001</v>
      </c>
      <c r="AS51" s="11">
        <v>100.83</v>
      </c>
      <c r="AT51" s="11">
        <v>91.17</v>
      </c>
      <c r="AU51" s="49">
        <f t="shared" si="13"/>
        <v>47.964694999999992</v>
      </c>
      <c r="AV51" s="49">
        <f t="shared" si="14"/>
        <v>28.6</v>
      </c>
      <c r="AW51" s="49">
        <f t="shared" si="15"/>
        <v>128.70000000000002</v>
      </c>
      <c r="AX51" s="49">
        <f t="shared" si="16"/>
        <v>0.89220412234042568</v>
      </c>
      <c r="AY51" s="49">
        <f t="shared" si="17"/>
        <v>0.90419518000595067</v>
      </c>
      <c r="AZ51" s="50">
        <f t="shared" si="19"/>
        <v>0.57814827127659585</v>
      </c>
      <c r="BB51" s="11"/>
    </row>
    <row r="52" spans="1:54" ht="24.95" customHeight="1" x14ac:dyDescent="0.25">
      <c r="A52" s="11">
        <v>9</v>
      </c>
      <c r="B52" s="11" t="s">
        <v>70</v>
      </c>
      <c r="C52" s="11">
        <v>3</v>
      </c>
      <c r="D52" s="11">
        <v>6</v>
      </c>
      <c r="E52" s="11">
        <v>12</v>
      </c>
      <c r="F52" s="11" t="s">
        <v>71</v>
      </c>
      <c r="G52" s="12">
        <v>51</v>
      </c>
      <c r="H52" s="46">
        <v>44666</v>
      </c>
      <c r="I52" s="11">
        <v>2</v>
      </c>
      <c r="J52" s="11">
        <v>54</v>
      </c>
      <c r="K52" s="11">
        <v>53</v>
      </c>
      <c r="N52" s="47">
        <f t="shared" si="0"/>
        <v>53.5</v>
      </c>
      <c r="O52" s="47" t="e">
        <f t="shared" si="1"/>
        <v>#DIV/0!</v>
      </c>
      <c r="P52" s="23">
        <v>1.93</v>
      </c>
      <c r="Q52" s="48">
        <f t="shared" si="2"/>
        <v>2.5733333333333333</v>
      </c>
      <c r="R52" s="48">
        <f t="shared" si="3"/>
        <v>2.5554322152534947</v>
      </c>
      <c r="S52" s="23">
        <v>251.4</v>
      </c>
      <c r="T52" s="23">
        <v>214.7</v>
      </c>
      <c r="U52" s="48">
        <f t="shared" si="4"/>
        <v>0.85401750198886228</v>
      </c>
      <c r="V52" s="48">
        <f t="shared" si="5"/>
        <v>14.598249801113772</v>
      </c>
      <c r="W52" s="23">
        <v>1.825</v>
      </c>
      <c r="X52" s="48">
        <f t="shared" si="6"/>
        <v>2.4333333333333331</v>
      </c>
      <c r="Y52" s="48">
        <f t="shared" si="7"/>
        <v>1.7373362445414846</v>
      </c>
      <c r="Z52" s="23">
        <v>0.45800000000000002</v>
      </c>
      <c r="AA52" s="23">
        <v>0.32700000000000001</v>
      </c>
      <c r="AB52" s="48">
        <f t="shared" si="8"/>
        <v>71.397379912663766</v>
      </c>
      <c r="AC52" s="48">
        <f t="shared" si="9"/>
        <v>28.602620087336238</v>
      </c>
      <c r="AD52" s="48">
        <f t="shared" si="18"/>
        <v>0.67986003861548083</v>
      </c>
      <c r="AE52" s="22">
        <v>0</v>
      </c>
      <c r="AF52" s="22">
        <v>1275</v>
      </c>
      <c r="AG52" s="23">
        <f t="shared" si="20"/>
        <v>0</v>
      </c>
      <c r="AH52" s="23">
        <f t="shared" si="20"/>
        <v>1.7</v>
      </c>
      <c r="AI52" s="23">
        <f t="shared" si="11"/>
        <v>1.7</v>
      </c>
      <c r="AJ52" s="23">
        <f t="shared" si="12"/>
        <v>0.87333333333333329</v>
      </c>
      <c r="AK52" s="11" t="s">
        <v>53</v>
      </c>
      <c r="AL52" s="11" t="s">
        <v>53</v>
      </c>
      <c r="AM52" s="11" t="s">
        <v>53</v>
      </c>
      <c r="AN52" s="11" t="s">
        <v>53</v>
      </c>
      <c r="AO52" s="11">
        <v>7.7</v>
      </c>
      <c r="AP52" s="11">
        <v>7.39</v>
      </c>
      <c r="AQ52" s="11" t="s">
        <v>53</v>
      </c>
      <c r="AR52" s="11" t="s">
        <v>53</v>
      </c>
      <c r="AS52" s="11">
        <v>100.32</v>
      </c>
      <c r="AT52" s="11">
        <v>90.95</v>
      </c>
      <c r="AU52" s="49" t="e">
        <f t="shared" si="13"/>
        <v>#DIV/0!</v>
      </c>
      <c r="AV52" s="49" t="e">
        <f t="shared" si="14"/>
        <v>#DIV/0!</v>
      </c>
      <c r="AW52" s="49">
        <f t="shared" si="15"/>
        <v>150.9</v>
      </c>
      <c r="AX52" s="49" t="e">
        <f t="shared" si="16"/>
        <v>#VALUE!</v>
      </c>
      <c r="AY52" s="49">
        <f t="shared" si="17"/>
        <v>0.9065988835725679</v>
      </c>
      <c r="AZ52" s="50" t="e">
        <f t="shared" si="19"/>
        <v>#VALUE!</v>
      </c>
      <c r="BB52" s="11"/>
    </row>
    <row r="53" spans="1:54" ht="24.95" customHeight="1" x14ac:dyDescent="0.25">
      <c r="A53" s="11">
        <v>12</v>
      </c>
      <c r="B53" s="11" t="s">
        <v>66</v>
      </c>
      <c r="C53" s="11">
        <v>3</v>
      </c>
      <c r="D53" s="11">
        <v>6</v>
      </c>
      <c r="E53" s="11">
        <v>9</v>
      </c>
      <c r="F53" s="11" t="s">
        <v>67</v>
      </c>
      <c r="G53" s="12">
        <v>52</v>
      </c>
      <c r="H53" s="46">
        <v>44666</v>
      </c>
      <c r="I53" s="11">
        <v>4</v>
      </c>
      <c r="J53" s="11">
        <v>56</v>
      </c>
      <c r="K53" s="11">
        <v>57</v>
      </c>
      <c r="L53" s="11">
        <v>80</v>
      </c>
      <c r="M53" s="11">
        <v>79</v>
      </c>
      <c r="N53" s="47">
        <f t="shared" si="0"/>
        <v>56.5</v>
      </c>
      <c r="O53" s="47">
        <f t="shared" si="1"/>
        <v>79.5</v>
      </c>
      <c r="P53" s="23">
        <v>2.67</v>
      </c>
      <c r="Q53" s="48">
        <f t="shared" si="2"/>
        <v>3.5599999999999996</v>
      </c>
      <c r="R53" s="48">
        <f t="shared" si="3"/>
        <v>3.6781111877809063</v>
      </c>
      <c r="S53" s="23">
        <v>249.4</v>
      </c>
      <c r="T53" s="23">
        <v>221.6</v>
      </c>
      <c r="U53" s="48">
        <f t="shared" si="4"/>
        <v>0.88853247794707291</v>
      </c>
      <c r="V53" s="48">
        <f t="shared" si="5"/>
        <v>11.14675220529271</v>
      </c>
      <c r="W53" s="23">
        <v>2.6120000000000001</v>
      </c>
      <c r="X53" s="48">
        <f t="shared" si="6"/>
        <v>3.4826666666666668</v>
      </c>
      <c r="Y53" s="48">
        <f t="shared" si="7"/>
        <v>2.2640221116639028</v>
      </c>
      <c r="Z53" s="23">
        <v>0.60299999999999998</v>
      </c>
      <c r="AA53" s="23">
        <v>0.39200000000000002</v>
      </c>
      <c r="AB53" s="48">
        <f t="shared" si="8"/>
        <v>65.008291873963515</v>
      </c>
      <c r="AC53" s="48">
        <f t="shared" si="9"/>
        <v>34.991708126036478</v>
      </c>
      <c r="AD53" s="48">
        <f t="shared" si="18"/>
        <v>0.61553933420643603</v>
      </c>
      <c r="AE53" s="22">
        <v>698</v>
      </c>
      <c r="AF53" s="22">
        <v>1360</v>
      </c>
      <c r="AG53" s="23">
        <f t="shared" si="20"/>
        <v>0.93066666666666664</v>
      </c>
      <c r="AH53" s="23">
        <f t="shared" si="20"/>
        <v>1.8133333333333335</v>
      </c>
      <c r="AI53" s="23">
        <f t="shared" si="11"/>
        <v>2.7440000000000002</v>
      </c>
      <c r="AJ53" s="23">
        <f t="shared" si="12"/>
        <v>0.81599999999999939</v>
      </c>
      <c r="AK53" s="11">
        <v>126.02</v>
      </c>
      <c r="AL53" s="11">
        <v>126.32</v>
      </c>
      <c r="AM53" s="11">
        <v>1.83</v>
      </c>
      <c r="AN53" s="11">
        <v>1.79</v>
      </c>
      <c r="AO53" s="11">
        <v>7.12</v>
      </c>
      <c r="AP53" s="11">
        <v>7.42</v>
      </c>
      <c r="AQ53" s="11">
        <v>126.02</v>
      </c>
      <c r="AR53" s="11">
        <v>112.49000000000001</v>
      </c>
      <c r="AS53" s="11">
        <v>100.33</v>
      </c>
      <c r="AT53" s="11">
        <v>91.17</v>
      </c>
      <c r="AU53" s="49">
        <f t="shared" si="13"/>
        <v>50.32341499999999</v>
      </c>
      <c r="AV53" s="49">
        <f t="shared" si="14"/>
        <v>36.200000000000003</v>
      </c>
      <c r="AW53" s="49">
        <f t="shared" si="15"/>
        <v>145.39999999999998</v>
      </c>
      <c r="AX53" s="49">
        <f t="shared" si="16"/>
        <v>0.89263608950960172</v>
      </c>
      <c r="AY53" s="49">
        <f t="shared" si="17"/>
        <v>0.90870128575700193</v>
      </c>
      <c r="AZ53" s="50">
        <f t="shared" si="19"/>
        <v>0.83074665397026926</v>
      </c>
      <c r="BB53" s="11"/>
    </row>
    <row r="54" spans="1:54" ht="24.95" customHeight="1" x14ac:dyDescent="0.25">
      <c r="A54" s="11">
        <v>16</v>
      </c>
      <c r="B54" s="11" t="s">
        <v>49</v>
      </c>
      <c r="C54" s="11">
        <v>3</v>
      </c>
      <c r="D54" s="11">
        <v>6</v>
      </c>
      <c r="E54" s="11">
        <v>6</v>
      </c>
      <c r="F54" s="11" t="s">
        <v>50</v>
      </c>
      <c r="G54" s="12">
        <v>53</v>
      </c>
      <c r="H54" s="46">
        <v>44666</v>
      </c>
      <c r="I54" s="11">
        <v>2</v>
      </c>
      <c r="J54" s="11">
        <v>54</v>
      </c>
      <c r="K54" s="11">
        <v>56</v>
      </c>
      <c r="L54" s="11">
        <v>60</v>
      </c>
      <c r="M54" s="11">
        <v>59</v>
      </c>
      <c r="N54" s="47">
        <f t="shared" si="0"/>
        <v>55</v>
      </c>
      <c r="O54" s="47">
        <f t="shared" si="1"/>
        <v>59.5</v>
      </c>
      <c r="P54" s="23">
        <v>2.58</v>
      </c>
      <c r="Q54" s="48">
        <f t="shared" si="2"/>
        <v>3.4400000000000004</v>
      </c>
      <c r="R54" s="48">
        <f t="shared" si="3"/>
        <v>3.5498154981549819</v>
      </c>
      <c r="S54" s="23">
        <v>271</v>
      </c>
      <c r="T54" s="23">
        <v>240.5</v>
      </c>
      <c r="U54" s="48">
        <f t="shared" si="4"/>
        <v>0.88745387453874536</v>
      </c>
      <c r="V54" s="48">
        <f t="shared" si="5"/>
        <v>11.254612546125465</v>
      </c>
      <c r="W54" s="23">
        <v>1.6639999999999999</v>
      </c>
      <c r="X54" s="48">
        <f t="shared" si="6"/>
        <v>2.2186666666666666</v>
      </c>
      <c r="Y54" s="48">
        <f t="shared" si="7"/>
        <v>1.4493588761174967</v>
      </c>
      <c r="Z54" s="23">
        <v>0.52200000000000002</v>
      </c>
      <c r="AA54" s="23">
        <v>0.34100000000000003</v>
      </c>
      <c r="AB54" s="48">
        <f t="shared" si="8"/>
        <v>65.325670498084293</v>
      </c>
      <c r="AC54" s="48">
        <f t="shared" si="9"/>
        <v>34.6743295019157</v>
      </c>
      <c r="AD54" s="48">
        <f t="shared" si="18"/>
        <v>0.40829132580856714</v>
      </c>
      <c r="AE54" s="22">
        <v>208</v>
      </c>
      <c r="AF54" s="22">
        <v>1726</v>
      </c>
      <c r="AG54" s="23">
        <f t="shared" si="20"/>
        <v>0.27733333333333332</v>
      </c>
      <c r="AH54" s="23">
        <f t="shared" si="20"/>
        <v>2.3013333333333335</v>
      </c>
      <c r="AI54" s="23">
        <f t="shared" si="11"/>
        <v>2.5786666666666669</v>
      </c>
      <c r="AJ54" s="23">
        <f t="shared" si="12"/>
        <v>0.86133333333333351</v>
      </c>
      <c r="AK54" s="11">
        <v>117.05</v>
      </c>
      <c r="AL54" s="11">
        <v>119.25</v>
      </c>
      <c r="AM54" s="11">
        <v>1.5</v>
      </c>
      <c r="AN54" s="11">
        <v>1.53</v>
      </c>
      <c r="AO54" s="11">
        <v>7.09</v>
      </c>
      <c r="AP54" s="11">
        <v>7.02</v>
      </c>
      <c r="AQ54" s="11">
        <v>108.78</v>
      </c>
      <c r="AR54" s="11">
        <v>96.97</v>
      </c>
      <c r="AS54" s="11">
        <v>100.28</v>
      </c>
      <c r="AT54" s="11">
        <v>91</v>
      </c>
      <c r="AU54" s="49">
        <f t="shared" si="13"/>
        <v>47.039224999999995</v>
      </c>
      <c r="AV54" s="49">
        <f t="shared" si="14"/>
        <v>30.300000000000004</v>
      </c>
      <c r="AW54" s="49">
        <f t="shared" si="15"/>
        <v>141.1</v>
      </c>
      <c r="AX54" s="49">
        <f t="shared" si="16"/>
        <v>0.89143224857510572</v>
      </c>
      <c r="AY54" s="49">
        <f t="shared" si="17"/>
        <v>0.90745911447945748</v>
      </c>
      <c r="AZ54" s="50">
        <f t="shared" si="19"/>
        <v>0.24722387693816264</v>
      </c>
      <c r="BB54" s="11"/>
    </row>
    <row r="55" spans="1:54" ht="24.95" customHeight="1" x14ac:dyDescent="0.25">
      <c r="A55" s="11">
        <v>4</v>
      </c>
      <c r="B55" s="11" t="s">
        <v>84</v>
      </c>
      <c r="C55" s="11">
        <v>3</v>
      </c>
      <c r="D55" s="11">
        <v>6</v>
      </c>
      <c r="E55" s="11">
        <v>3</v>
      </c>
      <c r="F55" s="11" t="s">
        <v>85</v>
      </c>
      <c r="G55" s="12">
        <v>54</v>
      </c>
      <c r="H55" s="46">
        <v>44666</v>
      </c>
      <c r="I55" s="11">
        <v>6</v>
      </c>
      <c r="L55" s="11">
        <v>92</v>
      </c>
      <c r="M55" s="11">
        <v>95</v>
      </c>
      <c r="N55" s="47" t="e">
        <f t="shared" si="0"/>
        <v>#DIV/0!</v>
      </c>
      <c r="O55" s="47">
        <f t="shared" si="1"/>
        <v>93.5</v>
      </c>
      <c r="P55" s="23">
        <v>3.22</v>
      </c>
      <c r="Q55" s="48">
        <f t="shared" si="2"/>
        <v>4.293333333333333</v>
      </c>
      <c r="R55" s="48">
        <f t="shared" si="3"/>
        <v>4.4657928118393233</v>
      </c>
      <c r="S55" s="23">
        <v>220</v>
      </c>
      <c r="T55" s="23">
        <v>196.8</v>
      </c>
      <c r="U55" s="48">
        <f t="shared" si="4"/>
        <v>0.89454545454545464</v>
      </c>
      <c r="V55" s="48">
        <f t="shared" si="5"/>
        <v>10.545454545454536</v>
      </c>
      <c r="W55" s="23">
        <v>4.2350000000000003</v>
      </c>
      <c r="X55" s="48">
        <f t="shared" si="6"/>
        <v>5.6466666666666674</v>
      </c>
      <c r="Y55" s="48">
        <f t="shared" si="7"/>
        <v>3.3810997963340124</v>
      </c>
      <c r="Z55" s="23">
        <v>0.49099999999999999</v>
      </c>
      <c r="AA55" s="23">
        <v>0.29399999999999998</v>
      </c>
      <c r="AB55" s="48">
        <f t="shared" si="8"/>
        <v>59.877800407331975</v>
      </c>
      <c r="AC55" s="48">
        <f t="shared" si="9"/>
        <v>40.122199592668025</v>
      </c>
      <c r="AD55" s="48">
        <f t="shared" si="18"/>
        <v>0.75711076146890055</v>
      </c>
      <c r="AE55" s="22">
        <v>2558</v>
      </c>
      <c r="AF55" s="22">
        <v>0</v>
      </c>
      <c r="AG55" s="23">
        <f t="shared" si="20"/>
        <v>3.4106666666666667</v>
      </c>
      <c r="AH55" s="23">
        <f t="shared" si="20"/>
        <v>0</v>
      </c>
      <c r="AI55" s="23">
        <f t="shared" si="11"/>
        <v>3.4106666666666667</v>
      </c>
      <c r="AJ55" s="23">
        <f t="shared" si="12"/>
        <v>0.88266666666666627</v>
      </c>
      <c r="AK55" s="11">
        <v>180.39</v>
      </c>
      <c r="AL55" s="11">
        <v>119.57</v>
      </c>
      <c r="AM55" s="11">
        <v>1.51</v>
      </c>
      <c r="AN55" s="11">
        <v>1.89</v>
      </c>
      <c r="AO55" s="11" t="s">
        <v>53</v>
      </c>
      <c r="AP55" s="11" t="s">
        <v>53</v>
      </c>
      <c r="AQ55" s="11">
        <v>120.39</v>
      </c>
      <c r="AR55" s="11">
        <v>107.55</v>
      </c>
      <c r="AS55" s="11" t="s">
        <v>53</v>
      </c>
      <c r="AT55" s="11" t="s">
        <v>53</v>
      </c>
      <c r="AU55" s="49">
        <f t="shared" si="13"/>
        <v>60.073609999999988</v>
      </c>
      <c r="AV55" s="49">
        <f t="shared" si="14"/>
        <v>34</v>
      </c>
      <c r="AW55" s="49" t="e">
        <f t="shared" si="15"/>
        <v>#DIV/0!</v>
      </c>
      <c r="AX55" s="49">
        <f t="shared" si="16"/>
        <v>0.89334662347371041</v>
      </c>
      <c r="AY55" s="49" t="e">
        <f t="shared" si="17"/>
        <v>#VALUE!</v>
      </c>
      <c r="AZ55" s="50">
        <f t="shared" si="19"/>
        <v>3.0469075504610017</v>
      </c>
      <c r="BB55" s="11"/>
    </row>
    <row r="56" spans="1:54" ht="24.95" customHeight="1" x14ac:dyDescent="0.25">
      <c r="A56" s="11">
        <v>9</v>
      </c>
      <c r="B56" s="11" t="s">
        <v>70</v>
      </c>
      <c r="C56" s="11">
        <v>4</v>
      </c>
      <c r="D56" s="11">
        <v>7</v>
      </c>
      <c r="E56" s="11">
        <v>3</v>
      </c>
      <c r="F56" s="11" t="s">
        <v>71</v>
      </c>
      <c r="G56" s="12">
        <v>55</v>
      </c>
      <c r="H56" s="46">
        <v>44666</v>
      </c>
      <c r="I56" s="11">
        <v>4</v>
      </c>
      <c r="J56" s="11">
        <v>58</v>
      </c>
      <c r="K56" s="11">
        <v>58</v>
      </c>
      <c r="N56" s="47">
        <f t="shared" si="0"/>
        <v>58</v>
      </c>
      <c r="O56" s="47" t="e">
        <f t="shared" si="1"/>
        <v>#DIV/0!</v>
      </c>
      <c r="P56" s="23">
        <v>2.17</v>
      </c>
      <c r="Q56" s="48">
        <f t="shared" si="2"/>
        <v>2.8933333333333335</v>
      </c>
      <c r="R56" s="48">
        <f t="shared" si="3"/>
        <v>2.9267586345532894</v>
      </c>
      <c r="S56" s="23">
        <v>246.8</v>
      </c>
      <c r="T56" s="23">
        <v>214.7</v>
      </c>
      <c r="U56" s="48">
        <f t="shared" si="4"/>
        <v>0.86993517017828192</v>
      </c>
      <c r="V56" s="48">
        <f t="shared" si="5"/>
        <v>13.006482982171807</v>
      </c>
      <c r="W56" s="23">
        <v>1.764</v>
      </c>
      <c r="X56" s="48">
        <f t="shared" si="6"/>
        <v>2.3519999999999999</v>
      </c>
      <c r="Y56" s="48">
        <f t="shared" si="7"/>
        <v>1.6792663755458515</v>
      </c>
      <c r="Z56" s="23">
        <v>0.45800000000000002</v>
      </c>
      <c r="AA56" s="23">
        <v>0.32700000000000001</v>
      </c>
      <c r="AB56" s="48">
        <f t="shared" si="8"/>
        <v>71.397379912663766</v>
      </c>
      <c r="AC56" s="48">
        <f t="shared" si="9"/>
        <v>28.602620087336238</v>
      </c>
      <c r="AD56" s="48">
        <f t="shared" si="18"/>
        <v>0.57376319171674961</v>
      </c>
      <c r="AE56" s="22">
        <v>0</v>
      </c>
      <c r="AF56" s="22">
        <v>1581</v>
      </c>
      <c r="AG56" s="23">
        <f t="shared" si="20"/>
        <v>0</v>
      </c>
      <c r="AH56" s="23">
        <f t="shared" si="20"/>
        <v>2.1080000000000001</v>
      </c>
      <c r="AI56" s="23">
        <f t="shared" si="11"/>
        <v>2.1080000000000001</v>
      </c>
      <c r="AJ56" s="23">
        <f t="shared" si="12"/>
        <v>0.78533333333333344</v>
      </c>
      <c r="AK56" s="11" t="s">
        <v>53</v>
      </c>
      <c r="AL56" s="11" t="s">
        <v>53</v>
      </c>
      <c r="AM56" s="11" t="s">
        <v>53</v>
      </c>
      <c r="AN56" s="11" t="s">
        <v>53</v>
      </c>
      <c r="AO56" s="11">
        <v>7.62</v>
      </c>
      <c r="AP56" s="11">
        <v>7.17</v>
      </c>
      <c r="AQ56" s="11" t="s">
        <v>53</v>
      </c>
      <c r="AR56" s="11" t="s">
        <v>53</v>
      </c>
      <c r="AS56" s="11">
        <v>100.44999999999999</v>
      </c>
      <c r="AT56" s="11">
        <v>90.64</v>
      </c>
      <c r="AU56" s="49" t="e">
        <f t="shared" si="13"/>
        <v>#DIV/0!</v>
      </c>
      <c r="AV56" s="49" t="e">
        <f t="shared" si="14"/>
        <v>#DIV/0!</v>
      </c>
      <c r="AW56" s="49">
        <f t="shared" si="15"/>
        <v>147.89999999999998</v>
      </c>
      <c r="AX56" s="49" t="e">
        <f t="shared" si="16"/>
        <v>#VALUE!</v>
      </c>
      <c r="AY56" s="49">
        <f t="shared" si="17"/>
        <v>0.90233947237431567</v>
      </c>
      <c r="AZ56" s="50" t="e">
        <f t="shared" si="19"/>
        <v>#VALUE!</v>
      </c>
      <c r="BB56" s="11"/>
    </row>
    <row r="57" spans="1:54" ht="24.95" customHeight="1" x14ac:dyDescent="0.25">
      <c r="A57" s="11">
        <v>7</v>
      </c>
      <c r="B57" s="11" t="s">
        <v>56</v>
      </c>
      <c r="C57" s="11">
        <v>4</v>
      </c>
      <c r="D57" s="11">
        <v>7</v>
      </c>
      <c r="E57" s="11">
        <v>6</v>
      </c>
      <c r="F57" s="11" t="s">
        <v>57</v>
      </c>
      <c r="G57" s="12">
        <v>56</v>
      </c>
      <c r="H57" s="46">
        <v>44666</v>
      </c>
      <c r="I57" s="11">
        <v>2</v>
      </c>
      <c r="J57" s="11">
        <v>57</v>
      </c>
      <c r="K57" s="11">
        <v>53</v>
      </c>
      <c r="N57" s="47">
        <f t="shared" si="0"/>
        <v>55</v>
      </c>
      <c r="O57" s="47" t="e">
        <f t="shared" si="1"/>
        <v>#DIV/0!</v>
      </c>
      <c r="P57" s="23">
        <v>2.2200000000000002</v>
      </c>
      <c r="Q57" s="48">
        <f t="shared" si="2"/>
        <v>2.9600000000000004</v>
      </c>
      <c r="R57" s="48">
        <f t="shared" si="3"/>
        <v>3.0690390378997687</v>
      </c>
      <c r="S57" s="23">
        <v>306.5</v>
      </c>
      <c r="T57" s="23">
        <v>273.3</v>
      </c>
      <c r="U57" s="48">
        <f t="shared" si="4"/>
        <v>0.89168026101141928</v>
      </c>
      <c r="V57" s="48">
        <f t="shared" si="5"/>
        <v>10.831973898858072</v>
      </c>
      <c r="W57" s="23">
        <v>1.4079999999999999</v>
      </c>
      <c r="X57" s="48">
        <f t="shared" si="6"/>
        <v>1.8773333333333333</v>
      </c>
      <c r="Y57" s="48">
        <f t="shared" si="7"/>
        <v>1.6082051282051282</v>
      </c>
      <c r="Z57" s="23">
        <v>0.28599999999999998</v>
      </c>
      <c r="AA57" s="23">
        <v>0.245</v>
      </c>
      <c r="AB57" s="48">
        <f t="shared" si="8"/>
        <v>85.664335664335667</v>
      </c>
      <c r="AC57" s="48">
        <f t="shared" si="9"/>
        <v>14.335664335664333</v>
      </c>
      <c r="AD57" s="48">
        <f t="shared" si="18"/>
        <v>0.5240093424506157</v>
      </c>
      <c r="AE57" s="22">
        <v>0</v>
      </c>
      <c r="AF57" s="22">
        <v>1647</v>
      </c>
      <c r="AG57" s="23">
        <f t="shared" si="20"/>
        <v>0</v>
      </c>
      <c r="AH57" s="23">
        <f t="shared" si="20"/>
        <v>2.1959999999999997</v>
      </c>
      <c r="AI57" s="23">
        <f t="shared" si="11"/>
        <v>2.1959999999999997</v>
      </c>
      <c r="AJ57" s="23">
        <f t="shared" si="12"/>
        <v>0.76400000000000068</v>
      </c>
      <c r="AK57" s="11" t="s">
        <v>53</v>
      </c>
      <c r="AL57" s="11" t="s">
        <v>53</v>
      </c>
      <c r="AM57" s="11" t="s">
        <v>53</v>
      </c>
      <c r="AN57" s="11" t="s">
        <v>53</v>
      </c>
      <c r="AO57" s="11">
        <v>6.87</v>
      </c>
      <c r="AP57" s="11">
        <v>6.86</v>
      </c>
      <c r="AQ57" s="11" t="s">
        <v>53</v>
      </c>
      <c r="AR57" s="11" t="s">
        <v>53</v>
      </c>
      <c r="AS57" s="11">
        <v>100.39</v>
      </c>
      <c r="AT57" s="11">
        <v>91.44</v>
      </c>
      <c r="AU57" s="49" t="e">
        <f t="shared" si="13"/>
        <v>#DIV/0!</v>
      </c>
      <c r="AV57" s="49" t="e">
        <f t="shared" si="14"/>
        <v>#DIV/0!</v>
      </c>
      <c r="AW57" s="49">
        <f t="shared" si="15"/>
        <v>137.30000000000001</v>
      </c>
      <c r="AX57" s="49" t="e">
        <f t="shared" si="16"/>
        <v>#VALUE!</v>
      </c>
      <c r="AY57" s="49">
        <f t="shared" si="17"/>
        <v>0.91084769399342558</v>
      </c>
      <c r="AZ57" s="50" t="e">
        <f t="shared" si="19"/>
        <v>#VALUE!</v>
      </c>
      <c r="BB57" s="11"/>
    </row>
    <row r="58" spans="1:54" ht="24.95" customHeight="1" x14ac:dyDescent="0.25">
      <c r="A58" s="11">
        <v>10</v>
      </c>
      <c r="B58" s="11" t="s">
        <v>76</v>
      </c>
      <c r="C58" s="11">
        <v>4</v>
      </c>
      <c r="D58" s="11">
        <v>7</v>
      </c>
      <c r="E58" s="11">
        <v>9</v>
      </c>
      <c r="F58" s="11" t="s">
        <v>77</v>
      </c>
      <c r="G58" s="12">
        <v>57</v>
      </c>
      <c r="H58" s="46">
        <v>44666</v>
      </c>
      <c r="I58" s="11">
        <v>3</v>
      </c>
      <c r="J58" s="11">
        <v>52</v>
      </c>
      <c r="K58" s="11">
        <v>52</v>
      </c>
      <c r="L58" s="11">
        <v>85</v>
      </c>
      <c r="M58" s="11">
        <v>90</v>
      </c>
      <c r="N58" s="47">
        <f t="shared" si="0"/>
        <v>52</v>
      </c>
      <c r="O58" s="47">
        <f t="shared" si="1"/>
        <v>87.5</v>
      </c>
      <c r="P58" s="23">
        <v>2.79</v>
      </c>
      <c r="Q58" s="48">
        <f t="shared" si="2"/>
        <v>3.7199999999999998</v>
      </c>
      <c r="R58" s="48">
        <f t="shared" si="3"/>
        <v>3.8614516386426612</v>
      </c>
      <c r="S58" s="23">
        <v>320.60000000000002</v>
      </c>
      <c r="T58" s="23">
        <v>286.2</v>
      </c>
      <c r="U58" s="48">
        <f t="shared" si="4"/>
        <v>0.89270118527760445</v>
      </c>
      <c r="V58" s="48">
        <f t="shared" si="5"/>
        <v>10.729881472239555</v>
      </c>
      <c r="W58" s="23">
        <v>2.65</v>
      </c>
      <c r="X58" s="48">
        <f t="shared" si="6"/>
        <v>3.5333333333333332</v>
      </c>
      <c r="Y58" s="48">
        <f t="shared" si="7"/>
        <v>2.4306227106227105</v>
      </c>
      <c r="Z58" s="23">
        <v>0.45500000000000002</v>
      </c>
      <c r="AA58" s="23">
        <v>0.313</v>
      </c>
      <c r="AB58" s="48">
        <f t="shared" si="8"/>
        <v>68.791208791208788</v>
      </c>
      <c r="AC58" s="48">
        <f t="shared" si="9"/>
        <v>31.208791208791208</v>
      </c>
      <c r="AD58" s="48">
        <f t="shared" si="18"/>
        <v>0.62945828099949963</v>
      </c>
      <c r="AE58" s="22">
        <v>412</v>
      </c>
      <c r="AF58" s="22">
        <v>1708</v>
      </c>
      <c r="AG58" s="23">
        <f t="shared" si="20"/>
        <v>0.54933333333333334</v>
      </c>
      <c r="AH58" s="23">
        <f t="shared" si="20"/>
        <v>2.277333333333333</v>
      </c>
      <c r="AI58" s="23">
        <f t="shared" si="11"/>
        <v>2.8266666666666662</v>
      </c>
      <c r="AJ58" s="23">
        <f t="shared" si="12"/>
        <v>0.89333333333333353</v>
      </c>
      <c r="AK58" s="11">
        <v>127.26</v>
      </c>
      <c r="AL58" s="11">
        <v>125.48</v>
      </c>
      <c r="AM58" s="11">
        <v>1.64</v>
      </c>
      <c r="AN58" s="11">
        <v>1.65</v>
      </c>
      <c r="AO58" s="11">
        <v>6.65</v>
      </c>
      <c r="AP58" s="11">
        <v>6.64</v>
      </c>
      <c r="AQ58" s="11">
        <v>125.48</v>
      </c>
      <c r="AR58" s="11">
        <v>111.92</v>
      </c>
      <c r="AS58" s="11">
        <v>100.47999999999999</v>
      </c>
      <c r="AT58" s="11">
        <v>90.820000000000007</v>
      </c>
      <c r="AU58" s="49">
        <f t="shared" si="13"/>
        <v>50.405314999999995</v>
      </c>
      <c r="AV58" s="49">
        <f t="shared" si="14"/>
        <v>32.9</v>
      </c>
      <c r="AW58" s="49">
        <f t="shared" si="15"/>
        <v>132.89999999999998</v>
      </c>
      <c r="AX58" s="49">
        <f t="shared" si="16"/>
        <v>0.89193496971628938</v>
      </c>
      <c r="AY58" s="49">
        <f t="shared" si="17"/>
        <v>0.90386146496815301</v>
      </c>
      <c r="AZ58" s="50">
        <f t="shared" si="19"/>
        <v>0.48996961003081496</v>
      </c>
      <c r="BB58" s="11"/>
    </row>
    <row r="59" spans="1:54" ht="24.95" customHeight="1" x14ac:dyDescent="0.25">
      <c r="A59" s="11">
        <v>5</v>
      </c>
      <c r="B59" s="11" t="s">
        <v>62</v>
      </c>
      <c r="C59" s="11">
        <v>4</v>
      </c>
      <c r="D59" s="11">
        <v>7</v>
      </c>
      <c r="E59" s="11">
        <v>12</v>
      </c>
      <c r="F59" s="11" t="s">
        <v>85</v>
      </c>
      <c r="G59" s="12">
        <v>58</v>
      </c>
      <c r="H59" s="46">
        <v>44666</v>
      </c>
      <c r="I59" s="11">
        <v>2</v>
      </c>
      <c r="L59" s="11">
        <v>80</v>
      </c>
      <c r="M59" s="11">
        <v>77</v>
      </c>
      <c r="N59" s="47" t="e">
        <f t="shared" si="0"/>
        <v>#DIV/0!</v>
      </c>
      <c r="O59" s="47">
        <f t="shared" si="1"/>
        <v>78.5</v>
      </c>
      <c r="P59" s="23">
        <v>3.32</v>
      </c>
      <c r="Q59" s="48">
        <f t="shared" si="2"/>
        <v>4.4266666666666667</v>
      </c>
      <c r="R59" s="48">
        <f t="shared" si="3"/>
        <v>4.5424079183637724</v>
      </c>
      <c r="S59" s="23">
        <v>265.5</v>
      </c>
      <c r="T59" s="23">
        <v>234.3</v>
      </c>
      <c r="U59" s="48">
        <f t="shared" si="4"/>
        <v>0.88248587570621473</v>
      </c>
      <c r="V59" s="48">
        <f t="shared" si="5"/>
        <v>11.751412429378528</v>
      </c>
      <c r="W59" s="23">
        <v>4.9180000000000001</v>
      </c>
      <c r="X59" s="48">
        <f t="shared" si="6"/>
        <v>6.5573333333333341</v>
      </c>
      <c r="Y59" s="48">
        <f t="shared" si="7"/>
        <v>3.3659315589353622</v>
      </c>
      <c r="Z59" s="23">
        <v>0.78900000000000003</v>
      </c>
      <c r="AA59" s="23">
        <v>0.40500000000000003</v>
      </c>
      <c r="AB59" s="48">
        <f t="shared" si="8"/>
        <v>51.330798479087456</v>
      </c>
      <c r="AC59" s="48">
        <f t="shared" si="9"/>
        <v>48.669201520912544</v>
      </c>
      <c r="AD59" s="48">
        <f t="shared" si="18"/>
        <v>0.74100160519000891</v>
      </c>
      <c r="AE59" s="22">
        <v>2612</v>
      </c>
      <c r="AF59" s="22">
        <v>0</v>
      </c>
      <c r="AG59" s="23">
        <f t="shared" si="20"/>
        <v>3.4826666666666664</v>
      </c>
      <c r="AH59" s="23">
        <f t="shared" si="20"/>
        <v>0</v>
      </c>
      <c r="AI59" s="23">
        <f t="shared" si="11"/>
        <v>3.4826666666666664</v>
      </c>
      <c r="AJ59" s="23">
        <f t="shared" si="12"/>
        <v>0.94400000000000039</v>
      </c>
      <c r="AK59" s="11">
        <v>125.04</v>
      </c>
      <c r="AL59" s="11">
        <v>125.72</v>
      </c>
      <c r="AM59" s="11">
        <v>1.31</v>
      </c>
      <c r="AN59" s="11">
        <v>1.56</v>
      </c>
      <c r="AO59" s="11" t="s">
        <v>53</v>
      </c>
      <c r="AP59" s="11" t="s">
        <v>53</v>
      </c>
      <c r="AQ59" s="11">
        <v>125.04</v>
      </c>
      <c r="AR59" s="11">
        <v>111.83</v>
      </c>
      <c r="AS59" s="11" t="s">
        <v>53</v>
      </c>
      <c r="AT59" s="11" t="s">
        <v>53</v>
      </c>
      <c r="AU59" s="49">
        <f t="shared" si="13"/>
        <v>49.999909999999993</v>
      </c>
      <c r="AV59" s="49">
        <f t="shared" si="14"/>
        <v>28.700000000000003</v>
      </c>
      <c r="AW59" s="49" t="e">
        <f t="shared" si="15"/>
        <v>#DIV/0!</v>
      </c>
      <c r="AX59" s="49">
        <f t="shared" si="16"/>
        <v>0.89435380678182974</v>
      </c>
      <c r="AY59" s="49" t="e">
        <f t="shared" si="17"/>
        <v>#VALUE!</v>
      </c>
      <c r="AZ59" s="50">
        <f t="shared" si="19"/>
        <v>3.1147361910855187</v>
      </c>
      <c r="BB59" s="11"/>
    </row>
    <row r="60" spans="1:54" ht="24.95" customHeight="1" x14ac:dyDescent="0.25">
      <c r="A60" s="11">
        <v>3</v>
      </c>
      <c r="B60" s="11" t="s">
        <v>82</v>
      </c>
      <c r="C60" s="11">
        <v>4</v>
      </c>
      <c r="D60" s="11">
        <v>7</v>
      </c>
      <c r="E60" s="11">
        <v>15</v>
      </c>
      <c r="F60" s="11" t="s">
        <v>83</v>
      </c>
      <c r="G60" s="12">
        <v>59</v>
      </c>
      <c r="H60" s="46">
        <v>44666</v>
      </c>
      <c r="I60" s="11">
        <v>3</v>
      </c>
      <c r="L60" s="11">
        <v>60</v>
      </c>
      <c r="M60" s="11">
        <v>56</v>
      </c>
      <c r="N60" s="47" t="e">
        <f t="shared" si="0"/>
        <v>#DIV/0!</v>
      </c>
      <c r="O60" s="47">
        <f t="shared" si="1"/>
        <v>58</v>
      </c>
      <c r="P60" s="23">
        <v>2.76</v>
      </c>
      <c r="Q60" s="48">
        <f t="shared" si="2"/>
        <v>3.6799999999999997</v>
      </c>
      <c r="R60" s="48">
        <f t="shared" si="3"/>
        <v>3.7790009632585666</v>
      </c>
      <c r="S60" s="23">
        <v>270.39999999999998</v>
      </c>
      <c r="T60" s="23">
        <v>238.8</v>
      </c>
      <c r="U60" s="48">
        <f t="shared" si="4"/>
        <v>0.88313609467455634</v>
      </c>
      <c r="V60" s="48">
        <f t="shared" si="5"/>
        <v>11.686390532544365</v>
      </c>
      <c r="W60" s="23">
        <v>4.798</v>
      </c>
      <c r="X60" s="48">
        <f t="shared" si="6"/>
        <v>6.397333333333334</v>
      </c>
      <c r="Y60" s="48">
        <f t="shared" si="7"/>
        <v>3.4838191214470293</v>
      </c>
      <c r="Z60" s="23">
        <v>1.032</v>
      </c>
      <c r="AA60" s="23">
        <v>0.56200000000000006</v>
      </c>
      <c r="AB60" s="48">
        <f t="shared" si="8"/>
        <v>54.457364341085281</v>
      </c>
      <c r="AC60" s="48">
        <f t="shared" si="9"/>
        <v>45.542635658914719</v>
      </c>
      <c r="AD60" s="48">
        <f t="shared" si="18"/>
        <v>0.92188892125684796</v>
      </c>
      <c r="AE60" s="22">
        <v>2191</v>
      </c>
      <c r="AF60" s="22">
        <v>0</v>
      </c>
      <c r="AG60" s="23">
        <f t="shared" si="20"/>
        <v>2.9213333333333331</v>
      </c>
      <c r="AH60" s="23">
        <f t="shared" si="20"/>
        <v>0</v>
      </c>
      <c r="AI60" s="23">
        <f t="shared" si="11"/>
        <v>2.9213333333333331</v>
      </c>
      <c r="AJ60" s="23">
        <f t="shared" si="12"/>
        <v>0.7586666666666666</v>
      </c>
      <c r="AK60" s="11">
        <v>118.46</v>
      </c>
      <c r="AL60" s="11">
        <v>115.18</v>
      </c>
      <c r="AM60" s="11">
        <v>1.24</v>
      </c>
      <c r="AN60" s="11">
        <v>1.27</v>
      </c>
      <c r="AO60" s="11" t="s">
        <v>53</v>
      </c>
      <c r="AP60" s="11" t="s">
        <v>53</v>
      </c>
      <c r="AQ60" s="11">
        <v>118.46</v>
      </c>
      <c r="AR60" s="11">
        <v>104.71000000000001</v>
      </c>
      <c r="AS60" s="11" t="s">
        <v>53</v>
      </c>
      <c r="AT60" s="11" t="s">
        <v>53</v>
      </c>
      <c r="AU60" s="49">
        <f t="shared" si="13"/>
        <v>46.494589999999988</v>
      </c>
      <c r="AV60" s="49">
        <f t="shared" si="14"/>
        <v>25.099999999999998</v>
      </c>
      <c r="AW60" s="49" t="e">
        <f t="shared" si="15"/>
        <v>#DIV/0!</v>
      </c>
      <c r="AX60" s="49">
        <f t="shared" si="16"/>
        <v>0.88392706398784415</v>
      </c>
      <c r="AY60" s="49" t="e">
        <f t="shared" si="17"/>
        <v>#VALUE!</v>
      </c>
      <c r="AZ60" s="50">
        <f t="shared" si="19"/>
        <v>2.5822455962631552</v>
      </c>
      <c r="BB60" s="11"/>
    </row>
    <row r="61" spans="1:54" ht="24.95" customHeight="1" x14ac:dyDescent="0.25">
      <c r="A61" s="11">
        <v>13</v>
      </c>
      <c r="B61" s="11" t="s">
        <v>78</v>
      </c>
      <c r="C61" s="11">
        <v>4</v>
      </c>
      <c r="D61" s="11">
        <v>7</v>
      </c>
      <c r="E61" s="11">
        <v>18</v>
      </c>
      <c r="F61" s="11" t="s">
        <v>79</v>
      </c>
      <c r="G61" s="12">
        <v>60</v>
      </c>
      <c r="H61" s="46">
        <v>44666</v>
      </c>
      <c r="I61" s="11">
        <v>3</v>
      </c>
      <c r="J61" s="11">
        <v>53</v>
      </c>
      <c r="K61" s="11">
        <v>58</v>
      </c>
      <c r="L61" s="11">
        <v>78</v>
      </c>
      <c r="M61" s="11">
        <v>71</v>
      </c>
      <c r="N61" s="47">
        <f t="shared" si="0"/>
        <v>55.5</v>
      </c>
      <c r="O61" s="47">
        <f t="shared" si="1"/>
        <v>74.5</v>
      </c>
      <c r="P61" s="23">
        <v>2.79</v>
      </c>
      <c r="Q61" s="48">
        <f t="shared" si="2"/>
        <v>3.7199999999999998</v>
      </c>
      <c r="R61" s="48">
        <f t="shared" si="3"/>
        <v>3.8788854028527981</v>
      </c>
      <c r="S61" s="23">
        <v>287.60000000000002</v>
      </c>
      <c r="T61" s="23">
        <v>257.89999999999998</v>
      </c>
      <c r="U61" s="48">
        <f t="shared" si="4"/>
        <v>0.89673157162725992</v>
      </c>
      <c r="V61" s="48">
        <f t="shared" si="5"/>
        <v>10.326842837274008</v>
      </c>
      <c r="W61" s="23">
        <v>2.2930000000000001</v>
      </c>
      <c r="X61" s="48">
        <f t="shared" si="6"/>
        <v>3.0573333333333337</v>
      </c>
      <c r="Y61" s="48">
        <f t="shared" si="7"/>
        <v>1.6396471506635444</v>
      </c>
      <c r="Z61" s="23">
        <v>0.85399999999999998</v>
      </c>
      <c r="AA61" s="23">
        <v>0.45800000000000002</v>
      </c>
      <c r="AB61" s="48">
        <f t="shared" si="8"/>
        <v>53.62997658079626</v>
      </c>
      <c r="AC61" s="48">
        <f t="shared" si="9"/>
        <v>46.37002341920374</v>
      </c>
      <c r="AD61" s="48">
        <f t="shared" si="18"/>
        <v>0.42271090284276908</v>
      </c>
      <c r="AE61" s="22">
        <v>519</v>
      </c>
      <c r="AF61" s="22">
        <v>1719</v>
      </c>
      <c r="AG61" s="23">
        <f t="shared" si="20"/>
        <v>0.69200000000000006</v>
      </c>
      <c r="AH61" s="23">
        <f t="shared" si="20"/>
        <v>2.2919999999999998</v>
      </c>
      <c r="AI61" s="23">
        <f t="shared" si="11"/>
        <v>2.984</v>
      </c>
      <c r="AJ61" s="23">
        <f t="shared" si="12"/>
        <v>0.73599999999999977</v>
      </c>
      <c r="AK61" s="11">
        <v>131.94</v>
      </c>
      <c r="AL61" s="11">
        <v>132.04</v>
      </c>
      <c r="AM61" s="11">
        <v>1.63</v>
      </c>
      <c r="AN61" s="11">
        <v>1.57</v>
      </c>
      <c r="AO61" s="11">
        <v>6.68</v>
      </c>
      <c r="AP61" s="11">
        <v>6.85</v>
      </c>
      <c r="AQ61" s="11">
        <v>131.94</v>
      </c>
      <c r="AR61" s="11">
        <v>117.39</v>
      </c>
      <c r="AS61" s="11">
        <v>100.52</v>
      </c>
      <c r="AT61" s="11">
        <v>91.09</v>
      </c>
      <c r="AU61" s="49">
        <f t="shared" si="13"/>
        <v>52.706704999999999</v>
      </c>
      <c r="AV61" s="49">
        <f t="shared" si="14"/>
        <v>32</v>
      </c>
      <c r="AW61" s="49">
        <f t="shared" si="15"/>
        <v>135.29999999999998</v>
      </c>
      <c r="AX61" s="49">
        <f t="shared" si="16"/>
        <v>0.88972260118235569</v>
      </c>
      <c r="AY61" s="49">
        <f t="shared" si="17"/>
        <v>0.90618782331874259</v>
      </c>
      <c r="AZ61" s="50">
        <f t="shared" si="19"/>
        <v>0.61568804001819022</v>
      </c>
      <c r="BB61" s="11"/>
    </row>
    <row r="62" spans="1:54" ht="24.95" customHeight="1" x14ac:dyDescent="0.25">
      <c r="A62" s="11">
        <v>20</v>
      </c>
      <c r="B62" s="11" t="s">
        <v>72</v>
      </c>
      <c r="C62" s="11">
        <v>4</v>
      </c>
      <c r="D62" s="11">
        <v>7</v>
      </c>
      <c r="E62" s="11">
        <v>21</v>
      </c>
      <c r="F62" s="11" t="s">
        <v>73</v>
      </c>
      <c r="G62" s="12">
        <v>61</v>
      </c>
      <c r="H62" s="46">
        <v>44666</v>
      </c>
      <c r="I62" s="11">
        <v>4</v>
      </c>
      <c r="L62" s="11">
        <v>64</v>
      </c>
      <c r="M62" s="11">
        <v>64</v>
      </c>
      <c r="N62" s="47" t="e">
        <f t="shared" si="0"/>
        <v>#DIV/0!</v>
      </c>
      <c r="O62" s="47">
        <f t="shared" si="1"/>
        <v>64</v>
      </c>
      <c r="P62" s="23">
        <v>2.34</v>
      </c>
      <c r="Q62" s="48">
        <f t="shared" si="2"/>
        <v>3.12</v>
      </c>
      <c r="R62" s="48">
        <f t="shared" si="3"/>
        <v>3.1494716180929188</v>
      </c>
      <c r="S62" s="23">
        <v>265.39999999999998</v>
      </c>
      <c r="T62" s="23">
        <v>230.4</v>
      </c>
      <c r="U62" s="48">
        <f t="shared" si="4"/>
        <v>0.86812358703843262</v>
      </c>
      <c r="V62" s="48">
        <f t="shared" si="5"/>
        <v>13.187641296156738</v>
      </c>
      <c r="W62" s="23">
        <v>5.6840000000000002</v>
      </c>
      <c r="X62" s="48">
        <f t="shared" si="6"/>
        <v>7.5786666666666669</v>
      </c>
      <c r="Y62" s="48">
        <f t="shared" si="7"/>
        <v>3.8958607764390893</v>
      </c>
      <c r="Z62" s="23">
        <v>1.2450000000000001</v>
      </c>
      <c r="AA62" s="23">
        <v>0.64</v>
      </c>
      <c r="AB62" s="48">
        <f t="shared" si="8"/>
        <v>51.405622489959832</v>
      </c>
      <c r="AC62" s="48">
        <f t="shared" si="9"/>
        <v>48.594377510040168</v>
      </c>
      <c r="AD62" s="48">
        <f t="shared" si="18"/>
        <v>1.2369886917089055</v>
      </c>
      <c r="AE62" s="22">
        <v>1791</v>
      </c>
      <c r="AF62" s="22">
        <v>0</v>
      </c>
      <c r="AG62" s="23">
        <f t="shared" si="20"/>
        <v>2.3879999999999999</v>
      </c>
      <c r="AH62" s="23">
        <f t="shared" si="20"/>
        <v>0</v>
      </c>
      <c r="AI62" s="23">
        <f t="shared" si="11"/>
        <v>2.3879999999999999</v>
      </c>
      <c r="AJ62" s="23">
        <f t="shared" si="12"/>
        <v>0.73200000000000021</v>
      </c>
      <c r="AK62" s="11">
        <v>110.95</v>
      </c>
      <c r="AL62" s="11">
        <v>112.7</v>
      </c>
      <c r="AM62" s="11">
        <v>1.1599999999999999</v>
      </c>
      <c r="AN62" s="11">
        <v>1.22</v>
      </c>
      <c r="AO62" s="11" t="s">
        <v>53</v>
      </c>
      <c r="AP62" s="11" t="s">
        <v>53</v>
      </c>
      <c r="AQ62" s="11">
        <v>110.95</v>
      </c>
      <c r="AR62" s="11">
        <v>99.29</v>
      </c>
      <c r="AS62" s="11" t="s">
        <v>53</v>
      </c>
      <c r="AT62" s="11" t="s">
        <v>53</v>
      </c>
      <c r="AU62" s="49">
        <f t="shared" si="13"/>
        <v>44.449137499999992</v>
      </c>
      <c r="AV62" s="49">
        <f t="shared" si="14"/>
        <v>23.799999999999997</v>
      </c>
      <c r="AW62" s="49" t="e">
        <f t="shared" si="15"/>
        <v>#DIV/0!</v>
      </c>
      <c r="AX62" s="49">
        <f t="shared" si="16"/>
        <v>0.89490761604326274</v>
      </c>
      <c r="AY62" s="49" t="e">
        <f t="shared" si="17"/>
        <v>#VALUE!</v>
      </c>
      <c r="AZ62" s="50">
        <f t="shared" si="19"/>
        <v>2.1370393871113111</v>
      </c>
      <c r="BB62" s="11"/>
    </row>
    <row r="63" spans="1:54" ht="24.95" customHeight="1" x14ac:dyDescent="0.25">
      <c r="A63" s="11">
        <v>17</v>
      </c>
      <c r="B63" s="11" t="s">
        <v>60</v>
      </c>
      <c r="C63" s="11">
        <v>4</v>
      </c>
      <c r="D63" s="11">
        <v>7</v>
      </c>
      <c r="E63" s="11">
        <v>24</v>
      </c>
      <c r="F63" s="11" t="s">
        <v>61</v>
      </c>
      <c r="G63" s="12">
        <v>62</v>
      </c>
      <c r="H63" s="46">
        <v>44666</v>
      </c>
      <c r="I63" s="11">
        <v>2</v>
      </c>
      <c r="J63" s="11">
        <v>50</v>
      </c>
      <c r="K63" s="11">
        <v>52</v>
      </c>
      <c r="L63" s="11">
        <v>57</v>
      </c>
      <c r="M63" s="11">
        <v>62</v>
      </c>
      <c r="N63" s="47">
        <f t="shared" si="0"/>
        <v>51</v>
      </c>
      <c r="O63" s="47">
        <f t="shared" si="1"/>
        <v>59.5</v>
      </c>
      <c r="P63" s="23">
        <v>2.2799999999999998</v>
      </c>
      <c r="Q63" s="48">
        <f t="shared" si="2"/>
        <v>3.04</v>
      </c>
      <c r="R63" s="48">
        <f t="shared" si="3"/>
        <v>3.1619098552115203</v>
      </c>
      <c r="S63" s="23">
        <v>295.7</v>
      </c>
      <c r="T63" s="23">
        <v>264.5</v>
      </c>
      <c r="U63" s="48">
        <f t="shared" si="4"/>
        <v>0.89448765640852224</v>
      </c>
      <c r="V63" s="48">
        <f t="shared" si="5"/>
        <v>10.551234359147777</v>
      </c>
      <c r="W63" s="23">
        <v>1.5880000000000001</v>
      </c>
      <c r="X63" s="48">
        <f t="shared" si="6"/>
        <v>2.1173333333333337</v>
      </c>
      <c r="Y63" s="48">
        <f t="shared" si="7"/>
        <v>1.3305297079556901</v>
      </c>
      <c r="Z63" s="23">
        <v>0.66200000000000003</v>
      </c>
      <c r="AA63" s="23">
        <v>0.41599999999999998</v>
      </c>
      <c r="AB63" s="48">
        <f t="shared" si="8"/>
        <v>62.839879154078545</v>
      </c>
      <c r="AC63" s="48">
        <f t="shared" si="9"/>
        <v>37.160120845921455</v>
      </c>
      <c r="AD63" s="48">
        <f t="shared" si="18"/>
        <v>0.42079938040064158</v>
      </c>
      <c r="AE63" s="22">
        <v>387</v>
      </c>
      <c r="AF63" s="22">
        <v>1362</v>
      </c>
      <c r="AG63" s="23">
        <f t="shared" si="20"/>
        <v>0.51600000000000001</v>
      </c>
      <c r="AH63" s="23">
        <f t="shared" si="20"/>
        <v>1.8159999999999998</v>
      </c>
      <c r="AI63" s="23">
        <f t="shared" si="11"/>
        <v>2.3319999999999999</v>
      </c>
      <c r="AJ63" s="23">
        <f t="shared" si="12"/>
        <v>0.70800000000000018</v>
      </c>
      <c r="AK63" s="11">
        <v>120.4</v>
      </c>
      <c r="AL63" s="11">
        <v>120.48</v>
      </c>
      <c r="AM63" s="11">
        <v>1.53</v>
      </c>
      <c r="AN63" s="11">
        <v>1.41</v>
      </c>
      <c r="AO63" s="11">
        <v>6.5</v>
      </c>
      <c r="AP63" s="11">
        <v>6.3</v>
      </c>
      <c r="AQ63" s="11">
        <v>120.4</v>
      </c>
      <c r="AR63" s="11">
        <v>107.9</v>
      </c>
      <c r="AS63" s="11">
        <v>100.50999999999999</v>
      </c>
      <c r="AT63" s="11">
        <v>91.75</v>
      </c>
      <c r="AU63" s="49">
        <f t="shared" si="13"/>
        <v>47.97697999999999</v>
      </c>
      <c r="AV63" s="49">
        <f t="shared" si="14"/>
        <v>29.4</v>
      </c>
      <c r="AW63" s="49">
        <f t="shared" si="15"/>
        <v>128</v>
      </c>
      <c r="AX63" s="49">
        <f t="shared" si="16"/>
        <v>0.89617940199335544</v>
      </c>
      <c r="AY63" s="49">
        <f t="shared" si="17"/>
        <v>0.91284449308526527</v>
      </c>
      <c r="AZ63" s="50">
        <f t="shared" si="19"/>
        <v>0.46242857142857141</v>
      </c>
      <c r="BB63" s="11"/>
    </row>
    <row r="64" spans="1:54" ht="24.95" customHeight="1" x14ac:dyDescent="0.25">
      <c r="A64" s="11">
        <v>15</v>
      </c>
      <c r="B64" s="11" t="s">
        <v>64</v>
      </c>
      <c r="C64" s="11">
        <v>4</v>
      </c>
      <c r="D64" s="11">
        <v>7</v>
      </c>
      <c r="E64" s="11">
        <v>27</v>
      </c>
      <c r="F64" s="11" t="s">
        <v>65</v>
      </c>
      <c r="G64" s="12">
        <v>63</v>
      </c>
      <c r="H64" s="46">
        <v>44666</v>
      </c>
      <c r="I64" s="11">
        <v>2</v>
      </c>
      <c r="J64" s="11">
        <v>58</v>
      </c>
      <c r="K64" s="11">
        <v>61</v>
      </c>
      <c r="L64" s="11">
        <v>78</v>
      </c>
      <c r="M64" s="11">
        <v>78</v>
      </c>
      <c r="N64" s="47">
        <f t="shared" si="0"/>
        <v>59.5</v>
      </c>
      <c r="O64" s="47">
        <f t="shared" si="1"/>
        <v>78</v>
      </c>
      <c r="P64" s="23">
        <v>2.5099999999999998</v>
      </c>
      <c r="Q64" s="48">
        <f t="shared" si="2"/>
        <v>3.3466666666666662</v>
      </c>
      <c r="R64" s="48">
        <f t="shared" si="3"/>
        <v>3.5288960931555788</v>
      </c>
      <c r="S64" s="23">
        <v>281.2</v>
      </c>
      <c r="T64" s="23">
        <v>255</v>
      </c>
      <c r="U64" s="48">
        <f t="shared" si="4"/>
        <v>0.90682788051209107</v>
      </c>
      <c r="V64" s="48">
        <f t="shared" si="5"/>
        <v>9.3172119487908933</v>
      </c>
      <c r="W64" s="23">
        <v>2.1320000000000001</v>
      </c>
      <c r="X64" s="48">
        <f t="shared" si="6"/>
        <v>2.8426666666666667</v>
      </c>
      <c r="Y64" s="48">
        <f t="shared" si="7"/>
        <v>1.8069664082687336</v>
      </c>
      <c r="Z64" s="23">
        <v>0.64500000000000002</v>
      </c>
      <c r="AA64" s="23">
        <v>0.41</v>
      </c>
      <c r="AB64" s="48">
        <f t="shared" si="8"/>
        <v>63.565891472868209</v>
      </c>
      <c r="AC64" s="48">
        <f t="shared" si="9"/>
        <v>36.434108527131791</v>
      </c>
      <c r="AD64" s="48">
        <f t="shared" si="18"/>
        <v>0.51204862953415098</v>
      </c>
      <c r="AE64" s="22">
        <v>479</v>
      </c>
      <c r="AF64" s="22">
        <v>1553</v>
      </c>
      <c r="AG64" s="23">
        <f t="shared" si="20"/>
        <v>0.63866666666666672</v>
      </c>
      <c r="AH64" s="23">
        <f t="shared" si="20"/>
        <v>2.0706666666666664</v>
      </c>
      <c r="AI64" s="23">
        <f t="shared" si="11"/>
        <v>2.7093333333333334</v>
      </c>
      <c r="AJ64" s="23">
        <f t="shared" si="12"/>
        <v>0.63733333333333286</v>
      </c>
      <c r="AK64" s="11">
        <v>129.88</v>
      </c>
      <c r="AL64" s="11">
        <v>132.11000000000001</v>
      </c>
      <c r="AM64" s="11">
        <v>1.67</v>
      </c>
      <c r="AN64" s="11">
        <v>1.67</v>
      </c>
      <c r="AO64" s="11">
        <v>7.68</v>
      </c>
      <c r="AP64" s="11">
        <v>7.68</v>
      </c>
      <c r="AQ64" s="11">
        <v>129.88</v>
      </c>
      <c r="AR64" s="11">
        <v>116.07000000000001</v>
      </c>
      <c r="AS64" s="11">
        <v>100.39</v>
      </c>
      <c r="AT64" s="11">
        <v>91.740000000000009</v>
      </c>
      <c r="AU64" s="49">
        <f t="shared" si="13"/>
        <v>52.299252499999994</v>
      </c>
      <c r="AV64" s="49">
        <f t="shared" si="14"/>
        <v>33.4</v>
      </c>
      <c r="AW64" s="49">
        <f t="shared" si="15"/>
        <v>153.6</v>
      </c>
      <c r="AX64" s="49">
        <f t="shared" si="16"/>
        <v>0.8936710809978442</v>
      </c>
      <c r="AY64" s="49">
        <f t="shared" si="17"/>
        <v>0.9138360394461601</v>
      </c>
      <c r="AZ64" s="50">
        <f t="shared" si="19"/>
        <v>0.57075793039728984</v>
      </c>
      <c r="BB64" s="11"/>
    </row>
    <row r="65" spans="1:54" ht="24.95" customHeight="1" x14ac:dyDescent="0.25">
      <c r="A65" s="11">
        <v>12</v>
      </c>
      <c r="B65" s="11" t="s">
        <v>66</v>
      </c>
      <c r="C65" s="11">
        <v>4</v>
      </c>
      <c r="D65" s="11">
        <v>8</v>
      </c>
      <c r="E65" s="11">
        <v>27</v>
      </c>
      <c r="F65" s="11" t="s">
        <v>67</v>
      </c>
      <c r="G65" s="12">
        <v>64</v>
      </c>
      <c r="H65" s="46">
        <v>44666</v>
      </c>
      <c r="I65" s="11">
        <v>3</v>
      </c>
      <c r="J65" s="11">
        <v>50</v>
      </c>
      <c r="K65" s="11">
        <v>57</v>
      </c>
      <c r="L65" s="11">
        <v>80</v>
      </c>
      <c r="M65" s="11">
        <v>81</v>
      </c>
      <c r="N65" s="47">
        <f t="shared" si="0"/>
        <v>53.5</v>
      </c>
      <c r="O65" s="47">
        <f t="shared" si="1"/>
        <v>80.5</v>
      </c>
      <c r="P65" s="23">
        <v>2.2799999999999998</v>
      </c>
      <c r="Q65" s="48">
        <f t="shared" si="2"/>
        <v>3.04</v>
      </c>
      <c r="R65" s="48">
        <f t="shared" si="3"/>
        <v>3.1850590531283771</v>
      </c>
      <c r="S65" s="23">
        <v>299.10000000000002</v>
      </c>
      <c r="T65" s="23">
        <v>269.5</v>
      </c>
      <c r="U65" s="48">
        <f t="shared" si="4"/>
        <v>0.90103644266131722</v>
      </c>
      <c r="V65" s="48">
        <f t="shared" si="5"/>
        <v>9.8963557338682779</v>
      </c>
      <c r="W65" s="23">
        <v>1.645</v>
      </c>
      <c r="X65" s="48">
        <f t="shared" si="6"/>
        <v>2.1933333333333334</v>
      </c>
      <c r="Y65" s="48">
        <f t="shared" si="7"/>
        <v>1.4258485351022665</v>
      </c>
      <c r="Z65" s="23">
        <v>0.60299999999999998</v>
      </c>
      <c r="AA65" s="23">
        <v>0.39200000000000002</v>
      </c>
      <c r="AB65" s="48">
        <f t="shared" si="8"/>
        <v>65.008291873963515</v>
      </c>
      <c r="AC65" s="48">
        <f t="shared" si="9"/>
        <v>34.991708126036478</v>
      </c>
      <c r="AD65" s="48">
        <f t="shared" si="18"/>
        <v>0.44766784895300221</v>
      </c>
      <c r="AE65" s="22">
        <v>463</v>
      </c>
      <c r="AF65" s="22">
        <v>1357</v>
      </c>
      <c r="AG65" s="23">
        <f t="shared" si="20"/>
        <v>0.61733333333333329</v>
      </c>
      <c r="AH65" s="23">
        <f t="shared" si="20"/>
        <v>1.8093333333333335</v>
      </c>
      <c r="AI65" s="23">
        <f t="shared" si="11"/>
        <v>2.4266666666666667</v>
      </c>
      <c r="AJ65" s="23">
        <f t="shared" si="12"/>
        <v>0.61333333333333329</v>
      </c>
      <c r="AK65" s="11">
        <v>125.52</v>
      </c>
      <c r="AL65" s="11">
        <v>122.87</v>
      </c>
      <c r="AM65" s="11">
        <v>1.26</v>
      </c>
      <c r="AN65" s="11">
        <v>1.51</v>
      </c>
      <c r="AO65" s="11">
        <v>7.38</v>
      </c>
      <c r="AP65" s="11">
        <v>7.08</v>
      </c>
      <c r="AQ65" s="11">
        <v>125.53</v>
      </c>
      <c r="AR65" s="11">
        <v>112.37</v>
      </c>
      <c r="AS65" s="11">
        <v>100.41999999999999</v>
      </c>
      <c r="AT65" s="11">
        <v>92.37</v>
      </c>
      <c r="AU65" s="49">
        <f t="shared" si="13"/>
        <v>49.51465249999999</v>
      </c>
      <c r="AV65" s="49">
        <f t="shared" si="14"/>
        <v>27.7</v>
      </c>
      <c r="AW65" s="49">
        <f t="shared" si="15"/>
        <v>144.60000000000002</v>
      </c>
      <c r="AX65" s="49">
        <f t="shared" si="16"/>
        <v>0.8951645025093603</v>
      </c>
      <c r="AY65" s="49">
        <f t="shared" si="17"/>
        <v>0.91983668591913981</v>
      </c>
      <c r="AZ65" s="50">
        <f t="shared" si="19"/>
        <v>0.55261488621577837</v>
      </c>
      <c r="BB65" s="11"/>
    </row>
    <row r="66" spans="1:54" ht="24.95" customHeight="1" x14ac:dyDescent="0.25">
      <c r="A66" s="11">
        <v>16</v>
      </c>
      <c r="B66" s="11" t="s">
        <v>49</v>
      </c>
      <c r="C66" s="11">
        <v>4</v>
      </c>
      <c r="D66" s="11">
        <v>8</v>
      </c>
      <c r="E66" s="11">
        <v>24</v>
      </c>
      <c r="F66" s="11" t="s">
        <v>50</v>
      </c>
      <c r="G66" s="12">
        <v>65</v>
      </c>
      <c r="H66" s="46">
        <v>44666</v>
      </c>
      <c r="I66" s="11">
        <v>2</v>
      </c>
      <c r="J66" s="11">
        <v>54</v>
      </c>
      <c r="K66" s="11">
        <v>54</v>
      </c>
      <c r="L66" s="11">
        <v>58</v>
      </c>
      <c r="M66" s="11">
        <v>55</v>
      </c>
      <c r="N66" s="47">
        <f t="shared" ref="N66:N73" si="21">AVERAGE(J66:K66)</f>
        <v>54</v>
      </c>
      <c r="O66" s="47">
        <f t="shared" ref="O66:O73" si="22">AVERAGE(L66:M66)</f>
        <v>56.5</v>
      </c>
      <c r="P66" s="23">
        <v>2.46</v>
      </c>
      <c r="Q66" s="48">
        <f t="shared" ref="Q66:Q73" si="23">P66/(5*1.5)*10</f>
        <v>3.2800000000000002</v>
      </c>
      <c r="R66" s="48">
        <f t="shared" ref="R66:R73" si="24">Q66*U66/0.86</f>
        <v>3.4040262737440088</v>
      </c>
      <c r="S66" s="23">
        <v>327.5</v>
      </c>
      <c r="T66" s="23">
        <v>292.3</v>
      </c>
      <c r="U66" s="48">
        <f t="shared" ref="U66:U73" si="25">T66/S66</f>
        <v>0.89251908396946567</v>
      </c>
      <c r="V66" s="48">
        <f t="shared" ref="V66:V73" si="26">(1-(T66/S66))*100</f>
        <v>10.748091603053433</v>
      </c>
      <c r="W66" s="23">
        <v>1.9079999999999999</v>
      </c>
      <c r="X66" s="48">
        <f t="shared" ref="X66:X73" si="27">W66/(5*1.5)*10</f>
        <v>2.544</v>
      </c>
      <c r="Y66" s="48">
        <f t="shared" ref="Y66:Y73" si="28">X66*(AB66/100)</f>
        <v>1.6618850574712642</v>
      </c>
      <c r="Z66" s="23">
        <v>0.52200000000000002</v>
      </c>
      <c r="AA66" s="23">
        <v>0.34100000000000003</v>
      </c>
      <c r="AB66" s="48">
        <f t="shared" ref="AB66:AB73" si="29">AA66/Z66*100</f>
        <v>65.325670498084293</v>
      </c>
      <c r="AC66" s="48">
        <f t="shared" ref="AC66:AC73" si="30">(1-(AA66/Z66))*100</f>
        <v>34.6743295019157</v>
      </c>
      <c r="AD66" s="48">
        <f t="shared" si="18"/>
        <v>0.48821158352676164</v>
      </c>
      <c r="AE66" s="22">
        <v>242</v>
      </c>
      <c r="AF66" s="22">
        <v>1592</v>
      </c>
      <c r="AG66" s="23">
        <f t="shared" ref="AG66:AH73" si="31">AE66/(1.5*5)/100</f>
        <v>0.32266666666666666</v>
      </c>
      <c r="AH66" s="23">
        <f t="shared" si="31"/>
        <v>2.1226666666666669</v>
      </c>
      <c r="AI66" s="23">
        <f t="shared" ref="AI66:AI73" si="32">AG66+AH66</f>
        <v>2.4453333333333336</v>
      </c>
      <c r="AJ66" s="23">
        <f t="shared" ref="AJ66:AJ73" si="33">Q66-AI66</f>
        <v>0.83466666666666667</v>
      </c>
      <c r="AK66" s="11">
        <v>112.78</v>
      </c>
      <c r="AL66" s="11">
        <v>111.15</v>
      </c>
      <c r="AM66" s="11">
        <v>1.43</v>
      </c>
      <c r="AN66" s="11">
        <v>1.39</v>
      </c>
      <c r="AO66" s="11">
        <v>6.67</v>
      </c>
      <c r="AP66" s="11">
        <v>6.71</v>
      </c>
      <c r="AQ66" s="11">
        <v>112.78</v>
      </c>
      <c r="AR66" s="11">
        <v>100.82000000000001</v>
      </c>
      <c r="AS66" s="11">
        <v>100.41999999999999</v>
      </c>
      <c r="AT66" s="11">
        <v>91.210000000000008</v>
      </c>
      <c r="AU66" s="49">
        <f t="shared" ref="AU66:AU73" si="34">0.4095*AVERAGE(AK66:AL66)-1.3432</f>
        <v>44.506467499999992</v>
      </c>
      <c r="AV66" s="49">
        <f t="shared" ref="AV66:AV73" si="35">AVERAGE(AM66:AN66)*20</f>
        <v>28.2</v>
      </c>
      <c r="AW66" s="49">
        <f t="shared" ref="AW66:AW73" si="36">AVERAGE(AO66:AP66)*20</f>
        <v>133.79999999999998</v>
      </c>
      <c r="AX66" s="49">
        <f t="shared" ref="AX66:AX73" si="37">AR66/AQ66</f>
        <v>0.89395282851569435</v>
      </c>
      <c r="AY66" s="49">
        <f t="shared" ref="AY66:AY73" si="38">AT66/AS66</f>
        <v>0.90828520215096609</v>
      </c>
      <c r="AZ66" s="50">
        <f t="shared" si="19"/>
        <v>0.28844877933439739</v>
      </c>
      <c r="BB66" s="11"/>
    </row>
    <row r="67" spans="1:54" ht="24.95" customHeight="1" x14ac:dyDescent="0.25">
      <c r="A67" s="11">
        <v>8</v>
      </c>
      <c r="B67" s="11" t="s">
        <v>74</v>
      </c>
      <c r="C67" s="11">
        <v>4</v>
      </c>
      <c r="D67" s="11">
        <v>8</v>
      </c>
      <c r="E67" s="11">
        <v>21</v>
      </c>
      <c r="F67" s="11" t="s">
        <v>75</v>
      </c>
      <c r="G67" s="12">
        <v>66</v>
      </c>
      <c r="H67" s="46">
        <v>44666</v>
      </c>
      <c r="I67" s="11">
        <v>3</v>
      </c>
      <c r="J67" s="11">
        <v>54</v>
      </c>
      <c r="K67" s="11">
        <v>55</v>
      </c>
      <c r="N67" s="47">
        <f t="shared" si="21"/>
        <v>54.5</v>
      </c>
      <c r="O67" s="47" t="e">
        <f t="shared" si="22"/>
        <v>#DIV/0!</v>
      </c>
      <c r="P67" s="23">
        <v>2.27</v>
      </c>
      <c r="Q67" s="48">
        <f t="shared" si="23"/>
        <v>3.0266666666666668</v>
      </c>
      <c r="R67" s="48">
        <f t="shared" si="24"/>
        <v>3.1833062061482162</v>
      </c>
      <c r="S67" s="23">
        <v>337.2</v>
      </c>
      <c r="T67" s="23">
        <v>305</v>
      </c>
      <c r="U67" s="48">
        <f t="shared" si="25"/>
        <v>0.90450771055753265</v>
      </c>
      <c r="V67" s="48">
        <f t="shared" si="26"/>
        <v>9.5492289442467353</v>
      </c>
      <c r="W67" s="23">
        <v>1.839</v>
      </c>
      <c r="X67" s="48">
        <f t="shared" si="27"/>
        <v>2.452</v>
      </c>
      <c r="Y67" s="48">
        <f t="shared" si="28"/>
        <v>1.7208990825688073</v>
      </c>
      <c r="Z67" s="23">
        <v>0.436</v>
      </c>
      <c r="AA67" s="23">
        <v>0.30599999999999999</v>
      </c>
      <c r="AB67" s="48">
        <f t="shared" si="29"/>
        <v>70.183486238532112</v>
      </c>
      <c r="AC67" s="48">
        <f t="shared" si="30"/>
        <v>29.816513761467888</v>
      </c>
      <c r="AD67" s="48">
        <f t="shared" ref="AD67:AD74" si="39">Y67/R67</f>
        <v>0.54060117724304191</v>
      </c>
      <c r="AE67" s="22">
        <v>0</v>
      </c>
      <c r="AF67" s="22">
        <v>1671</v>
      </c>
      <c r="AG67" s="23">
        <f t="shared" si="31"/>
        <v>0</v>
      </c>
      <c r="AH67" s="23">
        <f t="shared" si="31"/>
        <v>2.2280000000000002</v>
      </c>
      <c r="AI67" s="23">
        <f t="shared" si="32"/>
        <v>2.2280000000000002</v>
      </c>
      <c r="AJ67" s="23">
        <f t="shared" si="33"/>
        <v>0.79866666666666664</v>
      </c>
      <c r="AK67" s="11" t="s">
        <v>53</v>
      </c>
      <c r="AL67" s="11" t="s">
        <v>53</v>
      </c>
      <c r="AM67" s="11" t="s">
        <v>53</v>
      </c>
      <c r="AN67" s="11" t="s">
        <v>53</v>
      </c>
      <c r="AO67" s="11">
        <v>6.8</v>
      </c>
      <c r="AP67" s="11">
        <v>6.49</v>
      </c>
      <c r="AQ67" s="11" t="s">
        <v>53</v>
      </c>
      <c r="AR67" s="11" t="s">
        <v>53</v>
      </c>
      <c r="AS67" s="11">
        <v>100.47</v>
      </c>
      <c r="AT67" s="11">
        <v>91.42</v>
      </c>
      <c r="AU67" s="49" t="e">
        <f t="shared" si="34"/>
        <v>#DIV/0!</v>
      </c>
      <c r="AV67" s="49" t="e">
        <f t="shared" si="35"/>
        <v>#DIV/0!</v>
      </c>
      <c r="AW67" s="49">
        <f t="shared" si="36"/>
        <v>132.89999999999998</v>
      </c>
      <c r="AX67" s="49" t="e">
        <f t="shared" si="37"/>
        <v>#VALUE!</v>
      </c>
      <c r="AY67" s="49">
        <f t="shared" si="38"/>
        <v>0.90992336020702702</v>
      </c>
      <c r="AZ67" s="50" t="e">
        <f t="shared" ref="AZ67:AZ74" si="40">AG67*AX67</f>
        <v>#VALUE!</v>
      </c>
      <c r="BB67" s="11"/>
    </row>
    <row r="68" spans="1:54" ht="24.95" customHeight="1" x14ac:dyDescent="0.25">
      <c r="A68" s="11">
        <v>1</v>
      </c>
      <c r="B68" s="11" t="s">
        <v>68</v>
      </c>
      <c r="C68" s="11">
        <v>4</v>
      </c>
      <c r="D68" s="11">
        <v>8</v>
      </c>
      <c r="E68" s="11">
        <v>18</v>
      </c>
      <c r="F68" s="11" t="s">
        <v>69</v>
      </c>
      <c r="G68" s="12">
        <v>67</v>
      </c>
      <c r="H68" s="46">
        <v>44666</v>
      </c>
      <c r="I68" s="11">
        <v>3</v>
      </c>
      <c r="L68" s="11">
        <v>82</v>
      </c>
      <c r="M68" s="11">
        <v>87</v>
      </c>
      <c r="N68" s="47" t="e">
        <f t="shared" si="21"/>
        <v>#DIV/0!</v>
      </c>
      <c r="O68" s="47">
        <f t="shared" si="22"/>
        <v>84.5</v>
      </c>
      <c r="P68" s="23">
        <v>2.41</v>
      </c>
      <c r="Q68" s="48">
        <f t="shared" si="23"/>
        <v>3.2133333333333338</v>
      </c>
      <c r="R68" s="48">
        <f t="shared" si="24"/>
        <v>3.2811355056103224</v>
      </c>
      <c r="S68" s="23">
        <v>250.3</v>
      </c>
      <c r="T68" s="23">
        <v>219.8</v>
      </c>
      <c r="U68" s="48">
        <f t="shared" si="25"/>
        <v>0.87814622453056335</v>
      </c>
      <c r="V68" s="48">
        <f t="shared" si="26"/>
        <v>12.185377546943666</v>
      </c>
      <c r="W68" s="23">
        <v>5.3940000000000001</v>
      </c>
      <c r="X68" s="48">
        <f t="shared" si="27"/>
        <v>7.1920000000000002</v>
      </c>
      <c r="Y68" s="48">
        <f t="shared" si="28"/>
        <v>3.7693920335429771</v>
      </c>
      <c r="Z68" s="23">
        <v>0.95399999999999996</v>
      </c>
      <c r="AA68" s="23">
        <v>0.5</v>
      </c>
      <c r="AB68" s="48">
        <f t="shared" si="29"/>
        <v>52.410901467505241</v>
      </c>
      <c r="AC68" s="48">
        <f t="shared" si="30"/>
        <v>47.589098532494759</v>
      </c>
      <c r="AD68" s="48">
        <f t="shared" si="39"/>
        <v>1.1488071818727994</v>
      </c>
      <c r="AE68" s="22">
        <v>1930</v>
      </c>
      <c r="AF68" s="22">
        <v>0</v>
      </c>
      <c r="AG68" s="23">
        <f t="shared" si="31"/>
        <v>2.5733333333333333</v>
      </c>
      <c r="AH68" s="23">
        <f t="shared" si="31"/>
        <v>0</v>
      </c>
      <c r="AI68" s="23">
        <f t="shared" si="32"/>
        <v>2.5733333333333333</v>
      </c>
      <c r="AJ68" s="23">
        <f t="shared" si="33"/>
        <v>0.64000000000000057</v>
      </c>
      <c r="AK68" s="11">
        <v>121.66</v>
      </c>
      <c r="AL68" s="11">
        <v>118.69</v>
      </c>
      <c r="AM68" s="11">
        <v>1.44</v>
      </c>
      <c r="AN68" s="11">
        <v>1.39</v>
      </c>
      <c r="AO68" s="11" t="s">
        <v>53</v>
      </c>
      <c r="AP68" s="11" t="s">
        <v>53</v>
      </c>
      <c r="AQ68" s="11">
        <v>121.66</v>
      </c>
      <c r="AR68" s="11">
        <v>108.9</v>
      </c>
      <c r="AS68" s="11" t="s">
        <v>53</v>
      </c>
      <c r="AT68" s="11" t="s">
        <v>53</v>
      </c>
      <c r="AU68" s="49">
        <f t="shared" si="34"/>
        <v>47.868462499999993</v>
      </c>
      <c r="AV68" s="49">
        <f t="shared" si="35"/>
        <v>28.3</v>
      </c>
      <c r="AW68" s="49" t="e">
        <f t="shared" si="36"/>
        <v>#DIV/0!</v>
      </c>
      <c r="AX68" s="49">
        <f t="shared" si="37"/>
        <v>0.89511754068716098</v>
      </c>
      <c r="AY68" s="49" t="e">
        <f t="shared" si="38"/>
        <v>#VALUE!</v>
      </c>
      <c r="AZ68" s="50">
        <f t="shared" si="40"/>
        <v>2.3034358047016275</v>
      </c>
      <c r="BB68" s="11"/>
    </row>
    <row r="69" spans="1:54" ht="24.95" customHeight="1" x14ac:dyDescent="0.25">
      <c r="A69" s="11">
        <v>4</v>
      </c>
      <c r="B69" s="11" t="s">
        <v>84</v>
      </c>
      <c r="C69" s="11">
        <v>4</v>
      </c>
      <c r="D69" s="11">
        <v>8</v>
      </c>
      <c r="E69" s="11">
        <v>15</v>
      </c>
      <c r="F69" s="11" t="s">
        <v>85</v>
      </c>
      <c r="G69" s="12">
        <v>68</v>
      </c>
      <c r="H69" s="46">
        <v>44666</v>
      </c>
      <c r="I69" s="11">
        <v>4</v>
      </c>
      <c r="L69" s="11">
        <v>87</v>
      </c>
      <c r="M69" s="11">
        <v>83</v>
      </c>
      <c r="N69" s="47" t="e">
        <f t="shared" si="21"/>
        <v>#DIV/0!</v>
      </c>
      <c r="O69" s="47">
        <f t="shared" si="22"/>
        <v>85</v>
      </c>
      <c r="P69" s="23">
        <v>2.9</v>
      </c>
      <c r="Q69" s="48">
        <f t="shared" si="23"/>
        <v>3.8666666666666667</v>
      </c>
      <c r="R69" s="48">
        <f t="shared" si="24"/>
        <v>3.9733604035929617</v>
      </c>
      <c r="S69" s="23">
        <v>252</v>
      </c>
      <c r="T69" s="23">
        <v>222.7</v>
      </c>
      <c r="U69" s="48">
        <f t="shared" si="25"/>
        <v>0.8837301587301587</v>
      </c>
      <c r="V69" s="48">
        <f t="shared" si="26"/>
        <v>11.62698412698413</v>
      </c>
      <c r="W69" s="23">
        <v>4.59</v>
      </c>
      <c r="X69" s="48">
        <f t="shared" si="27"/>
        <v>6.12</v>
      </c>
      <c r="Y69" s="48">
        <f t="shared" si="28"/>
        <v>3.6645213849287166</v>
      </c>
      <c r="Z69" s="23">
        <v>0.49099999999999999</v>
      </c>
      <c r="AA69" s="23">
        <v>0.29399999999999998</v>
      </c>
      <c r="AB69" s="48">
        <f t="shared" si="29"/>
        <v>59.877800407331975</v>
      </c>
      <c r="AC69" s="48">
        <f t="shared" si="30"/>
        <v>40.122199592668025</v>
      </c>
      <c r="AD69" s="48">
        <f t="shared" si="39"/>
        <v>0.92227258861668493</v>
      </c>
      <c r="AE69" s="22">
        <v>2410</v>
      </c>
      <c r="AF69" s="22">
        <v>0</v>
      </c>
      <c r="AG69" s="23">
        <f t="shared" si="31"/>
        <v>3.2133333333333329</v>
      </c>
      <c r="AH69" s="23">
        <f t="shared" si="31"/>
        <v>0</v>
      </c>
      <c r="AI69" s="23">
        <f t="shared" si="32"/>
        <v>3.2133333333333329</v>
      </c>
      <c r="AJ69" s="23">
        <f t="shared" si="33"/>
        <v>0.65333333333333377</v>
      </c>
      <c r="AK69" s="11">
        <v>121.38</v>
      </c>
      <c r="AL69" s="11">
        <v>122.62</v>
      </c>
      <c r="AM69" s="11">
        <v>1.51</v>
      </c>
      <c r="AN69" s="11">
        <v>1.44</v>
      </c>
      <c r="AO69" s="11" t="s">
        <v>53</v>
      </c>
      <c r="AP69" s="11" t="s">
        <v>53</v>
      </c>
      <c r="AQ69" s="11">
        <v>121.38</v>
      </c>
      <c r="AR69" s="11">
        <v>108.8</v>
      </c>
      <c r="AS69" s="11" t="s">
        <v>53</v>
      </c>
      <c r="AT69" s="11" t="s">
        <v>53</v>
      </c>
      <c r="AU69" s="49">
        <f t="shared" si="34"/>
        <v>48.615799999999993</v>
      </c>
      <c r="AV69" s="49">
        <f t="shared" si="35"/>
        <v>29.5</v>
      </c>
      <c r="AW69" s="49" t="e">
        <f t="shared" si="36"/>
        <v>#DIV/0!</v>
      </c>
      <c r="AX69" s="49">
        <f t="shared" si="37"/>
        <v>0.89635854341736698</v>
      </c>
      <c r="AY69" s="49" t="e">
        <f t="shared" si="38"/>
        <v>#VALUE!</v>
      </c>
      <c r="AZ69" s="50">
        <f t="shared" si="40"/>
        <v>2.8802987861811387</v>
      </c>
      <c r="BB69" s="11"/>
    </row>
    <row r="70" spans="1:54" ht="24.95" customHeight="1" x14ac:dyDescent="0.25">
      <c r="A70" s="11">
        <v>14</v>
      </c>
      <c r="B70" s="11" t="s">
        <v>58</v>
      </c>
      <c r="C70" s="11">
        <v>4</v>
      </c>
      <c r="D70" s="11">
        <v>8</v>
      </c>
      <c r="E70" s="11">
        <v>12</v>
      </c>
      <c r="F70" s="11" t="s">
        <v>59</v>
      </c>
      <c r="G70" s="12">
        <v>69</v>
      </c>
      <c r="H70" s="46">
        <v>44666</v>
      </c>
      <c r="I70" s="11">
        <v>2</v>
      </c>
      <c r="J70" s="11">
        <v>49</v>
      </c>
      <c r="K70" s="11">
        <v>47</v>
      </c>
      <c r="L70" s="11">
        <v>75</v>
      </c>
      <c r="M70" s="11">
        <v>64</v>
      </c>
      <c r="N70" s="47">
        <f t="shared" si="21"/>
        <v>48</v>
      </c>
      <c r="O70" s="47">
        <f t="shared" si="22"/>
        <v>69.5</v>
      </c>
      <c r="P70" s="23">
        <v>2.76</v>
      </c>
      <c r="Q70" s="48">
        <f t="shared" si="23"/>
        <v>3.6799999999999997</v>
      </c>
      <c r="R70" s="48">
        <f t="shared" si="24"/>
        <v>3.7520818416329091</v>
      </c>
      <c r="S70" s="23">
        <v>237.1</v>
      </c>
      <c r="T70" s="23">
        <v>207.9</v>
      </c>
      <c r="U70" s="48">
        <f t="shared" si="25"/>
        <v>0.87684521299029949</v>
      </c>
      <c r="V70" s="48">
        <f t="shared" si="26"/>
        <v>12.315478700970051</v>
      </c>
      <c r="W70" s="23">
        <v>2.2309999999999999</v>
      </c>
      <c r="X70" s="48">
        <f t="shared" si="27"/>
        <v>2.9746666666666668</v>
      </c>
      <c r="Y70" s="48">
        <f t="shared" si="28"/>
        <v>1.6873608521970707</v>
      </c>
      <c r="Z70" s="23">
        <v>0.751</v>
      </c>
      <c r="AA70" s="23">
        <v>0.42599999999999999</v>
      </c>
      <c r="AB70" s="48">
        <f t="shared" si="29"/>
        <v>56.724367509986685</v>
      </c>
      <c r="AC70" s="48">
        <f t="shared" si="30"/>
        <v>43.275632490013315</v>
      </c>
      <c r="AD70" s="48">
        <f t="shared" si="39"/>
        <v>0.44971323212468356</v>
      </c>
      <c r="AE70" s="22">
        <v>756</v>
      </c>
      <c r="AF70" s="22">
        <v>1461</v>
      </c>
      <c r="AG70" s="23">
        <f t="shared" si="31"/>
        <v>1.008</v>
      </c>
      <c r="AH70" s="23">
        <f t="shared" si="31"/>
        <v>1.9480000000000002</v>
      </c>
      <c r="AI70" s="23">
        <f t="shared" si="32"/>
        <v>2.9560000000000004</v>
      </c>
      <c r="AJ70" s="23">
        <f t="shared" si="33"/>
        <v>0.72399999999999931</v>
      </c>
      <c r="AK70" s="11">
        <v>128.74</v>
      </c>
      <c r="AL70" s="11">
        <v>130.46</v>
      </c>
      <c r="AM70" s="11">
        <v>1.6</v>
      </c>
      <c r="AN70" s="11">
        <v>1.53</v>
      </c>
      <c r="AO70" s="11">
        <v>6.69</v>
      </c>
      <c r="AP70" s="11">
        <v>6.49</v>
      </c>
      <c r="AQ70" s="11">
        <v>130.46</v>
      </c>
      <c r="AR70" s="11">
        <v>117.32000000000001</v>
      </c>
      <c r="AS70" s="11">
        <v>100.49</v>
      </c>
      <c r="AT70" s="11">
        <v>91.36</v>
      </c>
      <c r="AU70" s="49">
        <f t="shared" si="34"/>
        <v>51.728000000000002</v>
      </c>
      <c r="AV70" s="49">
        <f t="shared" si="35"/>
        <v>31.299999999999997</v>
      </c>
      <c r="AW70" s="49">
        <f t="shared" si="36"/>
        <v>131.80000000000001</v>
      </c>
      <c r="AX70" s="49">
        <f t="shared" si="37"/>
        <v>0.89927947263529051</v>
      </c>
      <c r="AY70" s="49">
        <f t="shared" si="38"/>
        <v>0.9091451885759777</v>
      </c>
      <c r="AZ70" s="50">
        <f t="shared" si="40"/>
        <v>0.90647370841637287</v>
      </c>
      <c r="BB70" s="11"/>
    </row>
    <row r="71" spans="1:54" ht="24.95" customHeight="1" x14ac:dyDescent="0.25">
      <c r="A71" s="11">
        <v>18</v>
      </c>
      <c r="B71" s="11" t="s">
        <v>80</v>
      </c>
      <c r="C71" s="11">
        <v>4</v>
      </c>
      <c r="D71" s="11">
        <v>8</v>
      </c>
      <c r="E71" s="11">
        <v>9</v>
      </c>
      <c r="F71" s="11" t="s">
        <v>81</v>
      </c>
      <c r="G71" s="12">
        <v>70</v>
      </c>
      <c r="H71" s="46">
        <v>44666</v>
      </c>
      <c r="I71" s="11">
        <v>3</v>
      </c>
      <c r="J71" s="11">
        <v>51</v>
      </c>
      <c r="K71" s="11">
        <v>51</v>
      </c>
      <c r="L71" s="11">
        <v>61</v>
      </c>
      <c r="M71" s="11">
        <v>64</v>
      </c>
      <c r="N71" s="47">
        <f t="shared" si="21"/>
        <v>51</v>
      </c>
      <c r="O71" s="47">
        <f t="shared" si="22"/>
        <v>62.5</v>
      </c>
      <c r="P71" s="23">
        <v>2.52</v>
      </c>
      <c r="Q71" s="48">
        <f t="shared" si="23"/>
        <v>3.3600000000000003</v>
      </c>
      <c r="R71" s="48">
        <f t="shared" si="24"/>
        <v>3.434883720930233</v>
      </c>
      <c r="S71" s="23">
        <v>264</v>
      </c>
      <c r="T71" s="23">
        <v>232.1</v>
      </c>
      <c r="U71" s="48">
        <f t="shared" si="25"/>
        <v>0.87916666666666665</v>
      </c>
      <c r="V71" s="48">
        <f t="shared" si="26"/>
        <v>12.083333333333336</v>
      </c>
      <c r="W71" s="23">
        <v>1.9330000000000001</v>
      </c>
      <c r="X71" s="48">
        <f t="shared" si="27"/>
        <v>2.5773333333333333</v>
      </c>
      <c r="Y71" s="48">
        <f t="shared" si="28"/>
        <v>1.5179884514435695</v>
      </c>
      <c r="Z71" s="23">
        <v>0.63500000000000001</v>
      </c>
      <c r="AA71" s="23">
        <v>0.374</v>
      </c>
      <c r="AB71" s="48">
        <f t="shared" si="29"/>
        <v>58.897637795275593</v>
      </c>
      <c r="AC71" s="48">
        <f t="shared" si="30"/>
        <v>41.102362204724407</v>
      </c>
      <c r="AD71" s="48">
        <f t="shared" si="39"/>
        <v>0.44193299534240676</v>
      </c>
      <c r="AE71" s="22">
        <v>448</v>
      </c>
      <c r="AF71" s="22">
        <v>1466</v>
      </c>
      <c r="AG71" s="23">
        <f t="shared" si="31"/>
        <v>0.59733333333333338</v>
      </c>
      <c r="AH71" s="23">
        <f t="shared" si="31"/>
        <v>1.9546666666666668</v>
      </c>
      <c r="AI71" s="23">
        <f t="shared" si="32"/>
        <v>2.552</v>
      </c>
      <c r="AJ71" s="23">
        <f t="shared" si="33"/>
        <v>0.80800000000000027</v>
      </c>
      <c r="AK71" s="11">
        <v>119</v>
      </c>
      <c r="AL71" s="11">
        <v>118.3</v>
      </c>
      <c r="AM71" s="11">
        <v>1.54</v>
      </c>
      <c r="AN71" s="11">
        <v>1.36</v>
      </c>
      <c r="AO71" s="11">
        <v>7.37</v>
      </c>
      <c r="AP71" s="11">
        <v>7.39</v>
      </c>
      <c r="AQ71" s="11">
        <v>119</v>
      </c>
      <c r="AR71" s="11">
        <v>107.01</v>
      </c>
      <c r="AS71" s="11">
        <v>100.61999999999999</v>
      </c>
      <c r="AT71" s="11">
        <v>91.38000000000001</v>
      </c>
      <c r="AU71" s="49">
        <f t="shared" si="34"/>
        <v>47.243974999999999</v>
      </c>
      <c r="AV71" s="49">
        <f t="shared" si="35"/>
        <v>29.000000000000004</v>
      </c>
      <c r="AW71" s="49">
        <f t="shared" si="36"/>
        <v>147.6</v>
      </c>
      <c r="AX71" s="49">
        <f t="shared" si="37"/>
        <v>0.89924369747899169</v>
      </c>
      <c r="AY71" s="49">
        <f t="shared" si="38"/>
        <v>0.90816935002981536</v>
      </c>
      <c r="AZ71" s="50">
        <f t="shared" si="40"/>
        <v>0.5371482352941177</v>
      </c>
      <c r="BB71" s="11"/>
    </row>
    <row r="72" spans="1:54" ht="24.95" customHeight="1" x14ac:dyDescent="0.25">
      <c r="A72" s="11">
        <v>11</v>
      </c>
      <c r="B72" s="11" t="s">
        <v>54</v>
      </c>
      <c r="C72" s="11">
        <v>4</v>
      </c>
      <c r="D72" s="11">
        <v>8</v>
      </c>
      <c r="E72" s="11">
        <v>6</v>
      </c>
      <c r="F72" s="11" t="s">
        <v>55</v>
      </c>
      <c r="G72" s="12">
        <v>71</v>
      </c>
      <c r="H72" s="46">
        <v>44666</v>
      </c>
      <c r="I72" s="11">
        <v>3</v>
      </c>
      <c r="J72" s="11">
        <v>54</v>
      </c>
      <c r="K72" s="11">
        <v>54</v>
      </c>
      <c r="L72" s="11">
        <v>75</v>
      </c>
      <c r="M72" s="11">
        <v>73</v>
      </c>
      <c r="N72" s="47">
        <f t="shared" si="21"/>
        <v>54</v>
      </c>
      <c r="O72" s="47">
        <f t="shared" si="22"/>
        <v>74</v>
      </c>
      <c r="P72" s="23">
        <v>2.52</v>
      </c>
      <c r="Q72" s="48">
        <f t="shared" si="23"/>
        <v>3.3600000000000003</v>
      </c>
      <c r="R72" s="48">
        <f t="shared" si="24"/>
        <v>3.5269356280903943</v>
      </c>
      <c r="S72" s="23">
        <v>304.3</v>
      </c>
      <c r="T72" s="23">
        <v>274.7</v>
      </c>
      <c r="U72" s="48">
        <f t="shared" si="25"/>
        <v>0.90272757147551752</v>
      </c>
      <c r="V72" s="48">
        <f t="shared" si="26"/>
        <v>9.7272428524482475</v>
      </c>
      <c r="W72" s="23">
        <v>1.5089999999999999</v>
      </c>
      <c r="X72" s="48">
        <f t="shared" si="27"/>
        <v>2.012</v>
      </c>
      <c r="Y72" s="48">
        <f t="shared" si="28"/>
        <v>1.1828472622478385</v>
      </c>
      <c r="Z72" s="23">
        <v>0.69399999999999995</v>
      </c>
      <c r="AA72" s="23">
        <v>0.40799999999999997</v>
      </c>
      <c r="AB72" s="48">
        <f t="shared" si="29"/>
        <v>58.789625360230545</v>
      </c>
      <c r="AC72" s="48">
        <f t="shared" si="30"/>
        <v>41.210374639769455</v>
      </c>
      <c r="AD72" s="48">
        <f t="shared" si="39"/>
        <v>0.33537534760402565</v>
      </c>
      <c r="AE72" s="22">
        <v>496</v>
      </c>
      <c r="AF72" s="22">
        <v>1442</v>
      </c>
      <c r="AG72" s="23">
        <f t="shared" si="31"/>
        <v>0.66133333333333344</v>
      </c>
      <c r="AH72" s="23">
        <f t="shared" si="31"/>
        <v>1.9226666666666667</v>
      </c>
      <c r="AI72" s="23">
        <f t="shared" si="32"/>
        <v>2.5840000000000001</v>
      </c>
      <c r="AJ72" s="23">
        <f t="shared" si="33"/>
        <v>0.77600000000000025</v>
      </c>
      <c r="AK72" s="11">
        <v>126.07</v>
      </c>
      <c r="AL72" s="11">
        <v>127.3</v>
      </c>
      <c r="AM72" s="11">
        <v>1.78</v>
      </c>
      <c r="AN72" s="11">
        <v>1.62</v>
      </c>
      <c r="AO72" s="11">
        <v>6.47</v>
      </c>
      <c r="AP72" s="11">
        <v>6.17</v>
      </c>
      <c r="AQ72" s="11">
        <v>126.07</v>
      </c>
      <c r="AR72" s="11">
        <v>114.7</v>
      </c>
      <c r="AS72" s="11">
        <v>100.32</v>
      </c>
      <c r="AT72" s="11">
        <v>90.740000000000009</v>
      </c>
      <c r="AU72" s="49">
        <f t="shared" si="34"/>
        <v>50.534307499999997</v>
      </c>
      <c r="AV72" s="49">
        <f t="shared" si="35"/>
        <v>34</v>
      </c>
      <c r="AW72" s="49">
        <f t="shared" si="36"/>
        <v>126.4</v>
      </c>
      <c r="AX72" s="49">
        <f t="shared" si="37"/>
        <v>0.9098120092012375</v>
      </c>
      <c r="AY72" s="49">
        <f t="shared" si="38"/>
        <v>0.90450558213716126</v>
      </c>
      <c r="AZ72" s="50">
        <f t="shared" si="40"/>
        <v>0.6016890087517518</v>
      </c>
      <c r="BB72" s="11"/>
    </row>
    <row r="73" spans="1:54" ht="24.95" customHeight="1" x14ac:dyDescent="0.25">
      <c r="A73" s="11">
        <v>2</v>
      </c>
      <c r="B73" s="11" t="s">
        <v>51</v>
      </c>
      <c r="C73" s="11">
        <v>4</v>
      </c>
      <c r="D73" s="11">
        <v>8</v>
      </c>
      <c r="E73" s="11">
        <v>3</v>
      </c>
      <c r="F73" s="11" t="s">
        <v>52</v>
      </c>
      <c r="G73" s="12">
        <v>72</v>
      </c>
      <c r="H73" s="46">
        <v>44666</v>
      </c>
      <c r="I73" s="11">
        <v>2</v>
      </c>
      <c r="L73" s="11">
        <v>80</v>
      </c>
      <c r="M73" s="11">
        <v>81</v>
      </c>
      <c r="N73" s="47" t="e">
        <f t="shared" si="21"/>
        <v>#DIV/0!</v>
      </c>
      <c r="O73" s="47">
        <f t="shared" si="22"/>
        <v>80.5</v>
      </c>
      <c r="P73" s="23">
        <v>2.5099999999999998</v>
      </c>
      <c r="Q73" s="48">
        <f t="shared" si="23"/>
        <v>3.3466666666666662</v>
      </c>
      <c r="R73" s="48">
        <f t="shared" si="24"/>
        <v>3.3566754452528675</v>
      </c>
      <c r="S73" s="23">
        <v>260.5</v>
      </c>
      <c r="T73" s="23">
        <v>224.7</v>
      </c>
      <c r="U73" s="48">
        <f t="shared" si="25"/>
        <v>0.86257197696737042</v>
      </c>
      <c r="V73" s="48">
        <f t="shared" si="26"/>
        <v>13.742802303262957</v>
      </c>
      <c r="W73" s="23">
        <v>4.3979999999999997</v>
      </c>
      <c r="X73" s="48">
        <f t="shared" si="27"/>
        <v>5.863999999999999</v>
      </c>
      <c r="Y73" s="48">
        <f t="shared" si="28"/>
        <v>2.9573304535637144</v>
      </c>
      <c r="Z73" s="23">
        <v>0.92600000000000005</v>
      </c>
      <c r="AA73" s="23">
        <v>0.46700000000000003</v>
      </c>
      <c r="AB73" s="48">
        <f t="shared" si="29"/>
        <v>50.431965442764579</v>
      </c>
      <c r="AC73" s="48">
        <f t="shared" si="30"/>
        <v>49.568034557235421</v>
      </c>
      <c r="AD73" s="48">
        <f t="shared" si="39"/>
        <v>0.88102960855094847</v>
      </c>
      <c r="AE73" s="22">
        <v>1921</v>
      </c>
      <c r="AF73" s="22">
        <v>0</v>
      </c>
      <c r="AG73" s="23">
        <f t="shared" si="31"/>
        <v>2.5613333333333332</v>
      </c>
      <c r="AH73" s="23">
        <f t="shared" si="31"/>
        <v>0</v>
      </c>
      <c r="AI73" s="23">
        <f t="shared" si="32"/>
        <v>2.5613333333333332</v>
      </c>
      <c r="AJ73" s="23">
        <f t="shared" si="33"/>
        <v>0.78533333333333299</v>
      </c>
      <c r="AK73" s="11">
        <v>124.52</v>
      </c>
      <c r="AL73" s="11">
        <v>122.26</v>
      </c>
      <c r="AM73" s="11">
        <v>1.53</v>
      </c>
      <c r="AN73" s="11">
        <v>1.4</v>
      </c>
      <c r="AO73" s="11" t="s">
        <v>53</v>
      </c>
      <c r="AP73" s="11" t="s">
        <v>53</v>
      </c>
      <c r="AQ73" s="11">
        <v>125.66</v>
      </c>
      <c r="AR73" s="11">
        <v>113</v>
      </c>
      <c r="AS73" s="11" t="s">
        <v>53</v>
      </c>
      <c r="AT73" s="11" t="s">
        <v>53</v>
      </c>
      <c r="AU73" s="49">
        <f t="shared" si="34"/>
        <v>49.185004999999997</v>
      </c>
      <c r="AV73" s="49">
        <f t="shared" si="35"/>
        <v>29.299999999999997</v>
      </c>
      <c r="AW73" s="49" t="e">
        <f t="shared" si="36"/>
        <v>#DIV/0!</v>
      </c>
      <c r="AX73" s="49">
        <f t="shared" si="37"/>
        <v>0.89925194970555467</v>
      </c>
      <c r="AY73" s="49" t="e">
        <f t="shared" si="38"/>
        <v>#VALUE!</v>
      </c>
      <c r="AZ73" s="50">
        <f t="shared" si="40"/>
        <v>2.3032839938458274</v>
      </c>
      <c r="BB73" s="11"/>
    </row>
    <row r="74" spans="1:54" s="30" customFormat="1" ht="24.95" customHeight="1" x14ac:dyDescent="0.25">
      <c r="A74" s="51" t="s">
        <v>130</v>
      </c>
      <c r="B74" s="52" t="s">
        <v>131</v>
      </c>
      <c r="C74" s="53">
        <v>0</v>
      </c>
      <c r="D74" s="54" t="s">
        <v>132</v>
      </c>
      <c r="E74" s="53">
        <v>29</v>
      </c>
      <c r="F74" s="53"/>
      <c r="G74" s="55">
        <v>99</v>
      </c>
      <c r="H74" s="46">
        <v>44666</v>
      </c>
      <c r="I74" s="53"/>
      <c r="J74" s="53"/>
      <c r="K74" s="53"/>
      <c r="L74" s="53"/>
      <c r="M74" s="53"/>
      <c r="N74" s="56"/>
      <c r="O74" s="56"/>
      <c r="P74" s="57"/>
      <c r="Q74" s="58"/>
      <c r="R74" s="58"/>
      <c r="S74" s="57"/>
      <c r="T74" s="57"/>
      <c r="U74" s="58"/>
      <c r="V74" s="58"/>
      <c r="W74" s="59"/>
      <c r="X74" s="60"/>
      <c r="Y74" s="60"/>
      <c r="Z74" s="49"/>
      <c r="AA74" s="61"/>
      <c r="AB74" s="48"/>
      <c r="AC74" s="48"/>
      <c r="AD74" s="58"/>
      <c r="AK74" s="53"/>
      <c r="AL74" s="53"/>
      <c r="AM74" s="53"/>
      <c r="AN74" s="53"/>
      <c r="AO74" s="53"/>
      <c r="AP74" s="53"/>
      <c r="AQ74" s="53"/>
      <c r="AR74" s="62"/>
      <c r="AS74" s="62"/>
      <c r="AT74" s="53"/>
      <c r="AU74" s="62"/>
      <c r="AV74" s="62"/>
      <c r="AW74" s="62"/>
      <c r="AX74" s="62"/>
      <c r="AY74" s="62"/>
      <c r="AZ74" s="62"/>
      <c r="BA74" s="62"/>
    </row>
    <row r="75" spans="1:54" s="30" customFormat="1" ht="24.95" customHeight="1" x14ac:dyDescent="0.25">
      <c r="A75" s="51" t="s">
        <v>133</v>
      </c>
      <c r="B75" s="52" t="s">
        <v>134</v>
      </c>
      <c r="C75" s="53">
        <v>0</v>
      </c>
      <c r="D75" s="54" t="s">
        <v>132</v>
      </c>
      <c r="E75" s="53">
        <v>1</v>
      </c>
      <c r="F75" s="53"/>
      <c r="G75" s="55">
        <v>99</v>
      </c>
      <c r="H75" s="46">
        <v>44666</v>
      </c>
      <c r="I75" s="53"/>
      <c r="J75" s="53"/>
      <c r="K75" s="53"/>
      <c r="L75" s="53"/>
      <c r="M75" s="53"/>
      <c r="N75" s="56"/>
      <c r="O75" s="56"/>
      <c r="P75" s="57"/>
      <c r="Q75" s="58"/>
      <c r="R75" s="58"/>
      <c r="S75" s="57"/>
      <c r="T75" s="57"/>
      <c r="U75" s="58"/>
      <c r="V75" s="58"/>
      <c r="W75" s="59"/>
      <c r="X75" s="60"/>
      <c r="Y75" s="60"/>
      <c r="Z75" s="49"/>
      <c r="AA75" s="61"/>
      <c r="AB75" s="48"/>
      <c r="AC75" s="48"/>
      <c r="AD75" s="58"/>
      <c r="AK75" s="53"/>
      <c r="AL75" s="53"/>
      <c r="AM75" s="53"/>
      <c r="AN75" s="53"/>
      <c r="AO75" s="53"/>
      <c r="AP75" s="53"/>
      <c r="AQ75" s="53"/>
      <c r="AR75" s="62"/>
      <c r="AS75" s="62"/>
      <c r="AT75" s="53"/>
      <c r="AU75" s="62"/>
      <c r="AV75" s="62"/>
      <c r="AW75" s="62"/>
      <c r="AX75" s="62"/>
      <c r="AY75" s="62"/>
      <c r="AZ75" s="62"/>
      <c r="BA75" s="62"/>
    </row>
    <row r="76" spans="1:54" s="30" customFormat="1" ht="24.95" customHeight="1" x14ac:dyDescent="0.25">
      <c r="A76" s="51" t="s">
        <v>135</v>
      </c>
      <c r="B76" s="63" t="s">
        <v>136</v>
      </c>
      <c r="C76" s="53">
        <v>0</v>
      </c>
      <c r="D76" s="54" t="s">
        <v>132</v>
      </c>
      <c r="E76" s="53">
        <v>30</v>
      </c>
      <c r="F76" s="53"/>
      <c r="G76" s="55">
        <v>100</v>
      </c>
      <c r="H76" s="46">
        <v>44666</v>
      </c>
      <c r="I76" s="53"/>
      <c r="J76" s="53"/>
      <c r="K76" s="53"/>
      <c r="L76" s="53"/>
      <c r="M76" s="53"/>
      <c r="N76" s="56"/>
      <c r="O76" s="56"/>
      <c r="P76" s="57"/>
      <c r="Q76" s="58"/>
      <c r="R76" s="58"/>
      <c r="S76" s="57"/>
      <c r="T76" s="57"/>
      <c r="U76" s="58"/>
      <c r="V76" s="58"/>
      <c r="W76" s="59"/>
      <c r="X76" s="60"/>
      <c r="Y76" s="60"/>
      <c r="Z76" s="49"/>
      <c r="AA76" s="61"/>
      <c r="AB76" s="48"/>
      <c r="AC76" s="48"/>
      <c r="AD76" s="58"/>
      <c r="AK76" s="53"/>
      <c r="AL76" s="53"/>
      <c r="AM76" s="53"/>
      <c r="AN76" s="53"/>
      <c r="AO76" s="53"/>
      <c r="AP76" s="53"/>
      <c r="AQ76" s="53"/>
      <c r="AR76" s="62"/>
      <c r="AS76" s="62"/>
      <c r="AT76" s="53"/>
      <c r="AU76" s="62"/>
      <c r="AV76" s="62"/>
      <c r="AW76" s="62"/>
      <c r="AX76" s="62"/>
      <c r="AY76" s="62"/>
      <c r="AZ76" s="62"/>
      <c r="BA76" s="62"/>
    </row>
    <row r="77" spans="1:54" s="30" customFormat="1" ht="24.95" customHeight="1" x14ac:dyDescent="0.25">
      <c r="A77" s="51" t="s">
        <v>137</v>
      </c>
      <c r="B77" s="63" t="s">
        <v>138</v>
      </c>
      <c r="C77" s="53">
        <v>0</v>
      </c>
      <c r="D77" s="54" t="s">
        <v>132</v>
      </c>
      <c r="E77" s="53">
        <v>31</v>
      </c>
      <c r="F77" s="53"/>
      <c r="G77" s="55">
        <v>100</v>
      </c>
      <c r="H77" s="46">
        <v>44666</v>
      </c>
      <c r="I77" s="53"/>
      <c r="J77" s="53"/>
      <c r="K77" s="53"/>
      <c r="L77" s="53"/>
      <c r="M77" s="53"/>
      <c r="N77" s="56"/>
      <c r="O77" s="56"/>
      <c r="P77" s="57"/>
      <c r="Q77" s="58"/>
      <c r="R77" s="58"/>
      <c r="S77" s="57"/>
      <c r="T77" s="57"/>
      <c r="U77" s="58"/>
      <c r="V77" s="58"/>
      <c r="W77" s="59"/>
      <c r="X77" s="60"/>
      <c r="Y77" s="60"/>
      <c r="Z77" s="49"/>
      <c r="AA77" s="61"/>
      <c r="AB77" s="48"/>
      <c r="AC77" s="48"/>
      <c r="AD77" s="58"/>
      <c r="AK77" s="53"/>
      <c r="AL77" s="53"/>
      <c r="AM77" s="53"/>
      <c r="AN77" s="53"/>
      <c r="AO77" s="53"/>
      <c r="AP77" s="53"/>
      <c r="AQ77" s="53"/>
      <c r="AR77" s="62"/>
      <c r="AS77" s="62"/>
      <c r="AT77" s="53"/>
      <c r="AU77" s="62"/>
      <c r="AV77" s="62"/>
      <c r="AW77" s="62"/>
      <c r="AX77" s="62"/>
      <c r="AY77" s="62"/>
      <c r="AZ77" s="62"/>
      <c r="BA77" s="62"/>
    </row>
    <row r="78" spans="1:54" s="30" customFormat="1" ht="24.95" customHeight="1" x14ac:dyDescent="0.25">
      <c r="A78" s="51" t="s">
        <v>139</v>
      </c>
      <c r="B78" s="52" t="s">
        <v>68</v>
      </c>
      <c r="C78" s="53">
        <v>0</v>
      </c>
      <c r="D78" s="53">
        <v>1</v>
      </c>
      <c r="E78" s="53">
        <v>32</v>
      </c>
      <c r="F78" s="53"/>
      <c r="G78" s="55">
        <v>100</v>
      </c>
      <c r="H78" s="46">
        <v>44666</v>
      </c>
      <c r="I78" s="53"/>
      <c r="J78" s="53"/>
      <c r="K78" s="53"/>
      <c r="L78" s="53"/>
      <c r="M78" s="53"/>
      <c r="N78" s="56"/>
      <c r="O78" s="56"/>
      <c r="P78" s="57"/>
      <c r="Q78" s="58"/>
      <c r="R78" s="58"/>
      <c r="S78" s="57"/>
      <c r="T78" s="57"/>
      <c r="U78" s="58"/>
      <c r="V78" s="58"/>
      <c r="W78" s="59"/>
      <c r="X78" s="60"/>
      <c r="Y78" s="60"/>
      <c r="Z78" s="49"/>
      <c r="AA78" s="61"/>
      <c r="AB78" s="48"/>
      <c r="AC78" s="48"/>
      <c r="AD78" s="58"/>
      <c r="AK78" s="53"/>
      <c r="AL78" s="53"/>
      <c r="AM78" s="53"/>
      <c r="AN78" s="53"/>
      <c r="AO78" s="53"/>
      <c r="AP78" s="53"/>
      <c r="AQ78" s="53"/>
      <c r="AR78" s="62"/>
      <c r="AS78" s="62"/>
      <c r="AT78" s="53"/>
      <c r="AU78" s="62"/>
      <c r="AV78" s="62"/>
      <c r="AW78" s="62"/>
      <c r="AX78" s="62"/>
      <c r="AY78" s="62"/>
      <c r="AZ78" s="62"/>
      <c r="BA78" s="62"/>
    </row>
    <row r="79" spans="1:54" s="30" customFormat="1" ht="24.95" customHeight="1" x14ac:dyDescent="0.25">
      <c r="A79" s="51" t="s">
        <v>139</v>
      </c>
      <c r="B79" s="52" t="s">
        <v>68</v>
      </c>
      <c r="C79" s="53">
        <v>0</v>
      </c>
      <c r="D79" s="53">
        <v>2</v>
      </c>
      <c r="E79" s="53">
        <v>32</v>
      </c>
      <c r="F79" s="53"/>
      <c r="G79" s="55">
        <v>100</v>
      </c>
      <c r="H79" s="46">
        <v>44666</v>
      </c>
      <c r="I79" s="53"/>
      <c r="J79" s="53"/>
      <c r="K79" s="53"/>
      <c r="L79" s="53"/>
      <c r="M79" s="53"/>
      <c r="N79" s="56"/>
      <c r="O79" s="56"/>
      <c r="P79" s="57"/>
      <c r="Q79" s="58"/>
      <c r="R79" s="58"/>
      <c r="S79" s="57"/>
      <c r="T79" s="57"/>
      <c r="U79" s="58"/>
      <c r="V79" s="58"/>
      <c r="W79" s="59"/>
      <c r="X79" s="60"/>
      <c r="Y79" s="60"/>
      <c r="Z79" s="49"/>
      <c r="AA79" s="61"/>
      <c r="AB79" s="48"/>
      <c r="AC79" s="48"/>
      <c r="AD79" s="58"/>
      <c r="AK79" s="53"/>
      <c r="AL79" s="53"/>
      <c r="AM79" s="53"/>
      <c r="AN79" s="53"/>
      <c r="AO79" s="53"/>
      <c r="AP79" s="53"/>
      <c r="AQ79" s="53"/>
      <c r="AR79" s="62"/>
      <c r="AS79" s="62"/>
      <c r="AT79" s="53"/>
      <c r="AU79" s="62"/>
      <c r="AV79" s="62"/>
      <c r="AW79" s="62"/>
      <c r="AX79" s="62"/>
      <c r="AY79" s="62"/>
      <c r="AZ79" s="62"/>
      <c r="BA79" s="62"/>
    </row>
    <row r="80" spans="1:54" s="30" customFormat="1" ht="24.95" customHeight="1" x14ac:dyDescent="0.25">
      <c r="A80" s="51" t="s">
        <v>139</v>
      </c>
      <c r="B80" s="52" t="s">
        <v>70</v>
      </c>
      <c r="C80" s="53">
        <v>0</v>
      </c>
      <c r="D80" s="53">
        <v>5</v>
      </c>
      <c r="E80" s="53">
        <v>32</v>
      </c>
      <c r="F80" s="53"/>
      <c r="G80" s="55">
        <v>100</v>
      </c>
      <c r="H80" s="46">
        <v>44666</v>
      </c>
      <c r="I80" s="53"/>
      <c r="J80" s="53"/>
      <c r="K80" s="53"/>
      <c r="L80" s="53"/>
      <c r="M80" s="53"/>
      <c r="N80" s="56"/>
      <c r="O80" s="56"/>
      <c r="P80" s="57"/>
      <c r="Q80" s="58"/>
      <c r="R80" s="58"/>
      <c r="S80" s="57"/>
      <c r="T80" s="57"/>
      <c r="U80" s="58"/>
      <c r="V80" s="58"/>
      <c r="W80" s="59"/>
      <c r="X80" s="60"/>
      <c r="Y80" s="60"/>
      <c r="Z80" s="49"/>
      <c r="AA80" s="61"/>
      <c r="AB80" s="48"/>
      <c r="AC80" s="48"/>
      <c r="AD80" s="58"/>
      <c r="AK80" s="53"/>
      <c r="AL80" s="53"/>
      <c r="AM80" s="53"/>
      <c r="AN80" s="53"/>
      <c r="AO80" s="53"/>
      <c r="AP80" s="53"/>
      <c r="AQ80" s="53"/>
      <c r="AR80" s="62"/>
      <c r="AS80" s="62"/>
      <c r="AT80" s="53"/>
      <c r="AU80" s="62"/>
      <c r="AV80" s="62"/>
      <c r="AW80" s="62"/>
      <c r="AX80" s="62"/>
      <c r="AY80" s="62"/>
      <c r="AZ80" s="62"/>
      <c r="BA80" s="62"/>
    </row>
    <row r="81" spans="1:53" s="30" customFormat="1" ht="24.95" customHeight="1" x14ac:dyDescent="0.25">
      <c r="A81" s="51" t="s">
        <v>139</v>
      </c>
      <c r="B81" s="52" t="s">
        <v>51</v>
      </c>
      <c r="C81" s="53">
        <v>0</v>
      </c>
      <c r="D81" s="53">
        <v>3</v>
      </c>
      <c r="E81" s="53">
        <v>32</v>
      </c>
      <c r="F81" s="53"/>
      <c r="G81" s="55">
        <v>100</v>
      </c>
      <c r="H81" s="46">
        <v>44666</v>
      </c>
      <c r="I81" s="53"/>
      <c r="J81" s="53"/>
      <c r="K81" s="53"/>
      <c r="L81" s="53"/>
      <c r="M81" s="53"/>
      <c r="N81" s="56"/>
      <c r="O81" s="56"/>
      <c r="P81" s="57"/>
      <c r="Q81" s="58"/>
      <c r="R81" s="58"/>
      <c r="S81" s="57"/>
      <c r="T81" s="57"/>
      <c r="U81" s="58"/>
      <c r="V81" s="58"/>
      <c r="W81" s="59"/>
      <c r="X81" s="60"/>
      <c r="Y81" s="60"/>
      <c r="Z81" s="49"/>
      <c r="AA81" s="61"/>
      <c r="AB81" s="48"/>
      <c r="AC81" s="48"/>
      <c r="AD81" s="58"/>
      <c r="AK81" s="53"/>
      <c r="AL81" s="53"/>
      <c r="AM81" s="53"/>
      <c r="AN81" s="53"/>
      <c r="AO81" s="53"/>
      <c r="AP81" s="53"/>
      <c r="AQ81" s="53"/>
      <c r="AR81" s="62"/>
      <c r="AS81" s="62"/>
      <c r="AT81" s="53"/>
      <c r="AU81" s="62"/>
      <c r="AV81" s="62"/>
      <c r="AW81" s="62"/>
      <c r="AX81" s="62"/>
      <c r="AY81" s="62"/>
      <c r="AZ81" s="62"/>
      <c r="BA81" s="62"/>
    </row>
    <row r="82" spans="1:53" s="30" customFormat="1" ht="24.95" customHeight="1" x14ac:dyDescent="0.25">
      <c r="A82" s="51" t="s">
        <v>139</v>
      </c>
      <c r="B82" s="52" t="s">
        <v>56</v>
      </c>
      <c r="C82" s="53">
        <v>0</v>
      </c>
      <c r="D82" s="53">
        <v>7</v>
      </c>
      <c r="E82" s="53">
        <v>32</v>
      </c>
      <c r="F82" s="53"/>
      <c r="G82" s="55">
        <v>100</v>
      </c>
      <c r="H82" s="46">
        <v>44666</v>
      </c>
      <c r="I82" s="53"/>
      <c r="J82" s="53"/>
      <c r="K82" s="53"/>
      <c r="L82" s="53"/>
      <c r="M82" s="53"/>
      <c r="N82" s="56"/>
      <c r="O82" s="56"/>
      <c r="P82" s="57"/>
      <c r="Q82" s="58"/>
      <c r="R82" s="58"/>
      <c r="S82" s="57"/>
      <c r="T82" s="57"/>
      <c r="U82" s="58"/>
      <c r="V82" s="58"/>
      <c r="W82" s="59"/>
      <c r="X82" s="60"/>
      <c r="Y82" s="60"/>
      <c r="Z82" s="49"/>
      <c r="AA82" s="61"/>
      <c r="AB82" s="48"/>
      <c r="AC82" s="48"/>
      <c r="AD82" s="58"/>
      <c r="AK82" s="53"/>
      <c r="AL82" s="53"/>
      <c r="AM82" s="53"/>
      <c r="AN82" s="53"/>
      <c r="AO82" s="53"/>
      <c r="AP82" s="53"/>
      <c r="AQ82" s="53"/>
      <c r="AR82" s="62"/>
      <c r="AS82" s="62"/>
      <c r="AT82" s="53"/>
      <c r="AU82" s="62"/>
      <c r="AV82" s="62"/>
      <c r="AW82" s="62"/>
      <c r="AX82" s="62"/>
      <c r="AY82" s="62"/>
      <c r="AZ82" s="62"/>
      <c r="BA82" s="62"/>
    </row>
    <row r="83" spans="1:53" s="30" customFormat="1" ht="24.95" customHeight="1" x14ac:dyDescent="0.25">
      <c r="A83" s="51" t="s">
        <v>139</v>
      </c>
      <c r="B83" s="52" t="s">
        <v>56</v>
      </c>
      <c r="C83" s="53">
        <v>0</v>
      </c>
      <c r="D83" s="53">
        <v>8</v>
      </c>
      <c r="E83" s="53">
        <v>32</v>
      </c>
      <c r="F83" s="53"/>
      <c r="G83" s="55">
        <v>100</v>
      </c>
      <c r="H83" s="46">
        <v>44666</v>
      </c>
      <c r="I83" s="53"/>
      <c r="J83" s="53"/>
      <c r="K83" s="53"/>
      <c r="L83" s="53"/>
      <c r="M83" s="53"/>
      <c r="N83" s="56"/>
      <c r="O83" s="56"/>
      <c r="P83" s="57"/>
      <c r="Q83" s="58"/>
      <c r="R83" s="58"/>
      <c r="S83" s="57"/>
      <c r="T83" s="57"/>
      <c r="U83" s="58"/>
      <c r="V83" s="58"/>
      <c r="W83" s="59"/>
      <c r="X83" s="60"/>
      <c r="Y83" s="60"/>
      <c r="Z83" s="49"/>
      <c r="AA83" s="61"/>
      <c r="AB83" s="48"/>
      <c r="AC83" s="48"/>
      <c r="AD83" s="58"/>
      <c r="AK83" s="53"/>
      <c r="AL83" s="53"/>
      <c r="AM83" s="53"/>
      <c r="AN83" s="53"/>
      <c r="AO83" s="53"/>
      <c r="AP83" s="53"/>
      <c r="AQ83" s="53"/>
      <c r="AR83" s="62"/>
      <c r="AS83" s="62"/>
      <c r="AT83" s="53"/>
      <c r="AU83" s="62"/>
      <c r="AV83" s="62"/>
      <c r="AW83" s="62"/>
      <c r="AX83" s="62"/>
      <c r="AY83" s="62"/>
      <c r="AZ83" s="62"/>
      <c r="BA83" s="62"/>
    </row>
    <row r="84" spans="1:53" s="30" customFormat="1" ht="24.95" customHeight="1" x14ac:dyDescent="0.25">
      <c r="A84" s="51" t="s">
        <v>139</v>
      </c>
      <c r="B84" s="52" t="s">
        <v>74</v>
      </c>
      <c r="C84" s="53">
        <v>0</v>
      </c>
      <c r="D84" s="53">
        <v>6</v>
      </c>
      <c r="E84" s="53">
        <v>32</v>
      </c>
      <c r="F84" s="53"/>
      <c r="G84" s="55">
        <v>100</v>
      </c>
      <c r="H84" s="46">
        <v>44666</v>
      </c>
      <c r="I84" s="53"/>
      <c r="J84" s="53"/>
      <c r="K84" s="53"/>
      <c r="L84" s="53"/>
      <c r="M84" s="53"/>
      <c r="N84" s="56"/>
      <c r="O84" s="56"/>
      <c r="P84" s="57"/>
      <c r="Q84" s="58"/>
      <c r="R84" s="58"/>
      <c r="S84" s="57"/>
      <c r="T84" s="57"/>
      <c r="U84" s="58"/>
      <c r="V84" s="58"/>
      <c r="W84" s="59"/>
      <c r="X84" s="60"/>
      <c r="Y84" s="60"/>
      <c r="Z84" s="49"/>
      <c r="AA84" s="61"/>
      <c r="AB84" s="48"/>
      <c r="AC84" s="48"/>
      <c r="AD84" s="58"/>
      <c r="AK84" s="53"/>
      <c r="AL84" s="53"/>
      <c r="AM84" s="53"/>
      <c r="AN84" s="53"/>
      <c r="AO84" s="53"/>
      <c r="AP84" s="53"/>
      <c r="AQ84" s="53"/>
      <c r="AR84" s="62"/>
      <c r="AS84" s="62"/>
      <c r="AT84" s="53"/>
      <c r="AU84" s="62"/>
      <c r="AV84" s="62"/>
      <c r="AW84" s="62"/>
      <c r="AX84" s="62"/>
      <c r="AY84" s="62"/>
      <c r="AZ84" s="62"/>
      <c r="BA84" s="62"/>
    </row>
    <row r="85" spans="1:53" s="30" customFormat="1" ht="24.95" customHeight="1" x14ac:dyDescent="0.25">
      <c r="A85" s="51" t="s">
        <v>139</v>
      </c>
      <c r="B85" s="52" t="s">
        <v>82</v>
      </c>
      <c r="C85" s="53">
        <v>0</v>
      </c>
      <c r="D85" s="53">
        <v>4</v>
      </c>
      <c r="E85" s="53">
        <v>32</v>
      </c>
      <c r="F85" s="53"/>
      <c r="G85" s="55">
        <v>100</v>
      </c>
      <c r="H85" s="46">
        <v>44666</v>
      </c>
      <c r="I85" s="53"/>
      <c r="J85" s="53"/>
      <c r="K85" s="53"/>
      <c r="L85" s="53"/>
      <c r="M85" s="53"/>
      <c r="N85" s="56"/>
      <c r="O85" s="56"/>
      <c r="P85" s="57"/>
      <c r="Q85" s="58"/>
      <c r="R85" s="58"/>
      <c r="S85" s="57"/>
      <c r="T85" s="57"/>
      <c r="U85" s="58"/>
      <c r="V85" s="58"/>
      <c r="W85" s="59"/>
      <c r="X85" s="60"/>
      <c r="Y85" s="60"/>
      <c r="Z85" s="49"/>
      <c r="AA85" s="61"/>
      <c r="AB85" s="48"/>
      <c r="AC85" s="48"/>
      <c r="AD85" s="58"/>
      <c r="AK85" s="53"/>
      <c r="AL85" s="53"/>
      <c r="AM85" s="53"/>
      <c r="AN85" s="53"/>
      <c r="AO85" s="53"/>
      <c r="AP85" s="53"/>
      <c r="AQ85" s="53"/>
      <c r="AR85" s="62"/>
      <c r="AS85" s="62"/>
      <c r="AT85" s="53"/>
      <c r="AU85" s="62"/>
      <c r="AV85" s="62"/>
      <c r="AW85" s="62"/>
      <c r="AX85" s="62"/>
      <c r="AY85" s="62"/>
      <c r="AZ85" s="62"/>
      <c r="BA85" s="62"/>
    </row>
    <row r="86" spans="1:53" x14ac:dyDescent="0.25">
      <c r="A86" s="64"/>
      <c r="B86" s="11"/>
      <c r="C86" s="11"/>
      <c r="D86" s="11"/>
      <c r="E86" s="11"/>
      <c r="F86" s="11"/>
      <c r="G86" s="12"/>
      <c r="H86" s="12"/>
    </row>
    <row r="87" spans="1:53" x14ac:dyDescent="0.25">
      <c r="A87" s="64"/>
      <c r="B87" s="11"/>
      <c r="C87" s="11"/>
      <c r="D87" s="11"/>
      <c r="E87" s="11"/>
      <c r="F87" s="11"/>
      <c r="G87" s="12"/>
      <c r="H87" s="12"/>
    </row>
    <row r="88" spans="1:53" x14ac:dyDescent="0.25">
      <c r="A88" s="64"/>
      <c r="B88" s="11"/>
      <c r="C88" s="11"/>
      <c r="D88" s="11"/>
      <c r="E88" s="11"/>
      <c r="F88" s="11"/>
      <c r="G88" s="12"/>
      <c r="H88" s="12"/>
    </row>
    <row r="89" spans="1:53" x14ac:dyDescent="0.25">
      <c r="A89" s="64"/>
      <c r="B89" s="11"/>
      <c r="C89" s="11"/>
      <c r="D89" s="11"/>
      <c r="E89" s="11"/>
      <c r="F89" s="11"/>
      <c r="G89" s="12"/>
      <c r="H89" s="12"/>
    </row>
    <row r="90" spans="1:53" x14ac:dyDescent="0.25">
      <c r="A90" s="64"/>
      <c r="B90" s="11"/>
      <c r="C90" s="11"/>
      <c r="D90" s="11"/>
      <c r="E90" s="11"/>
      <c r="F90" s="11"/>
      <c r="G90" s="12"/>
      <c r="H90" s="12"/>
    </row>
    <row r="91" spans="1:53" x14ac:dyDescent="0.25">
      <c r="A91" s="64"/>
      <c r="B91" s="11"/>
      <c r="C91" s="11"/>
      <c r="D91" s="11"/>
      <c r="E91" s="11"/>
      <c r="F91" s="11"/>
      <c r="G91" s="12"/>
      <c r="H91" s="12"/>
    </row>
    <row r="92" spans="1:53" x14ac:dyDescent="0.25">
      <c r="A92" s="64"/>
      <c r="B92" s="11"/>
      <c r="C92" s="11"/>
      <c r="D92" s="11"/>
      <c r="E92" s="11"/>
      <c r="F92" s="11"/>
      <c r="G92" s="12"/>
      <c r="H92" s="12"/>
    </row>
    <row r="93" spans="1:53" x14ac:dyDescent="0.25">
      <c r="A93" s="64"/>
      <c r="B93" s="11"/>
      <c r="C93" s="11"/>
      <c r="D93" s="11"/>
      <c r="E93" s="11"/>
      <c r="F93" s="11"/>
      <c r="G93" s="12"/>
      <c r="H93" s="12"/>
    </row>
    <row r="94" spans="1:53" x14ac:dyDescent="0.25">
      <c r="A94" s="64"/>
      <c r="B94" s="11"/>
      <c r="C94" s="11"/>
      <c r="D94" s="11"/>
      <c r="E94" s="11"/>
      <c r="F94" s="11"/>
      <c r="G94" s="12"/>
      <c r="H94" s="12"/>
    </row>
    <row r="95" spans="1:53" x14ac:dyDescent="0.25">
      <c r="A95" s="64"/>
      <c r="B95" s="11"/>
      <c r="C95" s="11"/>
      <c r="D95" s="11"/>
      <c r="E95" s="11"/>
      <c r="F95" s="11"/>
      <c r="G95" s="12"/>
      <c r="H95" s="12"/>
    </row>
    <row r="96" spans="1:53" x14ac:dyDescent="0.25">
      <c r="A96" s="64"/>
      <c r="B96" s="11"/>
      <c r="C96" s="11"/>
      <c r="D96" s="11"/>
      <c r="E96" s="11"/>
      <c r="F96" s="11"/>
      <c r="G96" s="12"/>
      <c r="H96" s="12"/>
    </row>
    <row r="97" spans="1:8" x14ac:dyDescent="0.25">
      <c r="A97" s="64"/>
      <c r="B97" s="11"/>
      <c r="C97" s="11"/>
      <c r="D97" s="11"/>
      <c r="E97" s="11"/>
      <c r="F97" s="11"/>
      <c r="G97" s="12"/>
      <c r="H97" s="12"/>
    </row>
    <row r="98" spans="1:8" x14ac:dyDescent="0.25">
      <c r="A98" s="64"/>
      <c r="B98" s="11"/>
      <c r="C98" s="11"/>
      <c r="D98" s="11"/>
      <c r="E98" s="11"/>
      <c r="F98" s="11"/>
      <c r="G98" s="12"/>
      <c r="H98" s="12"/>
    </row>
    <row r="99" spans="1:8" x14ac:dyDescent="0.25">
      <c r="A99" s="64"/>
      <c r="B99" s="11"/>
      <c r="C99" s="11"/>
      <c r="D99" s="11"/>
      <c r="E99" s="11"/>
      <c r="F99" s="11"/>
      <c r="G99" s="12"/>
      <c r="H99" s="12"/>
    </row>
    <row r="100" spans="1:8" x14ac:dyDescent="0.25">
      <c r="A100" s="64"/>
      <c r="B100" s="11"/>
      <c r="C100" s="11"/>
      <c r="D100" s="11"/>
      <c r="E100" s="11"/>
      <c r="F100" s="11"/>
      <c r="G100" s="12"/>
      <c r="H100" s="12"/>
    </row>
    <row r="101" spans="1:8" x14ac:dyDescent="0.25">
      <c r="A101" s="64"/>
      <c r="B101" s="11"/>
      <c r="C101" s="11"/>
      <c r="D101" s="11"/>
      <c r="E101" s="11"/>
      <c r="F101" s="11"/>
      <c r="G101" s="12"/>
      <c r="H101" s="12"/>
    </row>
    <row r="102" spans="1:8" x14ac:dyDescent="0.25">
      <c r="A102" s="64"/>
      <c r="B102" s="11"/>
      <c r="C102" s="11"/>
      <c r="D102" s="11"/>
      <c r="E102" s="11"/>
      <c r="F102" s="11"/>
      <c r="G102" s="12"/>
      <c r="H102" s="12"/>
    </row>
    <row r="103" spans="1:8" x14ac:dyDescent="0.25">
      <c r="A103" s="64"/>
      <c r="B103" s="11"/>
      <c r="C103" s="11"/>
      <c r="D103" s="11"/>
      <c r="E103" s="11"/>
      <c r="F103" s="11"/>
      <c r="G103" s="12"/>
      <c r="H103" s="12"/>
    </row>
    <row r="104" spans="1:8" x14ac:dyDescent="0.25">
      <c r="A104" s="64"/>
      <c r="B104" s="11"/>
      <c r="C104" s="11"/>
      <c r="D104" s="11"/>
      <c r="E104" s="11"/>
      <c r="F104" s="11"/>
      <c r="G104" s="12"/>
      <c r="H104" s="12"/>
    </row>
    <row r="105" spans="1:8" x14ac:dyDescent="0.25">
      <c r="A105" s="64"/>
      <c r="B105" s="11"/>
      <c r="C105" s="11"/>
      <c r="D105" s="11"/>
      <c r="E105" s="11"/>
      <c r="F105" s="11"/>
      <c r="G105" s="12"/>
      <c r="H105" s="12"/>
    </row>
    <row r="106" spans="1:8" x14ac:dyDescent="0.25">
      <c r="A106" s="64"/>
      <c r="B106" s="11"/>
      <c r="C106" s="11"/>
      <c r="D106" s="11"/>
      <c r="E106" s="11"/>
      <c r="F106" s="11"/>
      <c r="G106" s="12"/>
      <c r="H106" s="12"/>
    </row>
    <row r="107" spans="1:8" x14ac:dyDescent="0.25">
      <c r="A107" s="64"/>
      <c r="B107" s="11"/>
      <c r="C107" s="11"/>
      <c r="D107" s="11"/>
      <c r="E107" s="11"/>
      <c r="F107" s="11"/>
      <c r="G107" s="12"/>
      <c r="H107" s="12"/>
    </row>
    <row r="108" spans="1:8" x14ac:dyDescent="0.25">
      <c r="A108" s="64"/>
      <c r="B108" s="11"/>
      <c r="C108" s="11"/>
      <c r="D108" s="11"/>
      <c r="E108" s="11"/>
      <c r="F108" s="11"/>
      <c r="G108" s="12"/>
      <c r="H108" s="12"/>
    </row>
    <row r="109" spans="1:8" x14ac:dyDescent="0.25">
      <c r="A109" s="64"/>
      <c r="B109" s="11"/>
      <c r="C109" s="11"/>
      <c r="D109" s="11"/>
      <c r="E109" s="11"/>
      <c r="F109" s="11"/>
      <c r="G109" s="12"/>
      <c r="H109" s="12"/>
    </row>
    <row r="110" spans="1:8" x14ac:dyDescent="0.25">
      <c r="A110" s="64"/>
      <c r="B110" s="11"/>
      <c r="C110" s="11"/>
      <c r="D110" s="11"/>
      <c r="E110" s="11"/>
      <c r="F110" s="11"/>
      <c r="G110" s="12"/>
      <c r="H110" s="12"/>
    </row>
    <row r="111" spans="1:8" x14ac:dyDescent="0.25">
      <c r="A111" s="64"/>
      <c r="B111" s="11"/>
      <c r="C111" s="11"/>
      <c r="D111" s="11"/>
      <c r="E111" s="11"/>
      <c r="F111" s="11"/>
      <c r="G111" s="12"/>
      <c r="H111" s="12"/>
    </row>
    <row r="112" spans="1:8" x14ac:dyDescent="0.25">
      <c r="A112" s="64"/>
      <c r="B112" s="11"/>
      <c r="C112" s="11"/>
      <c r="D112" s="11"/>
      <c r="E112" s="11"/>
      <c r="F112" s="11"/>
      <c r="G112" s="12"/>
      <c r="H112" s="12"/>
    </row>
    <row r="113" spans="1:8" x14ac:dyDescent="0.25">
      <c r="A113" s="64"/>
      <c r="B113" s="11"/>
      <c r="C113" s="11"/>
      <c r="D113" s="11"/>
      <c r="E113" s="11"/>
      <c r="F113" s="11"/>
      <c r="G113" s="12"/>
      <c r="H113" s="12"/>
    </row>
    <row r="114" spans="1:8" x14ac:dyDescent="0.25">
      <c r="A114" s="64"/>
      <c r="B114" s="11"/>
      <c r="C114" s="11"/>
      <c r="D114" s="11"/>
      <c r="E114" s="11"/>
      <c r="F114" s="11"/>
      <c r="G114" s="12"/>
      <c r="H114" s="12"/>
    </row>
    <row r="115" spans="1:8" x14ac:dyDescent="0.25">
      <c r="A115" s="64"/>
      <c r="B115" s="11"/>
      <c r="C115" s="11"/>
      <c r="D115" s="11"/>
      <c r="E115" s="11"/>
      <c r="F115" s="11"/>
      <c r="G115" s="12"/>
      <c r="H115" s="12"/>
    </row>
    <row r="116" spans="1:8" x14ac:dyDescent="0.25">
      <c r="A116" s="64"/>
      <c r="B116" s="11"/>
      <c r="C116" s="11"/>
      <c r="D116" s="11"/>
      <c r="E116" s="11"/>
      <c r="F116" s="11"/>
      <c r="G116" s="12"/>
      <c r="H116" s="12"/>
    </row>
    <row r="117" spans="1:8" x14ac:dyDescent="0.25">
      <c r="A117" s="64"/>
      <c r="B117" s="11"/>
      <c r="C117" s="11"/>
      <c r="D117" s="11"/>
      <c r="E117" s="11"/>
      <c r="F117" s="11"/>
      <c r="G117" s="12"/>
      <c r="H117" s="12"/>
    </row>
    <row r="118" spans="1:8" x14ac:dyDescent="0.25">
      <c r="A118" s="64"/>
      <c r="B118" s="11"/>
      <c r="C118" s="11"/>
      <c r="D118" s="11"/>
      <c r="E118" s="11"/>
      <c r="F118" s="11"/>
      <c r="G118" s="12"/>
      <c r="H118" s="12"/>
    </row>
    <row r="119" spans="1:8" x14ac:dyDescent="0.25">
      <c r="A119" s="64"/>
      <c r="B119" s="11"/>
      <c r="C119" s="11"/>
      <c r="D119" s="11"/>
      <c r="E119" s="11"/>
      <c r="F119" s="11"/>
      <c r="G119" s="12"/>
      <c r="H119" s="12"/>
    </row>
    <row r="120" spans="1:8" x14ac:dyDescent="0.25">
      <c r="A120" s="64"/>
      <c r="B120" s="11"/>
      <c r="C120" s="11"/>
      <c r="D120" s="11"/>
      <c r="E120" s="11"/>
      <c r="F120" s="11"/>
      <c r="G120" s="12"/>
      <c r="H120" s="12"/>
    </row>
    <row r="121" spans="1:8" x14ac:dyDescent="0.25">
      <c r="A121" s="64"/>
      <c r="B121" s="11"/>
      <c r="C121" s="11"/>
      <c r="D121" s="11"/>
      <c r="E121" s="11"/>
      <c r="F121" s="11"/>
      <c r="G121" s="12"/>
      <c r="H121" s="12"/>
    </row>
    <row r="122" spans="1:8" x14ac:dyDescent="0.25">
      <c r="A122" s="64"/>
      <c r="B122" s="11"/>
      <c r="C122" s="11"/>
      <c r="D122" s="11"/>
      <c r="E122" s="11"/>
      <c r="F122" s="11"/>
      <c r="G122" s="12"/>
      <c r="H122" s="12"/>
    </row>
    <row r="123" spans="1:8" x14ac:dyDescent="0.25">
      <c r="A123" s="64"/>
      <c r="B123" s="11"/>
      <c r="C123" s="11"/>
      <c r="D123" s="11"/>
      <c r="E123" s="11"/>
      <c r="F123" s="11"/>
      <c r="G123" s="12"/>
      <c r="H123" s="12"/>
    </row>
    <row r="124" spans="1:8" x14ac:dyDescent="0.25">
      <c r="A124" s="64"/>
      <c r="B124" s="11"/>
      <c r="C124" s="11"/>
      <c r="D124" s="11"/>
      <c r="E124" s="11"/>
      <c r="F124" s="11"/>
      <c r="G124" s="12"/>
      <c r="H124" s="12"/>
    </row>
    <row r="125" spans="1:8" x14ac:dyDescent="0.25">
      <c r="A125" s="64"/>
      <c r="B125" s="11"/>
      <c r="C125" s="11"/>
      <c r="D125" s="11"/>
      <c r="E125" s="11"/>
      <c r="F125" s="11"/>
      <c r="G125" s="12"/>
      <c r="H125" s="12"/>
    </row>
    <row r="126" spans="1:8" x14ac:dyDescent="0.25">
      <c r="A126" s="64"/>
      <c r="B126" s="11"/>
      <c r="C126" s="11"/>
      <c r="D126" s="11"/>
      <c r="E126" s="11"/>
      <c r="F126" s="11"/>
      <c r="G126" s="12"/>
      <c r="H126" s="12"/>
    </row>
    <row r="127" spans="1:8" x14ac:dyDescent="0.25">
      <c r="A127" s="64"/>
      <c r="B127" s="11"/>
      <c r="C127" s="11"/>
      <c r="D127" s="11"/>
      <c r="E127" s="11"/>
      <c r="F127" s="11"/>
      <c r="G127" s="12"/>
      <c r="H127" s="12"/>
    </row>
    <row r="128" spans="1:8" x14ac:dyDescent="0.25">
      <c r="A128" s="64"/>
      <c r="B128" s="11"/>
      <c r="C128" s="11"/>
      <c r="D128" s="11"/>
      <c r="E128" s="11"/>
      <c r="F128" s="11"/>
      <c r="G128" s="12"/>
      <c r="H128" s="12"/>
    </row>
    <row r="129" spans="1:8" x14ac:dyDescent="0.25">
      <c r="A129" s="64"/>
      <c r="B129" s="11"/>
      <c r="C129" s="11"/>
      <c r="D129" s="11"/>
      <c r="E129" s="11"/>
      <c r="F129" s="11"/>
      <c r="G129" s="12"/>
      <c r="H129" s="12"/>
    </row>
    <row r="130" spans="1:8" x14ac:dyDescent="0.25">
      <c r="A130" s="64"/>
      <c r="B130" s="11"/>
      <c r="C130" s="11"/>
      <c r="D130" s="11"/>
      <c r="E130" s="11"/>
      <c r="F130" s="11"/>
      <c r="G130" s="12"/>
      <c r="H130" s="12"/>
    </row>
    <row r="131" spans="1:8" x14ac:dyDescent="0.25">
      <c r="A131" s="64"/>
      <c r="B131" s="11"/>
      <c r="C131" s="11"/>
      <c r="D131" s="11"/>
      <c r="E131" s="11"/>
      <c r="F131" s="11"/>
      <c r="G131" s="12"/>
      <c r="H131" s="12"/>
    </row>
    <row r="132" spans="1:8" x14ac:dyDescent="0.25">
      <c r="A132" s="64"/>
      <c r="B132" s="11"/>
      <c r="C132" s="11"/>
      <c r="D132" s="11"/>
      <c r="E132" s="11"/>
      <c r="F132" s="11"/>
      <c r="G132" s="12"/>
      <c r="H132" s="12"/>
    </row>
    <row r="133" spans="1:8" x14ac:dyDescent="0.25">
      <c r="A133" s="64"/>
      <c r="B133" s="11"/>
      <c r="C133" s="11"/>
      <c r="D133" s="11"/>
      <c r="E133" s="11"/>
      <c r="F133" s="11"/>
      <c r="G133" s="12"/>
      <c r="H133" s="12"/>
    </row>
    <row r="134" spans="1:8" x14ac:dyDescent="0.25">
      <c r="A134" s="64"/>
      <c r="B134" s="11"/>
      <c r="C134" s="11"/>
      <c r="D134" s="11"/>
      <c r="E134" s="11"/>
      <c r="F134" s="11"/>
      <c r="G134" s="12"/>
      <c r="H134" s="12"/>
    </row>
    <row r="135" spans="1:8" x14ac:dyDescent="0.25">
      <c r="A135" s="64"/>
      <c r="B135" s="11"/>
      <c r="C135" s="11"/>
      <c r="D135" s="11"/>
      <c r="E135" s="11"/>
      <c r="F135" s="11"/>
      <c r="G135" s="12"/>
      <c r="H135" s="12"/>
    </row>
    <row r="136" spans="1:8" x14ac:dyDescent="0.25">
      <c r="A136" s="64"/>
      <c r="B136" s="11"/>
      <c r="C136" s="11"/>
      <c r="D136" s="11"/>
      <c r="E136" s="11"/>
      <c r="F136" s="11"/>
      <c r="G136" s="12"/>
      <c r="H136" s="12"/>
    </row>
    <row r="137" spans="1:8" x14ac:dyDescent="0.25">
      <c r="A137" s="64"/>
      <c r="B137" s="11"/>
      <c r="C137" s="11"/>
      <c r="D137" s="11"/>
      <c r="E137" s="11"/>
      <c r="F137" s="11"/>
      <c r="G137" s="12"/>
      <c r="H137" s="12"/>
    </row>
    <row r="138" spans="1:8" x14ac:dyDescent="0.25">
      <c r="A138" s="64"/>
      <c r="B138" s="11"/>
      <c r="C138" s="11"/>
      <c r="D138" s="11"/>
      <c r="E138" s="11"/>
      <c r="F138" s="11"/>
      <c r="G138" s="12"/>
      <c r="H138" s="12"/>
    </row>
    <row r="139" spans="1:8" x14ac:dyDescent="0.25">
      <c r="A139" s="64"/>
      <c r="B139" s="11"/>
      <c r="C139" s="11"/>
      <c r="D139" s="11"/>
      <c r="E139" s="11"/>
      <c r="F139" s="11"/>
      <c r="G139" s="12"/>
      <c r="H139" s="12"/>
    </row>
    <row r="140" spans="1:8" x14ac:dyDescent="0.25">
      <c r="A140" s="64"/>
      <c r="B140" s="11"/>
      <c r="C140" s="11"/>
      <c r="D140" s="11"/>
      <c r="E140" s="11"/>
      <c r="F140" s="11"/>
      <c r="G140" s="12"/>
      <c r="H140" s="12"/>
    </row>
    <row r="141" spans="1:8" x14ac:dyDescent="0.25">
      <c r="A141" s="64"/>
      <c r="B141" s="11"/>
      <c r="C141" s="11"/>
      <c r="D141" s="11"/>
      <c r="E141" s="11"/>
      <c r="F141" s="11"/>
      <c r="G141" s="12"/>
      <c r="H141" s="12"/>
    </row>
    <row r="142" spans="1:8" x14ac:dyDescent="0.25">
      <c r="A142" s="64"/>
      <c r="B142" s="11"/>
      <c r="C142" s="11"/>
      <c r="D142" s="11"/>
      <c r="E142" s="11"/>
      <c r="F142" s="11"/>
      <c r="G142" s="12"/>
      <c r="H142" s="12"/>
    </row>
    <row r="143" spans="1:8" x14ac:dyDescent="0.25">
      <c r="A143" s="64"/>
      <c r="B143" s="11"/>
      <c r="C143" s="11"/>
      <c r="D143" s="11"/>
      <c r="E143" s="11"/>
      <c r="F143" s="11"/>
      <c r="G143" s="12"/>
      <c r="H143" s="12"/>
    </row>
    <row r="144" spans="1:8" x14ac:dyDescent="0.25">
      <c r="A144" s="64"/>
      <c r="B144" s="11"/>
      <c r="C144" s="11"/>
      <c r="D144" s="11"/>
      <c r="E144" s="11"/>
      <c r="F144" s="11"/>
      <c r="G144" s="12"/>
      <c r="H144" s="12"/>
    </row>
    <row r="145" spans="1:8" x14ac:dyDescent="0.25">
      <c r="A145" s="64"/>
      <c r="B145" s="11"/>
      <c r="C145" s="11"/>
      <c r="D145" s="11"/>
      <c r="E145" s="11"/>
      <c r="F145" s="11"/>
      <c r="G145" s="12"/>
      <c r="H145" s="12"/>
    </row>
    <row r="146" spans="1:8" x14ac:dyDescent="0.25">
      <c r="A146" s="64"/>
      <c r="B146" s="11"/>
      <c r="C146" s="11"/>
      <c r="D146" s="11"/>
      <c r="E146" s="11"/>
      <c r="F146" s="11"/>
      <c r="G146" s="12"/>
      <c r="H146" s="12"/>
    </row>
    <row r="147" spans="1:8" x14ac:dyDescent="0.25">
      <c r="A147" s="64"/>
      <c r="B147" s="11"/>
      <c r="C147" s="11"/>
      <c r="D147" s="11"/>
      <c r="E147" s="11"/>
      <c r="F147" s="11"/>
      <c r="G147" s="12"/>
      <c r="H147" s="12"/>
    </row>
    <row r="148" spans="1:8" x14ac:dyDescent="0.25">
      <c r="A148" s="64"/>
      <c r="B148" s="11"/>
      <c r="C148" s="11"/>
      <c r="D148" s="11"/>
      <c r="E148" s="11"/>
      <c r="F148" s="11"/>
      <c r="G148" s="12"/>
      <c r="H148" s="12"/>
    </row>
    <row r="149" spans="1:8" x14ac:dyDescent="0.25">
      <c r="A149" s="64"/>
      <c r="B149" s="11"/>
      <c r="C149" s="11"/>
      <c r="D149" s="11"/>
      <c r="E149" s="11"/>
      <c r="F149" s="11"/>
      <c r="G149" s="12"/>
      <c r="H149" s="12"/>
    </row>
    <row r="150" spans="1:8" x14ac:dyDescent="0.25">
      <c r="A150" s="64"/>
      <c r="B150" s="11"/>
      <c r="C150" s="11"/>
      <c r="D150" s="11"/>
      <c r="E150" s="11"/>
      <c r="F150" s="11"/>
      <c r="G150" s="12"/>
      <c r="H150" s="12"/>
    </row>
    <row r="151" spans="1:8" x14ac:dyDescent="0.25">
      <c r="A151" s="64"/>
      <c r="B151" s="11"/>
      <c r="C151" s="11"/>
      <c r="D151" s="11"/>
      <c r="E151" s="11"/>
      <c r="F151" s="11"/>
      <c r="G151" s="12"/>
      <c r="H151" s="12"/>
    </row>
    <row r="152" spans="1:8" x14ac:dyDescent="0.25">
      <c r="A152" s="64"/>
      <c r="B152" s="11"/>
      <c r="C152" s="11"/>
      <c r="D152" s="11"/>
      <c r="E152" s="11"/>
      <c r="F152" s="11"/>
      <c r="G152" s="12"/>
      <c r="H152" s="12"/>
    </row>
    <row r="153" spans="1:8" x14ac:dyDescent="0.25">
      <c r="A153" s="64"/>
      <c r="B153" s="11"/>
      <c r="C153" s="11"/>
      <c r="D153" s="11"/>
      <c r="E153" s="11"/>
      <c r="F153" s="11"/>
      <c r="G153" s="12"/>
      <c r="H153" s="12"/>
    </row>
    <row r="154" spans="1:8" x14ac:dyDescent="0.25">
      <c r="A154" s="64"/>
      <c r="B154" s="11"/>
      <c r="C154" s="11"/>
      <c r="D154" s="11"/>
      <c r="E154" s="11"/>
      <c r="F154" s="11"/>
      <c r="G154" s="12"/>
      <c r="H154" s="12"/>
    </row>
    <row r="155" spans="1:8" x14ac:dyDescent="0.25">
      <c r="A155" s="64"/>
      <c r="B155" s="11"/>
      <c r="C155" s="11"/>
      <c r="D155" s="11"/>
      <c r="E155" s="11"/>
      <c r="F155" s="11"/>
      <c r="G155" s="12"/>
      <c r="H155" s="12"/>
    </row>
    <row r="156" spans="1:8" x14ac:dyDescent="0.25">
      <c r="A156" s="64"/>
      <c r="B156" s="11"/>
      <c r="C156" s="11"/>
      <c r="D156" s="11"/>
      <c r="E156" s="11"/>
      <c r="F156" s="11"/>
      <c r="G156" s="12"/>
      <c r="H156" s="12"/>
    </row>
    <row r="157" spans="1:8" x14ac:dyDescent="0.25">
      <c r="A157" s="64"/>
      <c r="B157" s="11"/>
      <c r="C157" s="11"/>
      <c r="D157" s="11"/>
      <c r="E157" s="11"/>
      <c r="F157" s="11"/>
      <c r="G157" s="12"/>
      <c r="H157" s="12"/>
    </row>
    <row r="158" spans="1:8" x14ac:dyDescent="0.25">
      <c r="A158" s="64"/>
      <c r="B158" s="11"/>
      <c r="C158" s="11"/>
      <c r="D158" s="11"/>
      <c r="E158" s="11"/>
      <c r="F158" s="11"/>
      <c r="G158" s="12"/>
      <c r="H158" s="12"/>
    </row>
    <row r="159" spans="1:8" x14ac:dyDescent="0.25">
      <c r="A159" s="64"/>
      <c r="B159" s="11"/>
      <c r="C159" s="11"/>
      <c r="D159" s="11"/>
      <c r="E159" s="11"/>
      <c r="F159" s="11"/>
      <c r="G159" s="12"/>
      <c r="H159" s="12"/>
    </row>
    <row r="160" spans="1:8" x14ac:dyDescent="0.25">
      <c r="A160" s="64"/>
      <c r="B160" s="11"/>
      <c r="C160" s="11"/>
      <c r="D160" s="11"/>
      <c r="E160" s="11"/>
      <c r="F160" s="11"/>
      <c r="G160" s="12"/>
      <c r="H160" s="12"/>
    </row>
    <row r="161" spans="1:8" x14ac:dyDescent="0.25">
      <c r="A161" s="64"/>
      <c r="B161" s="11"/>
      <c r="C161" s="11"/>
      <c r="D161" s="11"/>
      <c r="E161" s="11"/>
      <c r="F161" s="11"/>
      <c r="G161" s="12"/>
      <c r="H161" s="12"/>
    </row>
    <row r="162" spans="1:8" x14ac:dyDescent="0.25">
      <c r="A162" s="64"/>
      <c r="B162" s="11"/>
      <c r="C162" s="11"/>
      <c r="D162" s="11"/>
      <c r="E162" s="11"/>
      <c r="F162" s="11"/>
      <c r="G162" s="12"/>
      <c r="H162" s="12"/>
    </row>
    <row r="163" spans="1:8" x14ac:dyDescent="0.25">
      <c r="A163" s="64"/>
      <c r="B163" s="11"/>
      <c r="C163" s="11"/>
      <c r="D163" s="11"/>
      <c r="E163" s="11"/>
      <c r="F163" s="11"/>
      <c r="G163" s="12"/>
      <c r="H163" s="12"/>
    </row>
    <row r="164" spans="1:8" x14ac:dyDescent="0.25">
      <c r="A164" s="64"/>
      <c r="B164" s="11"/>
      <c r="C164" s="11"/>
      <c r="D164" s="11"/>
      <c r="E164" s="11"/>
      <c r="F164" s="11"/>
      <c r="G164" s="12"/>
      <c r="H164" s="12"/>
    </row>
    <row r="165" spans="1:8" x14ac:dyDescent="0.25">
      <c r="A165" s="64"/>
      <c r="B165" s="11"/>
      <c r="C165" s="11"/>
      <c r="D165" s="11"/>
      <c r="E165" s="11"/>
      <c r="F165" s="11"/>
      <c r="G165" s="12"/>
      <c r="H165" s="12"/>
    </row>
    <row r="166" spans="1:8" x14ac:dyDescent="0.25">
      <c r="A166" s="64"/>
      <c r="B166" s="11"/>
      <c r="C166" s="11"/>
      <c r="D166" s="11"/>
      <c r="E166" s="11"/>
      <c r="F166" s="11"/>
      <c r="G166" s="12"/>
      <c r="H166" s="12"/>
    </row>
    <row r="167" spans="1:8" x14ac:dyDescent="0.25">
      <c r="A167" s="64"/>
      <c r="B167" s="11"/>
      <c r="C167" s="11"/>
      <c r="D167" s="11"/>
      <c r="E167" s="11"/>
      <c r="F167" s="11"/>
      <c r="G167" s="12"/>
      <c r="H167" s="12"/>
    </row>
    <row r="168" spans="1:8" x14ac:dyDescent="0.25">
      <c r="A168" s="64"/>
      <c r="B168" s="11"/>
      <c r="C168" s="11"/>
      <c r="D168" s="11"/>
      <c r="E168" s="11"/>
      <c r="F168" s="11"/>
      <c r="G168" s="12"/>
      <c r="H168" s="12"/>
    </row>
    <row r="169" spans="1:8" x14ac:dyDescent="0.25">
      <c r="A169" s="64"/>
      <c r="B169" s="11"/>
      <c r="C169" s="11"/>
      <c r="D169" s="11"/>
      <c r="E169" s="11"/>
      <c r="F169" s="11"/>
      <c r="G169" s="12"/>
      <c r="H169" s="12"/>
    </row>
    <row r="170" spans="1:8" x14ac:dyDescent="0.25">
      <c r="A170" s="64"/>
      <c r="B170" s="11"/>
      <c r="C170" s="11"/>
      <c r="D170" s="11"/>
      <c r="E170" s="11"/>
      <c r="F170" s="11"/>
      <c r="G170" s="12"/>
      <c r="H170" s="12"/>
    </row>
    <row r="171" spans="1:8" x14ac:dyDescent="0.25">
      <c r="A171" s="64"/>
      <c r="B171" s="11"/>
      <c r="C171" s="11"/>
      <c r="D171" s="11"/>
      <c r="E171" s="11"/>
      <c r="F171" s="11"/>
      <c r="G171" s="12"/>
      <c r="H171" s="12"/>
    </row>
    <row r="172" spans="1:8" x14ac:dyDescent="0.25">
      <c r="A172" s="64"/>
      <c r="B172" s="11"/>
      <c r="C172" s="11"/>
      <c r="D172" s="11"/>
      <c r="E172" s="11"/>
      <c r="F172" s="11"/>
      <c r="G172" s="12"/>
      <c r="H172" s="12"/>
    </row>
    <row r="173" spans="1:8" x14ac:dyDescent="0.25">
      <c r="A173" s="64"/>
      <c r="B173" s="11"/>
      <c r="C173" s="11"/>
      <c r="D173" s="11"/>
      <c r="E173" s="11"/>
      <c r="F173" s="11"/>
      <c r="G173" s="12"/>
      <c r="H173" s="12"/>
    </row>
    <row r="174" spans="1:8" x14ac:dyDescent="0.25">
      <c r="A174" s="64"/>
      <c r="B174" s="11"/>
      <c r="C174" s="11"/>
      <c r="D174" s="11"/>
      <c r="E174" s="11"/>
      <c r="F174" s="11"/>
      <c r="G174" s="12"/>
      <c r="H174" s="12"/>
    </row>
    <row r="175" spans="1:8" x14ac:dyDescent="0.25">
      <c r="A175" s="64"/>
      <c r="B175" s="11"/>
      <c r="C175" s="11"/>
      <c r="D175" s="11"/>
      <c r="E175" s="11"/>
      <c r="F175" s="11"/>
      <c r="G175" s="12"/>
      <c r="H175" s="12"/>
    </row>
    <row r="176" spans="1:8" x14ac:dyDescent="0.25">
      <c r="A176" s="64"/>
      <c r="B176" s="11"/>
      <c r="C176" s="11"/>
      <c r="D176" s="11"/>
      <c r="E176" s="11"/>
      <c r="F176" s="11"/>
      <c r="G176" s="12"/>
      <c r="H176" s="12"/>
    </row>
    <row r="177" spans="1:8" x14ac:dyDescent="0.25">
      <c r="A177" s="64"/>
      <c r="B177" s="11"/>
      <c r="C177" s="11"/>
      <c r="D177" s="11"/>
      <c r="E177" s="11"/>
      <c r="F177" s="11"/>
      <c r="G177" s="12"/>
      <c r="H177" s="12"/>
    </row>
    <row r="178" spans="1:8" x14ac:dyDescent="0.25">
      <c r="A178" s="64"/>
      <c r="B178" s="11"/>
      <c r="C178" s="11"/>
      <c r="D178" s="11"/>
      <c r="E178" s="11"/>
      <c r="F178" s="11"/>
      <c r="G178" s="12"/>
      <c r="H178" s="12"/>
    </row>
    <row r="179" spans="1:8" x14ac:dyDescent="0.25">
      <c r="A179" s="64"/>
      <c r="B179" s="11"/>
      <c r="C179" s="11"/>
      <c r="D179" s="11"/>
      <c r="E179" s="11"/>
      <c r="F179" s="11"/>
      <c r="G179" s="12"/>
      <c r="H179" s="12"/>
    </row>
    <row r="180" spans="1:8" x14ac:dyDescent="0.25">
      <c r="A180" s="64"/>
      <c r="B180" s="11"/>
      <c r="C180" s="11"/>
      <c r="D180" s="11"/>
      <c r="E180" s="11"/>
      <c r="F180" s="11"/>
      <c r="G180" s="12"/>
      <c r="H180" s="12"/>
    </row>
    <row r="181" spans="1:8" x14ac:dyDescent="0.25">
      <c r="A181" s="64"/>
      <c r="B181" s="11"/>
      <c r="C181" s="11"/>
      <c r="D181" s="11"/>
      <c r="E181" s="11"/>
      <c r="F181" s="11"/>
      <c r="G181" s="12"/>
      <c r="H181" s="12"/>
    </row>
    <row r="182" spans="1:8" x14ac:dyDescent="0.25">
      <c r="A182" s="64"/>
      <c r="B182" s="11"/>
      <c r="C182" s="11"/>
      <c r="D182" s="11"/>
      <c r="E182" s="11"/>
      <c r="F182" s="11"/>
      <c r="G182" s="12"/>
      <c r="H182" s="12"/>
    </row>
    <row r="183" spans="1:8" x14ac:dyDescent="0.25">
      <c r="A183" s="64"/>
      <c r="B183" s="11"/>
      <c r="C183" s="11"/>
      <c r="D183" s="11"/>
      <c r="E183" s="11"/>
      <c r="F183" s="11"/>
      <c r="G183" s="12"/>
      <c r="H183" s="12"/>
    </row>
    <row r="184" spans="1:8" x14ac:dyDescent="0.25">
      <c r="A184" s="64"/>
      <c r="B184" s="11"/>
      <c r="C184" s="11"/>
      <c r="D184" s="11"/>
      <c r="E184" s="11"/>
      <c r="F184" s="11"/>
      <c r="G184" s="12"/>
      <c r="H184" s="12"/>
    </row>
    <row r="185" spans="1:8" x14ac:dyDescent="0.25">
      <c r="A185" s="64"/>
      <c r="B185" s="11"/>
      <c r="C185" s="11"/>
      <c r="D185" s="11"/>
      <c r="E185" s="11"/>
      <c r="F185" s="11"/>
      <c r="G185" s="12"/>
      <c r="H185" s="12"/>
    </row>
    <row r="186" spans="1:8" x14ac:dyDescent="0.25">
      <c r="A186" s="64"/>
      <c r="B186" s="11"/>
      <c r="C186" s="11"/>
      <c r="D186" s="11"/>
      <c r="E186" s="11"/>
      <c r="F186" s="11"/>
      <c r="G186" s="12"/>
      <c r="H186" s="12"/>
    </row>
    <row r="187" spans="1:8" x14ac:dyDescent="0.25">
      <c r="A187" s="64"/>
      <c r="B187" s="11"/>
      <c r="C187" s="11"/>
      <c r="D187" s="11"/>
      <c r="E187" s="11"/>
      <c r="F187" s="11"/>
      <c r="G187" s="12"/>
      <c r="H187" s="12"/>
    </row>
    <row r="188" spans="1:8" x14ac:dyDescent="0.25">
      <c r="A188" s="64"/>
      <c r="B188" s="11"/>
      <c r="C188" s="11"/>
      <c r="D188" s="11"/>
      <c r="E188" s="11"/>
      <c r="F188" s="11"/>
      <c r="G188" s="12"/>
      <c r="H188" s="12"/>
    </row>
    <row r="189" spans="1:8" x14ac:dyDescent="0.25">
      <c r="A189" s="64"/>
      <c r="B189" s="11"/>
      <c r="C189" s="11"/>
      <c r="D189" s="11"/>
      <c r="E189" s="11"/>
      <c r="F189" s="11"/>
      <c r="G189" s="12"/>
      <c r="H189" s="12"/>
    </row>
    <row r="190" spans="1:8" x14ac:dyDescent="0.25">
      <c r="A190" s="64"/>
      <c r="B190" s="11"/>
      <c r="C190" s="11"/>
      <c r="D190" s="11"/>
      <c r="E190" s="11"/>
      <c r="F190" s="11"/>
      <c r="G190" s="12"/>
      <c r="H190" s="12"/>
    </row>
    <row r="191" spans="1:8" x14ac:dyDescent="0.25">
      <c r="A191" s="64"/>
      <c r="B191" s="11"/>
      <c r="C191" s="11"/>
      <c r="D191" s="11"/>
      <c r="E191" s="11"/>
      <c r="F191" s="11"/>
      <c r="G191" s="12"/>
      <c r="H191" s="12"/>
    </row>
    <row r="192" spans="1:8" x14ac:dyDescent="0.25">
      <c r="A192" s="64"/>
      <c r="B192" s="11"/>
      <c r="C192" s="11"/>
      <c r="D192" s="11"/>
      <c r="E192" s="11"/>
      <c r="F192" s="11"/>
      <c r="G192" s="12"/>
      <c r="H192" s="12"/>
    </row>
    <row r="193" spans="1:8" x14ac:dyDescent="0.25">
      <c r="A193" s="64"/>
      <c r="B193" s="11"/>
      <c r="C193" s="11"/>
      <c r="D193" s="11"/>
      <c r="E193" s="11"/>
      <c r="F193" s="11"/>
      <c r="G193" s="12"/>
      <c r="H193" s="12"/>
    </row>
    <row r="194" spans="1:8" x14ac:dyDescent="0.25">
      <c r="A194" s="64"/>
      <c r="B194" s="11"/>
      <c r="C194" s="11"/>
      <c r="D194" s="11"/>
      <c r="E194" s="11"/>
      <c r="F194" s="11"/>
      <c r="G194" s="12"/>
      <c r="H194" s="12"/>
    </row>
    <row r="195" spans="1:8" x14ac:dyDescent="0.25">
      <c r="A195" s="64"/>
      <c r="B195" s="11"/>
      <c r="C195" s="11"/>
      <c r="D195" s="11"/>
      <c r="E195" s="11"/>
      <c r="F195" s="11"/>
      <c r="G195" s="12"/>
      <c r="H195" s="12"/>
    </row>
    <row r="196" spans="1:8" x14ac:dyDescent="0.25">
      <c r="A196" s="64"/>
      <c r="B196" s="11"/>
      <c r="C196" s="11"/>
      <c r="D196" s="11"/>
      <c r="E196" s="11"/>
      <c r="F196" s="11"/>
      <c r="G196" s="12"/>
      <c r="H196" s="12"/>
    </row>
    <row r="197" spans="1:8" x14ac:dyDescent="0.25">
      <c r="A197" s="64"/>
      <c r="B197" s="11"/>
      <c r="C197" s="11"/>
      <c r="D197" s="11"/>
      <c r="E197" s="11"/>
      <c r="F197" s="11"/>
      <c r="G197" s="12"/>
      <c r="H197" s="12"/>
    </row>
    <row r="198" spans="1:8" x14ac:dyDescent="0.25">
      <c r="A198" s="64"/>
      <c r="B198" s="11"/>
      <c r="C198" s="11"/>
      <c r="D198" s="11"/>
      <c r="E198" s="11"/>
      <c r="F198" s="11"/>
      <c r="G198" s="12"/>
      <c r="H198" s="12"/>
    </row>
    <row r="199" spans="1:8" x14ac:dyDescent="0.25">
      <c r="A199" s="64"/>
      <c r="B199" s="11"/>
      <c r="C199" s="11"/>
      <c r="D199" s="11"/>
      <c r="E199" s="11"/>
      <c r="F199" s="11"/>
      <c r="G199" s="12"/>
      <c r="H199" s="12"/>
    </row>
    <row r="200" spans="1:8" x14ac:dyDescent="0.25">
      <c r="A200" s="64"/>
      <c r="B200" s="11"/>
      <c r="C200" s="11"/>
      <c r="D200" s="11"/>
      <c r="E200" s="11"/>
      <c r="F200" s="11"/>
      <c r="G200" s="12"/>
      <c r="H200" s="12"/>
    </row>
    <row r="201" spans="1:8" x14ac:dyDescent="0.25">
      <c r="A201" s="64"/>
      <c r="B201" s="11"/>
      <c r="C201" s="11"/>
      <c r="D201" s="11"/>
      <c r="E201" s="11"/>
      <c r="F201" s="11"/>
      <c r="G201" s="12"/>
      <c r="H201" s="12"/>
    </row>
    <row r="202" spans="1:8" x14ac:dyDescent="0.25">
      <c r="A202" s="64"/>
      <c r="B202" s="11"/>
      <c r="C202" s="11"/>
      <c r="D202" s="11"/>
      <c r="E202" s="11"/>
      <c r="F202" s="11"/>
      <c r="G202" s="12"/>
      <c r="H202" s="12"/>
    </row>
    <row r="203" spans="1:8" x14ac:dyDescent="0.25">
      <c r="A203" s="64"/>
      <c r="B203" s="11"/>
      <c r="C203" s="11"/>
      <c r="D203" s="11"/>
      <c r="E203" s="11"/>
      <c r="F203" s="11"/>
      <c r="G203" s="12"/>
      <c r="H203" s="12"/>
    </row>
    <row r="204" spans="1:8" x14ac:dyDescent="0.25">
      <c r="A204" s="64"/>
      <c r="B204" s="11"/>
      <c r="C204" s="11"/>
      <c r="D204" s="11"/>
      <c r="E204" s="11"/>
      <c r="F204" s="11"/>
      <c r="G204" s="12"/>
      <c r="H204" s="12"/>
    </row>
    <row r="205" spans="1:8" x14ac:dyDescent="0.25">
      <c r="A205" s="64"/>
      <c r="B205" s="11"/>
      <c r="C205" s="11"/>
      <c r="D205" s="11"/>
      <c r="E205" s="11"/>
      <c r="F205" s="11"/>
      <c r="G205" s="12"/>
      <c r="H205" s="12"/>
    </row>
    <row r="206" spans="1:8" x14ac:dyDescent="0.25">
      <c r="A206" s="64"/>
      <c r="B206" s="11"/>
      <c r="C206" s="11"/>
      <c r="D206" s="11"/>
      <c r="E206" s="11"/>
      <c r="F206" s="11"/>
      <c r="G206" s="12"/>
      <c r="H206" s="12"/>
    </row>
    <row r="207" spans="1:8" x14ac:dyDescent="0.25">
      <c r="A207" s="64"/>
      <c r="B207" s="11"/>
      <c r="C207" s="11"/>
      <c r="D207" s="11"/>
      <c r="E207" s="11"/>
      <c r="F207" s="11"/>
      <c r="G207" s="12"/>
      <c r="H207" s="12"/>
    </row>
    <row r="208" spans="1:8" x14ac:dyDescent="0.25">
      <c r="A208" s="64"/>
      <c r="B208" s="11"/>
      <c r="C208" s="11"/>
      <c r="D208" s="11"/>
      <c r="E208" s="11"/>
      <c r="F208" s="11"/>
      <c r="G208" s="12"/>
      <c r="H208" s="12"/>
    </row>
    <row r="209" spans="1:8" x14ac:dyDescent="0.25">
      <c r="A209" s="64"/>
      <c r="B209" s="11"/>
      <c r="C209" s="11"/>
      <c r="D209" s="11"/>
      <c r="E209" s="11"/>
      <c r="F209" s="11"/>
      <c r="G209" s="12"/>
      <c r="H209" s="12"/>
    </row>
    <row r="210" spans="1:8" x14ac:dyDescent="0.25">
      <c r="A210" s="64"/>
      <c r="B210" s="11"/>
      <c r="C210" s="11"/>
      <c r="D210" s="11"/>
      <c r="E210" s="11"/>
      <c r="F210" s="11"/>
      <c r="G210" s="12"/>
      <c r="H210" s="12"/>
    </row>
    <row r="211" spans="1:8" x14ac:dyDescent="0.25">
      <c r="A211" s="64"/>
      <c r="B211" s="11"/>
      <c r="C211" s="11"/>
      <c r="D211" s="11"/>
      <c r="E211" s="11"/>
      <c r="F211" s="11"/>
      <c r="G211" s="12"/>
      <c r="H211" s="12"/>
    </row>
    <row r="212" spans="1:8" x14ac:dyDescent="0.25">
      <c r="A212" s="64"/>
      <c r="B212" s="11"/>
      <c r="C212" s="11"/>
      <c r="D212" s="11"/>
      <c r="E212" s="11"/>
      <c r="F212" s="11"/>
      <c r="G212" s="12"/>
      <c r="H212" s="12"/>
    </row>
    <row r="213" spans="1:8" x14ac:dyDescent="0.25">
      <c r="A213" s="64"/>
      <c r="B213" s="11"/>
      <c r="C213" s="11"/>
      <c r="D213" s="11"/>
      <c r="E213" s="11"/>
      <c r="F213" s="11"/>
      <c r="G213" s="12"/>
      <c r="H213" s="12"/>
    </row>
    <row r="214" spans="1:8" x14ac:dyDescent="0.25">
      <c r="A214" s="64"/>
      <c r="B214" s="11"/>
      <c r="C214" s="11"/>
      <c r="D214" s="11"/>
      <c r="E214" s="11"/>
      <c r="F214" s="11"/>
      <c r="G214" s="12"/>
      <c r="H214" s="12"/>
    </row>
    <row r="215" spans="1:8" x14ac:dyDescent="0.25">
      <c r="A215" s="64"/>
      <c r="B215" s="11"/>
      <c r="C215" s="11"/>
      <c r="D215" s="11"/>
      <c r="E215" s="11"/>
      <c r="F215" s="11"/>
      <c r="G215" s="12"/>
      <c r="H215" s="12"/>
    </row>
    <row r="216" spans="1:8" x14ac:dyDescent="0.25">
      <c r="A216" s="64"/>
      <c r="B216" s="11"/>
      <c r="C216" s="11"/>
      <c r="D216" s="11"/>
      <c r="E216" s="11"/>
      <c r="F216" s="11"/>
      <c r="G216" s="12"/>
      <c r="H216" s="12"/>
    </row>
    <row r="217" spans="1:8" x14ac:dyDescent="0.25">
      <c r="A217" s="64"/>
      <c r="B217" s="11"/>
      <c r="C217" s="11"/>
      <c r="D217" s="11"/>
      <c r="E217" s="11"/>
      <c r="F217" s="11"/>
      <c r="G217" s="12"/>
      <c r="H217" s="12"/>
    </row>
    <row r="218" spans="1:8" x14ac:dyDescent="0.25">
      <c r="A218" s="64"/>
      <c r="B218" s="11"/>
      <c r="C218" s="11"/>
      <c r="D218" s="11"/>
      <c r="E218" s="11"/>
      <c r="F218" s="11"/>
      <c r="G218" s="12"/>
      <c r="H218" s="12"/>
    </row>
    <row r="219" spans="1:8" x14ac:dyDescent="0.25">
      <c r="A219" s="64"/>
      <c r="B219" s="11"/>
      <c r="C219" s="11"/>
      <c r="D219" s="11"/>
      <c r="E219" s="11"/>
      <c r="F219" s="11"/>
      <c r="G219" s="12"/>
      <c r="H219" s="12"/>
    </row>
    <row r="220" spans="1:8" x14ac:dyDescent="0.25">
      <c r="A220" s="64"/>
      <c r="B220" s="11"/>
      <c r="C220" s="11"/>
      <c r="D220" s="11"/>
      <c r="E220" s="11"/>
      <c r="F220" s="11"/>
      <c r="G220" s="12"/>
      <c r="H220" s="12"/>
    </row>
    <row r="221" spans="1:8" x14ac:dyDescent="0.25">
      <c r="A221" s="64"/>
      <c r="B221" s="11"/>
      <c r="C221" s="11"/>
      <c r="D221" s="11"/>
      <c r="E221" s="11"/>
      <c r="F221" s="11"/>
      <c r="G221" s="12"/>
      <c r="H221" s="12"/>
    </row>
    <row r="222" spans="1:8" x14ac:dyDescent="0.25">
      <c r="A222" s="64"/>
      <c r="B222" s="11"/>
      <c r="C222" s="11"/>
      <c r="D222" s="11"/>
      <c r="E222" s="11"/>
      <c r="F222" s="11"/>
      <c r="G222" s="12"/>
      <c r="H222" s="12"/>
    </row>
    <row r="223" spans="1:8" x14ac:dyDescent="0.25">
      <c r="A223" s="64"/>
      <c r="B223" s="11"/>
      <c r="C223" s="11"/>
      <c r="D223" s="11"/>
      <c r="E223" s="11"/>
      <c r="F223" s="11"/>
      <c r="G223" s="12"/>
      <c r="H223" s="12"/>
    </row>
    <row r="224" spans="1:8" x14ac:dyDescent="0.25">
      <c r="A224" s="64"/>
      <c r="B224" s="11"/>
      <c r="C224" s="11"/>
      <c r="D224" s="11"/>
      <c r="E224" s="11"/>
      <c r="F224" s="11"/>
      <c r="G224" s="12"/>
      <c r="H224" s="12"/>
    </row>
    <row r="225" spans="1:8" x14ac:dyDescent="0.25">
      <c r="A225" s="64"/>
      <c r="B225" s="11"/>
      <c r="C225" s="11"/>
      <c r="D225" s="11"/>
      <c r="E225" s="11"/>
      <c r="F225" s="11"/>
      <c r="G225" s="12"/>
      <c r="H225" s="12"/>
    </row>
    <row r="226" spans="1:8" x14ac:dyDescent="0.25">
      <c r="A226" s="64"/>
      <c r="B226" s="11"/>
      <c r="C226" s="11"/>
      <c r="D226" s="11"/>
      <c r="E226" s="11"/>
      <c r="F226" s="11"/>
      <c r="G226" s="12"/>
      <c r="H226" s="12"/>
    </row>
    <row r="227" spans="1:8" x14ac:dyDescent="0.25">
      <c r="A227" s="64"/>
      <c r="B227" s="11"/>
      <c r="C227" s="11"/>
      <c r="D227" s="11"/>
      <c r="E227" s="11"/>
      <c r="F227" s="11"/>
      <c r="G227" s="12"/>
      <c r="H227" s="12"/>
    </row>
    <row r="228" spans="1:8" x14ac:dyDescent="0.25">
      <c r="A228" s="64"/>
      <c r="B228" s="11"/>
      <c r="C228" s="11"/>
      <c r="D228" s="11"/>
      <c r="E228" s="11"/>
      <c r="F228" s="11"/>
      <c r="G228" s="12"/>
      <c r="H228" s="12"/>
    </row>
    <row r="229" spans="1:8" x14ac:dyDescent="0.25">
      <c r="A229" s="64"/>
      <c r="B229" s="11"/>
      <c r="C229" s="11"/>
      <c r="D229" s="11"/>
      <c r="E229" s="11"/>
      <c r="F229" s="11"/>
      <c r="G229" s="12"/>
      <c r="H229" s="12"/>
    </row>
    <row r="230" spans="1:8" x14ac:dyDescent="0.25">
      <c r="A230" s="64"/>
      <c r="B230" s="11"/>
      <c r="C230" s="11"/>
      <c r="D230" s="11"/>
      <c r="E230" s="11"/>
      <c r="F230" s="11"/>
      <c r="G230" s="12"/>
      <c r="H230" s="12"/>
    </row>
    <row r="231" spans="1:8" x14ac:dyDescent="0.25">
      <c r="A231" s="64"/>
      <c r="B231" s="11"/>
      <c r="C231" s="11"/>
      <c r="D231" s="11"/>
      <c r="E231" s="11"/>
      <c r="F231" s="11"/>
      <c r="G231" s="12"/>
      <c r="H231" s="12"/>
    </row>
    <row r="232" spans="1:8" x14ac:dyDescent="0.25">
      <c r="A232" s="64"/>
      <c r="B232" s="11"/>
      <c r="C232" s="11"/>
      <c r="D232" s="11"/>
      <c r="E232" s="11"/>
      <c r="F232" s="11"/>
      <c r="G232" s="12"/>
      <c r="H232" s="12"/>
    </row>
    <row r="233" spans="1:8" x14ac:dyDescent="0.25">
      <c r="A233" s="64"/>
      <c r="B233" s="11"/>
      <c r="C233" s="11"/>
      <c r="D233" s="11"/>
      <c r="E233" s="11"/>
      <c r="F233" s="11"/>
      <c r="G233" s="12"/>
      <c r="H233" s="12"/>
    </row>
    <row r="234" spans="1:8" x14ac:dyDescent="0.25">
      <c r="A234" s="64"/>
      <c r="B234" s="11"/>
      <c r="C234" s="11"/>
      <c r="D234" s="11"/>
      <c r="E234" s="11"/>
      <c r="F234" s="11"/>
      <c r="G234" s="12"/>
      <c r="H234" s="12"/>
    </row>
    <row r="235" spans="1:8" x14ac:dyDescent="0.25">
      <c r="A235" s="64"/>
      <c r="B235" s="11"/>
      <c r="C235" s="11"/>
      <c r="D235" s="11"/>
      <c r="E235" s="11"/>
      <c r="F235" s="11"/>
      <c r="G235" s="12"/>
      <c r="H235" s="12"/>
    </row>
    <row r="236" spans="1:8" x14ac:dyDescent="0.25">
      <c r="A236" s="64"/>
      <c r="B236" s="11"/>
      <c r="C236" s="11"/>
      <c r="D236" s="11"/>
      <c r="E236" s="11"/>
      <c r="F236" s="11"/>
      <c r="G236" s="12"/>
      <c r="H236" s="12"/>
    </row>
    <row r="237" spans="1:8" x14ac:dyDescent="0.25">
      <c r="A237" s="64"/>
      <c r="B237" s="11"/>
      <c r="C237" s="11"/>
      <c r="D237" s="11"/>
      <c r="E237" s="11"/>
      <c r="F237" s="11"/>
      <c r="G237" s="12"/>
      <c r="H237" s="12"/>
    </row>
    <row r="238" spans="1:8" x14ac:dyDescent="0.25">
      <c r="A238" s="64"/>
      <c r="B238" s="11"/>
      <c r="C238" s="11"/>
      <c r="D238" s="11"/>
      <c r="E238" s="11"/>
      <c r="F238" s="11"/>
      <c r="G238" s="12"/>
      <c r="H238" s="12"/>
    </row>
    <row r="239" spans="1:8" x14ac:dyDescent="0.25">
      <c r="A239" s="64"/>
      <c r="B239" s="11"/>
      <c r="C239" s="11"/>
      <c r="D239" s="11"/>
      <c r="E239" s="11"/>
      <c r="F239" s="11"/>
      <c r="G239" s="12"/>
      <c r="H239" s="12"/>
    </row>
    <row r="240" spans="1:8" x14ac:dyDescent="0.25">
      <c r="A240" s="64"/>
      <c r="B240" s="11"/>
      <c r="C240" s="11"/>
      <c r="D240" s="11"/>
      <c r="E240" s="11"/>
      <c r="F240" s="11"/>
      <c r="G240" s="12"/>
      <c r="H240" s="12"/>
    </row>
    <row r="241" spans="1:8" x14ac:dyDescent="0.25">
      <c r="A241" s="64"/>
      <c r="B241" s="11"/>
      <c r="C241" s="11"/>
      <c r="D241" s="11"/>
      <c r="E241" s="11"/>
      <c r="F241" s="11"/>
      <c r="G241" s="12"/>
      <c r="H241" s="12"/>
    </row>
    <row r="242" spans="1:8" x14ac:dyDescent="0.25">
      <c r="A242" s="64"/>
      <c r="B242" s="11"/>
      <c r="C242" s="11"/>
      <c r="D242" s="11"/>
      <c r="E242" s="11"/>
      <c r="F242" s="11"/>
      <c r="G242" s="12"/>
      <c r="H242" s="12"/>
    </row>
    <row r="243" spans="1:8" x14ac:dyDescent="0.25">
      <c r="A243" s="64"/>
      <c r="B243" s="11"/>
      <c r="C243" s="11"/>
      <c r="D243" s="11"/>
      <c r="E243" s="11"/>
      <c r="F243" s="11"/>
      <c r="G243" s="12"/>
      <c r="H243" s="12"/>
    </row>
    <row r="244" spans="1:8" x14ac:dyDescent="0.25">
      <c r="A244" s="64"/>
      <c r="B244" s="11"/>
      <c r="C244" s="11"/>
      <c r="D244" s="11"/>
      <c r="E244" s="11"/>
      <c r="F244" s="11"/>
      <c r="G244" s="12"/>
      <c r="H244" s="12"/>
    </row>
    <row r="245" spans="1:8" x14ac:dyDescent="0.25">
      <c r="A245" s="64"/>
      <c r="B245" s="11"/>
      <c r="C245" s="11"/>
      <c r="D245" s="11"/>
      <c r="E245" s="11"/>
      <c r="F245" s="11"/>
      <c r="G245" s="12"/>
      <c r="H245" s="12"/>
    </row>
    <row r="246" spans="1:8" x14ac:dyDescent="0.25">
      <c r="A246" s="64"/>
      <c r="B246" s="11"/>
      <c r="C246" s="11"/>
      <c r="D246" s="11"/>
      <c r="E246" s="11"/>
      <c r="F246" s="11"/>
      <c r="G246" s="12"/>
      <c r="H246" s="12"/>
    </row>
    <row r="247" spans="1:8" x14ac:dyDescent="0.25">
      <c r="A247" s="64"/>
      <c r="B247" s="11"/>
      <c r="C247" s="11"/>
      <c r="D247" s="11"/>
      <c r="E247" s="11"/>
      <c r="F247" s="11"/>
      <c r="G247" s="12"/>
      <c r="H247" s="12"/>
    </row>
    <row r="248" spans="1:8" x14ac:dyDescent="0.25">
      <c r="A248" s="64"/>
      <c r="B248" s="11"/>
      <c r="C248" s="11"/>
      <c r="D248" s="11"/>
      <c r="E248" s="11"/>
      <c r="F248" s="11"/>
      <c r="G248" s="12"/>
      <c r="H248" s="12"/>
    </row>
    <row r="249" spans="1:8" x14ac:dyDescent="0.25">
      <c r="A249" s="64"/>
      <c r="B249" s="11"/>
      <c r="C249" s="11"/>
      <c r="D249" s="11"/>
      <c r="E249" s="11"/>
      <c r="F249" s="11"/>
      <c r="G249" s="12"/>
      <c r="H249" s="12"/>
    </row>
    <row r="250" spans="1:8" x14ac:dyDescent="0.25">
      <c r="A250" s="64"/>
      <c r="B250" s="11"/>
      <c r="C250" s="11"/>
      <c r="D250" s="11"/>
      <c r="E250" s="11"/>
      <c r="F250" s="11"/>
      <c r="G250" s="12"/>
      <c r="H250" s="12"/>
    </row>
    <row r="251" spans="1:8" x14ac:dyDescent="0.25">
      <c r="A251" s="64"/>
      <c r="B251" s="11"/>
      <c r="C251" s="11"/>
      <c r="D251" s="11"/>
      <c r="E251" s="11"/>
      <c r="F251" s="11"/>
      <c r="G251" s="12"/>
      <c r="H251" s="12"/>
    </row>
    <row r="252" spans="1:8" x14ac:dyDescent="0.25">
      <c r="A252" s="64"/>
      <c r="B252" s="11"/>
      <c r="C252" s="11"/>
      <c r="D252" s="11"/>
      <c r="E252" s="11"/>
      <c r="F252" s="11"/>
      <c r="G252" s="12"/>
      <c r="H252" s="12"/>
    </row>
    <row r="253" spans="1:8" x14ac:dyDescent="0.25">
      <c r="A253" s="64"/>
      <c r="B253" s="11"/>
      <c r="C253" s="11"/>
      <c r="D253" s="11"/>
      <c r="E253" s="11"/>
      <c r="F253" s="11"/>
      <c r="G253" s="12"/>
      <c r="H253" s="12"/>
    </row>
    <row r="254" spans="1:8" x14ac:dyDescent="0.25">
      <c r="A254" s="64"/>
      <c r="B254" s="11"/>
      <c r="C254" s="11"/>
      <c r="D254" s="11"/>
      <c r="E254" s="11"/>
      <c r="F254" s="11"/>
      <c r="G254" s="12"/>
      <c r="H254" s="12"/>
    </row>
    <row r="255" spans="1:8" x14ac:dyDescent="0.25">
      <c r="A255" s="64"/>
      <c r="B255" s="11"/>
      <c r="C255" s="11"/>
      <c r="D255" s="11"/>
      <c r="E255" s="11"/>
      <c r="F255" s="11"/>
      <c r="G255" s="12"/>
      <c r="H255" s="12"/>
    </row>
    <row r="256" spans="1:8" x14ac:dyDescent="0.25">
      <c r="A256" s="64"/>
      <c r="B256" s="11"/>
      <c r="C256" s="11"/>
      <c r="D256" s="11"/>
      <c r="E256" s="11"/>
      <c r="F256" s="11"/>
      <c r="G256" s="12"/>
      <c r="H256" s="12"/>
    </row>
    <row r="257" spans="1:8" x14ac:dyDescent="0.25">
      <c r="A257" s="64"/>
      <c r="B257" s="11"/>
      <c r="C257" s="11"/>
      <c r="D257" s="11"/>
      <c r="E257" s="11"/>
      <c r="F257" s="11"/>
      <c r="G257" s="12"/>
      <c r="H257" s="12"/>
    </row>
    <row r="258" spans="1:8" x14ac:dyDescent="0.25">
      <c r="A258" s="64"/>
      <c r="B258" s="11"/>
      <c r="C258" s="11"/>
      <c r="D258" s="11"/>
      <c r="E258" s="11"/>
      <c r="F258" s="11"/>
      <c r="G258" s="12"/>
      <c r="H258" s="12"/>
    </row>
    <row r="259" spans="1:8" x14ac:dyDescent="0.25">
      <c r="A259" s="64"/>
      <c r="B259" s="11"/>
      <c r="C259" s="11"/>
      <c r="D259" s="11"/>
      <c r="E259" s="11"/>
      <c r="F259" s="11"/>
      <c r="G259" s="12"/>
      <c r="H259" s="12"/>
    </row>
    <row r="260" spans="1:8" x14ac:dyDescent="0.25">
      <c r="A260" s="64"/>
      <c r="B260" s="11"/>
      <c r="C260" s="11"/>
      <c r="D260" s="11"/>
      <c r="E260" s="11"/>
      <c r="F260" s="11"/>
      <c r="G260" s="12"/>
      <c r="H260" s="12"/>
    </row>
    <row r="261" spans="1:8" x14ac:dyDescent="0.25">
      <c r="A261" s="64"/>
      <c r="B261" s="11"/>
      <c r="C261" s="11"/>
      <c r="D261" s="11"/>
      <c r="E261" s="11"/>
      <c r="F261" s="11"/>
      <c r="G261" s="12"/>
      <c r="H261" s="12"/>
    </row>
    <row r="262" spans="1:8" x14ac:dyDescent="0.25">
      <c r="A262" s="64"/>
      <c r="B262" s="11"/>
      <c r="C262" s="11"/>
      <c r="D262" s="11"/>
      <c r="E262" s="11"/>
      <c r="F262" s="11"/>
      <c r="G262" s="12"/>
      <c r="H262" s="12"/>
    </row>
    <row r="263" spans="1:8" x14ac:dyDescent="0.25">
      <c r="A263" s="64"/>
      <c r="B263" s="11"/>
      <c r="C263" s="11"/>
      <c r="D263" s="11"/>
      <c r="E263" s="11"/>
      <c r="F263" s="11"/>
      <c r="G263" s="12"/>
      <c r="H263" s="12"/>
    </row>
    <row r="264" spans="1:8" x14ac:dyDescent="0.25">
      <c r="A264" s="64"/>
      <c r="B264" s="11"/>
      <c r="C264" s="11"/>
      <c r="D264" s="11"/>
      <c r="E264" s="11"/>
      <c r="F264" s="11"/>
      <c r="G264" s="12"/>
      <c r="H264" s="12"/>
    </row>
    <row r="265" spans="1:8" x14ac:dyDescent="0.25">
      <c r="A265" s="64"/>
      <c r="B265" s="11"/>
      <c r="C265" s="11"/>
      <c r="D265" s="11"/>
      <c r="E265" s="11"/>
      <c r="F265" s="11"/>
      <c r="G265" s="12"/>
      <c r="H265" s="12"/>
    </row>
    <row r="266" spans="1:8" x14ac:dyDescent="0.25">
      <c r="A266" s="64"/>
      <c r="B266" s="11"/>
      <c r="C266" s="11"/>
      <c r="D266" s="11"/>
      <c r="E266" s="11"/>
      <c r="F266" s="11"/>
      <c r="G266" s="12"/>
      <c r="H266" s="12"/>
    </row>
    <row r="267" spans="1:8" x14ac:dyDescent="0.25">
      <c r="A267" s="64"/>
      <c r="B267" s="11"/>
      <c r="C267" s="11"/>
      <c r="D267" s="11"/>
      <c r="E267" s="11"/>
      <c r="F267" s="11"/>
      <c r="G267" s="12"/>
      <c r="H267" s="12"/>
    </row>
    <row r="268" spans="1:8" x14ac:dyDescent="0.25">
      <c r="A268" s="64"/>
      <c r="B268" s="11"/>
      <c r="C268" s="11"/>
      <c r="D268" s="11"/>
      <c r="E268" s="11"/>
      <c r="F268" s="11"/>
      <c r="G268" s="12"/>
      <c r="H268" s="12"/>
    </row>
    <row r="269" spans="1:8" x14ac:dyDescent="0.25">
      <c r="A269" s="64"/>
      <c r="B269" s="11"/>
      <c r="C269" s="11"/>
      <c r="D269" s="11"/>
      <c r="E269" s="11"/>
      <c r="F269" s="11"/>
      <c r="G269" s="12"/>
      <c r="H269" s="12"/>
    </row>
    <row r="270" spans="1:8" x14ac:dyDescent="0.25">
      <c r="A270" s="64"/>
      <c r="B270" s="11"/>
      <c r="C270" s="11"/>
      <c r="D270" s="11"/>
      <c r="E270" s="11"/>
      <c r="F270" s="11"/>
      <c r="G270" s="12"/>
      <c r="H270" s="12"/>
    </row>
    <row r="271" spans="1:8" x14ac:dyDescent="0.25">
      <c r="A271" s="64"/>
      <c r="B271" s="11"/>
      <c r="C271" s="11"/>
      <c r="D271" s="11"/>
      <c r="E271" s="11"/>
      <c r="F271" s="11"/>
      <c r="G271" s="12"/>
      <c r="H271" s="12"/>
    </row>
    <row r="272" spans="1:8" x14ac:dyDescent="0.25">
      <c r="A272" s="64"/>
      <c r="B272" s="11"/>
      <c r="C272" s="11"/>
      <c r="D272" s="11"/>
      <c r="E272" s="11"/>
      <c r="F272" s="11"/>
      <c r="G272" s="12"/>
      <c r="H272" s="12"/>
    </row>
    <row r="273" spans="1:8" x14ac:dyDescent="0.25">
      <c r="A273" s="64"/>
      <c r="B273" s="11"/>
      <c r="C273" s="11"/>
      <c r="D273" s="11"/>
      <c r="E273" s="11"/>
      <c r="F273" s="11"/>
      <c r="G273" s="12"/>
      <c r="H273" s="12"/>
    </row>
    <row r="274" spans="1:8" x14ac:dyDescent="0.25">
      <c r="A274" s="64"/>
      <c r="B274" s="11"/>
      <c r="C274" s="11"/>
      <c r="D274" s="11"/>
      <c r="E274" s="11"/>
      <c r="F274" s="11"/>
      <c r="G274" s="12"/>
      <c r="H274" s="12"/>
    </row>
    <row r="275" spans="1:8" x14ac:dyDescent="0.25">
      <c r="A275" s="64"/>
      <c r="B275" s="11"/>
      <c r="C275" s="11"/>
      <c r="D275" s="11"/>
      <c r="E275" s="11"/>
      <c r="F275" s="11"/>
      <c r="G275" s="12"/>
      <c r="H275" s="12"/>
    </row>
    <row r="276" spans="1:8" x14ac:dyDescent="0.25">
      <c r="A276" s="64"/>
      <c r="B276" s="11"/>
      <c r="C276" s="11"/>
      <c r="D276" s="11"/>
      <c r="E276" s="11"/>
      <c r="F276" s="11"/>
      <c r="G276" s="12"/>
      <c r="H276" s="12"/>
    </row>
    <row r="277" spans="1:8" x14ac:dyDescent="0.25">
      <c r="A277" s="64"/>
      <c r="B277" s="11"/>
      <c r="C277" s="11"/>
      <c r="D277" s="11"/>
      <c r="E277" s="11"/>
      <c r="F277" s="11"/>
      <c r="G277" s="12"/>
      <c r="H277" s="12"/>
    </row>
    <row r="278" spans="1:8" x14ac:dyDescent="0.25">
      <c r="A278" s="64"/>
      <c r="B278" s="11"/>
      <c r="C278" s="11"/>
      <c r="D278" s="11"/>
      <c r="E278" s="11"/>
      <c r="F278" s="11"/>
      <c r="G278" s="12"/>
      <c r="H278" s="12"/>
    </row>
    <row r="279" spans="1:8" x14ac:dyDescent="0.25">
      <c r="A279" s="64"/>
      <c r="B279" s="11"/>
      <c r="C279" s="11"/>
      <c r="D279" s="11"/>
      <c r="E279" s="11"/>
      <c r="F279" s="11"/>
      <c r="G279" s="12"/>
      <c r="H279" s="12"/>
    </row>
    <row r="280" spans="1:8" x14ac:dyDescent="0.25">
      <c r="A280" s="64"/>
      <c r="B280" s="11"/>
      <c r="C280" s="11"/>
      <c r="D280" s="11"/>
      <c r="E280" s="11"/>
      <c r="F280" s="11"/>
      <c r="G280" s="12"/>
      <c r="H280" s="12"/>
    </row>
    <row r="281" spans="1:8" x14ac:dyDescent="0.25">
      <c r="A281" s="64"/>
      <c r="B281" s="11"/>
      <c r="C281" s="11"/>
      <c r="D281" s="11"/>
      <c r="E281" s="11"/>
      <c r="F281" s="11"/>
      <c r="G281" s="12"/>
      <c r="H281" s="12"/>
    </row>
    <row r="282" spans="1:8" x14ac:dyDescent="0.25">
      <c r="A282" s="64"/>
      <c r="B282" s="11"/>
      <c r="C282" s="11"/>
      <c r="D282" s="11"/>
      <c r="E282" s="11"/>
      <c r="F282" s="11"/>
      <c r="G282" s="12"/>
      <c r="H282" s="12"/>
    </row>
    <row r="283" spans="1:8" x14ac:dyDescent="0.25">
      <c r="A283" s="64"/>
      <c r="B283" s="11"/>
      <c r="C283" s="11"/>
      <c r="D283" s="11"/>
      <c r="E283" s="11"/>
      <c r="F283" s="11"/>
      <c r="G283" s="12"/>
      <c r="H283" s="12"/>
    </row>
    <row r="284" spans="1:8" x14ac:dyDescent="0.25">
      <c r="A284" s="64"/>
      <c r="B284" s="11"/>
      <c r="C284" s="11"/>
      <c r="D284" s="11"/>
      <c r="E284" s="11"/>
      <c r="F284" s="11"/>
      <c r="G284" s="12"/>
      <c r="H284" s="12"/>
    </row>
    <row r="285" spans="1:8" x14ac:dyDescent="0.25">
      <c r="A285" s="64"/>
      <c r="B285" s="11"/>
      <c r="C285" s="11"/>
      <c r="D285" s="11"/>
      <c r="E285" s="11"/>
      <c r="F285" s="11"/>
      <c r="G285" s="12"/>
      <c r="H285" s="12"/>
    </row>
    <row r="286" spans="1:8" x14ac:dyDescent="0.25">
      <c r="A286" s="64"/>
      <c r="B286" s="11"/>
      <c r="C286" s="11"/>
      <c r="D286" s="11"/>
      <c r="E286" s="11"/>
      <c r="F286" s="11"/>
      <c r="G286" s="12"/>
      <c r="H286" s="12"/>
    </row>
    <row r="287" spans="1:8" x14ac:dyDescent="0.25">
      <c r="A287" s="64"/>
      <c r="B287" s="11"/>
      <c r="C287" s="11"/>
      <c r="D287" s="11"/>
      <c r="E287" s="11"/>
      <c r="F287" s="11"/>
      <c r="G287" s="12"/>
      <c r="H287" s="12"/>
    </row>
    <row r="288" spans="1:8" x14ac:dyDescent="0.25">
      <c r="A288" s="64"/>
      <c r="B288" s="11"/>
      <c r="C288" s="11"/>
      <c r="D288" s="11"/>
      <c r="E288" s="11"/>
      <c r="F288" s="11"/>
      <c r="G288" s="12"/>
      <c r="H288" s="12"/>
    </row>
    <row r="289" spans="1:8" x14ac:dyDescent="0.25">
      <c r="A289" s="64"/>
      <c r="B289" s="11"/>
      <c r="C289" s="11"/>
      <c r="D289" s="11"/>
      <c r="E289" s="11"/>
      <c r="F289" s="11"/>
      <c r="G289" s="12"/>
      <c r="H289" s="12"/>
    </row>
    <row r="290" spans="1:8" x14ac:dyDescent="0.25">
      <c r="A290" s="64"/>
      <c r="B290" s="11"/>
      <c r="C290" s="11"/>
      <c r="D290" s="11"/>
      <c r="E290" s="11"/>
      <c r="F290" s="11"/>
      <c r="G290" s="12"/>
      <c r="H290" s="12"/>
    </row>
    <row r="291" spans="1:8" x14ac:dyDescent="0.25">
      <c r="A291" s="64"/>
      <c r="B291" s="11"/>
      <c r="C291" s="11"/>
      <c r="D291" s="11"/>
      <c r="E291" s="11"/>
      <c r="F291" s="11"/>
      <c r="G291" s="12"/>
      <c r="H291" s="12"/>
    </row>
    <row r="292" spans="1:8" x14ac:dyDescent="0.25">
      <c r="A292" s="64"/>
      <c r="B292" s="11"/>
      <c r="C292" s="11"/>
      <c r="D292" s="11"/>
      <c r="E292" s="11"/>
      <c r="F292" s="11"/>
      <c r="G292" s="12"/>
      <c r="H292" s="12"/>
    </row>
    <row r="293" spans="1:8" x14ac:dyDescent="0.25">
      <c r="A293" s="64"/>
      <c r="B293" s="11"/>
      <c r="C293" s="11"/>
      <c r="D293" s="11"/>
      <c r="E293" s="11"/>
      <c r="F293" s="11"/>
      <c r="G293" s="12"/>
      <c r="H293" s="12"/>
    </row>
    <row r="294" spans="1:8" x14ac:dyDescent="0.25">
      <c r="A294" s="64"/>
      <c r="B294" s="11"/>
      <c r="C294" s="11"/>
      <c r="D294" s="11"/>
      <c r="E294" s="11"/>
      <c r="F294" s="11"/>
      <c r="G294" s="12"/>
      <c r="H294" s="12"/>
    </row>
    <row r="295" spans="1:8" x14ac:dyDescent="0.25">
      <c r="A295" s="64"/>
      <c r="B295" s="11"/>
      <c r="C295" s="11"/>
      <c r="D295" s="11"/>
      <c r="E295" s="11"/>
      <c r="F295" s="11"/>
      <c r="G295" s="12"/>
      <c r="H295" s="12"/>
    </row>
    <row r="296" spans="1:8" x14ac:dyDescent="0.25">
      <c r="A296" s="64"/>
      <c r="B296" s="11"/>
      <c r="C296" s="11"/>
      <c r="D296" s="11"/>
      <c r="E296" s="11"/>
      <c r="F296" s="11"/>
      <c r="G296" s="12"/>
      <c r="H296" s="12"/>
    </row>
    <row r="297" spans="1:8" x14ac:dyDescent="0.25">
      <c r="A297" s="64"/>
      <c r="B297" s="11"/>
      <c r="C297" s="11"/>
      <c r="D297" s="11"/>
      <c r="E297" s="11"/>
      <c r="F297" s="11"/>
      <c r="G297" s="12"/>
      <c r="H297" s="12"/>
    </row>
    <row r="298" spans="1:8" x14ac:dyDescent="0.25">
      <c r="A298" s="64"/>
      <c r="B298" s="11"/>
      <c r="C298" s="11"/>
      <c r="D298" s="11"/>
      <c r="E298" s="11"/>
      <c r="F298" s="11"/>
      <c r="G298" s="12"/>
      <c r="H298" s="12"/>
    </row>
    <row r="299" spans="1:8" x14ac:dyDescent="0.25">
      <c r="A299" s="64"/>
      <c r="B299" s="11"/>
      <c r="C299" s="11"/>
      <c r="D299" s="11"/>
      <c r="E299" s="11"/>
      <c r="F299" s="11"/>
      <c r="G299" s="12"/>
      <c r="H299" s="12"/>
    </row>
    <row r="300" spans="1:8" x14ac:dyDescent="0.25">
      <c r="A300" s="64"/>
      <c r="B300" s="11"/>
      <c r="C300" s="11"/>
      <c r="D300" s="11"/>
      <c r="E300" s="11"/>
      <c r="F300" s="11"/>
      <c r="G300" s="12"/>
      <c r="H300" s="12"/>
    </row>
    <row r="301" spans="1:8" x14ac:dyDescent="0.25">
      <c r="A301" s="64"/>
      <c r="B301" s="11"/>
      <c r="C301" s="11"/>
      <c r="D301" s="11"/>
      <c r="E301" s="11"/>
      <c r="F301" s="11"/>
      <c r="G301" s="12"/>
      <c r="H301" s="12"/>
    </row>
    <row r="302" spans="1:8" x14ac:dyDescent="0.25">
      <c r="A302" s="64"/>
      <c r="B302" s="11"/>
      <c r="C302" s="11"/>
      <c r="D302" s="11"/>
      <c r="E302" s="11"/>
      <c r="F302" s="11"/>
      <c r="G302" s="12"/>
      <c r="H302" s="12"/>
    </row>
    <row r="303" spans="1:8" x14ac:dyDescent="0.25">
      <c r="A303" s="64"/>
      <c r="B303" s="11"/>
      <c r="C303" s="11"/>
      <c r="D303" s="11"/>
      <c r="E303" s="11"/>
      <c r="F303" s="11"/>
      <c r="G303" s="12"/>
      <c r="H303" s="12"/>
    </row>
    <row r="304" spans="1:8" x14ac:dyDescent="0.25">
      <c r="A304" s="64"/>
      <c r="B304" s="11"/>
      <c r="C304" s="11"/>
      <c r="D304" s="11"/>
      <c r="E304" s="11"/>
      <c r="F304" s="11"/>
      <c r="G304" s="12"/>
      <c r="H304" s="12"/>
    </row>
    <row r="305" spans="1:8" x14ac:dyDescent="0.25">
      <c r="A305" s="64"/>
      <c r="B305" s="11"/>
      <c r="C305" s="11"/>
      <c r="D305" s="11"/>
      <c r="E305" s="11"/>
      <c r="F305" s="11"/>
      <c r="G305" s="12"/>
      <c r="H305" s="12"/>
    </row>
    <row r="306" spans="1:8" x14ac:dyDescent="0.25">
      <c r="A306" s="64"/>
      <c r="B306" s="11"/>
      <c r="C306" s="11"/>
      <c r="D306" s="11"/>
      <c r="E306" s="11"/>
      <c r="F306" s="11"/>
      <c r="G306" s="12"/>
      <c r="H306" s="12"/>
    </row>
    <row r="307" spans="1:8" x14ac:dyDescent="0.25">
      <c r="A307" s="64"/>
      <c r="B307" s="11"/>
      <c r="C307" s="11"/>
      <c r="D307" s="11"/>
      <c r="E307" s="11"/>
      <c r="F307" s="11"/>
      <c r="G307" s="12"/>
      <c r="H307" s="12"/>
    </row>
    <row r="308" spans="1:8" x14ac:dyDescent="0.25">
      <c r="A308" s="64"/>
      <c r="B308" s="11"/>
      <c r="C308" s="11"/>
      <c r="D308" s="11"/>
      <c r="E308" s="11"/>
      <c r="F308" s="11"/>
      <c r="G308" s="12"/>
      <c r="H308" s="12"/>
    </row>
    <row r="309" spans="1:8" x14ac:dyDescent="0.25">
      <c r="A309" s="64"/>
      <c r="B309" s="11"/>
      <c r="C309" s="11"/>
      <c r="D309" s="11"/>
      <c r="E309" s="11"/>
      <c r="F309" s="11"/>
      <c r="G309" s="12"/>
      <c r="H309" s="12"/>
    </row>
    <row r="310" spans="1:8" x14ac:dyDescent="0.25">
      <c r="A310" s="64"/>
      <c r="B310" s="11"/>
      <c r="C310" s="11"/>
      <c r="D310" s="11"/>
      <c r="E310" s="11"/>
      <c r="F310" s="11"/>
      <c r="G310" s="12"/>
      <c r="H310" s="12"/>
    </row>
    <row r="311" spans="1:8" x14ac:dyDescent="0.25">
      <c r="A311" s="64"/>
      <c r="B311" s="11"/>
      <c r="C311" s="11"/>
      <c r="D311" s="11"/>
      <c r="E311" s="11"/>
      <c r="F311" s="11"/>
      <c r="G311" s="12"/>
      <c r="H311" s="12"/>
    </row>
    <row r="312" spans="1:8" x14ac:dyDescent="0.25">
      <c r="A312" s="64"/>
      <c r="B312" s="11"/>
      <c r="C312" s="11"/>
      <c r="D312" s="11"/>
      <c r="E312" s="11"/>
      <c r="F312" s="11"/>
      <c r="G312" s="12"/>
      <c r="H312" s="12"/>
    </row>
    <row r="313" spans="1:8" x14ac:dyDescent="0.25">
      <c r="A313" s="64"/>
      <c r="B313" s="11"/>
      <c r="C313" s="11"/>
      <c r="D313" s="11"/>
      <c r="E313" s="11"/>
      <c r="F313" s="11"/>
      <c r="G313" s="12"/>
      <c r="H313" s="12"/>
    </row>
    <row r="314" spans="1:8" x14ac:dyDescent="0.25">
      <c r="A314" s="64"/>
      <c r="B314" s="11"/>
      <c r="C314" s="11"/>
      <c r="D314" s="11"/>
      <c r="E314" s="11"/>
      <c r="F314" s="11"/>
      <c r="G314" s="12"/>
      <c r="H314" s="12"/>
    </row>
    <row r="315" spans="1:8" x14ac:dyDescent="0.25">
      <c r="A315" s="64"/>
      <c r="B315" s="11"/>
      <c r="C315" s="11"/>
      <c r="D315" s="11"/>
      <c r="E315" s="11"/>
      <c r="F315" s="11"/>
      <c r="G315" s="12"/>
      <c r="H315" s="12"/>
    </row>
    <row r="316" spans="1:8" x14ac:dyDescent="0.25">
      <c r="A316" s="64"/>
      <c r="B316" s="11"/>
      <c r="C316" s="11"/>
      <c r="D316" s="11"/>
      <c r="E316" s="11"/>
      <c r="F316" s="11"/>
      <c r="G316" s="12"/>
      <c r="H316" s="12"/>
    </row>
    <row r="317" spans="1:8" x14ac:dyDescent="0.25">
      <c r="A317" s="64"/>
      <c r="B317" s="11"/>
      <c r="C317" s="11"/>
      <c r="D317" s="11"/>
      <c r="E317" s="11"/>
      <c r="F317" s="11"/>
      <c r="G317" s="12"/>
      <c r="H317" s="12"/>
    </row>
    <row r="318" spans="1:8" x14ac:dyDescent="0.25">
      <c r="A318" s="64"/>
      <c r="B318" s="11"/>
      <c r="C318" s="11"/>
      <c r="D318" s="11"/>
      <c r="E318" s="11"/>
      <c r="F318" s="11"/>
      <c r="G318" s="12"/>
      <c r="H318" s="12"/>
    </row>
    <row r="319" spans="1:8" x14ac:dyDescent="0.25">
      <c r="A319" s="64"/>
      <c r="B319" s="11"/>
      <c r="C319" s="11"/>
      <c r="D319" s="11"/>
      <c r="E319" s="11"/>
      <c r="F319" s="11"/>
      <c r="G319" s="12"/>
      <c r="H319" s="12"/>
    </row>
    <row r="320" spans="1:8" x14ac:dyDescent="0.25">
      <c r="A320" s="64"/>
      <c r="B320" s="11"/>
      <c r="C320" s="11"/>
      <c r="D320" s="11"/>
      <c r="E320" s="11"/>
      <c r="F320" s="11"/>
      <c r="G320" s="12"/>
      <c r="H320" s="12"/>
    </row>
    <row r="321" spans="1:8" x14ac:dyDescent="0.25">
      <c r="A321" s="64"/>
      <c r="B321" s="11"/>
      <c r="C321" s="11"/>
      <c r="D321" s="11"/>
      <c r="E321" s="11"/>
      <c r="F321" s="11"/>
      <c r="G321" s="12"/>
      <c r="H321" s="12"/>
    </row>
    <row r="322" spans="1:8" x14ac:dyDescent="0.25">
      <c r="A322" s="64"/>
      <c r="B322" s="11"/>
      <c r="C322" s="11"/>
      <c r="D322" s="11"/>
      <c r="E322" s="11"/>
      <c r="F322" s="11"/>
      <c r="G322" s="12"/>
      <c r="H322" s="12"/>
    </row>
    <row r="323" spans="1:8" x14ac:dyDescent="0.25">
      <c r="A323" s="64"/>
      <c r="B323" s="11"/>
      <c r="C323" s="11"/>
      <c r="D323" s="11"/>
      <c r="E323" s="11"/>
      <c r="F323" s="11"/>
      <c r="G323" s="12"/>
      <c r="H323" s="12"/>
    </row>
    <row r="324" spans="1:8" x14ac:dyDescent="0.25">
      <c r="A324" s="64"/>
      <c r="B324" s="11"/>
      <c r="C324" s="11"/>
      <c r="D324" s="11"/>
      <c r="E324" s="11"/>
      <c r="F324" s="11"/>
      <c r="G324" s="12"/>
      <c r="H324" s="12"/>
    </row>
    <row r="325" spans="1:8" x14ac:dyDescent="0.25">
      <c r="A325" s="64"/>
      <c r="B325" s="11"/>
      <c r="C325" s="11"/>
      <c r="D325" s="11"/>
      <c r="E325" s="11"/>
      <c r="F325" s="11"/>
      <c r="G325" s="12"/>
      <c r="H325" s="12"/>
    </row>
    <row r="326" spans="1:8" x14ac:dyDescent="0.25">
      <c r="A326" s="64"/>
      <c r="B326" s="11"/>
      <c r="C326" s="11"/>
      <c r="D326" s="11"/>
      <c r="E326" s="11"/>
      <c r="F326" s="11"/>
      <c r="G326" s="12"/>
      <c r="H326" s="12"/>
    </row>
    <row r="327" spans="1:8" x14ac:dyDescent="0.25">
      <c r="A327" s="64"/>
      <c r="B327" s="11"/>
      <c r="C327" s="11"/>
      <c r="D327" s="11"/>
      <c r="E327" s="11"/>
      <c r="F327" s="11"/>
      <c r="G327" s="12"/>
      <c r="H327" s="12"/>
    </row>
    <row r="328" spans="1:8" x14ac:dyDescent="0.25">
      <c r="A328" s="64"/>
      <c r="B328" s="11"/>
      <c r="C328" s="11"/>
      <c r="D328" s="11"/>
      <c r="E328" s="11"/>
      <c r="F328" s="11"/>
      <c r="G328" s="12"/>
      <c r="H328" s="12"/>
    </row>
    <row r="329" spans="1:8" x14ac:dyDescent="0.25">
      <c r="A329" s="64"/>
      <c r="B329" s="11"/>
      <c r="C329" s="11"/>
      <c r="D329" s="11"/>
      <c r="E329" s="11"/>
      <c r="F329" s="11"/>
      <c r="G329" s="12"/>
      <c r="H329" s="12"/>
    </row>
    <row r="330" spans="1:8" x14ac:dyDescent="0.25">
      <c r="A330" s="64"/>
      <c r="B330" s="11"/>
      <c r="C330" s="11"/>
      <c r="D330" s="11"/>
      <c r="E330" s="11"/>
      <c r="F330" s="11"/>
      <c r="G330" s="12"/>
      <c r="H330" s="12"/>
    </row>
    <row r="331" spans="1:8" x14ac:dyDescent="0.25">
      <c r="A331" s="64"/>
      <c r="B331" s="11"/>
      <c r="C331" s="11"/>
      <c r="D331" s="11"/>
      <c r="E331" s="11"/>
      <c r="F331" s="11"/>
      <c r="G331" s="12"/>
      <c r="H331" s="12"/>
    </row>
    <row r="332" spans="1:8" x14ac:dyDescent="0.25">
      <c r="A332" s="64"/>
      <c r="B332" s="11"/>
      <c r="C332" s="11"/>
      <c r="D332" s="11"/>
      <c r="E332" s="11"/>
      <c r="F332" s="11"/>
      <c r="G332" s="12"/>
      <c r="H332" s="12"/>
    </row>
    <row r="333" spans="1:8" x14ac:dyDescent="0.25">
      <c r="A333" s="64"/>
      <c r="B333" s="11"/>
      <c r="C333" s="11"/>
      <c r="D333" s="11"/>
      <c r="E333" s="11"/>
      <c r="F333" s="11"/>
      <c r="G333" s="12"/>
      <c r="H333" s="12"/>
    </row>
    <row r="334" spans="1:8" x14ac:dyDescent="0.25">
      <c r="A334" s="64"/>
      <c r="B334" s="11"/>
      <c r="C334" s="11"/>
      <c r="D334" s="11"/>
      <c r="E334" s="11"/>
      <c r="F334" s="11"/>
      <c r="G334" s="12"/>
      <c r="H334" s="12"/>
    </row>
    <row r="335" spans="1:8" x14ac:dyDescent="0.25">
      <c r="A335" s="64"/>
      <c r="B335" s="11"/>
      <c r="C335" s="11"/>
      <c r="D335" s="11"/>
      <c r="E335" s="11"/>
      <c r="F335" s="11"/>
      <c r="G335" s="12"/>
      <c r="H335" s="12"/>
    </row>
    <row r="336" spans="1:8" x14ac:dyDescent="0.25">
      <c r="A336" s="64"/>
      <c r="B336" s="11"/>
      <c r="C336" s="11"/>
      <c r="D336" s="11"/>
      <c r="E336" s="11"/>
      <c r="F336" s="11"/>
      <c r="G336" s="12"/>
      <c r="H336" s="12"/>
    </row>
    <row r="337" spans="1:8" x14ac:dyDescent="0.25">
      <c r="A337" s="64"/>
      <c r="B337" s="11"/>
      <c r="C337" s="11"/>
      <c r="D337" s="11"/>
      <c r="E337" s="11"/>
      <c r="F337" s="11"/>
      <c r="G337" s="12"/>
      <c r="H337" s="12"/>
    </row>
    <row r="338" spans="1:8" x14ac:dyDescent="0.25">
      <c r="A338" s="64"/>
      <c r="B338" s="11"/>
      <c r="C338" s="11"/>
      <c r="D338" s="11"/>
      <c r="E338" s="11"/>
      <c r="F338" s="11"/>
      <c r="G338" s="12"/>
      <c r="H338" s="12"/>
    </row>
    <row r="339" spans="1:8" x14ac:dyDescent="0.25">
      <c r="A339" s="64"/>
      <c r="B339" s="11"/>
      <c r="C339" s="11"/>
      <c r="D339" s="11"/>
      <c r="E339" s="11"/>
      <c r="F339" s="11"/>
      <c r="G339" s="12"/>
      <c r="H339" s="12"/>
    </row>
    <row r="340" spans="1:8" x14ac:dyDescent="0.25">
      <c r="A340" s="64"/>
      <c r="B340" s="11"/>
      <c r="C340" s="11"/>
      <c r="D340" s="11"/>
      <c r="E340" s="11"/>
      <c r="F340" s="11"/>
      <c r="G340" s="12"/>
      <c r="H340" s="12"/>
    </row>
    <row r="341" spans="1:8" x14ac:dyDescent="0.25">
      <c r="A341" s="64"/>
      <c r="B341" s="11"/>
      <c r="C341" s="11"/>
      <c r="D341" s="11"/>
      <c r="E341" s="11"/>
      <c r="F341" s="11"/>
      <c r="G341" s="12"/>
      <c r="H341" s="12"/>
    </row>
    <row r="342" spans="1:8" x14ac:dyDescent="0.25">
      <c r="A342" s="64"/>
      <c r="B342" s="11"/>
      <c r="C342" s="11"/>
      <c r="D342" s="11"/>
      <c r="E342" s="11"/>
      <c r="F342" s="11"/>
      <c r="G342" s="12"/>
      <c r="H342" s="12"/>
    </row>
    <row r="343" spans="1:8" x14ac:dyDescent="0.25">
      <c r="A343" s="64"/>
      <c r="B343" s="11"/>
      <c r="C343" s="11"/>
      <c r="D343" s="11"/>
      <c r="E343" s="11"/>
      <c r="F343" s="11"/>
      <c r="G343" s="12"/>
      <c r="H343" s="12"/>
    </row>
    <row r="344" spans="1:8" x14ac:dyDescent="0.25">
      <c r="A344" s="64"/>
      <c r="B344" s="11"/>
      <c r="C344" s="11"/>
      <c r="D344" s="11"/>
      <c r="E344" s="11"/>
      <c r="F344" s="11"/>
      <c r="G344" s="12"/>
      <c r="H344" s="12"/>
    </row>
    <row r="345" spans="1:8" x14ac:dyDescent="0.25">
      <c r="A345" s="64"/>
      <c r="B345" s="11"/>
      <c r="C345" s="11"/>
      <c r="D345" s="11"/>
      <c r="E345" s="11"/>
      <c r="F345" s="11"/>
      <c r="G345" s="12"/>
      <c r="H345" s="12"/>
    </row>
    <row r="346" spans="1:8" x14ac:dyDescent="0.25">
      <c r="A346" s="64"/>
      <c r="B346" s="11"/>
      <c r="C346" s="11"/>
      <c r="D346" s="11"/>
      <c r="E346" s="11"/>
      <c r="F346" s="11"/>
      <c r="G346" s="12"/>
      <c r="H346" s="12"/>
    </row>
    <row r="347" spans="1:8" x14ac:dyDescent="0.25">
      <c r="A347" s="64"/>
      <c r="B347" s="11"/>
      <c r="C347" s="11"/>
      <c r="D347" s="11"/>
      <c r="E347" s="11"/>
      <c r="F347" s="11"/>
      <c r="G347" s="12"/>
      <c r="H347" s="12"/>
    </row>
    <row r="348" spans="1:8" x14ac:dyDescent="0.25">
      <c r="A348" s="64"/>
      <c r="B348" s="11"/>
      <c r="C348" s="11"/>
      <c r="D348" s="11"/>
      <c r="E348" s="11"/>
      <c r="F348" s="11"/>
      <c r="G348" s="12"/>
      <c r="H348" s="12"/>
    </row>
    <row r="349" spans="1:8" x14ac:dyDescent="0.25">
      <c r="A349" s="64"/>
      <c r="B349" s="11"/>
      <c r="C349" s="11"/>
      <c r="D349" s="11"/>
      <c r="E349" s="11"/>
      <c r="F349" s="11"/>
      <c r="G349" s="12"/>
      <c r="H349" s="12"/>
    </row>
    <row r="350" spans="1:8" x14ac:dyDescent="0.25">
      <c r="A350" s="64"/>
      <c r="B350" s="11"/>
      <c r="C350" s="11"/>
      <c r="D350" s="11"/>
      <c r="E350" s="11"/>
      <c r="F350" s="11"/>
      <c r="G350" s="12"/>
      <c r="H350" s="12"/>
    </row>
    <row r="351" spans="1:8" x14ac:dyDescent="0.25">
      <c r="A351" s="64"/>
      <c r="B351" s="11"/>
      <c r="C351" s="11"/>
      <c r="D351" s="11"/>
      <c r="E351" s="11"/>
      <c r="F351" s="11"/>
      <c r="G351" s="12"/>
      <c r="H351" s="12"/>
    </row>
    <row r="352" spans="1:8" x14ac:dyDescent="0.25">
      <c r="A352" s="64"/>
      <c r="B352" s="11"/>
      <c r="C352" s="11"/>
      <c r="D352" s="11"/>
      <c r="E352" s="11"/>
      <c r="F352" s="11"/>
      <c r="G352" s="12"/>
      <c r="H352" s="12"/>
    </row>
    <row r="353" spans="1:8" x14ac:dyDescent="0.25">
      <c r="A353" s="64"/>
      <c r="B353" s="11"/>
      <c r="C353" s="11"/>
      <c r="D353" s="11"/>
      <c r="E353" s="11"/>
      <c r="F353" s="11"/>
      <c r="G353" s="12"/>
      <c r="H353" s="12"/>
    </row>
    <row r="354" spans="1:8" x14ac:dyDescent="0.25">
      <c r="A354" s="64"/>
      <c r="B354" s="11"/>
      <c r="C354" s="11"/>
      <c r="D354" s="11"/>
      <c r="E354" s="11"/>
      <c r="F354" s="11"/>
      <c r="G354" s="12"/>
      <c r="H354" s="12"/>
    </row>
    <row r="355" spans="1:8" x14ac:dyDescent="0.25">
      <c r="A355" s="64"/>
      <c r="B355" s="11"/>
      <c r="C355" s="11"/>
      <c r="D355" s="11"/>
      <c r="E355" s="11"/>
      <c r="F355" s="11"/>
      <c r="G355" s="12"/>
      <c r="H355" s="12"/>
    </row>
    <row r="356" spans="1:8" x14ac:dyDescent="0.25">
      <c r="A356" s="64"/>
      <c r="B356" s="11"/>
      <c r="C356" s="11"/>
      <c r="D356" s="11"/>
      <c r="E356" s="11"/>
      <c r="F356" s="11"/>
      <c r="G356" s="12"/>
      <c r="H356" s="12"/>
    </row>
    <row r="357" spans="1:8" x14ac:dyDescent="0.25">
      <c r="A357" s="64"/>
      <c r="B357" s="11"/>
      <c r="C357" s="11"/>
      <c r="D357" s="11"/>
      <c r="E357" s="11"/>
      <c r="F357" s="11"/>
      <c r="G357" s="12"/>
      <c r="H357" s="12"/>
    </row>
    <row r="358" spans="1:8" x14ac:dyDescent="0.25">
      <c r="A358" s="64"/>
      <c r="B358" s="11"/>
      <c r="C358" s="11"/>
      <c r="D358" s="11"/>
      <c r="E358" s="11"/>
      <c r="F358" s="11"/>
      <c r="G358" s="12"/>
      <c r="H358" s="12"/>
    </row>
    <row r="359" spans="1:8" x14ac:dyDescent="0.25">
      <c r="A359" s="64"/>
      <c r="B359" s="11"/>
      <c r="C359" s="11"/>
      <c r="D359" s="11"/>
      <c r="E359" s="11"/>
      <c r="F359" s="11"/>
      <c r="G359" s="12"/>
      <c r="H359" s="12"/>
    </row>
    <row r="360" spans="1:8" x14ac:dyDescent="0.25">
      <c r="A360" s="64"/>
      <c r="B360" s="11"/>
      <c r="C360" s="11"/>
      <c r="D360" s="11"/>
      <c r="E360" s="11"/>
      <c r="F360" s="11"/>
      <c r="G360" s="12"/>
      <c r="H360" s="12"/>
    </row>
    <row r="361" spans="1:8" x14ac:dyDescent="0.25">
      <c r="A361" s="64"/>
      <c r="B361" s="11"/>
      <c r="C361" s="11"/>
      <c r="D361" s="11"/>
      <c r="E361" s="11"/>
      <c r="F361" s="11"/>
      <c r="G361" s="12"/>
      <c r="H361" s="12"/>
    </row>
    <row r="362" spans="1:8" x14ac:dyDescent="0.25">
      <c r="A362" s="64"/>
      <c r="B362" s="11"/>
      <c r="C362" s="11"/>
      <c r="D362" s="11"/>
      <c r="E362" s="11"/>
      <c r="F362" s="11"/>
      <c r="G362" s="12"/>
      <c r="H362" s="12"/>
    </row>
    <row r="363" spans="1:8" x14ac:dyDescent="0.25">
      <c r="A363" s="64"/>
      <c r="B363" s="11"/>
      <c r="C363" s="11"/>
      <c r="D363" s="11"/>
      <c r="E363" s="11"/>
      <c r="F363" s="11"/>
      <c r="G363" s="12"/>
      <c r="H363" s="12"/>
    </row>
    <row r="364" spans="1:8" x14ac:dyDescent="0.25">
      <c r="A364" s="64"/>
      <c r="B364" s="11"/>
      <c r="C364" s="11"/>
      <c r="D364" s="11"/>
      <c r="E364" s="11"/>
      <c r="F364" s="11"/>
      <c r="G364" s="12"/>
      <c r="H364" s="12"/>
    </row>
    <row r="365" spans="1:8" x14ac:dyDescent="0.25">
      <c r="A365" s="64"/>
      <c r="B365" s="11"/>
      <c r="C365" s="11"/>
      <c r="D365" s="11"/>
      <c r="E365" s="11"/>
      <c r="F365" s="11"/>
      <c r="G365" s="12"/>
      <c r="H365" s="12"/>
    </row>
    <row r="366" spans="1:8" x14ac:dyDescent="0.25">
      <c r="A366" s="64"/>
      <c r="B366" s="11"/>
      <c r="C366" s="11"/>
      <c r="D366" s="11"/>
      <c r="E366" s="11"/>
      <c r="F366" s="11"/>
      <c r="G366" s="12"/>
      <c r="H366" s="12"/>
    </row>
    <row r="367" spans="1:8" x14ac:dyDescent="0.25">
      <c r="A367" s="64"/>
      <c r="B367" s="11"/>
      <c r="C367" s="11"/>
      <c r="D367" s="11"/>
      <c r="E367" s="11"/>
      <c r="F367" s="11"/>
      <c r="G367" s="12"/>
      <c r="H367" s="12"/>
    </row>
    <row r="368" spans="1:8" x14ac:dyDescent="0.25">
      <c r="A368" s="64"/>
      <c r="B368" s="11"/>
      <c r="C368" s="11"/>
      <c r="D368" s="11"/>
      <c r="E368" s="11"/>
      <c r="F368" s="11"/>
      <c r="G368" s="12"/>
      <c r="H368" s="12"/>
    </row>
    <row r="369" spans="1:8" x14ac:dyDescent="0.25">
      <c r="A369" s="64"/>
      <c r="B369" s="11"/>
      <c r="C369" s="11"/>
      <c r="D369" s="11"/>
      <c r="E369" s="11"/>
      <c r="F369" s="11"/>
      <c r="G369" s="12"/>
      <c r="H369" s="12"/>
    </row>
    <row r="370" spans="1:8" x14ac:dyDescent="0.25">
      <c r="A370" s="64"/>
      <c r="B370" s="11"/>
      <c r="C370" s="11"/>
      <c r="D370" s="11"/>
      <c r="E370" s="11"/>
      <c r="F370" s="11"/>
      <c r="G370" s="12"/>
      <c r="H370" s="12"/>
    </row>
    <row r="371" spans="1:8" x14ac:dyDescent="0.25">
      <c r="A371" s="64"/>
      <c r="B371" s="11"/>
      <c r="C371" s="11"/>
      <c r="D371" s="11"/>
      <c r="E371" s="11"/>
      <c r="F371" s="11"/>
      <c r="G371" s="12"/>
      <c r="H371" s="12"/>
    </row>
    <row r="372" spans="1:8" x14ac:dyDescent="0.25">
      <c r="A372" s="64"/>
      <c r="B372" s="11"/>
      <c r="C372" s="11"/>
      <c r="D372" s="11"/>
      <c r="E372" s="11"/>
      <c r="F372" s="11"/>
      <c r="G372" s="12"/>
      <c r="H372" s="12"/>
    </row>
    <row r="373" spans="1:8" x14ac:dyDescent="0.25">
      <c r="A373" s="64"/>
      <c r="B373" s="11"/>
      <c r="C373" s="11"/>
      <c r="D373" s="11"/>
      <c r="E373" s="11"/>
      <c r="F373" s="11"/>
      <c r="G373" s="12"/>
      <c r="H373" s="12"/>
    </row>
    <row r="374" spans="1:8" x14ac:dyDescent="0.25">
      <c r="A374" s="64"/>
      <c r="B374" s="11"/>
      <c r="C374" s="11"/>
      <c r="D374" s="11"/>
      <c r="E374" s="11"/>
      <c r="F374" s="11"/>
      <c r="G374" s="12"/>
      <c r="H374" s="12"/>
    </row>
    <row r="375" spans="1:8" x14ac:dyDescent="0.25">
      <c r="A375" s="64"/>
      <c r="B375" s="11"/>
      <c r="C375" s="11"/>
      <c r="D375" s="11"/>
      <c r="E375" s="11"/>
      <c r="F375" s="11"/>
      <c r="G375" s="12"/>
      <c r="H375" s="12"/>
    </row>
    <row r="376" spans="1:8" x14ac:dyDescent="0.25">
      <c r="A376" s="64"/>
      <c r="B376" s="11"/>
      <c r="C376" s="11"/>
      <c r="D376" s="11"/>
      <c r="E376" s="11"/>
      <c r="F376" s="11"/>
      <c r="G376" s="12"/>
      <c r="H376" s="12"/>
    </row>
    <row r="377" spans="1:8" x14ac:dyDescent="0.25">
      <c r="A377" s="64"/>
      <c r="B377" s="11"/>
      <c r="C377" s="11"/>
      <c r="D377" s="11"/>
      <c r="E377" s="11"/>
      <c r="F377" s="11"/>
      <c r="G377" s="12"/>
      <c r="H377" s="12"/>
    </row>
    <row r="378" spans="1:8" x14ac:dyDescent="0.25">
      <c r="A378" s="64"/>
      <c r="B378" s="11"/>
      <c r="C378" s="11"/>
      <c r="D378" s="11"/>
      <c r="E378" s="11"/>
      <c r="F378" s="11"/>
      <c r="G378" s="12"/>
      <c r="H378" s="12"/>
    </row>
    <row r="379" spans="1:8" x14ac:dyDescent="0.25">
      <c r="A379" s="64"/>
      <c r="B379" s="11"/>
      <c r="C379" s="11"/>
      <c r="D379" s="11"/>
      <c r="E379" s="11"/>
      <c r="F379" s="11"/>
      <c r="G379" s="12"/>
      <c r="H379" s="12"/>
    </row>
    <row r="380" spans="1:8" x14ac:dyDescent="0.25">
      <c r="A380" s="64"/>
      <c r="B380" s="11"/>
      <c r="C380" s="11"/>
      <c r="D380" s="11"/>
      <c r="E380" s="11"/>
      <c r="F380" s="11"/>
      <c r="G380" s="12"/>
      <c r="H380" s="12"/>
    </row>
    <row r="381" spans="1:8" x14ac:dyDescent="0.25">
      <c r="A381" s="64"/>
      <c r="B381" s="11"/>
      <c r="C381" s="11"/>
      <c r="D381" s="11"/>
      <c r="E381" s="11"/>
      <c r="F381" s="11"/>
      <c r="G381" s="12"/>
      <c r="H381" s="12"/>
    </row>
    <row r="382" spans="1:8" x14ac:dyDescent="0.25">
      <c r="A382" s="64"/>
      <c r="B382" s="11"/>
      <c r="C382" s="11"/>
      <c r="D382" s="11"/>
      <c r="E382" s="11"/>
      <c r="F382" s="11"/>
      <c r="G382" s="12"/>
      <c r="H382" s="12"/>
    </row>
    <row r="383" spans="1:8" x14ac:dyDescent="0.25">
      <c r="A383" s="64"/>
      <c r="B383" s="11"/>
      <c r="C383" s="11"/>
      <c r="D383" s="11"/>
      <c r="E383" s="11"/>
      <c r="F383" s="11"/>
      <c r="G383" s="12"/>
      <c r="H383" s="12"/>
    </row>
    <row r="384" spans="1:8" x14ac:dyDescent="0.25">
      <c r="A384" s="64"/>
      <c r="B384" s="11"/>
      <c r="C384" s="11"/>
      <c r="D384" s="11"/>
      <c r="E384" s="11"/>
      <c r="F384" s="11"/>
      <c r="G384" s="12"/>
      <c r="H384" s="12"/>
    </row>
    <row r="385" spans="1:8" x14ac:dyDescent="0.25">
      <c r="A385" s="64"/>
      <c r="B385" s="11"/>
      <c r="C385" s="11"/>
      <c r="D385" s="11"/>
      <c r="E385" s="11"/>
      <c r="F385" s="11"/>
      <c r="G385" s="12"/>
      <c r="H385" s="12"/>
    </row>
    <row r="386" spans="1:8" x14ac:dyDescent="0.25">
      <c r="A386" s="64"/>
      <c r="B386" s="11"/>
      <c r="C386" s="11"/>
      <c r="D386" s="11"/>
      <c r="E386" s="11"/>
      <c r="F386" s="11"/>
      <c r="G386" s="12"/>
      <c r="H386" s="12"/>
    </row>
    <row r="387" spans="1:8" x14ac:dyDescent="0.25">
      <c r="A387" s="64"/>
      <c r="B387" s="11"/>
      <c r="C387" s="11"/>
      <c r="D387" s="11"/>
      <c r="E387" s="11"/>
      <c r="F387" s="11"/>
      <c r="G387" s="12"/>
      <c r="H387" s="12"/>
    </row>
    <row r="388" spans="1:8" x14ac:dyDescent="0.25">
      <c r="A388" s="64"/>
      <c r="B388" s="11"/>
      <c r="C388" s="11"/>
      <c r="D388" s="11"/>
      <c r="E388" s="11"/>
      <c r="F388" s="11"/>
      <c r="G388" s="12"/>
      <c r="H388" s="12"/>
    </row>
    <row r="389" spans="1:8" x14ac:dyDescent="0.25">
      <c r="A389" s="64"/>
      <c r="B389" s="11"/>
      <c r="C389" s="11"/>
      <c r="D389" s="11"/>
      <c r="E389" s="11"/>
      <c r="F389" s="11"/>
      <c r="G389" s="12"/>
      <c r="H389" s="12"/>
    </row>
    <row r="390" spans="1:8" x14ac:dyDescent="0.25">
      <c r="A390" s="64"/>
      <c r="B390" s="11"/>
      <c r="C390" s="11"/>
      <c r="D390" s="11"/>
      <c r="E390" s="11"/>
      <c r="F390" s="11"/>
      <c r="G390" s="12"/>
      <c r="H390" s="12"/>
    </row>
    <row r="391" spans="1:8" x14ac:dyDescent="0.25">
      <c r="A391" s="64"/>
      <c r="B391" s="11"/>
      <c r="C391" s="11"/>
      <c r="D391" s="11"/>
      <c r="E391" s="11"/>
      <c r="F391" s="11"/>
      <c r="G391" s="12"/>
      <c r="H391" s="12"/>
    </row>
    <row r="392" spans="1:8" x14ac:dyDescent="0.25">
      <c r="A392" s="64"/>
      <c r="B392" s="11"/>
      <c r="C392" s="11"/>
      <c r="D392" s="11"/>
      <c r="E392" s="11"/>
      <c r="F392" s="11"/>
      <c r="G392" s="12"/>
      <c r="H392" s="12"/>
    </row>
    <row r="393" spans="1:8" x14ac:dyDescent="0.25">
      <c r="A393" s="64"/>
      <c r="B393" s="11"/>
      <c r="C393" s="11"/>
      <c r="D393" s="11"/>
      <c r="E393" s="11"/>
      <c r="F393" s="11"/>
      <c r="G393" s="12"/>
      <c r="H393" s="12"/>
    </row>
    <row r="394" spans="1:8" x14ac:dyDescent="0.25">
      <c r="A394" s="64"/>
      <c r="B394" s="11"/>
      <c r="C394" s="11"/>
      <c r="D394" s="11"/>
      <c r="E394" s="11"/>
      <c r="F394" s="11"/>
      <c r="G394" s="12"/>
      <c r="H394" s="12"/>
    </row>
    <row r="395" spans="1:8" x14ac:dyDescent="0.25">
      <c r="A395" s="64"/>
      <c r="B395" s="11"/>
      <c r="C395" s="11"/>
      <c r="D395" s="11"/>
      <c r="E395" s="11"/>
      <c r="F395" s="11"/>
      <c r="G395" s="12"/>
      <c r="H395" s="12"/>
    </row>
    <row r="396" spans="1:8" x14ac:dyDescent="0.25">
      <c r="A396" s="64"/>
      <c r="B396" s="11"/>
      <c r="C396" s="11"/>
      <c r="D396" s="11"/>
      <c r="E396" s="11"/>
      <c r="F396" s="11"/>
      <c r="G396" s="12"/>
      <c r="H396" s="12"/>
    </row>
    <row r="397" spans="1:8" x14ac:dyDescent="0.25">
      <c r="A397" s="64"/>
      <c r="B397" s="11"/>
      <c r="C397" s="11"/>
      <c r="D397" s="11"/>
      <c r="E397" s="11"/>
      <c r="F397" s="11"/>
      <c r="G397" s="12"/>
      <c r="H397" s="12"/>
    </row>
    <row r="398" spans="1:8" x14ac:dyDescent="0.25">
      <c r="A398" s="64"/>
      <c r="B398" s="11"/>
      <c r="C398" s="11"/>
      <c r="D398" s="11"/>
      <c r="E398" s="11"/>
      <c r="F398" s="11"/>
      <c r="G398" s="12"/>
      <c r="H398" s="12"/>
    </row>
    <row r="399" spans="1:8" x14ac:dyDescent="0.25">
      <c r="A399" s="64"/>
      <c r="B399" s="11"/>
      <c r="C399" s="11"/>
      <c r="D399" s="11"/>
      <c r="E399" s="11"/>
      <c r="F399" s="11"/>
      <c r="G399" s="12"/>
      <c r="H399" s="12"/>
    </row>
  </sheetData>
  <autoFilter ref="A1:BB1" xr:uid="{00000000-0009-0000-0000-000006000000}">
    <sortState xmlns:xlrd2="http://schemas.microsoft.com/office/spreadsheetml/2017/richdata2" ref="A2:BB85">
      <sortCondition ref="G1"/>
    </sortState>
  </autoFilter>
  <printOptions gridLines="1"/>
  <pageMargins left="0.70866141732283472" right="0.70866141732283472" top="0.78740157480314965" bottom="0.78740157480314965" header="0.31496062992125984" footer="0.31496062992125984"/>
  <pageSetup paperSize="9" scale="59" fitToHeight="0" orientation="landscape" horizontalDpi="4294967293" verticalDpi="4294967293" r:id="rId1"/>
  <headerFooter>
    <oddHeader>&amp;L&amp;14&amp;A</oddHeader>
    <oddFooter>&amp;LSeite &amp;P&amp;R&amp;Z&amp;F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E170-7CE5-4267-A614-3B9002D59CE5}">
  <sheetPr>
    <tabColor theme="8" tint="0.59999389629810485"/>
    <pageSetUpPr fitToPage="1"/>
  </sheetPr>
  <dimension ref="A1:AY377"/>
  <sheetViews>
    <sheetView zoomScale="90" zoomScaleNormal="90" workbookViewId="0">
      <pane ySplit="1" topLeftCell="A2" activePane="bottomLeft" state="frozen"/>
      <selection pane="bottomLeft" activeCell="A15" sqref="A15:XFD15"/>
    </sheetView>
  </sheetViews>
  <sheetFormatPr baseColWidth="10" defaultColWidth="10.85546875" defaultRowHeight="33.75" x14ac:dyDescent="0.25"/>
  <cols>
    <col min="1" max="2" width="5.5703125" style="37" customWidth="1"/>
    <col min="3" max="3" width="14.5703125" style="37" customWidth="1"/>
    <col min="4" max="6" width="5.5703125" style="37" customWidth="1"/>
    <col min="7" max="7" width="20.5703125" style="37" customWidth="1"/>
    <col min="8" max="8" width="8.5703125" style="38" customWidth="1"/>
    <col min="9" max="9" width="14.5703125" style="29" customWidth="1"/>
    <col min="10" max="18" width="14.5703125" style="31" customWidth="1"/>
    <col min="19" max="19" width="2" style="35" customWidth="1"/>
    <col min="20" max="33" width="14.5703125" style="31" customWidth="1"/>
    <col min="34" max="42" width="14.5703125" style="36" customWidth="1"/>
    <col min="43" max="43" width="2.28515625" style="21" customWidth="1"/>
    <col min="44" max="47" width="12.5703125" style="22" customWidth="1"/>
    <col min="48" max="48" width="12.140625" style="22" customWidth="1"/>
    <col min="49" max="16384" width="10.85546875" style="22"/>
  </cols>
  <sheetData>
    <row r="1" spans="1:51" s="10" customFormat="1" ht="62.4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18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</row>
    <row r="2" spans="1:51" ht="38.1" customHeight="1" x14ac:dyDescent="0.25">
      <c r="A2" s="11">
        <v>16</v>
      </c>
      <c r="B2" s="11">
        <v>30</v>
      </c>
      <c r="C2" s="11" t="s">
        <v>49</v>
      </c>
      <c r="D2" s="11">
        <v>1</v>
      </c>
      <c r="E2" s="11">
        <v>1</v>
      </c>
      <c r="F2" s="11">
        <v>3</v>
      </c>
      <c r="G2" s="11" t="s">
        <v>50</v>
      </c>
      <c r="H2" s="12">
        <v>1</v>
      </c>
      <c r="I2" s="13"/>
      <c r="J2" s="14"/>
      <c r="K2" s="15">
        <v>45079</v>
      </c>
      <c r="L2" s="15">
        <v>45093</v>
      </c>
      <c r="M2" s="16">
        <v>12</v>
      </c>
      <c r="N2" s="16">
        <v>14</v>
      </c>
      <c r="O2" s="16">
        <f>M2*1/0.2</f>
        <v>60</v>
      </c>
      <c r="P2" s="16">
        <f>N2*1/0.2</f>
        <v>70</v>
      </c>
      <c r="Q2" s="16">
        <v>60</v>
      </c>
      <c r="R2" s="16">
        <v>50</v>
      </c>
      <c r="S2" s="17"/>
      <c r="T2" s="16">
        <v>1.536</v>
      </c>
      <c r="U2" s="16">
        <v>0.34</v>
      </c>
      <c r="V2" s="16">
        <v>0.84599999999999997</v>
      </c>
      <c r="W2" s="16">
        <v>131</v>
      </c>
      <c r="X2" s="16">
        <v>104.108</v>
      </c>
      <c r="Y2" s="16">
        <v>94</v>
      </c>
      <c r="Z2" s="16">
        <v>71.311999999999998</v>
      </c>
      <c r="AA2" s="16">
        <v>83</v>
      </c>
      <c r="AB2" s="16">
        <v>69.718999999999994</v>
      </c>
      <c r="AC2" s="16">
        <v>104</v>
      </c>
      <c r="AD2" s="16">
        <f>0.4095*AC2-1.3432</f>
        <v>41.244799999999991</v>
      </c>
      <c r="AE2" s="16">
        <v>1.62</v>
      </c>
      <c r="AF2" s="16">
        <v>1.83</v>
      </c>
      <c r="AG2" s="16">
        <v>8.01</v>
      </c>
      <c r="AH2" s="18">
        <v>8.27</v>
      </c>
      <c r="AI2" s="18">
        <f t="shared" ref="AI2:AI65" si="0">((AE2+AF2)/2)*20</f>
        <v>34.5</v>
      </c>
      <c r="AJ2" s="18">
        <f t="shared" ref="AJ2:AJ65" si="1">((AG2+AH2)/2)*20</f>
        <v>162.80000000000001</v>
      </c>
      <c r="AK2" s="19">
        <f t="shared" ref="AK2:AK65" si="2">Z2/Y2</f>
        <v>0.75863829787234038</v>
      </c>
      <c r="AL2" s="19">
        <f t="shared" ref="AL2:AL65" si="3">AB2/AA2</f>
        <v>0.83998795180722885</v>
      </c>
      <c r="AM2" s="20">
        <f t="shared" ref="AM2:AN33" si="4">AO2*AK2</f>
        <v>0.46475138968755986</v>
      </c>
      <c r="AN2" s="20">
        <f t="shared" si="4"/>
        <v>1.2804140670791271</v>
      </c>
      <c r="AO2" s="19">
        <f t="shared" ref="AO2:AP33" si="5">U2/(1.5*3.7)*10</f>
        <v>0.61261261261261257</v>
      </c>
      <c r="AP2" s="19">
        <f t="shared" si="5"/>
        <v>1.5243243243243241</v>
      </c>
      <c r="AR2" s="22">
        <v>2.2999999999999998</v>
      </c>
      <c r="AS2" s="23">
        <f t="shared" ref="AS2:AS65" si="6">AR2*AX2</f>
        <v>0.94195979899497484</v>
      </c>
      <c r="AT2" s="23">
        <f t="shared" ref="AT2:AT65" si="7">AR2/(1.5*3.7)*10</f>
        <v>4.1441441441441436</v>
      </c>
      <c r="AU2" s="24">
        <f t="shared" ref="AU2:AU65" si="8">AT2*AX2</f>
        <v>1.6972248630540085</v>
      </c>
      <c r="AV2" s="22">
        <v>1194</v>
      </c>
      <c r="AW2" s="22">
        <v>489</v>
      </c>
      <c r="AX2" s="23">
        <f t="shared" ref="AX2:AX65" si="9">AW2/AV2</f>
        <v>0.40954773869346733</v>
      </c>
    </row>
    <row r="3" spans="1:51" ht="38.1" customHeight="1" x14ac:dyDescent="0.25">
      <c r="A3" s="11">
        <v>2</v>
      </c>
      <c r="B3" s="11">
        <v>23</v>
      </c>
      <c r="C3" s="25" t="s">
        <v>51</v>
      </c>
      <c r="D3" s="11">
        <v>1</v>
      </c>
      <c r="E3" s="11">
        <v>1</v>
      </c>
      <c r="F3" s="11">
        <v>6</v>
      </c>
      <c r="G3" s="11" t="s">
        <v>52</v>
      </c>
      <c r="H3" s="12">
        <v>2</v>
      </c>
      <c r="I3" s="15">
        <v>45039</v>
      </c>
      <c r="J3" s="26"/>
      <c r="K3" s="15" t="s">
        <v>53</v>
      </c>
      <c r="L3" s="15"/>
      <c r="M3" s="27" t="s">
        <v>53</v>
      </c>
      <c r="N3" s="16">
        <v>51</v>
      </c>
      <c r="O3" s="16" t="e">
        <f t="shared" ref="O3:P66" si="10">M3*1/0.2</f>
        <v>#VALUE!</v>
      </c>
      <c r="P3" s="16">
        <f t="shared" si="10"/>
        <v>255</v>
      </c>
      <c r="Q3" s="16">
        <v>75</v>
      </c>
      <c r="R3" s="16" t="s">
        <v>53</v>
      </c>
      <c r="S3" s="17"/>
      <c r="T3" s="27">
        <v>1.403</v>
      </c>
      <c r="U3" s="27">
        <v>1.03</v>
      </c>
      <c r="V3" s="27"/>
      <c r="W3" s="27"/>
      <c r="X3" s="27"/>
      <c r="Y3" s="27">
        <v>85</v>
      </c>
      <c r="Z3" s="27">
        <v>73.084999999999994</v>
      </c>
      <c r="AA3" s="27"/>
      <c r="AB3" s="27"/>
      <c r="AC3" s="27">
        <v>108</v>
      </c>
      <c r="AD3" s="16">
        <f>0.4095*AC3-1.3432</f>
        <v>42.882799999999996</v>
      </c>
      <c r="AE3" s="27">
        <v>1.74</v>
      </c>
      <c r="AF3" s="27">
        <v>1.84</v>
      </c>
      <c r="AG3" s="27"/>
      <c r="AH3" s="28"/>
      <c r="AI3" s="18">
        <f t="shared" si="0"/>
        <v>35.799999999999997</v>
      </c>
      <c r="AJ3" s="18">
        <f t="shared" si="1"/>
        <v>0</v>
      </c>
      <c r="AK3" s="19">
        <f t="shared" si="2"/>
        <v>0.85982352941176465</v>
      </c>
      <c r="AL3" s="19" t="e">
        <f t="shared" si="3"/>
        <v>#DIV/0!</v>
      </c>
      <c r="AM3" s="20">
        <f t="shared" si="4"/>
        <v>1.595708532061473</v>
      </c>
      <c r="AN3" s="20" t="e">
        <f t="shared" si="4"/>
        <v>#DIV/0!</v>
      </c>
      <c r="AO3" s="19">
        <f t="shared" si="5"/>
        <v>1.8558558558558558</v>
      </c>
      <c r="AP3" s="19">
        <f t="shared" si="5"/>
        <v>0</v>
      </c>
      <c r="AR3" s="22">
        <v>2.6</v>
      </c>
      <c r="AS3" s="23">
        <f t="shared" si="6"/>
        <v>1.6470978441127695</v>
      </c>
      <c r="AT3" s="23">
        <f t="shared" si="7"/>
        <v>4.6846846846846839</v>
      </c>
      <c r="AU3" s="23">
        <f t="shared" si="8"/>
        <v>2.9677438632662509</v>
      </c>
      <c r="AV3" s="22">
        <v>603</v>
      </c>
      <c r="AW3" s="22">
        <v>382</v>
      </c>
      <c r="AX3" s="23">
        <f t="shared" si="9"/>
        <v>0.63349917081260365</v>
      </c>
    </row>
    <row r="4" spans="1:51" ht="38.1" customHeight="1" x14ac:dyDescent="0.25">
      <c r="A4" s="11">
        <v>11</v>
      </c>
      <c r="B4" s="11">
        <v>39</v>
      </c>
      <c r="C4" s="11" t="s">
        <v>54</v>
      </c>
      <c r="D4" s="11">
        <v>1</v>
      </c>
      <c r="E4" s="11">
        <v>1</v>
      </c>
      <c r="F4" s="11">
        <v>9</v>
      </c>
      <c r="G4" s="11" t="s">
        <v>55</v>
      </c>
      <c r="H4" s="12">
        <v>3</v>
      </c>
      <c r="J4" s="26"/>
      <c r="K4" s="15">
        <v>45083</v>
      </c>
      <c r="L4" s="15">
        <v>45095</v>
      </c>
      <c r="M4" s="27">
        <v>8</v>
      </c>
      <c r="N4" s="16">
        <v>13</v>
      </c>
      <c r="O4" s="16">
        <f t="shared" si="10"/>
        <v>40</v>
      </c>
      <c r="P4" s="16">
        <f t="shared" si="10"/>
        <v>65</v>
      </c>
      <c r="Q4" s="16">
        <v>85</v>
      </c>
      <c r="R4" s="16">
        <v>50</v>
      </c>
      <c r="S4" s="17"/>
      <c r="T4" s="27">
        <v>1.0780000000000001</v>
      </c>
      <c r="U4" s="27">
        <v>0.224</v>
      </c>
      <c r="V4" s="27">
        <v>0.53600000000000003</v>
      </c>
      <c r="W4" s="27">
        <v>131</v>
      </c>
      <c r="X4" s="27">
        <v>104.508</v>
      </c>
      <c r="Y4" s="27">
        <v>74</v>
      </c>
      <c r="Z4" s="27">
        <v>67.546999999999997</v>
      </c>
      <c r="AA4" s="27">
        <v>86</v>
      </c>
      <c r="AB4" s="27">
        <v>71.531999999999996</v>
      </c>
      <c r="AC4" s="27">
        <v>95</v>
      </c>
      <c r="AD4" s="16">
        <f>0.4095*AC4-1.3432</f>
        <v>37.559299999999993</v>
      </c>
      <c r="AE4" s="27">
        <v>2.29</v>
      </c>
      <c r="AF4" s="27">
        <v>2.16</v>
      </c>
      <c r="AG4" s="27">
        <v>9.4499999999999993</v>
      </c>
      <c r="AH4" s="28">
        <v>6.12</v>
      </c>
      <c r="AI4" s="18">
        <f t="shared" si="0"/>
        <v>44.5</v>
      </c>
      <c r="AJ4" s="18">
        <f t="shared" si="1"/>
        <v>155.69999999999999</v>
      </c>
      <c r="AK4" s="19">
        <f t="shared" si="2"/>
        <v>0.91279729729729731</v>
      </c>
      <c r="AL4" s="19">
        <f t="shared" si="3"/>
        <v>0.83176744186046503</v>
      </c>
      <c r="AM4" s="20">
        <f t="shared" si="4"/>
        <v>0.36840827854881908</v>
      </c>
      <c r="AN4" s="20">
        <f t="shared" si="4"/>
        <v>0.80329252042740407</v>
      </c>
      <c r="AO4" s="19">
        <f t="shared" si="5"/>
        <v>0.40360360360360359</v>
      </c>
      <c r="AP4" s="19">
        <f t="shared" si="5"/>
        <v>0.96576576576576578</v>
      </c>
      <c r="AR4" s="22">
        <v>2.7</v>
      </c>
      <c r="AS4" s="23">
        <f t="shared" si="6"/>
        <v>1.3153072625698325</v>
      </c>
      <c r="AT4" s="23">
        <f t="shared" si="7"/>
        <v>4.8648648648648649</v>
      </c>
      <c r="AU4" s="23">
        <f t="shared" si="8"/>
        <v>2.3699229956213195</v>
      </c>
      <c r="AV4" s="22">
        <v>895</v>
      </c>
      <c r="AW4" s="22">
        <v>436</v>
      </c>
      <c r="AX4" s="23">
        <f t="shared" si="9"/>
        <v>0.4871508379888268</v>
      </c>
    </row>
    <row r="5" spans="1:51" ht="38.1" customHeight="1" x14ac:dyDescent="0.25">
      <c r="A5" s="11">
        <v>7</v>
      </c>
      <c r="B5" s="11">
        <v>21</v>
      </c>
      <c r="C5" s="25" t="s">
        <v>56</v>
      </c>
      <c r="D5" s="11">
        <v>1</v>
      </c>
      <c r="E5" s="11">
        <v>1</v>
      </c>
      <c r="F5" s="11">
        <v>12</v>
      </c>
      <c r="G5" s="11" t="s">
        <v>57</v>
      </c>
      <c r="H5" s="12">
        <v>4</v>
      </c>
      <c r="I5" s="15">
        <v>45036</v>
      </c>
      <c r="J5" s="26"/>
      <c r="K5" s="15">
        <v>45081</v>
      </c>
      <c r="L5" s="15">
        <v>45095</v>
      </c>
      <c r="M5" s="27">
        <v>15</v>
      </c>
      <c r="N5" s="16" t="s">
        <v>53</v>
      </c>
      <c r="O5" s="16">
        <f t="shared" si="10"/>
        <v>75</v>
      </c>
      <c r="P5" s="16" t="e">
        <f t="shared" si="10"/>
        <v>#VALUE!</v>
      </c>
      <c r="Q5" s="16" t="s">
        <v>53</v>
      </c>
      <c r="R5" s="16">
        <v>45</v>
      </c>
      <c r="S5" s="17"/>
      <c r="T5" s="27">
        <v>1.2310000000000001</v>
      </c>
      <c r="U5" s="27"/>
      <c r="V5" s="27">
        <v>0.99099999999999999</v>
      </c>
      <c r="W5" s="27"/>
      <c r="X5" s="27"/>
      <c r="Y5" s="27"/>
      <c r="Z5" s="27"/>
      <c r="AA5" s="27">
        <v>81</v>
      </c>
      <c r="AB5" s="27">
        <v>63.28</v>
      </c>
      <c r="AC5" s="27"/>
      <c r="AD5" s="16"/>
      <c r="AE5" s="27"/>
      <c r="AF5" s="27"/>
      <c r="AG5" s="27">
        <v>9</v>
      </c>
      <c r="AH5" s="28">
        <v>9.8800000000000008</v>
      </c>
      <c r="AI5" s="18">
        <f t="shared" si="0"/>
        <v>0</v>
      </c>
      <c r="AJ5" s="18">
        <f t="shared" si="1"/>
        <v>188.8</v>
      </c>
      <c r="AK5" s="19" t="e">
        <f t="shared" si="2"/>
        <v>#DIV/0!</v>
      </c>
      <c r="AL5" s="19">
        <f t="shared" si="3"/>
        <v>0.78123456790123458</v>
      </c>
      <c r="AM5" s="20" t="e">
        <f t="shared" si="4"/>
        <v>#DIV/0!</v>
      </c>
      <c r="AN5" s="20">
        <f t="shared" si="4"/>
        <v>1.3949611834056277</v>
      </c>
      <c r="AO5" s="19">
        <f t="shared" si="5"/>
        <v>0</v>
      </c>
      <c r="AP5" s="19">
        <f t="shared" si="5"/>
        <v>1.7855855855855853</v>
      </c>
      <c r="AR5" s="22">
        <v>3.35</v>
      </c>
      <c r="AS5" s="23">
        <f t="shared" si="6"/>
        <v>1.599678800856531</v>
      </c>
      <c r="AT5" s="23">
        <f t="shared" si="7"/>
        <v>6.0360360360360357</v>
      </c>
      <c r="AU5" s="23">
        <f t="shared" si="8"/>
        <v>2.882304145687443</v>
      </c>
      <c r="AV5" s="22">
        <v>934</v>
      </c>
      <c r="AW5" s="22">
        <v>446</v>
      </c>
      <c r="AX5" s="23">
        <f t="shared" si="9"/>
        <v>0.47751605995717344</v>
      </c>
    </row>
    <row r="6" spans="1:51" ht="38.1" customHeight="1" x14ac:dyDescent="0.25">
      <c r="A6" s="11">
        <v>14</v>
      </c>
      <c r="B6" s="11">
        <v>41</v>
      </c>
      <c r="C6" s="11" t="s">
        <v>58</v>
      </c>
      <c r="D6" s="11">
        <v>1</v>
      </c>
      <c r="E6" s="11">
        <v>1</v>
      </c>
      <c r="F6" s="11">
        <v>15</v>
      </c>
      <c r="G6" s="11" t="s">
        <v>59</v>
      </c>
      <c r="H6" s="12">
        <v>5</v>
      </c>
      <c r="J6" s="26"/>
      <c r="K6" s="15">
        <v>45084</v>
      </c>
      <c r="L6" s="15">
        <v>45096</v>
      </c>
      <c r="M6" s="27">
        <v>10</v>
      </c>
      <c r="N6" s="16">
        <v>8</v>
      </c>
      <c r="O6" s="16">
        <f t="shared" si="10"/>
        <v>50</v>
      </c>
      <c r="P6" s="16">
        <f t="shared" si="10"/>
        <v>40</v>
      </c>
      <c r="Q6" s="16">
        <v>80</v>
      </c>
      <c r="R6" s="16">
        <v>45</v>
      </c>
      <c r="S6" s="17"/>
      <c r="T6" s="27">
        <v>1.504</v>
      </c>
      <c r="U6" s="27">
        <v>0.40899999999999997</v>
      </c>
      <c r="V6" s="27">
        <v>0.68</v>
      </c>
      <c r="W6" s="27">
        <v>137</v>
      </c>
      <c r="X6" s="27">
        <v>108.738</v>
      </c>
      <c r="Y6" s="27">
        <v>77</v>
      </c>
      <c r="Z6" s="27">
        <v>65.817999999999998</v>
      </c>
      <c r="AA6" s="27">
        <v>87</v>
      </c>
      <c r="AB6" s="27">
        <v>73.599999999999994</v>
      </c>
      <c r="AC6" s="27">
        <v>109</v>
      </c>
      <c r="AD6" s="16">
        <f t="shared" ref="AD6:AD11" si="11">0.4095*AC6-1.3432</f>
        <v>43.292299999999997</v>
      </c>
      <c r="AE6" s="27">
        <v>2.02</v>
      </c>
      <c r="AF6" s="27">
        <v>1.95</v>
      </c>
      <c r="AG6" s="27">
        <v>7.51</v>
      </c>
      <c r="AH6" s="28">
        <v>7.39</v>
      </c>
      <c r="AI6" s="18">
        <f t="shared" si="0"/>
        <v>39.699999999999996</v>
      </c>
      <c r="AJ6" s="18">
        <f t="shared" si="1"/>
        <v>149</v>
      </c>
      <c r="AK6" s="19">
        <f t="shared" si="2"/>
        <v>0.85477922077922075</v>
      </c>
      <c r="AL6" s="19">
        <f t="shared" si="3"/>
        <v>0.84597701149425286</v>
      </c>
      <c r="AM6" s="20">
        <f t="shared" si="4"/>
        <v>0.62991838071838058</v>
      </c>
      <c r="AN6" s="20">
        <f t="shared" si="4"/>
        <v>1.0365123744434088</v>
      </c>
      <c r="AO6" s="19">
        <f t="shared" si="5"/>
        <v>0.73693693693693674</v>
      </c>
      <c r="AP6" s="19">
        <f t="shared" si="5"/>
        <v>1.2252252252252251</v>
      </c>
      <c r="AR6" s="22">
        <v>3.25</v>
      </c>
      <c r="AS6" s="23">
        <f t="shared" si="6"/>
        <v>1.373083475298126</v>
      </c>
      <c r="AT6" s="23">
        <f t="shared" si="7"/>
        <v>5.8558558558558547</v>
      </c>
      <c r="AU6" s="23">
        <f t="shared" si="8"/>
        <v>2.4740242798164429</v>
      </c>
      <c r="AV6" s="22">
        <v>1174</v>
      </c>
      <c r="AW6" s="22">
        <v>496</v>
      </c>
      <c r="AX6" s="23">
        <f t="shared" si="9"/>
        <v>0.42248722316865417</v>
      </c>
    </row>
    <row r="7" spans="1:51" ht="38.1" customHeight="1" x14ac:dyDescent="0.25">
      <c r="A7" s="11">
        <v>17</v>
      </c>
      <c r="B7" s="11">
        <v>43</v>
      </c>
      <c r="C7" s="11" t="s">
        <v>60</v>
      </c>
      <c r="D7" s="11">
        <v>1</v>
      </c>
      <c r="E7" s="11">
        <v>1</v>
      </c>
      <c r="F7" s="11">
        <v>18</v>
      </c>
      <c r="G7" s="11" t="s">
        <v>61</v>
      </c>
      <c r="H7" s="12">
        <v>6</v>
      </c>
      <c r="J7" s="26"/>
      <c r="K7" s="15">
        <v>45084</v>
      </c>
      <c r="L7" s="15">
        <v>45095</v>
      </c>
      <c r="M7" s="27">
        <v>10</v>
      </c>
      <c r="N7" s="16">
        <v>9</v>
      </c>
      <c r="O7" s="16">
        <f t="shared" si="10"/>
        <v>50</v>
      </c>
      <c r="P7" s="16">
        <f t="shared" si="10"/>
        <v>45</v>
      </c>
      <c r="Q7" s="16">
        <v>65</v>
      </c>
      <c r="R7" s="16">
        <v>40</v>
      </c>
      <c r="S7" s="17"/>
      <c r="T7" s="27">
        <v>1.095</v>
      </c>
      <c r="U7" s="27">
        <v>0.30099999999999999</v>
      </c>
      <c r="V7" s="27">
        <v>0.44</v>
      </c>
      <c r="W7" s="27">
        <v>118</v>
      </c>
      <c r="X7" s="27">
        <v>93.831999999999994</v>
      </c>
      <c r="Y7" s="27">
        <v>71</v>
      </c>
      <c r="Z7" s="27">
        <v>65.896000000000001</v>
      </c>
      <c r="AA7" s="27">
        <v>77</v>
      </c>
      <c r="AB7" s="27">
        <v>64.734999999999999</v>
      </c>
      <c r="AC7" s="27">
        <v>93</v>
      </c>
      <c r="AD7" s="16">
        <f t="shared" si="11"/>
        <v>36.740299999999998</v>
      </c>
      <c r="AE7" s="27">
        <v>1.96</v>
      </c>
      <c r="AF7" s="27">
        <v>2.0299999999999998</v>
      </c>
      <c r="AG7" s="27">
        <v>7.56</v>
      </c>
      <c r="AH7" s="28">
        <v>6.83</v>
      </c>
      <c r="AI7" s="18">
        <f t="shared" si="0"/>
        <v>39.9</v>
      </c>
      <c r="AJ7" s="18">
        <f t="shared" si="1"/>
        <v>143.9</v>
      </c>
      <c r="AK7" s="19">
        <f t="shared" si="2"/>
        <v>0.92811267605633807</v>
      </c>
      <c r="AL7" s="19">
        <f t="shared" si="3"/>
        <v>0.84071428571428575</v>
      </c>
      <c r="AM7" s="20">
        <f t="shared" si="4"/>
        <v>0.50335480269001387</v>
      </c>
      <c r="AN7" s="20">
        <f t="shared" si="4"/>
        <v>0.66651222651222641</v>
      </c>
      <c r="AO7" s="19">
        <f t="shared" si="5"/>
        <v>0.54234234234234224</v>
      </c>
      <c r="AP7" s="19">
        <f t="shared" si="5"/>
        <v>0.79279279279279269</v>
      </c>
      <c r="AR7" s="22">
        <v>1.85</v>
      </c>
      <c r="AS7" s="23">
        <f t="shared" si="6"/>
        <v>1.2639233370913192</v>
      </c>
      <c r="AT7" s="23">
        <f t="shared" si="7"/>
        <v>3.333333333333333</v>
      </c>
      <c r="AU7" s="23">
        <f t="shared" si="8"/>
        <v>2.2773393461104847</v>
      </c>
      <c r="AV7" s="22">
        <v>887</v>
      </c>
      <c r="AW7" s="22">
        <v>606</v>
      </c>
      <c r="AX7" s="23">
        <f t="shared" si="9"/>
        <v>0.68320180383314544</v>
      </c>
      <c r="AY7" s="30"/>
    </row>
    <row r="8" spans="1:51" ht="38.1" customHeight="1" x14ac:dyDescent="0.25">
      <c r="A8" s="11">
        <v>5</v>
      </c>
      <c r="B8" s="11">
        <v>26</v>
      </c>
      <c r="C8" s="25" t="s">
        <v>62</v>
      </c>
      <c r="D8" s="11">
        <v>1</v>
      </c>
      <c r="E8" s="11">
        <v>1</v>
      </c>
      <c r="F8" s="11">
        <v>21</v>
      </c>
      <c r="G8" s="11" t="s">
        <v>63</v>
      </c>
      <c r="H8" s="12">
        <v>7</v>
      </c>
      <c r="I8" s="15">
        <v>45038</v>
      </c>
      <c r="J8" s="26"/>
      <c r="K8" s="15" t="s">
        <v>53</v>
      </c>
      <c r="L8" s="15"/>
      <c r="M8" s="27" t="s">
        <v>53</v>
      </c>
      <c r="N8" s="16">
        <v>26</v>
      </c>
      <c r="O8" s="16" t="e">
        <f t="shared" si="10"/>
        <v>#VALUE!</v>
      </c>
      <c r="P8" s="16">
        <f t="shared" si="10"/>
        <v>130</v>
      </c>
      <c r="Q8" s="16">
        <v>75</v>
      </c>
      <c r="R8" s="16" t="s">
        <v>53</v>
      </c>
      <c r="S8" s="17"/>
      <c r="T8" s="27">
        <v>1.8480000000000001</v>
      </c>
      <c r="U8" s="27">
        <v>1.4379999999999999</v>
      </c>
      <c r="V8" s="27"/>
      <c r="W8" s="27"/>
      <c r="X8" s="27"/>
      <c r="Y8" s="27">
        <v>80</v>
      </c>
      <c r="Z8" s="27">
        <v>68.676000000000002</v>
      </c>
      <c r="AA8" s="27"/>
      <c r="AB8" s="27"/>
      <c r="AC8" s="27">
        <v>112</v>
      </c>
      <c r="AD8" s="16">
        <f t="shared" si="11"/>
        <v>44.520799999999994</v>
      </c>
      <c r="AE8" s="27">
        <v>1.78</v>
      </c>
      <c r="AF8" s="27">
        <v>1.62</v>
      </c>
      <c r="AG8" s="27"/>
      <c r="AH8" s="28"/>
      <c r="AI8" s="18">
        <f t="shared" si="0"/>
        <v>34</v>
      </c>
      <c r="AJ8" s="18">
        <f t="shared" si="1"/>
        <v>0</v>
      </c>
      <c r="AK8" s="19">
        <f t="shared" si="2"/>
        <v>0.85845000000000005</v>
      </c>
      <c r="AL8" s="19" t="e">
        <f t="shared" si="3"/>
        <v>#DIV/0!</v>
      </c>
      <c r="AM8" s="20">
        <f t="shared" si="4"/>
        <v>2.2242362162162159</v>
      </c>
      <c r="AN8" s="20" t="e">
        <f t="shared" si="4"/>
        <v>#DIV/0!</v>
      </c>
      <c r="AO8" s="19">
        <f t="shared" si="5"/>
        <v>2.5909909909909907</v>
      </c>
      <c r="AP8" s="19">
        <f t="shared" si="5"/>
        <v>0</v>
      </c>
      <c r="AR8" s="22">
        <v>2.8</v>
      </c>
      <c r="AS8" s="23">
        <f t="shared" si="6"/>
        <v>1.922112211221122</v>
      </c>
      <c r="AT8" s="23">
        <f t="shared" si="7"/>
        <v>5.045045045045045</v>
      </c>
      <c r="AU8" s="23">
        <f t="shared" si="8"/>
        <v>3.4632652454434631</v>
      </c>
      <c r="AV8" s="22">
        <v>606</v>
      </c>
      <c r="AW8" s="22">
        <v>416</v>
      </c>
      <c r="AX8" s="23">
        <f t="shared" si="9"/>
        <v>0.68646864686468645</v>
      </c>
    </row>
    <row r="9" spans="1:51" ht="38.1" customHeight="1" x14ac:dyDescent="0.25">
      <c r="A9" s="11">
        <v>15</v>
      </c>
      <c r="B9" s="11">
        <v>42</v>
      </c>
      <c r="C9" s="11" t="s">
        <v>64</v>
      </c>
      <c r="D9" s="11">
        <v>1</v>
      </c>
      <c r="E9" s="11">
        <v>1</v>
      </c>
      <c r="F9" s="11">
        <v>24</v>
      </c>
      <c r="G9" s="11" t="s">
        <v>65</v>
      </c>
      <c r="H9" s="12">
        <v>8</v>
      </c>
      <c r="J9" s="26"/>
      <c r="K9" s="15">
        <v>45083</v>
      </c>
      <c r="L9" s="15">
        <v>45097</v>
      </c>
      <c r="M9" s="27">
        <v>14</v>
      </c>
      <c r="N9" s="16">
        <v>9</v>
      </c>
      <c r="O9" s="16">
        <f t="shared" si="10"/>
        <v>70</v>
      </c>
      <c r="P9" s="16">
        <f t="shared" si="10"/>
        <v>45</v>
      </c>
      <c r="Q9" s="16">
        <v>70</v>
      </c>
      <c r="R9" s="16">
        <v>45</v>
      </c>
      <c r="S9" s="17"/>
      <c r="T9" s="27">
        <v>0.96499999999999997</v>
      </c>
      <c r="U9" s="27">
        <v>0.317</v>
      </c>
      <c r="V9" s="27">
        <v>0.30499999999999999</v>
      </c>
      <c r="W9" s="27">
        <v>131</v>
      </c>
      <c r="X9" s="27">
        <v>104.996</v>
      </c>
      <c r="Y9" s="27">
        <v>84</v>
      </c>
      <c r="Z9" s="27">
        <v>70.421000000000006</v>
      </c>
      <c r="AA9" s="27">
        <v>80</v>
      </c>
      <c r="AB9" s="27">
        <v>65.216999999999999</v>
      </c>
      <c r="AC9" s="27">
        <v>110</v>
      </c>
      <c r="AD9" s="16">
        <f t="shared" si="11"/>
        <v>43.701799999999992</v>
      </c>
      <c r="AE9" s="27">
        <v>2.0099999999999998</v>
      </c>
      <c r="AF9" s="27">
        <v>1.8</v>
      </c>
      <c r="AG9" s="27">
        <v>7.59</v>
      </c>
      <c r="AH9" s="28">
        <v>7.72</v>
      </c>
      <c r="AI9" s="18">
        <f t="shared" si="0"/>
        <v>38.099999999999994</v>
      </c>
      <c r="AJ9" s="18">
        <f t="shared" si="1"/>
        <v>153.1</v>
      </c>
      <c r="AK9" s="19">
        <f t="shared" si="2"/>
        <v>0.8383452380952382</v>
      </c>
      <c r="AL9" s="19">
        <f t="shared" si="3"/>
        <v>0.81521250000000001</v>
      </c>
      <c r="AM9" s="20">
        <f t="shared" si="4"/>
        <v>0.47883863148863148</v>
      </c>
      <c r="AN9" s="20">
        <f t="shared" si="4"/>
        <v>0.44799966216216214</v>
      </c>
      <c r="AO9" s="19">
        <f t="shared" si="5"/>
        <v>0.57117117117117111</v>
      </c>
      <c r="AP9" s="19">
        <f t="shared" si="5"/>
        <v>0.54954954954954949</v>
      </c>
      <c r="AR9" s="22">
        <v>1.85</v>
      </c>
      <c r="AS9" s="23">
        <f t="shared" si="6"/>
        <v>0.97057971014492761</v>
      </c>
      <c r="AT9" s="23">
        <f t="shared" si="7"/>
        <v>3.333333333333333</v>
      </c>
      <c r="AU9" s="23">
        <f t="shared" si="8"/>
        <v>1.748792270531401</v>
      </c>
      <c r="AV9" s="22">
        <v>1035</v>
      </c>
      <c r="AW9" s="22">
        <v>543</v>
      </c>
      <c r="AX9" s="23">
        <f t="shared" si="9"/>
        <v>0.52463768115942033</v>
      </c>
    </row>
    <row r="10" spans="1:51" ht="38.1" customHeight="1" x14ac:dyDescent="0.25">
      <c r="A10" s="11">
        <v>12</v>
      </c>
      <c r="B10" s="11">
        <v>40</v>
      </c>
      <c r="C10" s="11" t="s">
        <v>66</v>
      </c>
      <c r="D10" s="11">
        <v>1</v>
      </c>
      <c r="E10" s="11">
        <v>1</v>
      </c>
      <c r="F10" s="11">
        <v>27</v>
      </c>
      <c r="G10" s="11" t="s">
        <v>67</v>
      </c>
      <c r="H10" s="12">
        <v>9</v>
      </c>
      <c r="J10" s="26"/>
      <c r="K10" s="15">
        <v>45083</v>
      </c>
      <c r="L10" s="15">
        <v>45097</v>
      </c>
      <c r="M10" s="27">
        <v>5</v>
      </c>
      <c r="N10" s="16">
        <v>0</v>
      </c>
      <c r="O10" s="16">
        <f t="shared" si="10"/>
        <v>25</v>
      </c>
      <c r="P10" s="16">
        <f t="shared" si="10"/>
        <v>0</v>
      </c>
      <c r="Q10" s="16">
        <v>75</v>
      </c>
      <c r="R10" s="16">
        <v>45</v>
      </c>
      <c r="S10" s="17"/>
      <c r="T10" s="27">
        <v>0.55300000000000005</v>
      </c>
      <c r="U10" s="27">
        <v>0.16700000000000001</v>
      </c>
      <c r="V10" s="27">
        <v>0.18099999999999999</v>
      </c>
      <c r="W10" s="27">
        <v>111</v>
      </c>
      <c r="X10" s="27">
        <v>90.646000000000001</v>
      </c>
      <c r="Y10" s="27">
        <v>55</v>
      </c>
      <c r="Z10" s="27">
        <v>47.31</v>
      </c>
      <c r="AA10" s="27">
        <v>56</v>
      </c>
      <c r="AB10" s="27">
        <v>48.207000000000001</v>
      </c>
      <c r="AC10" s="27">
        <v>95</v>
      </c>
      <c r="AD10" s="16">
        <f t="shared" si="11"/>
        <v>37.559299999999993</v>
      </c>
      <c r="AE10" s="27">
        <v>2.0099999999999998</v>
      </c>
      <c r="AF10" s="27">
        <v>2.2999999999999998</v>
      </c>
      <c r="AG10" s="27">
        <v>7.37</v>
      </c>
      <c r="AH10" s="28">
        <v>7.65</v>
      </c>
      <c r="AI10" s="18">
        <f t="shared" si="0"/>
        <v>43.099999999999994</v>
      </c>
      <c r="AJ10" s="18">
        <f t="shared" si="1"/>
        <v>150.19999999999999</v>
      </c>
      <c r="AK10" s="19">
        <f t="shared" si="2"/>
        <v>0.86018181818181827</v>
      </c>
      <c r="AL10" s="19">
        <f t="shared" si="3"/>
        <v>0.8608392857142857</v>
      </c>
      <c r="AM10" s="20">
        <f t="shared" si="4"/>
        <v>0.25882948402948402</v>
      </c>
      <c r="AN10" s="20">
        <f t="shared" si="4"/>
        <v>0.28074218146718144</v>
      </c>
      <c r="AO10" s="19">
        <f t="shared" si="5"/>
        <v>0.30090090090090088</v>
      </c>
      <c r="AP10" s="19">
        <f t="shared" si="5"/>
        <v>0.32612612612612607</v>
      </c>
      <c r="AR10" s="22">
        <v>1.45</v>
      </c>
      <c r="AS10" s="23">
        <f t="shared" si="6"/>
        <v>0.62361477572559365</v>
      </c>
      <c r="AT10" s="23">
        <f t="shared" si="7"/>
        <v>2.6126126126126121</v>
      </c>
      <c r="AU10" s="23">
        <f t="shared" si="8"/>
        <v>1.123630226532601</v>
      </c>
      <c r="AV10" s="22">
        <v>1137</v>
      </c>
      <c r="AW10" s="22">
        <v>489</v>
      </c>
      <c r="AX10" s="23">
        <f t="shared" si="9"/>
        <v>0.43007915567282323</v>
      </c>
    </row>
    <row r="11" spans="1:51" ht="38.1" customHeight="1" x14ac:dyDescent="0.25">
      <c r="A11" s="11">
        <v>1</v>
      </c>
      <c r="B11" s="11">
        <v>24</v>
      </c>
      <c r="C11" s="11" t="s">
        <v>68</v>
      </c>
      <c r="D11" s="11">
        <v>1</v>
      </c>
      <c r="E11" s="11">
        <v>2</v>
      </c>
      <c r="F11" s="11">
        <v>27</v>
      </c>
      <c r="G11" s="11" t="s">
        <v>69</v>
      </c>
      <c r="H11" s="12">
        <v>10</v>
      </c>
      <c r="J11" s="26"/>
      <c r="K11" s="15" t="s">
        <v>53</v>
      </c>
      <c r="L11" s="15"/>
      <c r="M11" s="27" t="s">
        <v>53</v>
      </c>
      <c r="N11" s="16">
        <v>39</v>
      </c>
      <c r="O11" s="16" t="e">
        <f t="shared" si="10"/>
        <v>#VALUE!</v>
      </c>
      <c r="P11" s="16">
        <f t="shared" si="10"/>
        <v>195</v>
      </c>
      <c r="Q11" s="16">
        <v>80</v>
      </c>
      <c r="R11" s="16" t="s">
        <v>53</v>
      </c>
      <c r="S11" s="17"/>
      <c r="T11" s="27">
        <v>0.76100000000000001</v>
      </c>
      <c r="U11" s="27">
        <v>0.496</v>
      </c>
      <c r="V11" s="27"/>
      <c r="W11" s="27"/>
      <c r="X11" s="27"/>
      <c r="Y11" s="27">
        <v>84</v>
      </c>
      <c r="Z11" s="27">
        <v>72.093000000000004</v>
      </c>
      <c r="AA11" s="27"/>
      <c r="AB11" s="27"/>
      <c r="AC11" s="27">
        <v>89</v>
      </c>
      <c r="AD11" s="16">
        <f t="shared" si="11"/>
        <v>35.102299999999993</v>
      </c>
      <c r="AE11" s="27">
        <v>2.0299999999999998</v>
      </c>
      <c r="AF11" s="27">
        <v>2.06</v>
      </c>
      <c r="AG11" s="27"/>
      <c r="AH11" s="28"/>
      <c r="AI11" s="18">
        <f t="shared" si="0"/>
        <v>40.9</v>
      </c>
      <c r="AJ11" s="18">
        <f t="shared" si="1"/>
        <v>0</v>
      </c>
      <c r="AK11" s="19">
        <f t="shared" si="2"/>
        <v>0.85825000000000007</v>
      </c>
      <c r="AL11" s="19" t="e">
        <f t="shared" si="3"/>
        <v>#DIV/0!</v>
      </c>
      <c r="AM11" s="20">
        <f t="shared" si="4"/>
        <v>0.76701261261261255</v>
      </c>
      <c r="AN11" s="20" t="e">
        <f t="shared" si="4"/>
        <v>#DIV/0!</v>
      </c>
      <c r="AO11" s="19">
        <f t="shared" si="5"/>
        <v>0.89369369369369356</v>
      </c>
      <c r="AP11" s="19">
        <f t="shared" si="5"/>
        <v>0</v>
      </c>
      <c r="AR11" s="22">
        <v>1.95</v>
      </c>
      <c r="AS11" s="23">
        <f t="shared" si="6"/>
        <v>1.3356164383561642</v>
      </c>
      <c r="AT11" s="23">
        <f t="shared" si="7"/>
        <v>3.5135135135135132</v>
      </c>
      <c r="AU11" s="23">
        <f t="shared" si="8"/>
        <v>2.4065161051462418</v>
      </c>
      <c r="AV11" s="22">
        <v>438</v>
      </c>
      <c r="AW11" s="22">
        <v>300</v>
      </c>
      <c r="AX11" s="23">
        <f t="shared" si="9"/>
        <v>0.68493150684931503</v>
      </c>
    </row>
    <row r="12" spans="1:51" ht="38.1" customHeight="1" x14ac:dyDescent="0.25">
      <c r="A12" s="11">
        <v>9</v>
      </c>
      <c r="B12" s="11">
        <v>38</v>
      </c>
      <c r="C12" s="11" t="s">
        <v>70</v>
      </c>
      <c r="D12" s="11">
        <v>1</v>
      </c>
      <c r="E12" s="11">
        <v>2</v>
      </c>
      <c r="F12" s="11">
        <v>24</v>
      </c>
      <c r="G12" s="11" t="s">
        <v>71</v>
      </c>
      <c r="H12" s="12">
        <v>11</v>
      </c>
      <c r="J12" s="26"/>
      <c r="K12" s="15">
        <v>45082</v>
      </c>
      <c r="L12" s="15">
        <v>45096</v>
      </c>
      <c r="M12" s="27">
        <v>9</v>
      </c>
      <c r="N12" s="16" t="s">
        <v>53</v>
      </c>
      <c r="O12" s="16">
        <f t="shared" si="10"/>
        <v>45</v>
      </c>
      <c r="P12" s="16" t="e">
        <f t="shared" si="10"/>
        <v>#VALUE!</v>
      </c>
      <c r="Q12" s="16" t="s">
        <v>53</v>
      </c>
      <c r="R12" s="16">
        <v>40</v>
      </c>
      <c r="S12" s="17"/>
      <c r="T12" s="27">
        <v>0.83499999999999996</v>
      </c>
      <c r="U12" s="27"/>
      <c r="V12" s="27">
        <v>0.68</v>
      </c>
      <c r="W12" s="27"/>
      <c r="X12" s="27"/>
      <c r="Y12" s="27"/>
      <c r="Z12" s="27"/>
      <c r="AA12" s="27">
        <v>81</v>
      </c>
      <c r="AB12" s="27">
        <v>67.287000000000006</v>
      </c>
      <c r="AC12" s="27"/>
      <c r="AD12" s="16"/>
      <c r="AE12" s="27"/>
      <c r="AF12" s="27"/>
      <c r="AG12" s="27">
        <v>8.92</v>
      </c>
      <c r="AH12" s="28">
        <v>8.82</v>
      </c>
      <c r="AI12" s="18">
        <f t="shared" si="0"/>
        <v>0</v>
      </c>
      <c r="AJ12" s="18">
        <f t="shared" si="1"/>
        <v>177.40000000000003</v>
      </c>
      <c r="AK12" s="19" t="e">
        <f t="shared" si="2"/>
        <v>#DIV/0!</v>
      </c>
      <c r="AL12" s="19">
        <f t="shared" si="3"/>
        <v>0.83070370370370383</v>
      </c>
      <c r="AM12" s="20" t="e">
        <f t="shared" si="4"/>
        <v>#DIV/0!</v>
      </c>
      <c r="AN12" s="20">
        <f t="shared" si="4"/>
        <v>1.0177991324657991</v>
      </c>
      <c r="AO12" s="19">
        <f t="shared" si="5"/>
        <v>0</v>
      </c>
      <c r="AP12" s="19">
        <f t="shared" si="5"/>
        <v>1.2252252252252251</v>
      </c>
      <c r="AR12" s="22">
        <v>1.3</v>
      </c>
      <c r="AS12" s="23">
        <f t="shared" si="6"/>
        <v>0.54368029739776957</v>
      </c>
      <c r="AT12" s="23">
        <f t="shared" si="7"/>
        <v>2.342342342342342</v>
      </c>
      <c r="AU12" s="23">
        <f t="shared" si="8"/>
        <v>0.97960413945544045</v>
      </c>
      <c r="AV12" s="22">
        <v>1076</v>
      </c>
      <c r="AW12" s="22">
        <v>450</v>
      </c>
      <c r="AX12" s="23">
        <f t="shared" si="9"/>
        <v>0.41821561338289964</v>
      </c>
    </row>
    <row r="13" spans="1:51" ht="38.1" customHeight="1" x14ac:dyDescent="0.25">
      <c r="A13" s="11">
        <v>6</v>
      </c>
      <c r="B13" s="11">
        <v>25</v>
      </c>
      <c r="C13" s="11" t="s">
        <v>72</v>
      </c>
      <c r="D13" s="11">
        <v>1</v>
      </c>
      <c r="E13" s="11">
        <v>2</v>
      </c>
      <c r="F13" s="11">
        <v>21</v>
      </c>
      <c r="G13" s="11" t="s">
        <v>73</v>
      </c>
      <c r="H13" s="12">
        <v>12</v>
      </c>
      <c r="J13" s="26"/>
      <c r="K13" s="15" t="s">
        <v>53</v>
      </c>
      <c r="L13" s="15"/>
      <c r="M13" s="27" t="s">
        <v>53</v>
      </c>
      <c r="N13" s="16">
        <v>48</v>
      </c>
      <c r="O13" s="16" t="e">
        <f t="shared" si="10"/>
        <v>#VALUE!</v>
      </c>
      <c r="P13" s="16">
        <f t="shared" si="10"/>
        <v>240</v>
      </c>
      <c r="Q13" s="16">
        <v>60</v>
      </c>
      <c r="R13" s="16" t="s">
        <v>53</v>
      </c>
      <c r="S13" s="17"/>
      <c r="T13" s="27">
        <v>1.4790000000000001</v>
      </c>
      <c r="U13" s="27">
        <v>1.0329999999999999</v>
      </c>
      <c r="V13" s="27"/>
      <c r="W13" s="27"/>
      <c r="X13" s="27"/>
      <c r="Y13" s="27">
        <v>86</v>
      </c>
      <c r="Z13" s="27">
        <v>74.103999999999999</v>
      </c>
      <c r="AA13" s="27"/>
      <c r="AB13" s="27"/>
      <c r="AC13" s="27">
        <v>94</v>
      </c>
      <c r="AD13" s="16">
        <f>0.4095*AC13-1.3432</f>
        <v>37.149799999999992</v>
      </c>
      <c r="AE13" s="27">
        <v>1.64</v>
      </c>
      <c r="AF13" s="27">
        <v>1.7</v>
      </c>
      <c r="AG13" s="27"/>
      <c r="AH13" s="28"/>
      <c r="AI13" s="18">
        <f t="shared" si="0"/>
        <v>33.4</v>
      </c>
      <c r="AJ13" s="18">
        <f t="shared" si="1"/>
        <v>0</v>
      </c>
      <c r="AK13" s="19">
        <f t="shared" si="2"/>
        <v>0.8616744186046511</v>
      </c>
      <c r="AL13" s="19" t="e">
        <f t="shared" si="3"/>
        <v>#DIV/0!</v>
      </c>
      <c r="AM13" s="20">
        <f t="shared" si="4"/>
        <v>1.6038012151686567</v>
      </c>
      <c r="AN13" s="20" t="e">
        <f t="shared" si="4"/>
        <v>#DIV/0!</v>
      </c>
      <c r="AO13" s="19">
        <f t="shared" si="5"/>
        <v>1.8612612612612609</v>
      </c>
      <c r="AP13" s="19">
        <f t="shared" si="5"/>
        <v>0</v>
      </c>
      <c r="AR13" s="22">
        <v>2.25</v>
      </c>
      <c r="AS13" s="23">
        <f t="shared" si="6"/>
        <v>1.6016949152542372</v>
      </c>
      <c r="AT13" s="23">
        <f t="shared" si="7"/>
        <v>4.0540540540540535</v>
      </c>
      <c r="AU13" s="23">
        <f t="shared" si="8"/>
        <v>2.8859367842418684</v>
      </c>
      <c r="AV13" s="22">
        <v>649</v>
      </c>
      <c r="AW13" s="22">
        <v>462</v>
      </c>
      <c r="AX13" s="23">
        <f t="shared" si="9"/>
        <v>0.71186440677966101</v>
      </c>
    </row>
    <row r="14" spans="1:51" ht="38.1" customHeight="1" x14ac:dyDescent="0.25">
      <c r="A14" s="11">
        <v>8</v>
      </c>
      <c r="B14" s="11">
        <v>37</v>
      </c>
      <c r="C14" s="11" t="s">
        <v>74</v>
      </c>
      <c r="D14" s="11">
        <v>1</v>
      </c>
      <c r="E14" s="11">
        <v>2</v>
      </c>
      <c r="F14" s="11">
        <v>18</v>
      </c>
      <c r="G14" s="11" t="s">
        <v>75</v>
      </c>
      <c r="H14" s="12">
        <v>13</v>
      </c>
      <c r="J14" s="26"/>
      <c r="K14" s="15">
        <v>45085</v>
      </c>
      <c r="L14" s="15">
        <v>45095</v>
      </c>
      <c r="M14" s="27">
        <v>15</v>
      </c>
      <c r="N14" s="16" t="s">
        <v>53</v>
      </c>
      <c r="O14" s="16">
        <f t="shared" si="10"/>
        <v>75</v>
      </c>
      <c r="P14" s="16" t="e">
        <f t="shared" si="10"/>
        <v>#VALUE!</v>
      </c>
      <c r="Q14" s="16" t="s">
        <v>53</v>
      </c>
      <c r="R14" s="16">
        <v>35</v>
      </c>
      <c r="S14" s="17"/>
      <c r="T14" s="27">
        <v>0.80200000000000005</v>
      </c>
      <c r="U14" s="27"/>
      <c r="V14" s="27">
        <v>0.59799999999999998</v>
      </c>
      <c r="W14" s="27"/>
      <c r="X14" s="27"/>
      <c r="Y14" s="27"/>
      <c r="Z14" s="27"/>
      <c r="AA14" s="27">
        <v>83</v>
      </c>
      <c r="AB14" s="27">
        <v>67.515000000000001</v>
      </c>
      <c r="AC14" s="27"/>
      <c r="AD14" s="16"/>
      <c r="AE14" s="27"/>
      <c r="AF14" s="27"/>
      <c r="AG14" s="27">
        <v>7.7</v>
      </c>
      <c r="AH14" s="28">
        <v>7.82</v>
      </c>
      <c r="AI14" s="18">
        <f t="shared" si="0"/>
        <v>0</v>
      </c>
      <c r="AJ14" s="18">
        <f t="shared" si="1"/>
        <v>155.19999999999999</v>
      </c>
      <c r="AK14" s="19" t="e">
        <f t="shared" si="2"/>
        <v>#DIV/0!</v>
      </c>
      <c r="AL14" s="19">
        <f t="shared" si="3"/>
        <v>0.81343373493975901</v>
      </c>
      <c r="AM14" s="20" t="e">
        <f t="shared" si="4"/>
        <v>#DIV/0!</v>
      </c>
      <c r="AN14" s="20">
        <f t="shared" si="4"/>
        <v>0.87645652881797442</v>
      </c>
      <c r="AO14" s="19">
        <f t="shared" si="5"/>
        <v>0</v>
      </c>
      <c r="AP14" s="19">
        <f t="shared" si="5"/>
        <v>1.0774774774774774</v>
      </c>
      <c r="AR14" s="22">
        <v>1.45</v>
      </c>
      <c r="AS14" s="23">
        <f t="shared" si="6"/>
        <v>0.49358727097396332</v>
      </c>
      <c r="AT14" s="23">
        <f t="shared" si="7"/>
        <v>2.6126126126126121</v>
      </c>
      <c r="AU14" s="23">
        <f t="shared" si="8"/>
        <v>0.88934643418732118</v>
      </c>
      <c r="AV14" s="22">
        <v>1037</v>
      </c>
      <c r="AW14" s="22">
        <v>353</v>
      </c>
      <c r="AX14" s="23">
        <f t="shared" si="9"/>
        <v>0.34040501446480231</v>
      </c>
    </row>
    <row r="15" spans="1:51" ht="38.1" customHeight="1" x14ac:dyDescent="0.25">
      <c r="A15" s="11">
        <v>10</v>
      </c>
      <c r="B15" s="11">
        <v>36</v>
      </c>
      <c r="C15" s="11" t="s">
        <v>76</v>
      </c>
      <c r="D15" s="11">
        <v>1</v>
      </c>
      <c r="E15" s="11">
        <v>2</v>
      </c>
      <c r="F15" s="11">
        <v>15</v>
      </c>
      <c r="G15" s="11" t="s">
        <v>77</v>
      </c>
      <c r="H15" s="12">
        <v>14</v>
      </c>
      <c r="J15" s="26"/>
      <c r="K15" s="15">
        <v>45079</v>
      </c>
      <c r="L15" s="15">
        <v>45093</v>
      </c>
      <c r="M15" s="27">
        <v>18</v>
      </c>
      <c r="N15" s="16" t="s">
        <v>53</v>
      </c>
      <c r="O15" s="16">
        <f t="shared" si="10"/>
        <v>90</v>
      </c>
      <c r="P15" s="16" t="e">
        <f t="shared" si="10"/>
        <v>#VALUE!</v>
      </c>
      <c r="Q15" s="16">
        <v>80</v>
      </c>
      <c r="R15" s="16">
        <v>45</v>
      </c>
      <c r="S15" s="17"/>
      <c r="T15" s="27">
        <v>1.282</v>
      </c>
      <c r="U15" s="27">
        <v>9.5000000000000001E-2</v>
      </c>
      <c r="V15" s="27">
        <v>0.89200000000000002</v>
      </c>
      <c r="W15" s="27">
        <v>135</v>
      </c>
      <c r="X15" s="27">
        <v>102.55200000000001</v>
      </c>
      <c r="Y15" s="27">
        <v>36</v>
      </c>
      <c r="Z15" s="27">
        <v>31.707999999999998</v>
      </c>
      <c r="AA15" s="27">
        <v>82</v>
      </c>
      <c r="AB15" s="27">
        <v>67.418999999999997</v>
      </c>
      <c r="AC15" s="27"/>
      <c r="AD15" s="16"/>
      <c r="AE15" s="27">
        <v>2.13</v>
      </c>
      <c r="AF15" s="27">
        <v>1.96</v>
      </c>
      <c r="AG15" s="27">
        <v>8.14</v>
      </c>
      <c r="AH15" s="28">
        <v>8.44</v>
      </c>
      <c r="AI15" s="18">
        <f t="shared" si="0"/>
        <v>40.9</v>
      </c>
      <c r="AJ15" s="18">
        <f t="shared" si="1"/>
        <v>165.79999999999998</v>
      </c>
      <c r="AK15" s="19">
        <f t="shared" si="2"/>
        <v>0.88077777777777777</v>
      </c>
      <c r="AL15" s="19">
        <f t="shared" si="3"/>
        <v>0.8221829268292683</v>
      </c>
      <c r="AM15" s="20">
        <f t="shared" si="4"/>
        <v>0.15076376376376374</v>
      </c>
      <c r="AN15" s="20">
        <f t="shared" si="4"/>
        <v>1.3214183256427159</v>
      </c>
      <c r="AO15" s="19">
        <f t="shared" si="5"/>
        <v>0.17117117117117114</v>
      </c>
      <c r="AP15" s="19">
        <f t="shared" si="5"/>
        <v>1.6072072072072072</v>
      </c>
      <c r="AR15" s="22">
        <v>2.15</v>
      </c>
      <c r="AS15" s="23">
        <f t="shared" si="6"/>
        <v>1.3063291139240507</v>
      </c>
      <c r="AT15" s="23">
        <f t="shared" si="7"/>
        <v>3.8738738738738734</v>
      </c>
      <c r="AU15" s="23">
        <f t="shared" si="8"/>
        <v>2.3537461512145055</v>
      </c>
      <c r="AV15" s="22">
        <v>790</v>
      </c>
      <c r="AW15" s="22">
        <v>480</v>
      </c>
      <c r="AX15" s="23">
        <f t="shared" si="9"/>
        <v>0.60759493670886078</v>
      </c>
    </row>
    <row r="16" spans="1:51" ht="38.1" customHeight="1" x14ac:dyDescent="0.25">
      <c r="A16" s="11">
        <v>13</v>
      </c>
      <c r="B16" s="11">
        <v>33</v>
      </c>
      <c r="C16" s="25" t="s">
        <v>78</v>
      </c>
      <c r="D16" s="11">
        <v>1</v>
      </c>
      <c r="E16" s="11">
        <v>2</v>
      </c>
      <c r="F16" s="11">
        <v>12</v>
      </c>
      <c r="G16" s="11" t="s">
        <v>79</v>
      </c>
      <c r="H16" s="12">
        <v>15</v>
      </c>
      <c r="J16" s="26"/>
      <c r="K16" s="15">
        <v>45081</v>
      </c>
      <c r="L16" s="15">
        <v>45095</v>
      </c>
      <c r="M16" s="27">
        <v>12</v>
      </c>
      <c r="N16" s="16">
        <v>7</v>
      </c>
      <c r="O16" s="16">
        <f t="shared" si="10"/>
        <v>60</v>
      </c>
      <c r="P16" s="16">
        <f t="shared" si="10"/>
        <v>35</v>
      </c>
      <c r="Q16" s="16">
        <v>70</v>
      </c>
      <c r="R16" s="16">
        <v>45</v>
      </c>
      <c r="S16" s="17"/>
      <c r="T16" s="27">
        <v>1.3260000000000001</v>
      </c>
      <c r="U16" s="27">
        <v>0.245</v>
      </c>
      <c r="V16" s="27">
        <v>0.77</v>
      </c>
      <c r="W16" s="27">
        <v>106</v>
      </c>
      <c r="X16" s="27">
        <v>83.653999999999996</v>
      </c>
      <c r="Y16" s="27">
        <v>66</v>
      </c>
      <c r="Z16" s="27">
        <v>55.956000000000003</v>
      </c>
      <c r="AA16" s="27">
        <v>84</v>
      </c>
      <c r="AB16" s="27">
        <v>72.555000000000007</v>
      </c>
      <c r="AC16" s="27">
        <v>109</v>
      </c>
      <c r="AD16" s="16">
        <f>0.4095*AC16-1.3432</f>
        <v>43.292299999999997</v>
      </c>
      <c r="AE16" s="27">
        <v>2.0299999999999998</v>
      </c>
      <c r="AF16" s="27">
        <v>1.95</v>
      </c>
      <c r="AG16" s="27">
        <v>6.28</v>
      </c>
      <c r="AH16" s="28">
        <v>7.72</v>
      </c>
      <c r="AI16" s="18">
        <f t="shared" si="0"/>
        <v>39.799999999999997</v>
      </c>
      <c r="AJ16" s="18">
        <f t="shared" si="1"/>
        <v>140</v>
      </c>
      <c r="AK16" s="19">
        <f t="shared" si="2"/>
        <v>0.84781818181818192</v>
      </c>
      <c r="AL16" s="19">
        <f t="shared" si="3"/>
        <v>0.86375000000000013</v>
      </c>
      <c r="AM16" s="20">
        <f t="shared" si="4"/>
        <v>0.37426208026208024</v>
      </c>
      <c r="AN16" s="20">
        <f t="shared" si="4"/>
        <v>1.198355855855856</v>
      </c>
      <c r="AO16" s="19">
        <f t="shared" si="5"/>
        <v>0.44144144144144137</v>
      </c>
      <c r="AP16" s="19">
        <f t="shared" si="5"/>
        <v>1.3873873873873874</v>
      </c>
      <c r="AR16" s="22">
        <v>1.9</v>
      </c>
      <c r="AS16" s="23">
        <f t="shared" si="6"/>
        <v>0.90751665080875354</v>
      </c>
      <c r="AT16" s="23">
        <f t="shared" si="7"/>
        <v>3.4234234234234231</v>
      </c>
      <c r="AU16" s="23">
        <f t="shared" si="8"/>
        <v>1.6351651365923485</v>
      </c>
      <c r="AV16" s="22">
        <v>1051</v>
      </c>
      <c r="AW16" s="22">
        <v>502</v>
      </c>
      <c r="AX16" s="23">
        <f t="shared" si="9"/>
        <v>0.47764034253092291</v>
      </c>
    </row>
    <row r="17" spans="1:51" ht="38.1" customHeight="1" x14ac:dyDescent="0.25">
      <c r="A17" s="11">
        <v>18</v>
      </c>
      <c r="B17" s="11">
        <v>44</v>
      </c>
      <c r="C17" s="11" t="s">
        <v>80</v>
      </c>
      <c r="D17" s="11">
        <v>1</v>
      </c>
      <c r="E17" s="11">
        <v>2</v>
      </c>
      <c r="F17" s="11">
        <v>9</v>
      </c>
      <c r="G17" s="11" t="s">
        <v>81</v>
      </c>
      <c r="H17" s="12">
        <v>16</v>
      </c>
      <c r="J17" s="26"/>
      <c r="K17" s="15">
        <v>45082</v>
      </c>
      <c r="L17" s="15">
        <v>45096</v>
      </c>
      <c r="M17" s="27">
        <v>20</v>
      </c>
      <c r="N17" s="16">
        <v>3</v>
      </c>
      <c r="O17" s="16">
        <f t="shared" si="10"/>
        <v>100</v>
      </c>
      <c r="P17" s="16">
        <f t="shared" si="10"/>
        <v>15</v>
      </c>
      <c r="Q17" s="16">
        <v>60</v>
      </c>
      <c r="R17" s="16">
        <v>40</v>
      </c>
      <c r="S17" s="17"/>
      <c r="T17" s="27">
        <v>0.98199999999999998</v>
      </c>
      <c r="U17" s="27">
        <v>0.186</v>
      </c>
      <c r="V17" s="27">
        <v>0.40100000000000002</v>
      </c>
      <c r="W17" s="27">
        <v>132</v>
      </c>
      <c r="X17" s="27">
        <v>101.88800000000001</v>
      </c>
      <c r="Y17" s="27">
        <v>59</v>
      </c>
      <c r="Z17" s="27">
        <v>47.831000000000003</v>
      </c>
      <c r="AA17" s="27">
        <v>80</v>
      </c>
      <c r="AB17" s="27">
        <v>64.091999999999999</v>
      </c>
      <c r="AC17" s="27">
        <v>86</v>
      </c>
      <c r="AD17" s="16">
        <f>0.4095*AC17-1.3432</f>
        <v>33.873799999999996</v>
      </c>
      <c r="AE17" s="27">
        <v>1.72</v>
      </c>
      <c r="AF17" s="27">
        <v>1.81</v>
      </c>
      <c r="AG17" s="27">
        <v>8.5299999999999994</v>
      </c>
      <c r="AH17" s="28">
        <v>8.93</v>
      </c>
      <c r="AI17" s="18">
        <f t="shared" si="0"/>
        <v>35.300000000000004</v>
      </c>
      <c r="AJ17" s="18">
        <f t="shared" si="1"/>
        <v>174.60000000000002</v>
      </c>
      <c r="AK17" s="19">
        <f t="shared" si="2"/>
        <v>0.81069491525423731</v>
      </c>
      <c r="AL17" s="19">
        <f t="shared" si="3"/>
        <v>0.80115000000000003</v>
      </c>
      <c r="AM17" s="20">
        <f t="shared" si="4"/>
        <v>0.27169234997709574</v>
      </c>
      <c r="AN17" s="20">
        <f t="shared" si="4"/>
        <v>0.57884891891891888</v>
      </c>
      <c r="AO17" s="19">
        <f t="shared" si="5"/>
        <v>0.3351351351351351</v>
      </c>
      <c r="AP17" s="19">
        <f t="shared" si="5"/>
        <v>0.72252252252252247</v>
      </c>
      <c r="AR17" s="22">
        <v>2.7</v>
      </c>
      <c r="AS17" s="23">
        <f t="shared" si="6"/>
        <v>1.3972375690607737</v>
      </c>
      <c r="AT17" s="23">
        <f t="shared" si="7"/>
        <v>4.8648648648648649</v>
      </c>
      <c r="AU17" s="23">
        <f t="shared" si="8"/>
        <v>2.5175451694788711</v>
      </c>
      <c r="AV17" s="22">
        <v>1086</v>
      </c>
      <c r="AW17" s="22">
        <v>562</v>
      </c>
      <c r="AX17" s="23">
        <f t="shared" si="9"/>
        <v>0.51749539594843463</v>
      </c>
      <c r="AY17" s="30"/>
    </row>
    <row r="18" spans="1:51" ht="38.1" customHeight="1" x14ac:dyDescent="0.25">
      <c r="A18" s="11">
        <v>3</v>
      </c>
      <c r="B18" s="11">
        <v>22</v>
      </c>
      <c r="C18" s="11" t="s">
        <v>82</v>
      </c>
      <c r="D18" s="11">
        <v>1</v>
      </c>
      <c r="E18" s="11">
        <v>2</v>
      </c>
      <c r="F18" s="11">
        <v>6</v>
      </c>
      <c r="G18" s="11" t="s">
        <v>83</v>
      </c>
      <c r="H18" s="12">
        <v>17</v>
      </c>
      <c r="J18" s="26"/>
      <c r="K18" s="15" t="s">
        <v>53</v>
      </c>
      <c r="L18" s="15"/>
      <c r="M18" s="27" t="s">
        <v>53</v>
      </c>
      <c r="N18" s="16">
        <v>45</v>
      </c>
      <c r="O18" s="16" t="e">
        <f t="shared" si="10"/>
        <v>#VALUE!</v>
      </c>
      <c r="P18" s="16">
        <f t="shared" si="10"/>
        <v>225</v>
      </c>
      <c r="Q18" s="16">
        <v>55</v>
      </c>
      <c r="R18" s="16" t="s">
        <v>53</v>
      </c>
      <c r="S18" s="17"/>
      <c r="T18" s="27">
        <v>1.0920000000000001</v>
      </c>
      <c r="U18" s="27">
        <v>0.58099999999999996</v>
      </c>
      <c r="V18" s="27"/>
      <c r="W18" s="27"/>
      <c r="X18" s="27"/>
      <c r="Y18" s="27">
        <v>80</v>
      </c>
      <c r="Z18" s="27">
        <v>69.41</v>
      </c>
      <c r="AA18" s="27"/>
      <c r="AB18" s="27"/>
      <c r="AC18" s="27">
        <v>95</v>
      </c>
      <c r="AD18" s="16">
        <f>0.4095*AC18-1.3432</f>
        <v>37.559299999999993</v>
      </c>
      <c r="AE18" s="27">
        <v>1.68</v>
      </c>
      <c r="AF18" s="27">
        <v>1.8</v>
      </c>
      <c r="AG18" s="27"/>
      <c r="AH18" s="28"/>
      <c r="AI18" s="18">
        <f t="shared" si="0"/>
        <v>34.799999999999997</v>
      </c>
      <c r="AJ18" s="18">
        <f t="shared" si="1"/>
        <v>0</v>
      </c>
      <c r="AK18" s="19">
        <f t="shared" si="2"/>
        <v>0.86762499999999998</v>
      </c>
      <c r="AL18" s="19" t="e">
        <f t="shared" si="3"/>
        <v>#DIV/0!</v>
      </c>
      <c r="AM18" s="20">
        <f t="shared" si="4"/>
        <v>0.90827049549549543</v>
      </c>
      <c r="AN18" s="20" t="e">
        <f t="shared" si="4"/>
        <v>#DIV/0!</v>
      </c>
      <c r="AO18" s="19">
        <f t="shared" si="5"/>
        <v>1.0468468468468468</v>
      </c>
      <c r="AP18" s="19">
        <f t="shared" si="5"/>
        <v>0</v>
      </c>
      <c r="AR18" s="22">
        <v>1.65</v>
      </c>
      <c r="AS18" s="23">
        <f t="shared" si="6"/>
        <v>1.2010204081632654</v>
      </c>
      <c r="AT18" s="23">
        <f t="shared" si="7"/>
        <v>2.9729729729729728</v>
      </c>
      <c r="AU18" s="23">
        <f t="shared" si="8"/>
        <v>2.1640007354293069</v>
      </c>
      <c r="AV18" s="22">
        <v>588</v>
      </c>
      <c r="AW18" s="22">
        <v>428</v>
      </c>
      <c r="AX18" s="23">
        <f t="shared" si="9"/>
        <v>0.72789115646258506</v>
      </c>
    </row>
    <row r="19" spans="1:51" ht="38.1" customHeight="1" x14ac:dyDescent="0.25">
      <c r="A19" s="11">
        <v>4</v>
      </c>
      <c r="B19" s="11">
        <v>27</v>
      </c>
      <c r="C19" s="11" t="s">
        <v>84</v>
      </c>
      <c r="D19" s="11">
        <v>1</v>
      </c>
      <c r="E19" s="11">
        <v>2</v>
      </c>
      <c r="F19" s="11">
        <v>3</v>
      </c>
      <c r="G19" s="11" t="s">
        <v>85</v>
      </c>
      <c r="H19" s="12">
        <v>18</v>
      </c>
      <c r="J19" s="26"/>
      <c r="K19" s="15" t="s">
        <v>53</v>
      </c>
      <c r="L19" s="15"/>
      <c r="M19" s="27" t="s">
        <v>53</v>
      </c>
      <c r="N19" s="16">
        <v>33</v>
      </c>
      <c r="O19" s="16" t="e">
        <f t="shared" si="10"/>
        <v>#VALUE!</v>
      </c>
      <c r="P19" s="16">
        <f t="shared" si="10"/>
        <v>165</v>
      </c>
      <c r="Q19" s="16">
        <v>80</v>
      </c>
      <c r="R19" s="16" t="s">
        <v>53</v>
      </c>
      <c r="S19" s="17"/>
      <c r="T19" s="27">
        <v>0.80200000000000005</v>
      </c>
      <c r="U19" s="27">
        <v>0.47</v>
      </c>
      <c r="V19" s="27"/>
      <c r="W19" s="27"/>
      <c r="X19" s="27"/>
      <c r="Y19" s="27">
        <v>72</v>
      </c>
      <c r="Z19" s="27">
        <v>62.992000000000004</v>
      </c>
      <c r="AA19" s="27"/>
      <c r="AB19" s="27"/>
      <c r="AC19" s="27">
        <v>89</v>
      </c>
      <c r="AD19" s="16">
        <f>0.4095*AC19-1.3432</f>
        <v>35.102299999999993</v>
      </c>
      <c r="AE19" s="27">
        <v>1.98</v>
      </c>
      <c r="AF19" s="27">
        <v>1.95</v>
      </c>
      <c r="AG19" s="27"/>
      <c r="AH19" s="28"/>
      <c r="AI19" s="18">
        <f t="shared" si="0"/>
        <v>39.299999999999997</v>
      </c>
      <c r="AJ19" s="18">
        <f t="shared" si="1"/>
        <v>0</v>
      </c>
      <c r="AK19" s="19">
        <f t="shared" si="2"/>
        <v>0.87488888888888894</v>
      </c>
      <c r="AL19" s="19" t="e">
        <f t="shared" si="3"/>
        <v>#DIV/0!</v>
      </c>
      <c r="AM19" s="20">
        <f t="shared" si="4"/>
        <v>0.74089689689689675</v>
      </c>
      <c r="AN19" s="20" t="e">
        <f t="shared" si="4"/>
        <v>#DIV/0!</v>
      </c>
      <c r="AO19" s="19">
        <f t="shared" si="5"/>
        <v>0.84684684684684663</v>
      </c>
      <c r="AP19" s="19">
        <f t="shared" si="5"/>
        <v>0</v>
      </c>
      <c r="AR19" s="22">
        <v>1.75</v>
      </c>
      <c r="AS19" s="23">
        <f t="shared" si="6"/>
        <v>1.1196682464454975</v>
      </c>
      <c r="AT19" s="23">
        <f t="shared" si="7"/>
        <v>3.1531531531531525</v>
      </c>
      <c r="AU19" s="23">
        <f t="shared" si="8"/>
        <v>2.0174202638657608</v>
      </c>
      <c r="AV19" s="22">
        <v>844</v>
      </c>
      <c r="AW19" s="22">
        <v>540</v>
      </c>
      <c r="AX19" s="23">
        <f t="shared" si="9"/>
        <v>0.6398104265402843</v>
      </c>
    </row>
    <row r="20" spans="1:51" ht="38.1" customHeight="1" x14ac:dyDescent="0.25">
      <c r="A20" s="11">
        <v>8</v>
      </c>
      <c r="B20" s="11">
        <v>37</v>
      </c>
      <c r="C20" s="11" t="s">
        <v>74</v>
      </c>
      <c r="D20" s="11">
        <v>2</v>
      </c>
      <c r="E20" s="11">
        <v>3</v>
      </c>
      <c r="F20" s="11">
        <v>3</v>
      </c>
      <c r="G20" s="11" t="s">
        <v>75</v>
      </c>
      <c r="H20" s="12">
        <v>19</v>
      </c>
      <c r="J20" s="26"/>
      <c r="K20" s="15">
        <v>45085</v>
      </c>
      <c r="L20" s="15">
        <v>45096</v>
      </c>
      <c r="M20" s="27">
        <v>22</v>
      </c>
      <c r="N20" s="16" t="s">
        <v>53</v>
      </c>
      <c r="O20" s="16">
        <f t="shared" si="10"/>
        <v>110</v>
      </c>
      <c r="P20" s="16" t="e">
        <f t="shared" si="10"/>
        <v>#VALUE!</v>
      </c>
      <c r="Q20" s="16" t="s">
        <v>53</v>
      </c>
      <c r="R20" s="16">
        <v>30</v>
      </c>
      <c r="S20" s="17"/>
      <c r="T20" s="27">
        <v>0.70599999999999996</v>
      </c>
      <c r="U20" s="27"/>
      <c r="V20" s="27">
        <v>0.52200000000000002</v>
      </c>
      <c r="W20" s="27"/>
      <c r="X20" s="27"/>
      <c r="Y20" s="27"/>
      <c r="Z20" s="27"/>
      <c r="AA20" s="27">
        <v>79</v>
      </c>
      <c r="AB20" s="27">
        <v>63.805000000000007</v>
      </c>
      <c r="AC20" s="27"/>
      <c r="AD20" s="16"/>
      <c r="AE20" s="27"/>
      <c r="AF20" s="27"/>
      <c r="AG20" s="27">
        <v>8.48</v>
      </c>
      <c r="AH20" s="28">
        <v>9.39</v>
      </c>
      <c r="AI20" s="18">
        <f t="shared" si="0"/>
        <v>0</v>
      </c>
      <c r="AJ20" s="18">
        <f t="shared" si="1"/>
        <v>178.70000000000002</v>
      </c>
      <c r="AK20" s="19" t="e">
        <f t="shared" si="2"/>
        <v>#DIV/0!</v>
      </c>
      <c r="AL20" s="19">
        <f t="shared" si="3"/>
        <v>0.80765822784810137</v>
      </c>
      <c r="AM20" s="20" t="e">
        <f t="shared" si="4"/>
        <v>#DIV/0!</v>
      </c>
      <c r="AN20" s="20">
        <f t="shared" si="4"/>
        <v>0.75963530619226827</v>
      </c>
      <c r="AO20" s="19">
        <f t="shared" si="5"/>
        <v>0</v>
      </c>
      <c r="AP20" s="19">
        <f t="shared" si="5"/>
        <v>0.94054054054054048</v>
      </c>
      <c r="AR20" s="22">
        <v>2</v>
      </c>
      <c r="AS20" s="23">
        <f t="shared" si="6"/>
        <v>0.68081002892960463</v>
      </c>
      <c r="AT20" s="23">
        <f t="shared" si="7"/>
        <v>3.6036036036036028</v>
      </c>
      <c r="AU20" s="23">
        <f t="shared" si="8"/>
        <v>1.2266847368100982</v>
      </c>
      <c r="AV20" s="22">
        <v>1037</v>
      </c>
      <c r="AW20" s="22">
        <v>353</v>
      </c>
      <c r="AX20" s="23">
        <f t="shared" si="9"/>
        <v>0.34040501446480231</v>
      </c>
    </row>
    <row r="21" spans="1:51" ht="38.1" customHeight="1" x14ac:dyDescent="0.25">
      <c r="A21" s="11">
        <v>1</v>
      </c>
      <c r="B21" s="11">
        <v>24</v>
      </c>
      <c r="C21" s="11" t="s">
        <v>68</v>
      </c>
      <c r="D21" s="11">
        <v>2</v>
      </c>
      <c r="E21" s="11">
        <v>3</v>
      </c>
      <c r="F21" s="11">
        <v>6</v>
      </c>
      <c r="G21" s="11" t="s">
        <v>69</v>
      </c>
      <c r="H21" s="12">
        <v>20</v>
      </c>
      <c r="J21" s="26"/>
      <c r="K21" s="15" t="s">
        <v>53</v>
      </c>
      <c r="L21" s="15"/>
      <c r="M21" s="27" t="s">
        <v>53</v>
      </c>
      <c r="N21" s="16">
        <v>29</v>
      </c>
      <c r="O21" s="16" t="e">
        <f t="shared" si="10"/>
        <v>#VALUE!</v>
      </c>
      <c r="P21" s="16">
        <f t="shared" si="10"/>
        <v>145</v>
      </c>
      <c r="Q21" s="16">
        <v>75</v>
      </c>
      <c r="R21" s="16" t="s">
        <v>53</v>
      </c>
      <c r="S21" s="17"/>
      <c r="T21" s="27">
        <v>0.73099999999999998</v>
      </c>
      <c r="U21" s="27">
        <v>0.40400000000000003</v>
      </c>
      <c r="V21" s="27"/>
      <c r="W21" s="27"/>
      <c r="X21" s="27"/>
      <c r="Y21" s="27">
        <v>77</v>
      </c>
      <c r="Z21" s="27">
        <v>66.046000000000006</v>
      </c>
      <c r="AA21" s="27"/>
      <c r="AB21" s="27"/>
      <c r="AC21" s="27">
        <v>89</v>
      </c>
      <c r="AD21" s="16">
        <f>0.4095*AC21-1.3432</f>
        <v>35.102299999999993</v>
      </c>
      <c r="AE21" s="27">
        <v>2.02</v>
      </c>
      <c r="AF21" s="27">
        <v>1.89</v>
      </c>
      <c r="AG21" s="27"/>
      <c r="AH21" s="28"/>
      <c r="AI21" s="18">
        <f t="shared" si="0"/>
        <v>39.1</v>
      </c>
      <c r="AJ21" s="18">
        <f t="shared" si="1"/>
        <v>0</v>
      </c>
      <c r="AK21" s="19">
        <f t="shared" si="2"/>
        <v>0.8577402597402598</v>
      </c>
      <c r="AL21" s="19" t="e">
        <f t="shared" si="3"/>
        <v>#DIV/0!</v>
      </c>
      <c r="AM21" s="20">
        <f t="shared" si="4"/>
        <v>0.62437308997308993</v>
      </c>
      <c r="AN21" s="20" t="e">
        <f t="shared" si="4"/>
        <v>#DIV/0!</v>
      </c>
      <c r="AO21" s="19">
        <f t="shared" si="5"/>
        <v>0.72792792792792782</v>
      </c>
      <c r="AP21" s="19">
        <f t="shared" si="5"/>
        <v>0</v>
      </c>
      <c r="AR21" s="22">
        <v>1.9</v>
      </c>
      <c r="AS21" s="23">
        <f t="shared" si="6"/>
        <v>1.3013698630136985</v>
      </c>
      <c r="AT21" s="23">
        <f t="shared" si="7"/>
        <v>3.4234234234234231</v>
      </c>
      <c r="AU21" s="23">
        <f t="shared" si="8"/>
        <v>2.3448105639886458</v>
      </c>
      <c r="AV21" s="22">
        <v>438</v>
      </c>
      <c r="AW21" s="22">
        <v>300</v>
      </c>
      <c r="AX21" s="23">
        <f t="shared" si="9"/>
        <v>0.68493150684931503</v>
      </c>
    </row>
    <row r="22" spans="1:51" ht="38.1" customHeight="1" x14ac:dyDescent="0.25">
      <c r="A22" s="11">
        <v>12</v>
      </c>
      <c r="B22" s="11">
        <v>40</v>
      </c>
      <c r="C22" s="11" t="s">
        <v>66</v>
      </c>
      <c r="D22" s="11">
        <v>2</v>
      </c>
      <c r="E22" s="11">
        <v>3</v>
      </c>
      <c r="F22" s="11">
        <v>9</v>
      </c>
      <c r="G22" s="11" t="s">
        <v>67</v>
      </c>
      <c r="H22" s="12">
        <v>21</v>
      </c>
      <c r="J22" s="26"/>
      <c r="K22" s="15">
        <v>45082</v>
      </c>
      <c r="L22" s="15">
        <v>45096</v>
      </c>
      <c r="M22" s="27">
        <v>13</v>
      </c>
      <c r="N22" s="16" t="s">
        <v>53</v>
      </c>
      <c r="O22" s="16">
        <f t="shared" si="10"/>
        <v>65</v>
      </c>
      <c r="P22" s="16" t="e">
        <f t="shared" si="10"/>
        <v>#VALUE!</v>
      </c>
      <c r="Q22" s="16">
        <v>70</v>
      </c>
      <c r="R22" s="16">
        <v>40</v>
      </c>
      <c r="S22" s="17"/>
      <c r="T22" s="27">
        <v>0.90500000000000003</v>
      </c>
      <c r="U22" s="27">
        <v>8.7999999999999995E-2</v>
      </c>
      <c r="V22" s="27">
        <v>0.51200000000000001</v>
      </c>
      <c r="W22" s="27">
        <v>138</v>
      </c>
      <c r="X22" s="27">
        <v>105.35</v>
      </c>
      <c r="Y22" s="27">
        <v>27</v>
      </c>
      <c r="Z22" s="27">
        <v>23.172999999999998</v>
      </c>
      <c r="AA22" s="27">
        <v>84</v>
      </c>
      <c r="AB22" s="27">
        <v>68.102000000000004</v>
      </c>
      <c r="AC22" s="27"/>
      <c r="AD22" s="16"/>
      <c r="AE22" s="27">
        <v>2.15</v>
      </c>
      <c r="AF22" s="27">
        <v>2.11</v>
      </c>
      <c r="AG22" s="27">
        <v>8.7799999999999994</v>
      </c>
      <c r="AH22" s="28">
        <v>9.08</v>
      </c>
      <c r="AI22" s="18">
        <f t="shared" si="0"/>
        <v>42.599999999999994</v>
      </c>
      <c r="AJ22" s="18">
        <f t="shared" si="1"/>
        <v>178.6</v>
      </c>
      <c r="AK22" s="19">
        <f t="shared" si="2"/>
        <v>0.85825925925925917</v>
      </c>
      <c r="AL22" s="19">
        <f t="shared" si="3"/>
        <v>0.81073809523809526</v>
      </c>
      <c r="AM22" s="20">
        <f t="shared" si="4"/>
        <v>0.13608435101768432</v>
      </c>
      <c r="AN22" s="20">
        <f t="shared" si="4"/>
        <v>0.74792415272415269</v>
      </c>
      <c r="AO22" s="19">
        <f t="shared" si="5"/>
        <v>0.15855855855855855</v>
      </c>
      <c r="AP22" s="19">
        <f t="shared" si="5"/>
        <v>0.92252252252252243</v>
      </c>
      <c r="AR22" s="22">
        <v>2.7</v>
      </c>
      <c r="AS22" s="23">
        <f t="shared" si="6"/>
        <v>1.1612137203166228</v>
      </c>
      <c r="AT22" s="23">
        <f t="shared" si="7"/>
        <v>4.8648648648648649</v>
      </c>
      <c r="AU22" s="23">
        <f t="shared" si="8"/>
        <v>2.0922769735434645</v>
      </c>
      <c r="AV22" s="22">
        <v>1137</v>
      </c>
      <c r="AW22" s="22">
        <v>489</v>
      </c>
      <c r="AX22" s="23">
        <f t="shared" si="9"/>
        <v>0.43007915567282323</v>
      </c>
    </row>
    <row r="23" spans="1:51" ht="38.1" customHeight="1" x14ac:dyDescent="0.25">
      <c r="A23" s="11">
        <v>15</v>
      </c>
      <c r="B23" s="11">
        <v>42</v>
      </c>
      <c r="C23" s="11" t="s">
        <v>64</v>
      </c>
      <c r="D23" s="11">
        <v>2</v>
      </c>
      <c r="E23" s="11">
        <v>3</v>
      </c>
      <c r="F23" s="11">
        <v>12</v>
      </c>
      <c r="G23" s="11" t="s">
        <v>65</v>
      </c>
      <c r="H23" s="12">
        <v>22</v>
      </c>
      <c r="J23" s="26"/>
      <c r="K23" s="15">
        <v>45082</v>
      </c>
      <c r="L23" s="15">
        <v>45096</v>
      </c>
      <c r="M23" s="27">
        <v>13</v>
      </c>
      <c r="N23" s="16">
        <v>7</v>
      </c>
      <c r="O23" s="16">
        <f t="shared" si="10"/>
        <v>65</v>
      </c>
      <c r="P23" s="16">
        <f t="shared" si="10"/>
        <v>35</v>
      </c>
      <c r="Q23" s="16">
        <v>75</v>
      </c>
      <c r="R23" s="16">
        <v>45</v>
      </c>
      <c r="S23" s="17"/>
      <c r="T23" s="27">
        <v>0.92800000000000005</v>
      </c>
      <c r="U23" s="27">
        <v>0.23699999999999999</v>
      </c>
      <c r="V23" s="27">
        <v>0.38100000000000001</v>
      </c>
      <c r="W23" s="27">
        <v>129</v>
      </c>
      <c r="X23" s="27">
        <v>103.654</v>
      </c>
      <c r="Y23" s="27">
        <v>80</v>
      </c>
      <c r="Z23" s="27">
        <v>68.861999999999995</v>
      </c>
      <c r="AA23" s="27">
        <v>87</v>
      </c>
      <c r="AB23" s="27">
        <v>74.165000000000006</v>
      </c>
      <c r="AC23" s="27">
        <v>107</v>
      </c>
      <c r="AD23" s="16">
        <f t="shared" ref="AD23:AD30" si="12">0.4095*AC23-1.3432</f>
        <v>42.473299999999995</v>
      </c>
      <c r="AE23" s="27">
        <v>1.83</v>
      </c>
      <c r="AF23" s="27">
        <v>1.71</v>
      </c>
      <c r="AG23" s="27">
        <v>7.39</v>
      </c>
      <c r="AH23" s="28">
        <v>7.23</v>
      </c>
      <c r="AI23" s="18">
        <f t="shared" si="0"/>
        <v>35.4</v>
      </c>
      <c r="AJ23" s="18">
        <f t="shared" si="1"/>
        <v>146.20000000000002</v>
      </c>
      <c r="AK23" s="19">
        <f t="shared" si="2"/>
        <v>0.86077499999999996</v>
      </c>
      <c r="AL23" s="19">
        <f t="shared" si="3"/>
        <v>0.85247126436781617</v>
      </c>
      <c r="AM23" s="20">
        <f t="shared" si="4"/>
        <v>0.36757418918918916</v>
      </c>
      <c r="AN23" s="20">
        <f t="shared" si="4"/>
        <v>0.5852100031065548</v>
      </c>
      <c r="AO23" s="19">
        <f t="shared" si="5"/>
        <v>0.427027027027027</v>
      </c>
      <c r="AP23" s="19">
        <f t="shared" si="5"/>
        <v>0.68648648648648636</v>
      </c>
      <c r="AR23" s="22">
        <v>2</v>
      </c>
      <c r="AS23" s="23">
        <f t="shared" si="6"/>
        <v>1.0492753623188407</v>
      </c>
      <c r="AT23" s="23">
        <f t="shared" si="7"/>
        <v>3.6036036036036028</v>
      </c>
      <c r="AU23" s="23">
        <f t="shared" si="8"/>
        <v>1.8905862384123251</v>
      </c>
      <c r="AV23" s="22">
        <v>1035</v>
      </c>
      <c r="AW23" s="22">
        <v>543</v>
      </c>
      <c r="AX23" s="23">
        <f t="shared" si="9"/>
        <v>0.52463768115942033</v>
      </c>
    </row>
    <row r="24" spans="1:51" ht="38.1" customHeight="1" x14ac:dyDescent="0.25">
      <c r="A24" s="11">
        <v>18</v>
      </c>
      <c r="B24" s="11">
        <v>44</v>
      </c>
      <c r="C24" s="11" t="s">
        <v>80</v>
      </c>
      <c r="D24" s="11">
        <v>2</v>
      </c>
      <c r="E24" s="11">
        <v>3</v>
      </c>
      <c r="F24" s="11">
        <v>15</v>
      </c>
      <c r="G24" s="11" t="s">
        <v>81</v>
      </c>
      <c r="H24" s="12">
        <v>23</v>
      </c>
      <c r="J24" s="26"/>
      <c r="K24" s="15">
        <v>45081</v>
      </c>
      <c r="L24" s="15">
        <v>45095</v>
      </c>
      <c r="M24" s="27">
        <v>11</v>
      </c>
      <c r="N24" s="16">
        <v>4</v>
      </c>
      <c r="O24" s="16">
        <f t="shared" si="10"/>
        <v>55</v>
      </c>
      <c r="P24" s="16">
        <f t="shared" si="10"/>
        <v>20</v>
      </c>
      <c r="Q24" s="16">
        <v>65</v>
      </c>
      <c r="R24" s="16">
        <v>50</v>
      </c>
      <c r="S24" s="17"/>
      <c r="T24" s="27">
        <v>1.111</v>
      </c>
      <c r="U24" s="27">
        <v>0.221</v>
      </c>
      <c r="V24" s="27">
        <v>0.58199999999999996</v>
      </c>
      <c r="W24" s="27">
        <v>115</v>
      </c>
      <c r="X24" s="27">
        <v>91.632000000000005</v>
      </c>
      <c r="Y24" s="27">
        <v>63</v>
      </c>
      <c r="Z24" s="27">
        <v>52.795999999999999</v>
      </c>
      <c r="AA24" s="27">
        <v>90</v>
      </c>
      <c r="AB24" s="27">
        <v>74.575000000000003</v>
      </c>
      <c r="AC24" s="27">
        <v>92</v>
      </c>
      <c r="AD24" s="16">
        <f t="shared" si="12"/>
        <v>36.330799999999996</v>
      </c>
      <c r="AE24" s="27">
        <v>1.68</v>
      </c>
      <c r="AF24" s="27">
        <v>1.62</v>
      </c>
      <c r="AG24" s="27">
        <v>8</v>
      </c>
      <c r="AH24" s="28">
        <v>7.94</v>
      </c>
      <c r="AI24" s="18">
        <f t="shared" si="0"/>
        <v>33</v>
      </c>
      <c r="AJ24" s="18">
        <f t="shared" si="1"/>
        <v>159.4</v>
      </c>
      <c r="AK24" s="19">
        <f t="shared" si="2"/>
        <v>0.83803174603174602</v>
      </c>
      <c r="AL24" s="19">
        <f t="shared" si="3"/>
        <v>0.82861111111111119</v>
      </c>
      <c r="AM24" s="20">
        <f t="shared" si="4"/>
        <v>0.33370273130273126</v>
      </c>
      <c r="AN24" s="20">
        <f t="shared" si="4"/>
        <v>0.86892192192192197</v>
      </c>
      <c r="AO24" s="19">
        <f t="shared" si="5"/>
        <v>0.39819819819819813</v>
      </c>
      <c r="AP24" s="19">
        <f t="shared" si="5"/>
        <v>1.0486486486486486</v>
      </c>
      <c r="AR24" s="22">
        <v>2.65</v>
      </c>
      <c r="AS24" s="23">
        <f t="shared" si="6"/>
        <v>1.3713627992633517</v>
      </c>
      <c r="AT24" s="23">
        <f t="shared" si="7"/>
        <v>4.774774774774774</v>
      </c>
      <c r="AU24" s="23">
        <f t="shared" si="8"/>
        <v>2.4709239626366695</v>
      </c>
      <c r="AV24" s="22">
        <v>1086</v>
      </c>
      <c r="AW24" s="22">
        <v>562</v>
      </c>
      <c r="AX24" s="23">
        <f t="shared" si="9"/>
        <v>0.51749539594843463</v>
      </c>
      <c r="AY24" s="30"/>
    </row>
    <row r="25" spans="1:51" ht="38.1" customHeight="1" x14ac:dyDescent="0.25">
      <c r="A25" s="11">
        <v>3</v>
      </c>
      <c r="B25" s="11">
        <v>22</v>
      </c>
      <c r="C25" s="11" t="s">
        <v>82</v>
      </c>
      <c r="D25" s="11">
        <v>2</v>
      </c>
      <c r="E25" s="11">
        <v>3</v>
      </c>
      <c r="F25" s="11">
        <v>18</v>
      </c>
      <c r="G25" s="11" t="s">
        <v>83</v>
      </c>
      <c r="H25" s="12">
        <v>24</v>
      </c>
      <c r="J25" s="26"/>
      <c r="K25" s="15" t="s">
        <v>53</v>
      </c>
      <c r="L25" s="15"/>
      <c r="M25" s="27" t="s">
        <v>53</v>
      </c>
      <c r="N25" s="16">
        <v>27</v>
      </c>
      <c r="O25" s="16" t="e">
        <f t="shared" si="10"/>
        <v>#VALUE!</v>
      </c>
      <c r="P25" s="16">
        <f t="shared" si="10"/>
        <v>135</v>
      </c>
      <c r="Q25" s="16">
        <v>55</v>
      </c>
      <c r="R25" s="16" t="s">
        <v>53</v>
      </c>
      <c r="S25" s="17"/>
      <c r="T25" s="27">
        <v>1.381</v>
      </c>
      <c r="U25" s="27">
        <v>0.96799999999999997</v>
      </c>
      <c r="V25" s="27"/>
      <c r="W25" s="27"/>
      <c r="X25" s="27"/>
      <c r="Y25" s="27">
        <v>77</v>
      </c>
      <c r="Z25" s="27">
        <v>66.253</v>
      </c>
      <c r="AA25" s="27"/>
      <c r="AB25" s="27"/>
      <c r="AC25" s="27">
        <v>94</v>
      </c>
      <c r="AD25" s="16">
        <f t="shared" si="12"/>
        <v>37.149799999999992</v>
      </c>
      <c r="AE25" s="27">
        <v>1.6</v>
      </c>
      <c r="AF25" s="27">
        <v>1.71</v>
      </c>
      <c r="AG25" s="27"/>
      <c r="AH25" s="28"/>
      <c r="AI25" s="18">
        <f t="shared" si="0"/>
        <v>33.1</v>
      </c>
      <c r="AJ25" s="18">
        <f t="shared" si="1"/>
        <v>0</v>
      </c>
      <c r="AK25" s="19">
        <f t="shared" si="2"/>
        <v>0.86042857142857143</v>
      </c>
      <c r="AL25" s="19" t="e">
        <f t="shared" si="3"/>
        <v>#DIV/0!</v>
      </c>
      <c r="AM25" s="20">
        <f t="shared" si="4"/>
        <v>1.5007114543114541</v>
      </c>
      <c r="AN25" s="20" t="e">
        <f t="shared" si="4"/>
        <v>#DIV/0!</v>
      </c>
      <c r="AO25" s="19">
        <f t="shared" si="5"/>
        <v>1.7441441441441439</v>
      </c>
      <c r="AP25" s="19">
        <f t="shared" si="5"/>
        <v>0</v>
      </c>
      <c r="AR25" s="22">
        <v>1.35</v>
      </c>
      <c r="AS25" s="23">
        <f t="shared" si="6"/>
        <v>0.98265306122448992</v>
      </c>
      <c r="AT25" s="23">
        <f t="shared" si="7"/>
        <v>2.4324324324324325</v>
      </c>
      <c r="AU25" s="23">
        <f t="shared" si="8"/>
        <v>1.7705460562603421</v>
      </c>
      <c r="AV25" s="22">
        <v>588</v>
      </c>
      <c r="AW25" s="22">
        <v>428</v>
      </c>
      <c r="AX25" s="23">
        <f t="shared" si="9"/>
        <v>0.72789115646258506</v>
      </c>
    </row>
    <row r="26" spans="1:51" ht="38.1" customHeight="1" x14ac:dyDescent="0.25">
      <c r="A26" s="11">
        <v>10</v>
      </c>
      <c r="B26" s="11">
        <v>36</v>
      </c>
      <c r="C26" s="11" t="s">
        <v>76</v>
      </c>
      <c r="D26" s="11">
        <v>2</v>
      </c>
      <c r="E26" s="11">
        <v>3</v>
      </c>
      <c r="F26" s="11">
        <v>21</v>
      </c>
      <c r="G26" s="11" t="s">
        <v>77</v>
      </c>
      <c r="H26" s="12">
        <v>25</v>
      </c>
      <c r="J26" s="26"/>
      <c r="K26" s="15">
        <v>45079</v>
      </c>
      <c r="L26" s="15">
        <v>45093</v>
      </c>
      <c r="M26" s="27">
        <v>12</v>
      </c>
      <c r="N26" s="16">
        <v>7</v>
      </c>
      <c r="O26" s="16">
        <f t="shared" si="10"/>
        <v>60</v>
      </c>
      <c r="P26" s="16">
        <f t="shared" si="10"/>
        <v>35</v>
      </c>
      <c r="Q26" s="16">
        <v>75</v>
      </c>
      <c r="R26" s="16">
        <v>50</v>
      </c>
      <c r="S26" s="17"/>
      <c r="T26" s="27">
        <v>1.4850000000000001</v>
      </c>
      <c r="U26" s="27">
        <v>0.251</v>
      </c>
      <c r="V26" s="27">
        <v>0.97799999999999998</v>
      </c>
      <c r="W26" s="27">
        <v>114</v>
      </c>
      <c r="X26" s="27">
        <v>89.738</v>
      </c>
      <c r="Y26" s="27">
        <v>48</v>
      </c>
      <c r="Z26" s="27">
        <v>41.912999999999997</v>
      </c>
      <c r="AA26" s="27">
        <v>77</v>
      </c>
      <c r="AB26" s="27">
        <v>64.325999999999993</v>
      </c>
      <c r="AC26" s="27">
        <v>90</v>
      </c>
      <c r="AD26" s="16">
        <f t="shared" si="12"/>
        <v>35.511799999999994</v>
      </c>
      <c r="AE26" s="27">
        <v>2.31</v>
      </c>
      <c r="AF26" s="27">
        <v>2.2599999999999998</v>
      </c>
      <c r="AG26" s="27">
        <v>8.6300000000000008</v>
      </c>
      <c r="AH26" s="28">
        <v>7.51</v>
      </c>
      <c r="AI26" s="18">
        <f t="shared" si="0"/>
        <v>45.7</v>
      </c>
      <c r="AJ26" s="18">
        <f t="shared" si="1"/>
        <v>161.4</v>
      </c>
      <c r="AK26" s="19">
        <f t="shared" si="2"/>
        <v>0.87318749999999989</v>
      </c>
      <c r="AL26" s="19">
        <f t="shared" si="3"/>
        <v>0.83540259740259737</v>
      </c>
      <c r="AM26" s="20">
        <f t="shared" si="4"/>
        <v>0.39490101351351342</v>
      </c>
      <c r="AN26" s="20">
        <f t="shared" si="4"/>
        <v>1.4721148473148471</v>
      </c>
      <c r="AO26" s="19">
        <f t="shared" si="5"/>
        <v>0.45225225225225218</v>
      </c>
      <c r="AP26" s="19">
        <f t="shared" si="5"/>
        <v>1.7621621621621619</v>
      </c>
      <c r="AR26" s="22">
        <v>2.15</v>
      </c>
      <c r="AS26" s="23">
        <f t="shared" si="6"/>
        <v>1.3063291139240507</v>
      </c>
      <c r="AT26" s="23">
        <f t="shared" si="7"/>
        <v>3.8738738738738734</v>
      </c>
      <c r="AU26" s="23">
        <f t="shared" si="8"/>
        <v>2.3537461512145055</v>
      </c>
      <c r="AV26" s="22">
        <v>790</v>
      </c>
      <c r="AW26" s="22">
        <v>480</v>
      </c>
      <c r="AX26" s="23">
        <f t="shared" si="9"/>
        <v>0.60759493670886078</v>
      </c>
    </row>
    <row r="27" spans="1:51" ht="38.1" customHeight="1" x14ac:dyDescent="0.25">
      <c r="A27" s="11">
        <v>16</v>
      </c>
      <c r="B27" s="11">
        <v>30</v>
      </c>
      <c r="C27" s="11" t="s">
        <v>49</v>
      </c>
      <c r="D27" s="11">
        <v>2</v>
      </c>
      <c r="E27" s="11">
        <v>3</v>
      </c>
      <c r="F27" s="11">
        <v>24</v>
      </c>
      <c r="G27" s="11" t="s">
        <v>50</v>
      </c>
      <c r="H27" s="12">
        <v>26</v>
      </c>
      <c r="J27" s="26"/>
      <c r="K27" s="15">
        <v>45079</v>
      </c>
      <c r="L27" s="15">
        <v>45094</v>
      </c>
      <c r="M27" s="27">
        <v>11</v>
      </c>
      <c r="N27" s="16">
        <v>6</v>
      </c>
      <c r="O27" s="16">
        <f t="shared" si="10"/>
        <v>55</v>
      </c>
      <c r="P27" s="16">
        <f t="shared" si="10"/>
        <v>30</v>
      </c>
      <c r="Q27" s="16">
        <v>60</v>
      </c>
      <c r="R27" s="16">
        <v>50</v>
      </c>
      <c r="S27" s="17"/>
      <c r="T27" s="27">
        <v>1.48</v>
      </c>
      <c r="U27" s="27">
        <v>0.27400000000000002</v>
      </c>
      <c r="V27" s="27">
        <v>0.92200000000000004</v>
      </c>
      <c r="W27" s="27">
        <v>127</v>
      </c>
      <c r="X27" s="27">
        <v>102.04</v>
      </c>
      <c r="Y27" s="27">
        <v>92</v>
      </c>
      <c r="Z27" s="27">
        <v>67.781000000000006</v>
      </c>
      <c r="AA27" s="27">
        <v>90</v>
      </c>
      <c r="AB27" s="27">
        <v>73.792000000000002</v>
      </c>
      <c r="AC27" s="27">
        <v>98</v>
      </c>
      <c r="AD27" s="16">
        <f t="shared" si="12"/>
        <v>38.787799999999997</v>
      </c>
      <c r="AE27" s="27">
        <v>1.8</v>
      </c>
      <c r="AF27" s="27">
        <v>1.95</v>
      </c>
      <c r="AG27" s="27">
        <v>7.06</v>
      </c>
      <c r="AH27" s="28">
        <v>7.58</v>
      </c>
      <c r="AI27" s="18">
        <f t="shared" si="0"/>
        <v>37.5</v>
      </c>
      <c r="AJ27" s="18">
        <f t="shared" si="1"/>
        <v>146.4</v>
      </c>
      <c r="AK27" s="19">
        <f t="shared" si="2"/>
        <v>0.73675000000000002</v>
      </c>
      <c r="AL27" s="19">
        <f t="shared" si="3"/>
        <v>0.81991111111111115</v>
      </c>
      <c r="AM27" s="20">
        <f t="shared" si="4"/>
        <v>0.36372882882882879</v>
      </c>
      <c r="AN27" s="20">
        <f t="shared" si="4"/>
        <v>1.3620865665665665</v>
      </c>
      <c r="AO27" s="19">
        <f t="shared" si="5"/>
        <v>0.49369369369369365</v>
      </c>
      <c r="AP27" s="19">
        <f t="shared" si="5"/>
        <v>1.6612612612612612</v>
      </c>
      <c r="AR27" s="22">
        <v>1.85</v>
      </c>
      <c r="AS27" s="23">
        <f t="shared" si="6"/>
        <v>0.75766331658291464</v>
      </c>
      <c r="AT27" s="23">
        <f t="shared" si="7"/>
        <v>3.333333333333333</v>
      </c>
      <c r="AU27" s="23">
        <f t="shared" si="8"/>
        <v>1.3651591289782243</v>
      </c>
      <c r="AV27" s="22">
        <v>1194</v>
      </c>
      <c r="AW27" s="22">
        <v>489</v>
      </c>
      <c r="AX27" s="23">
        <f t="shared" si="9"/>
        <v>0.40954773869346733</v>
      </c>
    </row>
    <row r="28" spans="1:51" ht="38.1" customHeight="1" x14ac:dyDescent="0.25">
      <c r="A28" s="11">
        <v>5</v>
      </c>
      <c r="B28" s="11">
        <v>26</v>
      </c>
      <c r="C28" s="25" t="s">
        <v>62</v>
      </c>
      <c r="D28" s="11">
        <v>2</v>
      </c>
      <c r="E28" s="11">
        <v>3</v>
      </c>
      <c r="F28" s="11">
        <v>27</v>
      </c>
      <c r="G28" s="11" t="s">
        <v>85</v>
      </c>
      <c r="H28" s="12">
        <v>27</v>
      </c>
      <c r="J28" s="26"/>
      <c r="K28" s="15" t="s">
        <v>53</v>
      </c>
      <c r="L28" s="15"/>
      <c r="M28" s="27" t="s">
        <v>53</v>
      </c>
      <c r="N28" s="16">
        <v>47</v>
      </c>
      <c r="O28" s="16" t="e">
        <f t="shared" si="10"/>
        <v>#VALUE!</v>
      </c>
      <c r="P28" s="16">
        <f t="shared" si="10"/>
        <v>235</v>
      </c>
      <c r="Q28" s="16">
        <v>70</v>
      </c>
      <c r="R28" s="16" t="s">
        <v>53</v>
      </c>
      <c r="S28" s="17"/>
      <c r="T28" s="27">
        <v>1.327</v>
      </c>
      <c r="U28" s="27">
        <v>0.90500000000000003</v>
      </c>
      <c r="V28" s="27"/>
      <c r="W28" s="27"/>
      <c r="X28" s="27"/>
      <c r="Y28" s="27">
        <v>81</v>
      </c>
      <c r="Z28" s="27">
        <v>70.489999999999995</v>
      </c>
      <c r="AA28" s="27"/>
      <c r="AB28" s="27"/>
      <c r="AC28" s="27">
        <v>114</v>
      </c>
      <c r="AD28" s="16">
        <f t="shared" si="12"/>
        <v>45.339799999999997</v>
      </c>
      <c r="AE28" s="27">
        <v>1.79</v>
      </c>
      <c r="AF28" s="27">
        <v>1.87</v>
      </c>
      <c r="AG28" s="27"/>
      <c r="AH28" s="28"/>
      <c r="AI28" s="18">
        <f t="shared" si="0"/>
        <v>36.6</v>
      </c>
      <c r="AJ28" s="18">
        <f t="shared" si="1"/>
        <v>0</v>
      </c>
      <c r="AK28" s="19">
        <f t="shared" si="2"/>
        <v>0.87024691358024686</v>
      </c>
      <c r="AL28" s="19" t="e">
        <f t="shared" si="3"/>
        <v>#DIV/0!</v>
      </c>
      <c r="AM28" s="20">
        <f t="shared" si="4"/>
        <v>1.4190512734957177</v>
      </c>
      <c r="AN28" s="20" t="e">
        <f t="shared" si="4"/>
        <v>#DIV/0!</v>
      </c>
      <c r="AO28" s="19">
        <f t="shared" si="5"/>
        <v>1.6306306306306304</v>
      </c>
      <c r="AP28" s="19">
        <f t="shared" si="5"/>
        <v>0</v>
      </c>
      <c r="AR28" s="22">
        <v>2.4</v>
      </c>
      <c r="AS28" s="23">
        <f t="shared" si="6"/>
        <v>1.6475247524752474</v>
      </c>
      <c r="AT28" s="23">
        <f t="shared" si="7"/>
        <v>4.3243243243243237</v>
      </c>
      <c r="AU28" s="23">
        <f t="shared" si="8"/>
        <v>2.9685130675229678</v>
      </c>
      <c r="AV28" s="22">
        <v>606</v>
      </c>
      <c r="AW28" s="22">
        <v>416</v>
      </c>
      <c r="AX28" s="23">
        <f t="shared" si="9"/>
        <v>0.68646864686468645</v>
      </c>
    </row>
    <row r="29" spans="1:51" ht="38.1" customHeight="1" x14ac:dyDescent="0.25">
      <c r="A29" s="11">
        <v>4</v>
      </c>
      <c r="B29" s="11">
        <v>27</v>
      </c>
      <c r="C29" s="11" t="s">
        <v>84</v>
      </c>
      <c r="D29" s="11">
        <v>2</v>
      </c>
      <c r="E29" s="11">
        <v>4</v>
      </c>
      <c r="F29" s="11">
        <v>27</v>
      </c>
      <c r="G29" s="11" t="s">
        <v>85</v>
      </c>
      <c r="H29" s="12">
        <v>28</v>
      </c>
      <c r="J29" s="26"/>
      <c r="K29" s="15" t="s">
        <v>53</v>
      </c>
      <c r="L29" s="15"/>
      <c r="M29" s="27" t="s">
        <v>53</v>
      </c>
      <c r="N29" s="16">
        <v>30</v>
      </c>
      <c r="O29" s="16" t="e">
        <f t="shared" si="10"/>
        <v>#VALUE!</v>
      </c>
      <c r="P29" s="16">
        <f t="shared" si="10"/>
        <v>150</v>
      </c>
      <c r="Q29" s="16">
        <v>75</v>
      </c>
      <c r="R29" s="16" t="s">
        <v>53</v>
      </c>
      <c r="S29" s="17"/>
      <c r="T29" s="27">
        <v>1.2270000000000001</v>
      </c>
      <c r="U29" s="27">
        <v>0.84699999999999998</v>
      </c>
      <c r="V29" s="27"/>
      <c r="W29" s="27"/>
      <c r="X29" s="27"/>
      <c r="Y29" s="27">
        <v>83</v>
      </c>
      <c r="Z29" s="27">
        <v>72.584000000000003</v>
      </c>
      <c r="AA29" s="27"/>
      <c r="AB29" s="27"/>
      <c r="AC29" s="27">
        <v>99</v>
      </c>
      <c r="AD29" s="16">
        <f t="shared" si="12"/>
        <v>39.197299999999991</v>
      </c>
      <c r="AE29" s="27">
        <v>2.11</v>
      </c>
      <c r="AF29" s="27">
        <v>2.1800000000000002</v>
      </c>
      <c r="AG29" s="27"/>
      <c r="AH29" s="28"/>
      <c r="AI29" s="18">
        <f t="shared" si="0"/>
        <v>42.9</v>
      </c>
      <c r="AJ29" s="18">
        <f t="shared" si="1"/>
        <v>0</v>
      </c>
      <c r="AK29" s="19">
        <f t="shared" si="2"/>
        <v>0.87450602409638556</v>
      </c>
      <c r="AL29" s="19" t="e">
        <f t="shared" si="3"/>
        <v>#DIV/0!</v>
      </c>
      <c r="AM29" s="20">
        <f t="shared" si="4"/>
        <v>1.3346064908281774</v>
      </c>
      <c r="AN29" s="20" t="e">
        <f t="shared" si="4"/>
        <v>#DIV/0!</v>
      </c>
      <c r="AO29" s="19">
        <f t="shared" si="5"/>
        <v>1.5261261261261259</v>
      </c>
      <c r="AP29" s="19">
        <f t="shared" si="5"/>
        <v>0</v>
      </c>
      <c r="AR29" s="22">
        <v>2.5</v>
      </c>
      <c r="AS29" s="23">
        <f t="shared" si="6"/>
        <v>1.5995260663507107</v>
      </c>
      <c r="AT29" s="23">
        <f t="shared" si="7"/>
        <v>4.5045045045045038</v>
      </c>
      <c r="AU29" s="23">
        <f t="shared" si="8"/>
        <v>2.8820289483796584</v>
      </c>
      <c r="AV29" s="22">
        <v>844</v>
      </c>
      <c r="AW29" s="22">
        <v>540</v>
      </c>
      <c r="AX29" s="23">
        <f t="shared" si="9"/>
        <v>0.6398104265402843</v>
      </c>
    </row>
    <row r="30" spans="1:51" ht="38.1" customHeight="1" x14ac:dyDescent="0.25">
      <c r="A30" s="11">
        <v>6</v>
      </c>
      <c r="B30" s="11">
        <v>25</v>
      </c>
      <c r="C30" s="11" t="s">
        <v>72</v>
      </c>
      <c r="D30" s="11">
        <v>2</v>
      </c>
      <c r="E30" s="11">
        <v>4</v>
      </c>
      <c r="F30" s="11">
        <v>24</v>
      </c>
      <c r="G30" s="11" t="s">
        <v>73</v>
      </c>
      <c r="H30" s="12">
        <v>29</v>
      </c>
      <c r="J30" s="26"/>
      <c r="K30" s="15" t="s">
        <v>53</v>
      </c>
      <c r="L30" s="15"/>
      <c r="M30" s="27" t="s">
        <v>53</v>
      </c>
      <c r="N30" s="16">
        <v>38</v>
      </c>
      <c r="O30" s="16" t="e">
        <f t="shared" si="10"/>
        <v>#VALUE!</v>
      </c>
      <c r="P30" s="16">
        <f t="shared" si="10"/>
        <v>190</v>
      </c>
      <c r="Q30" s="16">
        <v>60</v>
      </c>
      <c r="R30" s="16" t="s">
        <v>53</v>
      </c>
      <c r="S30" s="17"/>
      <c r="T30" s="27">
        <v>1.734</v>
      </c>
      <c r="U30" s="27">
        <v>1.1879999999999999</v>
      </c>
      <c r="V30" s="27"/>
      <c r="W30" s="27"/>
      <c r="X30" s="27"/>
      <c r="Y30" s="27">
        <v>84</v>
      </c>
      <c r="Z30" s="27">
        <v>71.941000000000003</v>
      </c>
      <c r="AA30" s="27"/>
      <c r="AB30" s="27"/>
      <c r="AC30" s="27">
        <v>94</v>
      </c>
      <c r="AD30" s="16">
        <f t="shared" si="12"/>
        <v>37.149799999999992</v>
      </c>
      <c r="AE30" s="27">
        <v>1.52</v>
      </c>
      <c r="AF30" s="27">
        <v>1.78</v>
      </c>
      <c r="AG30" s="27"/>
      <c r="AH30" s="28"/>
      <c r="AI30" s="18">
        <f t="shared" si="0"/>
        <v>33</v>
      </c>
      <c r="AJ30" s="18">
        <f t="shared" si="1"/>
        <v>0</v>
      </c>
      <c r="AK30" s="19">
        <f t="shared" si="2"/>
        <v>0.85644047619047625</v>
      </c>
      <c r="AL30" s="19" t="e">
        <f t="shared" si="3"/>
        <v>#DIV/0!</v>
      </c>
      <c r="AM30" s="20">
        <f t="shared" si="4"/>
        <v>1.8332455598455595</v>
      </c>
      <c r="AN30" s="20" t="e">
        <f t="shared" si="4"/>
        <v>#DIV/0!</v>
      </c>
      <c r="AO30" s="19">
        <f t="shared" si="5"/>
        <v>2.14054054054054</v>
      </c>
      <c r="AP30" s="19">
        <f t="shared" si="5"/>
        <v>0</v>
      </c>
      <c r="AR30" s="22">
        <v>1.9</v>
      </c>
      <c r="AS30" s="23">
        <f t="shared" si="6"/>
        <v>1.3525423728813559</v>
      </c>
      <c r="AT30" s="23">
        <f t="shared" si="7"/>
        <v>3.4234234234234231</v>
      </c>
      <c r="AU30" s="23">
        <f t="shared" si="8"/>
        <v>2.4370132844709111</v>
      </c>
      <c r="AV30" s="22">
        <v>649</v>
      </c>
      <c r="AW30" s="22">
        <v>462</v>
      </c>
      <c r="AX30" s="23">
        <f t="shared" si="9"/>
        <v>0.71186440677966101</v>
      </c>
    </row>
    <row r="31" spans="1:51" ht="38.1" customHeight="1" x14ac:dyDescent="0.25">
      <c r="A31" s="11">
        <v>7</v>
      </c>
      <c r="B31" s="11">
        <v>21</v>
      </c>
      <c r="C31" s="25" t="s">
        <v>56</v>
      </c>
      <c r="D31" s="11">
        <v>2</v>
      </c>
      <c r="E31" s="11">
        <v>4</v>
      </c>
      <c r="F31" s="11">
        <v>21</v>
      </c>
      <c r="G31" s="11" t="s">
        <v>57</v>
      </c>
      <c r="H31" s="12">
        <v>30</v>
      </c>
      <c r="J31" s="26"/>
      <c r="K31" s="15">
        <v>45079</v>
      </c>
      <c r="L31" s="15">
        <v>45091</v>
      </c>
      <c r="M31" s="27">
        <v>13</v>
      </c>
      <c r="N31" s="16" t="s">
        <v>53</v>
      </c>
      <c r="O31" s="16">
        <f t="shared" si="10"/>
        <v>65</v>
      </c>
      <c r="P31" s="16" t="e">
        <f t="shared" si="10"/>
        <v>#VALUE!</v>
      </c>
      <c r="Q31" s="16" t="s">
        <v>53</v>
      </c>
      <c r="R31" s="16">
        <v>40</v>
      </c>
      <c r="S31" s="17"/>
      <c r="T31" s="27">
        <v>1.488</v>
      </c>
      <c r="U31" s="27"/>
      <c r="V31" s="27">
        <v>1.3069999999999999</v>
      </c>
      <c r="W31" s="27"/>
      <c r="X31" s="27"/>
      <c r="Y31" s="27"/>
      <c r="Z31" s="27"/>
      <c r="AA31" s="27">
        <v>79</v>
      </c>
      <c r="AB31" s="27">
        <v>63.774000000000001</v>
      </c>
      <c r="AC31" s="27"/>
      <c r="AD31" s="16"/>
      <c r="AE31" s="27"/>
      <c r="AF31" s="27"/>
      <c r="AG31" s="27">
        <v>8.14</v>
      </c>
      <c r="AH31" s="28">
        <v>8</v>
      </c>
      <c r="AI31" s="18">
        <f t="shared" si="0"/>
        <v>0</v>
      </c>
      <c r="AJ31" s="18">
        <f t="shared" si="1"/>
        <v>161.4</v>
      </c>
      <c r="AK31" s="19" t="e">
        <f t="shared" si="2"/>
        <v>#DIV/0!</v>
      </c>
      <c r="AL31" s="19">
        <f t="shared" si="3"/>
        <v>0.80726582278481018</v>
      </c>
      <c r="AM31" s="20" t="e">
        <f t="shared" si="4"/>
        <v>#DIV/0!</v>
      </c>
      <c r="AN31" s="20">
        <f t="shared" si="4"/>
        <v>1.901074649332877</v>
      </c>
      <c r="AO31" s="19">
        <f t="shared" si="5"/>
        <v>0</v>
      </c>
      <c r="AP31" s="19">
        <f t="shared" si="5"/>
        <v>2.3549549549549544</v>
      </c>
      <c r="AR31" s="22">
        <v>2.2999999999999998</v>
      </c>
      <c r="AS31" s="23">
        <f t="shared" si="6"/>
        <v>1.0982869379014988</v>
      </c>
      <c r="AT31" s="23">
        <f t="shared" si="7"/>
        <v>4.1441441441441436</v>
      </c>
      <c r="AU31" s="23">
        <f t="shared" si="8"/>
        <v>1.9788953836063041</v>
      </c>
      <c r="AV31" s="22">
        <v>934</v>
      </c>
      <c r="AW31" s="22">
        <v>446</v>
      </c>
      <c r="AX31" s="23">
        <f t="shared" si="9"/>
        <v>0.47751605995717344</v>
      </c>
    </row>
    <row r="32" spans="1:51" ht="38.1" customHeight="1" x14ac:dyDescent="0.25">
      <c r="A32" s="11">
        <v>13</v>
      </c>
      <c r="B32" s="11">
        <v>33</v>
      </c>
      <c r="C32" s="25" t="s">
        <v>78</v>
      </c>
      <c r="D32" s="11">
        <v>2</v>
      </c>
      <c r="E32" s="11">
        <v>4</v>
      </c>
      <c r="F32" s="11">
        <v>18</v>
      </c>
      <c r="G32" s="11" t="s">
        <v>79</v>
      </c>
      <c r="H32" s="12">
        <v>31</v>
      </c>
      <c r="J32" s="26"/>
      <c r="K32" s="15">
        <v>45079</v>
      </c>
      <c r="L32" s="15">
        <v>45093</v>
      </c>
      <c r="M32" s="27">
        <v>14</v>
      </c>
      <c r="N32" s="16">
        <v>7</v>
      </c>
      <c r="O32" s="16">
        <f t="shared" si="10"/>
        <v>70</v>
      </c>
      <c r="P32" s="16">
        <f t="shared" si="10"/>
        <v>35</v>
      </c>
      <c r="Q32" s="16">
        <v>70</v>
      </c>
      <c r="R32" s="16">
        <v>45</v>
      </c>
      <c r="S32" s="17"/>
      <c r="T32" s="27">
        <v>1.496</v>
      </c>
      <c r="U32" s="27">
        <v>0.35399999999999998</v>
      </c>
      <c r="V32" s="27">
        <v>0.77700000000000002</v>
      </c>
      <c r="W32" s="27">
        <v>116</v>
      </c>
      <c r="X32" s="27">
        <v>88.42</v>
      </c>
      <c r="Y32" s="27">
        <v>88</v>
      </c>
      <c r="Z32" s="27">
        <v>73.631</v>
      </c>
      <c r="AA32" s="27">
        <v>85</v>
      </c>
      <c r="AB32" s="27">
        <v>67.956000000000003</v>
      </c>
      <c r="AC32" s="27">
        <v>109</v>
      </c>
      <c r="AD32" s="16">
        <f>0.4095*AC32-1.3432</f>
        <v>43.292299999999997</v>
      </c>
      <c r="AE32" s="27">
        <v>2.0099999999999998</v>
      </c>
      <c r="AF32" s="27">
        <v>1.9</v>
      </c>
      <c r="AG32" s="27">
        <v>8.08</v>
      </c>
      <c r="AH32" s="28">
        <v>7.95</v>
      </c>
      <c r="AI32" s="18">
        <f t="shared" si="0"/>
        <v>39.099999999999994</v>
      </c>
      <c r="AJ32" s="18">
        <f t="shared" si="1"/>
        <v>160.30000000000001</v>
      </c>
      <c r="AK32" s="19">
        <f t="shared" si="2"/>
        <v>0.83671590909090909</v>
      </c>
      <c r="AL32" s="19">
        <f t="shared" si="3"/>
        <v>0.79948235294117653</v>
      </c>
      <c r="AM32" s="20">
        <f t="shared" si="4"/>
        <v>0.53368906633906632</v>
      </c>
      <c r="AN32" s="20">
        <f t="shared" si="4"/>
        <v>1.1192752941176471</v>
      </c>
      <c r="AO32" s="19">
        <f t="shared" si="5"/>
        <v>0.63783783783783776</v>
      </c>
      <c r="AP32" s="19">
        <f t="shared" si="5"/>
        <v>1.4</v>
      </c>
      <c r="AR32" s="22">
        <v>2</v>
      </c>
      <c r="AS32" s="23">
        <f t="shared" si="6"/>
        <v>0.95528068506184582</v>
      </c>
      <c r="AT32" s="23">
        <f t="shared" si="7"/>
        <v>3.6036036036036028</v>
      </c>
      <c r="AU32" s="23">
        <f t="shared" si="8"/>
        <v>1.721226459570893</v>
      </c>
      <c r="AV32" s="22">
        <v>1051</v>
      </c>
      <c r="AW32" s="22">
        <v>502</v>
      </c>
      <c r="AX32" s="23">
        <f t="shared" si="9"/>
        <v>0.47764034253092291</v>
      </c>
    </row>
    <row r="33" spans="1:51" ht="38.1" customHeight="1" x14ac:dyDescent="0.25">
      <c r="A33" s="11">
        <v>11</v>
      </c>
      <c r="B33" s="11">
        <v>39</v>
      </c>
      <c r="C33" s="11" t="s">
        <v>54</v>
      </c>
      <c r="D33" s="11">
        <v>2</v>
      </c>
      <c r="E33" s="11">
        <v>4</v>
      </c>
      <c r="F33" s="11">
        <v>15</v>
      </c>
      <c r="G33" s="11" t="s">
        <v>55</v>
      </c>
      <c r="H33" s="12">
        <v>32</v>
      </c>
      <c r="J33" s="26"/>
      <c r="K33" s="15">
        <v>45083</v>
      </c>
      <c r="L33" s="15">
        <v>45095</v>
      </c>
      <c r="M33" s="27">
        <v>11</v>
      </c>
      <c r="N33" s="16">
        <v>7</v>
      </c>
      <c r="O33" s="16">
        <f t="shared" si="10"/>
        <v>55</v>
      </c>
      <c r="P33" s="16">
        <f t="shared" si="10"/>
        <v>35</v>
      </c>
      <c r="Q33" s="16">
        <v>80</v>
      </c>
      <c r="R33" s="16">
        <v>40</v>
      </c>
      <c r="S33" s="17"/>
      <c r="T33" s="27">
        <v>1.194</v>
      </c>
      <c r="U33" s="27">
        <v>0.193</v>
      </c>
      <c r="V33" s="27">
        <v>0.66600000000000004</v>
      </c>
      <c r="W33" s="27">
        <v>136</v>
      </c>
      <c r="X33" s="27">
        <v>103.532</v>
      </c>
      <c r="Y33" s="27">
        <v>56</v>
      </c>
      <c r="Z33" s="27">
        <v>47.112000000000002</v>
      </c>
      <c r="AA33" s="27">
        <v>91</v>
      </c>
      <c r="AB33" s="27">
        <v>72.834000000000003</v>
      </c>
      <c r="AC33" s="27">
        <v>88</v>
      </c>
      <c r="AD33" s="16">
        <f>0.4095*AC33-1.3432</f>
        <v>34.692799999999998</v>
      </c>
      <c r="AE33" s="27">
        <v>1.99</v>
      </c>
      <c r="AF33" s="27">
        <v>2.08</v>
      </c>
      <c r="AG33" s="27">
        <v>8</v>
      </c>
      <c r="AH33" s="28">
        <v>7.82</v>
      </c>
      <c r="AI33" s="18">
        <f t="shared" si="0"/>
        <v>40.700000000000003</v>
      </c>
      <c r="AJ33" s="18">
        <f t="shared" si="1"/>
        <v>158.19999999999999</v>
      </c>
      <c r="AK33" s="19">
        <f t="shared" si="2"/>
        <v>0.8412857142857143</v>
      </c>
      <c r="AL33" s="19">
        <f t="shared" si="3"/>
        <v>0.80037362637362641</v>
      </c>
      <c r="AM33" s="20">
        <f t="shared" si="4"/>
        <v>0.29255521235521237</v>
      </c>
      <c r="AN33" s="20">
        <f t="shared" si="4"/>
        <v>0.96044835164835163</v>
      </c>
      <c r="AO33" s="19">
        <f t="shared" si="5"/>
        <v>0.34774774774774775</v>
      </c>
      <c r="AP33" s="19">
        <f t="shared" si="5"/>
        <v>1.2</v>
      </c>
      <c r="AR33" s="22">
        <v>2.6</v>
      </c>
      <c r="AS33" s="23">
        <f t="shared" si="6"/>
        <v>1.2665921787709498</v>
      </c>
      <c r="AT33" s="23">
        <f t="shared" si="7"/>
        <v>4.6846846846846839</v>
      </c>
      <c r="AU33" s="23">
        <f t="shared" si="8"/>
        <v>2.2821480698575667</v>
      </c>
      <c r="AV33" s="22">
        <v>895</v>
      </c>
      <c r="AW33" s="22">
        <v>436</v>
      </c>
      <c r="AX33" s="23">
        <f t="shared" si="9"/>
        <v>0.4871508379888268</v>
      </c>
    </row>
    <row r="34" spans="1:51" ht="38.1" customHeight="1" x14ac:dyDescent="0.25">
      <c r="A34" s="11">
        <v>2</v>
      </c>
      <c r="B34" s="11">
        <v>23</v>
      </c>
      <c r="C34" s="25" t="s">
        <v>51</v>
      </c>
      <c r="D34" s="11">
        <v>2</v>
      </c>
      <c r="E34" s="11">
        <v>4</v>
      </c>
      <c r="F34" s="11">
        <v>12</v>
      </c>
      <c r="G34" s="11" t="s">
        <v>52</v>
      </c>
      <c r="H34" s="12">
        <v>33</v>
      </c>
      <c r="J34" s="26"/>
      <c r="K34" s="15" t="s">
        <v>53</v>
      </c>
      <c r="L34" s="15"/>
      <c r="M34" s="27" t="s">
        <v>53</v>
      </c>
      <c r="N34" s="16">
        <v>22</v>
      </c>
      <c r="O34" s="16" t="e">
        <f t="shared" si="10"/>
        <v>#VALUE!</v>
      </c>
      <c r="P34" s="16">
        <f t="shared" si="10"/>
        <v>110</v>
      </c>
      <c r="Q34" s="16">
        <v>70</v>
      </c>
      <c r="R34" s="16" t="s">
        <v>53</v>
      </c>
      <c r="S34" s="17"/>
      <c r="T34" s="27">
        <v>1.3540000000000001</v>
      </c>
      <c r="U34" s="27">
        <v>0.90900000000000003</v>
      </c>
      <c r="V34" s="27"/>
      <c r="W34" s="27"/>
      <c r="X34" s="27"/>
      <c r="Y34" s="27">
        <v>83</v>
      </c>
      <c r="Z34" s="27">
        <v>72.587000000000003</v>
      </c>
      <c r="AA34" s="27"/>
      <c r="AB34" s="27"/>
      <c r="AC34" s="27">
        <v>111</v>
      </c>
      <c r="AD34" s="16">
        <f>0.4095*AC34-1.3432</f>
        <v>44.111299999999993</v>
      </c>
      <c r="AE34" s="27">
        <v>1.81</v>
      </c>
      <c r="AF34" s="27">
        <v>1.86</v>
      </c>
      <c r="AG34" s="27"/>
      <c r="AH34" s="28"/>
      <c r="AI34" s="18">
        <f t="shared" si="0"/>
        <v>36.700000000000003</v>
      </c>
      <c r="AJ34" s="18">
        <f t="shared" si="1"/>
        <v>0</v>
      </c>
      <c r="AK34" s="19">
        <f t="shared" si="2"/>
        <v>0.87454216867469881</v>
      </c>
      <c r="AL34" s="19" t="e">
        <f t="shared" si="3"/>
        <v>#DIV/0!</v>
      </c>
      <c r="AM34" s="20">
        <f t="shared" ref="AM34:AN65" si="13">AO34*AK34</f>
        <v>1.4323582546401823</v>
      </c>
      <c r="AN34" s="20" t="e">
        <f t="shared" si="13"/>
        <v>#DIV/0!</v>
      </c>
      <c r="AO34" s="19">
        <f t="shared" ref="AO34:AP65" si="14">U34/(1.5*3.7)*10</f>
        <v>1.6378378378378378</v>
      </c>
      <c r="AP34" s="19">
        <f t="shared" si="14"/>
        <v>0</v>
      </c>
      <c r="AR34" s="22">
        <v>2</v>
      </c>
      <c r="AS34" s="23">
        <f t="shared" si="6"/>
        <v>1.2669983416252073</v>
      </c>
      <c r="AT34" s="23">
        <f t="shared" si="7"/>
        <v>3.6036036036036028</v>
      </c>
      <c r="AU34" s="23">
        <f t="shared" si="8"/>
        <v>2.2828798948201929</v>
      </c>
      <c r="AV34" s="22">
        <v>603</v>
      </c>
      <c r="AW34" s="22">
        <v>382</v>
      </c>
      <c r="AX34" s="23">
        <f t="shared" si="9"/>
        <v>0.63349917081260365</v>
      </c>
    </row>
    <row r="35" spans="1:51" ht="38.1" customHeight="1" x14ac:dyDescent="0.25">
      <c r="A35" s="11">
        <v>9</v>
      </c>
      <c r="B35" s="11">
        <v>38</v>
      </c>
      <c r="C35" s="11" t="s">
        <v>70</v>
      </c>
      <c r="D35" s="11">
        <v>2</v>
      </c>
      <c r="E35" s="11">
        <v>4</v>
      </c>
      <c r="F35" s="11">
        <v>9</v>
      </c>
      <c r="G35" s="11" t="s">
        <v>71</v>
      </c>
      <c r="H35" s="12">
        <v>34</v>
      </c>
      <c r="J35" s="26"/>
      <c r="K35" s="15">
        <v>45079</v>
      </c>
      <c r="L35" s="15">
        <v>45092</v>
      </c>
      <c r="M35" s="27">
        <v>16</v>
      </c>
      <c r="N35" s="16" t="s">
        <v>53</v>
      </c>
      <c r="O35" s="16">
        <f t="shared" si="10"/>
        <v>80</v>
      </c>
      <c r="P35" s="16" t="e">
        <f t="shared" si="10"/>
        <v>#VALUE!</v>
      </c>
      <c r="Q35" s="16" t="s">
        <v>53</v>
      </c>
      <c r="R35" s="16">
        <v>45</v>
      </c>
      <c r="S35" s="17"/>
      <c r="T35" s="27">
        <v>0.94199999999999995</v>
      </c>
      <c r="U35" s="27"/>
      <c r="V35" s="27">
        <v>0.75800000000000001</v>
      </c>
      <c r="W35" s="27"/>
      <c r="X35" s="27"/>
      <c r="Y35" s="27"/>
      <c r="Z35" s="27"/>
      <c r="AA35" s="27">
        <v>74</v>
      </c>
      <c r="AB35" s="27">
        <v>59.093000000000004</v>
      </c>
      <c r="AC35" s="27"/>
      <c r="AD35" s="16"/>
      <c r="AE35" s="27"/>
      <c r="AF35" s="27"/>
      <c r="AG35" s="27">
        <v>9.25</v>
      </c>
      <c r="AH35" s="28">
        <v>8.73</v>
      </c>
      <c r="AI35" s="18">
        <f t="shared" si="0"/>
        <v>0</v>
      </c>
      <c r="AJ35" s="18">
        <f t="shared" si="1"/>
        <v>179.8</v>
      </c>
      <c r="AK35" s="19" t="e">
        <f t="shared" si="2"/>
        <v>#DIV/0!</v>
      </c>
      <c r="AL35" s="19">
        <f t="shared" si="3"/>
        <v>0.79855405405405411</v>
      </c>
      <c r="AM35" s="20" t="e">
        <f t="shared" si="13"/>
        <v>#DIV/0!</v>
      </c>
      <c r="AN35" s="20">
        <f t="shared" si="13"/>
        <v>1.0906377891404917</v>
      </c>
      <c r="AO35" s="19">
        <f t="shared" si="14"/>
        <v>0</v>
      </c>
      <c r="AP35" s="19">
        <f t="shared" si="14"/>
        <v>1.3657657657657656</v>
      </c>
      <c r="AR35" s="22">
        <v>2.0499999999999998</v>
      </c>
      <c r="AS35" s="23">
        <f t="shared" si="6"/>
        <v>0.85734200743494415</v>
      </c>
      <c r="AT35" s="23">
        <f t="shared" si="7"/>
        <v>3.6936936936936933</v>
      </c>
      <c r="AU35" s="23">
        <f t="shared" si="8"/>
        <v>1.5447603737566562</v>
      </c>
      <c r="AV35" s="22">
        <v>1076</v>
      </c>
      <c r="AW35" s="22">
        <v>450</v>
      </c>
      <c r="AX35" s="23">
        <f t="shared" si="9"/>
        <v>0.41821561338289964</v>
      </c>
    </row>
    <row r="36" spans="1:51" ht="38.1" customHeight="1" x14ac:dyDescent="0.25">
      <c r="A36" s="11">
        <v>17</v>
      </c>
      <c r="B36" s="11">
        <v>43</v>
      </c>
      <c r="C36" s="11" t="s">
        <v>60</v>
      </c>
      <c r="D36" s="11">
        <v>2</v>
      </c>
      <c r="E36" s="11">
        <v>4</v>
      </c>
      <c r="F36" s="11">
        <v>6</v>
      </c>
      <c r="G36" s="11" t="s">
        <v>61</v>
      </c>
      <c r="H36" s="12">
        <v>35</v>
      </c>
      <c r="J36" s="26"/>
      <c r="K36" s="15">
        <v>45083</v>
      </c>
      <c r="L36" s="15">
        <v>45095</v>
      </c>
      <c r="M36" s="27">
        <v>10</v>
      </c>
      <c r="N36" s="16">
        <v>14</v>
      </c>
      <c r="O36" s="16">
        <f t="shared" si="10"/>
        <v>50</v>
      </c>
      <c r="P36" s="16">
        <f t="shared" si="10"/>
        <v>70</v>
      </c>
      <c r="Q36" s="16">
        <v>60</v>
      </c>
      <c r="R36" s="16">
        <v>45</v>
      </c>
      <c r="S36" s="17"/>
      <c r="T36" s="27">
        <v>1.397</v>
      </c>
      <c r="U36" s="27">
        <v>0.30299999999999999</v>
      </c>
      <c r="V36" s="27">
        <v>0.71299999999999997</v>
      </c>
      <c r="W36" s="27">
        <v>137</v>
      </c>
      <c r="X36" s="27">
        <v>107.604</v>
      </c>
      <c r="Y36" s="27">
        <v>83</v>
      </c>
      <c r="Z36" s="27">
        <v>68.997</v>
      </c>
      <c r="AA36" s="27">
        <v>79</v>
      </c>
      <c r="AB36" s="27">
        <v>65.78</v>
      </c>
      <c r="AC36" s="27">
        <v>103</v>
      </c>
      <c r="AD36" s="16">
        <f>0.4095*AC36-1.3432</f>
        <v>40.835299999999997</v>
      </c>
      <c r="AE36" s="27">
        <v>1.84</v>
      </c>
      <c r="AF36" s="27">
        <v>1.97</v>
      </c>
      <c r="AG36" s="27">
        <v>7.22</v>
      </c>
      <c r="AH36" s="28">
        <v>7.03</v>
      </c>
      <c r="AI36" s="18">
        <f t="shared" si="0"/>
        <v>38.1</v>
      </c>
      <c r="AJ36" s="18">
        <f t="shared" si="1"/>
        <v>142.5</v>
      </c>
      <c r="AK36" s="19">
        <f t="shared" si="2"/>
        <v>0.83128915662650604</v>
      </c>
      <c r="AL36" s="19">
        <f t="shared" si="3"/>
        <v>0.83265822784810128</v>
      </c>
      <c r="AM36" s="20">
        <f t="shared" si="13"/>
        <v>0.45383894496906535</v>
      </c>
      <c r="AN36" s="20">
        <f t="shared" si="13"/>
        <v>1.0697032728931462</v>
      </c>
      <c r="AO36" s="19">
        <f t="shared" si="14"/>
        <v>0.54594594594594581</v>
      </c>
      <c r="AP36" s="19">
        <f t="shared" si="14"/>
        <v>1.2846846846846844</v>
      </c>
      <c r="AR36" s="22">
        <v>1.8</v>
      </c>
      <c r="AS36" s="23">
        <f t="shared" si="6"/>
        <v>1.2297632468996618</v>
      </c>
      <c r="AT36" s="23">
        <f t="shared" si="7"/>
        <v>3.243243243243243</v>
      </c>
      <c r="AU36" s="23">
        <f t="shared" si="8"/>
        <v>2.2157896340534444</v>
      </c>
      <c r="AV36" s="22">
        <v>887</v>
      </c>
      <c r="AW36" s="22">
        <v>606</v>
      </c>
      <c r="AX36" s="23">
        <f t="shared" si="9"/>
        <v>0.68320180383314544</v>
      </c>
      <c r="AY36" s="30"/>
    </row>
    <row r="37" spans="1:51" ht="38.1" customHeight="1" x14ac:dyDescent="0.25">
      <c r="A37" s="11">
        <v>14</v>
      </c>
      <c r="B37" s="11">
        <v>41</v>
      </c>
      <c r="C37" s="11" t="s">
        <v>58</v>
      </c>
      <c r="D37" s="11">
        <v>2</v>
      </c>
      <c r="E37" s="11">
        <v>4</v>
      </c>
      <c r="F37" s="11">
        <v>3</v>
      </c>
      <c r="G37" s="11" t="s">
        <v>59</v>
      </c>
      <c r="H37" s="12">
        <v>36</v>
      </c>
      <c r="J37" s="26"/>
      <c r="K37" s="15">
        <v>45084</v>
      </c>
      <c r="L37" s="15">
        <v>45096</v>
      </c>
      <c r="M37" s="27">
        <v>10</v>
      </c>
      <c r="N37" s="16">
        <v>8</v>
      </c>
      <c r="O37" s="16">
        <f t="shared" si="10"/>
        <v>50</v>
      </c>
      <c r="P37" s="16">
        <f t="shared" si="10"/>
        <v>40</v>
      </c>
      <c r="Q37" s="16">
        <v>75</v>
      </c>
      <c r="R37" s="16">
        <v>40</v>
      </c>
      <c r="S37" s="17"/>
      <c r="T37" s="27">
        <v>0.84899999999999998</v>
      </c>
      <c r="U37" s="27">
        <v>0.183</v>
      </c>
      <c r="V37" s="27">
        <v>0.33300000000000002</v>
      </c>
      <c r="W37" s="27">
        <v>107</v>
      </c>
      <c r="X37" s="27">
        <v>80.855999999999995</v>
      </c>
      <c r="Y37" s="27">
        <v>54</v>
      </c>
      <c r="Z37" s="27">
        <v>45.926000000000002</v>
      </c>
      <c r="AA37" s="27">
        <v>80</v>
      </c>
      <c r="AB37" s="27">
        <v>66.12</v>
      </c>
      <c r="AC37" s="27">
        <v>110</v>
      </c>
      <c r="AD37" s="16">
        <f>0.4095*AC37-1.3432</f>
        <v>43.701799999999992</v>
      </c>
      <c r="AE37" s="27">
        <v>1.54</v>
      </c>
      <c r="AF37" s="27">
        <v>1.87</v>
      </c>
      <c r="AG37" s="27">
        <v>7.18</v>
      </c>
      <c r="AH37" s="28">
        <v>7.37</v>
      </c>
      <c r="AI37" s="18">
        <f t="shared" si="0"/>
        <v>34.1</v>
      </c>
      <c r="AJ37" s="18">
        <f t="shared" si="1"/>
        <v>145.5</v>
      </c>
      <c r="AK37" s="19">
        <f t="shared" si="2"/>
        <v>0.8504814814814815</v>
      </c>
      <c r="AL37" s="19">
        <f t="shared" si="3"/>
        <v>0.82650000000000001</v>
      </c>
      <c r="AM37" s="20">
        <f t="shared" si="13"/>
        <v>0.280429029029029</v>
      </c>
      <c r="AN37" s="20">
        <f t="shared" si="13"/>
        <v>0.49590000000000001</v>
      </c>
      <c r="AO37" s="19">
        <f t="shared" si="14"/>
        <v>0.32972972972972969</v>
      </c>
      <c r="AP37" s="19">
        <f t="shared" si="14"/>
        <v>0.6</v>
      </c>
      <c r="AR37" s="22">
        <v>2.4500000000000002</v>
      </c>
      <c r="AS37" s="23">
        <f t="shared" si="6"/>
        <v>1.0350936967632027</v>
      </c>
      <c r="AT37" s="23">
        <f t="shared" si="7"/>
        <v>4.4144144144144146</v>
      </c>
      <c r="AU37" s="23">
        <f t="shared" si="8"/>
        <v>1.8650336878616267</v>
      </c>
      <c r="AV37" s="22">
        <v>1174</v>
      </c>
      <c r="AW37" s="22">
        <v>496</v>
      </c>
      <c r="AX37" s="23">
        <f t="shared" si="9"/>
        <v>0.42248722316865417</v>
      </c>
    </row>
    <row r="38" spans="1:51" ht="38.1" customHeight="1" x14ac:dyDescent="0.25">
      <c r="A38" s="11">
        <v>15</v>
      </c>
      <c r="B38" s="11">
        <v>42</v>
      </c>
      <c r="C38" s="11" t="s">
        <v>64</v>
      </c>
      <c r="D38" s="11">
        <v>3</v>
      </c>
      <c r="E38" s="11">
        <v>5</v>
      </c>
      <c r="F38" s="11">
        <v>3</v>
      </c>
      <c r="G38" s="11" t="s">
        <v>65</v>
      </c>
      <c r="H38" s="12">
        <v>37</v>
      </c>
      <c r="J38" s="26"/>
      <c r="K38" s="15">
        <v>45081</v>
      </c>
      <c r="L38" s="15">
        <v>45096</v>
      </c>
      <c r="M38" s="27">
        <v>12</v>
      </c>
      <c r="N38" s="16">
        <v>10</v>
      </c>
      <c r="O38" s="16">
        <f t="shared" si="10"/>
        <v>60</v>
      </c>
      <c r="P38" s="16">
        <f t="shared" si="10"/>
        <v>50</v>
      </c>
      <c r="Q38" s="16">
        <v>70</v>
      </c>
      <c r="R38" s="16">
        <v>45</v>
      </c>
      <c r="S38" s="17"/>
      <c r="T38" s="27">
        <v>0.748</v>
      </c>
      <c r="U38" s="27">
        <v>0.26700000000000002</v>
      </c>
      <c r="V38" s="27">
        <v>0.129</v>
      </c>
      <c r="W38" s="27">
        <v>119</v>
      </c>
      <c r="X38" s="27">
        <v>94.616</v>
      </c>
      <c r="Y38" s="27">
        <v>68</v>
      </c>
      <c r="Z38" s="27">
        <v>57.76</v>
      </c>
      <c r="AA38" s="27">
        <v>50</v>
      </c>
      <c r="AB38" s="27">
        <v>42.295000000000002</v>
      </c>
      <c r="AC38" s="27">
        <v>103</v>
      </c>
      <c r="AD38" s="16">
        <f>0.4095*AC38-1.3432</f>
        <v>40.835299999999997</v>
      </c>
      <c r="AE38" s="27">
        <v>1.69</v>
      </c>
      <c r="AF38" s="27">
        <v>1.71</v>
      </c>
      <c r="AG38" s="27">
        <v>7.53</v>
      </c>
      <c r="AH38" s="28">
        <v>7.33</v>
      </c>
      <c r="AI38" s="18">
        <f t="shared" si="0"/>
        <v>34</v>
      </c>
      <c r="AJ38" s="18">
        <f t="shared" si="1"/>
        <v>148.6</v>
      </c>
      <c r="AK38" s="19">
        <f t="shared" si="2"/>
        <v>0.84941176470588231</v>
      </c>
      <c r="AL38" s="19">
        <f t="shared" si="3"/>
        <v>0.84589999999999999</v>
      </c>
      <c r="AM38" s="20">
        <f t="shared" si="13"/>
        <v>0.40863593004769472</v>
      </c>
      <c r="AN38" s="20">
        <f t="shared" si="13"/>
        <v>0.19661459459459457</v>
      </c>
      <c r="AO38" s="19">
        <f t="shared" si="14"/>
        <v>0.48108108108108105</v>
      </c>
      <c r="AP38" s="19">
        <f t="shared" si="14"/>
        <v>0.23243243243243242</v>
      </c>
      <c r="AR38" s="22">
        <v>1.95</v>
      </c>
      <c r="AS38" s="23">
        <f t="shared" si="6"/>
        <v>1.0230434782608697</v>
      </c>
      <c r="AT38" s="23">
        <f t="shared" si="7"/>
        <v>3.5135135135135132</v>
      </c>
      <c r="AU38" s="23">
        <f t="shared" si="8"/>
        <v>1.8433215824520173</v>
      </c>
      <c r="AV38" s="22">
        <v>1035</v>
      </c>
      <c r="AW38" s="22">
        <v>543</v>
      </c>
      <c r="AX38" s="23">
        <f t="shared" si="9"/>
        <v>0.52463768115942033</v>
      </c>
    </row>
    <row r="39" spans="1:51" ht="38.1" customHeight="1" x14ac:dyDescent="0.25">
      <c r="A39" s="11">
        <v>7</v>
      </c>
      <c r="B39" s="11">
        <v>21</v>
      </c>
      <c r="C39" s="25" t="s">
        <v>56</v>
      </c>
      <c r="D39" s="11">
        <v>3</v>
      </c>
      <c r="E39" s="11">
        <v>5</v>
      </c>
      <c r="F39" s="11">
        <v>6</v>
      </c>
      <c r="G39" s="11" t="s">
        <v>57</v>
      </c>
      <c r="H39" s="12">
        <v>38</v>
      </c>
      <c r="J39" s="26"/>
      <c r="K39" s="15">
        <v>45079</v>
      </c>
      <c r="L39" s="15">
        <v>45093</v>
      </c>
      <c r="M39" s="27">
        <v>19</v>
      </c>
      <c r="N39" s="16" t="s">
        <v>53</v>
      </c>
      <c r="O39" s="16">
        <f t="shared" si="10"/>
        <v>95</v>
      </c>
      <c r="P39" s="16" t="e">
        <f t="shared" si="10"/>
        <v>#VALUE!</v>
      </c>
      <c r="Q39" s="16" t="s">
        <v>53</v>
      </c>
      <c r="R39" s="16">
        <v>50</v>
      </c>
      <c r="S39" s="17"/>
      <c r="T39" s="27">
        <v>1.194</v>
      </c>
      <c r="U39" s="27"/>
      <c r="V39" s="27">
        <v>0.89400000000000002</v>
      </c>
      <c r="W39" s="27"/>
      <c r="X39" s="27"/>
      <c r="Y39" s="27"/>
      <c r="Z39" s="27"/>
      <c r="AA39" s="27">
        <v>81</v>
      </c>
      <c r="AB39" s="27">
        <v>66.135999999999996</v>
      </c>
      <c r="AC39" s="27"/>
      <c r="AD39" s="16"/>
      <c r="AE39" s="27"/>
      <c r="AF39" s="27"/>
      <c r="AG39" s="27">
        <v>7.93</v>
      </c>
      <c r="AH39" s="28">
        <v>8.1300000000000008</v>
      </c>
      <c r="AI39" s="18">
        <f t="shared" si="0"/>
        <v>0</v>
      </c>
      <c r="AJ39" s="18">
        <f t="shared" si="1"/>
        <v>160.60000000000002</v>
      </c>
      <c r="AK39" s="19" t="e">
        <f t="shared" si="2"/>
        <v>#DIV/0!</v>
      </c>
      <c r="AL39" s="19">
        <f t="shared" si="3"/>
        <v>0.81649382716049379</v>
      </c>
      <c r="AM39" s="20" t="e">
        <f t="shared" si="13"/>
        <v>#DIV/0!</v>
      </c>
      <c r="AN39" s="20">
        <f t="shared" si="13"/>
        <v>1.3152170837504169</v>
      </c>
      <c r="AO39" s="19">
        <f t="shared" si="14"/>
        <v>0</v>
      </c>
      <c r="AP39" s="19">
        <f t="shared" si="14"/>
        <v>1.6108108108108108</v>
      </c>
      <c r="AR39" s="22">
        <v>3.35</v>
      </c>
      <c r="AS39" s="23">
        <f t="shared" si="6"/>
        <v>1.599678800856531</v>
      </c>
      <c r="AT39" s="23">
        <f t="shared" si="7"/>
        <v>6.0360360360360357</v>
      </c>
      <c r="AU39" s="23">
        <f t="shared" si="8"/>
        <v>2.882304145687443</v>
      </c>
      <c r="AV39" s="22">
        <v>934</v>
      </c>
      <c r="AW39" s="22">
        <v>446</v>
      </c>
      <c r="AX39" s="23">
        <f t="shared" si="9"/>
        <v>0.47751605995717344</v>
      </c>
    </row>
    <row r="40" spans="1:51" ht="38.1" customHeight="1" x14ac:dyDescent="0.25">
      <c r="A40" s="11">
        <v>6</v>
      </c>
      <c r="B40" s="11">
        <v>25</v>
      </c>
      <c r="C40" s="11" t="s">
        <v>72</v>
      </c>
      <c r="D40" s="11">
        <v>3</v>
      </c>
      <c r="E40" s="11">
        <v>5</v>
      </c>
      <c r="F40" s="11">
        <v>9</v>
      </c>
      <c r="G40" s="11" t="s">
        <v>73</v>
      </c>
      <c r="H40" s="12">
        <v>39</v>
      </c>
      <c r="J40" s="26"/>
      <c r="K40" s="15" t="s">
        <v>53</v>
      </c>
      <c r="L40" s="15"/>
      <c r="M40" s="27" t="s">
        <v>53</v>
      </c>
      <c r="N40" s="16">
        <v>47</v>
      </c>
      <c r="O40" s="16" t="e">
        <f t="shared" si="10"/>
        <v>#VALUE!</v>
      </c>
      <c r="P40" s="16">
        <f t="shared" si="10"/>
        <v>235</v>
      </c>
      <c r="Q40" s="16">
        <v>65</v>
      </c>
      <c r="R40" s="16" t="s">
        <v>53</v>
      </c>
      <c r="S40" s="17"/>
      <c r="T40" s="27">
        <v>1.762</v>
      </c>
      <c r="U40" s="27">
        <v>1.1519999999999999</v>
      </c>
      <c r="V40" s="27"/>
      <c r="W40" s="27"/>
      <c r="X40" s="27"/>
      <c r="Y40" s="27">
        <v>86</v>
      </c>
      <c r="Z40" s="27">
        <v>74.766999999999996</v>
      </c>
      <c r="AA40" s="27"/>
      <c r="AB40" s="27"/>
      <c r="AC40" s="27">
        <v>97</v>
      </c>
      <c r="AD40" s="16">
        <f>0.4095*AC40-1.3432</f>
        <v>38.378299999999996</v>
      </c>
      <c r="AE40" s="27">
        <v>1.65</v>
      </c>
      <c r="AF40" s="27">
        <v>1.66</v>
      </c>
      <c r="AG40" s="27"/>
      <c r="AH40" s="28"/>
      <c r="AI40" s="18">
        <f t="shared" si="0"/>
        <v>33.099999999999994</v>
      </c>
      <c r="AJ40" s="18">
        <f t="shared" si="1"/>
        <v>0</v>
      </c>
      <c r="AK40" s="19">
        <f t="shared" si="2"/>
        <v>0.86938372093023253</v>
      </c>
      <c r="AL40" s="19" t="e">
        <f t="shared" si="3"/>
        <v>#DIV/0!</v>
      </c>
      <c r="AM40" s="20">
        <f t="shared" si="13"/>
        <v>1.8045586423632931</v>
      </c>
      <c r="AN40" s="20" t="e">
        <f t="shared" si="13"/>
        <v>#DIV/0!</v>
      </c>
      <c r="AO40" s="19">
        <f t="shared" si="14"/>
        <v>2.0756756756756753</v>
      </c>
      <c r="AP40" s="19">
        <f t="shared" si="14"/>
        <v>0</v>
      </c>
      <c r="AR40" s="22">
        <v>1.5</v>
      </c>
      <c r="AS40" s="23">
        <f t="shared" si="6"/>
        <v>1.0677966101694916</v>
      </c>
      <c r="AT40" s="23">
        <f t="shared" si="7"/>
        <v>2.7027027027027022</v>
      </c>
      <c r="AU40" s="23">
        <f t="shared" si="8"/>
        <v>1.9239578561612456</v>
      </c>
      <c r="AV40" s="22">
        <v>649</v>
      </c>
      <c r="AW40" s="22">
        <v>462</v>
      </c>
      <c r="AX40" s="23">
        <f t="shared" si="9"/>
        <v>0.71186440677966101</v>
      </c>
    </row>
    <row r="41" spans="1:51" ht="38.1" customHeight="1" x14ac:dyDescent="0.25">
      <c r="A41" s="11">
        <v>8</v>
      </c>
      <c r="B41" s="11">
        <v>37</v>
      </c>
      <c r="C41" s="11" t="s">
        <v>74</v>
      </c>
      <c r="D41" s="11">
        <v>3</v>
      </c>
      <c r="E41" s="11">
        <v>5</v>
      </c>
      <c r="F41" s="11">
        <v>12</v>
      </c>
      <c r="G41" s="11" t="s">
        <v>75</v>
      </c>
      <c r="H41" s="12">
        <v>40</v>
      </c>
      <c r="J41" s="26"/>
      <c r="K41" s="15">
        <v>45084</v>
      </c>
      <c r="L41" s="15">
        <v>45096</v>
      </c>
      <c r="M41" s="27">
        <v>12</v>
      </c>
      <c r="N41" s="16" t="s">
        <v>53</v>
      </c>
      <c r="O41" s="16">
        <f t="shared" si="10"/>
        <v>60</v>
      </c>
      <c r="P41" s="16" t="e">
        <f t="shared" si="10"/>
        <v>#VALUE!</v>
      </c>
      <c r="Q41" s="16" t="s">
        <v>53</v>
      </c>
      <c r="R41" s="16">
        <v>40</v>
      </c>
      <c r="S41" s="17"/>
      <c r="T41" s="27">
        <v>0.95599999999999996</v>
      </c>
      <c r="U41" s="27"/>
      <c r="V41" s="27">
        <v>0.70299999999999996</v>
      </c>
      <c r="W41" s="27"/>
      <c r="X41" s="27"/>
      <c r="Y41" s="27"/>
      <c r="Z41" s="27"/>
      <c r="AA41" s="27">
        <v>79</v>
      </c>
      <c r="AB41" s="27">
        <v>65.239999999999995</v>
      </c>
      <c r="AC41" s="27"/>
      <c r="AD41" s="16"/>
      <c r="AE41" s="27"/>
      <c r="AF41" s="27"/>
      <c r="AG41" s="27">
        <v>7.43</v>
      </c>
      <c r="AH41" s="28">
        <v>7.04</v>
      </c>
      <c r="AI41" s="18">
        <f t="shared" si="0"/>
        <v>0</v>
      </c>
      <c r="AJ41" s="18">
        <f t="shared" si="1"/>
        <v>144.69999999999999</v>
      </c>
      <c r="AK41" s="19" t="e">
        <f t="shared" si="2"/>
        <v>#DIV/0!</v>
      </c>
      <c r="AL41" s="19">
        <f t="shared" si="3"/>
        <v>0.8258227848101265</v>
      </c>
      <c r="AM41" s="20" t="e">
        <f t="shared" si="13"/>
        <v>#DIV/0!</v>
      </c>
      <c r="AN41" s="20">
        <f t="shared" si="13"/>
        <v>1.0460421940928268</v>
      </c>
      <c r="AO41" s="19">
        <f t="shared" si="14"/>
        <v>0</v>
      </c>
      <c r="AP41" s="19">
        <f t="shared" si="14"/>
        <v>1.2666666666666666</v>
      </c>
      <c r="AR41" s="22">
        <v>2.0499999999999998</v>
      </c>
      <c r="AS41" s="23">
        <f t="shared" si="6"/>
        <v>0.69783027965284472</v>
      </c>
      <c r="AT41" s="23">
        <f t="shared" si="7"/>
        <v>3.6936936936936933</v>
      </c>
      <c r="AU41" s="23">
        <f t="shared" si="8"/>
        <v>1.2573518552303506</v>
      </c>
      <c r="AV41" s="22">
        <v>1037</v>
      </c>
      <c r="AW41" s="22">
        <v>353</v>
      </c>
      <c r="AX41" s="23">
        <f t="shared" si="9"/>
        <v>0.34040501446480231</v>
      </c>
    </row>
    <row r="42" spans="1:51" ht="38.1" customHeight="1" x14ac:dyDescent="0.25">
      <c r="A42" s="11">
        <v>1</v>
      </c>
      <c r="B42" s="11">
        <v>24</v>
      </c>
      <c r="C42" s="11" t="s">
        <v>68</v>
      </c>
      <c r="D42" s="11">
        <v>3</v>
      </c>
      <c r="E42" s="11">
        <v>5</v>
      </c>
      <c r="F42" s="11">
        <v>15</v>
      </c>
      <c r="G42" s="11" t="s">
        <v>69</v>
      </c>
      <c r="H42" s="12">
        <v>41</v>
      </c>
      <c r="J42" s="26"/>
      <c r="K42" s="15" t="s">
        <v>53</v>
      </c>
      <c r="L42" s="15"/>
      <c r="M42" s="27" t="s">
        <v>53</v>
      </c>
      <c r="N42" s="16">
        <v>41</v>
      </c>
      <c r="O42" s="16" t="e">
        <f t="shared" si="10"/>
        <v>#VALUE!</v>
      </c>
      <c r="P42" s="16">
        <f t="shared" si="10"/>
        <v>205</v>
      </c>
      <c r="Q42" s="16">
        <v>80</v>
      </c>
      <c r="R42" s="16" t="s">
        <v>53</v>
      </c>
      <c r="S42" s="17"/>
      <c r="T42" s="27">
        <v>1.3939999999999999</v>
      </c>
      <c r="U42" s="27">
        <v>0.97499999999999998</v>
      </c>
      <c r="V42" s="27"/>
      <c r="W42" s="27"/>
      <c r="X42" s="27"/>
      <c r="Y42" s="27">
        <v>68</v>
      </c>
      <c r="Z42" s="27">
        <v>58.423999999999999</v>
      </c>
      <c r="AA42" s="27"/>
      <c r="AB42" s="27"/>
      <c r="AC42" s="27">
        <v>92</v>
      </c>
      <c r="AD42" s="16">
        <f t="shared" ref="AD42:AD54" si="15">0.4095*AC42-1.3432</f>
        <v>36.330799999999996</v>
      </c>
      <c r="AE42" s="27">
        <v>2.1</v>
      </c>
      <c r="AF42" s="27">
        <v>2.33</v>
      </c>
      <c r="AG42" s="27"/>
      <c r="AH42" s="28"/>
      <c r="AI42" s="18">
        <f t="shared" si="0"/>
        <v>44.3</v>
      </c>
      <c r="AJ42" s="18">
        <f t="shared" si="1"/>
        <v>0</v>
      </c>
      <c r="AK42" s="19">
        <f t="shared" si="2"/>
        <v>0.85917647058823532</v>
      </c>
      <c r="AL42" s="19" t="e">
        <f t="shared" si="3"/>
        <v>#DIV/0!</v>
      </c>
      <c r="AM42" s="20">
        <f t="shared" si="13"/>
        <v>1.5093640699523052</v>
      </c>
      <c r="AN42" s="20" t="e">
        <f t="shared" si="13"/>
        <v>#DIV/0!</v>
      </c>
      <c r="AO42" s="19">
        <f t="shared" si="14"/>
        <v>1.7567567567567566</v>
      </c>
      <c r="AP42" s="19">
        <f t="shared" si="14"/>
        <v>0</v>
      </c>
      <c r="AR42" s="22">
        <v>2.25</v>
      </c>
      <c r="AS42" s="23">
        <f t="shared" si="6"/>
        <v>1.5410958904109588</v>
      </c>
      <c r="AT42" s="23">
        <f t="shared" si="7"/>
        <v>4.0540540540540535</v>
      </c>
      <c r="AU42" s="23">
        <f t="shared" si="8"/>
        <v>2.7767493520918172</v>
      </c>
      <c r="AV42" s="22">
        <v>438</v>
      </c>
      <c r="AW42" s="22">
        <v>300</v>
      </c>
      <c r="AX42" s="23">
        <f t="shared" si="9"/>
        <v>0.68493150684931503</v>
      </c>
    </row>
    <row r="43" spans="1:51" ht="38.1" customHeight="1" x14ac:dyDescent="0.25">
      <c r="A43" s="11">
        <v>14</v>
      </c>
      <c r="B43" s="11">
        <v>41</v>
      </c>
      <c r="C43" s="11" t="s">
        <v>58</v>
      </c>
      <c r="D43" s="11">
        <v>3</v>
      </c>
      <c r="E43" s="11">
        <v>5</v>
      </c>
      <c r="F43" s="11">
        <v>18</v>
      </c>
      <c r="G43" s="11" t="s">
        <v>59</v>
      </c>
      <c r="H43" s="12">
        <v>42</v>
      </c>
      <c r="J43" s="26"/>
      <c r="K43" s="15">
        <v>45084</v>
      </c>
      <c r="L43" s="15">
        <v>45095</v>
      </c>
      <c r="M43" s="27">
        <v>7</v>
      </c>
      <c r="N43" s="16">
        <v>17</v>
      </c>
      <c r="O43" s="16">
        <f t="shared" si="10"/>
        <v>35</v>
      </c>
      <c r="P43" s="16">
        <f t="shared" si="10"/>
        <v>85</v>
      </c>
      <c r="Q43" s="16">
        <v>75</v>
      </c>
      <c r="R43" s="16">
        <v>50</v>
      </c>
      <c r="S43" s="17"/>
      <c r="T43" s="27">
        <v>1.387</v>
      </c>
      <c r="U43" s="27">
        <v>0.33400000000000002</v>
      </c>
      <c r="V43" s="27">
        <v>0.65600000000000003</v>
      </c>
      <c r="W43" s="27">
        <v>112</v>
      </c>
      <c r="X43" s="27">
        <v>87.772000000000006</v>
      </c>
      <c r="Y43" s="27">
        <v>91</v>
      </c>
      <c r="Z43" s="27">
        <v>75.724000000000004</v>
      </c>
      <c r="AA43" s="27">
        <v>83</v>
      </c>
      <c r="AB43" s="27">
        <v>67.909000000000006</v>
      </c>
      <c r="AC43" s="27">
        <v>114</v>
      </c>
      <c r="AD43" s="16">
        <f t="shared" si="15"/>
        <v>45.339799999999997</v>
      </c>
      <c r="AE43" s="27">
        <v>1.63</v>
      </c>
      <c r="AF43" s="27">
        <v>2.15</v>
      </c>
      <c r="AG43" s="27">
        <v>7.31</v>
      </c>
      <c r="AH43" s="28">
        <v>8.6300000000000008</v>
      </c>
      <c r="AI43" s="18">
        <f t="shared" si="0"/>
        <v>37.799999999999997</v>
      </c>
      <c r="AJ43" s="18">
        <f t="shared" si="1"/>
        <v>159.4</v>
      </c>
      <c r="AK43" s="19">
        <f t="shared" si="2"/>
        <v>0.83213186813186812</v>
      </c>
      <c r="AL43" s="19">
        <f t="shared" si="3"/>
        <v>0.81818072289156629</v>
      </c>
      <c r="AM43" s="20">
        <f t="shared" si="13"/>
        <v>0.50077845757845751</v>
      </c>
      <c r="AN43" s="20">
        <f t="shared" si="13"/>
        <v>0.9670748724628242</v>
      </c>
      <c r="AO43" s="19">
        <f t="shared" si="14"/>
        <v>0.60180180180180176</v>
      </c>
      <c r="AP43" s="19">
        <f t="shared" si="14"/>
        <v>1.1819819819819819</v>
      </c>
      <c r="AR43" s="22">
        <v>2.25</v>
      </c>
      <c r="AS43" s="23">
        <f t="shared" si="6"/>
        <v>0.95059625212947185</v>
      </c>
      <c r="AT43" s="23">
        <f t="shared" si="7"/>
        <v>4.0540540540540535</v>
      </c>
      <c r="AU43" s="23">
        <f t="shared" si="8"/>
        <v>1.712786039872922</v>
      </c>
      <c r="AV43" s="22">
        <v>1174</v>
      </c>
      <c r="AW43" s="22">
        <v>496</v>
      </c>
      <c r="AX43" s="23">
        <f t="shared" si="9"/>
        <v>0.42248722316865417</v>
      </c>
    </row>
    <row r="44" spans="1:51" ht="38.1" customHeight="1" x14ac:dyDescent="0.25">
      <c r="A44" s="11">
        <v>12</v>
      </c>
      <c r="B44" s="11">
        <v>40</v>
      </c>
      <c r="C44" s="11" t="s">
        <v>66</v>
      </c>
      <c r="D44" s="11">
        <v>3</v>
      </c>
      <c r="E44" s="11">
        <v>5</v>
      </c>
      <c r="F44" s="11">
        <v>21</v>
      </c>
      <c r="G44" s="11" t="s">
        <v>67</v>
      </c>
      <c r="H44" s="12">
        <v>43</v>
      </c>
      <c r="J44" s="26"/>
      <c r="K44" s="15">
        <v>45079</v>
      </c>
      <c r="L44" s="15">
        <v>45094</v>
      </c>
      <c r="M44" s="27">
        <v>11</v>
      </c>
      <c r="N44" s="16">
        <v>16</v>
      </c>
      <c r="O44" s="16">
        <f t="shared" si="10"/>
        <v>55</v>
      </c>
      <c r="P44" s="16">
        <f t="shared" si="10"/>
        <v>80</v>
      </c>
      <c r="Q44" s="16">
        <v>80</v>
      </c>
      <c r="R44" s="16">
        <v>50</v>
      </c>
      <c r="S44" s="17"/>
      <c r="T44" s="27">
        <v>1.113</v>
      </c>
      <c r="U44" s="27">
        <v>0.22</v>
      </c>
      <c r="V44" s="27">
        <v>0.54200000000000004</v>
      </c>
      <c r="W44" s="27">
        <v>127</v>
      </c>
      <c r="X44" s="27">
        <v>94.47</v>
      </c>
      <c r="Y44" s="27">
        <v>58</v>
      </c>
      <c r="Z44" s="27">
        <v>49.356999999999999</v>
      </c>
      <c r="AA44" s="27">
        <v>82</v>
      </c>
      <c r="AB44" s="27">
        <v>66.811000000000007</v>
      </c>
      <c r="AC44" s="27">
        <v>90</v>
      </c>
      <c r="AD44" s="16">
        <f t="shared" si="15"/>
        <v>35.511799999999994</v>
      </c>
      <c r="AE44" s="27">
        <v>2.2200000000000002</v>
      </c>
      <c r="AF44" s="27">
        <v>2.2000000000000002</v>
      </c>
      <c r="AG44" s="27">
        <v>8.42</v>
      </c>
      <c r="AH44" s="28">
        <v>8.26</v>
      </c>
      <c r="AI44" s="18">
        <f t="shared" si="0"/>
        <v>44.2</v>
      </c>
      <c r="AJ44" s="18">
        <f t="shared" si="1"/>
        <v>166.8</v>
      </c>
      <c r="AK44" s="19">
        <f t="shared" si="2"/>
        <v>0.85098275862068962</v>
      </c>
      <c r="AL44" s="19">
        <f t="shared" si="3"/>
        <v>0.81476829268292694</v>
      </c>
      <c r="AM44" s="20">
        <f t="shared" si="13"/>
        <v>0.33732649891270577</v>
      </c>
      <c r="AN44" s="20">
        <f t="shared" si="13"/>
        <v>0.79568362997143494</v>
      </c>
      <c r="AO44" s="19">
        <f t="shared" si="14"/>
        <v>0.39639639639639634</v>
      </c>
      <c r="AP44" s="19">
        <f t="shared" si="14"/>
        <v>0.97657657657657648</v>
      </c>
      <c r="AR44" s="22">
        <v>2.95</v>
      </c>
      <c r="AS44" s="23">
        <f t="shared" si="6"/>
        <v>1.2687335092348286</v>
      </c>
      <c r="AT44" s="23">
        <f t="shared" si="7"/>
        <v>5.3153153153153152</v>
      </c>
      <c r="AU44" s="23">
        <f t="shared" si="8"/>
        <v>2.2860063229456369</v>
      </c>
      <c r="AV44" s="22">
        <v>1137</v>
      </c>
      <c r="AW44" s="22">
        <v>489</v>
      </c>
      <c r="AX44" s="23">
        <f t="shared" si="9"/>
        <v>0.43007915567282323</v>
      </c>
    </row>
    <row r="45" spans="1:51" ht="38.1" customHeight="1" x14ac:dyDescent="0.25">
      <c r="A45" s="11">
        <v>18</v>
      </c>
      <c r="B45" s="11">
        <v>44</v>
      </c>
      <c r="C45" s="11" t="s">
        <v>80</v>
      </c>
      <c r="D45" s="11">
        <v>3</v>
      </c>
      <c r="E45" s="11">
        <v>5</v>
      </c>
      <c r="F45" s="11">
        <v>24</v>
      </c>
      <c r="G45" s="11" t="s">
        <v>81</v>
      </c>
      <c r="H45" s="12">
        <v>44</v>
      </c>
      <c r="J45" s="26"/>
      <c r="K45" s="15">
        <v>45079</v>
      </c>
      <c r="L45" s="15">
        <v>45094</v>
      </c>
      <c r="M45" s="27">
        <v>10</v>
      </c>
      <c r="N45" s="16">
        <v>7</v>
      </c>
      <c r="O45" s="16">
        <f t="shared" si="10"/>
        <v>50</v>
      </c>
      <c r="P45" s="16">
        <f t="shared" si="10"/>
        <v>35</v>
      </c>
      <c r="Q45" s="16">
        <v>65</v>
      </c>
      <c r="R45" s="16">
        <v>55</v>
      </c>
      <c r="S45" s="17"/>
      <c r="T45" s="27">
        <v>1.236</v>
      </c>
      <c r="U45" s="27">
        <v>0.315</v>
      </c>
      <c r="V45" s="27">
        <v>0.627</v>
      </c>
      <c r="W45" s="27" t="s">
        <v>53</v>
      </c>
      <c r="X45" s="27"/>
      <c r="Y45" s="27">
        <v>78</v>
      </c>
      <c r="Z45" s="27">
        <v>65.182000000000002</v>
      </c>
      <c r="AA45" s="27">
        <v>79</v>
      </c>
      <c r="AB45" s="27">
        <v>64.257999999999996</v>
      </c>
      <c r="AC45" s="27">
        <v>103</v>
      </c>
      <c r="AD45" s="16">
        <f t="shared" si="15"/>
        <v>40.835299999999997</v>
      </c>
      <c r="AE45" s="27">
        <v>2</v>
      </c>
      <c r="AF45" s="27">
        <v>1.79</v>
      </c>
      <c r="AG45" s="27">
        <v>8.06</v>
      </c>
      <c r="AH45" s="28">
        <v>8.14</v>
      </c>
      <c r="AI45" s="18">
        <f t="shared" si="0"/>
        <v>37.9</v>
      </c>
      <c r="AJ45" s="18">
        <f t="shared" si="1"/>
        <v>162.00000000000003</v>
      </c>
      <c r="AK45" s="19">
        <f t="shared" si="2"/>
        <v>0.83566666666666667</v>
      </c>
      <c r="AL45" s="19">
        <f t="shared" si="3"/>
        <v>0.81339240506329114</v>
      </c>
      <c r="AM45" s="20">
        <f t="shared" si="13"/>
        <v>0.4742972972972973</v>
      </c>
      <c r="AN45" s="20">
        <f t="shared" si="13"/>
        <v>0.91891358193636652</v>
      </c>
      <c r="AO45" s="19">
        <f t="shared" si="14"/>
        <v>0.56756756756756754</v>
      </c>
      <c r="AP45" s="19">
        <f t="shared" si="14"/>
        <v>1.1297297297297295</v>
      </c>
      <c r="AR45" s="22">
        <v>2.35</v>
      </c>
      <c r="AS45" s="23">
        <f t="shared" si="6"/>
        <v>1.2161141804788214</v>
      </c>
      <c r="AT45" s="23">
        <f t="shared" si="7"/>
        <v>4.2342342342342336</v>
      </c>
      <c r="AU45" s="23">
        <f t="shared" si="8"/>
        <v>2.1911967215834616</v>
      </c>
      <c r="AV45" s="22">
        <v>1086</v>
      </c>
      <c r="AW45" s="22">
        <v>562</v>
      </c>
      <c r="AX45" s="23">
        <f t="shared" si="9"/>
        <v>0.51749539594843463</v>
      </c>
      <c r="AY45" s="30"/>
    </row>
    <row r="46" spans="1:51" ht="38.1" customHeight="1" x14ac:dyDescent="0.25">
      <c r="A46" s="11">
        <v>13</v>
      </c>
      <c r="B46" s="11">
        <v>33</v>
      </c>
      <c r="C46" s="25" t="s">
        <v>78</v>
      </c>
      <c r="D46" s="11">
        <v>3</v>
      </c>
      <c r="E46" s="11">
        <v>5</v>
      </c>
      <c r="F46" s="11">
        <v>27</v>
      </c>
      <c r="G46" s="11" t="s">
        <v>79</v>
      </c>
      <c r="H46" s="12">
        <v>45</v>
      </c>
      <c r="J46" s="26"/>
      <c r="K46" s="15">
        <v>45081</v>
      </c>
      <c r="L46" s="15">
        <v>45095</v>
      </c>
      <c r="M46" s="27">
        <v>12</v>
      </c>
      <c r="N46" s="16">
        <v>7</v>
      </c>
      <c r="O46" s="16">
        <f t="shared" si="10"/>
        <v>60</v>
      </c>
      <c r="P46" s="16">
        <f t="shared" si="10"/>
        <v>35</v>
      </c>
      <c r="Q46" s="16">
        <v>65</v>
      </c>
      <c r="R46" s="16">
        <v>45</v>
      </c>
      <c r="S46" s="17"/>
      <c r="T46" s="27">
        <v>1.5589999999999999</v>
      </c>
      <c r="U46" s="27">
        <v>0.35599999999999998</v>
      </c>
      <c r="V46" s="27">
        <v>0.81599999999999995</v>
      </c>
      <c r="W46" s="27">
        <v>112</v>
      </c>
      <c r="X46" s="27">
        <v>86.59</v>
      </c>
      <c r="Y46" s="27">
        <v>84</v>
      </c>
      <c r="Z46" s="27">
        <v>70.665999999999997</v>
      </c>
      <c r="AA46" s="27">
        <v>75</v>
      </c>
      <c r="AB46" s="27">
        <v>59.716999999999999</v>
      </c>
      <c r="AC46" s="27">
        <v>104</v>
      </c>
      <c r="AD46" s="16">
        <f t="shared" si="15"/>
        <v>41.244799999999991</v>
      </c>
      <c r="AE46" s="27">
        <v>1.9</v>
      </c>
      <c r="AF46" s="27">
        <v>2</v>
      </c>
      <c r="AG46" s="27">
        <v>8.23</v>
      </c>
      <c r="AH46" s="28">
        <v>7.89</v>
      </c>
      <c r="AI46" s="18">
        <f t="shared" si="0"/>
        <v>39</v>
      </c>
      <c r="AJ46" s="18">
        <f t="shared" si="1"/>
        <v>161.20000000000002</v>
      </c>
      <c r="AK46" s="19">
        <f t="shared" si="2"/>
        <v>0.84126190476190477</v>
      </c>
      <c r="AL46" s="19">
        <f t="shared" si="3"/>
        <v>0.79622666666666664</v>
      </c>
      <c r="AM46" s="20">
        <f t="shared" si="13"/>
        <v>0.53962024882024873</v>
      </c>
      <c r="AN46" s="20">
        <f t="shared" si="13"/>
        <v>1.170668396396396</v>
      </c>
      <c r="AO46" s="19">
        <f t="shared" si="14"/>
        <v>0.64144144144144133</v>
      </c>
      <c r="AP46" s="19">
        <f t="shared" si="14"/>
        <v>1.4702702702702699</v>
      </c>
      <c r="AR46" s="22">
        <v>2.8</v>
      </c>
      <c r="AS46" s="23">
        <f t="shared" si="6"/>
        <v>1.3373929590865841</v>
      </c>
      <c r="AT46" s="23">
        <f t="shared" si="7"/>
        <v>5.045045045045045</v>
      </c>
      <c r="AU46" s="23">
        <f t="shared" si="8"/>
        <v>2.4097170433992505</v>
      </c>
      <c r="AV46" s="22">
        <v>1051</v>
      </c>
      <c r="AW46" s="22">
        <v>502</v>
      </c>
      <c r="AX46" s="23">
        <f t="shared" si="9"/>
        <v>0.47764034253092291</v>
      </c>
    </row>
    <row r="47" spans="1:51" ht="38.1" customHeight="1" x14ac:dyDescent="0.25">
      <c r="A47" s="11">
        <v>11</v>
      </c>
      <c r="B47" s="11">
        <v>39</v>
      </c>
      <c r="C47" s="11" t="s">
        <v>54</v>
      </c>
      <c r="D47" s="11">
        <v>3</v>
      </c>
      <c r="E47" s="11">
        <v>6</v>
      </c>
      <c r="F47" s="11">
        <v>27</v>
      </c>
      <c r="G47" s="11" t="s">
        <v>55</v>
      </c>
      <c r="H47" s="12">
        <v>46</v>
      </c>
      <c r="J47" s="26"/>
      <c r="K47" s="15">
        <v>45083</v>
      </c>
      <c r="L47" s="15">
        <v>45094</v>
      </c>
      <c r="M47" s="27">
        <v>5</v>
      </c>
      <c r="N47" s="16">
        <v>4</v>
      </c>
      <c r="O47" s="16">
        <f t="shared" si="10"/>
        <v>25</v>
      </c>
      <c r="P47" s="16">
        <f t="shared" si="10"/>
        <v>20</v>
      </c>
      <c r="Q47" s="16">
        <v>65</v>
      </c>
      <c r="R47" s="16">
        <v>40</v>
      </c>
      <c r="S47" s="17"/>
      <c r="T47" s="27">
        <v>0.95599999999999996</v>
      </c>
      <c r="U47" s="27">
        <v>0.30399999999999999</v>
      </c>
      <c r="V47" s="27">
        <v>0.375</v>
      </c>
      <c r="W47" s="27">
        <v>136</v>
      </c>
      <c r="X47" s="27">
        <v>106.854</v>
      </c>
      <c r="Y47" s="27">
        <v>87</v>
      </c>
      <c r="Z47" s="27">
        <v>74.849000000000004</v>
      </c>
      <c r="AA47" s="27">
        <v>78</v>
      </c>
      <c r="AB47" s="27">
        <v>65.620999999999995</v>
      </c>
      <c r="AC47" s="27">
        <v>96</v>
      </c>
      <c r="AD47" s="16">
        <f t="shared" si="15"/>
        <v>37.968799999999995</v>
      </c>
      <c r="AE47" s="27">
        <v>2.0099999999999998</v>
      </c>
      <c r="AF47" s="27">
        <v>1.99</v>
      </c>
      <c r="AG47" s="27">
        <v>7.21</v>
      </c>
      <c r="AH47" s="28">
        <v>7.54</v>
      </c>
      <c r="AI47" s="18">
        <f t="shared" si="0"/>
        <v>40</v>
      </c>
      <c r="AJ47" s="18">
        <f t="shared" si="1"/>
        <v>147.5</v>
      </c>
      <c r="AK47" s="19">
        <f t="shared" si="2"/>
        <v>0.86033333333333339</v>
      </c>
      <c r="AL47" s="19">
        <f t="shared" si="3"/>
        <v>0.84129487179487172</v>
      </c>
      <c r="AM47" s="20">
        <f t="shared" si="13"/>
        <v>0.47124564564564553</v>
      </c>
      <c r="AN47" s="20">
        <f t="shared" si="13"/>
        <v>0.56844248094248073</v>
      </c>
      <c r="AO47" s="19">
        <f t="shared" si="14"/>
        <v>0.54774774774774759</v>
      </c>
      <c r="AP47" s="19">
        <f t="shared" si="14"/>
        <v>0.67567567567567555</v>
      </c>
      <c r="AR47" s="22">
        <v>1.6</v>
      </c>
      <c r="AS47" s="23">
        <f t="shared" si="6"/>
        <v>0.7794413407821229</v>
      </c>
      <c r="AT47" s="23">
        <f t="shared" si="7"/>
        <v>2.8828828828828827</v>
      </c>
      <c r="AU47" s="23">
        <f t="shared" si="8"/>
        <v>1.4043988122200413</v>
      </c>
      <c r="AV47" s="22">
        <v>895</v>
      </c>
      <c r="AW47" s="22">
        <v>436</v>
      </c>
      <c r="AX47" s="23">
        <f t="shared" si="9"/>
        <v>0.4871508379888268</v>
      </c>
    </row>
    <row r="48" spans="1:51" ht="38.1" customHeight="1" x14ac:dyDescent="0.25">
      <c r="A48" s="11">
        <v>17</v>
      </c>
      <c r="B48" s="11">
        <v>43</v>
      </c>
      <c r="C48" s="11" t="s">
        <v>60</v>
      </c>
      <c r="D48" s="11">
        <v>3</v>
      </c>
      <c r="E48" s="11">
        <v>6</v>
      </c>
      <c r="F48" s="11">
        <v>24</v>
      </c>
      <c r="G48" s="11" t="s">
        <v>61</v>
      </c>
      <c r="H48" s="12">
        <v>47</v>
      </c>
      <c r="J48" s="26"/>
      <c r="K48" s="15">
        <v>45083</v>
      </c>
      <c r="L48" s="15">
        <v>45094</v>
      </c>
      <c r="M48" s="27">
        <v>9</v>
      </c>
      <c r="N48" s="16">
        <v>8</v>
      </c>
      <c r="O48" s="16">
        <f t="shared" si="10"/>
        <v>45</v>
      </c>
      <c r="P48" s="16">
        <f t="shared" si="10"/>
        <v>40</v>
      </c>
      <c r="Q48" s="16">
        <v>60</v>
      </c>
      <c r="R48" s="16">
        <v>40</v>
      </c>
      <c r="S48" s="17"/>
      <c r="T48" s="27">
        <v>1.1299999999999999</v>
      </c>
      <c r="U48" s="27">
        <v>0.25900000000000001</v>
      </c>
      <c r="V48" s="27">
        <v>0.58899999999999997</v>
      </c>
      <c r="W48" s="27">
        <v>122</v>
      </c>
      <c r="X48" s="27">
        <v>93.664000000000001</v>
      </c>
      <c r="Y48" s="27">
        <v>71</v>
      </c>
      <c r="Z48" s="27">
        <v>60.231000000000002</v>
      </c>
      <c r="AA48" s="27">
        <v>83</v>
      </c>
      <c r="AB48" s="27">
        <v>67.350999999999999</v>
      </c>
      <c r="AC48" s="27">
        <v>92</v>
      </c>
      <c r="AD48" s="16">
        <f t="shared" si="15"/>
        <v>36.330799999999996</v>
      </c>
      <c r="AE48" s="27">
        <v>1.78</v>
      </c>
      <c r="AF48" s="27">
        <v>1.74</v>
      </c>
      <c r="AG48" s="27">
        <v>7.21</v>
      </c>
      <c r="AH48" s="28">
        <v>7.15</v>
      </c>
      <c r="AI48" s="18">
        <f t="shared" si="0"/>
        <v>35.200000000000003</v>
      </c>
      <c r="AJ48" s="18">
        <f t="shared" si="1"/>
        <v>143.6</v>
      </c>
      <c r="AK48" s="19">
        <f t="shared" si="2"/>
        <v>0.84832394366197184</v>
      </c>
      <c r="AL48" s="19">
        <f t="shared" si="3"/>
        <v>0.81145783132530125</v>
      </c>
      <c r="AM48" s="20">
        <f t="shared" si="13"/>
        <v>0.39588450704225348</v>
      </c>
      <c r="AN48" s="20">
        <f t="shared" si="13"/>
        <v>0.8611687615326169</v>
      </c>
      <c r="AO48" s="19">
        <f t="shared" si="14"/>
        <v>0.46666666666666662</v>
      </c>
      <c r="AP48" s="19">
        <f t="shared" si="14"/>
        <v>1.0612612612612611</v>
      </c>
      <c r="AR48" s="22">
        <v>1.4</v>
      </c>
      <c r="AS48" s="23">
        <f t="shared" si="6"/>
        <v>0.95648252536640355</v>
      </c>
      <c r="AT48" s="23">
        <f t="shared" si="7"/>
        <v>2.5225225225225225</v>
      </c>
      <c r="AU48" s="23">
        <f t="shared" si="8"/>
        <v>1.7233919375971236</v>
      </c>
      <c r="AV48" s="22">
        <v>887</v>
      </c>
      <c r="AW48" s="22">
        <v>606</v>
      </c>
      <c r="AX48" s="23">
        <f t="shared" si="9"/>
        <v>0.68320180383314544</v>
      </c>
      <c r="AY48" s="30"/>
    </row>
    <row r="49" spans="1:50" ht="38.1" customHeight="1" x14ac:dyDescent="0.25">
      <c r="A49" s="11">
        <v>4</v>
      </c>
      <c r="B49" s="11">
        <v>27</v>
      </c>
      <c r="C49" s="11" t="s">
        <v>84</v>
      </c>
      <c r="D49" s="11">
        <v>3</v>
      </c>
      <c r="E49" s="11">
        <v>6</v>
      </c>
      <c r="F49" s="11">
        <v>21</v>
      </c>
      <c r="G49" s="11" t="s">
        <v>85</v>
      </c>
      <c r="H49" s="12">
        <v>48</v>
      </c>
      <c r="J49" s="26"/>
      <c r="K49" s="15" t="s">
        <v>53</v>
      </c>
      <c r="L49" s="15"/>
      <c r="M49" s="27" t="s">
        <v>53</v>
      </c>
      <c r="N49" s="16">
        <v>38</v>
      </c>
      <c r="O49" s="16" t="e">
        <f t="shared" si="10"/>
        <v>#VALUE!</v>
      </c>
      <c r="P49" s="16">
        <f t="shared" si="10"/>
        <v>190</v>
      </c>
      <c r="Q49" s="16">
        <v>80</v>
      </c>
      <c r="R49" s="16" t="s">
        <v>53</v>
      </c>
      <c r="S49" s="17"/>
      <c r="T49" s="27">
        <v>1.6850000000000001</v>
      </c>
      <c r="U49" s="27">
        <v>1.2030000000000001</v>
      </c>
      <c r="V49" s="27"/>
      <c r="W49" s="27"/>
      <c r="X49" s="27"/>
      <c r="Y49" s="27">
        <v>89</v>
      </c>
      <c r="Z49" s="27">
        <v>76.238</v>
      </c>
      <c r="AA49" s="27"/>
      <c r="AB49" s="27"/>
      <c r="AC49" s="27">
        <v>99</v>
      </c>
      <c r="AD49" s="16">
        <f t="shared" si="15"/>
        <v>39.197299999999991</v>
      </c>
      <c r="AE49" s="27">
        <v>2.06</v>
      </c>
      <c r="AF49" s="27">
        <v>2.08</v>
      </c>
      <c r="AG49" s="27"/>
      <c r="AH49" s="28"/>
      <c r="AI49" s="18">
        <f t="shared" si="0"/>
        <v>41.400000000000006</v>
      </c>
      <c r="AJ49" s="18">
        <f t="shared" si="1"/>
        <v>0</v>
      </c>
      <c r="AK49" s="19">
        <f t="shared" si="2"/>
        <v>0.85660674157303374</v>
      </c>
      <c r="AL49" s="19" t="e">
        <f t="shared" si="3"/>
        <v>#DIV/0!</v>
      </c>
      <c r="AM49" s="20">
        <f t="shared" si="13"/>
        <v>1.8567529911934404</v>
      </c>
      <c r="AN49" s="20" t="e">
        <f t="shared" si="13"/>
        <v>#DIV/0!</v>
      </c>
      <c r="AO49" s="19">
        <f t="shared" si="14"/>
        <v>2.1675675675675672</v>
      </c>
      <c r="AP49" s="19">
        <f t="shared" si="14"/>
        <v>0</v>
      </c>
      <c r="AR49" s="22">
        <v>2.6</v>
      </c>
      <c r="AS49" s="23">
        <f t="shared" si="6"/>
        <v>1.6635071090047393</v>
      </c>
      <c r="AT49" s="23">
        <f t="shared" si="7"/>
        <v>4.6846846846846839</v>
      </c>
      <c r="AU49" s="23">
        <f t="shared" si="8"/>
        <v>2.9973101063148451</v>
      </c>
      <c r="AV49" s="22">
        <v>844</v>
      </c>
      <c r="AW49" s="22">
        <v>540</v>
      </c>
      <c r="AX49" s="23">
        <f t="shared" si="9"/>
        <v>0.6398104265402843</v>
      </c>
    </row>
    <row r="50" spans="1:50" ht="38.1" customHeight="1" x14ac:dyDescent="0.25">
      <c r="A50" s="11">
        <v>16</v>
      </c>
      <c r="B50" s="11">
        <v>30</v>
      </c>
      <c r="C50" s="11" t="s">
        <v>49</v>
      </c>
      <c r="D50" s="11">
        <v>3</v>
      </c>
      <c r="E50" s="11">
        <v>6</v>
      </c>
      <c r="F50" s="11">
        <v>18</v>
      </c>
      <c r="G50" s="11" t="s">
        <v>50</v>
      </c>
      <c r="H50" s="12">
        <v>49</v>
      </c>
      <c r="J50" s="26"/>
      <c r="K50" s="15">
        <v>45079</v>
      </c>
      <c r="L50" s="15">
        <v>45093</v>
      </c>
      <c r="M50" s="27">
        <v>7</v>
      </c>
      <c r="N50" s="16">
        <v>18</v>
      </c>
      <c r="O50" s="16">
        <f t="shared" si="10"/>
        <v>35</v>
      </c>
      <c r="P50" s="16">
        <f t="shared" si="10"/>
        <v>90</v>
      </c>
      <c r="Q50" s="16">
        <v>60</v>
      </c>
      <c r="R50" s="16">
        <v>45</v>
      </c>
      <c r="S50" s="17"/>
      <c r="T50" s="27">
        <v>1.4590000000000001</v>
      </c>
      <c r="U50" s="27">
        <v>0.33100000000000002</v>
      </c>
      <c r="V50" s="27">
        <v>0.78800000000000003</v>
      </c>
      <c r="W50" s="27">
        <v>120</v>
      </c>
      <c r="X50" s="27">
        <v>92.364000000000004</v>
      </c>
      <c r="Y50" s="27">
        <v>77</v>
      </c>
      <c r="Z50" s="27">
        <v>64.647999999999996</v>
      </c>
      <c r="AA50" s="27">
        <v>77</v>
      </c>
      <c r="AB50" s="27">
        <v>62.506</v>
      </c>
      <c r="AC50" s="27">
        <v>94</v>
      </c>
      <c r="AD50" s="16">
        <f t="shared" si="15"/>
        <v>37.149799999999992</v>
      </c>
      <c r="AE50" s="27">
        <v>1.81</v>
      </c>
      <c r="AF50" s="27">
        <v>1.92</v>
      </c>
      <c r="AG50" s="27">
        <v>7.8</v>
      </c>
      <c r="AH50" s="28">
        <v>7.74</v>
      </c>
      <c r="AI50" s="18">
        <f t="shared" si="0"/>
        <v>37.299999999999997</v>
      </c>
      <c r="AJ50" s="18">
        <f t="shared" si="1"/>
        <v>155.39999999999998</v>
      </c>
      <c r="AK50" s="19">
        <f t="shared" si="2"/>
        <v>0.83958441558441554</v>
      </c>
      <c r="AL50" s="19">
        <f t="shared" si="3"/>
        <v>0.8117662337662338</v>
      </c>
      <c r="AM50" s="20">
        <f t="shared" si="13"/>
        <v>0.50072511992511981</v>
      </c>
      <c r="AN50" s="20">
        <f t="shared" si="13"/>
        <v>1.1525617877617877</v>
      </c>
      <c r="AO50" s="19">
        <f t="shared" si="14"/>
        <v>0.5963963963963963</v>
      </c>
      <c r="AP50" s="19">
        <f t="shared" si="14"/>
        <v>1.4198198198198198</v>
      </c>
      <c r="AR50" s="22">
        <v>2.4</v>
      </c>
      <c r="AS50" s="23">
        <f t="shared" si="6"/>
        <v>0.9829145728643216</v>
      </c>
      <c r="AT50" s="23">
        <f t="shared" si="7"/>
        <v>4.3243243243243237</v>
      </c>
      <c r="AU50" s="23">
        <f t="shared" si="8"/>
        <v>1.7710172484041828</v>
      </c>
      <c r="AV50" s="22">
        <v>1194</v>
      </c>
      <c r="AW50" s="22">
        <v>489</v>
      </c>
      <c r="AX50" s="23">
        <f t="shared" si="9"/>
        <v>0.40954773869346733</v>
      </c>
    </row>
    <row r="51" spans="1:50" ht="38.1" customHeight="1" x14ac:dyDescent="0.25">
      <c r="A51" s="11">
        <v>2</v>
      </c>
      <c r="B51" s="11">
        <v>23</v>
      </c>
      <c r="C51" s="25" t="s">
        <v>51</v>
      </c>
      <c r="D51" s="11">
        <v>3</v>
      </c>
      <c r="E51" s="11">
        <v>6</v>
      </c>
      <c r="F51" s="11">
        <v>15</v>
      </c>
      <c r="G51" s="11" t="s">
        <v>52</v>
      </c>
      <c r="H51" s="12">
        <v>50</v>
      </c>
      <c r="J51" s="26"/>
      <c r="K51" s="15" t="s">
        <v>53</v>
      </c>
      <c r="L51" s="15"/>
      <c r="M51" s="27" t="s">
        <v>53</v>
      </c>
      <c r="N51" s="16">
        <v>30</v>
      </c>
      <c r="O51" s="16" t="e">
        <f t="shared" si="10"/>
        <v>#VALUE!</v>
      </c>
      <c r="P51" s="16">
        <f t="shared" si="10"/>
        <v>150</v>
      </c>
      <c r="Q51" s="16">
        <v>75</v>
      </c>
      <c r="R51" s="16" t="s">
        <v>53</v>
      </c>
      <c r="S51" s="17"/>
      <c r="T51" s="27">
        <v>1.3979999999999999</v>
      </c>
      <c r="U51" s="27">
        <v>1.032</v>
      </c>
      <c r="V51" s="27"/>
      <c r="W51" s="27"/>
      <c r="X51" s="27"/>
      <c r="Y51" s="27">
        <v>87</v>
      </c>
      <c r="Z51" s="27">
        <v>74.881</v>
      </c>
      <c r="AA51" s="27"/>
      <c r="AB51" s="27"/>
      <c r="AC51" s="27">
        <v>109</v>
      </c>
      <c r="AD51" s="16">
        <f t="shared" si="15"/>
        <v>43.292299999999997</v>
      </c>
      <c r="AE51" s="27">
        <v>1.88</v>
      </c>
      <c r="AF51" s="27">
        <v>1.7</v>
      </c>
      <c r="AG51" s="27"/>
      <c r="AH51" s="28"/>
      <c r="AI51" s="18">
        <f t="shared" si="0"/>
        <v>35.799999999999997</v>
      </c>
      <c r="AJ51" s="18">
        <f t="shared" si="1"/>
        <v>0</v>
      </c>
      <c r="AK51" s="19">
        <f t="shared" si="2"/>
        <v>0.8607011494252873</v>
      </c>
      <c r="AL51" s="19" t="e">
        <f t="shared" si="3"/>
        <v>#DIV/0!</v>
      </c>
      <c r="AM51" s="20">
        <f t="shared" si="13"/>
        <v>1.60043889406648</v>
      </c>
      <c r="AN51" s="20" t="e">
        <f t="shared" si="13"/>
        <v>#DIV/0!</v>
      </c>
      <c r="AO51" s="19">
        <f t="shared" si="14"/>
        <v>1.8594594594594593</v>
      </c>
      <c r="AP51" s="19">
        <f t="shared" si="14"/>
        <v>0</v>
      </c>
      <c r="AR51" s="22">
        <v>2.95</v>
      </c>
      <c r="AS51" s="23">
        <f t="shared" si="6"/>
        <v>1.868822553897181</v>
      </c>
      <c r="AT51" s="23">
        <f t="shared" si="7"/>
        <v>5.3153153153153152</v>
      </c>
      <c r="AU51" s="23">
        <f t="shared" si="8"/>
        <v>3.3672478448597851</v>
      </c>
      <c r="AV51" s="22">
        <v>603</v>
      </c>
      <c r="AW51" s="22">
        <v>382</v>
      </c>
      <c r="AX51" s="23">
        <f t="shared" si="9"/>
        <v>0.63349917081260365</v>
      </c>
    </row>
    <row r="52" spans="1:50" ht="38.1" customHeight="1" x14ac:dyDescent="0.25">
      <c r="A52" s="11">
        <v>3</v>
      </c>
      <c r="B52" s="11">
        <v>22</v>
      </c>
      <c r="C52" s="11" t="s">
        <v>82</v>
      </c>
      <c r="D52" s="11">
        <v>3</v>
      </c>
      <c r="E52" s="11">
        <v>6</v>
      </c>
      <c r="F52" s="11">
        <v>12</v>
      </c>
      <c r="G52" s="11" t="s">
        <v>83</v>
      </c>
      <c r="H52" s="12">
        <v>51</v>
      </c>
      <c r="J52" s="26"/>
      <c r="K52" s="15" t="s">
        <v>53</v>
      </c>
      <c r="L52" s="15"/>
      <c r="M52" s="27" t="s">
        <v>53</v>
      </c>
      <c r="N52" s="16">
        <v>40</v>
      </c>
      <c r="O52" s="16" t="e">
        <f t="shared" si="10"/>
        <v>#VALUE!</v>
      </c>
      <c r="P52" s="16">
        <f t="shared" si="10"/>
        <v>200</v>
      </c>
      <c r="Q52" s="16">
        <v>60</v>
      </c>
      <c r="R52" s="16" t="s">
        <v>53</v>
      </c>
      <c r="S52" s="17"/>
      <c r="T52" s="27">
        <v>1.304</v>
      </c>
      <c r="U52" s="27">
        <v>0.78700000000000003</v>
      </c>
      <c r="V52" s="27"/>
      <c r="W52" s="27"/>
      <c r="X52" s="27"/>
      <c r="Y52" s="27">
        <v>76</v>
      </c>
      <c r="Z52" s="27">
        <v>65.373000000000005</v>
      </c>
      <c r="AA52" s="27"/>
      <c r="AB52" s="27"/>
      <c r="AC52" s="27">
        <v>99</v>
      </c>
      <c r="AD52" s="16">
        <f t="shared" si="15"/>
        <v>39.197299999999991</v>
      </c>
      <c r="AE52" s="27">
        <v>1.74</v>
      </c>
      <c r="AF52" s="27">
        <v>1.9</v>
      </c>
      <c r="AG52" s="27"/>
      <c r="AH52" s="28"/>
      <c r="AI52" s="18">
        <f t="shared" si="0"/>
        <v>36.4</v>
      </c>
      <c r="AJ52" s="18">
        <f t="shared" si="1"/>
        <v>0</v>
      </c>
      <c r="AK52" s="19">
        <f t="shared" si="2"/>
        <v>0.860171052631579</v>
      </c>
      <c r="AL52" s="19" t="e">
        <f t="shared" si="3"/>
        <v>#DIV/0!</v>
      </c>
      <c r="AM52" s="20">
        <f t="shared" si="13"/>
        <v>1.2197380512091038</v>
      </c>
      <c r="AN52" s="20" t="e">
        <f t="shared" si="13"/>
        <v>#DIV/0!</v>
      </c>
      <c r="AO52" s="19">
        <f t="shared" si="14"/>
        <v>1.418018018018018</v>
      </c>
      <c r="AP52" s="19">
        <f t="shared" si="14"/>
        <v>0</v>
      </c>
      <c r="AR52" s="22">
        <v>1.25</v>
      </c>
      <c r="AS52" s="23">
        <f t="shared" si="6"/>
        <v>0.90986394557823136</v>
      </c>
      <c r="AT52" s="23">
        <f t="shared" si="7"/>
        <v>2.2522522522522519</v>
      </c>
      <c r="AU52" s="23">
        <f t="shared" si="8"/>
        <v>1.6393944965373535</v>
      </c>
      <c r="AV52" s="22">
        <v>588</v>
      </c>
      <c r="AW52" s="22">
        <v>428</v>
      </c>
      <c r="AX52" s="23">
        <f t="shared" si="9"/>
        <v>0.72789115646258506</v>
      </c>
    </row>
    <row r="53" spans="1:50" ht="38.1" customHeight="1" x14ac:dyDescent="0.25">
      <c r="A53" s="11">
        <v>5</v>
      </c>
      <c r="B53" s="11">
        <v>26</v>
      </c>
      <c r="C53" s="25" t="s">
        <v>62</v>
      </c>
      <c r="D53" s="11">
        <v>3</v>
      </c>
      <c r="E53" s="11">
        <v>6</v>
      </c>
      <c r="F53" s="11">
        <v>9</v>
      </c>
      <c r="G53" s="11" t="s">
        <v>85</v>
      </c>
      <c r="H53" s="12">
        <v>52</v>
      </c>
      <c r="J53" s="26"/>
      <c r="K53" s="15" t="s">
        <v>53</v>
      </c>
      <c r="L53" s="15"/>
      <c r="M53" s="27" t="s">
        <v>53</v>
      </c>
      <c r="N53" s="16">
        <v>31</v>
      </c>
      <c r="O53" s="16" t="e">
        <f t="shared" si="10"/>
        <v>#VALUE!</v>
      </c>
      <c r="P53" s="16">
        <f t="shared" si="10"/>
        <v>155</v>
      </c>
      <c r="Q53" s="16">
        <v>65</v>
      </c>
      <c r="R53" s="16" t="s">
        <v>53</v>
      </c>
      <c r="S53" s="17"/>
      <c r="T53" s="27">
        <v>1.4059999999999999</v>
      </c>
      <c r="U53" s="27">
        <v>1.028</v>
      </c>
      <c r="V53" s="27"/>
      <c r="W53" s="27"/>
      <c r="X53" s="27"/>
      <c r="Y53" s="27">
        <v>68</v>
      </c>
      <c r="Z53" s="27">
        <v>59.293999999999997</v>
      </c>
      <c r="AA53" s="27"/>
      <c r="AB53" s="27"/>
      <c r="AC53" s="27">
        <v>113</v>
      </c>
      <c r="AD53" s="16">
        <f t="shared" si="15"/>
        <v>44.930299999999995</v>
      </c>
      <c r="AE53" s="27">
        <v>1.71</v>
      </c>
      <c r="AF53" s="27">
        <v>1.63</v>
      </c>
      <c r="AG53" s="27"/>
      <c r="AH53" s="28"/>
      <c r="AI53" s="18">
        <f t="shared" si="0"/>
        <v>33.4</v>
      </c>
      <c r="AJ53" s="18">
        <f t="shared" si="1"/>
        <v>0</v>
      </c>
      <c r="AK53" s="19">
        <f t="shared" si="2"/>
        <v>0.87197058823529405</v>
      </c>
      <c r="AL53" s="19" t="e">
        <f t="shared" si="3"/>
        <v>#DIV/0!</v>
      </c>
      <c r="AM53" s="20">
        <f t="shared" si="13"/>
        <v>1.6151094859565445</v>
      </c>
      <c r="AN53" s="20" t="e">
        <f t="shared" si="13"/>
        <v>#DIV/0!</v>
      </c>
      <c r="AO53" s="19">
        <f t="shared" si="14"/>
        <v>1.852252252252252</v>
      </c>
      <c r="AP53" s="19">
        <f t="shared" si="14"/>
        <v>0</v>
      </c>
      <c r="AR53" s="22">
        <v>1.95</v>
      </c>
      <c r="AS53" s="23">
        <f t="shared" si="6"/>
        <v>1.3386138613861385</v>
      </c>
      <c r="AT53" s="23">
        <f t="shared" si="7"/>
        <v>3.5135135135135132</v>
      </c>
      <c r="AU53" s="23">
        <f t="shared" si="8"/>
        <v>2.4119168673624114</v>
      </c>
      <c r="AV53" s="22">
        <v>606</v>
      </c>
      <c r="AW53" s="22">
        <v>416</v>
      </c>
      <c r="AX53" s="23">
        <f t="shared" si="9"/>
        <v>0.68646864686468645</v>
      </c>
    </row>
    <row r="54" spans="1:50" ht="38.1" customHeight="1" x14ac:dyDescent="0.25">
      <c r="A54" s="11">
        <v>10</v>
      </c>
      <c r="B54" s="11">
        <v>36</v>
      </c>
      <c r="C54" s="11" t="s">
        <v>76</v>
      </c>
      <c r="D54" s="11">
        <v>3</v>
      </c>
      <c r="E54" s="11">
        <v>6</v>
      </c>
      <c r="F54" s="11">
        <v>6</v>
      </c>
      <c r="G54" s="11" t="s">
        <v>77</v>
      </c>
      <c r="H54" s="12">
        <v>53</v>
      </c>
      <c r="J54" s="26"/>
      <c r="K54" s="15">
        <v>45079</v>
      </c>
      <c r="L54" s="15">
        <v>45093</v>
      </c>
      <c r="M54" s="27">
        <v>13</v>
      </c>
      <c r="N54" s="16">
        <v>15</v>
      </c>
      <c r="O54" s="16">
        <f t="shared" si="10"/>
        <v>65</v>
      </c>
      <c r="P54" s="16">
        <f t="shared" si="10"/>
        <v>75</v>
      </c>
      <c r="Q54" s="16">
        <v>75</v>
      </c>
      <c r="R54" s="16">
        <v>50</v>
      </c>
      <c r="S54" s="17"/>
      <c r="T54" s="27">
        <v>1.0649999999999999</v>
      </c>
      <c r="U54" s="27">
        <v>0.313</v>
      </c>
      <c r="V54" s="27">
        <v>0.49</v>
      </c>
      <c r="W54" s="27">
        <v>100</v>
      </c>
      <c r="X54" s="27">
        <v>76.629000000000005</v>
      </c>
      <c r="Y54" s="27">
        <v>76</v>
      </c>
      <c r="Z54" s="27">
        <v>64.81</v>
      </c>
      <c r="AA54" s="27">
        <v>77</v>
      </c>
      <c r="AB54" s="27">
        <v>62.811999999999998</v>
      </c>
      <c r="AC54" s="27">
        <v>99</v>
      </c>
      <c r="AD54" s="16">
        <f t="shared" si="15"/>
        <v>39.197299999999991</v>
      </c>
      <c r="AE54" s="27">
        <v>2.38</v>
      </c>
      <c r="AF54" s="27">
        <v>2.5099999999999998</v>
      </c>
      <c r="AG54" s="27">
        <v>7.86</v>
      </c>
      <c r="AH54" s="28">
        <v>7.37</v>
      </c>
      <c r="AI54" s="18">
        <f t="shared" si="0"/>
        <v>48.9</v>
      </c>
      <c r="AJ54" s="18">
        <f t="shared" si="1"/>
        <v>152.30000000000001</v>
      </c>
      <c r="AK54" s="19">
        <f t="shared" si="2"/>
        <v>0.85276315789473689</v>
      </c>
      <c r="AL54" s="19">
        <f t="shared" si="3"/>
        <v>0.81574025974025965</v>
      </c>
      <c r="AM54" s="20">
        <f t="shared" si="13"/>
        <v>0.48092769084874343</v>
      </c>
      <c r="AN54" s="20">
        <f t="shared" si="13"/>
        <v>0.72020311220311206</v>
      </c>
      <c r="AO54" s="19">
        <f t="shared" si="14"/>
        <v>0.56396396396396387</v>
      </c>
      <c r="AP54" s="19">
        <f t="shared" si="14"/>
        <v>0.88288288288288275</v>
      </c>
      <c r="AR54" s="22">
        <v>2.5</v>
      </c>
      <c r="AS54" s="23">
        <f t="shared" si="6"/>
        <v>1.518987341772152</v>
      </c>
      <c r="AT54" s="23">
        <f t="shared" si="7"/>
        <v>4.5045045045045038</v>
      </c>
      <c r="AU54" s="23">
        <f t="shared" si="8"/>
        <v>2.7369141293191923</v>
      </c>
      <c r="AV54" s="22">
        <v>790</v>
      </c>
      <c r="AW54" s="22">
        <v>480</v>
      </c>
      <c r="AX54" s="23">
        <f t="shared" si="9"/>
        <v>0.60759493670886078</v>
      </c>
    </row>
    <row r="55" spans="1:50" ht="38.1" customHeight="1" x14ac:dyDescent="0.25">
      <c r="A55" s="11">
        <v>9</v>
      </c>
      <c r="B55" s="11">
        <v>38</v>
      </c>
      <c r="C55" s="11" t="s">
        <v>70</v>
      </c>
      <c r="D55" s="11">
        <v>3</v>
      </c>
      <c r="E55" s="11">
        <v>6</v>
      </c>
      <c r="F55" s="11">
        <v>3</v>
      </c>
      <c r="G55" s="11" t="s">
        <v>71</v>
      </c>
      <c r="H55" s="12">
        <v>54</v>
      </c>
      <c r="J55" s="26"/>
      <c r="K55" s="15">
        <v>45081</v>
      </c>
      <c r="L55" s="15">
        <v>45096</v>
      </c>
      <c r="M55" s="27">
        <v>13</v>
      </c>
      <c r="N55" s="16" t="s">
        <v>53</v>
      </c>
      <c r="O55" s="16">
        <f t="shared" si="10"/>
        <v>65</v>
      </c>
      <c r="P55" s="16" t="e">
        <f t="shared" si="10"/>
        <v>#VALUE!</v>
      </c>
      <c r="Q55" s="16" t="s">
        <v>53</v>
      </c>
      <c r="R55" s="16">
        <v>50</v>
      </c>
      <c r="S55" s="17"/>
      <c r="T55" s="27">
        <v>0.54800000000000004</v>
      </c>
      <c r="U55" s="27"/>
      <c r="V55" s="27">
        <v>0.30499999999999999</v>
      </c>
      <c r="W55" s="27"/>
      <c r="X55" s="27"/>
      <c r="Y55" s="27"/>
      <c r="Z55" s="27"/>
      <c r="AA55" s="27">
        <v>52</v>
      </c>
      <c r="AB55" s="27">
        <v>41.156999999999996</v>
      </c>
      <c r="AC55" s="27"/>
      <c r="AD55" s="16"/>
      <c r="AE55" s="27"/>
      <c r="AF55" s="27"/>
      <c r="AG55" s="27">
        <v>8.77</v>
      </c>
      <c r="AH55" s="28">
        <v>9.1199999999999992</v>
      </c>
      <c r="AI55" s="18">
        <f t="shared" si="0"/>
        <v>0</v>
      </c>
      <c r="AJ55" s="18">
        <f t="shared" si="1"/>
        <v>178.9</v>
      </c>
      <c r="AK55" s="19" t="e">
        <f t="shared" si="2"/>
        <v>#DIV/0!</v>
      </c>
      <c r="AL55" s="19">
        <f t="shared" si="3"/>
        <v>0.79148076923076915</v>
      </c>
      <c r="AM55" s="20" t="e">
        <f t="shared" si="13"/>
        <v>#DIV/0!</v>
      </c>
      <c r="AN55" s="20">
        <f t="shared" si="13"/>
        <v>0.43495790020790009</v>
      </c>
      <c r="AO55" s="19">
        <f t="shared" si="14"/>
        <v>0</v>
      </c>
      <c r="AP55" s="19">
        <f t="shared" si="14"/>
        <v>0.54954954954954949</v>
      </c>
      <c r="AR55" s="22">
        <v>2.65</v>
      </c>
      <c r="AS55" s="23">
        <f t="shared" si="6"/>
        <v>1.108271375464684</v>
      </c>
      <c r="AT55" s="23">
        <f t="shared" si="7"/>
        <v>4.774774774774774</v>
      </c>
      <c r="AU55" s="23">
        <f t="shared" si="8"/>
        <v>1.9968853611976285</v>
      </c>
      <c r="AV55" s="22">
        <v>1076</v>
      </c>
      <c r="AW55" s="22">
        <v>450</v>
      </c>
      <c r="AX55" s="23">
        <f t="shared" si="9"/>
        <v>0.41821561338289964</v>
      </c>
    </row>
    <row r="56" spans="1:50" ht="38.1" customHeight="1" x14ac:dyDescent="0.25">
      <c r="A56" s="11">
        <v>6</v>
      </c>
      <c r="B56" s="11">
        <v>25</v>
      </c>
      <c r="C56" s="11" t="s">
        <v>72</v>
      </c>
      <c r="D56" s="11">
        <v>4</v>
      </c>
      <c r="E56" s="11">
        <v>7</v>
      </c>
      <c r="F56" s="11">
        <v>3</v>
      </c>
      <c r="G56" s="11" t="s">
        <v>73</v>
      </c>
      <c r="H56" s="12">
        <v>55</v>
      </c>
      <c r="J56" s="26"/>
      <c r="K56" s="15" t="s">
        <v>53</v>
      </c>
      <c r="L56" s="15"/>
      <c r="M56" s="27" t="s">
        <v>53</v>
      </c>
      <c r="N56" s="16">
        <v>24</v>
      </c>
      <c r="O56" s="16" t="e">
        <f t="shared" si="10"/>
        <v>#VALUE!</v>
      </c>
      <c r="P56" s="16">
        <f t="shared" si="10"/>
        <v>120</v>
      </c>
      <c r="Q56" s="16">
        <v>45</v>
      </c>
      <c r="R56" s="16" t="s">
        <v>53</v>
      </c>
      <c r="S56" s="17"/>
      <c r="T56" s="27">
        <v>1.1379999999999999</v>
      </c>
      <c r="U56" s="27">
        <v>0.79500000000000004</v>
      </c>
      <c r="V56" s="27"/>
      <c r="W56" s="27"/>
      <c r="X56" s="27"/>
      <c r="Y56" s="27">
        <v>85</v>
      </c>
      <c r="Z56" s="27">
        <v>73.015000000000001</v>
      </c>
      <c r="AA56" s="27"/>
      <c r="AB56" s="27"/>
      <c r="AC56" s="27">
        <v>100</v>
      </c>
      <c r="AD56" s="16">
        <f>0.4095*AC56-1.3432</f>
        <v>39.606799999999993</v>
      </c>
      <c r="AE56" s="27">
        <v>1.61</v>
      </c>
      <c r="AF56" s="27">
        <v>1.37</v>
      </c>
      <c r="AG56" s="27"/>
      <c r="AH56" s="28"/>
      <c r="AI56" s="18">
        <f t="shared" si="0"/>
        <v>29.800000000000004</v>
      </c>
      <c r="AJ56" s="18">
        <f t="shared" si="1"/>
        <v>0</v>
      </c>
      <c r="AK56" s="19">
        <f t="shared" si="2"/>
        <v>0.85899999999999999</v>
      </c>
      <c r="AL56" s="19" t="e">
        <f t="shared" si="3"/>
        <v>#DIV/0!</v>
      </c>
      <c r="AM56" s="20">
        <f t="shared" si="13"/>
        <v>1.2304594594594593</v>
      </c>
      <c r="AN56" s="20" t="e">
        <f t="shared" si="13"/>
        <v>#DIV/0!</v>
      </c>
      <c r="AO56" s="19">
        <f t="shared" si="14"/>
        <v>1.4324324324324322</v>
      </c>
      <c r="AP56" s="19">
        <f t="shared" si="14"/>
        <v>0</v>
      </c>
      <c r="AR56" s="22">
        <v>1.1499999999999999</v>
      </c>
      <c r="AS56" s="23">
        <f t="shared" si="6"/>
        <v>0.81864406779661014</v>
      </c>
      <c r="AT56" s="23">
        <f t="shared" si="7"/>
        <v>2.0720720720720718</v>
      </c>
      <c r="AU56" s="23">
        <f t="shared" si="8"/>
        <v>1.4750343563902883</v>
      </c>
      <c r="AV56" s="22">
        <v>649</v>
      </c>
      <c r="AW56" s="22">
        <v>462</v>
      </c>
      <c r="AX56" s="23">
        <f t="shared" si="9"/>
        <v>0.71186440677966101</v>
      </c>
    </row>
    <row r="57" spans="1:50" ht="38.1" customHeight="1" x14ac:dyDescent="0.25">
      <c r="A57" s="11">
        <v>12</v>
      </c>
      <c r="B57" s="11">
        <v>40</v>
      </c>
      <c r="C57" s="11" t="s">
        <v>66</v>
      </c>
      <c r="D57" s="11">
        <v>4</v>
      </c>
      <c r="E57" s="11">
        <v>7</v>
      </c>
      <c r="F57" s="11">
        <v>6</v>
      </c>
      <c r="G57" s="11" t="s">
        <v>67</v>
      </c>
      <c r="H57" s="12">
        <v>56</v>
      </c>
      <c r="J57" s="26"/>
      <c r="K57" s="15">
        <v>45079</v>
      </c>
      <c r="L57" s="15">
        <v>45094</v>
      </c>
      <c r="M57" s="27">
        <v>8</v>
      </c>
      <c r="N57" s="16">
        <v>4</v>
      </c>
      <c r="O57" s="16">
        <f t="shared" si="10"/>
        <v>40</v>
      </c>
      <c r="P57" s="16">
        <f t="shared" si="10"/>
        <v>20</v>
      </c>
      <c r="Q57" s="16">
        <v>75</v>
      </c>
      <c r="R57" s="16">
        <v>50</v>
      </c>
      <c r="S57" s="17"/>
      <c r="T57" s="27">
        <v>0.76200000000000001</v>
      </c>
      <c r="U57" s="27">
        <v>0.25700000000000001</v>
      </c>
      <c r="V57" s="27">
        <v>0.216</v>
      </c>
      <c r="W57" s="27">
        <v>121</v>
      </c>
      <c r="X57" s="27">
        <v>89.841999999999999</v>
      </c>
      <c r="Y57" s="27">
        <v>78</v>
      </c>
      <c r="Z57" s="27">
        <v>65.802000000000007</v>
      </c>
      <c r="AA57" s="27">
        <v>52</v>
      </c>
      <c r="AB57" s="27">
        <v>43.07</v>
      </c>
      <c r="AC57" s="27">
        <v>95</v>
      </c>
      <c r="AD57" s="16">
        <f>0.4095*AC57-1.3432</f>
        <v>37.559299999999993</v>
      </c>
      <c r="AE57" s="27">
        <v>1.92</v>
      </c>
      <c r="AF57" s="27">
        <v>2.09</v>
      </c>
      <c r="AG57" s="27">
        <v>8.1300000000000008</v>
      </c>
      <c r="AH57" s="28">
        <v>8.15</v>
      </c>
      <c r="AI57" s="18">
        <f t="shared" si="0"/>
        <v>40.099999999999994</v>
      </c>
      <c r="AJ57" s="18">
        <f t="shared" si="1"/>
        <v>162.80000000000001</v>
      </c>
      <c r="AK57" s="19">
        <f t="shared" si="2"/>
        <v>0.84361538461538466</v>
      </c>
      <c r="AL57" s="19">
        <f t="shared" si="3"/>
        <v>0.82826923076923076</v>
      </c>
      <c r="AM57" s="20">
        <f t="shared" si="13"/>
        <v>0.39064712404712398</v>
      </c>
      <c r="AN57" s="20">
        <f t="shared" si="13"/>
        <v>0.32235343035343034</v>
      </c>
      <c r="AO57" s="19">
        <f t="shared" si="14"/>
        <v>0.463063063063063</v>
      </c>
      <c r="AP57" s="19">
        <f t="shared" si="14"/>
        <v>0.38918918918918916</v>
      </c>
      <c r="AR57" s="22">
        <v>3.4</v>
      </c>
      <c r="AS57" s="23">
        <f t="shared" si="6"/>
        <v>1.4622691292875989</v>
      </c>
      <c r="AT57" s="23">
        <f t="shared" si="7"/>
        <v>6.1261261261261257</v>
      </c>
      <c r="AU57" s="23">
        <f t="shared" si="8"/>
        <v>2.6347191518695476</v>
      </c>
      <c r="AV57" s="22">
        <v>1137</v>
      </c>
      <c r="AW57" s="22">
        <v>489</v>
      </c>
      <c r="AX57" s="23">
        <f t="shared" si="9"/>
        <v>0.43007915567282323</v>
      </c>
    </row>
    <row r="58" spans="1:50" ht="38.1" customHeight="1" x14ac:dyDescent="0.25">
      <c r="A58" s="11">
        <v>1</v>
      </c>
      <c r="B58" s="11">
        <v>24</v>
      </c>
      <c r="C58" s="11" t="s">
        <v>68</v>
      </c>
      <c r="D58" s="11">
        <v>4</v>
      </c>
      <c r="E58" s="11">
        <v>7</v>
      </c>
      <c r="F58" s="11">
        <v>9</v>
      </c>
      <c r="G58" s="11" t="s">
        <v>69</v>
      </c>
      <c r="H58" s="12">
        <v>57</v>
      </c>
      <c r="J58" s="26"/>
      <c r="K58" s="15" t="s">
        <v>53</v>
      </c>
      <c r="L58" s="15"/>
      <c r="M58" s="27" t="s">
        <v>53</v>
      </c>
      <c r="N58" s="16">
        <v>45</v>
      </c>
      <c r="O58" s="16" t="e">
        <f t="shared" si="10"/>
        <v>#VALUE!</v>
      </c>
      <c r="P58" s="16">
        <f t="shared" si="10"/>
        <v>225</v>
      </c>
      <c r="Q58" s="16">
        <v>75</v>
      </c>
      <c r="R58" s="16" t="s">
        <v>53</v>
      </c>
      <c r="S58" s="17"/>
      <c r="T58" s="27">
        <v>1.4850000000000001</v>
      </c>
      <c r="U58" s="27">
        <v>1.105</v>
      </c>
      <c r="V58" s="27"/>
      <c r="W58" s="27"/>
      <c r="X58" s="27"/>
      <c r="Y58" s="27">
        <v>66</v>
      </c>
      <c r="Z58" s="27">
        <v>57.930999999999997</v>
      </c>
      <c r="AA58" s="27"/>
      <c r="AB58" s="27"/>
      <c r="AC58" s="27">
        <v>101</v>
      </c>
      <c r="AD58" s="16">
        <f>0.4095*AC58-1.3432</f>
        <v>40.016299999999994</v>
      </c>
      <c r="AE58" s="27">
        <v>2.0299999999999998</v>
      </c>
      <c r="AF58" s="27">
        <v>2.12</v>
      </c>
      <c r="AG58" s="27"/>
      <c r="AH58" s="28"/>
      <c r="AI58" s="18">
        <f t="shared" si="0"/>
        <v>41.5</v>
      </c>
      <c r="AJ58" s="18">
        <f t="shared" si="1"/>
        <v>0</v>
      </c>
      <c r="AK58" s="19">
        <f t="shared" si="2"/>
        <v>0.87774242424242421</v>
      </c>
      <c r="AL58" s="19" t="e">
        <f t="shared" si="3"/>
        <v>#DIV/0!</v>
      </c>
      <c r="AM58" s="20">
        <f t="shared" si="13"/>
        <v>1.7475772590772587</v>
      </c>
      <c r="AN58" s="20" t="e">
        <f t="shared" si="13"/>
        <v>#DIV/0!</v>
      </c>
      <c r="AO58" s="19">
        <f t="shared" si="14"/>
        <v>1.9909909909909906</v>
      </c>
      <c r="AP58" s="19">
        <f t="shared" si="14"/>
        <v>0</v>
      </c>
      <c r="AR58" s="22">
        <v>1.35</v>
      </c>
      <c r="AS58" s="23">
        <f t="shared" si="6"/>
        <v>0.92465753424657537</v>
      </c>
      <c r="AT58" s="23">
        <f t="shared" si="7"/>
        <v>2.4324324324324325</v>
      </c>
      <c r="AU58" s="23">
        <f t="shared" si="8"/>
        <v>1.6660496112550907</v>
      </c>
      <c r="AV58" s="22">
        <v>438</v>
      </c>
      <c r="AW58" s="22">
        <v>300</v>
      </c>
      <c r="AX58" s="23">
        <f t="shared" si="9"/>
        <v>0.68493150684931503</v>
      </c>
    </row>
    <row r="59" spans="1:50" ht="38.1" customHeight="1" x14ac:dyDescent="0.25">
      <c r="A59" s="11">
        <v>16</v>
      </c>
      <c r="B59" s="11">
        <v>30</v>
      </c>
      <c r="C59" s="11" t="s">
        <v>49</v>
      </c>
      <c r="D59" s="11">
        <v>4</v>
      </c>
      <c r="E59" s="11">
        <v>7</v>
      </c>
      <c r="F59" s="11">
        <v>12</v>
      </c>
      <c r="G59" s="11" t="s">
        <v>50</v>
      </c>
      <c r="H59" s="12">
        <v>58</v>
      </c>
      <c r="J59" s="26"/>
      <c r="K59" s="15">
        <v>45079</v>
      </c>
      <c r="L59" s="15">
        <v>45093</v>
      </c>
      <c r="M59" s="27">
        <v>16</v>
      </c>
      <c r="N59" s="16">
        <v>8</v>
      </c>
      <c r="O59" s="16">
        <f t="shared" si="10"/>
        <v>80</v>
      </c>
      <c r="P59" s="16">
        <f t="shared" si="10"/>
        <v>40</v>
      </c>
      <c r="Q59" s="16">
        <v>60</v>
      </c>
      <c r="R59" s="16">
        <v>55</v>
      </c>
      <c r="S59" s="17"/>
      <c r="T59" s="27">
        <v>0.89</v>
      </c>
      <c r="U59" s="27">
        <v>0.30399999999999999</v>
      </c>
      <c r="V59" s="27">
        <v>0.30399999999999999</v>
      </c>
      <c r="W59" s="27">
        <v>116</v>
      </c>
      <c r="X59" s="27">
        <v>100.134</v>
      </c>
      <c r="Y59" s="27">
        <v>86</v>
      </c>
      <c r="Z59" s="27">
        <v>74.123999999999995</v>
      </c>
      <c r="AA59" s="27">
        <v>72</v>
      </c>
      <c r="AB59" s="27">
        <v>62.638999999999996</v>
      </c>
      <c r="AC59" s="27">
        <v>98</v>
      </c>
      <c r="AD59" s="16">
        <f>0.4095*AC59-1.3432</f>
        <v>38.787799999999997</v>
      </c>
      <c r="AE59" s="27">
        <v>1.81</v>
      </c>
      <c r="AF59" s="27">
        <v>1.93</v>
      </c>
      <c r="AG59" s="27">
        <v>6.88</v>
      </c>
      <c r="AH59" s="28">
        <v>6.55</v>
      </c>
      <c r="AI59" s="18">
        <f t="shared" si="0"/>
        <v>37.400000000000006</v>
      </c>
      <c r="AJ59" s="18">
        <f t="shared" si="1"/>
        <v>134.30000000000001</v>
      </c>
      <c r="AK59" s="19">
        <f t="shared" si="2"/>
        <v>0.86190697674418604</v>
      </c>
      <c r="AL59" s="19">
        <f t="shared" si="3"/>
        <v>0.86998611111111102</v>
      </c>
      <c r="AM59" s="20">
        <f t="shared" si="13"/>
        <v>0.47210760527969814</v>
      </c>
      <c r="AN59" s="20">
        <f t="shared" si="13"/>
        <v>0.47653293293293275</v>
      </c>
      <c r="AO59" s="19">
        <f t="shared" si="14"/>
        <v>0.54774774774774759</v>
      </c>
      <c r="AP59" s="19">
        <f t="shared" si="14"/>
        <v>0.54774774774774759</v>
      </c>
      <c r="AR59" s="22">
        <v>1.75</v>
      </c>
      <c r="AS59" s="23">
        <f t="shared" si="6"/>
        <v>0.71670854271356788</v>
      </c>
      <c r="AT59" s="23">
        <f t="shared" si="7"/>
        <v>3.1531531531531525</v>
      </c>
      <c r="AU59" s="23">
        <f t="shared" si="8"/>
        <v>1.2913667436280498</v>
      </c>
      <c r="AV59" s="22">
        <v>1194</v>
      </c>
      <c r="AW59" s="22">
        <v>489</v>
      </c>
      <c r="AX59" s="23">
        <f t="shared" si="9"/>
        <v>0.40954773869346733</v>
      </c>
    </row>
    <row r="60" spans="1:50" ht="38.1" customHeight="1" x14ac:dyDescent="0.25">
      <c r="A60" s="11">
        <v>9</v>
      </c>
      <c r="B60" s="11">
        <v>38</v>
      </c>
      <c r="C60" s="11" t="s">
        <v>70</v>
      </c>
      <c r="D60" s="11">
        <v>4</v>
      </c>
      <c r="E60" s="11">
        <v>7</v>
      </c>
      <c r="F60" s="11">
        <v>15</v>
      </c>
      <c r="G60" s="11" t="s">
        <v>71</v>
      </c>
      <c r="H60" s="12">
        <v>59</v>
      </c>
      <c r="J60" s="26"/>
      <c r="K60" s="15">
        <v>45079</v>
      </c>
      <c r="L60" s="15">
        <v>45094</v>
      </c>
      <c r="M60" s="27">
        <v>10</v>
      </c>
      <c r="N60" s="16" t="s">
        <v>53</v>
      </c>
      <c r="O60" s="16">
        <f t="shared" si="10"/>
        <v>50</v>
      </c>
      <c r="P60" s="16" t="e">
        <f t="shared" si="10"/>
        <v>#VALUE!</v>
      </c>
      <c r="Q60" s="16" t="s">
        <v>53</v>
      </c>
      <c r="R60" s="16">
        <v>60</v>
      </c>
      <c r="S60" s="17"/>
      <c r="T60" s="27">
        <v>0.48099999999999998</v>
      </c>
      <c r="U60" s="27"/>
      <c r="V60" s="27">
        <v>0.29599999999999999</v>
      </c>
      <c r="W60" s="27"/>
      <c r="X60" s="27"/>
      <c r="Y60" s="27"/>
      <c r="Z60" s="27"/>
      <c r="AA60" s="27">
        <v>86</v>
      </c>
      <c r="AB60" s="27">
        <v>68.543999999999997</v>
      </c>
      <c r="AC60" s="27"/>
      <c r="AD60" s="16"/>
      <c r="AE60" s="27"/>
      <c r="AF60" s="27"/>
      <c r="AG60" s="27">
        <v>8.2899999999999991</v>
      </c>
      <c r="AH60" s="28">
        <v>8.14</v>
      </c>
      <c r="AI60" s="18">
        <f t="shared" si="0"/>
        <v>0</v>
      </c>
      <c r="AJ60" s="18">
        <f t="shared" si="1"/>
        <v>164.3</v>
      </c>
      <c r="AK60" s="19" t="e">
        <f t="shared" si="2"/>
        <v>#DIV/0!</v>
      </c>
      <c r="AL60" s="19">
        <f t="shared" si="3"/>
        <v>0.7970232558139535</v>
      </c>
      <c r="AM60" s="20" t="e">
        <f t="shared" si="13"/>
        <v>#DIV/0!</v>
      </c>
      <c r="AN60" s="20">
        <f t="shared" si="13"/>
        <v>0.42507906976744175</v>
      </c>
      <c r="AO60" s="19">
        <f t="shared" si="14"/>
        <v>0</v>
      </c>
      <c r="AP60" s="19">
        <f t="shared" si="14"/>
        <v>0.53333333333333321</v>
      </c>
      <c r="AR60" s="22">
        <v>2.5</v>
      </c>
      <c r="AS60" s="23">
        <f t="shared" si="6"/>
        <v>1.0455390334572492</v>
      </c>
      <c r="AT60" s="23">
        <f t="shared" si="7"/>
        <v>4.5045045045045038</v>
      </c>
      <c r="AU60" s="23">
        <f t="shared" si="8"/>
        <v>1.8838541143373855</v>
      </c>
      <c r="AV60" s="22">
        <v>1076</v>
      </c>
      <c r="AW60" s="22">
        <v>450</v>
      </c>
      <c r="AX60" s="23">
        <f t="shared" si="9"/>
        <v>0.41821561338289964</v>
      </c>
    </row>
    <row r="61" spans="1:50" ht="38.1" customHeight="1" x14ac:dyDescent="0.25">
      <c r="A61" s="11">
        <v>11</v>
      </c>
      <c r="B61" s="11">
        <v>39</v>
      </c>
      <c r="C61" s="11" t="s">
        <v>54</v>
      </c>
      <c r="D61" s="11">
        <v>4</v>
      </c>
      <c r="E61" s="11">
        <v>7</v>
      </c>
      <c r="F61" s="11">
        <v>18</v>
      </c>
      <c r="G61" s="11" t="s">
        <v>55</v>
      </c>
      <c r="H61" s="12">
        <v>60</v>
      </c>
      <c r="J61" s="26"/>
      <c r="K61" s="15">
        <v>45081</v>
      </c>
      <c r="L61" s="15">
        <v>45093</v>
      </c>
      <c r="M61" s="27">
        <v>8</v>
      </c>
      <c r="N61" s="16">
        <v>5</v>
      </c>
      <c r="O61" s="16">
        <f t="shared" si="10"/>
        <v>40</v>
      </c>
      <c r="P61" s="16">
        <f t="shared" si="10"/>
        <v>25</v>
      </c>
      <c r="Q61" s="16">
        <v>80</v>
      </c>
      <c r="R61" s="16">
        <v>45</v>
      </c>
      <c r="S61" s="17"/>
      <c r="T61" s="27">
        <v>1.369</v>
      </c>
      <c r="U61" s="27">
        <v>0.36199999999999999</v>
      </c>
      <c r="V61" s="27">
        <v>0.64200000000000002</v>
      </c>
      <c r="W61" s="27">
        <v>114</v>
      </c>
      <c r="X61" s="27">
        <v>84.17</v>
      </c>
      <c r="Y61" s="27">
        <v>79</v>
      </c>
      <c r="Z61" s="27">
        <v>67.760000000000005</v>
      </c>
      <c r="AA61" s="27">
        <v>90</v>
      </c>
      <c r="AB61" s="27">
        <v>71.858000000000004</v>
      </c>
      <c r="AC61" s="27">
        <v>98</v>
      </c>
      <c r="AD61" s="16">
        <f>0.4095*AC61-1.3432</f>
        <v>38.787799999999997</v>
      </c>
      <c r="AE61" s="27">
        <v>2.08</v>
      </c>
      <c r="AF61" s="27">
        <v>2.19</v>
      </c>
      <c r="AG61" s="27">
        <v>7.31</v>
      </c>
      <c r="AH61" s="28">
        <v>7.21</v>
      </c>
      <c r="AI61" s="18">
        <f t="shared" si="0"/>
        <v>42.699999999999996</v>
      </c>
      <c r="AJ61" s="18">
        <f t="shared" si="1"/>
        <v>145.19999999999999</v>
      </c>
      <c r="AK61" s="19">
        <f t="shared" si="2"/>
        <v>0.85772151898734184</v>
      </c>
      <c r="AL61" s="19">
        <f t="shared" si="3"/>
        <v>0.79842222222222226</v>
      </c>
      <c r="AM61" s="20">
        <f t="shared" si="13"/>
        <v>0.55945079256471653</v>
      </c>
      <c r="AN61" s="20">
        <f t="shared" si="13"/>
        <v>0.92358030030030014</v>
      </c>
      <c r="AO61" s="19">
        <f t="shared" si="14"/>
        <v>0.65225225225225214</v>
      </c>
      <c r="AP61" s="19">
        <f t="shared" si="14"/>
        <v>1.1567567567567565</v>
      </c>
      <c r="AR61" s="22">
        <v>2.85</v>
      </c>
      <c r="AS61" s="23">
        <f t="shared" si="6"/>
        <v>1.3883798882681564</v>
      </c>
      <c r="AT61" s="23">
        <f t="shared" si="7"/>
        <v>5.1351351351351351</v>
      </c>
      <c r="AU61" s="23">
        <f t="shared" si="8"/>
        <v>2.5015853842669484</v>
      </c>
      <c r="AV61" s="22">
        <v>895</v>
      </c>
      <c r="AW61" s="22">
        <v>436</v>
      </c>
      <c r="AX61" s="23">
        <f t="shared" si="9"/>
        <v>0.4871508379888268</v>
      </c>
    </row>
    <row r="62" spans="1:50" ht="38.1" customHeight="1" x14ac:dyDescent="0.25">
      <c r="A62" s="11">
        <v>8</v>
      </c>
      <c r="B62" s="11">
        <v>37</v>
      </c>
      <c r="C62" s="11" t="s">
        <v>74</v>
      </c>
      <c r="D62" s="11">
        <v>4</v>
      </c>
      <c r="E62" s="11">
        <v>7</v>
      </c>
      <c r="F62" s="11">
        <v>21</v>
      </c>
      <c r="G62" s="11" t="s">
        <v>75</v>
      </c>
      <c r="H62" s="12">
        <v>61</v>
      </c>
      <c r="J62" s="26"/>
      <c r="K62" s="15">
        <v>45085</v>
      </c>
      <c r="L62" s="15">
        <v>45097</v>
      </c>
      <c r="M62" s="27">
        <v>12</v>
      </c>
      <c r="N62" s="16" t="s">
        <v>53</v>
      </c>
      <c r="O62" s="16">
        <f t="shared" si="10"/>
        <v>60</v>
      </c>
      <c r="P62" s="16" t="e">
        <f t="shared" si="10"/>
        <v>#VALUE!</v>
      </c>
      <c r="Q62" s="16" t="s">
        <v>53</v>
      </c>
      <c r="R62" s="16">
        <v>40</v>
      </c>
      <c r="S62" s="17"/>
      <c r="T62" s="27">
        <v>0.79700000000000004</v>
      </c>
      <c r="U62" s="27"/>
      <c r="V62" s="27">
        <v>0.59899999999999998</v>
      </c>
      <c r="W62" s="27"/>
      <c r="X62" s="27"/>
      <c r="Y62" s="27"/>
      <c r="Z62" s="27"/>
      <c r="AA62" s="27">
        <v>74</v>
      </c>
      <c r="AB62" s="27">
        <v>62.293000000000006</v>
      </c>
      <c r="AC62" s="27"/>
      <c r="AD62" s="16"/>
      <c r="AE62" s="27"/>
      <c r="AF62" s="27"/>
      <c r="AG62" s="27">
        <v>7.63</v>
      </c>
      <c r="AH62" s="28">
        <v>7.88</v>
      </c>
      <c r="AI62" s="18">
        <f t="shared" si="0"/>
        <v>0</v>
      </c>
      <c r="AJ62" s="18">
        <f t="shared" si="1"/>
        <v>155.1</v>
      </c>
      <c r="AK62" s="19" t="e">
        <f t="shared" si="2"/>
        <v>#DIV/0!</v>
      </c>
      <c r="AL62" s="19">
        <f t="shared" si="3"/>
        <v>0.84179729729729735</v>
      </c>
      <c r="AM62" s="20" t="e">
        <f t="shared" si="13"/>
        <v>#DIV/0!</v>
      </c>
      <c r="AN62" s="20">
        <f t="shared" si="13"/>
        <v>0.90853438032627221</v>
      </c>
      <c r="AO62" s="19">
        <f t="shared" si="14"/>
        <v>0</v>
      </c>
      <c r="AP62" s="19">
        <f t="shared" si="14"/>
        <v>1.0792792792792791</v>
      </c>
      <c r="AR62" s="22">
        <v>2.5</v>
      </c>
      <c r="AS62" s="23">
        <f t="shared" si="6"/>
        <v>0.85101253616200578</v>
      </c>
      <c r="AT62" s="23">
        <f t="shared" si="7"/>
        <v>4.5045045045045038</v>
      </c>
      <c r="AU62" s="23">
        <f t="shared" si="8"/>
        <v>1.5333559210126229</v>
      </c>
      <c r="AV62" s="22">
        <v>1037</v>
      </c>
      <c r="AW62" s="22">
        <v>353</v>
      </c>
      <c r="AX62" s="23">
        <f t="shared" si="9"/>
        <v>0.34040501446480231</v>
      </c>
    </row>
    <row r="63" spans="1:50" ht="38.1" customHeight="1" x14ac:dyDescent="0.25">
      <c r="A63" s="11">
        <v>7</v>
      </c>
      <c r="B63" s="11">
        <v>21</v>
      </c>
      <c r="C63" s="25" t="s">
        <v>56</v>
      </c>
      <c r="D63" s="11">
        <v>4</v>
      </c>
      <c r="E63" s="11">
        <v>7</v>
      </c>
      <c r="F63" s="11">
        <v>24</v>
      </c>
      <c r="G63" s="11" t="s">
        <v>57</v>
      </c>
      <c r="H63" s="12">
        <v>62</v>
      </c>
      <c r="J63" s="26"/>
      <c r="K63" s="15">
        <v>45079</v>
      </c>
      <c r="L63" s="15">
        <v>45093</v>
      </c>
      <c r="M63" s="27">
        <v>13</v>
      </c>
      <c r="N63" s="16" t="s">
        <v>53</v>
      </c>
      <c r="O63" s="16">
        <f t="shared" si="10"/>
        <v>65</v>
      </c>
      <c r="P63" s="16" t="e">
        <f t="shared" si="10"/>
        <v>#VALUE!</v>
      </c>
      <c r="Q63" s="16" t="s">
        <v>53</v>
      </c>
      <c r="R63" s="16">
        <v>50</v>
      </c>
      <c r="S63" s="17"/>
      <c r="T63" s="27">
        <v>1.22</v>
      </c>
      <c r="U63" s="27"/>
      <c r="V63" s="27">
        <v>0.995</v>
      </c>
      <c r="W63" s="27"/>
      <c r="X63" s="27"/>
      <c r="Y63" s="27"/>
      <c r="Z63" s="27"/>
      <c r="AA63" s="27">
        <v>75</v>
      </c>
      <c r="AB63" s="27">
        <v>62.475999999999999</v>
      </c>
      <c r="AC63" s="27"/>
      <c r="AD63" s="16"/>
      <c r="AE63" s="27"/>
      <c r="AF63" s="27"/>
      <c r="AG63" s="27">
        <v>8.25</v>
      </c>
      <c r="AH63" s="28">
        <v>8.2100000000000009</v>
      </c>
      <c r="AI63" s="18">
        <f t="shared" si="0"/>
        <v>0</v>
      </c>
      <c r="AJ63" s="18">
        <f t="shared" si="1"/>
        <v>164.60000000000002</v>
      </c>
      <c r="AK63" s="19" t="e">
        <f t="shared" si="2"/>
        <v>#DIV/0!</v>
      </c>
      <c r="AL63" s="19">
        <f t="shared" si="3"/>
        <v>0.83301333333333327</v>
      </c>
      <c r="AM63" s="20" t="e">
        <f t="shared" si="13"/>
        <v>#DIV/0!</v>
      </c>
      <c r="AN63" s="20">
        <f t="shared" si="13"/>
        <v>1.4934203003002999</v>
      </c>
      <c r="AO63" s="19">
        <f t="shared" si="14"/>
        <v>0</v>
      </c>
      <c r="AP63" s="19">
        <f t="shared" si="14"/>
        <v>1.7927927927927925</v>
      </c>
      <c r="AR63" s="22">
        <v>1.6</v>
      </c>
      <c r="AS63" s="23">
        <f t="shared" si="6"/>
        <v>0.76402569593147751</v>
      </c>
      <c r="AT63" s="23">
        <f t="shared" si="7"/>
        <v>2.8828828828828827</v>
      </c>
      <c r="AU63" s="23">
        <f t="shared" si="8"/>
        <v>1.3766228755522116</v>
      </c>
      <c r="AV63" s="22">
        <v>934</v>
      </c>
      <c r="AW63" s="22">
        <v>446</v>
      </c>
      <c r="AX63" s="23">
        <f t="shared" si="9"/>
        <v>0.47751605995717344</v>
      </c>
    </row>
    <row r="64" spans="1:50" ht="38.1" customHeight="1" x14ac:dyDescent="0.25">
      <c r="A64" s="11">
        <v>3</v>
      </c>
      <c r="B64" s="11">
        <v>22</v>
      </c>
      <c r="C64" s="11" t="s">
        <v>82</v>
      </c>
      <c r="D64" s="11">
        <v>4</v>
      </c>
      <c r="E64" s="11">
        <v>7</v>
      </c>
      <c r="F64" s="11">
        <v>27</v>
      </c>
      <c r="G64" s="11" t="s">
        <v>83</v>
      </c>
      <c r="H64" s="12">
        <v>63</v>
      </c>
      <c r="J64" s="26"/>
      <c r="K64" s="15" t="s">
        <v>53</v>
      </c>
      <c r="L64" s="15"/>
      <c r="M64" s="27" t="s">
        <v>53</v>
      </c>
      <c r="N64" s="16">
        <v>34</v>
      </c>
      <c r="O64" s="16" t="e">
        <f t="shared" si="10"/>
        <v>#VALUE!</v>
      </c>
      <c r="P64" s="16">
        <f t="shared" si="10"/>
        <v>170</v>
      </c>
      <c r="Q64" s="16">
        <v>50</v>
      </c>
      <c r="R64" s="16" t="s">
        <v>53</v>
      </c>
      <c r="S64" s="17"/>
      <c r="T64" s="27">
        <v>1.6140000000000001</v>
      </c>
      <c r="U64" s="27">
        <v>1.073</v>
      </c>
      <c r="V64" s="27"/>
      <c r="W64" s="27"/>
      <c r="X64" s="27"/>
      <c r="Y64" s="27">
        <v>72</v>
      </c>
      <c r="Z64" s="27">
        <v>63.183999999999997</v>
      </c>
      <c r="AA64" s="27"/>
      <c r="AB64" s="27"/>
      <c r="AC64" s="27">
        <v>102</v>
      </c>
      <c r="AD64" s="16">
        <f t="shared" ref="AD64:AD73" si="16">0.4095*AC64-1.3432</f>
        <v>40.425799999999995</v>
      </c>
      <c r="AE64" s="27">
        <v>1.69</v>
      </c>
      <c r="AF64" s="27">
        <v>1.63</v>
      </c>
      <c r="AG64" s="27"/>
      <c r="AH64" s="28"/>
      <c r="AI64" s="18">
        <f t="shared" si="0"/>
        <v>33.199999999999996</v>
      </c>
      <c r="AJ64" s="18">
        <f t="shared" si="1"/>
        <v>0</v>
      </c>
      <c r="AK64" s="19">
        <f t="shared" si="2"/>
        <v>0.87755555555555553</v>
      </c>
      <c r="AL64" s="19" t="e">
        <f t="shared" si="3"/>
        <v>#DIV/0!</v>
      </c>
      <c r="AM64" s="20">
        <f t="shared" si="13"/>
        <v>1.6966074074074071</v>
      </c>
      <c r="AN64" s="20" t="e">
        <f t="shared" si="13"/>
        <v>#DIV/0!</v>
      </c>
      <c r="AO64" s="19">
        <f t="shared" si="14"/>
        <v>1.9333333333333331</v>
      </c>
      <c r="AP64" s="19">
        <f t="shared" si="14"/>
        <v>0</v>
      </c>
      <c r="AR64" s="22">
        <v>1.35</v>
      </c>
      <c r="AS64" s="23">
        <f t="shared" si="6"/>
        <v>0.98265306122448992</v>
      </c>
      <c r="AT64" s="23">
        <f t="shared" si="7"/>
        <v>2.4324324324324325</v>
      </c>
      <c r="AU64" s="23">
        <f t="shared" si="8"/>
        <v>1.7705460562603421</v>
      </c>
      <c r="AV64" s="22">
        <v>588</v>
      </c>
      <c r="AW64" s="22">
        <v>428</v>
      </c>
      <c r="AX64" s="23">
        <f t="shared" si="9"/>
        <v>0.72789115646258506</v>
      </c>
    </row>
    <row r="65" spans="1:51" ht="38.1" customHeight="1" x14ac:dyDescent="0.25">
      <c r="A65" s="11">
        <v>14</v>
      </c>
      <c r="B65" s="11">
        <v>41</v>
      </c>
      <c r="C65" s="11" t="s">
        <v>58</v>
      </c>
      <c r="D65" s="11">
        <v>4</v>
      </c>
      <c r="E65" s="11">
        <v>8</v>
      </c>
      <c r="F65" s="11">
        <v>27</v>
      </c>
      <c r="G65" s="11" t="s">
        <v>59</v>
      </c>
      <c r="H65" s="12">
        <v>64</v>
      </c>
      <c r="K65" s="15">
        <v>45085</v>
      </c>
      <c r="L65" s="15">
        <v>45097</v>
      </c>
      <c r="M65" s="32">
        <v>9</v>
      </c>
      <c r="N65" s="16">
        <v>27</v>
      </c>
      <c r="O65" s="16">
        <f t="shared" si="10"/>
        <v>45</v>
      </c>
      <c r="P65" s="16">
        <f t="shared" si="10"/>
        <v>135</v>
      </c>
      <c r="Q65" s="16">
        <v>75</v>
      </c>
      <c r="R65" s="16">
        <v>40</v>
      </c>
      <c r="S65" s="17"/>
      <c r="T65" s="32">
        <v>0.96699999999999997</v>
      </c>
      <c r="U65" s="32">
        <v>0.38300000000000001</v>
      </c>
      <c r="V65" s="32">
        <v>0.28499999999999998</v>
      </c>
      <c r="W65" s="32">
        <v>108</v>
      </c>
      <c r="X65" s="32">
        <v>85.171999999999997</v>
      </c>
      <c r="Y65" s="32">
        <v>83</v>
      </c>
      <c r="Z65" s="32">
        <v>69.284000000000006</v>
      </c>
      <c r="AA65" s="32">
        <v>79</v>
      </c>
      <c r="AB65" s="32">
        <v>64.62</v>
      </c>
      <c r="AC65" s="32">
        <v>107</v>
      </c>
      <c r="AD65" s="16">
        <f t="shared" si="16"/>
        <v>42.473299999999995</v>
      </c>
      <c r="AE65" s="32">
        <v>1.66</v>
      </c>
      <c r="AF65" s="32">
        <v>1.81</v>
      </c>
      <c r="AG65" s="32">
        <v>6.75</v>
      </c>
      <c r="AH65" s="33">
        <v>6.69</v>
      </c>
      <c r="AI65" s="18">
        <f t="shared" si="0"/>
        <v>34.699999999999996</v>
      </c>
      <c r="AJ65" s="18">
        <f t="shared" si="1"/>
        <v>134.4</v>
      </c>
      <c r="AK65" s="19">
        <f t="shared" si="2"/>
        <v>0.83474698795180735</v>
      </c>
      <c r="AL65" s="19">
        <f t="shared" si="3"/>
        <v>0.8179746835443038</v>
      </c>
      <c r="AM65" s="20">
        <f t="shared" si="13"/>
        <v>0.57605062411809393</v>
      </c>
      <c r="AN65" s="20">
        <f t="shared" si="13"/>
        <v>0.42004105371193967</v>
      </c>
      <c r="AO65" s="19">
        <f t="shared" si="14"/>
        <v>0.69009009009008992</v>
      </c>
      <c r="AP65" s="19">
        <f t="shared" si="14"/>
        <v>0.51351351351351338</v>
      </c>
      <c r="AR65" s="22">
        <v>1.95</v>
      </c>
      <c r="AS65" s="23">
        <f t="shared" si="6"/>
        <v>0.82385008517887559</v>
      </c>
      <c r="AT65" s="23">
        <f t="shared" si="7"/>
        <v>3.5135135135135132</v>
      </c>
      <c r="AU65" s="23">
        <f t="shared" si="8"/>
        <v>1.4844145678898659</v>
      </c>
      <c r="AV65" s="22">
        <v>1174</v>
      </c>
      <c r="AW65" s="22">
        <v>496</v>
      </c>
      <c r="AX65" s="23">
        <f t="shared" si="9"/>
        <v>0.42248722316865417</v>
      </c>
    </row>
    <row r="66" spans="1:51" s="30" customFormat="1" ht="38.1" customHeight="1" x14ac:dyDescent="0.25">
      <c r="A66" s="11">
        <v>10</v>
      </c>
      <c r="B66" s="11">
        <v>36</v>
      </c>
      <c r="C66" s="11" t="s">
        <v>76</v>
      </c>
      <c r="D66" s="11">
        <v>4</v>
      </c>
      <c r="E66" s="11">
        <v>8</v>
      </c>
      <c r="F66" s="11">
        <v>24</v>
      </c>
      <c r="G66" s="11" t="s">
        <v>77</v>
      </c>
      <c r="H66" s="12">
        <v>65</v>
      </c>
      <c r="I66" s="29"/>
      <c r="J66" s="31"/>
      <c r="K66" s="15">
        <v>45079</v>
      </c>
      <c r="L66" s="15">
        <v>45093</v>
      </c>
      <c r="M66" s="32">
        <v>9</v>
      </c>
      <c r="N66" s="16">
        <v>5</v>
      </c>
      <c r="O66" s="16">
        <f t="shared" si="10"/>
        <v>45</v>
      </c>
      <c r="P66" s="16">
        <f t="shared" si="10"/>
        <v>25</v>
      </c>
      <c r="Q66" s="16">
        <v>80</v>
      </c>
      <c r="R66" s="16">
        <v>45</v>
      </c>
      <c r="S66" s="17"/>
      <c r="T66" s="32">
        <v>1.179</v>
      </c>
      <c r="U66" s="32">
        <v>0.38800000000000001</v>
      </c>
      <c r="V66" s="32">
        <v>0.53</v>
      </c>
      <c r="W66" s="32">
        <v>123</v>
      </c>
      <c r="X66" s="32">
        <v>97.573999999999998</v>
      </c>
      <c r="Y66" s="32">
        <v>80</v>
      </c>
      <c r="Z66" s="32">
        <v>68.337999999999994</v>
      </c>
      <c r="AA66" s="32">
        <v>83</v>
      </c>
      <c r="AB66" s="32">
        <v>70.888000000000005</v>
      </c>
      <c r="AC66" s="32">
        <v>99</v>
      </c>
      <c r="AD66" s="16">
        <f t="shared" si="16"/>
        <v>39.197299999999991</v>
      </c>
      <c r="AE66" s="32">
        <v>1.62</v>
      </c>
      <c r="AF66" s="32">
        <v>2.2799999999999998</v>
      </c>
      <c r="AG66" s="32">
        <v>7.98</v>
      </c>
      <c r="AH66" s="33">
        <v>7.65</v>
      </c>
      <c r="AI66" s="18">
        <f t="shared" ref="AI66:AI73" si="17">((AE66+AF66)/2)*20</f>
        <v>39</v>
      </c>
      <c r="AJ66" s="18">
        <f t="shared" ref="AJ66:AJ73" si="18">((AG66+AH66)/2)*20</f>
        <v>156.30000000000001</v>
      </c>
      <c r="AK66" s="19">
        <f t="shared" ref="AK66:AK73" si="19">Z66/Y66</f>
        <v>0.8542249999999999</v>
      </c>
      <c r="AL66" s="19">
        <f t="shared" ref="AL66:AL73" si="20">AB66/AA66</f>
        <v>0.85407228915662659</v>
      </c>
      <c r="AM66" s="20">
        <f t="shared" ref="AM66:AN73" si="21">AO66*AK66</f>
        <v>0.59718792792792785</v>
      </c>
      <c r="AN66" s="20">
        <f t="shared" si="21"/>
        <v>0.81560056441984163</v>
      </c>
      <c r="AO66" s="19">
        <f t="shared" ref="AO66:AP73" si="22">U66/(1.5*3.7)*10</f>
        <v>0.69909909909909906</v>
      </c>
      <c r="AP66" s="19">
        <f t="shared" si="22"/>
        <v>0.95495495495495497</v>
      </c>
      <c r="AQ66" s="34"/>
      <c r="AR66" s="30">
        <v>1.85</v>
      </c>
      <c r="AS66" s="23">
        <f t="shared" ref="AS66:AS73" si="23">AR66*AX66</f>
        <v>1.1240506329113924</v>
      </c>
      <c r="AT66" s="23">
        <f t="shared" ref="AT66:AT73" si="24">AR66/(1.5*3.7)*10</f>
        <v>3.333333333333333</v>
      </c>
      <c r="AU66" s="23">
        <f t="shared" ref="AU66:AU73" si="25">AT66*AX66</f>
        <v>2.0253164556962022</v>
      </c>
      <c r="AV66" s="22">
        <v>790</v>
      </c>
      <c r="AW66" s="30">
        <v>480</v>
      </c>
      <c r="AX66" s="23">
        <f t="shared" ref="AX66:AX73" si="26">AW66/AV66</f>
        <v>0.60759493670886078</v>
      </c>
      <c r="AY66" s="22"/>
    </row>
    <row r="67" spans="1:51" s="30" customFormat="1" ht="38.1" customHeight="1" x14ac:dyDescent="0.25">
      <c r="A67" s="11">
        <v>2</v>
      </c>
      <c r="B67" s="11">
        <v>23</v>
      </c>
      <c r="C67" s="25" t="s">
        <v>51</v>
      </c>
      <c r="D67" s="11">
        <v>4</v>
      </c>
      <c r="E67" s="11">
        <v>8</v>
      </c>
      <c r="F67" s="11">
        <v>21</v>
      </c>
      <c r="G67" s="11" t="s">
        <v>52</v>
      </c>
      <c r="H67" s="12">
        <v>66</v>
      </c>
      <c r="I67" s="29"/>
      <c r="J67" s="31"/>
      <c r="K67" s="15" t="s">
        <v>53</v>
      </c>
      <c r="L67" s="15"/>
      <c r="M67" s="32" t="s">
        <v>53</v>
      </c>
      <c r="N67" s="16">
        <v>42</v>
      </c>
      <c r="O67" s="16" t="e">
        <f t="shared" ref="O67:P73" si="27">M67*1/0.2</f>
        <v>#VALUE!</v>
      </c>
      <c r="P67" s="16">
        <f t="shared" si="27"/>
        <v>210</v>
      </c>
      <c r="Q67" s="16">
        <v>70</v>
      </c>
      <c r="R67" s="16" t="s">
        <v>53</v>
      </c>
      <c r="S67" s="17"/>
      <c r="T67" s="32">
        <v>1.7250000000000001</v>
      </c>
      <c r="U67" s="32">
        <v>1.284</v>
      </c>
      <c r="V67" s="32"/>
      <c r="W67" s="32"/>
      <c r="X67" s="32"/>
      <c r="Y67" s="32">
        <v>80</v>
      </c>
      <c r="Z67" s="32">
        <v>70.052000000000007</v>
      </c>
      <c r="AA67" s="32"/>
      <c r="AB67" s="32"/>
      <c r="AC67" s="32">
        <v>116</v>
      </c>
      <c r="AD67" s="16">
        <f t="shared" si="16"/>
        <v>46.158799999999992</v>
      </c>
      <c r="AE67" s="32">
        <v>1.79</v>
      </c>
      <c r="AF67" s="32">
        <v>1.71</v>
      </c>
      <c r="AG67" s="32"/>
      <c r="AH67" s="33"/>
      <c r="AI67" s="18">
        <f t="shared" si="17"/>
        <v>35</v>
      </c>
      <c r="AJ67" s="18">
        <f t="shared" si="18"/>
        <v>0</v>
      </c>
      <c r="AK67" s="19">
        <f t="shared" si="19"/>
        <v>0.87565000000000004</v>
      </c>
      <c r="AL67" s="19" t="e">
        <f t="shared" si="20"/>
        <v>#DIV/0!</v>
      </c>
      <c r="AM67" s="20">
        <f t="shared" si="21"/>
        <v>2.0258281081081075</v>
      </c>
      <c r="AN67" s="20" t="e">
        <f t="shared" si="21"/>
        <v>#DIV/0!</v>
      </c>
      <c r="AO67" s="19">
        <f t="shared" si="22"/>
        <v>2.313513513513513</v>
      </c>
      <c r="AP67" s="19">
        <f t="shared" si="22"/>
        <v>0</v>
      </c>
      <c r="AQ67" s="34"/>
      <c r="AR67" s="30">
        <v>2.25</v>
      </c>
      <c r="AS67" s="23">
        <f t="shared" si="23"/>
        <v>1.4253731343283582</v>
      </c>
      <c r="AT67" s="23">
        <f t="shared" si="24"/>
        <v>4.0540540540540535</v>
      </c>
      <c r="AU67" s="23">
        <f t="shared" si="25"/>
        <v>2.5682398816727172</v>
      </c>
      <c r="AV67" s="22">
        <v>603</v>
      </c>
      <c r="AW67" s="30">
        <v>382</v>
      </c>
      <c r="AX67" s="23">
        <f t="shared" si="26"/>
        <v>0.63349917081260365</v>
      </c>
      <c r="AY67" s="22"/>
    </row>
    <row r="68" spans="1:51" s="30" customFormat="1" ht="38.1" customHeight="1" x14ac:dyDescent="0.25">
      <c r="A68" s="11">
        <v>18</v>
      </c>
      <c r="B68" s="11">
        <v>44</v>
      </c>
      <c r="C68" s="11" t="s">
        <v>80</v>
      </c>
      <c r="D68" s="11">
        <v>4</v>
      </c>
      <c r="E68" s="11">
        <v>8</v>
      </c>
      <c r="F68" s="11">
        <v>18</v>
      </c>
      <c r="G68" s="11" t="s">
        <v>81</v>
      </c>
      <c r="H68" s="12">
        <v>67</v>
      </c>
      <c r="I68" s="29"/>
      <c r="J68" s="31"/>
      <c r="K68" s="15">
        <v>45081</v>
      </c>
      <c r="L68" s="15">
        <v>45095</v>
      </c>
      <c r="M68" s="32">
        <v>14</v>
      </c>
      <c r="N68" s="16">
        <v>4</v>
      </c>
      <c r="O68" s="16">
        <f t="shared" si="27"/>
        <v>70</v>
      </c>
      <c r="P68" s="16">
        <f t="shared" si="27"/>
        <v>20</v>
      </c>
      <c r="Q68" s="16">
        <v>60</v>
      </c>
      <c r="R68" s="16">
        <v>50</v>
      </c>
      <c r="S68" s="17"/>
      <c r="T68" s="32">
        <v>0.84299999999999997</v>
      </c>
      <c r="U68" s="32">
        <v>0.38500000000000001</v>
      </c>
      <c r="V68" s="32">
        <v>0.14399999999999999</v>
      </c>
      <c r="W68" s="32">
        <v>120</v>
      </c>
      <c r="X68" s="32">
        <v>91.162000000000006</v>
      </c>
      <c r="Y68" s="32">
        <v>83</v>
      </c>
      <c r="Z68" s="32">
        <v>69.391000000000005</v>
      </c>
      <c r="AA68" s="32">
        <v>54</v>
      </c>
      <c r="AB68" s="32">
        <v>45.911999999999999</v>
      </c>
      <c r="AC68" s="32">
        <v>96</v>
      </c>
      <c r="AD68" s="16">
        <f t="shared" si="16"/>
        <v>37.968799999999995</v>
      </c>
      <c r="AE68" s="32">
        <v>1.92</v>
      </c>
      <c r="AF68" s="32">
        <v>1.66</v>
      </c>
      <c r="AG68" s="32">
        <v>8.34</v>
      </c>
      <c r="AH68" s="33">
        <v>7.96</v>
      </c>
      <c r="AI68" s="18">
        <f t="shared" si="17"/>
        <v>35.799999999999997</v>
      </c>
      <c r="AJ68" s="18">
        <f t="shared" si="18"/>
        <v>163</v>
      </c>
      <c r="AK68" s="19">
        <f t="shared" si="19"/>
        <v>0.83603614457831332</v>
      </c>
      <c r="AL68" s="19">
        <f t="shared" si="20"/>
        <v>0.85022222222222221</v>
      </c>
      <c r="AM68" s="20">
        <f t="shared" si="21"/>
        <v>0.57995300119396509</v>
      </c>
      <c r="AN68" s="20">
        <f t="shared" si="21"/>
        <v>0.22059819819819815</v>
      </c>
      <c r="AO68" s="19">
        <f t="shared" si="22"/>
        <v>0.69369369369369371</v>
      </c>
      <c r="AP68" s="19">
        <f t="shared" si="22"/>
        <v>0.25945945945945942</v>
      </c>
      <c r="AQ68" s="34"/>
      <c r="AR68" s="30">
        <v>2.4500000000000002</v>
      </c>
      <c r="AS68" s="23">
        <f t="shared" si="23"/>
        <v>1.2678637200736649</v>
      </c>
      <c r="AT68" s="23">
        <f t="shared" si="24"/>
        <v>4.4144144144144146</v>
      </c>
      <c r="AU68" s="23">
        <f t="shared" si="25"/>
        <v>2.2844391352678648</v>
      </c>
      <c r="AV68" s="22">
        <v>1086</v>
      </c>
      <c r="AW68" s="30">
        <v>562</v>
      </c>
      <c r="AX68" s="23">
        <f t="shared" si="26"/>
        <v>0.51749539594843463</v>
      </c>
    </row>
    <row r="69" spans="1:51" s="30" customFormat="1" ht="38.1" customHeight="1" x14ac:dyDescent="0.25">
      <c r="A69" s="11">
        <v>15</v>
      </c>
      <c r="B69" s="11">
        <v>42</v>
      </c>
      <c r="C69" s="11" t="s">
        <v>64</v>
      </c>
      <c r="D69" s="11">
        <v>4</v>
      </c>
      <c r="E69" s="11">
        <v>8</v>
      </c>
      <c r="F69" s="11">
        <v>15</v>
      </c>
      <c r="G69" s="11" t="s">
        <v>65</v>
      </c>
      <c r="H69" s="12">
        <v>68</v>
      </c>
      <c r="I69" s="29"/>
      <c r="J69" s="31"/>
      <c r="K69" s="15">
        <v>45081</v>
      </c>
      <c r="L69" s="15">
        <v>45096</v>
      </c>
      <c r="M69" s="32">
        <v>7</v>
      </c>
      <c r="N69" s="16">
        <v>14</v>
      </c>
      <c r="O69" s="16">
        <f t="shared" si="27"/>
        <v>35</v>
      </c>
      <c r="P69" s="16">
        <f t="shared" si="27"/>
        <v>70</v>
      </c>
      <c r="Q69" s="16">
        <v>65</v>
      </c>
      <c r="R69" s="16">
        <v>40</v>
      </c>
      <c r="S69" s="17"/>
      <c r="T69" s="32">
        <v>0.80600000000000005</v>
      </c>
      <c r="U69" s="32">
        <v>0.33500000000000002</v>
      </c>
      <c r="V69" s="32">
        <v>0.14899999999999999</v>
      </c>
      <c r="W69" s="32">
        <v>103</v>
      </c>
      <c r="X69" s="32">
        <v>79.176000000000002</v>
      </c>
      <c r="Y69" s="32">
        <v>84</v>
      </c>
      <c r="Z69" s="32">
        <v>70.656000000000006</v>
      </c>
      <c r="AA69" s="32">
        <v>69</v>
      </c>
      <c r="AB69" s="32">
        <v>58.715000000000003</v>
      </c>
      <c r="AC69" s="32">
        <v>110</v>
      </c>
      <c r="AD69" s="16">
        <f t="shared" si="16"/>
        <v>43.701799999999992</v>
      </c>
      <c r="AE69" s="32">
        <v>2.06</v>
      </c>
      <c r="AF69" s="32">
        <v>2.06</v>
      </c>
      <c r="AG69" s="32">
        <v>7.23</v>
      </c>
      <c r="AH69" s="33">
        <v>7.56</v>
      </c>
      <c r="AI69" s="18">
        <f t="shared" si="17"/>
        <v>41.2</v>
      </c>
      <c r="AJ69" s="18">
        <f t="shared" si="18"/>
        <v>147.89999999999998</v>
      </c>
      <c r="AK69" s="19">
        <f t="shared" si="19"/>
        <v>0.84114285714285719</v>
      </c>
      <c r="AL69" s="19">
        <f t="shared" si="20"/>
        <v>0.8509420289855073</v>
      </c>
      <c r="AM69" s="20">
        <f t="shared" si="21"/>
        <v>0.50771685971685965</v>
      </c>
      <c r="AN69" s="20">
        <f t="shared" si="21"/>
        <v>0.22845110327719023</v>
      </c>
      <c r="AO69" s="19">
        <f t="shared" si="22"/>
        <v>0.60360360360360354</v>
      </c>
      <c r="AP69" s="19">
        <f t="shared" si="22"/>
        <v>0.26846846846846845</v>
      </c>
      <c r="AQ69" s="34"/>
      <c r="AR69" s="30">
        <v>2.5499999999999998</v>
      </c>
      <c r="AS69" s="23">
        <f t="shared" si="23"/>
        <v>1.3378260869565217</v>
      </c>
      <c r="AT69" s="23">
        <f t="shared" si="24"/>
        <v>4.5945945945945939</v>
      </c>
      <c r="AU69" s="23">
        <f t="shared" si="25"/>
        <v>2.4104974539757147</v>
      </c>
      <c r="AV69" s="22">
        <v>1035</v>
      </c>
      <c r="AW69" s="30">
        <v>543</v>
      </c>
      <c r="AX69" s="23">
        <f t="shared" si="26"/>
        <v>0.52463768115942033</v>
      </c>
      <c r="AY69" s="22"/>
    </row>
    <row r="70" spans="1:51" s="30" customFormat="1" ht="38.1" customHeight="1" x14ac:dyDescent="0.25">
      <c r="A70" s="11">
        <v>4</v>
      </c>
      <c r="B70" s="11">
        <v>27</v>
      </c>
      <c r="C70" s="11" t="s">
        <v>84</v>
      </c>
      <c r="D70" s="11">
        <v>4</v>
      </c>
      <c r="E70" s="11">
        <v>8</v>
      </c>
      <c r="F70" s="11">
        <v>12</v>
      </c>
      <c r="G70" s="11" t="s">
        <v>85</v>
      </c>
      <c r="H70" s="12">
        <v>69</v>
      </c>
      <c r="I70" s="29"/>
      <c r="J70" s="31"/>
      <c r="K70" s="15" t="s">
        <v>53</v>
      </c>
      <c r="L70" s="15"/>
      <c r="M70" s="32" t="s">
        <v>53</v>
      </c>
      <c r="N70" s="16">
        <v>44</v>
      </c>
      <c r="O70" s="16" t="e">
        <f t="shared" si="27"/>
        <v>#VALUE!</v>
      </c>
      <c r="P70" s="16">
        <f t="shared" si="27"/>
        <v>220</v>
      </c>
      <c r="Q70" s="16">
        <v>70</v>
      </c>
      <c r="R70" s="16" t="s">
        <v>53</v>
      </c>
      <c r="S70" s="17"/>
      <c r="T70" s="32">
        <v>1.444</v>
      </c>
      <c r="U70" s="32">
        <v>1.0009999999999999</v>
      </c>
      <c r="V70" s="32"/>
      <c r="W70" s="32"/>
      <c r="X70" s="32"/>
      <c r="Y70" s="32">
        <v>75</v>
      </c>
      <c r="Z70" s="32">
        <v>65.17</v>
      </c>
      <c r="AA70" s="32"/>
      <c r="AB70" s="32"/>
      <c r="AC70" s="32">
        <v>97</v>
      </c>
      <c r="AD70" s="16">
        <f t="shared" si="16"/>
        <v>38.378299999999996</v>
      </c>
      <c r="AE70" s="32">
        <v>2.02</v>
      </c>
      <c r="AF70" s="32">
        <v>2.15</v>
      </c>
      <c r="AG70" s="32"/>
      <c r="AH70" s="33"/>
      <c r="AI70" s="18">
        <f t="shared" si="17"/>
        <v>41.7</v>
      </c>
      <c r="AJ70" s="18">
        <f t="shared" si="18"/>
        <v>0</v>
      </c>
      <c r="AK70" s="19">
        <f t="shared" si="19"/>
        <v>0.86893333333333334</v>
      </c>
      <c r="AL70" s="19" t="e">
        <f t="shared" si="20"/>
        <v>#DIV/0!</v>
      </c>
      <c r="AM70" s="20">
        <f t="shared" si="21"/>
        <v>1.567211291291291</v>
      </c>
      <c r="AN70" s="20" t="e">
        <f t="shared" si="21"/>
        <v>#DIV/0!</v>
      </c>
      <c r="AO70" s="19">
        <f t="shared" si="22"/>
        <v>1.8036036036036032</v>
      </c>
      <c r="AP70" s="19">
        <f t="shared" si="22"/>
        <v>0</v>
      </c>
      <c r="AQ70" s="34"/>
      <c r="AR70" s="30">
        <v>2.65</v>
      </c>
      <c r="AS70" s="23">
        <f t="shared" si="23"/>
        <v>1.6954976303317533</v>
      </c>
      <c r="AT70" s="23">
        <f t="shared" si="24"/>
        <v>4.774774774774774</v>
      </c>
      <c r="AU70" s="23">
        <f t="shared" si="25"/>
        <v>3.0549506852824382</v>
      </c>
      <c r="AV70" s="22">
        <v>844</v>
      </c>
      <c r="AW70" s="30">
        <v>540</v>
      </c>
      <c r="AX70" s="23">
        <f t="shared" si="26"/>
        <v>0.6398104265402843</v>
      </c>
      <c r="AY70" s="22"/>
    </row>
    <row r="71" spans="1:51" s="30" customFormat="1" ht="38.1" customHeight="1" x14ac:dyDescent="0.25">
      <c r="A71" s="11">
        <v>17</v>
      </c>
      <c r="B71" s="11">
        <v>43</v>
      </c>
      <c r="C71" s="11" t="s">
        <v>60</v>
      </c>
      <c r="D71" s="11">
        <v>4</v>
      </c>
      <c r="E71" s="11">
        <v>8</v>
      </c>
      <c r="F71" s="11">
        <v>9</v>
      </c>
      <c r="G71" s="11" t="s">
        <v>61</v>
      </c>
      <c r="H71" s="12">
        <v>70</v>
      </c>
      <c r="I71" s="29"/>
      <c r="J71" s="31"/>
      <c r="K71" s="15">
        <v>45083</v>
      </c>
      <c r="L71" s="15">
        <v>45095</v>
      </c>
      <c r="M71" s="32">
        <v>8</v>
      </c>
      <c r="N71" s="16">
        <v>9</v>
      </c>
      <c r="O71" s="16">
        <f t="shared" si="27"/>
        <v>40</v>
      </c>
      <c r="P71" s="16">
        <f t="shared" si="27"/>
        <v>45</v>
      </c>
      <c r="Q71" s="16">
        <v>50</v>
      </c>
      <c r="R71" s="16">
        <v>40</v>
      </c>
      <c r="S71" s="17"/>
      <c r="T71" s="32">
        <v>0.83299999999999996</v>
      </c>
      <c r="U71" s="32">
        <v>0.35599999999999998</v>
      </c>
      <c r="V71" s="32">
        <v>0.17</v>
      </c>
      <c r="W71" s="32">
        <v>127</v>
      </c>
      <c r="X71" s="32">
        <v>101.598</v>
      </c>
      <c r="Y71" s="32">
        <v>69</v>
      </c>
      <c r="Z71" s="32">
        <v>58.225000000000001</v>
      </c>
      <c r="AA71" s="32">
        <v>57</v>
      </c>
      <c r="AB71" s="32">
        <v>47.639000000000003</v>
      </c>
      <c r="AC71" s="32">
        <v>93</v>
      </c>
      <c r="AD71" s="16">
        <f t="shared" si="16"/>
        <v>36.740299999999998</v>
      </c>
      <c r="AE71" s="32">
        <v>1.76</v>
      </c>
      <c r="AF71" s="32">
        <v>1.75</v>
      </c>
      <c r="AG71" s="32">
        <v>5.59</v>
      </c>
      <c r="AH71" s="33">
        <v>5.32</v>
      </c>
      <c r="AI71" s="18">
        <f t="shared" si="17"/>
        <v>35.099999999999994</v>
      </c>
      <c r="AJ71" s="18">
        <f t="shared" si="18"/>
        <v>109.1</v>
      </c>
      <c r="AK71" s="19">
        <f t="shared" si="19"/>
        <v>0.84384057971014492</v>
      </c>
      <c r="AL71" s="19">
        <f t="shared" si="20"/>
        <v>0.8357719298245615</v>
      </c>
      <c r="AM71" s="20">
        <f t="shared" si="21"/>
        <v>0.54127431779605684</v>
      </c>
      <c r="AN71" s="20">
        <f t="shared" si="21"/>
        <v>0.25600221273905488</v>
      </c>
      <c r="AO71" s="19">
        <f t="shared" si="22"/>
        <v>0.64144144144144133</v>
      </c>
      <c r="AP71" s="19">
        <f t="shared" si="22"/>
        <v>0.30630630630630629</v>
      </c>
      <c r="AQ71" s="34"/>
      <c r="AR71" s="30">
        <v>1.5</v>
      </c>
      <c r="AS71" s="23">
        <f t="shared" si="23"/>
        <v>1.0248027057497182</v>
      </c>
      <c r="AT71" s="23">
        <f t="shared" si="24"/>
        <v>2.7027027027027022</v>
      </c>
      <c r="AU71" s="23">
        <f t="shared" si="25"/>
        <v>1.8464913617112035</v>
      </c>
      <c r="AV71" s="22">
        <v>887</v>
      </c>
      <c r="AW71" s="30">
        <v>606</v>
      </c>
      <c r="AX71" s="23">
        <f t="shared" si="26"/>
        <v>0.68320180383314544</v>
      </c>
    </row>
    <row r="72" spans="1:51" s="30" customFormat="1" ht="38.1" customHeight="1" x14ac:dyDescent="0.25">
      <c r="A72" s="11">
        <v>13</v>
      </c>
      <c r="B72" s="11">
        <v>33</v>
      </c>
      <c r="C72" s="25" t="s">
        <v>78</v>
      </c>
      <c r="D72" s="11">
        <v>4</v>
      </c>
      <c r="E72" s="11">
        <v>8</v>
      </c>
      <c r="F72" s="11">
        <v>6</v>
      </c>
      <c r="G72" s="11" t="s">
        <v>79</v>
      </c>
      <c r="H72" s="12">
        <v>71</v>
      </c>
      <c r="I72" s="29"/>
      <c r="J72" s="31"/>
      <c r="K72" s="15">
        <v>45079</v>
      </c>
      <c r="L72" s="15">
        <v>45093</v>
      </c>
      <c r="M72" s="32">
        <v>10</v>
      </c>
      <c r="N72" s="16">
        <v>7</v>
      </c>
      <c r="O72" s="16">
        <f t="shared" si="27"/>
        <v>50</v>
      </c>
      <c r="P72" s="16">
        <f t="shared" si="27"/>
        <v>35</v>
      </c>
      <c r="Q72" s="16">
        <v>70</v>
      </c>
      <c r="R72" s="16">
        <v>50</v>
      </c>
      <c r="S72" s="17"/>
      <c r="T72" s="32">
        <v>0.88500000000000001</v>
      </c>
      <c r="U72" s="32">
        <v>0.36399999999999999</v>
      </c>
      <c r="V72" s="32">
        <v>0.27800000000000002</v>
      </c>
      <c r="W72" s="32">
        <v>111</v>
      </c>
      <c r="X72" s="32">
        <v>87.98</v>
      </c>
      <c r="Y72" s="32">
        <v>84</v>
      </c>
      <c r="Z72" s="32">
        <v>69.957999999999998</v>
      </c>
      <c r="AA72" s="32">
        <v>78</v>
      </c>
      <c r="AB72" s="32">
        <v>63.349000000000004</v>
      </c>
      <c r="AC72" s="32">
        <v>108</v>
      </c>
      <c r="AD72" s="16">
        <f t="shared" si="16"/>
        <v>42.882799999999996</v>
      </c>
      <c r="AE72" s="32">
        <v>1.8</v>
      </c>
      <c r="AF72" s="32">
        <v>1.88</v>
      </c>
      <c r="AG72" s="32">
        <v>6.93</v>
      </c>
      <c r="AH72" s="33">
        <v>6.71</v>
      </c>
      <c r="AI72" s="18">
        <f t="shared" si="17"/>
        <v>36.799999999999997</v>
      </c>
      <c r="AJ72" s="18">
        <f t="shared" si="18"/>
        <v>136.4</v>
      </c>
      <c r="AK72" s="19">
        <f t="shared" si="19"/>
        <v>0.83283333333333331</v>
      </c>
      <c r="AL72" s="19">
        <f t="shared" si="20"/>
        <v>0.8121666666666667</v>
      </c>
      <c r="AM72" s="20">
        <f t="shared" si="21"/>
        <v>0.54621861861861853</v>
      </c>
      <c r="AN72" s="20">
        <f t="shared" si="21"/>
        <v>0.40681501501501505</v>
      </c>
      <c r="AO72" s="19">
        <f t="shared" si="22"/>
        <v>0.65585585585585582</v>
      </c>
      <c r="AP72" s="19">
        <f t="shared" si="22"/>
        <v>0.50090090090090089</v>
      </c>
      <c r="AQ72" s="34"/>
      <c r="AR72" s="30">
        <v>2.2000000000000002</v>
      </c>
      <c r="AS72" s="23">
        <f t="shared" si="23"/>
        <v>1.0508087535680304</v>
      </c>
      <c r="AT72" s="23">
        <f t="shared" si="24"/>
        <v>3.9639639639639639</v>
      </c>
      <c r="AU72" s="23">
        <f t="shared" si="25"/>
        <v>1.8933491055279827</v>
      </c>
      <c r="AV72" s="22">
        <v>1051</v>
      </c>
      <c r="AW72" s="30">
        <v>502</v>
      </c>
      <c r="AX72" s="23">
        <f t="shared" si="26"/>
        <v>0.47764034253092291</v>
      </c>
      <c r="AY72" s="22"/>
    </row>
    <row r="73" spans="1:51" s="30" customFormat="1" ht="38.1" customHeight="1" x14ac:dyDescent="0.25">
      <c r="A73" s="11">
        <v>5</v>
      </c>
      <c r="B73" s="11">
        <v>26</v>
      </c>
      <c r="C73" s="25" t="s">
        <v>62</v>
      </c>
      <c r="D73" s="11">
        <v>4</v>
      </c>
      <c r="E73" s="11">
        <v>8</v>
      </c>
      <c r="F73" s="11">
        <v>3</v>
      </c>
      <c r="G73" s="11" t="s">
        <v>85</v>
      </c>
      <c r="H73" s="12">
        <v>72</v>
      </c>
      <c r="I73" s="29"/>
      <c r="J73" s="31"/>
      <c r="K73" s="15" t="s">
        <v>53</v>
      </c>
      <c r="L73" s="15"/>
      <c r="M73" s="32" t="s">
        <v>53</v>
      </c>
      <c r="N73" s="16">
        <v>38</v>
      </c>
      <c r="O73" s="16" t="e">
        <f t="shared" si="27"/>
        <v>#VALUE!</v>
      </c>
      <c r="P73" s="16">
        <f t="shared" si="27"/>
        <v>190</v>
      </c>
      <c r="Q73" s="16">
        <v>70</v>
      </c>
      <c r="R73" s="16" t="s">
        <v>53</v>
      </c>
      <c r="S73" s="17"/>
      <c r="T73" s="32">
        <v>1.4510000000000001</v>
      </c>
      <c r="U73" s="32">
        <v>1.167</v>
      </c>
      <c r="V73" s="32"/>
      <c r="W73" s="32"/>
      <c r="X73" s="32"/>
      <c r="Y73" s="32">
        <v>84</v>
      </c>
      <c r="Z73" s="32">
        <v>72.887</v>
      </c>
      <c r="AA73" s="32"/>
      <c r="AB73" s="32"/>
      <c r="AC73" s="32">
        <v>119</v>
      </c>
      <c r="AD73" s="16">
        <f t="shared" si="16"/>
        <v>47.387299999999996</v>
      </c>
      <c r="AE73" s="32">
        <v>1.75</v>
      </c>
      <c r="AF73" s="32">
        <v>1.59</v>
      </c>
      <c r="AG73" s="32"/>
      <c r="AH73" s="33"/>
      <c r="AI73" s="18">
        <f t="shared" si="17"/>
        <v>33.4</v>
      </c>
      <c r="AJ73" s="18">
        <f t="shared" si="18"/>
        <v>0</v>
      </c>
      <c r="AK73" s="19">
        <f t="shared" si="19"/>
        <v>0.86770238095238095</v>
      </c>
      <c r="AL73" s="19" t="e">
        <f t="shared" si="20"/>
        <v>#DIV/0!</v>
      </c>
      <c r="AM73" s="20">
        <f t="shared" si="21"/>
        <v>1.8245201415701415</v>
      </c>
      <c r="AN73" s="20" t="e">
        <f t="shared" si="21"/>
        <v>#DIV/0!</v>
      </c>
      <c r="AO73" s="19">
        <f t="shared" si="22"/>
        <v>2.1027027027027025</v>
      </c>
      <c r="AP73" s="19">
        <f t="shared" si="22"/>
        <v>0</v>
      </c>
      <c r="AQ73" s="34"/>
      <c r="AS73" s="23" t="e">
        <f t="shared" si="23"/>
        <v>#DIV/0!</v>
      </c>
      <c r="AT73" s="23">
        <f t="shared" si="24"/>
        <v>0</v>
      </c>
      <c r="AU73" s="23" t="e">
        <f t="shared" si="25"/>
        <v>#DIV/0!</v>
      </c>
      <c r="AV73" s="22"/>
      <c r="AX73" s="23" t="e">
        <f t="shared" si="26"/>
        <v>#DIV/0!</v>
      </c>
      <c r="AY73" s="22"/>
    </row>
    <row r="74" spans="1:51" x14ac:dyDescent="0.25">
      <c r="A74" s="11"/>
      <c r="B74" s="11"/>
      <c r="C74" s="11"/>
      <c r="D74" s="11"/>
      <c r="E74" s="11"/>
      <c r="F74" s="11"/>
      <c r="G74" s="11"/>
      <c r="H74" s="12"/>
    </row>
    <row r="75" spans="1:51" x14ac:dyDescent="0.25">
      <c r="A75" s="11"/>
      <c r="B75" s="11"/>
      <c r="C75" s="11"/>
      <c r="D75" s="11"/>
      <c r="E75" s="11"/>
      <c r="F75" s="11"/>
      <c r="G75" s="11"/>
      <c r="H75" s="12"/>
    </row>
    <row r="76" spans="1:51" x14ac:dyDescent="0.25">
      <c r="A76" s="11"/>
      <c r="B76" s="11"/>
      <c r="C76" s="11"/>
      <c r="D76" s="11"/>
      <c r="E76" s="11"/>
      <c r="F76" s="11"/>
      <c r="G76" s="11"/>
      <c r="H76" s="12"/>
    </row>
    <row r="77" spans="1:51" x14ac:dyDescent="0.25">
      <c r="A77" s="11"/>
      <c r="B77" s="11"/>
      <c r="C77" s="11"/>
      <c r="D77" s="11"/>
      <c r="E77" s="11"/>
      <c r="F77" s="11"/>
      <c r="G77" s="11"/>
      <c r="H77" s="12"/>
    </row>
    <row r="78" spans="1:51" x14ac:dyDescent="0.25">
      <c r="A78" s="11"/>
      <c r="B78" s="11"/>
      <c r="C78" s="11"/>
      <c r="D78" s="11"/>
      <c r="E78" s="11"/>
      <c r="F78" s="11"/>
      <c r="G78" s="11"/>
      <c r="H78" s="12"/>
    </row>
    <row r="79" spans="1:51" x14ac:dyDescent="0.25">
      <c r="A79" s="11"/>
      <c r="B79" s="11"/>
      <c r="C79" s="11"/>
      <c r="D79" s="11"/>
      <c r="E79" s="11"/>
      <c r="F79" s="11"/>
      <c r="G79" s="11"/>
      <c r="H79" s="12"/>
    </row>
    <row r="80" spans="1:51" x14ac:dyDescent="0.25">
      <c r="A80" s="11"/>
      <c r="B80" s="11"/>
      <c r="C80" s="11"/>
      <c r="D80" s="11"/>
      <c r="E80" s="11"/>
      <c r="F80" s="11"/>
      <c r="G80" s="11"/>
      <c r="H80" s="12"/>
    </row>
    <row r="81" spans="1:8" x14ac:dyDescent="0.25">
      <c r="A81" s="11"/>
      <c r="B81" s="11"/>
      <c r="C81" s="11"/>
      <c r="D81" s="11"/>
      <c r="E81" s="11"/>
      <c r="F81" s="11"/>
      <c r="G81" s="11"/>
      <c r="H81" s="12"/>
    </row>
    <row r="82" spans="1:8" x14ac:dyDescent="0.25">
      <c r="A82" s="11"/>
      <c r="B82" s="11"/>
      <c r="C82" s="11"/>
      <c r="D82" s="11"/>
      <c r="E82" s="11"/>
      <c r="F82" s="11"/>
      <c r="G82" s="11"/>
      <c r="H82" s="12"/>
    </row>
    <row r="83" spans="1:8" x14ac:dyDescent="0.25">
      <c r="A83" s="11"/>
      <c r="B83" s="11"/>
      <c r="C83" s="11"/>
      <c r="D83" s="11"/>
      <c r="E83" s="11"/>
      <c r="F83" s="11"/>
      <c r="G83" s="11"/>
      <c r="H83" s="12"/>
    </row>
    <row r="84" spans="1:8" x14ac:dyDescent="0.25">
      <c r="A84" s="11"/>
      <c r="B84" s="11"/>
      <c r="C84" s="11"/>
      <c r="D84" s="11"/>
      <c r="E84" s="11"/>
      <c r="F84" s="11"/>
      <c r="G84" s="11"/>
      <c r="H84" s="12"/>
    </row>
    <row r="85" spans="1:8" x14ac:dyDescent="0.25">
      <c r="A85" s="11"/>
      <c r="B85" s="11"/>
      <c r="C85" s="11"/>
      <c r="D85" s="11"/>
      <c r="E85" s="11"/>
      <c r="F85" s="11"/>
      <c r="G85" s="11"/>
      <c r="H85" s="12"/>
    </row>
    <row r="86" spans="1:8" x14ac:dyDescent="0.25">
      <c r="A86" s="11"/>
      <c r="B86" s="11"/>
      <c r="C86" s="11"/>
      <c r="D86" s="11"/>
      <c r="E86" s="11"/>
      <c r="F86" s="11"/>
      <c r="G86" s="11"/>
      <c r="H86" s="12"/>
    </row>
    <row r="87" spans="1:8" x14ac:dyDescent="0.25">
      <c r="A87" s="11"/>
      <c r="B87" s="11"/>
      <c r="C87" s="11"/>
      <c r="D87" s="11"/>
      <c r="E87" s="11"/>
      <c r="F87" s="11"/>
      <c r="G87" s="11"/>
      <c r="H87" s="12"/>
    </row>
    <row r="88" spans="1:8" x14ac:dyDescent="0.25">
      <c r="A88" s="11"/>
      <c r="B88" s="11"/>
      <c r="C88" s="11"/>
      <c r="D88" s="11"/>
      <c r="E88" s="11"/>
      <c r="F88" s="11"/>
      <c r="G88" s="11"/>
      <c r="H88" s="12"/>
    </row>
    <row r="89" spans="1:8" x14ac:dyDescent="0.25">
      <c r="A89" s="11"/>
      <c r="B89" s="11"/>
      <c r="C89" s="11"/>
      <c r="D89" s="11"/>
      <c r="E89" s="11"/>
      <c r="F89" s="11"/>
      <c r="G89" s="11"/>
      <c r="H89" s="12"/>
    </row>
    <row r="90" spans="1:8" x14ac:dyDescent="0.25">
      <c r="A90" s="11"/>
      <c r="B90" s="11"/>
      <c r="C90" s="11"/>
      <c r="D90" s="11"/>
      <c r="E90" s="11"/>
      <c r="F90" s="11"/>
      <c r="G90" s="11"/>
      <c r="H90" s="12"/>
    </row>
    <row r="91" spans="1:8" x14ac:dyDescent="0.25">
      <c r="A91" s="11"/>
      <c r="B91" s="11"/>
      <c r="C91" s="11"/>
      <c r="D91" s="11"/>
      <c r="E91" s="11"/>
      <c r="F91" s="11"/>
      <c r="G91" s="11"/>
      <c r="H91" s="12"/>
    </row>
    <row r="92" spans="1:8" x14ac:dyDescent="0.25">
      <c r="A92" s="11"/>
      <c r="B92" s="11"/>
      <c r="C92" s="11"/>
      <c r="D92" s="11"/>
      <c r="E92" s="11"/>
      <c r="F92" s="11"/>
      <c r="G92" s="11"/>
      <c r="H92" s="12"/>
    </row>
    <row r="93" spans="1:8" x14ac:dyDescent="0.25">
      <c r="A93" s="11"/>
      <c r="B93" s="11"/>
      <c r="C93" s="11"/>
      <c r="D93" s="11"/>
      <c r="E93" s="11"/>
      <c r="F93" s="11"/>
      <c r="G93" s="11"/>
      <c r="H93" s="12"/>
    </row>
    <row r="94" spans="1:8" x14ac:dyDescent="0.25">
      <c r="A94" s="11"/>
      <c r="B94" s="11"/>
      <c r="C94" s="11"/>
      <c r="D94" s="11"/>
      <c r="E94" s="11"/>
      <c r="F94" s="11"/>
      <c r="G94" s="11"/>
      <c r="H94" s="12"/>
    </row>
    <row r="95" spans="1:8" x14ac:dyDescent="0.25">
      <c r="A95" s="11"/>
      <c r="B95" s="11"/>
      <c r="C95" s="11"/>
      <c r="D95" s="11"/>
      <c r="E95" s="11"/>
      <c r="F95" s="11"/>
      <c r="G95" s="11"/>
      <c r="H95" s="12"/>
    </row>
    <row r="96" spans="1:8" x14ac:dyDescent="0.25">
      <c r="A96" s="11"/>
      <c r="B96" s="11"/>
      <c r="C96" s="11"/>
      <c r="D96" s="11"/>
      <c r="E96" s="11"/>
      <c r="F96" s="11"/>
      <c r="G96" s="11"/>
      <c r="H96" s="12"/>
    </row>
    <row r="97" spans="1:8" x14ac:dyDescent="0.25">
      <c r="A97" s="11"/>
      <c r="B97" s="11"/>
      <c r="C97" s="11"/>
      <c r="D97" s="11"/>
      <c r="E97" s="11"/>
      <c r="F97" s="11"/>
      <c r="G97" s="11"/>
      <c r="H97" s="12"/>
    </row>
    <row r="98" spans="1:8" x14ac:dyDescent="0.25">
      <c r="A98" s="11"/>
      <c r="B98" s="11"/>
      <c r="C98" s="11"/>
      <c r="D98" s="11"/>
      <c r="E98" s="11"/>
      <c r="F98" s="11"/>
      <c r="G98" s="11"/>
      <c r="H98" s="12"/>
    </row>
    <row r="99" spans="1:8" x14ac:dyDescent="0.25">
      <c r="A99" s="11"/>
      <c r="B99" s="11"/>
      <c r="C99" s="11"/>
      <c r="D99" s="11"/>
      <c r="E99" s="11"/>
      <c r="F99" s="11"/>
      <c r="G99" s="11"/>
      <c r="H99" s="12"/>
    </row>
    <row r="100" spans="1:8" x14ac:dyDescent="0.25">
      <c r="A100" s="11"/>
      <c r="B100" s="11"/>
      <c r="C100" s="11"/>
      <c r="D100" s="11"/>
      <c r="E100" s="11"/>
      <c r="F100" s="11"/>
      <c r="G100" s="11"/>
      <c r="H100" s="12"/>
    </row>
    <row r="101" spans="1:8" x14ac:dyDescent="0.25">
      <c r="A101" s="11"/>
      <c r="B101" s="11"/>
      <c r="C101" s="11"/>
      <c r="D101" s="11"/>
      <c r="E101" s="11"/>
      <c r="F101" s="11"/>
      <c r="G101" s="11"/>
      <c r="H101" s="12"/>
    </row>
    <row r="102" spans="1:8" x14ac:dyDescent="0.25">
      <c r="A102" s="11"/>
      <c r="B102" s="11"/>
      <c r="C102" s="11"/>
      <c r="D102" s="11"/>
      <c r="E102" s="11"/>
      <c r="F102" s="11"/>
      <c r="G102" s="11"/>
      <c r="H102" s="12"/>
    </row>
    <row r="103" spans="1:8" x14ac:dyDescent="0.25">
      <c r="A103" s="11"/>
      <c r="B103" s="11"/>
      <c r="C103" s="11"/>
      <c r="D103" s="11"/>
      <c r="E103" s="11"/>
      <c r="F103" s="11"/>
      <c r="G103" s="11"/>
      <c r="H103" s="12"/>
    </row>
    <row r="104" spans="1:8" x14ac:dyDescent="0.25">
      <c r="A104" s="11"/>
      <c r="B104" s="11"/>
      <c r="C104" s="11"/>
      <c r="D104" s="11"/>
      <c r="E104" s="11"/>
      <c r="F104" s="11"/>
      <c r="G104" s="11"/>
      <c r="H104" s="12"/>
    </row>
    <row r="105" spans="1:8" x14ac:dyDescent="0.25">
      <c r="A105" s="11"/>
      <c r="B105" s="11"/>
      <c r="C105" s="11"/>
      <c r="D105" s="11"/>
      <c r="E105" s="11"/>
      <c r="F105" s="11"/>
      <c r="G105" s="11"/>
      <c r="H105" s="12"/>
    </row>
    <row r="106" spans="1:8" x14ac:dyDescent="0.25">
      <c r="A106" s="11"/>
      <c r="B106" s="11"/>
      <c r="C106" s="11"/>
      <c r="D106" s="11"/>
      <c r="E106" s="11"/>
      <c r="F106" s="11"/>
      <c r="G106" s="11"/>
      <c r="H106" s="12"/>
    </row>
    <row r="107" spans="1:8" x14ac:dyDescent="0.25">
      <c r="A107" s="11"/>
      <c r="B107" s="11"/>
      <c r="C107" s="11"/>
      <c r="D107" s="11"/>
      <c r="E107" s="11"/>
      <c r="F107" s="11"/>
      <c r="G107" s="11"/>
      <c r="H107" s="12"/>
    </row>
    <row r="108" spans="1:8" x14ac:dyDescent="0.25">
      <c r="A108" s="11"/>
      <c r="B108" s="11"/>
      <c r="C108" s="11"/>
      <c r="D108" s="11"/>
      <c r="E108" s="11"/>
      <c r="F108" s="11"/>
      <c r="G108" s="11"/>
      <c r="H108" s="12"/>
    </row>
    <row r="109" spans="1:8" x14ac:dyDescent="0.25">
      <c r="A109" s="11"/>
      <c r="B109" s="11"/>
      <c r="C109" s="11"/>
      <c r="D109" s="11"/>
      <c r="E109" s="11"/>
      <c r="F109" s="11"/>
      <c r="G109" s="11"/>
      <c r="H109" s="12"/>
    </row>
    <row r="110" spans="1:8" x14ac:dyDescent="0.25">
      <c r="A110" s="11"/>
      <c r="B110" s="11"/>
      <c r="C110" s="11"/>
      <c r="D110" s="11"/>
      <c r="E110" s="11"/>
      <c r="F110" s="11"/>
      <c r="G110" s="11"/>
      <c r="H110" s="12"/>
    </row>
    <row r="111" spans="1:8" x14ac:dyDescent="0.25">
      <c r="A111" s="11"/>
      <c r="B111" s="11"/>
      <c r="C111" s="11"/>
      <c r="D111" s="11"/>
      <c r="E111" s="11"/>
      <c r="F111" s="11"/>
      <c r="G111" s="11"/>
      <c r="H111" s="12"/>
    </row>
    <row r="112" spans="1:8" x14ac:dyDescent="0.25">
      <c r="A112" s="11"/>
      <c r="B112" s="11"/>
      <c r="C112" s="11"/>
      <c r="D112" s="11"/>
      <c r="E112" s="11"/>
      <c r="F112" s="11"/>
      <c r="G112" s="11"/>
      <c r="H112" s="12"/>
    </row>
    <row r="113" spans="1:8" x14ac:dyDescent="0.25">
      <c r="A113" s="11"/>
      <c r="B113" s="11"/>
      <c r="C113" s="11"/>
      <c r="D113" s="11"/>
      <c r="E113" s="11"/>
      <c r="F113" s="11"/>
      <c r="G113" s="11"/>
      <c r="H113" s="12"/>
    </row>
    <row r="114" spans="1:8" x14ac:dyDescent="0.25">
      <c r="A114" s="11"/>
      <c r="B114" s="11"/>
      <c r="C114" s="11"/>
      <c r="D114" s="11"/>
      <c r="E114" s="11"/>
      <c r="F114" s="11"/>
      <c r="G114" s="11"/>
      <c r="H114" s="12"/>
    </row>
    <row r="115" spans="1:8" x14ac:dyDescent="0.25">
      <c r="A115" s="11"/>
      <c r="B115" s="11"/>
      <c r="C115" s="11"/>
      <c r="D115" s="11"/>
      <c r="E115" s="11"/>
      <c r="F115" s="11"/>
      <c r="G115" s="11"/>
      <c r="H115" s="12"/>
    </row>
    <row r="116" spans="1:8" x14ac:dyDescent="0.25">
      <c r="A116" s="11"/>
      <c r="B116" s="11"/>
      <c r="C116" s="11"/>
      <c r="D116" s="11"/>
      <c r="E116" s="11"/>
      <c r="F116" s="11"/>
      <c r="G116" s="11"/>
      <c r="H116" s="12"/>
    </row>
    <row r="117" spans="1:8" x14ac:dyDescent="0.25">
      <c r="A117" s="11"/>
      <c r="B117" s="11"/>
      <c r="C117" s="11"/>
      <c r="D117" s="11"/>
      <c r="E117" s="11"/>
      <c r="F117" s="11"/>
      <c r="G117" s="11"/>
      <c r="H117" s="12"/>
    </row>
    <row r="118" spans="1:8" x14ac:dyDescent="0.25">
      <c r="A118" s="11"/>
      <c r="B118" s="11"/>
      <c r="C118" s="11"/>
      <c r="D118" s="11"/>
      <c r="E118" s="11"/>
      <c r="F118" s="11"/>
      <c r="G118" s="11"/>
      <c r="H118" s="12"/>
    </row>
    <row r="119" spans="1:8" x14ac:dyDescent="0.25">
      <c r="A119" s="11"/>
      <c r="B119" s="11"/>
      <c r="C119" s="11"/>
      <c r="D119" s="11"/>
      <c r="E119" s="11"/>
      <c r="F119" s="11"/>
      <c r="G119" s="11"/>
      <c r="H119" s="12"/>
    </row>
    <row r="120" spans="1:8" x14ac:dyDescent="0.25">
      <c r="A120" s="11"/>
      <c r="B120" s="11"/>
      <c r="C120" s="11"/>
      <c r="D120" s="11"/>
      <c r="E120" s="11"/>
      <c r="F120" s="11"/>
      <c r="G120" s="11"/>
      <c r="H120" s="12"/>
    </row>
    <row r="121" spans="1:8" x14ac:dyDescent="0.25">
      <c r="A121" s="11"/>
      <c r="B121" s="11"/>
      <c r="C121" s="11"/>
      <c r="D121" s="11"/>
      <c r="E121" s="11"/>
      <c r="F121" s="11"/>
      <c r="G121" s="11"/>
      <c r="H121" s="12"/>
    </row>
    <row r="122" spans="1:8" x14ac:dyDescent="0.25">
      <c r="A122" s="11"/>
      <c r="B122" s="11"/>
      <c r="C122" s="11"/>
      <c r="D122" s="11"/>
      <c r="E122" s="11"/>
      <c r="F122" s="11"/>
      <c r="G122" s="11"/>
      <c r="H122" s="12"/>
    </row>
    <row r="123" spans="1:8" x14ac:dyDescent="0.25">
      <c r="A123" s="11"/>
      <c r="B123" s="11"/>
      <c r="C123" s="11"/>
      <c r="D123" s="11"/>
      <c r="E123" s="11"/>
      <c r="F123" s="11"/>
      <c r="G123" s="11"/>
      <c r="H123" s="12"/>
    </row>
    <row r="124" spans="1:8" x14ac:dyDescent="0.25">
      <c r="A124" s="11"/>
      <c r="B124" s="11"/>
      <c r="C124" s="11"/>
      <c r="D124" s="11"/>
      <c r="E124" s="11"/>
      <c r="F124" s="11"/>
      <c r="G124" s="11"/>
      <c r="H124" s="12"/>
    </row>
    <row r="125" spans="1:8" x14ac:dyDescent="0.25">
      <c r="A125" s="11"/>
      <c r="B125" s="11"/>
      <c r="C125" s="11"/>
      <c r="D125" s="11"/>
      <c r="E125" s="11"/>
      <c r="F125" s="11"/>
      <c r="G125" s="11"/>
      <c r="H125" s="12"/>
    </row>
    <row r="126" spans="1:8" x14ac:dyDescent="0.25">
      <c r="A126" s="11"/>
      <c r="B126" s="11"/>
      <c r="C126" s="11"/>
      <c r="D126" s="11"/>
      <c r="E126" s="11"/>
      <c r="F126" s="11"/>
      <c r="G126" s="11"/>
      <c r="H126" s="12"/>
    </row>
    <row r="127" spans="1:8" x14ac:dyDescent="0.25">
      <c r="A127" s="11"/>
      <c r="B127" s="11"/>
      <c r="C127" s="11"/>
      <c r="D127" s="11"/>
      <c r="E127" s="11"/>
      <c r="F127" s="11"/>
      <c r="G127" s="11"/>
      <c r="H127" s="12"/>
    </row>
    <row r="128" spans="1:8" x14ac:dyDescent="0.25">
      <c r="A128" s="11"/>
      <c r="B128" s="11"/>
      <c r="C128" s="11"/>
      <c r="D128" s="11"/>
      <c r="E128" s="11"/>
      <c r="F128" s="11"/>
      <c r="G128" s="11"/>
      <c r="H128" s="12"/>
    </row>
    <row r="129" spans="1:8" x14ac:dyDescent="0.25">
      <c r="A129" s="11"/>
      <c r="B129" s="11"/>
      <c r="C129" s="11"/>
      <c r="D129" s="11"/>
      <c r="E129" s="11"/>
      <c r="F129" s="11"/>
      <c r="G129" s="11"/>
      <c r="H129" s="12"/>
    </row>
    <row r="130" spans="1:8" x14ac:dyDescent="0.25">
      <c r="A130" s="11"/>
      <c r="B130" s="11"/>
      <c r="C130" s="11"/>
      <c r="D130" s="11"/>
      <c r="E130" s="11"/>
      <c r="F130" s="11"/>
      <c r="G130" s="11"/>
      <c r="H130" s="12"/>
    </row>
    <row r="131" spans="1:8" x14ac:dyDescent="0.25">
      <c r="A131" s="11"/>
      <c r="B131" s="11"/>
      <c r="C131" s="11"/>
      <c r="D131" s="11"/>
      <c r="E131" s="11"/>
      <c r="F131" s="11"/>
      <c r="G131" s="11"/>
      <c r="H131" s="12"/>
    </row>
    <row r="132" spans="1:8" x14ac:dyDescent="0.25">
      <c r="A132" s="11"/>
      <c r="B132" s="11"/>
      <c r="C132" s="11"/>
      <c r="D132" s="11"/>
      <c r="E132" s="11"/>
      <c r="F132" s="11"/>
      <c r="G132" s="11"/>
      <c r="H132" s="12"/>
    </row>
    <row r="133" spans="1:8" x14ac:dyDescent="0.25">
      <c r="A133" s="11"/>
      <c r="B133" s="11"/>
      <c r="C133" s="11"/>
      <c r="D133" s="11"/>
      <c r="E133" s="11"/>
      <c r="F133" s="11"/>
      <c r="G133" s="11"/>
      <c r="H133" s="12"/>
    </row>
    <row r="134" spans="1:8" x14ac:dyDescent="0.25">
      <c r="A134" s="11"/>
      <c r="B134" s="11"/>
      <c r="C134" s="11"/>
      <c r="D134" s="11"/>
      <c r="E134" s="11"/>
      <c r="F134" s="11"/>
      <c r="G134" s="11"/>
      <c r="H134" s="12"/>
    </row>
    <row r="135" spans="1:8" x14ac:dyDescent="0.25">
      <c r="A135" s="11"/>
      <c r="B135" s="11"/>
      <c r="C135" s="11"/>
      <c r="D135" s="11"/>
      <c r="E135" s="11"/>
      <c r="F135" s="11"/>
      <c r="G135" s="11"/>
      <c r="H135" s="12"/>
    </row>
    <row r="136" spans="1:8" x14ac:dyDescent="0.25">
      <c r="A136" s="11"/>
      <c r="B136" s="11"/>
      <c r="C136" s="11"/>
      <c r="D136" s="11"/>
      <c r="E136" s="11"/>
      <c r="F136" s="11"/>
      <c r="G136" s="11"/>
      <c r="H136" s="12"/>
    </row>
    <row r="137" spans="1:8" x14ac:dyDescent="0.25">
      <c r="A137" s="11"/>
      <c r="B137" s="11"/>
      <c r="C137" s="11"/>
      <c r="D137" s="11"/>
      <c r="E137" s="11"/>
      <c r="F137" s="11"/>
      <c r="G137" s="11"/>
      <c r="H137" s="12"/>
    </row>
    <row r="138" spans="1:8" x14ac:dyDescent="0.25">
      <c r="A138" s="11"/>
      <c r="B138" s="11"/>
      <c r="C138" s="11"/>
      <c r="D138" s="11"/>
      <c r="E138" s="11"/>
      <c r="F138" s="11"/>
      <c r="G138" s="11"/>
      <c r="H138" s="12"/>
    </row>
    <row r="139" spans="1:8" x14ac:dyDescent="0.25">
      <c r="A139" s="11"/>
      <c r="B139" s="11"/>
      <c r="C139" s="11"/>
      <c r="D139" s="11"/>
      <c r="E139" s="11"/>
      <c r="F139" s="11"/>
      <c r="G139" s="11"/>
      <c r="H139" s="12"/>
    </row>
    <row r="140" spans="1:8" x14ac:dyDescent="0.25">
      <c r="A140" s="11"/>
      <c r="B140" s="11"/>
      <c r="C140" s="11"/>
      <c r="D140" s="11"/>
      <c r="E140" s="11"/>
      <c r="F140" s="11"/>
      <c r="G140" s="11"/>
      <c r="H140" s="12"/>
    </row>
    <row r="141" spans="1:8" x14ac:dyDescent="0.25">
      <c r="A141" s="11"/>
      <c r="B141" s="11"/>
      <c r="C141" s="11"/>
      <c r="D141" s="11"/>
      <c r="E141" s="11"/>
      <c r="F141" s="11"/>
      <c r="G141" s="11"/>
      <c r="H141" s="12"/>
    </row>
    <row r="142" spans="1:8" x14ac:dyDescent="0.25">
      <c r="A142" s="11"/>
      <c r="B142" s="11"/>
      <c r="C142" s="11"/>
      <c r="D142" s="11"/>
      <c r="E142" s="11"/>
      <c r="F142" s="11"/>
      <c r="G142" s="11"/>
      <c r="H142" s="12"/>
    </row>
    <row r="143" spans="1:8" x14ac:dyDescent="0.25">
      <c r="A143" s="11"/>
      <c r="B143" s="11"/>
      <c r="C143" s="11"/>
      <c r="D143" s="11"/>
      <c r="E143" s="11"/>
      <c r="F143" s="11"/>
      <c r="G143" s="11"/>
      <c r="H143" s="12"/>
    </row>
    <row r="144" spans="1:8" x14ac:dyDescent="0.25">
      <c r="A144" s="11"/>
      <c r="B144" s="11"/>
      <c r="C144" s="11"/>
      <c r="D144" s="11"/>
      <c r="E144" s="11"/>
      <c r="F144" s="11"/>
      <c r="G144" s="11"/>
      <c r="H144" s="12"/>
    </row>
    <row r="145" spans="1:8" x14ac:dyDescent="0.25">
      <c r="A145" s="11"/>
      <c r="B145" s="11"/>
      <c r="C145" s="11"/>
      <c r="D145" s="11"/>
      <c r="E145" s="11"/>
      <c r="F145" s="11"/>
      <c r="G145" s="11"/>
      <c r="H145" s="12"/>
    </row>
    <row r="146" spans="1:8" x14ac:dyDescent="0.25">
      <c r="A146" s="11"/>
      <c r="B146" s="11"/>
      <c r="C146" s="11"/>
      <c r="D146" s="11"/>
      <c r="E146" s="11"/>
      <c r="F146" s="11"/>
      <c r="G146" s="11"/>
      <c r="H146" s="12"/>
    </row>
    <row r="147" spans="1:8" x14ac:dyDescent="0.25">
      <c r="A147" s="11"/>
      <c r="B147" s="11"/>
      <c r="C147" s="11"/>
      <c r="D147" s="11"/>
      <c r="E147" s="11"/>
      <c r="F147" s="11"/>
      <c r="G147" s="11"/>
      <c r="H147" s="12"/>
    </row>
    <row r="148" spans="1:8" x14ac:dyDescent="0.25">
      <c r="A148" s="11"/>
      <c r="B148" s="11"/>
      <c r="C148" s="11"/>
      <c r="D148" s="11"/>
      <c r="E148" s="11"/>
      <c r="F148" s="11"/>
      <c r="G148" s="11"/>
      <c r="H148" s="12"/>
    </row>
    <row r="149" spans="1:8" x14ac:dyDescent="0.25">
      <c r="A149" s="11"/>
      <c r="B149" s="11"/>
      <c r="C149" s="11"/>
      <c r="D149" s="11"/>
      <c r="E149" s="11"/>
      <c r="F149" s="11"/>
      <c r="G149" s="11"/>
      <c r="H149" s="12"/>
    </row>
    <row r="150" spans="1:8" x14ac:dyDescent="0.25">
      <c r="A150" s="11"/>
      <c r="B150" s="11"/>
      <c r="C150" s="11"/>
      <c r="D150" s="11"/>
      <c r="E150" s="11"/>
      <c r="F150" s="11"/>
      <c r="G150" s="11"/>
      <c r="H150" s="12"/>
    </row>
    <row r="151" spans="1:8" x14ac:dyDescent="0.25">
      <c r="A151" s="11"/>
      <c r="B151" s="11"/>
      <c r="C151" s="11"/>
      <c r="D151" s="11"/>
      <c r="E151" s="11"/>
      <c r="F151" s="11"/>
      <c r="G151" s="11"/>
      <c r="H151" s="12"/>
    </row>
    <row r="152" spans="1:8" x14ac:dyDescent="0.25">
      <c r="A152" s="11"/>
      <c r="B152" s="11"/>
      <c r="C152" s="11"/>
      <c r="D152" s="11"/>
      <c r="E152" s="11"/>
      <c r="F152" s="11"/>
      <c r="G152" s="11"/>
      <c r="H152" s="12"/>
    </row>
    <row r="153" spans="1:8" x14ac:dyDescent="0.25">
      <c r="A153" s="11"/>
      <c r="B153" s="11"/>
      <c r="C153" s="11"/>
      <c r="D153" s="11"/>
      <c r="E153" s="11"/>
      <c r="F153" s="11"/>
      <c r="G153" s="11"/>
      <c r="H153" s="12"/>
    </row>
    <row r="154" spans="1:8" x14ac:dyDescent="0.25">
      <c r="A154" s="11"/>
      <c r="B154" s="11"/>
      <c r="C154" s="11"/>
      <c r="D154" s="11"/>
      <c r="E154" s="11"/>
      <c r="F154" s="11"/>
      <c r="G154" s="11"/>
      <c r="H154" s="12"/>
    </row>
    <row r="155" spans="1:8" x14ac:dyDescent="0.25">
      <c r="A155" s="11"/>
      <c r="B155" s="11"/>
      <c r="C155" s="11"/>
      <c r="D155" s="11"/>
      <c r="E155" s="11"/>
      <c r="F155" s="11"/>
      <c r="G155" s="11"/>
      <c r="H155" s="12"/>
    </row>
    <row r="156" spans="1:8" x14ac:dyDescent="0.25">
      <c r="A156" s="11"/>
      <c r="B156" s="11"/>
      <c r="C156" s="11"/>
      <c r="D156" s="11"/>
      <c r="E156" s="11"/>
      <c r="F156" s="11"/>
      <c r="G156" s="11"/>
      <c r="H156" s="12"/>
    </row>
    <row r="157" spans="1:8" x14ac:dyDescent="0.25">
      <c r="A157" s="11"/>
      <c r="B157" s="11"/>
      <c r="C157" s="11"/>
      <c r="D157" s="11"/>
      <c r="E157" s="11"/>
      <c r="F157" s="11"/>
      <c r="G157" s="11"/>
      <c r="H157" s="12"/>
    </row>
    <row r="158" spans="1:8" x14ac:dyDescent="0.25">
      <c r="A158" s="11"/>
      <c r="B158" s="11"/>
      <c r="C158" s="11"/>
      <c r="D158" s="11"/>
      <c r="E158" s="11"/>
      <c r="F158" s="11"/>
      <c r="G158" s="11"/>
      <c r="H158" s="12"/>
    </row>
    <row r="159" spans="1:8" x14ac:dyDescent="0.25">
      <c r="A159" s="11"/>
      <c r="B159" s="11"/>
      <c r="C159" s="11"/>
      <c r="D159" s="11"/>
      <c r="E159" s="11"/>
      <c r="F159" s="11"/>
      <c r="G159" s="11"/>
      <c r="H159" s="12"/>
    </row>
    <row r="160" spans="1:8" x14ac:dyDescent="0.25">
      <c r="A160" s="11"/>
      <c r="B160" s="11"/>
      <c r="C160" s="11"/>
      <c r="D160" s="11"/>
      <c r="E160" s="11"/>
      <c r="F160" s="11"/>
      <c r="G160" s="11"/>
      <c r="H160" s="12"/>
    </row>
    <row r="161" spans="1:8" x14ac:dyDescent="0.25">
      <c r="A161" s="11"/>
      <c r="B161" s="11"/>
      <c r="C161" s="11"/>
      <c r="D161" s="11"/>
      <c r="E161" s="11"/>
      <c r="F161" s="11"/>
      <c r="G161" s="11"/>
      <c r="H161" s="12"/>
    </row>
    <row r="162" spans="1:8" x14ac:dyDescent="0.25">
      <c r="A162" s="11"/>
      <c r="B162" s="11"/>
      <c r="C162" s="11"/>
      <c r="D162" s="11"/>
      <c r="E162" s="11"/>
      <c r="F162" s="11"/>
      <c r="G162" s="11"/>
      <c r="H162" s="12"/>
    </row>
    <row r="163" spans="1:8" x14ac:dyDescent="0.25">
      <c r="A163" s="11"/>
      <c r="B163" s="11"/>
      <c r="C163" s="11"/>
      <c r="D163" s="11"/>
      <c r="E163" s="11"/>
      <c r="F163" s="11"/>
      <c r="G163" s="11"/>
      <c r="H163" s="12"/>
    </row>
    <row r="164" spans="1:8" x14ac:dyDescent="0.25">
      <c r="A164" s="11"/>
      <c r="B164" s="11"/>
      <c r="C164" s="11"/>
      <c r="D164" s="11"/>
      <c r="E164" s="11"/>
      <c r="F164" s="11"/>
      <c r="G164" s="11"/>
      <c r="H164" s="12"/>
    </row>
    <row r="165" spans="1:8" x14ac:dyDescent="0.25">
      <c r="A165" s="11"/>
      <c r="B165" s="11"/>
      <c r="C165" s="11"/>
      <c r="D165" s="11"/>
      <c r="E165" s="11"/>
      <c r="F165" s="11"/>
      <c r="G165" s="11"/>
      <c r="H165" s="12"/>
    </row>
    <row r="166" spans="1:8" x14ac:dyDescent="0.25">
      <c r="A166" s="11"/>
      <c r="B166" s="11"/>
      <c r="C166" s="11"/>
      <c r="D166" s="11"/>
      <c r="E166" s="11"/>
      <c r="F166" s="11"/>
      <c r="G166" s="11"/>
      <c r="H166" s="12"/>
    </row>
    <row r="167" spans="1:8" x14ac:dyDescent="0.25">
      <c r="A167" s="11"/>
      <c r="B167" s="11"/>
      <c r="C167" s="11"/>
      <c r="D167" s="11"/>
      <c r="E167" s="11"/>
      <c r="F167" s="11"/>
      <c r="G167" s="11"/>
      <c r="H167" s="12"/>
    </row>
    <row r="168" spans="1:8" x14ac:dyDescent="0.25">
      <c r="A168" s="11"/>
      <c r="B168" s="11"/>
      <c r="C168" s="11"/>
      <c r="D168" s="11"/>
      <c r="E168" s="11"/>
      <c r="F168" s="11"/>
      <c r="G168" s="11"/>
      <c r="H168" s="12"/>
    </row>
    <row r="169" spans="1:8" x14ac:dyDescent="0.25">
      <c r="A169" s="11"/>
      <c r="B169" s="11"/>
      <c r="C169" s="11"/>
      <c r="D169" s="11"/>
      <c r="E169" s="11"/>
      <c r="F169" s="11"/>
      <c r="G169" s="11"/>
      <c r="H169" s="12"/>
    </row>
    <row r="170" spans="1:8" x14ac:dyDescent="0.25">
      <c r="A170" s="11"/>
      <c r="B170" s="11"/>
      <c r="C170" s="11"/>
      <c r="D170" s="11"/>
      <c r="E170" s="11"/>
      <c r="F170" s="11"/>
      <c r="G170" s="11"/>
      <c r="H170" s="12"/>
    </row>
    <row r="171" spans="1:8" x14ac:dyDescent="0.25">
      <c r="A171" s="11"/>
      <c r="B171" s="11"/>
      <c r="C171" s="11"/>
      <c r="D171" s="11"/>
      <c r="E171" s="11"/>
      <c r="F171" s="11"/>
      <c r="G171" s="11"/>
      <c r="H171" s="12"/>
    </row>
    <row r="172" spans="1:8" x14ac:dyDescent="0.25">
      <c r="A172" s="11"/>
      <c r="B172" s="11"/>
      <c r="C172" s="11"/>
      <c r="D172" s="11"/>
      <c r="E172" s="11"/>
      <c r="F172" s="11"/>
      <c r="G172" s="11"/>
      <c r="H172" s="12"/>
    </row>
    <row r="173" spans="1:8" x14ac:dyDescent="0.25">
      <c r="A173" s="11"/>
      <c r="B173" s="11"/>
      <c r="C173" s="11"/>
      <c r="D173" s="11"/>
      <c r="E173" s="11"/>
      <c r="F173" s="11"/>
      <c r="G173" s="11"/>
      <c r="H173" s="12"/>
    </row>
    <row r="174" spans="1:8" x14ac:dyDescent="0.25">
      <c r="A174" s="11"/>
      <c r="B174" s="11"/>
      <c r="C174" s="11"/>
      <c r="D174" s="11"/>
      <c r="E174" s="11"/>
      <c r="F174" s="11"/>
      <c r="G174" s="11"/>
      <c r="H174" s="12"/>
    </row>
    <row r="175" spans="1:8" x14ac:dyDescent="0.25">
      <c r="A175" s="11"/>
      <c r="B175" s="11"/>
      <c r="C175" s="11"/>
      <c r="D175" s="11"/>
      <c r="E175" s="11"/>
      <c r="F175" s="11"/>
      <c r="G175" s="11"/>
      <c r="H175" s="12"/>
    </row>
    <row r="176" spans="1:8" x14ac:dyDescent="0.25">
      <c r="A176" s="11"/>
      <c r="B176" s="11"/>
      <c r="C176" s="11"/>
      <c r="D176" s="11"/>
      <c r="E176" s="11"/>
      <c r="F176" s="11"/>
      <c r="G176" s="11"/>
      <c r="H176" s="12"/>
    </row>
    <row r="177" spans="1:8" x14ac:dyDescent="0.25">
      <c r="A177" s="11"/>
      <c r="B177" s="11"/>
      <c r="C177" s="11"/>
      <c r="D177" s="11"/>
      <c r="E177" s="11"/>
      <c r="F177" s="11"/>
      <c r="G177" s="11"/>
      <c r="H177" s="12"/>
    </row>
    <row r="178" spans="1:8" x14ac:dyDescent="0.25">
      <c r="A178" s="11"/>
      <c r="B178" s="11"/>
      <c r="C178" s="11"/>
      <c r="D178" s="11"/>
      <c r="E178" s="11"/>
      <c r="F178" s="11"/>
      <c r="G178" s="11"/>
      <c r="H178" s="12"/>
    </row>
    <row r="179" spans="1:8" x14ac:dyDescent="0.25">
      <c r="A179" s="11"/>
      <c r="B179" s="11"/>
      <c r="C179" s="11"/>
      <c r="D179" s="11"/>
      <c r="E179" s="11"/>
      <c r="F179" s="11"/>
      <c r="G179" s="11"/>
      <c r="H179" s="12"/>
    </row>
    <row r="180" spans="1:8" x14ac:dyDescent="0.25">
      <c r="A180" s="11"/>
      <c r="B180" s="11"/>
      <c r="C180" s="11"/>
      <c r="D180" s="11"/>
      <c r="E180" s="11"/>
      <c r="F180" s="11"/>
      <c r="G180" s="11"/>
      <c r="H180" s="12"/>
    </row>
    <row r="181" spans="1:8" x14ac:dyDescent="0.25">
      <c r="A181" s="11"/>
      <c r="B181" s="11"/>
      <c r="C181" s="11"/>
      <c r="D181" s="11"/>
      <c r="E181" s="11"/>
      <c r="F181" s="11"/>
      <c r="G181" s="11"/>
      <c r="H181" s="12"/>
    </row>
    <row r="182" spans="1:8" x14ac:dyDescent="0.25">
      <c r="A182" s="11"/>
      <c r="B182" s="11"/>
      <c r="C182" s="11"/>
      <c r="D182" s="11"/>
      <c r="E182" s="11"/>
      <c r="F182" s="11"/>
      <c r="G182" s="11"/>
      <c r="H182" s="12"/>
    </row>
    <row r="183" spans="1:8" x14ac:dyDescent="0.25">
      <c r="A183" s="11"/>
      <c r="B183" s="11"/>
      <c r="C183" s="11"/>
      <c r="D183" s="11"/>
      <c r="E183" s="11"/>
      <c r="F183" s="11"/>
      <c r="G183" s="11"/>
      <c r="H183" s="12"/>
    </row>
    <row r="184" spans="1:8" x14ac:dyDescent="0.25">
      <c r="A184" s="11"/>
      <c r="B184" s="11"/>
      <c r="C184" s="11"/>
      <c r="D184" s="11"/>
      <c r="E184" s="11"/>
      <c r="F184" s="11"/>
      <c r="G184" s="11"/>
      <c r="H184" s="12"/>
    </row>
    <row r="185" spans="1:8" x14ac:dyDescent="0.25">
      <c r="A185" s="11"/>
      <c r="B185" s="11"/>
      <c r="C185" s="11"/>
      <c r="D185" s="11"/>
      <c r="E185" s="11"/>
      <c r="F185" s="11"/>
      <c r="G185" s="11"/>
      <c r="H185" s="12"/>
    </row>
    <row r="186" spans="1:8" x14ac:dyDescent="0.25">
      <c r="A186" s="11"/>
      <c r="B186" s="11"/>
      <c r="C186" s="11"/>
      <c r="D186" s="11"/>
      <c r="E186" s="11"/>
      <c r="F186" s="11"/>
      <c r="G186" s="11"/>
      <c r="H186" s="12"/>
    </row>
    <row r="187" spans="1:8" x14ac:dyDescent="0.25">
      <c r="A187" s="11"/>
      <c r="B187" s="11"/>
      <c r="C187" s="11"/>
      <c r="D187" s="11"/>
      <c r="E187" s="11"/>
      <c r="F187" s="11"/>
      <c r="G187" s="11"/>
      <c r="H187" s="12"/>
    </row>
    <row r="188" spans="1:8" x14ac:dyDescent="0.25">
      <c r="A188" s="11"/>
      <c r="B188" s="11"/>
      <c r="C188" s="11"/>
      <c r="D188" s="11"/>
      <c r="E188" s="11"/>
      <c r="F188" s="11"/>
      <c r="G188" s="11"/>
      <c r="H188" s="12"/>
    </row>
    <row r="189" spans="1:8" x14ac:dyDescent="0.25">
      <c r="A189" s="11"/>
      <c r="B189" s="11"/>
      <c r="C189" s="11"/>
      <c r="D189" s="11"/>
      <c r="E189" s="11"/>
      <c r="F189" s="11"/>
      <c r="G189" s="11"/>
      <c r="H189" s="12"/>
    </row>
    <row r="190" spans="1:8" x14ac:dyDescent="0.25">
      <c r="A190" s="11"/>
      <c r="B190" s="11"/>
      <c r="C190" s="11"/>
      <c r="D190" s="11"/>
      <c r="E190" s="11"/>
      <c r="F190" s="11"/>
      <c r="G190" s="11"/>
      <c r="H190" s="12"/>
    </row>
    <row r="191" spans="1:8" x14ac:dyDescent="0.25">
      <c r="A191" s="11"/>
      <c r="B191" s="11"/>
      <c r="C191" s="11"/>
      <c r="D191" s="11"/>
      <c r="E191" s="11"/>
      <c r="F191" s="11"/>
      <c r="G191" s="11"/>
      <c r="H191" s="12"/>
    </row>
    <row r="192" spans="1:8" x14ac:dyDescent="0.25">
      <c r="A192" s="11"/>
      <c r="B192" s="11"/>
      <c r="C192" s="11"/>
      <c r="D192" s="11"/>
      <c r="E192" s="11"/>
      <c r="F192" s="11"/>
      <c r="G192" s="11"/>
      <c r="H192" s="12"/>
    </row>
    <row r="193" spans="1:8" x14ac:dyDescent="0.25">
      <c r="A193" s="11"/>
      <c r="B193" s="11"/>
      <c r="C193" s="11"/>
      <c r="D193" s="11"/>
      <c r="E193" s="11"/>
      <c r="F193" s="11"/>
      <c r="G193" s="11"/>
      <c r="H193" s="12"/>
    </row>
    <row r="194" spans="1:8" x14ac:dyDescent="0.25">
      <c r="A194" s="11"/>
      <c r="B194" s="11"/>
      <c r="C194" s="11"/>
      <c r="D194" s="11"/>
      <c r="E194" s="11"/>
      <c r="F194" s="11"/>
      <c r="G194" s="11"/>
      <c r="H194" s="12"/>
    </row>
    <row r="195" spans="1:8" x14ac:dyDescent="0.25">
      <c r="A195" s="11"/>
      <c r="B195" s="11"/>
      <c r="C195" s="11"/>
      <c r="D195" s="11"/>
      <c r="E195" s="11"/>
      <c r="F195" s="11"/>
      <c r="G195" s="11"/>
      <c r="H195" s="12"/>
    </row>
    <row r="196" spans="1:8" x14ac:dyDescent="0.25">
      <c r="A196" s="11"/>
      <c r="B196" s="11"/>
      <c r="C196" s="11"/>
      <c r="D196" s="11"/>
      <c r="E196" s="11"/>
      <c r="F196" s="11"/>
      <c r="G196" s="11"/>
      <c r="H196" s="12"/>
    </row>
    <row r="197" spans="1:8" x14ac:dyDescent="0.25">
      <c r="A197" s="11"/>
      <c r="B197" s="11"/>
      <c r="C197" s="11"/>
      <c r="D197" s="11"/>
      <c r="E197" s="11"/>
      <c r="F197" s="11"/>
      <c r="G197" s="11"/>
      <c r="H197" s="12"/>
    </row>
    <row r="198" spans="1:8" x14ac:dyDescent="0.25">
      <c r="A198" s="11"/>
      <c r="B198" s="11"/>
      <c r="C198" s="11"/>
      <c r="D198" s="11"/>
      <c r="E198" s="11"/>
      <c r="F198" s="11"/>
      <c r="G198" s="11"/>
      <c r="H198" s="12"/>
    </row>
    <row r="199" spans="1:8" x14ac:dyDescent="0.25">
      <c r="A199" s="11"/>
      <c r="B199" s="11"/>
      <c r="C199" s="11"/>
      <c r="D199" s="11"/>
      <c r="E199" s="11"/>
      <c r="F199" s="11"/>
      <c r="G199" s="11"/>
      <c r="H199" s="12"/>
    </row>
    <row r="200" spans="1:8" x14ac:dyDescent="0.25">
      <c r="A200" s="11"/>
      <c r="B200" s="11"/>
      <c r="C200" s="11"/>
      <c r="D200" s="11"/>
      <c r="E200" s="11"/>
      <c r="F200" s="11"/>
      <c r="G200" s="11"/>
      <c r="H200" s="12"/>
    </row>
    <row r="201" spans="1:8" x14ac:dyDescent="0.25">
      <c r="A201" s="11"/>
      <c r="B201" s="11"/>
      <c r="C201" s="11"/>
      <c r="D201" s="11"/>
      <c r="E201" s="11"/>
      <c r="F201" s="11"/>
      <c r="G201" s="11"/>
      <c r="H201" s="12"/>
    </row>
    <row r="202" spans="1:8" x14ac:dyDescent="0.25">
      <c r="A202" s="11"/>
      <c r="B202" s="11"/>
      <c r="C202" s="11"/>
      <c r="D202" s="11"/>
      <c r="E202" s="11"/>
      <c r="F202" s="11"/>
      <c r="G202" s="11"/>
      <c r="H202" s="12"/>
    </row>
    <row r="203" spans="1:8" x14ac:dyDescent="0.25">
      <c r="A203" s="11"/>
      <c r="B203" s="11"/>
      <c r="C203" s="11"/>
      <c r="D203" s="11"/>
      <c r="E203" s="11"/>
      <c r="F203" s="11"/>
      <c r="G203" s="11"/>
      <c r="H203" s="12"/>
    </row>
    <row r="204" spans="1:8" x14ac:dyDescent="0.25">
      <c r="A204" s="11"/>
      <c r="B204" s="11"/>
      <c r="C204" s="11"/>
      <c r="D204" s="11"/>
      <c r="E204" s="11"/>
      <c r="F204" s="11"/>
      <c r="G204" s="11"/>
      <c r="H204" s="12"/>
    </row>
    <row r="205" spans="1:8" x14ac:dyDescent="0.25">
      <c r="A205" s="11"/>
      <c r="B205" s="11"/>
      <c r="C205" s="11"/>
      <c r="D205" s="11"/>
      <c r="E205" s="11"/>
      <c r="F205" s="11"/>
      <c r="G205" s="11"/>
      <c r="H205" s="12"/>
    </row>
    <row r="206" spans="1:8" x14ac:dyDescent="0.25">
      <c r="A206" s="11"/>
      <c r="B206" s="11"/>
      <c r="C206" s="11"/>
      <c r="D206" s="11"/>
      <c r="E206" s="11"/>
      <c r="F206" s="11"/>
      <c r="G206" s="11"/>
      <c r="H206" s="12"/>
    </row>
    <row r="207" spans="1:8" x14ac:dyDescent="0.25">
      <c r="A207" s="11"/>
      <c r="B207" s="11"/>
      <c r="C207" s="11"/>
      <c r="D207" s="11"/>
      <c r="E207" s="11"/>
      <c r="F207" s="11"/>
      <c r="G207" s="11"/>
      <c r="H207" s="12"/>
    </row>
    <row r="208" spans="1:8" x14ac:dyDescent="0.25">
      <c r="A208" s="11"/>
      <c r="B208" s="11"/>
      <c r="C208" s="11"/>
      <c r="D208" s="11"/>
      <c r="E208" s="11"/>
      <c r="F208" s="11"/>
      <c r="G208" s="11"/>
      <c r="H208" s="12"/>
    </row>
    <row r="209" spans="1:8" x14ac:dyDescent="0.25">
      <c r="A209" s="11"/>
      <c r="B209" s="11"/>
      <c r="C209" s="11"/>
      <c r="D209" s="11"/>
      <c r="E209" s="11"/>
      <c r="F209" s="11"/>
      <c r="G209" s="11"/>
      <c r="H209" s="12"/>
    </row>
    <row r="210" spans="1:8" x14ac:dyDescent="0.25">
      <c r="A210" s="11"/>
      <c r="B210" s="11"/>
      <c r="C210" s="11"/>
      <c r="D210" s="11"/>
      <c r="E210" s="11"/>
      <c r="F210" s="11"/>
      <c r="G210" s="11"/>
      <c r="H210" s="12"/>
    </row>
    <row r="211" spans="1:8" x14ac:dyDescent="0.25">
      <c r="A211" s="11"/>
      <c r="B211" s="11"/>
      <c r="C211" s="11"/>
      <c r="D211" s="11"/>
      <c r="E211" s="11"/>
      <c r="F211" s="11"/>
      <c r="G211" s="11"/>
      <c r="H211" s="12"/>
    </row>
    <row r="212" spans="1:8" x14ac:dyDescent="0.25">
      <c r="A212" s="11"/>
      <c r="B212" s="11"/>
      <c r="C212" s="11"/>
      <c r="D212" s="11"/>
      <c r="E212" s="11"/>
      <c r="F212" s="11"/>
      <c r="G212" s="11"/>
      <c r="H212" s="12"/>
    </row>
    <row r="213" spans="1:8" x14ac:dyDescent="0.25">
      <c r="A213" s="11"/>
      <c r="B213" s="11"/>
      <c r="C213" s="11"/>
      <c r="D213" s="11"/>
      <c r="E213" s="11"/>
      <c r="F213" s="11"/>
      <c r="G213" s="11"/>
      <c r="H213" s="12"/>
    </row>
    <row r="214" spans="1:8" x14ac:dyDescent="0.25">
      <c r="A214" s="11"/>
      <c r="B214" s="11"/>
      <c r="C214" s="11"/>
      <c r="D214" s="11"/>
      <c r="E214" s="11"/>
      <c r="F214" s="11"/>
      <c r="G214" s="11"/>
      <c r="H214" s="12"/>
    </row>
    <row r="215" spans="1:8" x14ac:dyDescent="0.25">
      <c r="A215" s="11"/>
      <c r="B215" s="11"/>
      <c r="C215" s="11"/>
      <c r="D215" s="11"/>
      <c r="E215" s="11"/>
      <c r="F215" s="11"/>
      <c r="G215" s="11"/>
      <c r="H215" s="12"/>
    </row>
    <row r="216" spans="1:8" x14ac:dyDescent="0.25">
      <c r="A216" s="11"/>
      <c r="B216" s="11"/>
      <c r="C216" s="11"/>
      <c r="D216" s="11"/>
      <c r="E216" s="11"/>
      <c r="F216" s="11"/>
      <c r="G216" s="11"/>
      <c r="H216" s="12"/>
    </row>
    <row r="217" spans="1:8" x14ac:dyDescent="0.25">
      <c r="A217" s="11"/>
      <c r="B217" s="11"/>
      <c r="C217" s="11"/>
      <c r="D217" s="11"/>
      <c r="E217" s="11"/>
      <c r="F217" s="11"/>
      <c r="G217" s="11"/>
      <c r="H217" s="12"/>
    </row>
    <row r="218" spans="1:8" x14ac:dyDescent="0.25">
      <c r="A218" s="11"/>
      <c r="B218" s="11"/>
      <c r="C218" s="11"/>
      <c r="D218" s="11"/>
      <c r="E218" s="11"/>
      <c r="F218" s="11"/>
      <c r="G218" s="11"/>
      <c r="H218" s="12"/>
    </row>
    <row r="219" spans="1:8" x14ac:dyDescent="0.25">
      <c r="A219" s="11"/>
      <c r="B219" s="11"/>
      <c r="C219" s="11"/>
      <c r="D219" s="11"/>
      <c r="E219" s="11"/>
      <c r="F219" s="11"/>
      <c r="G219" s="11"/>
      <c r="H219" s="12"/>
    </row>
    <row r="220" spans="1:8" x14ac:dyDescent="0.25">
      <c r="A220" s="11"/>
      <c r="B220" s="11"/>
      <c r="C220" s="11"/>
      <c r="D220" s="11"/>
      <c r="E220" s="11"/>
      <c r="F220" s="11"/>
      <c r="G220" s="11"/>
      <c r="H220" s="12"/>
    </row>
    <row r="221" spans="1:8" x14ac:dyDescent="0.25">
      <c r="A221" s="11"/>
      <c r="B221" s="11"/>
      <c r="C221" s="11"/>
      <c r="D221" s="11"/>
      <c r="E221" s="11"/>
      <c r="F221" s="11"/>
      <c r="G221" s="11"/>
      <c r="H221" s="12"/>
    </row>
    <row r="222" spans="1:8" x14ac:dyDescent="0.25">
      <c r="A222" s="11"/>
      <c r="B222" s="11"/>
      <c r="C222" s="11"/>
      <c r="D222" s="11"/>
      <c r="E222" s="11"/>
      <c r="F222" s="11"/>
      <c r="G222" s="11"/>
      <c r="H222" s="12"/>
    </row>
    <row r="223" spans="1:8" x14ac:dyDescent="0.25">
      <c r="A223" s="11"/>
      <c r="B223" s="11"/>
      <c r="C223" s="11"/>
      <c r="D223" s="11"/>
      <c r="E223" s="11"/>
      <c r="F223" s="11"/>
      <c r="G223" s="11"/>
      <c r="H223" s="12"/>
    </row>
    <row r="224" spans="1:8" x14ac:dyDescent="0.25">
      <c r="A224" s="11"/>
      <c r="B224" s="11"/>
      <c r="C224" s="11"/>
      <c r="D224" s="11"/>
      <c r="E224" s="11"/>
      <c r="F224" s="11"/>
      <c r="G224" s="11"/>
      <c r="H224" s="12"/>
    </row>
    <row r="225" spans="1:8" x14ac:dyDescent="0.25">
      <c r="A225" s="11"/>
      <c r="B225" s="11"/>
      <c r="C225" s="11"/>
      <c r="D225" s="11"/>
      <c r="E225" s="11"/>
      <c r="F225" s="11"/>
      <c r="G225" s="11"/>
      <c r="H225" s="12"/>
    </row>
    <row r="226" spans="1:8" x14ac:dyDescent="0.25">
      <c r="A226" s="11"/>
      <c r="B226" s="11"/>
      <c r="C226" s="11"/>
      <c r="D226" s="11"/>
      <c r="E226" s="11"/>
      <c r="F226" s="11"/>
      <c r="G226" s="11"/>
      <c r="H226" s="12"/>
    </row>
    <row r="227" spans="1:8" x14ac:dyDescent="0.25">
      <c r="A227" s="11"/>
      <c r="B227" s="11"/>
      <c r="C227" s="11"/>
      <c r="D227" s="11"/>
      <c r="E227" s="11"/>
      <c r="F227" s="11"/>
      <c r="G227" s="11"/>
      <c r="H227" s="12"/>
    </row>
    <row r="228" spans="1:8" x14ac:dyDescent="0.25">
      <c r="A228" s="11"/>
      <c r="B228" s="11"/>
      <c r="C228" s="11"/>
      <c r="D228" s="11"/>
      <c r="E228" s="11"/>
      <c r="F228" s="11"/>
      <c r="G228" s="11"/>
      <c r="H228" s="12"/>
    </row>
    <row r="229" spans="1:8" x14ac:dyDescent="0.25">
      <c r="A229" s="11"/>
      <c r="B229" s="11"/>
      <c r="C229" s="11"/>
      <c r="D229" s="11"/>
      <c r="E229" s="11"/>
      <c r="F229" s="11"/>
      <c r="G229" s="11"/>
      <c r="H229" s="12"/>
    </row>
    <row r="230" spans="1:8" x14ac:dyDescent="0.25">
      <c r="A230" s="11"/>
      <c r="B230" s="11"/>
      <c r="C230" s="11"/>
      <c r="D230" s="11"/>
      <c r="E230" s="11"/>
      <c r="F230" s="11"/>
      <c r="G230" s="11"/>
      <c r="H230" s="12"/>
    </row>
    <row r="231" spans="1:8" x14ac:dyDescent="0.25">
      <c r="A231" s="11"/>
      <c r="B231" s="11"/>
      <c r="C231" s="11"/>
      <c r="D231" s="11"/>
      <c r="E231" s="11"/>
      <c r="F231" s="11"/>
      <c r="G231" s="11"/>
      <c r="H231" s="12"/>
    </row>
    <row r="232" spans="1:8" x14ac:dyDescent="0.25">
      <c r="A232" s="11"/>
      <c r="B232" s="11"/>
      <c r="C232" s="11"/>
      <c r="D232" s="11"/>
      <c r="E232" s="11"/>
      <c r="F232" s="11"/>
      <c r="G232" s="11"/>
      <c r="H232" s="12"/>
    </row>
    <row r="233" spans="1:8" x14ac:dyDescent="0.25">
      <c r="A233" s="11"/>
      <c r="B233" s="11"/>
      <c r="C233" s="11"/>
      <c r="D233" s="11"/>
      <c r="E233" s="11"/>
      <c r="F233" s="11"/>
      <c r="G233" s="11"/>
      <c r="H233" s="12"/>
    </row>
    <row r="234" spans="1:8" x14ac:dyDescent="0.25">
      <c r="A234" s="11"/>
      <c r="B234" s="11"/>
      <c r="C234" s="11"/>
      <c r="D234" s="11"/>
      <c r="E234" s="11"/>
      <c r="F234" s="11"/>
      <c r="G234" s="11"/>
      <c r="H234" s="12"/>
    </row>
    <row r="235" spans="1:8" x14ac:dyDescent="0.25">
      <c r="A235" s="11"/>
      <c r="B235" s="11"/>
      <c r="C235" s="11"/>
      <c r="D235" s="11"/>
      <c r="E235" s="11"/>
      <c r="F235" s="11"/>
      <c r="G235" s="11"/>
      <c r="H235" s="12"/>
    </row>
    <row r="236" spans="1:8" x14ac:dyDescent="0.25">
      <c r="A236" s="11"/>
      <c r="B236" s="11"/>
      <c r="C236" s="11"/>
      <c r="D236" s="11"/>
      <c r="E236" s="11"/>
      <c r="F236" s="11"/>
      <c r="G236" s="11"/>
      <c r="H236" s="12"/>
    </row>
    <row r="237" spans="1:8" x14ac:dyDescent="0.25">
      <c r="A237" s="11"/>
      <c r="B237" s="11"/>
      <c r="C237" s="11"/>
      <c r="D237" s="11"/>
      <c r="E237" s="11"/>
      <c r="F237" s="11"/>
      <c r="G237" s="11"/>
      <c r="H237" s="12"/>
    </row>
    <row r="238" spans="1:8" x14ac:dyDescent="0.25">
      <c r="A238" s="11"/>
      <c r="B238" s="11"/>
      <c r="C238" s="11"/>
      <c r="D238" s="11"/>
      <c r="E238" s="11"/>
      <c r="F238" s="11"/>
      <c r="G238" s="11"/>
      <c r="H238" s="12"/>
    </row>
    <row r="239" spans="1:8" x14ac:dyDescent="0.25">
      <c r="A239" s="11"/>
      <c r="B239" s="11"/>
      <c r="C239" s="11"/>
      <c r="D239" s="11"/>
      <c r="E239" s="11"/>
      <c r="F239" s="11"/>
      <c r="G239" s="11"/>
      <c r="H239" s="12"/>
    </row>
    <row r="240" spans="1:8" x14ac:dyDescent="0.25">
      <c r="A240" s="11"/>
      <c r="B240" s="11"/>
      <c r="C240" s="11"/>
      <c r="D240" s="11"/>
      <c r="E240" s="11"/>
      <c r="F240" s="11"/>
      <c r="G240" s="11"/>
      <c r="H240" s="12"/>
    </row>
    <row r="241" spans="1:8" x14ac:dyDescent="0.25">
      <c r="A241" s="11"/>
      <c r="B241" s="11"/>
      <c r="C241" s="11"/>
      <c r="D241" s="11"/>
      <c r="E241" s="11"/>
      <c r="F241" s="11"/>
      <c r="G241" s="11"/>
      <c r="H241" s="12"/>
    </row>
    <row r="242" spans="1:8" x14ac:dyDescent="0.25">
      <c r="A242" s="11"/>
      <c r="B242" s="11"/>
      <c r="C242" s="11"/>
      <c r="D242" s="11"/>
      <c r="E242" s="11"/>
      <c r="F242" s="11"/>
      <c r="G242" s="11"/>
      <c r="H242" s="12"/>
    </row>
    <row r="243" spans="1:8" x14ac:dyDescent="0.25">
      <c r="A243" s="11"/>
      <c r="B243" s="11"/>
      <c r="C243" s="11"/>
      <c r="D243" s="11"/>
      <c r="E243" s="11"/>
      <c r="F243" s="11"/>
      <c r="G243" s="11"/>
      <c r="H243" s="12"/>
    </row>
    <row r="244" spans="1:8" x14ac:dyDescent="0.25">
      <c r="A244" s="11"/>
      <c r="B244" s="11"/>
      <c r="C244" s="11"/>
      <c r="D244" s="11"/>
      <c r="E244" s="11"/>
      <c r="F244" s="11"/>
      <c r="G244" s="11"/>
      <c r="H244" s="12"/>
    </row>
    <row r="245" spans="1:8" x14ac:dyDescent="0.25">
      <c r="A245" s="11"/>
      <c r="B245" s="11"/>
      <c r="C245" s="11"/>
      <c r="D245" s="11"/>
      <c r="E245" s="11"/>
      <c r="F245" s="11"/>
      <c r="G245" s="11"/>
      <c r="H245" s="12"/>
    </row>
    <row r="246" spans="1:8" x14ac:dyDescent="0.25">
      <c r="A246" s="11"/>
      <c r="B246" s="11"/>
      <c r="C246" s="11"/>
      <c r="D246" s="11"/>
      <c r="E246" s="11"/>
      <c r="F246" s="11"/>
      <c r="G246" s="11"/>
      <c r="H246" s="12"/>
    </row>
    <row r="247" spans="1:8" x14ac:dyDescent="0.25">
      <c r="A247" s="11"/>
      <c r="B247" s="11"/>
      <c r="C247" s="11"/>
      <c r="D247" s="11"/>
      <c r="E247" s="11"/>
      <c r="F247" s="11"/>
      <c r="G247" s="11"/>
      <c r="H247" s="12"/>
    </row>
    <row r="248" spans="1:8" x14ac:dyDescent="0.25">
      <c r="A248" s="11"/>
      <c r="B248" s="11"/>
      <c r="C248" s="11"/>
      <c r="D248" s="11"/>
      <c r="E248" s="11"/>
      <c r="F248" s="11"/>
      <c r="G248" s="11"/>
      <c r="H248" s="12"/>
    </row>
    <row r="249" spans="1:8" x14ac:dyDescent="0.25">
      <c r="A249" s="11"/>
      <c r="B249" s="11"/>
      <c r="C249" s="11"/>
      <c r="D249" s="11"/>
      <c r="E249" s="11"/>
      <c r="F249" s="11"/>
      <c r="G249" s="11"/>
      <c r="H249" s="12"/>
    </row>
    <row r="250" spans="1:8" x14ac:dyDescent="0.25">
      <c r="A250" s="11"/>
      <c r="B250" s="11"/>
      <c r="C250" s="11"/>
      <c r="D250" s="11"/>
      <c r="E250" s="11"/>
      <c r="F250" s="11"/>
      <c r="G250" s="11"/>
      <c r="H250" s="12"/>
    </row>
    <row r="251" spans="1:8" x14ac:dyDescent="0.25">
      <c r="A251" s="11"/>
      <c r="B251" s="11"/>
      <c r="C251" s="11"/>
      <c r="D251" s="11"/>
      <c r="E251" s="11"/>
      <c r="F251" s="11"/>
      <c r="G251" s="11"/>
      <c r="H251" s="12"/>
    </row>
    <row r="252" spans="1:8" x14ac:dyDescent="0.25">
      <c r="A252" s="11"/>
      <c r="B252" s="11"/>
      <c r="C252" s="11"/>
      <c r="D252" s="11"/>
      <c r="E252" s="11"/>
      <c r="F252" s="11"/>
      <c r="G252" s="11"/>
      <c r="H252" s="12"/>
    </row>
    <row r="253" spans="1:8" x14ac:dyDescent="0.25">
      <c r="A253" s="11"/>
      <c r="B253" s="11"/>
      <c r="C253" s="11"/>
      <c r="D253" s="11"/>
      <c r="E253" s="11"/>
      <c r="F253" s="11"/>
      <c r="G253" s="11"/>
      <c r="H253" s="12"/>
    </row>
    <row r="254" spans="1:8" x14ac:dyDescent="0.25">
      <c r="A254" s="11"/>
      <c r="B254" s="11"/>
      <c r="C254" s="11"/>
      <c r="D254" s="11"/>
      <c r="E254" s="11"/>
      <c r="F254" s="11"/>
      <c r="G254" s="11"/>
      <c r="H254" s="12"/>
    </row>
    <row r="255" spans="1:8" x14ac:dyDescent="0.25">
      <c r="A255" s="11"/>
      <c r="B255" s="11"/>
      <c r="C255" s="11"/>
      <c r="D255" s="11"/>
      <c r="E255" s="11"/>
      <c r="F255" s="11"/>
      <c r="G255" s="11"/>
      <c r="H255" s="12"/>
    </row>
    <row r="256" spans="1:8" x14ac:dyDescent="0.25">
      <c r="A256" s="11"/>
      <c r="B256" s="11"/>
      <c r="C256" s="11"/>
      <c r="D256" s="11"/>
      <c r="E256" s="11"/>
      <c r="F256" s="11"/>
      <c r="G256" s="11"/>
      <c r="H256" s="12"/>
    </row>
    <row r="257" spans="1:8" x14ac:dyDescent="0.25">
      <c r="A257" s="11"/>
      <c r="B257" s="11"/>
      <c r="C257" s="11"/>
      <c r="D257" s="11"/>
      <c r="E257" s="11"/>
      <c r="F257" s="11"/>
      <c r="G257" s="11"/>
      <c r="H257" s="12"/>
    </row>
    <row r="258" spans="1:8" x14ac:dyDescent="0.25">
      <c r="A258" s="11"/>
      <c r="B258" s="11"/>
      <c r="C258" s="11"/>
      <c r="D258" s="11"/>
      <c r="E258" s="11"/>
      <c r="F258" s="11"/>
      <c r="G258" s="11"/>
      <c r="H258" s="12"/>
    </row>
    <row r="259" spans="1:8" x14ac:dyDescent="0.25">
      <c r="A259" s="11"/>
      <c r="B259" s="11"/>
      <c r="C259" s="11"/>
      <c r="D259" s="11"/>
      <c r="E259" s="11"/>
      <c r="F259" s="11"/>
      <c r="G259" s="11"/>
      <c r="H259" s="12"/>
    </row>
    <row r="260" spans="1:8" x14ac:dyDescent="0.25">
      <c r="A260" s="11"/>
      <c r="B260" s="11"/>
      <c r="C260" s="11"/>
      <c r="D260" s="11"/>
      <c r="E260" s="11"/>
      <c r="F260" s="11"/>
      <c r="G260" s="11"/>
      <c r="H260" s="12"/>
    </row>
    <row r="261" spans="1:8" x14ac:dyDescent="0.25">
      <c r="A261" s="11"/>
      <c r="B261" s="11"/>
      <c r="C261" s="11"/>
      <c r="D261" s="11"/>
      <c r="E261" s="11"/>
      <c r="F261" s="11"/>
      <c r="G261" s="11"/>
      <c r="H261" s="12"/>
    </row>
    <row r="262" spans="1:8" x14ac:dyDescent="0.25">
      <c r="A262" s="11"/>
      <c r="B262" s="11"/>
      <c r="C262" s="11"/>
      <c r="D262" s="11"/>
      <c r="E262" s="11"/>
      <c r="F262" s="11"/>
      <c r="G262" s="11"/>
      <c r="H262" s="12"/>
    </row>
    <row r="263" spans="1:8" x14ac:dyDescent="0.25">
      <c r="A263" s="11"/>
      <c r="B263" s="11"/>
      <c r="C263" s="11"/>
      <c r="D263" s="11"/>
      <c r="E263" s="11"/>
      <c r="F263" s="11"/>
      <c r="G263" s="11"/>
      <c r="H263" s="12"/>
    </row>
    <row r="264" spans="1:8" x14ac:dyDescent="0.25">
      <c r="A264" s="11"/>
      <c r="B264" s="11"/>
      <c r="C264" s="11"/>
      <c r="D264" s="11"/>
      <c r="E264" s="11"/>
      <c r="F264" s="11"/>
      <c r="G264" s="11"/>
      <c r="H264" s="12"/>
    </row>
    <row r="265" spans="1:8" x14ac:dyDescent="0.25">
      <c r="A265" s="11"/>
      <c r="B265" s="11"/>
      <c r="C265" s="11"/>
      <c r="D265" s="11"/>
      <c r="E265" s="11"/>
      <c r="F265" s="11"/>
      <c r="G265" s="11"/>
      <c r="H265" s="12"/>
    </row>
    <row r="266" spans="1:8" x14ac:dyDescent="0.25">
      <c r="A266" s="11"/>
      <c r="B266" s="11"/>
      <c r="C266" s="11"/>
      <c r="D266" s="11"/>
      <c r="E266" s="11"/>
      <c r="F266" s="11"/>
      <c r="G266" s="11"/>
      <c r="H266" s="12"/>
    </row>
    <row r="267" spans="1:8" x14ac:dyDescent="0.25">
      <c r="A267" s="11"/>
      <c r="B267" s="11"/>
      <c r="C267" s="11"/>
      <c r="D267" s="11"/>
      <c r="E267" s="11"/>
      <c r="F267" s="11"/>
      <c r="G267" s="11"/>
      <c r="H267" s="12"/>
    </row>
    <row r="268" spans="1:8" x14ac:dyDescent="0.25">
      <c r="A268" s="11"/>
      <c r="B268" s="11"/>
      <c r="C268" s="11"/>
      <c r="D268" s="11"/>
      <c r="E268" s="11"/>
      <c r="F268" s="11"/>
      <c r="G268" s="11"/>
      <c r="H268" s="12"/>
    </row>
    <row r="269" spans="1:8" x14ac:dyDescent="0.25">
      <c r="A269" s="11"/>
      <c r="B269" s="11"/>
      <c r="C269" s="11"/>
      <c r="D269" s="11"/>
      <c r="E269" s="11"/>
      <c r="F269" s="11"/>
      <c r="G269" s="11"/>
      <c r="H269" s="12"/>
    </row>
    <row r="270" spans="1:8" x14ac:dyDescent="0.25">
      <c r="A270" s="11"/>
      <c r="B270" s="11"/>
      <c r="C270" s="11"/>
      <c r="D270" s="11"/>
      <c r="E270" s="11"/>
      <c r="F270" s="11"/>
      <c r="G270" s="11"/>
      <c r="H270" s="12"/>
    </row>
    <row r="271" spans="1:8" x14ac:dyDescent="0.25">
      <c r="A271" s="11"/>
      <c r="B271" s="11"/>
      <c r="C271" s="11"/>
      <c r="D271" s="11"/>
      <c r="E271" s="11"/>
      <c r="F271" s="11"/>
      <c r="G271" s="11"/>
      <c r="H271" s="12"/>
    </row>
    <row r="272" spans="1:8" x14ac:dyDescent="0.25">
      <c r="A272" s="11"/>
      <c r="B272" s="11"/>
      <c r="C272" s="11"/>
      <c r="D272" s="11"/>
      <c r="E272" s="11"/>
      <c r="F272" s="11"/>
      <c r="G272" s="11"/>
      <c r="H272" s="12"/>
    </row>
    <row r="273" spans="1:8" x14ac:dyDescent="0.25">
      <c r="A273" s="11"/>
      <c r="B273" s="11"/>
      <c r="C273" s="11"/>
      <c r="D273" s="11"/>
      <c r="E273" s="11"/>
      <c r="F273" s="11"/>
      <c r="G273" s="11"/>
      <c r="H273" s="12"/>
    </row>
    <row r="274" spans="1:8" x14ac:dyDescent="0.25">
      <c r="A274" s="11"/>
      <c r="B274" s="11"/>
      <c r="C274" s="11"/>
      <c r="D274" s="11"/>
      <c r="E274" s="11"/>
      <c r="F274" s="11"/>
      <c r="G274" s="11"/>
      <c r="H274" s="12"/>
    </row>
    <row r="275" spans="1:8" x14ac:dyDescent="0.25">
      <c r="A275" s="11"/>
      <c r="B275" s="11"/>
      <c r="C275" s="11"/>
      <c r="D275" s="11"/>
      <c r="E275" s="11"/>
      <c r="F275" s="11"/>
      <c r="G275" s="11"/>
      <c r="H275" s="12"/>
    </row>
    <row r="276" spans="1:8" x14ac:dyDescent="0.25">
      <c r="A276" s="11"/>
      <c r="B276" s="11"/>
      <c r="C276" s="11"/>
      <c r="D276" s="11"/>
      <c r="E276" s="11"/>
      <c r="F276" s="11"/>
      <c r="G276" s="11"/>
      <c r="H276" s="12"/>
    </row>
    <row r="277" spans="1:8" x14ac:dyDescent="0.25">
      <c r="A277" s="11"/>
      <c r="B277" s="11"/>
      <c r="C277" s="11"/>
      <c r="D277" s="11"/>
      <c r="E277" s="11"/>
      <c r="F277" s="11"/>
      <c r="G277" s="11"/>
      <c r="H277" s="12"/>
    </row>
    <row r="278" spans="1:8" x14ac:dyDescent="0.25">
      <c r="A278" s="11"/>
      <c r="B278" s="11"/>
      <c r="C278" s="11"/>
      <c r="D278" s="11"/>
      <c r="E278" s="11"/>
      <c r="F278" s="11"/>
      <c r="G278" s="11"/>
      <c r="H278" s="12"/>
    </row>
    <row r="279" spans="1:8" x14ac:dyDescent="0.25">
      <c r="A279" s="11"/>
      <c r="B279" s="11"/>
      <c r="C279" s="11"/>
      <c r="D279" s="11"/>
      <c r="E279" s="11"/>
      <c r="F279" s="11"/>
      <c r="G279" s="11"/>
      <c r="H279" s="12"/>
    </row>
    <row r="280" spans="1:8" x14ac:dyDescent="0.25">
      <c r="A280" s="11"/>
      <c r="B280" s="11"/>
      <c r="C280" s="11"/>
      <c r="D280" s="11"/>
      <c r="E280" s="11"/>
      <c r="F280" s="11"/>
      <c r="G280" s="11"/>
      <c r="H280" s="12"/>
    </row>
    <row r="281" spans="1:8" x14ac:dyDescent="0.25">
      <c r="A281" s="11"/>
      <c r="B281" s="11"/>
      <c r="C281" s="11"/>
      <c r="D281" s="11"/>
      <c r="E281" s="11"/>
      <c r="F281" s="11"/>
      <c r="G281" s="11"/>
      <c r="H281" s="12"/>
    </row>
    <row r="282" spans="1:8" x14ac:dyDescent="0.25">
      <c r="A282" s="11"/>
      <c r="B282" s="11"/>
      <c r="C282" s="11"/>
      <c r="D282" s="11"/>
      <c r="E282" s="11"/>
      <c r="F282" s="11"/>
      <c r="G282" s="11"/>
      <c r="H282" s="12"/>
    </row>
    <row r="283" spans="1:8" x14ac:dyDescent="0.25">
      <c r="A283" s="11"/>
      <c r="B283" s="11"/>
      <c r="C283" s="11"/>
      <c r="D283" s="11"/>
      <c r="E283" s="11"/>
      <c r="F283" s="11"/>
      <c r="G283" s="11"/>
      <c r="H283" s="12"/>
    </row>
    <row r="284" spans="1:8" x14ac:dyDescent="0.25">
      <c r="A284" s="11"/>
      <c r="B284" s="11"/>
      <c r="C284" s="11"/>
      <c r="D284" s="11"/>
      <c r="E284" s="11"/>
      <c r="F284" s="11"/>
      <c r="G284" s="11"/>
      <c r="H284" s="12"/>
    </row>
    <row r="285" spans="1:8" x14ac:dyDescent="0.25">
      <c r="A285" s="11"/>
      <c r="B285" s="11"/>
      <c r="C285" s="11"/>
      <c r="D285" s="11"/>
      <c r="E285" s="11"/>
      <c r="F285" s="11"/>
      <c r="G285" s="11"/>
      <c r="H285" s="12"/>
    </row>
    <row r="286" spans="1:8" x14ac:dyDescent="0.25">
      <c r="A286" s="11"/>
      <c r="B286" s="11"/>
      <c r="C286" s="11"/>
      <c r="D286" s="11"/>
      <c r="E286" s="11"/>
      <c r="F286" s="11"/>
      <c r="G286" s="11"/>
      <c r="H286" s="12"/>
    </row>
    <row r="287" spans="1:8" x14ac:dyDescent="0.25">
      <c r="A287" s="11"/>
      <c r="B287" s="11"/>
      <c r="C287" s="11"/>
      <c r="D287" s="11"/>
      <c r="E287" s="11"/>
      <c r="F287" s="11"/>
      <c r="G287" s="11"/>
      <c r="H287" s="12"/>
    </row>
    <row r="288" spans="1:8" x14ac:dyDescent="0.25">
      <c r="A288" s="11"/>
      <c r="B288" s="11"/>
      <c r="C288" s="11"/>
      <c r="D288" s="11"/>
      <c r="E288" s="11"/>
      <c r="F288" s="11"/>
      <c r="G288" s="11"/>
      <c r="H288" s="12"/>
    </row>
    <row r="289" spans="1:8" x14ac:dyDescent="0.25">
      <c r="A289" s="11"/>
      <c r="B289" s="11"/>
      <c r="C289" s="11"/>
      <c r="D289" s="11"/>
      <c r="E289" s="11"/>
      <c r="F289" s="11"/>
      <c r="G289" s="11"/>
      <c r="H289" s="12"/>
    </row>
    <row r="290" spans="1:8" x14ac:dyDescent="0.25">
      <c r="A290" s="11"/>
      <c r="B290" s="11"/>
      <c r="C290" s="11"/>
      <c r="D290" s="11"/>
      <c r="E290" s="11"/>
      <c r="F290" s="11"/>
      <c r="G290" s="11"/>
      <c r="H290" s="12"/>
    </row>
    <row r="291" spans="1:8" x14ac:dyDescent="0.25">
      <c r="A291" s="11"/>
      <c r="B291" s="11"/>
      <c r="C291" s="11"/>
      <c r="D291" s="11"/>
      <c r="E291" s="11"/>
      <c r="F291" s="11"/>
      <c r="G291" s="11"/>
      <c r="H291" s="12"/>
    </row>
    <row r="292" spans="1:8" x14ac:dyDescent="0.25">
      <c r="A292" s="11"/>
      <c r="B292" s="11"/>
      <c r="C292" s="11"/>
      <c r="D292" s="11"/>
      <c r="E292" s="11"/>
      <c r="F292" s="11"/>
      <c r="G292" s="11"/>
      <c r="H292" s="12"/>
    </row>
    <row r="293" spans="1:8" x14ac:dyDescent="0.25">
      <c r="A293" s="11"/>
      <c r="B293" s="11"/>
      <c r="C293" s="11"/>
      <c r="D293" s="11"/>
      <c r="E293" s="11"/>
      <c r="F293" s="11"/>
      <c r="G293" s="11"/>
      <c r="H293" s="12"/>
    </row>
    <row r="294" spans="1:8" x14ac:dyDescent="0.25">
      <c r="A294" s="11"/>
      <c r="B294" s="11"/>
      <c r="C294" s="11"/>
      <c r="D294" s="11"/>
      <c r="E294" s="11"/>
      <c r="F294" s="11"/>
      <c r="G294" s="11"/>
      <c r="H294" s="12"/>
    </row>
    <row r="295" spans="1:8" x14ac:dyDescent="0.25">
      <c r="A295" s="11"/>
      <c r="B295" s="11"/>
      <c r="C295" s="11"/>
      <c r="D295" s="11"/>
      <c r="E295" s="11"/>
      <c r="F295" s="11"/>
      <c r="G295" s="11"/>
      <c r="H295" s="12"/>
    </row>
    <row r="296" spans="1:8" x14ac:dyDescent="0.25">
      <c r="A296" s="11"/>
      <c r="B296" s="11"/>
      <c r="C296" s="11"/>
      <c r="D296" s="11"/>
      <c r="E296" s="11"/>
      <c r="F296" s="11"/>
      <c r="G296" s="11"/>
      <c r="H296" s="12"/>
    </row>
    <row r="297" spans="1:8" x14ac:dyDescent="0.25">
      <c r="A297" s="11"/>
      <c r="B297" s="11"/>
      <c r="C297" s="11"/>
      <c r="D297" s="11"/>
      <c r="E297" s="11"/>
      <c r="F297" s="11"/>
      <c r="G297" s="11"/>
      <c r="H297" s="12"/>
    </row>
    <row r="298" spans="1:8" x14ac:dyDescent="0.25">
      <c r="A298" s="11"/>
      <c r="B298" s="11"/>
      <c r="C298" s="11"/>
      <c r="D298" s="11"/>
      <c r="E298" s="11"/>
      <c r="F298" s="11"/>
      <c r="G298" s="11"/>
      <c r="H298" s="12"/>
    </row>
    <row r="299" spans="1:8" x14ac:dyDescent="0.25">
      <c r="A299" s="11"/>
      <c r="B299" s="11"/>
      <c r="C299" s="11"/>
      <c r="D299" s="11"/>
      <c r="E299" s="11"/>
      <c r="F299" s="11"/>
      <c r="G299" s="11"/>
      <c r="H299" s="12"/>
    </row>
    <row r="300" spans="1:8" x14ac:dyDescent="0.25">
      <c r="A300" s="11"/>
      <c r="B300" s="11"/>
      <c r="C300" s="11"/>
      <c r="D300" s="11"/>
      <c r="E300" s="11"/>
      <c r="F300" s="11"/>
      <c r="G300" s="11"/>
      <c r="H300" s="12"/>
    </row>
    <row r="301" spans="1:8" x14ac:dyDescent="0.25">
      <c r="A301" s="11"/>
      <c r="B301" s="11"/>
      <c r="C301" s="11"/>
      <c r="D301" s="11"/>
      <c r="E301" s="11"/>
      <c r="F301" s="11"/>
      <c r="G301" s="11"/>
      <c r="H301" s="12"/>
    </row>
    <row r="302" spans="1:8" x14ac:dyDescent="0.25">
      <c r="A302" s="11"/>
      <c r="B302" s="11"/>
      <c r="C302" s="11"/>
      <c r="D302" s="11"/>
      <c r="E302" s="11"/>
      <c r="F302" s="11"/>
      <c r="G302" s="11"/>
      <c r="H302" s="12"/>
    </row>
    <row r="303" spans="1:8" x14ac:dyDescent="0.25">
      <c r="A303" s="11"/>
      <c r="B303" s="11"/>
      <c r="C303" s="11"/>
      <c r="D303" s="11"/>
      <c r="E303" s="11"/>
      <c r="F303" s="11"/>
      <c r="G303" s="11"/>
      <c r="H303" s="12"/>
    </row>
    <row r="304" spans="1:8" x14ac:dyDescent="0.25">
      <c r="A304" s="11"/>
      <c r="B304" s="11"/>
      <c r="C304" s="11"/>
      <c r="D304" s="11"/>
      <c r="E304" s="11"/>
      <c r="F304" s="11"/>
      <c r="G304" s="11"/>
      <c r="H304" s="12"/>
    </row>
    <row r="305" spans="1:8" x14ac:dyDescent="0.25">
      <c r="A305" s="11"/>
      <c r="B305" s="11"/>
      <c r="C305" s="11"/>
      <c r="D305" s="11"/>
      <c r="E305" s="11"/>
      <c r="F305" s="11"/>
      <c r="G305" s="11"/>
      <c r="H305" s="12"/>
    </row>
    <row r="306" spans="1:8" x14ac:dyDescent="0.25">
      <c r="A306" s="11"/>
      <c r="B306" s="11"/>
      <c r="C306" s="11"/>
      <c r="D306" s="11"/>
      <c r="E306" s="11"/>
      <c r="F306" s="11"/>
      <c r="G306" s="11"/>
      <c r="H306" s="12"/>
    </row>
    <row r="307" spans="1:8" x14ac:dyDescent="0.25">
      <c r="A307" s="11"/>
      <c r="B307" s="11"/>
      <c r="C307" s="11"/>
      <c r="D307" s="11"/>
      <c r="E307" s="11"/>
      <c r="F307" s="11"/>
      <c r="G307" s="11"/>
      <c r="H307" s="12"/>
    </row>
    <row r="308" spans="1:8" x14ac:dyDescent="0.25">
      <c r="A308" s="11"/>
      <c r="B308" s="11"/>
      <c r="C308" s="11"/>
      <c r="D308" s="11"/>
      <c r="E308" s="11"/>
      <c r="F308" s="11"/>
      <c r="G308" s="11"/>
      <c r="H308" s="12"/>
    </row>
    <row r="309" spans="1:8" x14ac:dyDescent="0.25">
      <c r="A309" s="11"/>
      <c r="B309" s="11"/>
      <c r="C309" s="11"/>
      <c r="D309" s="11"/>
      <c r="E309" s="11"/>
      <c r="F309" s="11"/>
      <c r="G309" s="11"/>
      <c r="H309" s="12"/>
    </row>
    <row r="310" spans="1:8" x14ac:dyDescent="0.25">
      <c r="A310" s="11"/>
      <c r="B310" s="11"/>
      <c r="C310" s="11"/>
      <c r="D310" s="11"/>
      <c r="E310" s="11"/>
      <c r="F310" s="11"/>
      <c r="G310" s="11"/>
      <c r="H310" s="12"/>
    </row>
    <row r="311" spans="1:8" x14ac:dyDescent="0.25">
      <c r="A311" s="11"/>
      <c r="B311" s="11"/>
      <c r="C311" s="11"/>
      <c r="D311" s="11"/>
      <c r="E311" s="11"/>
      <c r="F311" s="11"/>
      <c r="G311" s="11"/>
      <c r="H311" s="12"/>
    </row>
    <row r="312" spans="1:8" x14ac:dyDescent="0.25">
      <c r="A312" s="11"/>
      <c r="B312" s="11"/>
      <c r="C312" s="11"/>
      <c r="D312" s="11"/>
      <c r="E312" s="11"/>
      <c r="F312" s="11"/>
      <c r="G312" s="11"/>
      <c r="H312" s="12"/>
    </row>
    <row r="313" spans="1:8" x14ac:dyDescent="0.25">
      <c r="A313" s="11"/>
      <c r="B313" s="11"/>
      <c r="C313" s="11"/>
      <c r="D313" s="11"/>
      <c r="E313" s="11"/>
      <c r="F313" s="11"/>
      <c r="G313" s="11"/>
      <c r="H313" s="12"/>
    </row>
    <row r="314" spans="1:8" x14ac:dyDescent="0.25">
      <c r="A314" s="11"/>
      <c r="B314" s="11"/>
      <c r="C314" s="11"/>
      <c r="D314" s="11"/>
      <c r="E314" s="11"/>
      <c r="F314" s="11"/>
      <c r="G314" s="11"/>
      <c r="H314" s="12"/>
    </row>
    <row r="315" spans="1:8" x14ac:dyDescent="0.25">
      <c r="A315" s="11"/>
      <c r="B315" s="11"/>
      <c r="C315" s="11"/>
      <c r="D315" s="11"/>
      <c r="E315" s="11"/>
      <c r="F315" s="11"/>
      <c r="G315" s="11"/>
      <c r="H315" s="12"/>
    </row>
    <row r="316" spans="1:8" x14ac:dyDescent="0.25">
      <c r="A316" s="11"/>
      <c r="B316" s="11"/>
      <c r="C316" s="11"/>
      <c r="D316" s="11"/>
      <c r="E316" s="11"/>
      <c r="F316" s="11"/>
      <c r="G316" s="11"/>
      <c r="H316" s="12"/>
    </row>
    <row r="317" spans="1:8" x14ac:dyDescent="0.25">
      <c r="A317" s="11"/>
      <c r="B317" s="11"/>
      <c r="C317" s="11"/>
      <c r="D317" s="11"/>
      <c r="E317" s="11"/>
      <c r="F317" s="11"/>
      <c r="G317" s="11"/>
      <c r="H317" s="12"/>
    </row>
    <row r="318" spans="1:8" x14ac:dyDescent="0.25">
      <c r="A318" s="11"/>
      <c r="B318" s="11"/>
      <c r="C318" s="11"/>
      <c r="D318" s="11"/>
      <c r="E318" s="11"/>
      <c r="F318" s="11"/>
      <c r="G318" s="11"/>
      <c r="H318" s="12"/>
    </row>
    <row r="319" spans="1:8" x14ac:dyDescent="0.25">
      <c r="A319" s="11"/>
      <c r="B319" s="11"/>
      <c r="C319" s="11"/>
      <c r="D319" s="11"/>
      <c r="E319" s="11"/>
      <c r="F319" s="11"/>
      <c r="G319" s="11"/>
      <c r="H319" s="12"/>
    </row>
    <row r="320" spans="1:8" x14ac:dyDescent="0.25">
      <c r="A320" s="11"/>
      <c r="B320" s="11"/>
      <c r="C320" s="11"/>
      <c r="D320" s="11"/>
      <c r="E320" s="11"/>
      <c r="F320" s="11"/>
      <c r="G320" s="11"/>
      <c r="H320" s="12"/>
    </row>
    <row r="321" spans="1:8" x14ac:dyDescent="0.25">
      <c r="A321" s="11"/>
      <c r="B321" s="11"/>
      <c r="C321" s="11"/>
      <c r="D321" s="11"/>
      <c r="E321" s="11"/>
      <c r="F321" s="11"/>
      <c r="G321" s="11"/>
      <c r="H321" s="12"/>
    </row>
    <row r="322" spans="1:8" x14ac:dyDescent="0.25">
      <c r="A322" s="11"/>
      <c r="B322" s="11"/>
      <c r="C322" s="11"/>
      <c r="D322" s="11"/>
      <c r="E322" s="11"/>
      <c r="F322" s="11"/>
      <c r="G322" s="11"/>
      <c r="H322" s="12"/>
    </row>
    <row r="323" spans="1:8" x14ac:dyDescent="0.25">
      <c r="A323" s="11"/>
      <c r="B323" s="11"/>
      <c r="C323" s="11"/>
      <c r="D323" s="11"/>
      <c r="E323" s="11"/>
      <c r="F323" s="11"/>
      <c r="G323" s="11"/>
      <c r="H323" s="12"/>
    </row>
    <row r="324" spans="1:8" x14ac:dyDescent="0.25">
      <c r="A324" s="11"/>
      <c r="B324" s="11"/>
      <c r="C324" s="11"/>
      <c r="D324" s="11"/>
      <c r="E324" s="11"/>
      <c r="F324" s="11"/>
      <c r="G324" s="11"/>
      <c r="H324" s="12"/>
    </row>
    <row r="325" spans="1:8" x14ac:dyDescent="0.25">
      <c r="A325" s="11"/>
      <c r="B325" s="11"/>
      <c r="C325" s="11"/>
      <c r="D325" s="11"/>
      <c r="E325" s="11"/>
      <c r="F325" s="11"/>
      <c r="G325" s="11"/>
      <c r="H325" s="12"/>
    </row>
    <row r="326" spans="1:8" x14ac:dyDescent="0.25">
      <c r="A326" s="11"/>
      <c r="B326" s="11"/>
      <c r="C326" s="11"/>
      <c r="D326" s="11"/>
      <c r="E326" s="11"/>
      <c r="F326" s="11"/>
      <c r="G326" s="11"/>
      <c r="H326" s="12"/>
    </row>
    <row r="327" spans="1:8" x14ac:dyDescent="0.25">
      <c r="A327" s="11"/>
      <c r="B327" s="11"/>
      <c r="C327" s="11"/>
      <c r="D327" s="11"/>
      <c r="E327" s="11"/>
      <c r="F327" s="11"/>
      <c r="G327" s="11"/>
      <c r="H327" s="12"/>
    </row>
    <row r="328" spans="1:8" x14ac:dyDescent="0.25">
      <c r="A328" s="11"/>
      <c r="B328" s="11"/>
      <c r="C328" s="11"/>
      <c r="D328" s="11"/>
      <c r="E328" s="11"/>
      <c r="F328" s="11"/>
      <c r="G328" s="11"/>
      <c r="H328" s="12"/>
    </row>
    <row r="329" spans="1:8" x14ac:dyDescent="0.25">
      <c r="A329" s="11"/>
      <c r="B329" s="11"/>
      <c r="C329" s="11"/>
      <c r="D329" s="11"/>
      <c r="E329" s="11"/>
      <c r="F329" s="11"/>
      <c r="G329" s="11"/>
      <c r="H329" s="12"/>
    </row>
    <row r="330" spans="1:8" x14ac:dyDescent="0.25">
      <c r="A330" s="11"/>
      <c r="B330" s="11"/>
      <c r="C330" s="11"/>
      <c r="D330" s="11"/>
      <c r="E330" s="11"/>
      <c r="F330" s="11"/>
      <c r="G330" s="11"/>
      <c r="H330" s="12"/>
    </row>
    <row r="331" spans="1:8" x14ac:dyDescent="0.25">
      <c r="A331" s="11"/>
      <c r="B331" s="11"/>
      <c r="C331" s="11"/>
      <c r="D331" s="11"/>
      <c r="E331" s="11"/>
      <c r="F331" s="11"/>
      <c r="G331" s="11"/>
      <c r="H331" s="12"/>
    </row>
    <row r="332" spans="1:8" x14ac:dyDescent="0.25">
      <c r="A332" s="11"/>
      <c r="B332" s="11"/>
      <c r="C332" s="11"/>
      <c r="D332" s="11"/>
      <c r="E332" s="11"/>
      <c r="F332" s="11"/>
      <c r="G332" s="11"/>
      <c r="H332" s="12"/>
    </row>
    <row r="333" spans="1:8" x14ac:dyDescent="0.25">
      <c r="A333" s="11"/>
      <c r="B333" s="11"/>
      <c r="C333" s="11"/>
      <c r="D333" s="11"/>
      <c r="E333" s="11"/>
      <c r="F333" s="11"/>
      <c r="G333" s="11"/>
      <c r="H333" s="12"/>
    </row>
    <row r="334" spans="1:8" x14ac:dyDescent="0.25">
      <c r="A334" s="11"/>
      <c r="B334" s="11"/>
      <c r="C334" s="11"/>
      <c r="D334" s="11"/>
      <c r="E334" s="11"/>
      <c r="F334" s="11"/>
      <c r="G334" s="11"/>
      <c r="H334" s="12"/>
    </row>
    <row r="335" spans="1:8" x14ac:dyDescent="0.25">
      <c r="A335" s="11"/>
      <c r="B335" s="11"/>
      <c r="C335" s="11"/>
      <c r="D335" s="11"/>
      <c r="E335" s="11"/>
      <c r="F335" s="11"/>
      <c r="G335" s="11"/>
      <c r="H335" s="12"/>
    </row>
    <row r="336" spans="1:8" x14ac:dyDescent="0.25">
      <c r="A336" s="11"/>
      <c r="B336" s="11"/>
      <c r="C336" s="11"/>
      <c r="D336" s="11"/>
      <c r="E336" s="11"/>
      <c r="F336" s="11"/>
      <c r="G336" s="11"/>
      <c r="H336" s="12"/>
    </row>
    <row r="337" spans="1:8" x14ac:dyDescent="0.25">
      <c r="A337" s="11"/>
      <c r="B337" s="11"/>
      <c r="C337" s="11"/>
      <c r="D337" s="11"/>
      <c r="E337" s="11"/>
      <c r="F337" s="11"/>
      <c r="G337" s="11"/>
      <c r="H337" s="12"/>
    </row>
    <row r="338" spans="1:8" x14ac:dyDescent="0.25">
      <c r="A338" s="11"/>
      <c r="B338" s="11"/>
      <c r="C338" s="11"/>
      <c r="D338" s="11"/>
      <c r="E338" s="11"/>
      <c r="F338" s="11"/>
      <c r="G338" s="11"/>
      <c r="H338" s="12"/>
    </row>
    <row r="339" spans="1:8" x14ac:dyDescent="0.25">
      <c r="A339" s="11"/>
      <c r="B339" s="11"/>
      <c r="C339" s="11"/>
      <c r="D339" s="11"/>
      <c r="E339" s="11"/>
      <c r="F339" s="11"/>
      <c r="G339" s="11"/>
      <c r="H339" s="12"/>
    </row>
    <row r="340" spans="1:8" x14ac:dyDescent="0.25">
      <c r="A340" s="11"/>
      <c r="B340" s="11"/>
      <c r="C340" s="11"/>
      <c r="D340" s="11"/>
      <c r="E340" s="11"/>
      <c r="F340" s="11"/>
      <c r="G340" s="11"/>
      <c r="H340" s="12"/>
    </row>
    <row r="341" spans="1:8" x14ac:dyDescent="0.25">
      <c r="A341" s="11"/>
      <c r="B341" s="11"/>
      <c r="C341" s="11"/>
      <c r="D341" s="11"/>
      <c r="E341" s="11"/>
      <c r="F341" s="11"/>
      <c r="G341" s="11"/>
      <c r="H341" s="12"/>
    </row>
    <row r="342" spans="1:8" x14ac:dyDescent="0.25">
      <c r="A342" s="11"/>
      <c r="B342" s="11"/>
      <c r="C342" s="11"/>
      <c r="D342" s="11"/>
      <c r="E342" s="11"/>
      <c r="F342" s="11"/>
      <c r="G342" s="11"/>
      <c r="H342" s="12"/>
    </row>
    <row r="343" spans="1:8" x14ac:dyDescent="0.25">
      <c r="A343" s="11"/>
      <c r="B343" s="11"/>
      <c r="C343" s="11"/>
      <c r="D343" s="11"/>
      <c r="E343" s="11"/>
      <c r="F343" s="11"/>
      <c r="G343" s="11"/>
      <c r="H343" s="12"/>
    </row>
    <row r="344" spans="1:8" x14ac:dyDescent="0.25">
      <c r="A344" s="11"/>
      <c r="B344" s="11"/>
      <c r="C344" s="11"/>
      <c r="D344" s="11"/>
      <c r="E344" s="11"/>
      <c r="F344" s="11"/>
      <c r="G344" s="11"/>
      <c r="H344" s="12"/>
    </row>
    <row r="345" spans="1:8" x14ac:dyDescent="0.25">
      <c r="A345" s="11"/>
      <c r="B345" s="11"/>
      <c r="C345" s="11"/>
      <c r="D345" s="11"/>
      <c r="E345" s="11"/>
      <c r="F345" s="11"/>
      <c r="G345" s="11"/>
      <c r="H345" s="12"/>
    </row>
    <row r="346" spans="1:8" x14ac:dyDescent="0.25">
      <c r="A346" s="11"/>
      <c r="B346" s="11"/>
      <c r="C346" s="11"/>
      <c r="D346" s="11"/>
      <c r="E346" s="11"/>
      <c r="F346" s="11"/>
      <c r="G346" s="11"/>
      <c r="H346" s="12"/>
    </row>
    <row r="347" spans="1:8" x14ac:dyDescent="0.25">
      <c r="A347" s="11"/>
      <c r="B347" s="11"/>
      <c r="C347" s="11"/>
      <c r="D347" s="11"/>
      <c r="E347" s="11"/>
      <c r="F347" s="11"/>
      <c r="G347" s="11"/>
      <c r="H347" s="12"/>
    </row>
    <row r="348" spans="1:8" x14ac:dyDescent="0.25">
      <c r="A348" s="11"/>
      <c r="B348" s="11"/>
      <c r="C348" s="11"/>
      <c r="D348" s="11"/>
      <c r="E348" s="11"/>
      <c r="F348" s="11"/>
      <c r="G348" s="11"/>
      <c r="H348" s="12"/>
    </row>
    <row r="349" spans="1:8" x14ac:dyDescent="0.25">
      <c r="A349" s="11"/>
      <c r="B349" s="11"/>
      <c r="C349" s="11"/>
      <c r="D349" s="11"/>
      <c r="E349" s="11"/>
      <c r="F349" s="11"/>
      <c r="G349" s="11"/>
      <c r="H349" s="12"/>
    </row>
    <row r="350" spans="1:8" x14ac:dyDescent="0.25">
      <c r="A350" s="11"/>
      <c r="B350" s="11"/>
      <c r="C350" s="11"/>
      <c r="D350" s="11"/>
      <c r="E350" s="11"/>
      <c r="F350" s="11"/>
      <c r="G350" s="11"/>
      <c r="H350" s="12"/>
    </row>
    <row r="351" spans="1:8" x14ac:dyDescent="0.25">
      <c r="A351" s="11"/>
      <c r="B351" s="11"/>
      <c r="C351" s="11"/>
      <c r="D351" s="11"/>
      <c r="E351" s="11"/>
      <c r="F351" s="11"/>
      <c r="G351" s="11"/>
      <c r="H351" s="12"/>
    </row>
    <row r="352" spans="1:8" x14ac:dyDescent="0.25">
      <c r="A352" s="11"/>
      <c r="B352" s="11"/>
      <c r="C352" s="11"/>
      <c r="D352" s="11"/>
      <c r="E352" s="11"/>
      <c r="F352" s="11"/>
      <c r="G352" s="11"/>
      <c r="H352" s="12"/>
    </row>
    <row r="353" spans="1:8" x14ac:dyDescent="0.25">
      <c r="A353" s="11"/>
      <c r="B353" s="11"/>
      <c r="C353" s="11"/>
      <c r="D353" s="11"/>
      <c r="E353" s="11"/>
      <c r="F353" s="11"/>
      <c r="G353" s="11"/>
      <c r="H353" s="12"/>
    </row>
    <row r="354" spans="1:8" x14ac:dyDescent="0.25">
      <c r="A354" s="11"/>
      <c r="B354" s="11"/>
      <c r="C354" s="11"/>
      <c r="D354" s="11"/>
      <c r="E354" s="11"/>
      <c r="F354" s="11"/>
      <c r="G354" s="11"/>
      <c r="H354" s="12"/>
    </row>
    <row r="355" spans="1:8" x14ac:dyDescent="0.25">
      <c r="A355" s="11"/>
      <c r="B355" s="11"/>
      <c r="C355" s="11"/>
      <c r="D355" s="11"/>
      <c r="E355" s="11"/>
      <c r="F355" s="11"/>
      <c r="G355" s="11"/>
      <c r="H355" s="12"/>
    </row>
    <row r="356" spans="1:8" x14ac:dyDescent="0.25">
      <c r="A356" s="11"/>
      <c r="B356" s="11"/>
      <c r="C356" s="11"/>
      <c r="D356" s="11"/>
      <c r="E356" s="11"/>
      <c r="F356" s="11"/>
      <c r="G356" s="11"/>
      <c r="H356" s="12"/>
    </row>
    <row r="357" spans="1:8" x14ac:dyDescent="0.25">
      <c r="A357" s="11"/>
      <c r="B357" s="11"/>
      <c r="C357" s="11"/>
      <c r="D357" s="11"/>
      <c r="E357" s="11"/>
      <c r="F357" s="11"/>
      <c r="G357" s="11"/>
      <c r="H357" s="12"/>
    </row>
    <row r="358" spans="1:8" x14ac:dyDescent="0.25">
      <c r="A358" s="11"/>
      <c r="B358" s="11"/>
      <c r="C358" s="11"/>
      <c r="D358" s="11"/>
      <c r="E358" s="11"/>
      <c r="F358" s="11"/>
      <c r="G358" s="11"/>
      <c r="H358" s="12"/>
    </row>
    <row r="359" spans="1:8" x14ac:dyDescent="0.25">
      <c r="A359" s="11"/>
      <c r="B359" s="11"/>
      <c r="C359" s="11"/>
      <c r="D359" s="11"/>
      <c r="E359" s="11"/>
      <c r="F359" s="11"/>
      <c r="G359" s="11"/>
      <c r="H359" s="12"/>
    </row>
    <row r="360" spans="1:8" x14ac:dyDescent="0.25">
      <c r="A360" s="11"/>
      <c r="B360" s="11"/>
      <c r="C360" s="11"/>
      <c r="D360" s="11"/>
      <c r="E360" s="11"/>
      <c r="F360" s="11"/>
      <c r="G360" s="11"/>
      <c r="H360" s="12"/>
    </row>
    <row r="361" spans="1:8" x14ac:dyDescent="0.25">
      <c r="A361" s="11"/>
      <c r="B361" s="11"/>
      <c r="C361" s="11"/>
      <c r="D361" s="11"/>
      <c r="E361" s="11"/>
      <c r="F361" s="11"/>
      <c r="G361" s="11"/>
      <c r="H361" s="12"/>
    </row>
    <row r="362" spans="1:8" x14ac:dyDescent="0.25">
      <c r="A362" s="11"/>
      <c r="B362" s="11"/>
      <c r="C362" s="11"/>
      <c r="D362" s="11"/>
      <c r="E362" s="11"/>
      <c r="F362" s="11"/>
      <c r="G362" s="11"/>
      <c r="H362" s="12"/>
    </row>
    <row r="363" spans="1:8" x14ac:dyDescent="0.25">
      <c r="A363" s="11"/>
      <c r="B363" s="11"/>
      <c r="C363" s="11"/>
      <c r="D363" s="11"/>
      <c r="E363" s="11"/>
      <c r="F363" s="11"/>
      <c r="G363" s="11"/>
      <c r="H363" s="12"/>
    </row>
    <row r="364" spans="1:8" x14ac:dyDescent="0.25">
      <c r="A364" s="11"/>
      <c r="B364" s="11"/>
      <c r="C364" s="11"/>
      <c r="D364" s="11"/>
      <c r="E364" s="11"/>
      <c r="F364" s="11"/>
      <c r="G364" s="11"/>
      <c r="H364" s="12"/>
    </row>
    <row r="365" spans="1:8" x14ac:dyDescent="0.25">
      <c r="A365" s="11"/>
      <c r="B365" s="11"/>
      <c r="C365" s="11"/>
      <c r="D365" s="11"/>
      <c r="E365" s="11"/>
      <c r="F365" s="11"/>
      <c r="G365" s="11"/>
      <c r="H365" s="12"/>
    </row>
    <row r="366" spans="1:8" x14ac:dyDescent="0.25">
      <c r="A366" s="11"/>
      <c r="B366" s="11"/>
      <c r="C366" s="11"/>
      <c r="D366" s="11"/>
      <c r="E366" s="11"/>
      <c r="F366" s="11"/>
      <c r="G366" s="11"/>
      <c r="H366" s="12"/>
    </row>
    <row r="367" spans="1:8" x14ac:dyDescent="0.25">
      <c r="A367" s="11"/>
      <c r="B367" s="11"/>
      <c r="C367" s="11"/>
      <c r="D367" s="11"/>
      <c r="E367" s="11"/>
      <c r="F367" s="11"/>
      <c r="G367" s="11"/>
      <c r="H367" s="12"/>
    </row>
    <row r="368" spans="1:8" x14ac:dyDescent="0.25">
      <c r="A368" s="11"/>
      <c r="B368" s="11"/>
      <c r="C368" s="11"/>
      <c r="D368" s="11"/>
      <c r="E368" s="11"/>
      <c r="F368" s="11"/>
      <c r="G368" s="11"/>
      <c r="H368" s="12"/>
    </row>
    <row r="369" spans="1:8" x14ac:dyDescent="0.25">
      <c r="A369" s="11"/>
      <c r="B369" s="11"/>
      <c r="C369" s="11"/>
      <c r="D369" s="11"/>
      <c r="E369" s="11"/>
      <c r="F369" s="11"/>
      <c r="G369" s="11"/>
      <c r="H369" s="12"/>
    </row>
    <row r="370" spans="1:8" x14ac:dyDescent="0.25">
      <c r="A370" s="11"/>
      <c r="B370" s="11"/>
      <c r="C370" s="11"/>
      <c r="D370" s="11"/>
      <c r="E370" s="11"/>
      <c r="F370" s="11"/>
      <c r="G370" s="11"/>
      <c r="H370" s="12"/>
    </row>
    <row r="371" spans="1:8" x14ac:dyDescent="0.25">
      <c r="A371" s="11"/>
      <c r="B371" s="11"/>
      <c r="C371" s="11"/>
      <c r="D371" s="11"/>
      <c r="E371" s="11"/>
      <c r="F371" s="11"/>
      <c r="G371" s="11"/>
      <c r="H371" s="12"/>
    </row>
    <row r="372" spans="1:8" x14ac:dyDescent="0.25">
      <c r="A372" s="11"/>
      <c r="B372" s="11"/>
      <c r="C372" s="11"/>
      <c r="D372" s="11"/>
      <c r="E372" s="11"/>
      <c r="F372" s="11"/>
      <c r="G372" s="11"/>
      <c r="H372" s="12"/>
    </row>
    <row r="373" spans="1:8" x14ac:dyDescent="0.25">
      <c r="A373" s="11"/>
      <c r="B373" s="11"/>
      <c r="C373" s="11"/>
      <c r="D373" s="11"/>
      <c r="E373" s="11"/>
      <c r="F373" s="11"/>
      <c r="G373" s="11"/>
      <c r="H373" s="12"/>
    </row>
    <row r="374" spans="1:8" x14ac:dyDescent="0.25">
      <c r="A374" s="11"/>
      <c r="B374" s="11"/>
      <c r="C374" s="11"/>
      <c r="D374" s="11"/>
      <c r="E374" s="11"/>
      <c r="F374" s="11"/>
      <c r="G374" s="11"/>
      <c r="H374" s="12"/>
    </row>
    <row r="375" spans="1:8" x14ac:dyDescent="0.25">
      <c r="A375" s="11"/>
      <c r="B375" s="11"/>
      <c r="C375" s="11"/>
      <c r="D375" s="11"/>
      <c r="E375" s="11"/>
      <c r="F375" s="11"/>
      <c r="G375" s="11"/>
      <c r="H375" s="12"/>
    </row>
    <row r="376" spans="1:8" x14ac:dyDescent="0.25">
      <c r="A376" s="11"/>
      <c r="B376" s="11"/>
      <c r="C376" s="11"/>
      <c r="D376" s="11"/>
      <c r="E376" s="11"/>
      <c r="F376" s="11"/>
      <c r="G376" s="11"/>
      <c r="H376" s="12"/>
    </row>
    <row r="377" spans="1:8" x14ac:dyDescent="0.25">
      <c r="A377" s="11"/>
      <c r="B377" s="11"/>
      <c r="C377" s="11"/>
      <c r="D377" s="11"/>
      <c r="E377" s="11"/>
      <c r="F377" s="11"/>
      <c r="G377" s="11"/>
      <c r="H377" s="12"/>
    </row>
  </sheetData>
  <autoFilter ref="A1:BD73" xr:uid="{00000000-0009-0000-0000-00000D000000}">
    <sortState xmlns:xlrd2="http://schemas.microsoft.com/office/spreadsheetml/2017/richdata2" ref="A2:AW73">
      <sortCondition ref="H1:H73"/>
    </sortState>
  </autoFilter>
  <printOptions gridLines="1"/>
  <pageMargins left="0.70866141732283472" right="0.70866141732283472" top="0.78740157480314965" bottom="0.78740157480314965" header="0.31496062992125984" footer="0.31496062992125984"/>
  <pageSetup paperSize="9" scale="75" fitToHeight="0" orientation="landscape" horizontalDpi="4294967293" verticalDpi="4294967293" r:id="rId1"/>
  <headerFooter>
    <oddHeader>&amp;L&amp;14&amp;A</oddHeader>
    <oddFooter>&amp;LSeite &amp;P&amp;R&amp;Z&amp;F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EB88-531F-42E7-B168-97C6CA12C4E7}">
  <sheetPr>
    <tabColor theme="8" tint="0.59999389629810485"/>
    <pageSetUpPr fitToPage="1"/>
  </sheetPr>
  <dimension ref="A1:BH364"/>
  <sheetViews>
    <sheetView view="pageBreakPreview" zoomScale="68" zoomScaleNormal="94" zoomScaleSheetLayoutView="68" workbookViewId="0">
      <selection activeCell="AQ8" sqref="AQ8"/>
    </sheetView>
  </sheetViews>
  <sheetFormatPr baseColWidth="10" defaultColWidth="10.85546875" defaultRowHeight="23.25" outlineLevelCol="1" x14ac:dyDescent="0.25"/>
  <cols>
    <col min="1" max="4" width="5.5703125" style="37" customWidth="1" outlineLevel="1"/>
    <col min="5" max="5" width="14.5703125" style="37" customWidth="1"/>
    <col min="6" max="6" width="10.5703125" style="93" customWidth="1"/>
    <col min="7" max="7" width="8.5703125" style="38" customWidth="1"/>
    <col min="8" max="10" width="14.5703125" style="87" customWidth="1"/>
    <col min="11" max="21" width="14.5703125" style="31" hidden="1" customWidth="1" outlineLevel="1"/>
    <col min="22" max="22" width="14.5703125" style="31" customWidth="1" collapsed="1"/>
    <col min="23" max="25" width="14.5703125" style="31" customWidth="1"/>
    <col min="26" max="26" width="2.85546875" style="84" hidden="1" customWidth="1" outlineLevel="1"/>
    <col min="27" max="27" width="14.5703125" style="31" hidden="1" customWidth="1" outlineLevel="1" collapsed="1"/>
    <col min="28" max="35" width="14.5703125" style="31" hidden="1" customWidth="1" outlineLevel="1"/>
    <col min="36" max="36" width="14.5703125" style="31" hidden="1" customWidth="1" outlineLevel="1" collapsed="1"/>
    <col min="37" max="40" width="14.5703125" style="31" hidden="1" customWidth="1" outlineLevel="1"/>
    <col min="41" max="41" width="14.5703125" style="91" hidden="1" customWidth="1" outlineLevel="1"/>
    <col min="42" max="42" width="2.5703125" style="92" customWidth="1" collapsed="1"/>
    <col min="43" max="43" width="18.28515625" style="80" customWidth="1"/>
    <col min="44" max="44" width="17.140625" style="80" customWidth="1"/>
    <col min="45" max="45" width="19.28515625" style="80" customWidth="1"/>
    <col min="46" max="46" width="11.42578125" style="92" customWidth="1"/>
    <col min="47" max="47" width="14.5703125" style="36" customWidth="1"/>
    <col min="48" max="48" width="10.85546875" style="22"/>
    <col min="49" max="54" width="14.5703125" style="36" customWidth="1"/>
    <col min="55" max="58" width="10.85546875" style="22"/>
    <col min="59" max="59" width="11.28515625" style="22" customWidth="1"/>
    <col min="60" max="60" width="14" style="22" customWidth="1"/>
    <col min="61" max="16384" width="10.85546875" style="22"/>
  </cols>
  <sheetData>
    <row r="1" spans="1:60" s="10" customFormat="1" ht="78.75" customHeight="1" thickBot="1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2</v>
      </c>
      <c r="F1" s="1" t="s">
        <v>6</v>
      </c>
      <c r="G1" s="1" t="s">
        <v>7</v>
      </c>
      <c r="H1" s="2" t="s">
        <v>8</v>
      </c>
      <c r="I1" s="4" t="s">
        <v>140</v>
      </c>
      <c r="J1" s="4" t="s">
        <v>141</v>
      </c>
      <c r="K1" s="3" t="s">
        <v>9</v>
      </c>
      <c r="L1" s="3" t="s">
        <v>10</v>
      </c>
      <c r="M1" s="3" t="s">
        <v>11</v>
      </c>
      <c r="N1" s="3" t="s">
        <v>142</v>
      </c>
      <c r="O1" s="4" t="s">
        <v>143</v>
      </c>
      <c r="P1" s="4" t="s">
        <v>144</v>
      </c>
      <c r="Q1" s="4" t="s">
        <v>145</v>
      </c>
      <c r="R1" s="5" t="s">
        <v>17</v>
      </c>
      <c r="S1" s="5" t="s">
        <v>16</v>
      </c>
      <c r="T1" s="5" t="s">
        <v>146</v>
      </c>
      <c r="U1" s="5" t="s">
        <v>147</v>
      </c>
      <c r="V1" s="5" t="s">
        <v>148</v>
      </c>
      <c r="W1" s="5" t="s">
        <v>150</v>
      </c>
      <c r="X1" s="5" t="s">
        <v>151</v>
      </c>
      <c r="Y1" s="5" t="s">
        <v>149</v>
      </c>
      <c r="Z1" s="70"/>
      <c r="AA1" s="7" t="s">
        <v>19</v>
      </c>
      <c r="AB1" s="7" t="s">
        <v>22</v>
      </c>
      <c r="AC1" s="7" t="s">
        <v>23</v>
      </c>
      <c r="AD1" s="7" t="s">
        <v>20</v>
      </c>
      <c r="AE1" s="7" t="s">
        <v>21</v>
      </c>
      <c r="AF1" s="7" t="s">
        <v>24</v>
      </c>
      <c r="AG1" s="7" t="s">
        <v>25</v>
      </c>
      <c r="AH1" s="7" t="s">
        <v>26</v>
      </c>
      <c r="AI1" s="7" t="s">
        <v>27</v>
      </c>
      <c r="AJ1" s="7" t="s">
        <v>152</v>
      </c>
      <c r="AK1" s="7" t="s">
        <v>153</v>
      </c>
      <c r="AL1" s="7" t="s">
        <v>154</v>
      </c>
      <c r="AM1" s="7" t="s">
        <v>31</v>
      </c>
      <c r="AN1" s="7" t="s">
        <v>32</v>
      </c>
      <c r="AO1" s="71" t="s">
        <v>33</v>
      </c>
      <c r="AP1" s="72"/>
      <c r="AQ1" s="73" t="s">
        <v>101</v>
      </c>
      <c r="AR1" s="73" t="s">
        <v>155</v>
      </c>
      <c r="AS1" s="73" t="s">
        <v>105</v>
      </c>
      <c r="AT1" s="72"/>
      <c r="AU1" s="7" t="s">
        <v>156</v>
      </c>
      <c r="AV1" s="7" t="s">
        <v>157</v>
      </c>
      <c r="AW1" s="7" t="s">
        <v>158</v>
      </c>
      <c r="AX1" s="7" t="s">
        <v>159</v>
      </c>
      <c r="AY1" s="7" t="s">
        <v>160</v>
      </c>
      <c r="AZ1" s="7" t="s">
        <v>161</v>
      </c>
      <c r="BA1" s="7" t="s">
        <v>162</v>
      </c>
      <c r="BB1" s="7" t="s">
        <v>35</v>
      </c>
      <c r="BC1" s="7" t="s">
        <v>163</v>
      </c>
      <c r="BD1" s="7" t="s">
        <v>102</v>
      </c>
      <c r="BE1" s="7" t="s">
        <v>103</v>
      </c>
      <c r="BF1" s="7" t="s">
        <v>106</v>
      </c>
      <c r="BG1" s="7" t="s">
        <v>107</v>
      </c>
      <c r="BH1" s="7" t="s">
        <v>164</v>
      </c>
    </row>
    <row r="2" spans="1:60" ht="38.1" customHeight="1" x14ac:dyDescent="0.25">
      <c r="A2" s="11">
        <v>1</v>
      </c>
      <c r="B2" s="11">
        <v>1</v>
      </c>
      <c r="C2" s="11">
        <v>3</v>
      </c>
      <c r="D2" s="11">
        <v>1</v>
      </c>
      <c r="E2" s="11" t="s">
        <v>68</v>
      </c>
      <c r="F2" s="74" t="s">
        <v>69</v>
      </c>
      <c r="G2" s="12">
        <v>3</v>
      </c>
      <c r="H2" s="75"/>
      <c r="I2" s="76">
        <v>2</v>
      </c>
      <c r="J2" s="76">
        <v>8</v>
      </c>
      <c r="K2" s="46">
        <v>45445</v>
      </c>
      <c r="L2" s="11" t="s">
        <v>53</v>
      </c>
      <c r="M2" s="11"/>
      <c r="N2" s="11"/>
      <c r="O2" s="11" t="s">
        <v>53</v>
      </c>
      <c r="P2" s="11">
        <v>35</v>
      </c>
      <c r="Q2" s="77">
        <f t="shared" ref="Q2:Q19" si="0">P2/0.117</f>
        <v>299.14529914529913</v>
      </c>
      <c r="R2" s="11" t="s">
        <v>53</v>
      </c>
      <c r="S2" s="11">
        <v>110</v>
      </c>
      <c r="T2" s="11"/>
      <c r="U2" s="11"/>
      <c r="V2" s="11"/>
      <c r="W2" s="11">
        <v>17</v>
      </c>
      <c r="X2" s="11"/>
      <c r="Y2" s="11">
        <v>9</v>
      </c>
      <c r="Z2" s="78"/>
      <c r="AA2" s="16">
        <v>2.6989999999999998</v>
      </c>
      <c r="AB2" s="16">
        <v>102.5</v>
      </c>
      <c r="AC2" s="16">
        <v>85.5</v>
      </c>
      <c r="AD2" s="16">
        <v>1.6120000000000001</v>
      </c>
      <c r="AE2" s="16"/>
      <c r="AF2" s="16">
        <v>110.88</v>
      </c>
      <c r="AG2" s="16">
        <v>94.4</v>
      </c>
      <c r="AH2" s="16"/>
      <c r="AI2" s="16"/>
      <c r="AJ2" s="16">
        <v>111.11</v>
      </c>
      <c r="AK2" s="16">
        <v>113.13</v>
      </c>
      <c r="AL2" s="16">
        <v>2.02</v>
      </c>
      <c r="AM2" s="16">
        <v>2.0299999999999998</v>
      </c>
      <c r="AN2" s="16"/>
      <c r="AO2" s="19"/>
      <c r="AP2" s="79"/>
      <c r="AQ2" s="80">
        <v>4.3499999999999996</v>
      </c>
      <c r="AR2" s="80">
        <v>0.88900000000000001</v>
      </c>
      <c r="AS2" s="80">
        <v>0.65439999999999998</v>
      </c>
      <c r="AT2" s="79"/>
      <c r="AU2" s="18">
        <f t="shared" ref="AU2:AU65" si="1">AG2/AF2*100</f>
        <v>85.137085137085151</v>
      </c>
      <c r="AV2" s="18" t="e">
        <f t="shared" ref="AV2:AV65" si="2">AI2/AH2*100</f>
        <v>#DIV/0!</v>
      </c>
      <c r="AW2" s="18">
        <f t="shared" ref="AW2:AX33" si="3">AD2/(1.5*5)*10</f>
        <v>2.1493333333333333</v>
      </c>
      <c r="AX2" s="18">
        <f t="shared" si="3"/>
        <v>0</v>
      </c>
      <c r="AY2" s="18">
        <f t="shared" ref="AY2:AZ33" si="4">AW2*(AU2/100)</f>
        <v>1.8298797498797503</v>
      </c>
      <c r="AZ2" s="18" t="e">
        <f t="shared" si="4"/>
        <v>#DIV/0!</v>
      </c>
      <c r="BA2" s="18">
        <f t="shared" ref="BA2:BA65" si="5">(AVERAGE(AL2,AM2))*20</f>
        <v>40.5</v>
      </c>
      <c r="BB2" s="18" t="e">
        <f t="shared" ref="BB2:BB65" si="6">(AVERAGE(AN2,AO2))*20</f>
        <v>#DIV/0!</v>
      </c>
      <c r="BC2" s="11">
        <f t="shared" ref="BC2:BC65" si="7">0.4095*AVERAGE(AJ2:AK2)-1.3432</f>
        <v>44.569939999999995</v>
      </c>
      <c r="BD2" s="22">
        <f t="shared" ref="BD2:BD65" si="8">AQ2/(1.5*5)*10</f>
        <v>5.8</v>
      </c>
      <c r="BE2" s="22">
        <f>BD2*(BF2/100)</f>
        <v>4.2694263217097861</v>
      </c>
      <c r="BF2" s="22">
        <f>AS2/AR2*100</f>
        <v>73.610798650168732</v>
      </c>
      <c r="BG2" s="22">
        <f>100-BF2</f>
        <v>26.389201349831268</v>
      </c>
      <c r="BH2" s="22">
        <f>BD2/AW2</f>
        <v>2.6985111662531018</v>
      </c>
    </row>
    <row r="3" spans="1:60" ht="38.1" customHeight="1" x14ac:dyDescent="0.25">
      <c r="A3" s="11">
        <v>2</v>
      </c>
      <c r="B3" s="11">
        <v>4</v>
      </c>
      <c r="C3" s="11">
        <v>6</v>
      </c>
      <c r="D3" s="11">
        <v>1</v>
      </c>
      <c r="E3" s="11" t="s">
        <v>68</v>
      </c>
      <c r="F3" s="74" t="s">
        <v>69</v>
      </c>
      <c r="G3" s="12">
        <v>31</v>
      </c>
      <c r="H3" s="81"/>
      <c r="I3" s="76">
        <v>2</v>
      </c>
      <c r="J3" s="76">
        <v>8</v>
      </c>
      <c r="K3" s="46">
        <v>45447</v>
      </c>
      <c r="L3" s="11" t="s">
        <v>53</v>
      </c>
      <c r="M3" s="11"/>
      <c r="N3" s="11"/>
      <c r="O3" s="11" t="s">
        <v>53</v>
      </c>
      <c r="P3" s="11">
        <v>15</v>
      </c>
      <c r="Q3" s="77">
        <f t="shared" si="0"/>
        <v>128.2051282051282</v>
      </c>
      <c r="R3" s="11" t="s">
        <v>53</v>
      </c>
      <c r="S3" s="11">
        <v>110</v>
      </c>
      <c r="T3" s="11"/>
      <c r="U3" s="11"/>
      <c r="V3" s="11"/>
      <c r="W3" s="11">
        <v>18</v>
      </c>
      <c r="X3" s="11"/>
      <c r="Y3" s="11">
        <v>8</v>
      </c>
      <c r="Z3" s="82"/>
      <c r="AA3" s="27">
        <v>1.992</v>
      </c>
      <c r="AB3" s="27">
        <v>102.44</v>
      </c>
      <c r="AC3" s="27">
        <v>87</v>
      </c>
      <c r="AD3" s="27">
        <v>1.472</v>
      </c>
      <c r="AE3" s="27"/>
      <c r="AF3" s="27">
        <v>109.16</v>
      </c>
      <c r="AG3" s="27">
        <v>93</v>
      </c>
      <c r="AH3" s="27"/>
      <c r="AI3" s="27"/>
      <c r="AJ3" s="27">
        <v>110.38</v>
      </c>
      <c r="AK3" s="27">
        <v>108.97</v>
      </c>
      <c r="AL3" s="27">
        <v>2.11</v>
      </c>
      <c r="AM3" s="27">
        <v>2.14</v>
      </c>
      <c r="AN3" s="27"/>
      <c r="AO3" s="83"/>
      <c r="AP3" s="79"/>
      <c r="AQ3" s="80">
        <v>4.5999999999999996</v>
      </c>
      <c r="AR3" s="80">
        <v>0.88900000000000001</v>
      </c>
      <c r="AS3" s="80">
        <v>0.65439999999999998</v>
      </c>
      <c r="AT3" s="79"/>
      <c r="AU3" s="18">
        <f t="shared" si="1"/>
        <v>85.19604250641261</v>
      </c>
      <c r="AV3" s="18" t="e">
        <f t="shared" si="2"/>
        <v>#DIV/0!</v>
      </c>
      <c r="AW3" s="18">
        <f t="shared" si="3"/>
        <v>1.9626666666666668</v>
      </c>
      <c r="AX3" s="18">
        <f t="shared" si="3"/>
        <v>0</v>
      </c>
      <c r="AY3" s="18">
        <f t="shared" si="4"/>
        <v>1.6721143275925248</v>
      </c>
      <c r="AZ3" s="18" t="e">
        <f t="shared" si="4"/>
        <v>#DIV/0!</v>
      </c>
      <c r="BA3" s="18">
        <f t="shared" si="5"/>
        <v>42.5</v>
      </c>
      <c r="BB3" s="18" t="e">
        <f t="shared" si="6"/>
        <v>#DIV/0!</v>
      </c>
      <c r="BC3" s="11">
        <f t="shared" si="7"/>
        <v>43.56871249999999</v>
      </c>
      <c r="BD3" s="22">
        <f t="shared" si="8"/>
        <v>6.1333333333333329</v>
      </c>
      <c r="BE3" s="22">
        <f t="shared" ref="BE3:BE66" si="9">BD3*(BF3/100)</f>
        <v>4.5147956505436815</v>
      </c>
      <c r="BF3" s="22">
        <f t="shared" ref="BF3:BF66" si="10">AS3/AR3*100</f>
        <v>73.610798650168732</v>
      </c>
      <c r="BG3" s="22">
        <f t="shared" ref="BG3:BG66" si="11">100-BF3</f>
        <v>26.389201349831268</v>
      </c>
      <c r="BH3" s="22">
        <f t="shared" ref="BH3:BH66" si="12">BD3/AW3</f>
        <v>3.1249999999999996</v>
      </c>
    </row>
    <row r="4" spans="1:60" ht="38.1" customHeight="1" x14ac:dyDescent="0.25">
      <c r="A4" s="11">
        <v>3</v>
      </c>
      <c r="B4" s="11">
        <v>6</v>
      </c>
      <c r="C4" s="11">
        <v>1</v>
      </c>
      <c r="D4" s="11">
        <v>1</v>
      </c>
      <c r="E4" s="11" t="s">
        <v>68</v>
      </c>
      <c r="F4" s="74" t="s">
        <v>69</v>
      </c>
      <c r="G4" s="12">
        <v>54</v>
      </c>
      <c r="H4" s="81"/>
      <c r="I4" s="76">
        <v>3</v>
      </c>
      <c r="J4" s="76">
        <v>8</v>
      </c>
      <c r="K4" s="46">
        <v>45447</v>
      </c>
      <c r="L4" s="11" t="s">
        <v>53</v>
      </c>
      <c r="M4" s="11"/>
      <c r="N4" s="11"/>
      <c r="O4" s="11" t="s">
        <v>53</v>
      </c>
      <c r="P4" s="11">
        <v>31</v>
      </c>
      <c r="Q4" s="77">
        <f t="shared" si="0"/>
        <v>264.95726495726495</v>
      </c>
      <c r="R4" s="11" t="s">
        <v>53</v>
      </c>
      <c r="S4" s="11">
        <v>110</v>
      </c>
      <c r="T4" s="11"/>
      <c r="U4" s="11"/>
      <c r="V4" s="11"/>
      <c r="W4" s="11">
        <v>19</v>
      </c>
      <c r="X4" s="11"/>
      <c r="Y4" s="11">
        <v>8</v>
      </c>
      <c r="Z4" s="82"/>
      <c r="AA4" s="27">
        <v>2.0819999999999999</v>
      </c>
      <c r="AB4" s="27">
        <v>102.54</v>
      </c>
      <c r="AC4" s="27">
        <v>86.2</v>
      </c>
      <c r="AD4" s="27">
        <v>1.3380000000000001</v>
      </c>
      <c r="AE4" s="27"/>
      <c r="AF4" s="27">
        <v>106.1</v>
      </c>
      <c r="AG4" s="27">
        <v>90.3</v>
      </c>
      <c r="AH4" s="27"/>
      <c r="AI4" s="27"/>
      <c r="AJ4" s="27">
        <v>115.66</v>
      </c>
      <c r="AK4" s="27">
        <v>116.63</v>
      </c>
      <c r="AL4" s="27">
        <v>2.11</v>
      </c>
      <c r="AM4" s="27">
        <v>2.17</v>
      </c>
      <c r="AN4" s="27"/>
      <c r="AO4" s="83"/>
      <c r="AP4" s="79"/>
      <c r="AQ4" s="80">
        <v>5.6</v>
      </c>
      <c r="AR4" s="80">
        <v>0.88900000000000001</v>
      </c>
      <c r="AS4" s="80">
        <v>0.65439999999999998</v>
      </c>
      <c r="AT4" s="79"/>
      <c r="AU4" s="18">
        <f t="shared" si="1"/>
        <v>85.108388312912354</v>
      </c>
      <c r="AV4" s="18" t="e">
        <f t="shared" si="2"/>
        <v>#DIV/0!</v>
      </c>
      <c r="AW4" s="18">
        <f t="shared" si="3"/>
        <v>1.784</v>
      </c>
      <c r="AX4" s="18">
        <f t="shared" si="3"/>
        <v>0</v>
      </c>
      <c r="AY4" s="18">
        <f t="shared" si="4"/>
        <v>1.5183336475023563</v>
      </c>
      <c r="AZ4" s="18" t="e">
        <f t="shared" si="4"/>
        <v>#DIV/0!</v>
      </c>
      <c r="BA4" s="18">
        <f t="shared" si="5"/>
        <v>42.8</v>
      </c>
      <c r="BB4" s="18" t="e">
        <f t="shared" si="6"/>
        <v>#DIV/0!</v>
      </c>
      <c r="BC4" s="11">
        <f t="shared" si="7"/>
        <v>46.218177499999996</v>
      </c>
      <c r="BD4" s="22">
        <f t="shared" si="8"/>
        <v>7.4666666666666659</v>
      </c>
      <c r="BE4" s="22">
        <f t="shared" si="9"/>
        <v>5.4962729658792648</v>
      </c>
      <c r="BF4" s="22">
        <f t="shared" si="10"/>
        <v>73.610798650168732</v>
      </c>
      <c r="BG4" s="22">
        <f t="shared" si="11"/>
        <v>26.389201349831268</v>
      </c>
      <c r="BH4" s="22">
        <f t="shared" si="12"/>
        <v>4.1853512705530633</v>
      </c>
    </row>
    <row r="5" spans="1:60" ht="38.1" customHeight="1" x14ac:dyDescent="0.25">
      <c r="A5" s="11">
        <v>4</v>
      </c>
      <c r="B5" s="11">
        <v>8</v>
      </c>
      <c r="C5" s="11">
        <v>7</v>
      </c>
      <c r="D5" s="11">
        <v>1</v>
      </c>
      <c r="E5" s="11" t="s">
        <v>68</v>
      </c>
      <c r="F5" s="74" t="s">
        <v>69</v>
      </c>
      <c r="G5" s="12">
        <v>66</v>
      </c>
      <c r="H5" s="30"/>
      <c r="I5" s="76">
        <v>3</v>
      </c>
      <c r="J5" s="76">
        <v>8</v>
      </c>
      <c r="K5" s="46">
        <v>45447</v>
      </c>
      <c r="L5" s="11" t="s">
        <v>53</v>
      </c>
      <c r="M5" s="11"/>
      <c r="N5" s="11"/>
      <c r="O5" s="11" t="s">
        <v>53</v>
      </c>
      <c r="P5" s="11">
        <v>56</v>
      </c>
      <c r="Q5" s="77">
        <f t="shared" si="0"/>
        <v>478.63247863247858</v>
      </c>
      <c r="R5" s="11" t="s">
        <v>53</v>
      </c>
      <c r="S5" s="11">
        <v>110</v>
      </c>
      <c r="T5" s="11"/>
      <c r="U5" s="11"/>
      <c r="V5" s="11"/>
      <c r="W5" s="11">
        <v>18</v>
      </c>
      <c r="X5" s="11"/>
      <c r="Y5" s="11">
        <v>2</v>
      </c>
      <c r="Z5" s="82"/>
      <c r="AA5" s="27">
        <v>2.6040000000000001</v>
      </c>
      <c r="AB5" s="27">
        <v>106.1</v>
      </c>
      <c r="AC5" s="27">
        <v>90.4</v>
      </c>
      <c r="AD5" s="27">
        <v>2.0150000000000001</v>
      </c>
      <c r="AE5" s="27"/>
      <c r="AF5" s="27">
        <v>112.03</v>
      </c>
      <c r="AG5" s="27">
        <v>95.7</v>
      </c>
      <c r="AH5" s="27"/>
      <c r="AI5" s="27"/>
      <c r="AJ5" s="27">
        <v>117.55</v>
      </c>
      <c r="AK5" s="27">
        <v>116.41</v>
      </c>
      <c r="AL5" s="27">
        <v>2.11</v>
      </c>
      <c r="AM5" s="27">
        <v>2.12</v>
      </c>
      <c r="AN5" s="27"/>
      <c r="AO5" s="83"/>
      <c r="AP5" s="79"/>
      <c r="AQ5" s="80">
        <v>3.4</v>
      </c>
      <c r="AR5" s="80">
        <v>0.88900000000000001</v>
      </c>
      <c r="AS5" s="80">
        <v>0.65439999999999998</v>
      </c>
      <c r="AT5" s="79"/>
      <c r="AU5" s="18">
        <f t="shared" si="1"/>
        <v>85.423547264125688</v>
      </c>
      <c r="AV5" s="18" t="e">
        <f t="shared" si="2"/>
        <v>#DIV/0!</v>
      </c>
      <c r="AW5" s="18">
        <f t="shared" si="3"/>
        <v>2.6866666666666665</v>
      </c>
      <c r="AX5" s="18">
        <f t="shared" si="3"/>
        <v>0</v>
      </c>
      <c r="AY5" s="18">
        <f t="shared" si="4"/>
        <v>2.29504596982951</v>
      </c>
      <c r="AZ5" s="18" t="e">
        <f t="shared" si="4"/>
        <v>#DIV/0!</v>
      </c>
      <c r="BA5" s="18">
        <f t="shared" si="5"/>
        <v>42.300000000000004</v>
      </c>
      <c r="BB5" s="18" t="e">
        <f t="shared" si="6"/>
        <v>#DIV/0!</v>
      </c>
      <c r="BC5" s="11">
        <f t="shared" si="7"/>
        <v>46.560109999999987</v>
      </c>
      <c r="BD5" s="22">
        <f t="shared" si="8"/>
        <v>4.5333333333333332</v>
      </c>
      <c r="BE5" s="22">
        <f t="shared" si="9"/>
        <v>3.3370228721409823</v>
      </c>
      <c r="BF5" s="22">
        <f t="shared" si="10"/>
        <v>73.610798650168732</v>
      </c>
      <c r="BG5" s="22">
        <f t="shared" si="11"/>
        <v>26.389201349831268</v>
      </c>
      <c r="BH5" s="22">
        <f t="shared" si="12"/>
        <v>1.6873449131513647</v>
      </c>
    </row>
    <row r="6" spans="1:60" ht="38.1" customHeight="1" x14ac:dyDescent="0.25">
      <c r="A6" s="11">
        <v>1</v>
      </c>
      <c r="B6" s="11">
        <v>1</v>
      </c>
      <c r="C6" s="11">
        <v>9</v>
      </c>
      <c r="D6" s="11">
        <v>12</v>
      </c>
      <c r="E6" s="11" t="s">
        <v>66</v>
      </c>
      <c r="F6" s="74" t="s">
        <v>67</v>
      </c>
      <c r="G6" s="12">
        <v>9</v>
      </c>
      <c r="H6" s="74"/>
      <c r="I6" s="76">
        <v>7</v>
      </c>
      <c r="J6" s="76">
        <v>8</v>
      </c>
      <c r="K6" s="11"/>
      <c r="L6" s="11"/>
      <c r="M6" s="11"/>
      <c r="N6" s="11"/>
      <c r="O6" s="11"/>
      <c r="P6" s="11">
        <v>24</v>
      </c>
      <c r="Q6" s="77">
        <f t="shared" si="0"/>
        <v>205.12820512820511</v>
      </c>
      <c r="R6" s="11">
        <v>55</v>
      </c>
      <c r="S6" s="11">
        <v>95</v>
      </c>
      <c r="T6" s="11"/>
      <c r="U6" s="11"/>
      <c r="V6" s="11"/>
      <c r="W6" s="11">
        <v>17</v>
      </c>
      <c r="X6" s="11">
        <v>20</v>
      </c>
      <c r="Y6" s="11">
        <v>3</v>
      </c>
      <c r="Z6" s="82"/>
      <c r="AA6" s="27">
        <v>1.7110000000000001</v>
      </c>
      <c r="AB6" s="27">
        <v>97.33</v>
      </c>
      <c r="AC6" s="27">
        <v>74</v>
      </c>
      <c r="AD6" s="27">
        <v>0.42499999999999999</v>
      </c>
      <c r="AE6" s="27">
        <v>0.59399999999999997</v>
      </c>
      <c r="AF6" s="27">
        <v>112.2</v>
      </c>
      <c r="AG6" s="27">
        <v>92</v>
      </c>
      <c r="AH6" s="27">
        <v>101.99</v>
      </c>
      <c r="AI6" s="27">
        <v>75.900000000000006</v>
      </c>
      <c r="AJ6" s="27">
        <v>115.18</v>
      </c>
      <c r="AK6" s="27">
        <v>114.76</v>
      </c>
      <c r="AL6" s="27">
        <v>2.39</v>
      </c>
      <c r="AM6" s="27">
        <v>2.42</v>
      </c>
      <c r="AN6" s="27">
        <v>9.7200000000000006</v>
      </c>
      <c r="AO6" s="83">
        <v>9.94</v>
      </c>
      <c r="AP6" s="79"/>
      <c r="AQ6" s="80">
        <v>5.95</v>
      </c>
      <c r="AR6" s="80">
        <v>1.179</v>
      </c>
      <c r="AS6" s="80">
        <v>0.63319999999999999</v>
      </c>
      <c r="AT6" s="79"/>
      <c r="AU6" s="18">
        <f t="shared" si="1"/>
        <v>81.996434937611411</v>
      </c>
      <c r="AV6" s="18">
        <f t="shared" si="2"/>
        <v>74.419060692224733</v>
      </c>
      <c r="AW6" s="18">
        <f t="shared" si="3"/>
        <v>0.56666666666666665</v>
      </c>
      <c r="AX6" s="18">
        <f t="shared" si="3"/>
        <v>0.79199999999999993</v>
      </c>
      <c r="AY6" s="18">
        <f t="shared" si="4"/>
        <v>0.46464646464646464</v>
      </c>
      <c r="AZ6" s="18">
        <f t="shared" si="4"/>
        <v>0.58939896068241981</v>
      </c>
      <c r="BA6" s="18">
        <f t="shared" si="5"/>
        <v>48.100000000000009</v>
      </c>
      <c r="BB6" s="18">
        <f t="shared" si="6"/>
        <v>196.6</v>
      </c>
      <c r="BC6" s="11">
        <f t="shared" si="7"/>
        <v>45.737014999999992</v>
      </c>
      <c r="BD6" s="22">
        <f t="shared" si="8"/>
        <v>7.9333333333333336</v>
      </c>
      <c r="BE6" s="22">
        <f t="shared" si="9"/>
        <v>4.2607181227028548</v>
      </c>
      <c r="BF6" s="22">
        <f t="shared" si="10"/>
        <v>53.706530958439345</v>
      </c>
      <c r="BG6" s="22">
        <f t="shared" si="11"/>
        <v>46.293469041560655</v>
      </c>
      <c r="BH6" s="22">
        <f t="shared" si="12"/>
        <v>14</v>
      </c>
    </row>
    <row r="7" spans="1:60" ht="38.1" customHeight="1" x14ac:dyDescent="0.25">
      <c r="A7" s="11">
        <v>2</v>
      </c>
      <c r="B7" s="11">
        <v>4</v>
      </c>
      <c r="C7" s="11">
        <v>8</v>
      </c>
      <c r="D7" s="11">
        <v>12</v>
      </c>
      <c r="E7" s="11" t="s">
        <v>66</v>
      </c>
      <c r="F7" s="74" t="s">
        <v>67</v>
      </c>
      <c r="G7" s="12">
        <v>29</v>
      </c>
      <c r="H7" s="81"/>
      <c r="I7" s="76">
        <v>6</v>
      </c>
      <c r="J7" s="76">
        <v>7</v>
      </c>
      <c r="K7" s="46">
        <v>45449</v>
      </c>
      <c r="L7" s="11"/>
      <c r="M7" s="11"/>
      <c r="N7" s="11"/>
      <c r="O7" s="11"/>
      <c r="P7" s="11">
        <v>15</v>
      </c>
      <c r="Q7" s="77">
        <f t="shared" si="0"/>
        <v>128.2051282051282</v>
      </c>
      <c r="R7" s="11">
        <v>65</v>
      </c>
      <c r="S7" s="11">
        <v>105</v>
      </c>
      <c r="T7" s="11"/>
      <c r="U7" s="11"/>
      <c r="V7" s="11"/>
      <c r="W7" s="11">
        <v>1</v>
      </c>
      <c r="X7" s="11">
        <v>20</v>
      </c>
      <c r="Y7" s="11">
        <v>8</v>
      </c>
      <c r="Z7" s="82"/>
      <c r="AA7" s="27">
        <v>1.0860000000000001</v>
      </c>
      <c r="AB7" s="27">
        <v>104.71</v>
      </c>
      <c r="AC7" s="27">
        <v>84.8</v>
      </c>
      <c r="AD7" s="27">
        <v>0.30299999999999999</v>
      </c>
      <c r="AE7" s="27">
        <v>0.156</v>
      </c>
      <c r="AF7" s="27">
        <v>113.62</v>
      </c>
      <c r="AG7" s="27">
        <v>95.1</v>
      </c>
      <c r="AH7" s="27">
        <v>97.99</v>
      </c>
      <c r="AI7" s="27">
        <v>77.900000000000006</v>
      </c>
      <c r="AJ7" s="27"/>
      <c r="AK7" s="27"/>
      <c r="AL7" s="27">
        <v>2.13</v>
      </c>
      <c r="AM7" s="27">
        <v>2.21</v>
      </c>
      <c r="AN7" s="27">
        <v>8.25</v>
      </c>
      <c r="AO7" s="83">
        <v>8.1</v>
      </c>
      <c r="AP7" s="79"/>
      <c r="AQ7" s="80">
        <v>7.25</v>
      </c>
      <c r="AR7" s="80">
        <v>1.179</v>
      </c>
      <c r="AS7" s="80">
        <v>0.63319999999999999</v>
      </c>
      <c r="AT7" s="79"/>
      <c r="AU7" s="18">
        <f t="shared" si="1"/>
        <v>83.70005280760428</v>
      </c>
      <c r="AV7" s="18">
        <f t="shared" si="2"/>
        <v>79.4979079497908</v>
      </c>
      <c r="AW7" s="18">
        <f t="shared" si="3"/>
        <v>0.40399999999999997</v>
      </c>
      <c r="AX7" s="18">
        <f t="shared" si="3"/>
        <v>0.20799999999999999</v>
      </c>
      <c r="AY7" s="18">
        <f t="shared" si="4"/>
        <v>0.33814821334272127</v>
      </c>
      <c r="AZ7" s="18">
        <f t="shared" si="4"/>
        <v>0.16535564853556486</v>
      </c>
      <c r="BA7" s="18">
        <f t="shared" si="5"/>
        <v>43.4</v>
      </c>
      <c r="BB7" s="18">
        <f t="shared" si="6"/>
        <v>163.5</v>
      </c>
      <c r="BC7" s="11" t="e">
        <f t="shared" si="7"/>
        <v>#DIV/0!</v>
      </c>
      <c r="BD7" s="22">
        <f t="shared" si="8"/>
        <v>9.6666666666666661</v>
      </c>
      <c r="BE7" s="22">
        <f t="shared" si="9"/>
        <v>5.1916313259824696</v>
      </c>
      <c r="BF7" s="22">
        <f t="shared" si="10"/>
        <v>53.706530958439345</v>
      </c>
      <c r="BG7" s="22">
        <f t="shared" si="11"/>
        <v>46.293469041560655</v>
      </c>
      <c r="BH7" s="22">
        <f t="shared" si="12"/>
        <v>23.927392739273927</v>
      </c>
    </row>
    <row r="8" spans="1:60" ht="38.1" customHeight="1" x14ac:dyDescent="0.25">
      <c r="A8" s="11">
        <v>3</v>
      </c>
      <c r="B8" s="11">
        <v>5</v>
      </c>
      <c r="C8" s="11">
        <v>5</v>
      </c>
      <c r="D8" s="11">
        <v>12</v>
      </c>
      <c r="E8" s="11" t="s">
        <v>66</v>
      </c>
      <c r="F8" s="74" t="s">
        <v>67</v>
      </c>
      <c r="G8" s="12">
        <v>41</v>
      </c>
      <c r="H8" s="81"/>
      <c r="I8" s="76">
        <v>6</v>
      </c>
      <c r="J8" s="76">
        <v>7</v>
      </c>
      <c r="K8" s="46"/>
      <c r="L8" s="11"/>
      <c r="M8" s="11"/>
      <c r="N8" s="11"/>
      <c r="O8" s="11"/>
      <c r="P8" s="11">
        <v>12</v>
      </c>
      <c r="Q8" s="77">
        <f t="shared" si="0"/>
        <v>102.56410256410255</v>
      </c>
      <c r="R8" s="11">
        <v>60</v>
      </c>
      <c r="S8" s="11">
        <v>95</v>
      </c>
      <c r="T8" s="11"/>
      <c r="U8" s="11"/>
      <c r="V8" s="11"/>
      <c r="W8" s="11">
        <v>18</v>
      </c>
      <c r="X8" s="11">
        <v>20</v>
      </c>
      <c r="Y8" s="11">
        <v>7</v>
      </c>
      <c r="Z8" s="82"/>
      <c r="AA8" s="27">
        <v>1.208</v>
      </c>
      <c r="AB8" s="27">
        <v>109.06</v>
      </c>
      <c r="AC8" s="27">
        <v>82.6</v>
      </c>
      <c r="AD8" s="27">
        <v>0.20300000000000001</v>
      </c>
      <c r="AE8" s="27">
        <v>0.41599999999999998</v>
      </c>
      <c r="AF8" s="27">
        <v>142.75</v>
      </c>
      <c r="AG8" s="27">
        <v>118.6</v>
      </c>
      <c r="AH8" s="27">
        <v>103.1</v>
      </c>
      <c r="AI8" s="27">
        <v>79.900000000000006</v>
      </c>
      <c r="AJ8" s="27"/>
      <c r="AK8" s="27"/>
      <c r="AL8" s="27">
        <v>2.23</v>
      </c>
      <c r="AM8" s="27">
        <v>2.1800000000000002</v>
      </c>
      <c r="AN8" s="27">
        <v>8.43</v>
      </c>
      <c r="AO8" s="83">
        <v>8.51</v>
      </c>
      <c r="AP8" s="79"/>
      <c r="AQ8" s="80">
        <v>7.2</v>
      </c>
      <c r="AR8" s="80">
        <v>1.179</v>
      </c>
      <c r="AS8" s="80">
        <v>0.63319999999999999</v>
      </c>
      <c r="AT8" s="79"/>
      <c r="AU8" s="18">
        <f t="shared" si="1"/>
        <v>83.082311733800353</v>
      </c>
      <c r="AV8" s="18">
        <f t="shared" si="2"/>
        <v>77.497575169738127</v>
      </c>
      <c r="AW8" s="18">
        <f t="shared" si="3"/>
        <v>0.27066666666666672</v>
      </c>
      <c r="AX8" s="18">
        <f t="shared" si="3"/>
        <v>0.55466666666666664</v>
      </c>
      <c r="AY8" s="18">
        <f t="shared" si="4"/>
        <v>0.22487612375948632</v>
      </c>
      <c r="AZ8" s="18">
        <f t="shared" si="4"/>
        <v>0.42985321694148082</v>
      </c>
      <c r="BA8" s="18">
        <f t="shared" si="5"/>
        <v>44.1</v>
      </c>
      <c r="BB8" s="18">
        <f t="shared" si="6"/>
        <v>169.39999999999998</v>
      </c>
      <c r="BC8" s="11" t="e">
        <f t="shared" si="7"/>
        <v>#DIV/0!</v>
      </c>
      <c r="BD8" s="22">
        <f t="shared" si="8"/>
        <v>9.6000000000000014</v>
      </c>
      <c r="BE8" s="22">
        <f t="shared" si="9"/>
        <v>5.1558269720101784</v>
      </c>
      <c r="BF8" s="22">
        <f t="shared" si="10"/>
        <v>53.706530958439345</v>
      </c>
      <c r="BG8" s="22">
        <f t="shared" si="11"/>
        <v>46.293469041560655</v>
      </c>
      <c r="BH8" s="22">
        <f t="shared" si="12"/>
        <v>35.467980295566498</v>
      </c>
    </row>
    <row r="9" spans="1:60" ht="38.1" customHeight="1" x14ac:dyDescent="0.25">
      <c r="A9" s="11">
        <v>4</v>
      </c>
      <c r="B9" s="11">
        <v>8</v>
      </c>
      <c r="C9" s="11">
        <v>2</v>
      </c>
      <c r="D9" s="11">
        <v>12</v>
      </c>
      <c r="E9" s="11" t="s">
        <v>66</v>
      </c>
      <c r="F9" s="74" t="s">
        <v>67</v>
      </c>
      <c r="G9" s="12">
        <v>71</v>
      </c>
      <c r="H9" s="30"/>
      <c r="I9" s="76">
        <v>6</v>
      </c>
      <c r="J9" s="76">
        <v>7</v>
      </c>
      <c r="K9" s="46">
        <v>45449</v>
      </c>
      <c r="L9" s="11"/>
      <c r="M9" s="11"/>
      <c r="N9" s="11"/>
      <c r="O9" s="11"/>
      <c r="P9" s="11">
        <v>18</v>
      </c>
      <c r="Q9" s="77">
        <f t="shared" si="0"/>
        <v>153.84615384615384</v>
      </c>
      <c r="R9" s="11">
        <v>65</v>
      </c>
      <c r="S9" s="11">
        <v>110</v>
      </c>
      <c r="T9" s="11"/>
      <c r="U9" s="11"/>
      <c r="V9" s="11"/>
      <c r="W9" s="11">
        <v>17</v>
      </c>
      <c r="X9" s="11">
        <v>20</v>
      </c>
      <c r="Y9" s="11">
        <v>4</v>
      </c>
      <c r="Z9" s="82"/>
      <c r="AA9" s="27">
        <v>1.8660000000000001</v>
      </c>
      <c r="AB9" s="27">
        <v>99.24</v>
      </c>
      <c r="AC9" s="27">
        <v>77.599999999999994</v>
      </c>
      <c r="AD9" s="27">
        <v>0.61299999999999999</v>
      </c>
      <c r="AE9" s="27">
        <v>0.56799999999999995</v>
      </c>
      <c r="AF9" s="27">
        <v>104.45</v>
      </c>
      <c r="AG9" s="27">
        <v>86.9</v>
      </c>
      <c r="AH9" s="27">
        <v>105.32</v>
      </c>
      <c r="AI9" s="27">
        <v>82.3</v>
      </c>
      <c r="AJ9" s="27">
        <v>111.76</v>
      </c>
      <c r="AK9" s="27">
        <v>108.72</v>
      </c>
      <c r="AL9" s="27">
        <v>2.2200000000000002</v>
      </c>
      <c r="AM9" s="27">
        <v>2.17</v>
      </c>
      <c r="AN9" s="27">
        <v>9.09</v>
      </c>
      <c r="AO9" s="83">
        <v>9.1300000000000008</v>
      </c>
      <c r="AP9" s="79"/>
      <c r="AQ9" s="80">
        <v>6.15</v>
      </c>
      <c r="AR9" s="80">
        <v>1.179</v>
      </c>
      <c r="AS9" s="80">
        <v>0.63319999999999999</v>
      </c>
      <c r="AT9" s="79"/>
      <c r="AU9" s="18">
        <f t="shared" si="1"/>
        <v>83.197702249880322</v>
      </c>
      <c r="AV9" s="18">
        <f t="shared" si="2"/>
        <v>78.142802886441316</v>
      </c>
      <c r="AW9" s="18">
        <f t="shared" si="3"/>
        <v>0.81733333333333336</v>
      </c>
      <c r="AX9" s="18">
        <f t="shared" si="3"/>
        <v>0.7573333333333333</v>
      </c>
      <c r="AY9" s="18">
        <f t="shared" si="4"/>
        <v>0.68000255305568857</v>
      </c>
      <c r="AZ9" s="18">
        <f t="shared" si="4"/>
        <v>0.59180149385998226</v>
      </c>
      <c r="BA9" s="18">
        <f t="shared" si="5"/>
        <v>43.900000000000006</v>
      </c>
      <c r="BB9" s="18">
        <f t="shared" si="6"/>
        <v>182.2</v>
      </c>
      <c r="BC9" s="11">
        <f t="shared" si="7"/>
        <v>43.800080000000001</v>
      </c>
      <c r="BD9" s="22">
        <f t="shared" si="8"/>
        <v>8.2000000000000011</v>
      </c>
      <c r="BE9" s="22">
        <f t="shared" si="9"/>
        <v>4.4039355385920267</v>
      </c>
      <c r="BF9" s="22">
        <f t="shared" si="10"/>
        <v>53.706530958439345</v>
      </c>
      <c r="BG9" s="22">
        <f t="shared" si="11"/>
        <v>46.293469041560655</v>
      </c>
      <c r="BH9" s="22">
        <f t="shared" si="12"/>
        <v>10.0326264274062</v>
      </c>
    </row>
    <row r="10" spans="1:60" ht="38.1" customHeight="1" x14ac:dyDescent="0.25">
      <c r="A10" s="11">
        <v>1</v>
      </c>
      <c r="B10" s="11">
        <v>1</v>
      </c>
      <c r="C10" s="11">
        <v>4</v>
      </c>
      <c r="D10" s="11">
        <v>10</v>
      </c>
      <c r="E10" s="11" t="s">
        <v>76</v>
      </c>
      <c r="F10" s="74" t="s">
        <v>77</v>
      </c>
      <c r="G10" s="12">
        <v>4</v>
      </c>
      <c r="H10" s="74"/>
      <c r="I10" s="76">
        <v>5</v>
      </c>
      <c r="J10" s="76">
        <v>7</v>
      </c>
      <c r="K10" s="11"/>
      <c r="L10" s="11"/>
      <c r="M10" s="11"/>
      <c r="N10" s="11"/>
      <c r="O10" s="11"/>
      <c r="P10" s="11">
        <v>30</v>
      </c>
      <c r="Q10" s="77">
        <f t="shared" si="0"/>
        <v>256.41025641025641</v>
      </c>
      <c r="R10" s="11">
        <v>60</v>
      </c>
      <c r="S10" s="11">
        <v>110</v>
      </c>
      <c r="T10" s="11"/>
      <c r="U10" s="11"/>
      <c r="V10" s="11"/>
      <c r="W10" s="11">
        <v>17</v>
      </c>
      <c r="X10" s="11">
        <v>20</v>
      </c>
      <c r="Y10" s="11">
        <v>4</v>
      </c>
      <c r="Z10" s="82"/>
      <c r="AA10" s="27">
        <v>1.752</v>
      </c>
      <c r="AB10" s="27">
        <v>100.48</v>
      </c>
      <c r="AC10" s="27">
        <v>75.5</v>
      </c>
      <c r="AD10" s="27">
        <v>0.52600000000000002</v>
      </c>
      <c r="AE10" s="27">
        <v>0.36799999999999999</v>
      </c>
      <c r="AF10" s="27">
        <v>109.81</v>
      </c>
      <c r="AG10" s="27">
        <v>91</v>
      </c>
      <c r="AH10" s="27">
        <v>101.2</v>
      </c>
      <c r="AI10" s="27">
        <v>78.099999999999994</v>
      </c>
      <c r="AJ10" s="27">
        <v>115.96</v>
      </c>
      <c r="AK10" s="27">
        <v>116.39</v>
      </c>
      <c r="AL10" s="27">
        <v>2.0299999999999998</v>
      </c>
      <c r="AM10" s="27">
        <v>2.0499999999999998</v>
      </c>
      <c r="AN10" s="27">
        <v>8.83</v>
      </c>
      <c r="AO10" s="83">
        <v>8.51</v>
      </c>
      <c r="AP10" s="79"/>
      <c r="AQ10" s="80">
        <v>6.9</v>
      </c>
      <c r="AR10" s="80">
        <v>1.038</v>
      </c>
      <c r="AS10" s="80">
        <v>0.58069999999999999</v>
      </c>
      <c r="AT10" s="79"/>
      <c r="AU10" s="18">
        <f t="shared" si="1"/>
        <v>82.87041253073491</v>
      </c>
      <c r="AV10" s="18">
        <f t="shared" si="2"/>
        <v>77.173913043478251</v>
      </c>
      <c r="AW10" s="18">
        <f t="shared" si="3"/>
        <v>0.70133333333333336</v>
      </c>
      <c r="AX10" s="18">
        <f t="shared" si="3"/>
        <v>0.4906666666666667</v>
      </c>
      <c r="AY10" s="18">
        <f t="shared" si="4"/>
        <v>0.58119782654888752</v>
      </c>
      <c r="AZ10" s="18">
        <f t="shared" si="4"/>
        <v>0.37866666666666665</v>
      </c>
      <c r="BA10" s="18">
        <f t="shared" si="5"/>
        <v>40.799999999999997</v>
      </c>
      <c r="BB10" s="18">
        <f t="shared" si="6"/>
        <v>173.4</v>
      </c>
      <c r="BC10" s="11">
        <f t="shared" si="7"/>
        <v>46.230462499999994</v>
      </c>
      <c r="BD10" s="22">
        <f t="shared" si="8"/>
        <v>9.2000000000000011</v>
      </c>
      <c r="BE10" s="22">
        <f t="shared" si="9"/>
        <v>5.1468593448940272</v>
      </c>
      <c r="BF10" s="22">
        <f t="shared" si="10"/>
        <v>55.944123314065507</v>
      </c>
      <c r="BG10" s="22">
        <f t="shared" si="11"/>
        <v>44.055876685934493</v>
      </c>
      <c r="BH10" s="22">
        <f t="shared" si="12"/>
        <v>13.117870722433461</v>
      </c>
    </row>
    <row r="11" spans="1:60" ht="38.1" customHeight="1" x14ac:dyDescent="0.25">
      <c r="A11" s="11">
        <v>2</v>
      </c>
      <c r="B11" s="11">
        <v>3</v>
      </c>
      <c r="C11" s="11">
        <v>6</v>
      </c>
      <c r="D11" s="11">
        <v>10</v>
      </c>
      <c r="E11" s="11" t="s">
        <v>76</v>
      </c>
      <c r="F11" s="74" t="s">
        <v>77</v>
      </c>
      <c r="G11" s="12">
        <v>24</v>
      </c>
      <c r="H11" s="81"/>
      <c r="I11" s="76">
        <v>5</v>
      </c>
      <c r="J11" s="76">
        <v>7</v>
      </c>
      <c r="K11" s="46">
        <v>45447</v>
      </c>
      <c r="L11" s="11"/>
      <c r="M11" s="11"/>
      <c r="N11" s="11"/>
      <c r="O11" s="11"/>
      <c r="P11" s="11">
        <v>14</v>
      </c>
      <c r="Q11" s="77">
        <f t="shared" si="0"/>
        <v>119.65811965811965</v>
      </c>
      <c r="R11" s="11">
        <v>65</v>
      </c>
      <c r="S11" s="11">
        <v>105</v>
      </c>
      <c r="T11" s="11"/>
      <c r="U11" s="11"/>
      <c r="V11" s="11"/>
      <c r="W11" s="11">
        <v>18</v>
      </c>
      <c r="X11" s="11">
        <v>20</v>
      </c>
      <c r="Y11" s="11">
        <v>8</v>
      </c>
      <c r="Z11" s="82"/>
      <c r="AA11" s="27">
        <v>1.3919999999999999</v>
      </c>
      <c r="AB11" s="27">
        <v>106.75</v>
      </c>
      <c r="AC11" s="27">
        <v>83.6</v>
      </c>
      <c r="AD11" s="27">
        <v>0.377</v>
      </c>
      <c r="AE11" s="27">
        <v>0.36299999999999999</v>
      </c>
      <c r="AF11" s="27">
        <v>108.11</v>
      </c>
      <c r="AG11" s="27">
        <v>90.9</v>
      </c>
      <c r="AH11" s="27">
        <v>105.22</v>
      </c>
      <c r="AI11" s="27">
        <v>84.6</v>
      </c>
      <c r="AJ11" s="27">
        <v>111.18</v>
      </c>
      <c r="AK11" s="27">
        <v>108.4</v>
      </c>
      <c r="AL11" s="27">
        <v>1.94</v>
      </c>
      <c r="AM11" s="27">
        <v>2.0099999999999998</v>
      </c>
      <c r="AN11" s="27">
        <v>7.95</v>
      </c>
      <c r="AO11" s="83">
        <v>7.95</v>
      </c>
      <c r="AP11" s="79"/>
      <c r="AQ11" s="80">
        <v>5.45</v>
      </c>
      <c r="AR11" s="80">
        <v>1.038</v>
      </c>
      <c r="AS11" s="80">
        <v>0.58069999999999999</v>
      </c>
      <c r="AT11" s="79"/>
      <c r="AU11" s="18">
        <f t="shared" si="1"/>
        <v>84.081028581999817</v>
      </c>
      <c r="AV11" s="18">
        <f t="shared" si="2"/>
        <v>80.402965215738448</v>
      </c>
      <c r="AW11" s="18">
        <f t="shared" si="3"/>
        <v>0.50266666666666671</v>
      </c>
      <c r="AX11" s="18">
        <f t="shared" si="3"/>
        <v>0.48399999999999999</v>
      </c>
      <c r="AY11" s="18">
        <f t="shared" si="4"/>
        <v>0.42264730367218578</v>
      </c>
      <c r="AZ11" s="18">
        <f t="shared" si="4"/>
        <v>0.38915035164417405</v>
      </c>
      <c r="BA11" s="18">
        <f t="shared" si="5"/>
        <v>39.5</v>
      </c>
      <c r="BB11" s="18">
        <f t="shared" si="6"/>
        <v>159</v>
      </c>
      <c r="BC11" s="11">
        <f t="shared" si="7"/>
        <v>43.615804999999995</v>
      </c>
      <c r="BD11" s="22">
        <f t="shared" si="8"/>
        <v>7.2666666666666666</v>
      </c>
      <c r="BE11" s="22">
        <f t="shared" si="9"/>
        <v>4.0652729608220932</v>
      </c>
      <c r="BF11" s="22">
        <f t="shared" si="10"/>
        <v>55.944123314065507</v>
      </c>
      <c r="BG11" s="22">
        <f t="shared" si="11"/>
        <v>44.055876685934493</v>
      </c>
      <c r="BH11" s="22">
        <f t="shared" si="12"/>
        <v>14.456233421750662</v>
      </c>
    </row>
    <row r="12" spans="1:60" ht="38.1" customHeight="1" x14ac:dyDescent="0.25">
      <c r="A12" s="11">
        <v>3</v>
      </c>
      <c r="B12" s="11">
        <v>6</v>
      </c>
      <c r="C12" s="11">
        <v>9</v>
      </c>
      <c r="D12" s="11">
        <v>10</v>
      </c>
      <c r="E12" s="11" t="s">
        <v>76</v>
      </c>
      <c r="F12" s="74" t="s">
        <v>77</v>
      </c>
      <c r="G12" s="12">
        <v>46</v>
      </c>
      <c r="H12" s="81"/>
      <c r="I12" s="76">
        <v>7</v>
      </c>
      <c r="J12" s="76">
        <v>7</v>
      </c>
      <c r="K12" s="46">
        <v>45447</v>
      </c>
      <c r="L12" s="11"/>
      <c r="M12" s="11"/>
      <c r="N12" s="11"/>
      <c r="O12" s="11"/>
      <c r="P12" s="11">
        <v>18</v>
      </c>
      <c r="Q12" s="77">
        <f t="shared" si="0"/>
        <v>153.84615384615384</v>
      </c>
      <c r="R12" s="11">
        <v>60</v>
      </c>
      <c r="S12" s="11">
        <v>110</v>
      </c>
      <c r="T12" s="11"/>
      <c r="U12" s="11"/>
      <c r="V12" s="11"/>
      <c r="W12" s="11">
        <v>18</v>
      </c>
      <c r="X12" s="11">
        <v>21</v>
      </c>
      <c r="Y12" s="11">
        <v>6</v>
      </c>
      <c r="Z12" s="82"/>
      <c r="AA12" s="27">
        <v>1.3129999999999999</v>
      </c>
      <c r="AB12" s="27">
        <v>103.6</v>
      </c>
      <c r="AC12" s="27">
        <v>82.9</v>
      </c>
      <c r="AD12" s="27">
        <v>0.29699999999999999</v>
      </c>
      <c r="AE12" s="27">
        <v>0.36699999999999999</v>
      </c>
      <c r="AF12" s="27">
        <v>113.45</v>
      </c>
      <c r="AG12" s="27">
        <v>94.9</v>
      </c>
      <c r="AH12" s="27">
        <v>102.1</v>
      </c>
      <c r="AI12" s="27">
        <v>79.599999999999994</v>
      </c>
      <c r="AJ12" s="27"/>
      <c r="AK12" s="27"/>
      <c r="AL12" s="27">
        <v>2.12</v>
      </c>
      <c r="AM12" s="27">
        <v>2.19</v>
      </c>
      <c r="AN12" s="27">
        <v>8.18</v>
      </c>
      <c r="AO12" s="83">
        <v>8.08</v>
      </c>
      <c r="AP12" s="79"/>
      <c r="AQ12" s="80">
        <v>7.7</v>
      </c>
      <c r="AR12" s="80">
        <v>1.038</v>
      </c>
      <c r="AS12" s="80">
        <v>0.58069999999999999</v>
      </c>
      <c r="AT12" s="79"/>
      <c r="AU12" s="18">
        <f t="shared" si="1"/>
        <v>83.649184662847077</v>
      </c>
      <c r="AV12" s="18">
        <f t="shared" si="2"/>
        <v>77.962781586679725</v>
      </c>
      <c r="AW12" s="18">
        <f t="shared" si="3"/>
        <v>0.39599999999999996</v>
      </c>
      <c r="AX12" s="18">
        <f t="shared" si="3"/>
        <v>0.48933333333333334</v>
      </c>
      <c r="AY12" s="18">
        <f t="shared" si="4"/>
        <v>0.3312507712648744</v>
      </c>
      <c r="AZ12" s="18">
        <f t="shared" si="4"/>
        <v>0.38149787789748613</v>
      </c>
      <c r="BA12" s="18">
        <f t="shared" si="5"/>
        <v>43.100000000000009</v>
      </c>
      <c r="BB12" s="18">
        <f t="shared" si="6"/>
        <v>162.59999999999997</v>
      </c>
      <c r="BC12" s="11" t="e">
        <f t="shared" si="7"/>
        <v>#DIV/0!</v>
      </c>
      <c r="BD12" s="22">
        <f t="shared" si="8"/>
        <v>10.266666666666666</v>
      </c>
      <c r="BE12" s="22">
        <f t="shared" si="9"/>
        <v>5.7435966602440587</v>
      </c>
      <c r="BF12" s="22">
        <f t="shared" si="10"/>
        <v>55.944123314065507</v>
      </c>
      <c r="BG12" s="22">
        <f t="shared" si="11"/>
        <v>44.055876685934493</v>
      </c>
      <c r="BH12" s="22">
        <f t="shared" si="12"/>
        <v>25.925925925925927</v>
      </c>
    </row>
    <row r="13" spans="1:60" ht="38.1" customHeight="1" x14ac:dyDescent="0.25">
      <c r="A13" s="11">
        <v>4</v>
      </c>
      <c r="B13" s="11">
        <v>7</v>
      </c>
      <c r="C13" s="11">
        <v>8</v>
      </c>
      <c r="D13" s="11">
        <v>10</v>
      </c>
      <c r="E13" s="11" t="s">
        <v>76</v>
      </c>
      <c r="F13" s="74" t="s">
        <v>77</v>
      </c>
      <c r="G13" s="12">
        <v>62</v>
      </c>
      <c r="H13" s="81"/>
      <c r="I13" s="76">
        <v>7</v>
      </c>
      <c r="J13" s="76">
        <v>8</v>
      </c>
      <c r="K13" s="46"/>
      <c r="L13" s="11"/>
      <c r="M13" s="11"/>
      <c r="N13" s="11"/>
      <c r="O13" s="11"/>
      <c r="P13" s="11">
        <v>12</v>
      </c>
      <c r="Q13" s="77">
        <f t="shared" si="0"/>
        <v>102.56410256410255</v>
      </c>
      <c r="R13" s="11">
        <v>60</v>
      </c>
      <c r="S13" s="11">
        <v>105</v>
      </c>
      <c r="T13" s="11"/>
      <c r="U13" s="11"/>
      <c r="V13" s="11"/>
      <c r="W13" s="11">
        <v>18</v>
      </c>
      <c r="X13" s="11">
        <v>20</v>
      </c>
      <c r="Y13" s="11">
        <v>6</v>
      </c>
      <c r="AA13" s="32">
        <v>1.645</v>
      </c>
      <c r="AB13" s="32">
        <v>102.89</v>
      </c>
      <c r="AC13" s="32">
        <v>80.900000000000006</v>
      </c>
      <c r="AD13" s="32">
        <v>0.218</v>
      </c>
      <c r="AE13" s="32">
        <v>0.73199999999999998</v>
      </c>
      <c r="AF13" s="32">
        <v>105.61</v>
      </c>
      <c r="AG13" s="32">
        <v>88.1</v>
      </c>
      <c r="AH13" s="32">
        <v>103.8</v>
      </c>
      <c r="AI13" s="32">
        <v>82.7</v>
      </c>
      <c r="AJ13" s="32"/>
      <c r="AK13" s="32"/>
      <c r="AL13" s="32">
        <v>2.33</v>
      </c>
      <c r="AM13" s="32">
        <v>2.37</v>
      </c>
      <c r="AN13" s="32">
        <v>8.09</v>
      </c>
      <c r="AO13" s="85">
        <v>8.3800000000000008</v>
      </c>
      <c r="AP13" s="86"/>
      <c r="AQ13" s="80">
        <v>6.3</v>
      </c>
      <c r="AR13" s="80">
        <v>1.038</v>
      </c>
      <c r="AS13" s="80">
        <v>0.58069999999999999</v>
      </c>
      <c r="AT13" s="86"/>
      <c r="AU13" s="18">
        <f t="shared" si="1"/>
        <v>83.420130669444177</v>
      </c>
      <c r="AV13" s="18">
        <f t="shared" si="2"/>
        <v>79.672447013487485</v>
      </c>
      <c r="AW13" s="18">
        <f t="shared" si="3"/>
        <v>0.29066666666666668</v>
      </c>
      <c r="AX13" s="18">
        <f t="shared" si="3"/>
        <v>0.97599999999999998</v>
      </c>
      <c r="AY13" s="18">
        <f t="shared" si="4"/>
        <v>0.24247451314585111</v>
      </c>
      <c r="AZ13" s="18">
        <f t="shared" si="4"/>
        <v>0.77760308285163782</v>
      </c>
      <c r="BA13" s="18">
        <f t="shared" si="5"/>
        <v>47</v>
      </c>
      <c r="BB13" s="18">
        <f t="shared" si="6"/>
        <v>164.7</v>
      </c>
      <c r="BC13" s="11" t="e">
        <f t="shared" si="7"/>
        <v>#DIV/0!</v>
      </c>
      <c r="BD13" s="22">
        <f t="shared" si="8"/>
        <v>8.4</v>
      </c>
      <c r="BE13" s="22">
        <f t="shared" si="9"/>
        <v>4.6993063583815031</v>
      </c>
      <c r="BF13" s="22">
        <f t="shared" si="10"/>
        <v>55.944123314065507</v>
      </c>
      <c r="BG13" s="22">
        <f t="shared" si="11"/>
        <v>44.055876685934493</v>
      </c>
      <c r="BH13" s="22">
        <f t="shared" si="12"/>
        <v>28.899082568807337</v>
      </c>
    </row>
    <row r="14" spans="1:60" ht="38.1" customHeight="1" x14ac:dyDescent="0.25">
      <c r="A14" s="11">
        <v>1</v>
      </c>
      <c r="B14" s="11">
        <v>2</v>
      </c>
      <c r="C14" s="11">
        <v>1</v>
      </c>
      <c r="D14" s="11">
        <v>4</v>
      </c>
      <c r="E14" s="11" t="s">
        <v>84</v>
      </c>
      <c r="F14" s="74" t="s">
        <v>85</v>
      </c>
      <c r="G14" s="12">
        <v>18</v>
      </c>
      <c r="H14" s="81"/>
      <c r="I14" s="76">
        <v>2</v>
      </c>
      <c r="J14" s="76">
        <v>9</v>
      </c>
      <c r="K14" s="46">
        <v>45446</v>
      </c>
      <c r="L14" s="11" t="s">
        <v>53</v>
      </c>
      <c r="M14" s="11"/>
      <c r="N14" s="11"/>
      <c r="O14" s="11" t="s">
        <v>53</v>
      </c>
      <c r="P14" s="11">
        <v>33</v>
      </c>
      <c r="Q14" s="77">
        <f t="shared" si="0"/>
        <v>282.05128205128204</v>
      </c>
      <c r="R14" s="11" t="s">
        <v>53</v>
      </c>
      <c r="S14" s="11">
        <v>115</v>
      </c>
      <c r="T14" s="11"/>
      <c r="U14" s="11"/>
      <c r="V14" s="11"/>
      <c r="W14" s="11">
        <v>19</v>
      </c>
      <c r="X14" s="11"/>
      <c r="Y14" s="11">
        <v>9</v>
      </c>
      <c r="Z14" s="82"/>
      <c r="AA14" s="27">
        <v>2.492</v>
      </c>
      <c r="AB14" s="27">
        <v>106</v>
      </c>
      <c r="AC14" s="27">
        <v>89.7</v>
      </c>
      <c r="AD14" s="27">
        <v>1.738</v>
      </c>
      <c r="AE14" s="27"/>
      <c r="AF14" s="27">
        <v>112.65</v>
      </c>
      <c r="AG14" s="27">
        <v>95.9</v>
      </c>
      <c r="AH14" s="27"/>
      <c r="AI14" s="27"/>
      <c r="AJ14" s="27">
        <v>120.69</v>
      </c>
      <c r="AK14" s="27">
        <v>117.91</v>
      </c>
      <c r="AL14" s="27">
        <v>2.06</v>
      </c>
      <c r="AM14" s="27">
        <v>2.06</v>
      </c>
      <c r="AN14" s="27"/>
      <c r="AO14" s="83"/>
      <c r="AP14" s="79"/>
      <c r="AQ14" s="80">
        <v>5.85</v>
      </c>
      <c r="AR14" s="80">
        <v>0.94</v>
      </c>
      <c r="AS14" s="80">
        <v>0.64629999999999999</v>
      </c>
      <c r="AT14" s="79"/>
      <c r="AU14" s="18">
        <f t="shared" si="1"/>
        <v>85.130936529072358</v>
      </c>
      <c r="AV14" s="18" t="e">
        <f t="shared" si="2"/>
        <v>#DIV/0!</v>
      </c>
      <c r="AW14" s="18">
        <f t="shared" si="3"/>
        <v>2.317333333333333</v>
      </c>
      <c r="AX14" s="18">
        <f t="shared" si="3"/>
        <v>0</v>
      </c>
      <c r="AY14" s="18">
        <f t="shared" si="4"/>
        <v>1.9727675691670363</v>
      </c>
      <c r="AZ14" s="18" t="e">
        <f t="shared" si="4"/>
        <v>#DIV/0!</v>
      </c>
      <c r="BA14" s="18">
        <f t="shared" si="5"/>
        <v>41.2</v>
      </c>
      <c r="BB14" s="18" t="e">
        <f t="shared" si="6"/>
        <v>#DIV/0!</v>
      </c>
      <c r="BC14" s="11">
        <f t="shared" si="7"/>
        <v>47.510149999999996</v>
      </c>
      <c r="BD14" s="22">
        <f t="shared" si="8"/>
        <v>7.7999999999999989</v>
      </c>
      <c r="BE14" s="22">
        <f t="shared" si="9"/>
        <v>5.3629148936170212</v>
      </c>
      <c r="BF14" s="22">
        <f t="shared" si="10"/>
        <v>68.755319148936181</v>
      </c>
      <c r="BG14" s="22">
        <f t="shared" si="11"/>
        <v>31.244680851063819</v>
      </c>
      <c r="BH14" s="22">
        <f t="shared" si="12"/>
        <v>3.3659378596087457</v>
      </c>
    </row>
    <row r="15" spans="1:60" ht="38.1" customHeight="1" x14ac:dyDescent="0.25">
      <c r="A15" s="11">
        <v>2</v>
      </c>
      <c r="B15" s="11">
        <v>4</v>
      </c>
      <c r="C15" s="11">
        <v>2</v>
      </c>
      <c r="D15" s="11">
        <v>4</v>
      </c>
      <c r="E15" s="11" t="s">
        <v>84</v>
      </c>
      <c r="F15" s="74" t="s">
        <v>85</v>
      </c>
      <c r="G15" s="12">
        <v>35</v>
      </c>
      <c r="H15" s="81"/>
      <c r="I15" s="76">
        <v>2</v>
      </c>
      <c r="J15" s="76">
        <v>9</v>
      </c>
      <c r="K15" s="46">
        <v>45447</v>
      </c>
      <c r="L15" s="11" t="s">
        <v>53</v>
      </c>
      <c r="M15" s="11"/>
      <c r="N15" s="11"/>
      <c r="O15" s="11" t="s">
        <v>53</v>
      </c>
      <c r="P15" s="11">
        <v>30</v>
      </c>
      <c r="Q15" s="77">
        <f t="shared" si="0"/>
        <v>256.41025641025641</v>
      </c>
      <c r="R15" s="11" t="s">
        <v>53</v>
      </c>
      <c r="S15" s="11">
        <v>110</v>
      </c>
      <c r="T15" s="11"/>
      <c r="U15" s="11"/>
      <c r="V15" s="11"/>
      <c r="W15" s="11">
        <v>19</v>
      </c>
      <c r="X15" s="11"/>
      <c r="Y15" s="11">
        <v>8</v>
      </c>
      <c r="Z15" s="82"/>
      <c r="AA15" s="27">
        <v>1.7350000000000001</v>
      </c>
      <c r="AB15" s="27">
        <v>106.31</v>
      </c>
      <c r="AC15" s="27">
        <v>88.8</v>
      </c>
      <c r="AD15" s="27">
        <v>1.175</v>
      </c>
      <c r="AE15" s="27"/>
      <c r="AF15" s="27">
        <v>106.82</v>
      </c>
      <c r="AG15" s="27">
        <v>90.8</v>
      </c>
      <c r="AH15" s="27"/>
      <c r="AI15" s="27"/>
      <c r="AJ15" s="27">
        <v>106.23</v>
      </c>
      <c r="AK15" s="27">
        <v>106.65</v>
      </c>
      <c r="AL15" s="27">
        <v>2.04</v>
      </c>
      <c r="AM15" s="27">
        <v>2.02</v>
      </c>
      <c r="AN15" s="27"/>
      <c r="AO15" s="83"/>
      <c r="AP15" s="79"/>
      <c r="AQ15" s="80">
        <v>5.35</v>
      </c>
      <c r="AR15" s="80">
        <v>0.94</v>
      </c>
      <c r="AS15" s="80">
        <v>0.64629999999999999</v>
      </c>
      <c r="AT15" s="79"/>
      <c r="AU15" s="18">
        <f t="shared" si="1"/>
        <v>85.002808462834679</v>
      </c>
      <c r="AV15" s="18" t="e">
        <f t="shared" si="2"/>
        <v>#DIV/0!</v>
      </c>
      <c r="AW15" s="18">
        <f t="shared" si="3"/>
        <v>1.5666666666666669</v>
      </c>
      <c r="AX15" s="18">
        <f t="shared" si="3"/>
        <v>0</v>
      </c>
      <c r="AY15" s="18">
        <f t="shared" si="4"/>
        <v>1.3317106659177436</v>
      </c>
      <c r="AZ15" s="18" t="e">
        <f t="shared" si="4"/>
        <v>#DIV/0!</v>
      </c>
      <c r="BA15" s="18">
        <f t="shared" si="5"/>
        <v>40.600000000000009</v>
      </c>
      <c r="BB15" s="18" t="e">
        <f t="shared" si="6"/>
        <v>#DIV/0!</v>
      </c>
      <c r="BC15" s="11">
        <f t="shared" si="7"/>
        <v>42.243979999999993</v>
      </c>
      <c r="BD15" s="22">
        <f t="shared" si="8"/>
        <v>7.1333333333333329</v>
      </c>
      <c r="BE15" s="22">
        <f t="shared" si="9"/>
        <v>4.9045460992907808</v>
      </c>
      <c r="BF15" s="22">
        <f t="shared" si="10"/>
        <v>68.755319148936181</v>
      </c>
      <c r="BG15" s="22">
        <f t="shared" si="11"/>
        <v>31.244680851063819</v>
      </c>
      <c r="BH15" s="22">
        <f t="shared" si="12"/>
        <v>4.5531914893617014</v>
      </c>
    </row>
    <row r="16" spans="1:60" ht="38.1" customHeight="1" x14ac:dyDescent="0.25">
      <c r="A16" s="11">
        <v>3</v>
      </c>
      <c r="B16" s="11">
        <v>5</v>
      </c>
      <c r="C16" s="11">
        <v>4</v>
      </c>
      <c r="D16" s="11">
        <v>4</v>
      </c>
      <c r="E16" s="11" t="s">
        <v>84</v>
      </c>
      <c r="F16" s="74" t="s">
        <v>85</v>
      </c>
      <c r="G16" s="12">
        <v>40</v>
      </c>
      <c r="H16" s="81"/>
      <c r="I16" s="76">
        <v>2</v>
      </c>
      <c r="J16" s="76">
        <v>8</v>
      </c>
      <c r="K16" s="46"/>
      <c r="L16" s="11" t="s">
        <v>53</v>
      </c>
      <c r="M16" s="11"/>
      <c r="N16" s="11"/>
      <c r="O16" s="11" t="s">
        <v>53</v>
      </c>
      <c r="P16" s="11">
        <v>36</v>
      </c>
      <c r="Q16" s="77">
        <f t="shared" si="0"/>
        <v>307.69230769230768</v>
      </c>
      <c r="R16" s="11" t="s">
        <v>53</v>
      </c>
      <c r="S16" s="11">
        <v>110</v>
      </c>
      <c r="T16" s="11"/>
      <c r="U16" s="11"/>
      <c r="V16" s="11"/>
      <c r="W16" s="11">
        <v>19</v>
      </c>
      <c r="X16" s="11"/>
      <c r="Y16" s="11">
        <v>7</v>
      </c>
      <c r="Z16" s="82"/>
      <c r="AA16" s="27">
        <v>2.0249999999999999</v>
      </c>
      <c r="AB16" s="27">
        <v>106.32</v>
      </c>
      <c r="AC16" s="27">
        <v>91.3</v>
      </c>
      <c r="AD16" s="27">
        <v>1.526</v>
      </c>
      <c r="AE16" s="27"/>
      <c r="AF16" s="27">
        <v>108.1</v>
      </c>
      <c r="AG16" s="27">
        <v>92.4</v>
      </c>
      <c r="AH16" s="27"/>
      <c r="AI16" s="27"/>
      <c r="AJ16" s="27">
        <v>112.82</v>
      </c>
      <c r="AK16" s="27">
        <v>113.02</v>
      </c>
      <c r="AL16" s="27">
        <v>2.14</v>
      </c>
      <c r="AM16" s="27">
        <v>2.17</v>
      </c>
      <c r="AN16" s="27"/>
      <c r="AO16" s="83"/>
      <c r="AP16" s="79"/>
      <c r="AQ16" s="80">
        <v>4.5</v>
      </c>
      <c r="AR16" s="80">
        <v>0.94</v>
      </c>
      <c r="AS16" s="80">
        <v>0.64629999999999999</v>
      </c>
      <c r="AT16" s="79"/>
      <c r="AU16" s="18">
        <f t="shared" si="1"/>
        <v>85.476410730804815</v>
      </c>
      <c r="AV16" s="18" t="e">
        <f t="shared" si="2"/>
        <v>#DIV/0!</v>
      </c>
      <c r="AW16" s="18">
        <f t="shared" si="3"/>
        <v>2.0346666666666664</v>
      </c>
      <c r="AX16" s="18">
        <f t="shared" si="3"/>
        <v>0</v>
      </c>
      <c r="AY16" s="18">
        <f t="shared" si="4"/>
        <v>1.7391600370027751</v>
      </c>
      <c r="AZ16" s="18" t="e">
        <f t="shared" si="4"/>
        <v>#DIV/0!</v>
      </c>
      <c r="BA16" s="18">
        <f t="shared" si="5"/>
        <v>43.100000000000009</v>
      </c>
      <c r="BB16" s="18" t="e">
        <f t="shared" si="6"/>
        <v>#DIV/0!</v>
      </c>
      <c r="BC16" s="11">
        <f t="shared" si="7"/>
        <v>44.897539999999992</v>
      </c>
      <c r="BD16" s="22">
        <f t="shared" si="8"/>
        <v>6</v>
      </c>
      <c r="BE16" s="22">
        <f t="shared" si="9"/>
        <v>4.1253191489361711</v>
      </c>
      <c r="BF16" s="22">
        <f t="shared" si="10"/>
        <v>68.755319148936181</v>
      </c>
      <c r="BG16" s="22">
        <f t="shared" si="11"/>
        <v>31.244680851063819</v>
      </c>
      <c r="BH16" s="22">
        <f t="shared" si="12"/>
        <v>2.9488859764089126</v>
      </c>
    </row>
    <row r="17" spans="1:60" ht="38.1" customHeight="1" x14ac:dyDescent="0.25">
      <c r="A17" s="11">
        <v>4</v>
      </c>
      <c r="B17" s="11">
        <v>7</v>
      </c>
      <c r="C17" s="11">
        <v>9</v>
      </c>
      <c r="D17" s="11">
        <v>4</v>
      </c>
      <c r="E17" s="11" t="s">
        <v>84</v>
      </c>
      <c r="F17" s="74" t="s">
        <v>85</v>
      </c>
      <c r="G17" s="12">
        <v>63</v>
      </c>
      <c r="H17" s="81"/>
      <c r="I17" s="76">
        <v>3</v>
      </c>
      <c r="J17" s="76">
        <v>9</v>
      </c>
      <c r="K17" s="46">
        <v>45448</v>
      </c>
      <c r="L17" s="11" t="s">
        <v>53</v>
      </c>
      <c r="M17" s="11"/>
      <c r="N17" s="11"/>
      <c r="O17" s="11" t="s">
        <v>53</v>
      </c>
      <c r="P17" s="11">
        <v>47</v>
      </c>
      <c r="Q17" s="77">
        <f t="shared" si="0"/>
        <v>401.70940170940167</v>
      </c>
      <c r="R17" s="11" t="s">
        <v>53</v>
      </c>
      <c r="S17" s="11">
        <v>110</v>
      </c>
      <c r="T17" s="11"/>
      <c r="U17" s="11"/>
      <c r="V17" s="11"/>
      <c r="W17" s="11">
        <v>18</v>
      </c>
      <c r="X17" s="11"/>
      <c r="Y17" s="11">
        <v>5</v>
      </c>
      <c r="AA17" s="32">
        <v>2.6440000000000001</v>
      </c>
      <c r="AB17" s="32">
        <v>102.82</v>
      </c>
      <c r="AC17" s="32">
        <v>86.1</v>
      </c>
      <c r="AD17" s="32">
        <v>2.0659999999999998</v>
      </c>
      <c r="AE17" s="32"/>
      <c r="AF17" s="32">
        <v>107.73</v>
      </c>
      <c r="AG17" s="32">
        <v>91.5</v>
      </c>
      <c r="AH17" s="32"/>
      <c r="AI17" s="32"/>
      <c r="AJ17" s="32">
        <v>119.31</v>
      </c>
      <c r="AK17" s="32">
        <v>118.43</v>
      </c>
      <c r="AL17" s="32">
        <v>1.99</v>
      </c>
      <c r="AM17" s="32">
        <v>2.0699999999999998</v>
      </c>
      <c r="AN17" s="32"/>
      <c r="AO17" s="85"/>
      <c r="AP17" s="86"/>
      <c r="AQ17" s="80">
        <v>6.6</v>
      </c>
      <c r="AR17" s="80">
        <v>0.94</v>
      </c>
      <c r="AS17" s="80">
        <v>0.64629999999999999</v>
      </c>
      <c r="AT17" s="86"/>
      <c r="AU17" s="18">
        <f t="shared" si="1"/>
        <v>84.934558618769145</v>
      </c>
      <c r="AV17" s="18" t="e">
        <f t="shared" si="2"/>
        <v>#DIV/0!</v>
      </c>
      <c r="AW17" s="18">
        <f t="shared" si="3"/>
        <v>2.7546666666666662</v>
      </c>
      <c r="AX17" s="18">
        <f t="shared" si="3"/>
        <v>0</v>
      </c>
      <c r="AY17" s="18">
        <f t="shared" si="4"/>
        <v>2.3396639747516934</v>
      </c>
      <c r="AZ17" s="18" t="e">
        <f t="shared" si="4"/>
        <v>#DIV/0!</v>
      </c>
      <c r="BA17" s="18">
        <f t="shared" si="5"/>
        <v>40.599999999999994</v>
      </c>
      <c r="BB17" s="18" t="e">
        <f t="shared" si="6"/>
        <v>#DIV/0!</v>
      </c>
      <c r="BC17" s="11">
        <f t="shared" si="7"/>
        <v>47.334064999999995</v>
      </c>
      <c r="BD17" s="22">
        <f t="shared" si="8"/>
        <v>8.8000000000000007</v>
      </c>
      <c r="BE17" s="22">
        <f t="shared" si="9"/>
        <v>6.0504680851063846</v>
      </c>
      <c r="BF17" s="22">
        <f t="shared" si="10"/>
        <v>68.755319148936181</v>
      </c>
      <c r="BG17" s="22">
        <f t="shared" si="11"/>
        <v>31.244680851063819</v>
      </c>
      <c r="BH17" s="22">
        <f t="shared" si="12"/>
        <v>3.1945788964182005</v>
      </c>
    </row>
    <row r="18" spans="1:60" ht="38.1" customHeight="1" x14ac:dyDescent="0.25">
      <c r="A18" s="11">
        <v>1</v>
      </c>
      <c r="B18" s="11">
        <v>2</v>
      </c>
      <c r="C18" s="11">
        <v>2</v>
      </c>
      <c r="D18" s="11">
        <v>11</v>
      </c>
      <c r="E18" s="11" t="s">
        <v>54</v>
      </c>
      <c r="F18" s="74" t="s">
        <v>55</v>
      </c>
      <c r="G18" s="12">
        <v>17</v>
      </c>
      <c r="I18" s="76">
        <v>4</v>
      </c>
      <c r="J18" s="76">
        <v>7</v>
      </c>
      <c r="K18" s="11"/>
      <c r="L18" s="11"/>
      <c r="M18" s="11"/>
      <c r="N18" s="11"/>
      <c r="O18" s="11"/>
      <c r="P18" s="11">
        <v>17</v>
      </c>
      <c r="Q18" s="77">
        <f t="shared" si="0"/>
        <v>145.29914529914529</v>
      </c>
      <c r="R18" s="11">
        <v>65</v>
      </c>
      <c r="S18" s="11">
        <v>100</v>
      </c>
      <c r="T18" s="11"/>
      <c r="U18" s="11"/>
      <c r="V18" s="11"/>
      <c r="W18" s="11">
        <v>18</v>
      </c>
      <c r="X18" s="11">
        <v>20</v>
      </c>
      <c r="Y18" s="11">
        <v>6</v>
      </c>
      <c r="Z18" s="82"/>
      <c r="AA18" s="27">
        <v>0.94699999999999995</v>
      </c>
      <c r="AB18" s="27">
        <v>100.09</v>
      </c>
      <c r="AC18" s="27">
        <v>78.900000000000006</v>
      </c>
      <c r="AD18" s="27">
        <v>0.27500000000000002</v>
      </c>
      <c r="AE18" s="27">
        <v>0.126</v>
      </c>
      <c r="AF18" s="27">
        <v>107.17</v>
      </c>
      <c r="AG18" s="27">
        <v>90.2</v>
      </c>
      <c r="AH18" s="27">
        <v>59.67</v>
      </c>
      <c r="AI18" s="27">
        <v>47.7</v>
      </c>
      <c r="AJ18" s="27"/>
      <c r="AK18" s="27"/>
      <c r="AL18" s="27">
        <v>2.0499999999999998</v>
      </c>
      <c r="AM18" s="27">
        <v>2.0699999999999998</v>
      </c>
      <c r="AN18" s="27">
        <v>7.81</v>
      </c>
      <c r="AO18" s="83">
        <v>7.8</v>
      </c>
      <c r="AP18" s="79"/>
      <c r="AQ18" s="80">
        <v>8.0500000000000007</v>
      </c>
      <c r="AR18" s="80">
        <v>1.19</v>
      </c>
      <c r="AS18" s="80">
        <v>0.64610000000000001</v>
      </c>
      <c r="AT18" s="79"/>
      <c r="AU18" s="18">
        <f t="shared" si="1"/>
        <v>84.165344779322567</v>
      </c>
      <c r="AV18" s="18">
        <f t="shared" si="2"/>
        <v>79.939668174962293</v>
      </c>
      <c r="AW18" s="18">
        <f t="shared" si="3"/>
        <v>0.3666666666666667</v>
      </c>
      <c r="AX18" s="18">
        <f t="shared" si="3"/>
        <v>0.16799999999999998</v>
      </c>
      <c r="AY18" s="18">
        <f t="shared" si="4"/>
        <v>0.30860626419084947</v>
      </c>
      <c r="AZ18" s="18">
        <f t="shared" si="4"/>
        <v>0.13429864253393664</v>
      </c>
      <c r="BA18" s="18">
        <f t="shared" si="5"/>
        <v>41.199999999999989</v>
      </c>
      <c r="BB18" s="18">
        <f t="shared" si="6"/>
        <v>156.1</v>
      </c>
      <c r="BC18" s="11" t="e">
        <f t="shared" si="7"/>
        <v>#DIV/0!</v>
      </c>
      <c r="BD18" s="22">
        <f t="shared" si="8"/>
        <v>10.733333333333334</v>
      </c>
      <c r="BE18" s="22">
        <f t="shared" si="9"/>
        <v>5.8275686274509813</v>
      </c>
      <c r="BF18" s="22">
        <f t="shared" si="10"/>
        <v>54.294117647058826</v>
      </c>
      <c r="BG18" s="22">
        <f t="shared" si="11"/>
        <v>45.705882352941174</v>
      </c>
      <c r="BH18" s="22">
        <f t="shared" si="12"/>
        <v>29.272727272727273</v>
      </c>
    </row>
    <row r="19" spans="1:60" ht="38.1" customHeight="1" x14ac:dyDescent="0.25">
      <c r="A19" s="11">
        <v>2</v>
      </c>
      <c r="B19" s="11">
        <v>3</v>
      </c>
      <c r="C19" s="11">
        <v>7</v>
      </c>
      <c r="D19" s="11">
        <v>11</v>
      </c>
      <c r="E19" s="11" t="s">
        <v>54</v>
      </c>
      <c r="F19" s="74" t="s">
        <v>55</v>
      </c>
      <c r="G19" s="12">
        <v>25</v>
      </c>
      <c r="I19" s="76">
        <v>7</v>
      </c>
      <c r="J19" s="76">
        <v>7</v>
      </c>
      <c r="K19" s="46">
        <v>45448</v>
      </c>
      <c r="L19" s="11"/>
      <c r="M19" s="11"/>
      <c r="N19" s="11"/>
      <c r="O19" s="11"/>
      <c r="P19" s="11">
        <v>15</v>
      </c>
      <c r="Q19" s="77">
        <f t="shared" si="0"/>
        <v>128.2051282051282</v>
      </c>
      <c r="R19" s="11">
        <v>60</v>
      </c>
      <c r="S19" s="11">
        <v>110</v>
      </c>
      <c r="T19" s="11"/>
      <c r="U19" s="11"/>
      <c r="V19" s="11"/>
      <c r="W19" s="11">
        <v>18</v>
      </c>
      <c r="X19" s="11">
        <v>20</v>
      </c>
      <c r="Y19" s="11">
        <v>7</v>
      </c>
      <c r="Z19" s="82"/>
      <c r="AA19" s="27">
        <v>1.3680000000000001</v>
      </c>
      <c r="AB19" s="27">
        <v>102.42</v>
      </c>
      <c r="AC19" s="27">
        <v>74.400000000000006</v>
      </c>
      <c r="AD19" s="27">
        <v>0.24099999999999999</v>
      </c>
      <c r="AE19" s="27">
        <v>0.28299999999999997</v>
      </c>
      <c r="AF19" s="27">
        <v>154.93</v>
      </c>
      <c r="AG19" s="27">
        <v>129.19999999999999</v>
      </c>
      <c r="AH19" s="27">
        <v>102.83</v>
      </c>
      <c r="AI19" s="27">
        <v>77.2</v>
      </c>
      <c r="AJ19" s="27"/>
      <c r="AK19" s="27"/>
      <c r="AL19" s="27">
        <v>2.52</v>
      </c>
      <c r="AM19" s="27">
        <v>2.54</v>
      </c>
      <c r="AN19" s="27">
        <v>8.76</v>
      </c>
      <c r="AO19" s="83">
        <v>8.42</v>
      </c>
      <c r="AP19" s="79"/>
      <c r="AQ19" s="80">
        <v>7.3</v>
      </c>
      <c r="AR19" s="80">
        <v>1.19</v>
      </c>
      <c r="AS19" s="80">
        <v>0.64610000000000001</v>
      </c>
      <c r="AT19" s="79"/>
      <c r="AU19" s="18">
        <f t="shared" si="1"/>
        <v>83.392499838636795</v>
      </c>
      <c r="AV19" s="18">
        <f t="shared" si="2"/>
        <v>75.075367110765342</v>
      </c>
      <c r="AW19" s="18">
        <f t="shared" si="3"/>
        <v>0.32133333333333336</v>
      </c>
      <c r="AX19" s="18">
        <f t="shared" si="3"/>
        <v>0.3773333333333333</v>
      </c>
      <c r="AY19" s="18">
        <f t="shared" si="4"/>
        <v>0.26796789948148625</v>
      </c>
      <c r="AZ19" s="18">
        <f t="shared" si="4"/>
        <v>0.28328438523128785</v>
      </c>
      <c r="BA19" s="18">
        <f t="shared" si="5"/>
        <v>50.600000000000009</v>
      </c>
      <c r="BB19" s="18">
        <f t="shared" si="6"/>
        <v>171.8</v>
      </c>
      <c r="BC19" s="11" t="e">
        <f t="shared" si="7"/>
        <v>#DIV/0!</v>
      </c>
      <c r="BD19" s="22">
        <f t="shared" si="8"/>
        <v>9.7333333333333325</v>
      </c>
      <c r="BE19" s="22">
        <f t="shared" si="9"/>
        <v>5.2846274509803921</v>
      </c>
      <c r="BF19" s="22">
        <f t="shared" si="10"/>
        <v>54.294117647058826</v>
      </c>
      <c r="BG19" s="22">
        <f t="shared" si="11"/>
        <v>45.705882352941174</v>
      </c>
      <c r="BH19" s="22">
        <f t="shared" si="12"/>
        <v>30.290456431535265</v>
      </c>
    </row>
    <row r="20" spans="1:60" ht="38.1" customHeight="1" x14ac:dyDescent="0.25">
      <c r="A20" s="11">
        <v>3</v>
      </c>
      <c r="B20" s="11">
        <v>5</v>
      </c>
      <c r="C20" s="11">
        <v>2</v>
      </c>
      <c r="D20" s="11">
        <v>11</v>
      </c>
      <c r="E20" s="11" t="s">
        <v>54</v>
      </c>
      <c r="F20" s="74" t="s">
        <v>55</v>
      </c>
      <c r="G20" s="12">
        <v>38</v>
      </c>
      <c r="I20" s="76">
        <v>4</v>
      </c>
      <c r="J20" s="76">
        <v>8</v>
      </c>
      <c r="K20" s="46"/>
      <c r="L20" s="11"/>
      <c r="M20" s="11"/>
      <c r="N20" s="11"/>
      <c r="O20" s="11"/>
      <c r="P20" s="11"/>
      <c r="Q20" s="77"/>
      <c r="R20" s="11">
        <v>65</v>
      </c>
      <c r="S20" s="11">
        <v>90</v>
      </c>
      <c r="T20" s="11"/>
      <c r="U20" s="11"/>
      <c r="V20" s="11"/>
      <c r="W20" s="11">
        <v>19</v>
      </c>
      <c r="X20" s="11">
        <v>20</v>
      </c>
      <c r="Y20" s="11">
        <v>7</v>
      </c>
      <c r="Z20" s="82"/>
      <c r="AA20" s="27">
        <v>0.875</v>
      </c>
      <c r="AB20" s="27">
        <v>107.4</v>
      </c>
      <c r="AC20" s="27">
        <v>78.900000000000006</v>
      </c>
      <c r="AD20" s="27">
        <v>0.155</v>
      </c>
      <c r="AE20" s="27">
        <v>0.161</v>
      </c>
      <c r="AF20" s="27">
        <v>65.94</v>
      </c>
      <c r="AG20" s="27">
        <v>54.5</v>
      </c>
      <c r="AH20" s="27">
        <v>97.28</v>
      </c>
      <c r="AI20" s="27">
        <v>73.3</v>
      </c>
      <c r="AJ20" s="27"/>
      <c r="AK20" s="27"/>
      <c r="AL20" s="27">
        <v>2.0099999999999998</v>
      </c>
      <c r="AM20" s="27">
        <v>2.0699999999999998</v>
      </c>
      <c r="AN20" s="27">
        <v>7.43</v>
      </c>
      <c r="AO20" s="83">
        <v>7.49</v>
      </c>
      <c r="AP20" s="79"/>
      <c r="AQ20" s="80">
        <v>8.6999999999999993</v>
      </c>
      <c r="AR20" s="80">
        <v>1.19</v>
      </c>
      <c r="AS20" s="80">
        <v>0.64610000000000001</v>
      </c>
      <c r="AT20" s="79"/>
      <c r="AU20" s="18">
        <f t="shared" si="1"/>
        <v>82.650894752805584</v>
      </c>
      <c r="AV20" s="18">
        <f t="shared" si="2"/>
        <v>75.34950657894737</v>
      </c>
      <c r="AW20" s="18">
        <f t="shared" si="3"/>
        <v>0.20666666666666667</v>
      </c>
      <c r="AX20" s="18">
        <f t="shared" si="3"/>
        <v>0.21466666666666667</v>
      </c>
      <c r="AY20" s="18">
        <f t="shared" si="4"/>
        <v>0.1708118491557982</v>
      </c>
      <c r="AZ20" s="18">
        <f t="shared" si="4"/>
        <v>0.16175027412280701</v>
      </c>
      <c r="BA20" s="18">
        <f t="shared" si="5"/>
        <v>40.799999999999997</v>
      </c>
      <c r="BB20" s="18">
        <f t="shared" si="6"/>
        <v>149.19999999999999</v>
      </c>
      <c r="BC20" s="11" t="e">
        <f t="shared" si="7"/>
        <v>#DIV/0!</v>
      </c>
      <c r="BD20" s="22">
        <f t="shared" si="8"/>
        <v>11.6</v>
      </c>
      <c r="BE20" s="22">
        <f t="shared" si="9"/>
        <v>6.2981176470588238</v>
      </c>
      <c r="BF20" s="22">
        <f t="shared" si="10"/>
        <v>54.294117647058826</v>
      </c>
      <c r="BG20" s="22">
        <f t="shared" si="11"/>
        <v>45.705882352941174</v>
      </c>
      <c r="BH20" s="22">
        <f t="shared" si="12"/>
        <v>56.129032258064512</v>
      </c>
    </row>
    <row r="21" spans="1:60" ht="38.1" customHeight="1" x14ac:dyDescent="0.25">
      <c r="A21" s="11">
        <v>4</v>
      </c>
      <c r="B21" s="11">
        <v>7</v>
      </c>
      <c r="C21" s="11">
        <v>2</v>
      </c>
      <c r="D21" s="11">
        <v>11</v>
      </c>
      <c r="E21" s="11" t="s">
        <v>54</v>
      </c>
      <c r="F21" s="74" t="s">
        <v>55</v>
      </c>
      <c r="G21" s="12">
        <v>56</v>
      </c>
      <c r="I21" s="76">
        <v>6</v>
      </c>
      <c r="J21" s="76">
        <v>8</v>
      </c>
      <c r="K21" s="46"/>
      <c r="L21" s="11"/>
      <c r="M21" s="11"/>
      <c r="N21" s="11"/>
      <c r="O21" s="11"/>
      <c r="P21" s="11">
        <v>14</v>
      </c>
      <c r="Q21" s="77">
        <f>P21/0.117</f>
        <v>119.65811965811965</v>
      </c>
      <c r="R21" s="11">
        <v>60</v>
      </c>
      <c r="S21" s="11">
        <v>110</v>
      </c>
      <c r="T21" s="11"/>
      <c r="U21" s="11"/>
      <c r="V21" s="11"/>
      <c r="W21" s="11">
        <v>19</v>
      </c>
      <c r="X21" s="11">
        <v>21</v>
      </c>
      <c r="Y21" s="11">
        <v>5</v>
      </c>
      <c r="Z21" s="82"/>
      <c r="AA21" s="27">
        <v>1.752</v>
      </c>
      <c r="AB21" s="27">
        <v>113.39</v>
      </c>
      <c r="AC21" s="27">
        <v>89.8</v>
      </c>
      <c r="AD21" s="27">
        <v>0.34</v>
      </c>
      <c r="AE21" s="27">
        <v>0.59</v>
      </c>
      <c r="AF21" s="27">
        <v>115.89</v>
      </c>
      <c r="AG21" s="27">
        <v>96.4</v>
      </c>
      <c r="AH21" s="27">
        <v>107.04</v>
      </c>
      <c r="AI21" s="27">
        <v>81.5</v>
      </c>
      <c r="AJ21" s="27"/>
      <c r="AK21" s="27"/>
      <c r="AL21" s="27">
        <v>2.27</v>
      </c>
      <c r="AM21" s="27">
        <v>2.2200000000000002</v>
      </c>
      <c r="AN21" s="27">
        <v>8.2899999999999991</v>
      </c>
      <c r="AO21" s="83">
        <v>8.2899999999999991</v>
      </c>
      <c r="AP21" s="79"/>
      <c r="AQ21" s="80">
        <v>6.95</v>
      </c>
      <c r="AR21" s="80">
        <v>1.19</v>
      </c>
      <c r="AS21" s="80">
        <v>0.64610000000000001</v>
      </c>
      <c r="AT21" s="79"/>
      <c r="AU21" s="18">
        <f t="shared" si="1"/>
        <v>83.182328069721294</v>
      </c>
      <c r="AV21" s="18">
        <f t="shared" si="2"/>
        <v>76.139760837070241</v>
      </c>
      <c r="AW21" s="18">
        <f t="shared" si="3"/>
        <v>0.45333333333333337</v>
      </c>
      <c r="AX21" s="18">
        <f t="shared" si="3"/>
        <v>0.78666666666666663</v>
      </c>
      <c r="AY21" s="18">
        <f t="shared" si="4"/>
        <v>0.37709322058273653</v>
      </c>
      <c r="AZ21" s="18">
        <f t="shared" si="4"/>
        <v>0.59896611858495252</v>
      </c>
      <c r="BA21" s="18">
        <f t="shared" si="5"/>
        <v>44.900000000000006</v>
      </c>
      <c r="BB21" s="18">
        <f t="shared" si="6"/>
        <v>165.79999999999998</v>
      </c>
      <c r="BC21" s="11" t="e">
        <f t="shared" si="7"/>
        <v>#DIV/0!</v>
      </c>
      <c r="BD21" s="22">
        <f t="shared" si="8"/>
        <v>9.2666666666666657</v>
      </c>
      <c r="BE21" s="22">
        <f t="shared" si="9"/>
        <v>5.031254901960784</v>
      </c>
      <c r="BF21" s="22">
        <f t="shared" si="10"/>
        <v>54.294117647058826</v>
      </c>
      <c r="BG21" s="22">
        <f t="shared" si="11"/>
        <v>45.705882352941174</v>
      </c>
      <c r="BH21" s="22">
        <f t="shared" si="12"/>
        <v>20.441176470588232</v>
      </c>
    </row>
    <row r="22" spans="1:60" ht="38.1" customHeight="1" x14ac:dyDescent="0.25">
      <c r="A22" s="11">
        <v>1</v>
      </c>
      <c r="B22" s="11">
        <v>1</v>
      </c>
      <c r="C22" s="11">
        <v>2</v>
      </c>
      <c r="D22" s="11">
        <v>9</v>
      </c>
      <c r="E22" s="11" t="s">
        <v>70</v>
      </c>
      <c r="F22" s="74" t="s">
        <v>71</v>
      </c>
      <c r="G22" s="12">
        <v>2</v>
      </c>
      <c r="H22" s="88">
        <v>45388</v>
      </c>
      <c r="I22" s="76">
        <v>5</v>
      </c>
      <c r="J22" s="76">
        <v>6</v>
      </c>
      <c r="K22" s="11"/>
      <c r="L22" s="11"/>
      <c r="M22" s="11"/>
      <c r="N22" s="11"/>
      <c r="O22" s="11"/>
      <c r="P22" s="11" t="s">
        <v>53</v>
      </c>
      <c r="Q22" s="11"/>
      <c r="R22" s="11">
        <v>50</v>
      </c>
      <c r="S22" s="11" t="s">
        <v>53</v>
      </c>
      <c r="T22" s="11"/>
      <c r="U22" s="11"/>
      <c r="V22" s="11"/>
      <c r="W22" s="11">
        <v>19</v>
      </c>
      <c r="X22" s="11"/>
      <c r="Y22" s="11">
        <v>6</v>
      </c>
      <c r="Z22" s="82"/>
      <c r="AA22" s="27">
        <v>0.97899999999999998</v>
      </c>
      <c r="AB22" s="27">
        <v>103.56</v>
      </c>
      <c r="AC22" s="27">
        <v>55.6</v>
      </c>
      <c r="AD22" s="27"/>
      <c r="AE22" s="27">
        <v>0.19500000000000001</v>
      </c>
      <c r="AF22" s="27"/>
      <c r="AG22" s="27"/>
      <c r="AH22" s="27">
        <v>96.98</v>
      </c>
      <c r="AI22" s="27">
        <v>62.2</v>
      </c>
      <c r="AJ22" s="27"/>
      <c r="AK22" s="27"/>
      <c r="AL22" s="27"/>
      <c r="AM22" s="27"/>
      <c r="AN22" s="27">
        <v>10.3</v>
      </c>
      <c r="AO22" s="83">
        <v>9.9499999999999993</v>
      </c>
      <c r="AP22" s="79"/>
      <c r="AQ22" s="80">
        <v>5.6</v>
      </c>
      <c r="AR22" s="80">
        <v>0.93</v>
      </c>
      <c r="AS22" s="80">
        <v>0.51880000000000004</v>
      </c>
      <c r="AT22" s="79"/>
      <c r="AU22" s="18" t="e">
        <f t="shared" si="1"/>
        <v>#DIV/0!</v>
      </c>
      <c r="AV22" s="18">
        <f t="shared" si="2"/>
        <v>64.136935450608362</v>
      </c>
      <c r="AW22" s="18">
        <f t="shared" si="3"/>
        <v>0</v>
      </c>
      <c r="AX22" s="18">
        <f t="shared" si="3"/>
        <v>0.26</v>
      </c>
      <c r="AY22" s="18" t="e">
        <f t="shared" si="4"/>
        <v>#DIV/0!</v>
      </c>
      <c r="AZ22" s="18">
        <f t="shared" si="4"/>
        <v>0.16675603217158178</v>
      </c>
      <c r="BA22" s="18" t="e">
        <f t="shared" si="5"/>
        <v>#DIV/0!</v>
      </c>
      <c r="BB22" s="18">
        <f t="shared" si="6"/>
        <v>202.5</v>
      </c>
      <c r="BC22" s="11" t="e">
        <f t="shared" si="7"/>
        <v>#DIV/0!</v>
      </c>
      <c r="BD22" s="22">
        <f t="shared" si="8"/>
        <v>7.4666666666666659</v>
      </c>
      <c r="BE22" s="22">
        <f t="shared" si="9"/>
        <v>4.1652759856630821</v>
      </c>
      <c r="BF22" s="22">
        <f t="shared" si="10"/>
        <v>55.784946236559144</v>
      </c>
      <c r="BG22" s="22">
        <f t="shared" si="11"/>
        <v>44.215053763440856</v>
      </c>
      <c r="BH22" s="22" t="e">
        <f t="shared" si="12"/>
        <v>#DIV/0!</v>
      </c>
    </row>
    <row r="23" spans="1:60" ht="38.1" customHeight="1" x14ac:dyDescent="0.25">
      <c r="A23" s="11">
        <v>2</v>
      </c>
      <c r="B23" s="11">
        <v>4</v>
      </c>
      <c r="C23" s="11">
        <v>7</v>
      </c>
      <c r="D23" s="11">
        <v>9</v>
      </c>
      <c r="E23" s="11" t="s">
        <v>70</v>
      </c>
      <c r="F23" s="74" t="s">
        <v>71</v>
      </c>
      <c r="G23" s="12">
        <v>30</v>
      </c>
      <c r="I23" s="76">
        <v>7</v>
      </c>
      <c r="J23" s="76">
        <v>7</v>
      </c>
      <c r="K23" s="46"/>
      <c r="L23" s="11"/>
      <c r="M23" s="11"/>
      <c r="N23" s="11"/>
      <c r="O23" s="11"/>
      <c r="P23" s="11" t="s">
        <v>53</v>
      </c>
      <c r="Q23" s="77"/>
      <c r="R23" s="11">
        <v>55</v>
      </c>
      <c r="S23" s="11" t="s">
        <v>53</v>
      </c>
      <c r="T23" s="11"/>
      <c r="U23" s="11"/>
      <c r="V23" s="11"/>
      <c r="W23" s="11"/>
      <c r="X23" s="11">
        <v>21</v>
      </c>
      <c r="Y23" s="11">
        <v>6</v>
      </c>
      <c r="Z23" s="82"/>
      <c r="AA23" s="27">
        <v>1.0389999999999999</v>
      </c>
      <c r="AB23" s="27">
        <v>105.76</v>
      </c>
      <c r="AC23" s="27">
        <v>74.599999999999994</v>
      </c>
      <c r="AD23" s="27"/>
      <c r="AE23" s="27">
        <v>0.39500000000000002</v>
      </c>
      <c r="AF23" s="27"/>
      <c r="AG23" s="27"/>
      <c r="AH23" s="27">
        <v>104</v>
      </c>
      <c r="AI23" s="27">
        <v>79.400000000000006</v>
      </c>
      <c r="AJ23" s="27"/>
      <c r="AK23" s="27"/>
      <c r="AL23" s="27"/>
      <c r="AM23" s="27"/>
      <c r="AN23" s="27">
        <v>8.68</v>
      </c>
      <c r="AO23" s="83">
        <v>8.25</v>
      </c>
      <c r="AP23" s="79"/>
      <c r="AQ23" s="80">
        <v>4.9000000000000004</v>
      </c>
      <c r="AR23" s="80">
        <v>0.93</v>
      </c>
      <c r="AS23" s="80">
        <v>0.51880000000000004</v>
      </c>
      <c r="AT23" s="79"/>
      <c r="AU23" s="18" t="e">
        <f t="shared" si="1"/>
        <v>#DIV/0!</v>
      </c>
      <c r="AV23" s="18">
        <f t="shared" si="2"/>
        <v>76.346153846153854</v>
      </c>
      <c r="AW23" s="18">
        <f t="shared" si="3"/>
        <v>0</v>
      </c>
      <c r="AX23" s="18">
        <f t="shared" si="3"/>
        <v>0.52666666666666662</v>
      </c>
      <c r="AY23" s="18" t="e">
        <f t="shared" si="4"/>
        <v>#DIV/0!</v>
      </c>
      <c r="AZ23" s="18">
        <f t="shared" si="4"/>
        <v>0.40208974358974359</v>
      </c>
      <c r="BA23" s="18" t="e">
        <f t="shared" si="5"/>
        <v>#DIV/0!</v>
      </c>
      <c r="BB23" s="18">
        <f t="shared" si="6"/>
        <v>169.3</v>
      </c>
      <c r="BC23" s="11" t="e">
        <f t="shared" si="7"/>
        <v>#DIV/0!</v>
      </c>
      <c r="BD23" s="22">
        <f t="shared" si="8"/>
        <v>6.5333333333333341</v>
      </c>
      <c r="BE23" s="22">
        <f t="shared" si="9"/>
        <v>3.6446164874551976</v>
      </c>
      <c r="BF23" s="22">
        <f t="shared" si="10"/>
        <v>55.784946236559144</v>
      </c>
      <c r="BG23" s="22">
        <f t="shared" si="11"/>
        <v>44.215053763440856</v>
      </c>
      <c r="BH23" s="22" t="e">
        <f t="shared" si="12"/>
        <v>#DIV/0!</v>
      </c>
    </row>
    <row r="24" spans="1:60" ht="38.1" customHeight="1" x14ac:dyDescent="0.25">
      <c r="A24" s="11">
        <v>3</v>
      </c>
      <c r="B24" s="11">
        <v>6</v>
      </c>
      <c r="C24" s="11">
        <v>7</v>
      </c>
      <c r="D24" s="11">
        <v>9</v>
      </c>
      <c r="E24" s="11" t="s">
        <v>70</v>
      </c>
      <c r="F24" s="74" t="s">
        <v>71</v>
      </c>
      <c r="G24" s="12">
        <v>48</v>
      </c>
      <c r="I24" s="76">
        <v>6</v>
      </c>
      <c r="J24" s="76">
        <v>7</v>
      </c>
      <c r="K24" s="46"/>
      <c r="L24" s="11"/>
      <c r="M24" s="11"/>
      <c r="N24" s="11"/>
      <c r="O24" s="11"/>
      <c r="P24" s="11" t="s">
        <v>53</v>
      </c>
      <c r="Q24" s="77"/>
      <c r="R24" s="11">
        <v>55</v>
      </c>
      <c r="S24" s="11" t="s">
        <v>53</v>
      </c>
      <c r="T24" s="11"/>
      <c r="U24" s="11"/>
      <c r="V24" s="11"/>
      <c r="W24" s="11"/>
      <c r="X24" s="11">
        <v>21</v>
      </c>
      <c r="Y24" s="11">
        <v>8</v>
      </c>
      <c r="Z24" s="82"/>
      <c r="AA24" s="27">
        <v>0.91600000000000004</v>
      </c>
      <c r="AB24" s="27">
        <v>105.76</v>
      </c>
      <c r="AC24" s="27">
        <v>65.2</v>
      </c>
      <c r="AD24" s="27"/>
      <c r="AE24" s="27">
        <v>0.28299999999999997</v>
      </c>
      <c r="AF24" s="27"/>
      <c r="AG24" s="27"/>
      <c r="AH24" s="27">
        <v>92.65</v>
      </c>
      <c r="AI24" s="27">
        <v>68.400000000000006</v>
      </c>
      <c r="AJ24" s="27"/>
      <c r="AK24" s="27"/>
      <c r="AL24" s="27"/>
      <c r="AM24" s="27"/>
      <c r="AN24" s="27">
        <v>8.2799999999999994</v>
      </c>
      <c r="AO24" s="83">
        <v>8.77</v>
      </c>
      <c r="AP24" s="79"/>
      <c r="AQ24" s="80">
        <v>8.5</v>
      </c>
      <c r="AR24" s="80">
        <v>0.93</v>
      </c>
      <c r="AS24" s="80">
        <v>0.51880000000000004</v>
      </c>
      <c r="AT24" s="79"/>
      <c r="AU24" s="18" t="e">
        <f t="shared" si="1"/>
        <v>#DIV/0!</v>
      </c>
      <c r="AV24" s="18">
        <f t="shared" si="2"/>
        <v>73.826227738801947</v>
      </c>
      <c r="AW24" s="18">
        <f t="shared" si="3"/>
        <v>0</v>
      </c>
      <c r="AX24" s="18">
        <f t="shared" si="3"/>
        <v>0.3773333333333333</v>
      </c>
      <c r="AY24" s="18" t="e">
        <f t="shared" si="4"/>
        <v>#DIV/0!</v>
      </c>
      <c r="AZ24" s="18">
        <f t="shared" si="4"/>
        <v>0.27857096600107928</v>
      </c>
      <c r="BA24" s="18" t="e">
        <f t="shared" si="5"/>
        <v>#DIV/0!</v>
      </c>
      <c r="BB24" s="18">
        <f t="shared" si="6"/>
        <v>170.49999999999997</v>
      </c>
      <c r="BC24" s="11" t="e">
        <f t="shared" si="7"/>
        <v>#DIV/0!</v>
      </c>
      <c r="BD24" s="22">
        <f t="shared" si="8"/>
        <v>11.333333333333332</v>
      </c>
      <c r="BE24" s="22">
        <f t="shared" si="9"/>
        <v>6.3222939068100352</v>
      </c>
      <c r="BF24" s="22">
        <f t="shared" si="10"/>
        <v>55.784946236559144</v>
      </c>
      <c r="BG24" s="22">
        <f t="shared" si="11"/>
        <v>44.215053763440856</v>
      </c>
      <c r="BH24" s="22" t="e">
        <f t="shared" si="12"/>
        <v>#DIV/0!</v>
      </c>
    </row>
    <row r="25" spans="1:60" ht="38.1" customHeight="1" x14ac:dyDescent="0.25">
      <c r="A25" s="11">
        <v>4</v>
      </c>
      <c r="B25" s="11">
        <v>8</v>
      </c>
      <c r="C25" s="11">
        <v>8</v>
      </c>
      <c r="D25" s="11">
        <v>9</v>
      </c>
      <c r="E25" s="11" t="s">
        <v>70</v>
      </c>
      <c r="F25" s="74" t="s">
        <v>71</v>
      </c>
      <c r="G25" s="12">
        <v>65</v>
      </c>
      <c r="H25" s="89"/>
      <c r="I25" s="76">
        <v>6</v>
      </c>
      <c r="J25" s="76">
        <v>7</v>
      </c>
      <c r="K25" s="46"/>
      <c r="L25" s="11"/>
      <c r="M25" s="11"/>
      <c r="N25" s="11"/>
      <c r="O25" s="11"/>
      <c r="P25" s="11"/>
      <c r="Q25" s="77"/>
      <c r="R25" s="11">
        <v>60</v>
      </c>
      <c r="S25" s="11" t="s">
        <v>53</v>
      </c>
      <c r="T25" s="11"/>
      <c r="U25" s="11"/>
      <c r="V25" s="11"/>
      <c r="W25" s="11"/>
      <c r="X25" s="11">
        <v>21</v>
      </c>
      <c r="Y25" s="11">
        <v>6</v>
      </c>
      <c r="Z25" s="82"/>
      <c r="AA25" s="27">
        <v>0.65100000000000002</v>
      </c>
      <c r="AB25" s="27">
        <v>112.31</v>
      </c>
      <c r="AC25" s="27">
        <v>79.5</v>
      </c>
      <c r="AD25" s="27"/>
      <c r="AE25" s="27">
        <v>0.13500000000000001</v>
      </c>
      <c r="AF25" s="27"/>
      <c r="AG25" s="27"/>
      <c r="AH25" s="27">
        <v>67.55</v>
      </c>
      <c r="AI25" s="27">
        <v>53.6</v>
      </c>
      <c r="AJ25" s="27"/>
      <c r="AK25" s="27"/>
      <c r="AL25" s="27"/>
      <c r="AM25" s="27"/>
      <c r="AN25" s="27">
        <v>8.0399999999999991</v>
      </c>
      <c r="AO25" s="83">
        <v>7.86</v>
      </c>
      <c r="AP25" s="79"/>
      <c r="AQ25" s="80">
        <v>3.65</v>
      </c>
      <c r="AR25" s="80">
        <v>0.93</v>
      </c>
      <c r="AS25" s="80">
        <v>0.51880000000000004</v>
      </c>
      <c r="AT25" s="79"/>
      <c r="AU25" s="18" t="e">
        <f t="shared" si="1"/>
        <v>#DIV/0!</v>
      </c>
      <c r="AV25" s="18">
        <f t="shared" si="2"/>
        <v>79.348630643967439</v>
      </c>
      <c r="AW25" s="18">
        <f t="shared" si="3"/>
        <v>0</v>
      </c>
      <c r="AX25" s="18">
        <f t="shared" si="3"/>
        <v>0.18000000000000002</v>
      </c>
      <c r="AY25" s="18" t="e">
        <f t="shared" si="4"/>
        <v>#DIV/0!</v>
      </c>
      <c r="AZ25" s="18">
        <f t="shared" si="4"/>
        <v>0.14282753515914143</v>
      </c>
      <c r="BA25" s="18" t="e">
        <f t="shared" si="5"/>
        <v>#DIV/0!</v>
      </c>
      <c r="BB25" s="18">
        <f t="shared" si="6"/>
        <v>159</v>
      </c>
      <c r="BC25" s="11" t="e">
        <f t="shared" si="7"/>
        <v>#DIV/0!</v>
      </c>
      <c r="BD25" s="22">
        <f t="shared" si="8"/>
        <v>4.8666666666666663</v>
      </c>
      <c r="BE25" s="22">
        <f t="shared" si="9"/>
        <v>2.7148673835125448</v>
      </c>
      <c r="BF25" s="22">
        <f t="shared" si="10"/>
        <v>55.784946236559144</v>
      </c>
      <c r="BG25" s="22">
        <f t="shared" si="11"/>
        <v>44.215053763440856</v>
      </c>
      <c r="BH25" s="22" t="e">
        <f t="shared" si="12"/>
        <v>#DIV/0!</v>
      </c>
    </row>
    <row r="26" spans="1:60" ht="38.1" customHeight="1" x14ac:dyDescent="0.25">
      <c r="A26" s="11">
        <v>1</v>
      </c>
      <c r="B26" s="11">
        <v>2</v>
      </c>
      <c r="C26" s="11">
        <v>4</v>
      </c>
      <c r="D26" s="11">
        <v>2</v>
      </c>
      <c r="E26" s="25" t="s">
        <v>51</v>
      </c>
      <c r="F26" s="74" t="s">
        <v>52</v>
      </c>
      <c r="G26" s="12">
        <v>15</v>
      </c>
      <c r="H26" s="90"/>
      <c r="I26" s="76">
        <v>1</v>
      </c>
      <c r="J26" s="76">
        <v>8</v>
      </c>
      <c r="K26" s="46">
        <v>45444</v>
      </c>
      <c r="L26" s="11" t="s">
        <v>53</v>
      </c>
      <c r="M26" s="11"/>
      <c r="N26" s="11"/>
      <c r="O26" s="11" t="s">
        <v>53</v>
      </c>
      <c r="P26" s="11">
        <v>31</v>
      </c>
      <c r="Q26" s="77">
        <f t="shared" ref="Q26:Q45" si="13">P26/0.117</f>
        <v>264.95726495726495</v>
      </c>
      <c r="R26" s="11" t="s">
        <v>53</v>
      </c>
      <c r="S26" s="11">
        <v>105</v>
      </c>
      <c r="T26" s="11"/>
      <c r="U26" s="11"/>
      <c r="V26" s="11"/>
      <c r="W26" s="11">
        <v>19</v>
      </c>
      <c r="X26" s="11"/>
      <c r="Y26" s="11">
        <v>7</v>
      </c>
      <c r="Z26" s="82"/>
      <c r="AA26" s="27">
        <v>2.7890000000000001</v>
      </c>
      <c r="AB26" s="27">
        <v>102.78</v>
      </c>
      <c r="AC26" s="27">
        <v>87.5</v>
      </c>
      <c r="AD26" s="27">
        <v>2.27</v>
      </c>
      <c r="AE26" s="27"/>
      <c r="AF26" s="27">
        <v>110.7</v>
      </c>
      <c r="AG26" s="27">
        <v>94.7</v>
      </c>
      <c r="AH26" s="27"/>
      <c r="AI26" s="27"/>
      <c r="AJ26" s="27">
        <v>119.99</v>
      </c>
      <c r="AK26" s="27">
        <v>121.61</v>
      </c>
      <c r="AL26" s="27">
        <v>1.69</v>
      </c>
      <c r="AM26" s="27">
        <v>1.66</v>
      </c>
      <c r="AN26" s="27"/>
      <c r="AO26" s="83"/>
      <c r="AP26" s="79"/>
      <c r="AQ26" s="80">
        <v>4.05</v>
      </c>
      <c r="AR26" s="80">
        <v>1.02</v>
      </c>
      <c r="AS26" s="80">
        <v>0.73629999999999995</v>
      </c>
      <c r="AT26" s="79"/>
      <c r="AU26" s="18">
        <f t="shared" si="1"/>
        <v>85.546522131887983</v>
      </c>
      <c r="AV26" s="18" t="e">
        <f t="shared" si="2"/>
        <v>#DIV/0!</v>
      </c>
      <c r="AW26" s="18">
        <f t="shared" si="3"/>
        <v>3.0266666666666668</v>
      </c>
      <c r="AX26" s="18">
        <f t="shared" si="3"/>
        <v>0</v>
      </c>
      <c r="AY26" s="18">
        <f t="shared" si="4"/>
        <v>2.5892080698584765</v>
      </c>
      <c r="AZ26" s="18" t="e">
        <f t="shared" si="4"/>
        <v>#DIV/0!</v>
      </c>
      <c r="BA26" s="18">
        <f t="shared" si="5"/>
        <v>33.5</v>
      </c>
      <c r="BB26" s="18" t="e">
        <f t="shared" si="6"/>
        <v>#DIV/0!</v>
      </c>
      <c r="BC26" s="11">
        <f t="shared" si="7"/>
        <v>48.124399999999994</v>
      </c>
      <c r="BD26" s="22">
        <f t="shared" si="8"/>
        <v>5.3999999999999995</v>
      </c>
      <c r="BE26" s="22">
        <f t="shared" si="9"/>
        <v>3.8980588235294116</v>
      </c>
      <c r="BF26" s="22">
        <f t="shared" si="10"/>
        <v>72.186274509803923</v>
      </c>
      <c r="BG26" s="22">
        <f t="shared" si="11"/>
        <v>27.813725490196077</v>
      </c>
      <c r="BH26" s="22">
        <f t="shared" si="12"/>
        <v>1.7841409691629952</v>
      </c>
    </row>
    <row r="27" spans="1:60" ht="38.1" customHeight="1" x14ac:dyDescent="0.25">
      <c r="A27" s="11">
        <v>2</v>
      </c>
      <c r="B27" s="11">
        <v>4</v>
      </c>
      <c r="C27" s="11">
        <v>5</v>
      </c>
      <c r="D27" s="11">
        <v>2</v>
      </c>
      <c r="E27" s="25" t="s">
        <v>51</v>
      </c>
      <c r="F27" s="74" t="s">
        <v>52</v>
      </c>
      <c r="G27" s="12">
        <v>32</v>
      </c>
      <c r="I27" s="76">
        <v>3</v>
      </c>
      <c r="J27" s="76">
        <v>9</v>
      </c>
      <c r="K27" s="46"/>
      <c r="L27" s="11" t="s">
        <v>53</v>
      </c>
      <c r="M27" s="11"/>
      <c r="N27" s="11"/>
      <c r="O27" s="11" t="s">
        <v>53</v>
      </c>
      <c r="P27" s="11">
        <v>42</v>
      </c>
      <c r="Q27" s="77">
        <f t="shared" si="13"/>
        <v>358.97435897435895</v>
      </c>
      <c r="R27" s="11" t="s">
        <v>53</v>
      </c>
      <c r="S27" s="11">
        <v>105</v>
      </c>
      <c r="T27" s="11"/>
      <c r="U27" s="11"/>
      <c r="V27" s="11"/>
      <c r="W27" s="11">
        <v>18</v>
      </c>
      <c r="X27" s="11"/>
      <c r="Y27" s="11">
        <v>8</v>
      </c>
      <c r="Z27" s="82"/>
      <c r="AA27" s="27">
        <v>2.0449999999999999</v>
      </c>
      <c r="AB27" s="27">
        <v>105.82</v>
      </c>
      <c r="AC27" s="27">
        <v>89.9</v>
      </c>
      <c r="AD27" s="27">
        <v>1.135</v>
      </c>
      <c r="AE27" s="27"/>
      <c r="AF27" s="27">
        <v>110.7</v>
      </c>
      <c r="AG27" s="27">
        <v>94.5</v>
      </c>
      <c r="AH27" s="27"/>
      <c r="AI27" s="27"/>
      <c r="AJ27" s="27">
        <v>120.19</v>
      </c>
      <c r="AK27" s="27">
        <v>119.16</v>
      </c>
      <c r="AL27" s="27">
        <v>1.68</v>
      </c>
      <c r="AM27" s="27">
        <v>1.69</v>
      </c>
      <c r="AN27" s="27"/>
      <c r="AO27" s="83"/>
      <c r="AP27" s="79"/>
      <c r="AQ27" s="80">
        <v>4.55</v>
      </c>
      <c r="AR27" s="80">
        <v>1.02</v>
      </c>
      <c r="AS27" s="80">
        <v>0.73629999999999995</v>
      </c>
      <c r="AT27" s="79"/>
      <c r="AU27" s="18">
        <f t="shared" si="1"/>
        <v>85.365853658536579</v>
      </c>
      <c r="AV27" s="18" t="e">
        <f t="shared" si="2"/>
        <v>#DIV/0!</v>
      </c>
      <c r="AW27" s="18">
        <f t="shared" si="3"/>
        <v>1.5133333333333334</v>
      </c>
      <c r="AX27" s="18">
        <f t="shared" si="3"/>
        <v>0</v>
      </c>
      <c r="AY27" s="18">
        <f t="shared" si="4"/>
        <v>1.2918699186991871</v>
      </c>
      <c r="AZ27" s="18" t="e">
        <f t="shared" si="4"/>
        <v>#DIV/0!</v>
      </c>
      <c r="BA27" s="18">
        <f t="shared" si="5"/>
        <v>33.700000000000003</v>
      </c>
      <c r="BB27" s="18" t="e">
        <f t="shared" si="6"/>
        <v>#DIV/0!</v>
      </c>
      <c r="BC27" s="11">
        <f t="shared" si="7"/>
        <v>47.663712499999995</v>
      </c>
      <c r="BD27" s="22">
        <f t="shared" si="8"/>
        <v>6.0666666666666664</v>
      </c>
      <c r="BE27" s="22">
        <f t="shared" si="9"/>
        <v>4.3793006535947718</v>
      </c>
      <c r="BF27" s="22">
        <f t="shared" si="10"/>
        <v>72.186274509803923</v>
      </c>
      <c r="BG27" s="22">
        <f t="shared" si="11"/>
        <v>27.813725490196077</v>
      </c>
      <c r="BH27" s="22">
        <f t="shared" si="12"/>
        <v>4.0088105726872243</v>
      </c>
    </row>
    <row r="28" spans="1:60" ht="38.1" customHeight="1" x14ac:dyDescent="0.25">
      <c r="A28" s="11">
        <v>3</v>
      </c>
      <c r="B28" s="11">
        <v>5</v>
      </c>
      <c r="C28" s="11">
        <v>8</v>
      </c>
      <c r="D28" s="11">
        <v>2</v>
      </c>
      <c r="E28" s="25" t="s">
        <v>51</v>
      </c>
      <c r="F28" s="74" t="s">
        <v>52</v>
      </c>
      <c r="G28" s="12">
        <v>44</v>
      </c>
      <c r="I28" s="76">
        <v>2</v>
      </c>
      <c r="J28" s="76">
        <v>9</v>
      </c>
      <c r="K28" s="46"/>
      <c r="L28" s="11" t="s">
        <v>53</v>
      </c>
      <c r="M28" s="11"/>
      <c r="N28" s="11"/>
      <c r="O28" s="11" t="s">
        <v>53</v>
      </c>
      <c r="P28" s="11">
        <v>29</v>
      </c>
      <c r="Q28" s="77">
        <f t="shared" si="13"/>
        <v>247.86324786324784</v>
      </c>
      <c r="R28" s="11" t="s">
        <v>53</v>
      </c>
      <c r="S28" s="11">
        <v>105</v>
      </c>
      <c r="T28" s="11"/>
      <c r="U28" s="11"/>
      <c r="V28" s="11"/>
      <c r="W28" s="11">
        <v>18</v>
      </c>
      <c r="X28" s="11"/>
      <c r="Y28" s="11">
        <v>3</v>
      </c>
      <c r="Z28" s="82"/>
      <c r="AA28" s="27">
        <v>2.6080000000000001</v>
      </c>
      <c r="AB28" s="27">
        <v>110.09</v>
      </c>
      <c r="AC28" s="27">
        <v>93.9</v>
      </c>
      <c r="AD28" s="27">
        <v>2.0259999999999998</v>
      </c>
      <c r="AE28" s="27"/>
      <c r="AF28" s="27">
        <v>113.33</v>
      </c>
      <c r="AG28" s="27">
        <v>97.3</v>
      </c>
      <c r="AH28" s="27"/>
      <c r="AI28" s="27"/>
      <c r="AJ28" s="27">
        <v>122.28</v>
      </c>
      <c r="AK28" s="27">
        <v>122.63</v>
      </c>
      <c r="AL28" s="27">
        <v>1.77</v>
      </c>
      <c r="AM28" s="27">
        <v>1.84</v>
      </c>
      <c r="AN28" s="27"/>
      <c r="AO28" s="83"/>
      <c r="AP28" s="79"/>
      <c r="AQ28" s="80">
        <v>4.25</v>
      </c>
      <c r="AR28" s="80">
        <v>1.02</v>
      </c>
      <c r="AS28" s="80">
        <v>0.73629999999999995</v>
      </c>
      <c r="AT28" s="79"/>
      <c r="AU28" s="18">
        <f t="shared" si="1"/>
        <v>85.855466337245218</v>
      </c>
      <c r="AV28" s="18" t="e">
        <f t="shared" si="2"/>
        <v>#DIV/0!</v>
      </c>
      <c r="AW28" s="18">
        <f t="shared" si="3"/>
        <v>2.7013333333333329</v>
      </c>
      <c r="AX28" s="18">
        <f t="shared" si="3"/>
        <v>0</v>
      </c>
      <c r="AY28" s="18">
        <f t="shared" si="4"/>
        <v>2.3192423306567838</v>
      </c>
      <c r="AZ28" s="18" t="e">
        <f t="shared" si="4"/>
        <v>#DIV/0!</v>
      </c>
      <c r="BA28" s="18">
        <f t="shared" si="5"/>
        <v>36.1</v>
      </c>
      <c r="BB28" s="18" t="e">
        <f t="shared" si="6"/>
        <v>#DIV/0!</v>
      </c>
      <c r="BC28" s="11">
        <f t="shared" si="7"/>
        <v>48.802122499999996</v>
      </c>
      <c r="BD28" s="22">
        <f t="shared" si="8"/>
        <v>5.6666666666666661</v>
      </c>
      <c r="BE28" s="22">
        <f t="shared" si="9"/>
        <v>4.0905555555555555</v>
      </c>
      <c r="BF28" s="22">
        <f t="shared" si="10"/>
        <v>72.186274509803923</v>
      </c>
      <c r="BG28" s="22">
        <f t="shared" si="11"/>
        <v>27.813725490196077</v>
      </c>
      <c r="BH28" s="22">
        <f t="shared" si="12"/>
        <v>2.0977295162882528</v>
      </c>
    </row>
    <row r="29" spans="1:60" ht="38.1" customHeight="1" x14ac:dyDescent="0.25">
      <c r="A29" s="11">
        <v>4</v>
      </c>
      <c r="B29" s="11">
        <v>8</v>
      </c>
      <c r="C29" s="11">
        <v>1</v>
      </c>
      <c r="D29" s="11">
        <v>2</v>
      </c>
      <c r="E29" s="25" t="s">
        <v>51</v>
      </c>
      <c r="F29" s="74" t="s">
        <v>52</v>
      </c>
      <c r="G29" s="12">
        <v>72</v>
      </c>
      <c r="H29" s="89"/>
      <c r="I29" s="76">
        <v>3</v>
      </c>
      <c r="J29" s="76">
        <v>8</v>
      </c>
      <c r="K29" s="46"/>
      <c r="L29" s="11" t="s">
        <v>53</v>
      </c>
      <c r="M29" s="11"/>
      <c r="N29" s="11"/>
      <c r="O29" s="11" t="s">
        <v>53</v>
      </c>
      <c r="P29" s="11">
        <v>31</v>
      </c>
      <c r="Q29" s="77">
        <f t="shared" si="13"/>
        <v>264.95726495726495</v>
      </c>
      <c r="R29" s="11" t="s">
        <v>53</v>
      </c>
      <c r="S29" s="11">
        <v>115</v>
      </c>
      <c r="T29" s="11"/>
      <c r="U29" s="11"/>
      <c r="V29" s="11"/>
      <c r="W29" s="11">
        <v>18</v>
      </c>
      <c r="X29" s="11"/>
      <c r="Y29" s="11">
        <v>5</v>
      </c>
      <c r="AA29" s="32">
        <v>3.1059999999999999</v>
      </c>
      <c r="AB29" s="32">
        <v>106.6</v>
      </c>
      <c r="AC29" s="32">
        <v>89.3</v>
      </c>
      <c r="AD29" s="32">
        <v>2.2069999999999999</v>
      </c>
      <c r="AE29" s="32"/>
      <c r="AF29" s="32">
        <v>117.89</v>
      </c>
      <c r="AG29" s="32">
        <v>100.4</v>
      </c>
      <c r="AH29" s="32"/>
      <c r="AI29" s="32"/>
      <c r="AJ29" s="32">
        <v>126.91</v>
      </c>
      <c r="AK29" s="32">
        <v>127.36</v>
      </c>
      <c r="AL29" s="32">
        <v>1.93</v>
      </c>
      <c r="AM29" s="32">
        <v>1.88</v>
      </c>
      <c r="AN29" s="32"/>
      <c r="AO29" s="85"/>
      <c r="AP29" s="86"/>
      <c r="AQ29" s="80">
        <v>5.25</v>
      </c>
      <c r="AR29" s="80">
        <v>1.02</v>
      </c>
      <c r="AS29" s="80">
        <v>0.73629999999999995</v>
      </c>
      <c r="AT29" s="86"/>
      <c r="AU29" s="18">
        <f t="shared" si="1"/>
        <v>85.164136059038086</v>
      </c>
      <c r="AV29" s="18" t="e">
        <f t="shared" si="2"/>
        <v>#DIV/0!</v>
      </c>
      <c r="AW29" s="18">
        <f t="shared" si="3"/>
        <v>2.9426666666666663</v>
      </c>
      <c r="AX29" s="18">
        <f t="shared" si="3"/>
        <v>0</v>
      </c>
      <c r="AY29" s="18">
        <f t="shared" si="4"/>
        <v>2.5060966437639607</v>
      </c>
      <c r="AZ29" s="18" t="e">
        <f t="shared" si="4"/>
        <v>#DIV/0!</v>
      </c>
      <c r="BA29" s="18">
        <f t="shared" si="5"/>
        <v>38.099999999999994</v>
      </c>
      <c r="BB29" s="18" t="e">
        <f t="shared" si="6"/>
        <v>#DIV/0!</v>
      </c>
      <c r="BC29" s="11">
        <f t="shared" si="7"/>
        <v>50.718582499999989</v>
      </c>
      <c r="BD29" s="22">
        <f t="shared" si="8"/>
        <v>7</v>
      </c>
      <c r="BE29" s="22">
        <f t="shared" si="9"/>
        <v>5.0530392156862751</v>
      </c>
      <c r="BF29" s="22">
        <f t="shared" si="10"/>
        <v>72.186274509803923</v>
      </c>
      <c r="BG29" s="22">
        <f t="shared" si="11"/>
        <v>27.813725490196077</v>
      </c>
      <c r="BH29" s="22">
        <f t="shared" si="12"/>
        <v>2.3787947439963752</v>
      </c>
    </row>
    <row r="30" spans="1:60" ht="38.1" customHeight="1" x14ac:dyDescent="0.25">
      <c r="A30" s="11">
        <v>1</v>
      </c>
      <c r="B30" s="11">
        <v>2</v>
      </c>
      <c r="C30" s="11">
        <v>6</v>
      </c>
      <c r="D30" s="11">
        <v>15</v>
      </c>
      <c r="E30" s="11" t="s">
        <v>64</v>
      </c>
      <c r="F30" s="74" t="s">
        <v>65</v>
      </c>
      <c r="G30" s="12">
        <v>13</v>
      </c>
      <c r="H30" s="90"/>
      <c r="I30" s="76">
        <v>4</v>
      </c>
      <c r="J30" s="76">
        <v>8</v>
      </c>
      <c r="K30" s="11"/>
      <c r="L30" s="11"/>
      <c r="M30" s="11"/>
      <c r="N30" s="11"/>
      <c r="O30" s="11"/>
      <c r="P30" s="11">
        <v>18</v>
      </c>
      <c r="Q30" s="77">
        <f t="shared" si="13"/>
        <v>153.84615384615384</v>
      </c>
      <c r="R30" s="11">
        <v>70</v>
      </c>
      <c r="S30" s="11">
        <v>110</v>
      </c>
      <c r="T30" s="11"/>
      <c r="U30" s="11"/>
      <c r="V30" s="11"/>
      <c r="W30" s="11">
        <v>17</v>
      </c>
      <c r="X30" s="11">
        <v>20</v>
      </c>
      <c r="Y30" s="11">
        <v>4</v>
      </c>
      <c r="Z30" s="82"/>
      <c r="AA30" s="27">
        <v>2.0750000000000002</v>
      </c>
      <c r="AB30" s="27">
        <v>106.39</v>
      </c>
      <c r="AC30" s="27">
        <v>87</v>
      </c>
      <c r="AD30" s="27">
        <v>0.83399999999999996</v>
      </c>
      <c r="AE30" s="27">
        <v>0.433</v>
      </c>
      <c r="AF30" s="27">
        <v>109.19</v>
      </c>
      <c r="AG30" s="27">
        <v>92.3</v>
      </c>
      <c r="AH30" s="27">
        <v>105.24</v>
      </c>
      <c r="AI30" s="27">
        <v>86</v>
      </c>
      <c r="AJ30" s="27"/>
      <c r="AK30" s="27"/>
      <c r="AL30" s="27">
        <v>2.0499999999999998</v>
      </c>
      <c r="AM30" s="27">
        <v>2.12</v>
      </c>
      <c r="AN30" s="27">
        <v>8.4700000000000006</v>
      </c>
      <c r="AO30" s="83">
        <v>8.44</v>
      </c>
      <c r="AP30" s="79"/>
      <c r="AQ30" s="80">
        <v>6.2</v>
      </c>
      <c r="AR30" s="80">
        <v>1.0249999999999999</v>
      </c>
      <c r="AS30" s="80">
        <v>0.57650000000000001</v>
      </c>
      <c r="AT30" s="79"/>
      <c r="AU30" s="18">
        <f t="shared" si="1"/>
        <v>84.531550508288305</v>
      </c>
      <c r="AV30" s="18">
        <f t="shared" si="2"/>
        <v>81.717977955150133</v>
      </c>
      <c r="AW30" s="18">
        <f t="shared" si="3"/>
        <v>1.1119999999999999</v>
      </c>
      <c r="AX30" s="18">
        <f t="shared" si="3"/>
        <v>0.57733333333333325</v>
      </c>
      <c r="AY30" s="18">
        <f t="shared" si="4"/>
        <v>0.93999084165216584</v>
      </c>
      <c r="AZ30" s="18">
        <f t="shared" si="4"/>
        <v>0.47178512606106671</v>
      </c>
      <c r="BA30" s="18">
        <f t="shared" si="5"/>
        <v>41.7</v>
      </c>
      <c r="BB30" s="18">
        <f t="shared" si="6"/>
        <v>169.1</v>
      </c>
      <c r="BC30" s="11" t="e">
        <f t="shared" si="7"/>
        <v>#DIV/0!</v>
      </c>
      <c r="BD30" s="22">
        <f t="shared" si="8"/>
        <v>8.2666666666666657</v>
      </c>
      <c r="BE30" s="22">
        <f t="shared" si="9"/>
        <v>4.6494959349593499</v>
      </c>
      <c r="BF30" s="22">
        <f t="shared" si="10"/>
        <v>56.243902439024396</v>
      </c>
      <c r="BG30" s="22">
        <f t="shared" si="11"/>
        <v>43.756097560975604</v>
      </c>
      <c r="BH30" s="22">
        <f t="shared" si="12"/>
        <v>7.434052757793765</v>
      </c>
    </row>
    <row r="31" spans="1:60" ht="38.1" customHeight="1" x14ac:dyDescent="0.25">
      <c r="A31" s="11">
        <v>2</v>
      </c>
      <c r="B31" s="11">
        <v>3</v>
      </c>
      <c r="C31" s="11">
        <v>9</v>
      </c>
      <c r="D31" s="11">
        <v>15</v>
      </c>
      <c r="E31" s="11" t="s">
        <v>64</v>
      </c>
      <c r="F31" s="74" t="s">
        <v>65</v>
      </c>
      <c r="G31" s="12">
        <v>27</v>
      </c>
      <c r="I31" s="76">
        <v>7</v>
      </c>
      <c r="J31" s="76">
        <v>8</v>
      </c>
      <c r="K31" s="46"/>
      <c r="L31" s="11"/>
      <c r="M31" s="11"/>
      <c r="N31" s="11"/>
      <c r="O31" s="11"/>
      <c r="P31" s="11">
        <v>24</v>
      </c>
      <c r="Q31" s="77">
        <f t="shared" si="13"/>
        <v>205.12820512820511</v>
      </c>
      <c r="R31" s="11">
        <v>65</v>
      </c>
      <c r="S31" s="11">
        <v>115</v>
      </c>
      <c r="T31" s="11"/>
      <c r="U31" s="11"/>
      <c r="V31" s="11"/>
      <c r="W31" s="11">
        <v>19</v>
      </c>
      <c r="X31" s="11">
        <v>20</v>
      </c>
      <c r="Y31" s="11">
        <v>3</v>
      </c>
      <c r="Z31" s="82"/>
      <c r="AA31" s="27">
        <v>1.3680000000000001</v>
      </c>
      <c r="AB31" s="27">
        <v>109.96</v>
      </c>
      <c r="AC31" s="27">
        <v>88</v>
      </c>
      <c r="AD31" s="27">
        <v>0.52800000000000002</v>
      </c>
      <c r="AE31" s="27">
        <v>0.30099999999999999</v>
      </c>
      <c r="AF31" s="27">
        <v>119.89</v>
      </c>
      <c r="AG31" s="27">
        <v>101.2</v>
      </c>
      <c r="AH31" s="27">
        <v>103.46</v>
      </c>
      <c r="AI31" s="27">
        <v>85.2</v>
      </c>
      <c r="AJ31" s="27"/>
      <c r="AK31" s="27"/>
      <c r="AL31" s="27">
        <v>2.0099999999999998</v>
      </c>
      <c r="AM31" s="27">
        <v>2.08</v>
      </c>
      <c r="AN31" s="27">
        <v>9.2100000000000009</v>
      </c>
      <c r="AO31" s="83">
        <v>9.18</v>
      </c>
      <c r="AP31" s="79"/>
      <c r="AQ31" s="80">
        <v>4.95</v>
      </c>
      <c r="AR31" s="80">
        <v>1.0249999999999999</v>
      </c>
      <c r="AS31" s="80">
        <v>0.57650000000000001</v>
      </c>
      <c r="AT31" s="79"/>
      <c r="AU31" s="18">
        <f t="shared" si="1"/>
        <v>84.410709817332545</v>
      </c>
      <c r="AV31" s="18">
        <f t="shared" si="2"/>
        <v>82.350666924415236</v>
      </c>
      <c r="AW31" s="18">
        <f t="shared" si="3"/>
        <v>0.70400000000000007</v>
      </c>
      <c r="AX31" s="18">
        <f t="shared" si="3"/>
        <v>0.40133333333333332</v>
      </c>
      <c r="AY31" s="18">
        <f t="shared" si="4"/>
        <v>0.5942513971140212</v>
      </c>
      <c r="AZ31" s="18">
        <f t="shared" si="4"/>
        <v>0.3305006765899865</v>
      </c>
      <c r="BA31" s="18">
        <f t="shared" si="5"/>
        <v>40.9</v>
      </c>
      <c r="BB31" s="18">
        <f t="shared" si="6"/>
        <v>183.9</v>
      </c>
      <c r="BC31" s="11" t="e">
        <f t="shared" si="7"/>
        <v>#DIV/0!</v>
      </c>
      <c r="BD31" s="22">
        <f t="shared" si="8"/>
        <v>6.6000000000000005</v>
      </c>
      <c r="BE31" s="22">
        <f t="shared" si="9"/>
        <v>3.7120975609756104</v>
      </c>
      <c r="BF31" s="22">
        <f t="shared" si="10"/>
        <v>56.243902439024396</v>
      </c>
      <c r="BG31" s="22">
        <f t="shared" si="11"/>
        <v>43.756097560975604</v>
      </c>
      <c r="BH31" s="22">
        <f t="shared" si="12"/>
        <v>9.375</v>
      </c>
    </row>
    <row r="32" spans="1:60" ht="38.1" customHeight="1" x14ac:dyDescent="0.25">
      <c r="A32" s="11">
        <v>3</v>
      </c>
      <c r="B32" s="11">
        <v>6</v>
      </c>
      <c r="C32" s="11">
        <v>4</v>
      </c>
      <c r="D32" s="11">
        <v>15</v>
      </c>
      <c r="E32" s="11" t="s">
        <v>64</v>
      </c>
      <c r="F32" s="74" t="s">
        <v>65</v>
      </c>
      <c r="G32" s="12">
        <v>51</v>
      </c>
      <c r="I32" s="76">
        <v>5</v>
      </c>
      <c r="J32" s="76">
        <v>8</v>
      </c>
      <c r="K32" s="46"/>
      <c r="L32" s="11"/>
      <c r="M32" s="11"/>
      <c r="N32" s="11"/>
      <c r="O32" s="11"/>
      <c r="P32" s="11">
        <v>15</v>
      </c>
      <c r="Q32" s="77">
        <f t="shared" si="13"/>
        <v>128.2051282051282</v>
      </c>
      <c r="R32" s="11">
        <v>65</v>
      </c>
      <c r="S32" s="11">
        <v>105</v>
      </c>
      <c r="T32" s="11"/>
      <c r="U32" s="11"/>
      <c r="V32" s="11"/>
      <c r="W32" s="11">
        <v>19</v>
      </c>
      <c r="X32" s="11">
        <v>21</v>
      </c>
      <c r="Y32" s="11">
        <v>8</v>
      </c>
      <c r="Z32" s="82"/>
      <c r="AA32" s="27">
        <v>1.446</v>
      </c>
      <c r="AB32" s="27">
        <v>103.19</v>
      </c>
      <c r="AC32" s="27">
        <v>83.2</v>
      </c>
      <c r="AD32" s="27">
        <v>0.48299999999999998</v>
      </c>
      <c r="AE32" s="27">
        <v>0.317</v>
      </c>
      <c r="AF32" s="27">
        <v>114.67</v>
      </c>
      <c r="AG32" s="27">
        <v>95.8</v>
      </c>
      <c r="AH32" s="27">
        <v>104.96</v>
      </c>
      <c r="AI32" s="27">
        <v>82.7</v>
      </c>
      <c r="AJ32" s="27">
        <v>126.51</v>
      </c>
      <c r="AK32" s="27">
        <v>126.54</v>
      </c>
      <c r="AL32" s="27">
        <v>2.0699999999999998</v>
      </c>
      <c r="AM32" s="27">
        <v>2.13</v>
      </c>
      <c r="AN32" s="27">
        <v>8.7799999999999994</v>
      </c>
      <c r="AO32" s="83">
        <v>8.1999999999999993</v>
      </c>
      <c r="AP32" s="79"/>
      <c r="AQ32" s="80">
        <v>7.5</v>
      </c>
      <c r="AR32" s="80">
        <v>1.0249999999999999</v>
      </c>
      <c r="AS32" s="80">
        <v>0.57650000000000001</v>
      </c>
      <c r="AT32" s="79"/>
      <c r="AU32" s="18">
        <f t="shared" si="1"/>
        <v>83.544083020842422</v>
      </c>
      <c r="AV32" s="18">
        <f t="shared" si="2"/>
        <v>78.791920731707322</v>
      </c>
      <c r="AW32" s="18">
        <f t="shared" si="3"/>
        <v>0.64400000000000002</v>
      </c>
      <c r="AX32" s="18">
        <f t="shared" si="3"/>
        <v>0.42266666666666669</v>
      </c>
      <c r="AY32" s="18">
        <f t="shared" si="4"/>
        <v>0.53802389465422518</v>
      </c>
      <c r="AZ32" s="18">
        <f t="shared" si="4"/>
        <v>0.33302718495934963</v>
      </c>
      <c r="BA32" s="18">
        <f t="shared" si="5"/>
        <v>41.999999999999993</v>
      </c>
      <c r="BB32" s="18">
        <f t="shared" si="6"/>
        <v>169.79999999999995</v>
      </c>
      <c r="BC32" s="11">
        <f t="shared" si="7"/>
        <v>50.468787499999998</v>
      </c>
      <c r="BD32" s="22">
        <f t="shared" si="8"/>
        <v>10</v>
      </c>
      <c r="BE32" s="22">
        <f t="shared" si="9"/>
        <v>5.6243902439024396</v>
      </c>
      <c r="BF32" s="22">
        <f t="shared" si="10"/>
        <v>56.243902439024396</v>
      </c>
      <c r="BG32" s="22">
        <f t="shared" si="11"/>
        <v>43.756097560975604</v>
      </c>
      <c r="BH32" s="22">
        <f t="shared" si="12"/>
        <v>15.527950310559007</v>
      </c>
    </row>
    <row r="33" spans="1:60" ht="38.1" customHeight="1" x14ac:dyDescent="0.25">
      <c r="A33" s="11">
        <v>4</v>
      </c>
      <c r="B33" s="11">
        <v>7</v>
      </c>
      <c r="C33" s="11">
        <v>5</v>
      </c>
      <c r="D33" s="11">
        <v>15</v>
      </c>
      <c r="E33" s="11" t="s">
        <v>64</v>
      </c>
      <c r="F33" s="74" t="s">
        <v>65</v>
      </c>
      <c r="G33" s="12">
        <v>59</v>
      </c>
      <c r="I33" s="76">
        <v>6</v>
      </c>
      <c r="J33" s="76">
        <v>8</v>
      </c>
      <c r="K33" s="46"/>
      <c r="L33" s="11"/>
      <c r="M33" s="11"/>
      <c r="N33" s="11"/>
      <c r="O33" s="11"/>
      <c r="P33" s="11">
        <v>7</v>
      </c>
      <c r="Q33" s="77">
        <f t="shared" si="13"/>
        <v>59.829059829059823</v>
      </c>
      <c r="R33" s="11">
        <v>65</v>
      </c>
      <c r="S33" s="11">
        <v>105</v>
      </c>
      <c r="T33" s="11"/>
      <c r="U33" s="11"/>
      <c r="V33" s="11"/>
      <c r="W33" s="11">
        <v>18</v>
      </c>
      <c r="X33" s="11">
        <v>21</v>
      </c>
      <c r="Y33" s="11">
        <v>2</v>
      </c>
      <c r="AA33" s="32">
        <v>2.1030000000000002</v>
      </c>
      <c r="AB33" s="32">
        <v>102.51</v>
      </c>
      <c r="AC33" s="32">
        <v>77.3</v>
      </c>
      <c r="AD33" s="32">
        <v>0.65600000000000003</v>
      </c>
      <c r="AE33" s="32">
        <v>0.59</v>
      </c>
      <c r="AF33" s="32">
        <v>107.65</v>
      </c>
      <c r="AG33" s="32">
        <v>89.1</v>
      </c>
      <c r="AH33" s="32">
        <v>104.34</v>
      </c>
      <c r="AI33" s="32">
        <v>80.8</v>
      </c>
      <c r="AJ33" s="32">
        <v>129.57</v>
      </c>
      <c r="AK33" s="32">
        <v>129.81</v>
      </c>
      <c r="AL33" s="32">
        <v>2.17</v>
      </c>
      <c r="AM33" s="32">
        <v>2.1800000000000002</v>
      </c>
      <c r="AN33" s="32">
        <v>9.43</v>
      </c>
      <c r="AO33" s="85">
        <v>9.69</v>
      </c>
      <c r="AP33" s="86"/>
      <c r="AQ33" s="80">
        <v>7.45</v>
      </c>
      <c r="AR33" s="80">
        <v>1.0249999999999999</v>
      </c>
      <c r="AS33" s="80">
        <v>0.57650000000000001</v>
      </c>
      <c r="AT33" s="86"/>
      <c r="AU33" s="18">
        <f t="shared" si="1"/>
        <v>82.768230376219222</v>
      </c>
      <c r="AV33" s="18">
        <f t="shared" si="2"/>
        <v>77.439141268928495</v>
      </c>
      <c r="AW33" s="18">
        <f t="shared" si="3"/>
        <v>0.8746666666666667</v>
      </c>
      <c r="AX33" s="18">
        <f t="shared" si="3"/>
        <v>0.78666666666666663</v>
      </c>
      <c r="AY33" s="18">
        <f t="shared" si="4"/>
        <v>0.72394612169066419</v>
      </c>
      <c r="AZ33" s="18">
        <f t="shared" si="4"/>
        <v>0.60918791131557071</v>
      </c>
      <c r="BA33" s="18">
        <f t="shared" si="5"/>
        <v>43.5</v>
      </c>
      <c r="BB33" s="18">
        <f t="shared" si="6"/>
        <v>191.2</v>
      </c>
      <c r="BC33" s="11">
        <f t="shared" si="7"/>
        <v>51.76485499999999</v>
      </c>
      <c r="BD33" s="22">
        <f t="shared" si="8"/>
        <v>9.9333333333333336</v>
      </c>
      <c r="BE33" s="22">
        <f t="shared" si="9"/>
        <v>5.5868943089430898</v>
      </c>
      <c r="BF33" s="22">
        <f t="shared" si="10"/>
        <v>56.243902439024396</v>
      </c>
      <c r="BG33" s="22">
        <f t="shared" si="11"/>
        <v>43.756097560975604</v>
      </c>
      <c r="BH33" s="22">
        <f t="shared" si="12"/>
        <v>11.356707317073171</v>
      </c>
    </row>
    <row r="34" spans="1:60" ht="38.1" customHeight="1" x14ac:dyDescent="0.25">
      <c r="A34" s="11">
        <v>1</v>
      </c>
      <c r="B34" s="11">
        <v>1</v>
      </c>
      <c r="C34" s="11">
        <v>7</v>
      </c>
      <c r="D34" s="11">
        <v>13</v>
      </c>
      <c r="E34" s="25" t="s">
        <v>78</v>
      </c>
      <c r="F34" s="74" t="s">
        <v>79</v>
      </c>
      <c r="G34" s="12">
        <v>7</v>
      </c>
      <c r="H34" s="90"/>
      <c r="I34" s="76">
        <v>7</v>
      </c>
      <c r="J34" s="76">
        <v>7</v>
      </c>
      <c r="K34" s="11"/>
      <c r="L34" s="11"/>
      <c r="M34" s="11"/>
      <c r="N34" s="11"/>
      <c r="O34" s="11"/>
      <c r="P34" s="11">
        <v>19</v>
      </c>
      <c r="Q34" s="77">
        <f t="shared" si="13"/>
        <v>162.39316239316238</v>
      </c>
      <c r="R34" s="11">
        <v>60</v>
      </c>
      <c r="S34" s="11">
        <v>105</v>
      </c>
      <c r="T34" s="11"/>
      <c r="U34" s="11"/>
      <c r="V34" s="11"/>
      <c r="W34" s="11">
        <v>17</v>
      </c>
      <c r="X34" s="11">
        <v>20</v>
      </c>
      <c r="Y34" s="11">
        <v>5</v>
      </c>
      <c r="Z34" s="82"/>
      <c r="AA34" s="27">
        <v>1.92</v>
      </c>
      <c r="AB34" s="27">
        <v>112.19</v>
      </c>
      <c r="AC34" s="27">
        <v>94.3</v>
      </c>
      <c r="AD34" s="27">
        <v>0.78600000000000003</v>
      </c>
      <c r="AE34" s="27">
        <v>0.36499999999999999</v>
      </c>
      <c r="AF34" s="27">
        <v>111.78</v>
      </c>
      <c r="AG34" s="27">
        <v>94.2</v>
      </c>
      <c r="AH34" s="27">
        <v>102.89</v>
      </c>
      <c r="AI34" s="27">
        <v>84.3</v>
      </c>
      <c r="AJ34" s="27">
        <v>125.19</v>
      </c>
      <c r="AK34" s="27">
        <v>126.81</v>
      </c>
      <c r="AL34" s="27">
        <v>2.0699999999999998</v>
      </c>
      <c r="AM34" s="27">
        <v>2.06</v>
      </c>
      <c r="AN34" s="27">
        <v>7.89</v>
      </c>
      <c r="AO34" s="83">
        <v>7.72</v>
      </c>
      <c r="AP34" s="79"/>
      <c r="AQ34" s="80">
        <v>6.4</v>
      </c>
      <c r="AR34" s="80">
        <v>1.099</v>
      </c>
      <c r="AS34" s="80">
        <v>0.58509999999999995</v>
      </c>
      <c r="AT34" s="79"/>
      <c r="AU34" s="18">
        <f t="shared" si="1"/>
        <v>84.272678475577024</v>
      </c>
      <c r="AV34" s="18">
        <f t="shared" si="2"/>
        <v>81.93216055982117</v>
      </c>
      <c r="AW34" s="18">
        <f t="shared" ref="AW34:AX65" si="14">AD34/(1.5*5)*10</f>
        <v>1.048</v>
      </c>
      <c r="AX34" s="18">
        <f t="shared" si="14"/>
        <v>0.48666666666666664</v>
      </c>
      <c r="AY34" s="18">
        <f t="shared" ref="AY34:AZ65" si="15">AW34*(AU34/100)</f>
        <v>0.88317767042404727</v>
      </c>
      <c r="AZ34" s="18">
        <f t="shared" si="15"/>
        <v>0.39873651472446298</v>
      </c>
      <c r="BA34" s="18">
        <f t="shared" si="5"/>
        <v>41.3</v>
      </c>
      <c r="BB34" s="18">
        <f t="shared" si="6"/>
        <v>156.1</v>
      </c>
      <c r="BC34" s="11">
        <f t="shared" si="7"/>
        <v>50.253799999999991</v>
      </c>
      <c r="BD34" s="22">
        <f t="shared" si="8"/>
        <v>8.5333333333333332</v>
      </c>
      <c r="BE34" s="22">
        <f t="shared" si="9"/>
        <v>4.5430876554443431</v>
      </c>
      <c r="BF34" s="22">
        <f t="shared" si="10"/>
        <v>53.239308462238398</v>
      </c>
      <c r="BG34" s="22">
        <f t="shared" si="11"/>
        <v>46.760691537761602</v>
      </c>
      <c r="BH34" s="22">
        <f t="shared" si="12"/>
        <v>8.1424936386768447</v>
      </c>
    </row>
    <row r="35" spans="1:60" ht="38.1" customHeight="1" x14ac:dyDescent="0.25">
      <c r="A35" s="11">
        <v>2</v>
      </c>
      <c r="B35" s="11">
        <v>4</v>
      </c>
      <c r="C35" s="11">
        <v>1</v>
      </c>
      <c r="D35" s="11">
        <v>13</v>
      </c>
      <c r="E35" s="25" t="s">
        <v>78</v>
      </c>
      <c r="F35" s="74" t="s">
        <v>79</v>
      </c>
      <c r="G35" s="12">
        <v>36</v>
      </c>
      <c r="I35" s="76">
        <v>4</v>
      </c>
      <c r="J35" s="76">
        <v>9</v>
      </c>
      <c r="K35" s="46"/>
      <c r="L35" s="11"/>
      <c r="M35" s="11"/>
      <c r="N35" s="11"/>
      <c r="O35" s="11"/>
      <c r="P35" s="11">
        <v>14</v>
      </c>
      <c r="Q35" s="77">
        <f t="shared" si="13"/>
        <v>119.65811965811965</v>
      </c>
      <c r="R35" s="11">
        <v>60</v>
      </c>
      <c r="S35" s="11">
        <v>105</v>
      </c>
      <c r="T35" s="11"/>
      <c r="U35" s="11"/>
      <c r="V35" s="11"/>
      <c r="W35" s="11">
        <v>19</v>
      </c>
      <c r="X35" s="11">
        <v>21</v>
      </c>
      <c r="Y35" s="11">
        <v>5</v>
      </c>
      <c r="Z35" s="82"/>
      <c r="AA35" s="27">
        <v>1.1479999999999999</v>
      </c>
      <c r="AB35" s="27">
        <v>104.02</v>
      </c>
      <c r="AC35" s="27">
        <v>81.5</v>
      </c>
      <c r="AD35" s="27">
        <v>0.33400000000000002</v>
      </c>
      <c r="AE35" s="27">
        <v>0.17299999999999999</v>
      </c>
      <c r="AF35" s="27">
        <v>111.94</v>
      </c>
      <c r="AG35" s="27">
        <v>93.4</v>
      </c>
      <c r="AH35" s="27">
        <v>109.68</v>
      </c>
      <c r="AI35" s="27">
        <v>87.7</v>
      </c>
      <c r="AJ35" s="27"/>
      <c r="AK35" s="27"/>
      <c r="AL35" s="27">
        <v>1.94</v>
      </c>
      <c r="AM35" s="27">
        <v>1.86</v>
      </c>
      <c r="AN35" s="27">
        <v>7.69</v>
      </c>
      <c r="AO35" s="83">
        <v>7.79</v>
      </c>
      <c r="AP35" s="79"/>
      <c r="AQ35" s="80">
        <v>5.55</v>
      </c>
      <c r="AR35" s="80">
        <v>1.099</v>
      </c>
      <c r="AS35" s="80">
        <v>0.58509999999999995</v>
      </c>
      <c r="AT35" s="79"/>
      <c r="AU35" s="18">
        <f t="shared" si="1"/>
        <v>83.437555833482222</v>
      </c>
      <c r="AV35" s="18">
        <f t="shared" si="2"/>
        <v>79.959883296863595</v>
      </c>
      <c r="AW35" s="18">
        <f t="shared" si="14"/>
        <v>0.44533333333333336</v>
      </c>
      <c r="AX35" s="18">
        <f t="shared" si="14"/>
        <v>0.23066666666666666</v>
      </c>
      <c r="AY35" s="18">
        <f t="shared" si="15"/>
        <v>0.37157524864510755</v>
      </c>
      <c r="AZ35" s="18">
        <f t="shared" si="15"/>
        <v>0.18444079747143202</v>
      </c>
      <c r="BA35" s="18">
        <f t="shared" si="5"/>
        <v>38</v>
      </c>
      <c r="BB35" s="18">
        <f t="shared" si="6"/>
        <v>154.80000000000001</v>
      </c>
      <c r="BC35" s="11" t="e">
        <f t="shared" si="7"/>
        <v>#DIV/0!</v>
      </c>
      <c r="BD35" s="22">
        <f t="shared" si="8"/>
        <v>7.4</v>
      </c>
      <c r="BE35" s="22">
        <f t="shared" si="9"/>
        <v>3.9397088262056417</v>
      </c>
      <c r="BF35" s="22">
        <f t="shared" si="10"/>
        <v>53.239308462238398</v>
      </c>
      <c r="BG35" s="22">
        <f t="shared" si="11"/>
        <v>46.760691537761602</v>
      </c>
      <c r="BH35" s="22">
        <f t="shared" si="12"/>
        <v>16.616766467065869</v>
      </c>
    </row>
    <row r="36" spans="1:60" ht="38.1" customHeight="1" x14ac:dyDescent="0.25">
      <c r="A36" s="11">
        <v>3</v>
      </c>
      <c r="B36" s="11">
        <v>5</v>
      </c>
      <c r="C36" s="11">
        <v>3</v>
      </c>
      <c r="D36" s="11">
        <v>13</v>
      </c>
      <c r="E36" s="25" t="s">
        <v>78</v>
      </c>
      <c r="F36" s="74" t="s">
        <v>79</v>
      </c>
      <c r="G36" s="12">
        <v>39</v>
      </c>
      <c r="I36" s="76">
        <v>5</v>
      </c>
      <c r="J36" s="76">
        <v>8</v>
      </c>
      <c r="K36" s="46"/>
      <c r="L36" s="11"/>
      <c r="M36" s="11"/>
      <c r="N36" s="11"/>
      <c r="O36" s="11"/>
      <c r="P36" s="11">
        <v>21</v>
      </c>
      <c r="Q36" s="77">
        <f t="shared" si="13"/>
        <v>179.48717948717947</v>
      </c>
      <c r="R36" s="11">
        <v>65</v>
      </c>
      <c r="S36" s="11">
        <v>105</v>
      </c>
      <c r="T36" s="11"/>
      <c r="U36" s="11"/>
      <c r="V36" s="11"/>
      <c r="W36" s="11">
        <v>18</v>
      </c>
      <c r="X36" s="11">
        <v>21</v>
      </c>
      <c r="Y36" s="11">
        <v>6</v>
      </c>
      <c r="Z36" s="82"/>
      <c r="AA36" s="27">
        <v>1.7350000000000001</v>
      </c>
      <c r="AB36" s="27">
        <v>105.57</v>
      </c>
      <c r="AC36" s="27">
        <v>83.8</v>
      </c>
      <c r="AD36" s="27">
        <v>0.39200000000000002</v>
      </c>
      <c r="AE36" s="27">
        <v>0.48599999999999999</v>
      </c>
      <c r="AF36" s="27">
        <v>116.55</v>
      </c>
      <c r="AG36" s="27">
        <v>97.4</v>
      </c>
      <c r="AH36" s="27">
        <v>100.65</v>
      </c>
      <c r="AI36" s="27">
        <v>79.7</v>
      </c>
      <c r="AJ36" s="27"/>
      <c r="AK36" s="27"/>
      <c r="AL36" s="27">
        <v>1.99</v>
      </c>
      <c r="AM36" s="27">
        <v>2.08</v>
      </c>
      <c r="AN36" s="27">
        <v>7.93</v>
      </c>
      <c r="AO36" s="83">
        <v>8.0299999999999994</v>
      </c>
      <c r="AP36" s="79"/>
      <c r="AQ36" s="80">
        <v>5.85</v>
      </c>
      <c r="AR36" s="80">
        <v>1.099</v>
      </c>
      <c r="AS36" s="80">
        <v>0.58509999999999995</v>
      </c>
      <c r="AT36" s="79"/>
      <c r="AU36" s="18">
        <f t="shared" si="1"/>
        <v>83.569283569283584</v>
      </c>
      <c r="AV36" s="18">
        <f t="shared" si="2"/>
        <v>79.185295578738206</v>
      </c>
      <c r="AW36" s="18">
        <f t="shared" si="14"/>
        <v>0.52266666666666672</v>
      </c>
      <c r="AX36" s="18">
        <f t="shared" si="14"/>
        <v>0.64799999999999991</v>
      </c>
      <c r="AY36" s="18">
        <f t="shared" si="15"/>
        <v>0.43678878878878891</v>
      </c>
      <c r="AZ36" s="18">
        <f t="shared" si="15"/>
        <v>0.51312071535022352</v>
      </c>
      <c r="BA36" s="18">
        <f t="shared" si="5"/>
        <v>40.700000000000003</v>
      </c>
      <c r="BB36" s="18">
        <f t="shared" si="6"/>
        <v>159.6</v>
      </c>
      <c r="BC36" s="11" t="e">
        <f t="shared" si="7"/>
        <v>#DIV/0!</v>
      </c>
      <c r="BD36" s="22">
        <f t="shared" si="8"/>
        <v>7.7999999999999989</v>
      </c>
      <c r="BE36" s="22">
        <f t="shared" si="9"/>
        <v>4.1526660600545942</v>
      </c>
      <c r="BF36" s="22">
        <f t="shared" si="10"/>
        <v>53.239308462238398</v>
      </c>
      <c r="BG36" s="22">
        <f t="shared" si="11"/>
        <v>46.760691537761602</v>
      </c>
      <c r="BH36" s="22">
        <f t="shared" si="12"/>
        <v>14.923469387755098</v>
      </c>
    </row>
    <row r="37" spans="1:60" ht="38.1" customHeight="1" x14ac:dyDescent="0.25">
      <c r="A37" s="11">
        <v>4</v>
      </c>
      <c r="B37" s="11">
        <v>7</v>
      </c>
      <c r="C37" s="11">
        <v>1</v>
      </c>
      <c r="D37" s="11">
        <v>13</v>
      </c>
      <c r="E37" s="25" t="s">
        <v>78</v>
      </c>
      <c r="F37" s="74" t="s">
        <v>79</v>
      </c>
      <c r="G37" s="12">
        <v>55</v>
      </c>
      <c r="I37" s="76">
        <v>6</v>
      </c>
      <c r="J37" s="76">
        <v>9</v>
      </c>
      <c r="K37" s="46"/>
      <c r="L37" s="11"/>
      <c r="M37" s="11"/>
      <c r="N37" s="11"/>
      <c r="O37" s="11"/>
      <c r="P37" s="11">
        <v>16</v>
      </c>
      <c r="Q37" s="77">
        <f t="shared" si="13"/>
        <v>136.75213675213675</v>
      </c>
      <c r="R37" s="11">
        <v>70</v>
      </c>
      <c r="S37" s="11">
        <v>105</v>
      </c>
      <c r="T37" s="11"/>
      <c r="U37" s="11"/>
      <c r="V37" s="11"/>
      <c r="W37" s="11">
        <v>18</v>
      </c>
      <c r="X37" s="11">
        <v>20</v>
      </c>
      <c r="Y37" s="11">
        <v>6</v>
      </c>
      <c r="AA37" s="32">
        <v>2.077</v>
      </c>
      <c r="AB37" s="32">
        <v>106.21</v>
      </c>
      <c r="AC37" s="32">
        <v>83.5</v>
      </c>
      <c r="AD37" s="32">
        <v>0.69199999999999995</v>
      </c>
      <c r="AE37" s="32">
        <v>0.57399999999999995</v>
      </c>
      <c r="AF37" s="32">
        <v>112.37</v>
      </c>
      <c r="AG37" s="32">
        <v>93.6</v>
      </c>
      <c r="AH37" s="32">
        <v>102.8</v>
      </c>
      <c r="AI37" s="32">
        <v>82.2</v>
      </c>
      <c r="AJ37" s="32">
        <v>124.48</v>
      </c>
      <c r="AK37" s="32">
        <v>122.83</v>
      </c>
      <c r="AL37" s="32">
        <v>2.04</v>
      </c>
      <c r="AM37" s="32">
        <v>2.0099999999999998</v>
      </c>
      <c r="AN37" s="32">
        <v>8.4</v>
      </c>
      <c r="AO37" s="85">
        <v>8.6999999999999993</v>
      </c>
      <c r="AP37" s="86"/>
      <c r="AQ37" s="80">
        <v>6.2</v>
      </c>
      <c r="AR37" s="80">
        <v>1.099</v>
      </c>
      <c r="AS37" s="80">
        <v>0.58509999999999995</v>
      </c>
      <c r="AT37" s="86"/>
      <c r="AU37" s="18">
        <f t="shared" si="1"/>
        <v>83.296253448429297</v>
      </c>
      <c r="AV37" s="18">
        <f t="shared" si="2"/>
        <v>79.961089494163431</v>
      </c>
      <c r="AW37" s="18">
        <f t="shared" si="14"/>
        <v>0.92266666666666663</v>
      </c>
      <c r="AX37" s="18">
        <f t="shared" si="14"/>
        <v>0.76533333333333331</v>
      </c>
      <c r="AY37" s="18">
        <f t="shared" si="15"/>
        <v>0.76854676515084097</v>
      </c>
      <c r="AZ37" s="18">
        <f t="shared" si="15"/>
        <v>0.61196887159533075</v>
      </c>
      <c r="BA37" s="18">
        <f t="shared" si="5"/>
        <v>40.5</v>
      </c>
      <c r="BB37" s="18">
        <f t="shared" si="6"/>
        <v>171</v>
      </c>
      <c r="BC37" s="11">
        <f t="shared" si="7"/>
        <v>49.293522499999995</v>
      </c>
      <c r="BD37" s="22">
        <f t="shared" si="8"/>
        <v>8.2666666666666657</v>
      </c>
      <c r="BE37" s="22">
        <f t="shared" si="9"/>
        <v>4.4011161662117075</v>
      </c>
      <c r="BF37" s="22">
        <f t="shared" si="10"/>
        <v>53.239308462238398</v>
      </c>
      <c r="BG37" s="22">
        <f t="shared" si="11"/>
        <v>46.760691537761602</v>
      </c>
      <c r="BH37" s="22">
        <f t="shared" si="12"/>
        <v>8.9595375722543338</v>
      </c>
    </row>
    <row r="38" spans="1:60" ht="38.1" customHeight="1" x14ac:dyDescent="0.25">
      <c r="A38" s="11">
        <v>1</v>
      </c>
      <c r="B38" s="11">
        <v>1</v>
      </c>
      <c r="C38" s="11">
        <v>6</v>
      </c>
      <c r="D38" s="11">
        <v>5</v>
      </c>
      <c r="E38" s="25" t="s">
        <v>62</v>
      </c>
      <c r="F38" s="74" t="s">
        <v>63</v>
      </c>
      <c r="G38" s="12">
        <v>6</v>
      </c>
      <c r="H38" s="90"/>
      <c r="I38" s="76">
        <v>1</v>
      </c>
      <c r="J38" s="76">
        <v>9</v>
      </c>
      <c r="K38" s="11"/>
      <c r="L38" s="11" t="s">
        <v>53</v>
      </c>
      <c r="M38" s="11"/>
      <c r="N38" s="11"/>
      <c r="O38" s="11" t="s">
        <v>53</v>
      </c>
      <c r="P38" s="11">
        <v>28</v>
      </c>
      <c r="Q38" s="77">
        <f t="shared" si="13"/>
        <v>239.31623931623929</v>
      </c>
      <c r="R38" s="11" t="s">
        <v>53</v>
      </c>
      <c r="S38" s="11">
        <v>115</v>
      </c>
      <c r="T38" s="11"/>
      <c r="U38" s="11"/>
      <c r="V38" s="11"/>
      <c r="W38" s="11">
        <v>17</v>
      </c>
      <c r="X38" s="11"/>
      <c r="Y38" s="11">
        <v>8</v>
      </c>
      <c r="Z38" s="82"/>
      <c r="AA38" s="27">
        <v>3.653</v>
      </c>
      <c r="AB38" s="27">
        <v>107.33</v>
      </c>
      <c r="AC38" s="27">
        <v>91.9</v>
      </c>
      <c r="AD38" s="27">
        <v>2.891</v>
      </c>
      <c r="AE38" s="27"/>
      <c r="AF38" s="27">
        <v>109.44</v>
      </c>
      <c r="AG38" s="27">
        <v>94.1</v>
      </c>
      <c r="AH38" s="27"/>
      <c r="AI38" s="27"/>
      <c r="AJ38" s="27">
        <v>120</v>
      </c>
      <c r="AK38" s="27">
        <v>120.07</v>
      </c>
      <c r="AL38" s="27">
        <v>1.75</v>
      </c>
      <c r="AM38" s="27">
        <v>1.78</v>
      </c>
      <c r="AN38" s="27"/>
      <c r="AO38" s="83"/>
      <c r="AP38" s="79"/>
      <c r="AQ38" s="80">
        <v>3.85</v>
      </c>
      <c r="AR38" s="80">
        <v>0.84099999999999997</v>
      </c>
      <c r="AS38" s="80">
        <v>0.64790000000000003</v>
      </c>
      <c r="AT38" s="79"/>
      <c r="AU38" s="18">
        <f t="shared" si="1"/>
        <v>85.983187134502927</v>
      </c>
      <c r="AV38" s="18" t="e">
        <f t="shared" si="2"/>
        <v>#DIV/0!</v>
      </c>
      <c r="AW38" s="18">
        <f t="shared" si="14"/>
        <v>3.8546666666666667</v>
      </c>
      <c r="AX38" s="18">
        <f t="shared" si="14"/>
        <v>0</v>
      </c>
      <c r="AY38" s="18">
        <f t="shared" si="15"/>
        <v>3.3143652534113062</v>
      </c>
      <c r="AZ38" s="18" t="e">
        <f t="shared" si="15"/>
        <v>#DIV/0!</v>
      </c>
      <c r="BA38" s="18">
        <f t="shared" si="5"/>
        <v>35.300000000000004</v>
      </c>
      <c r="BB38" s="18" t="e">
        <f t="shared" si="6"/>
        <v>#DIV/0!</v>
      </c>
      <c r="BC38" s="11">
        <f t="shared" si="7"/>
        <v>47.811132499999992</v>
      </c>
      <c r="BD38" s="22">
        <f t="shared" si="8"/>
        <v>5.1333333333333329</v>
      </c>
      <c r="BE38" s="22">
        <f t="shared" si="9"/>
        <v>3.9546809353943715</v>
      </c>
      <c r="BF38" s="22">
        <f t="shared" si="10"/>
        <v>77.03923900118906</v>
      </c>
      <c r="BG38" s="22">
        <f t="shared" si="11"/>
        <v>22.96076099881094</v>
      </c>
      <c r="BH38" s="22">
        <f t="shared" si="12"/>
        <v>1.3317191283292977</v>
      </c>
    </row>
    <row r="39" spans="1:60" ht="38.1" customHeight="1" x14ac:dyDescent="0.25">
      <c r="A39" s="11">
        <v>2</v>
      </c>
      <c r="B39" s="11">
        <v>4</v>
      </c>
      <c r="C39" s="11">
        <v>4</v>
      </c>
      <c r="D39" s="11">
        <v>5</v>
      </c>
      <c r="E39" s="25" t="s">
        <v>62</v>
      </c>
      <c r="F39" s="74" t="s">
        <v>85</v>
      </c>
      <c r="G39" s="12">
        <v>33</v>
      </c>
      <c r="I39" s="76">
        <v>1</v>
      </c>
      <c r="J39" s="76">
        <v>8</v>
      </c>
      <c r="K39" s="46"/>
      <c r="L39" s="11" t="s">
        <v>53</v>
      </c>
      <c r="M39" s="11"/>
      <c r="N39" s="11"/>
      <c r="O39" s="11" t="s">
        <v>53</v>
      </c>
      <c r="P39" s="11">
        <v>34</v>
      </c>
      <c r="Q39" s="77">
        <f t="shared" si="13"/>
        <v>290.59829059829059</v>
      </c>
      <c r="R39" s="11" t="s">
        <v>53</v>
      </c>
      <c r="S39" s="11">
        <v>100</v>
      </c>
      <c r="T39" s="11"/>
      <c r="U39" s="11"/>
      <c r="V39" s="11"/>
      <c r="W39" s="11">
        <v>18</v>
      </c>
      <c r="X39" s="11"/>
      <c r="Y39" s="11">
        <v>8</v>
      </c>
      <c r="Z39" s="82"/>
      <c r="AA39" s="27">
        <v>2.2069999999999999</v>
      </c>
      <c r="AB39" s="27">
        <v>105.67</v>
      </c>
      <c r="AC39" s="27">
        <v>89</v>
      </c>
      <c r="AD39" s="27">
        <v>1.6659999999999999</v>
      </c>
      <c r="AE39" s="27"/>
      <c r="AF39" s="27">
        <v>104.97</v>
      </c>
      <c r="AG39" s="27">
        <v>89.4</v>
      </c>
      <c r="AH39" s="27"/>
      <c r="AI39" s="27"/>
      <c r="AJ39" s="27">
        <v>118.07</v>
      </c>
      <c r="AK39" s="27">
        <v>117.53</v>
      </c>
      <c r="AL39" s="27">
        <v>1.66</v>
      </c>
      <c r="AM39" s="27">
        <v>1.63</v>
      </c>
      <c r="AN39" s="27"/>
      <c r="AO39" s="83"/>
      <c r="AP39" s="79"/>
      <c r="AQ39" s="80">
        <v>5.55</v>
      </c>
      <c r="AR39" s="80">
        <v>0.84099999999999997</v>
      </c>
      <c r="AS39" s="80">
        <v>0.64790000000000003</v>
      </c>
      <c r="AT39" s="79"/>
      <c r="AU39" s="18">
        <f t="shared" si="1"/>
        <v>85.167190625893113</v>
      </c>
      <c r="AV39" s="18" t="e">
        <f t="shared" si="2"/>
        <v>#DIV/0!</v>
      </c>
      <c r="AW39" s="18">
        <f t="shared" si="14"/>
        <v>2.2213333333333334</v>
      </c>
      <c r="AX39" s="18">
        <f t="shared" si="14"/>
        <v>0</v>
      </c>
      <c r="AY39" s="18">
        <f t="shared" si="15"/>
        <v>1.8918471944365056</v>
      </c>
      <c r="AZ39" s="18" t="e">
        <f t="shared" si="15"/>
        <v>#DIV/0!</v>
      </c>
      <c r="BA39" s="18">
        <f t="shared" si="5"/>
        <v>32.9</v>
      </c>
      <c r="BB39" s="18" t="e">
        <f t="shared" si="6"/>
        <v>#DIV/0!</v>
      </c>
      <c r="BC39" s="11">
        <f t="shared" si="7"/>
        <v>46.89589999999999</v>
      </c>
      <c r="BD39" s="22">
        <f t="shared" si="8"/>
        <v>7.4</v>
      </c>
      <c r="BE39" s="22">
        <f t="shared" si="9"/>
        <v>5.7009036860879911</v>
      </c>
      <c r="BF39" s="22">
        <f t="shared" si="10"/>
        <v>77.03923900118906</v>
      </c>
      <c r="BG39" s="22">
        <f t="shared" si="11"/>
        <v>22.96076099881094</v>
      </c>
      <c r="BH39" s="22">
        <f t="shared" si="12"/>
        <v>3.3313325330132053</v>
      </c>
    </row>
    <row r="40" spans="1:60" ht="38.1" customHeight="1" x14ac:dyDescent="0.25">
      <c r="A40" s="11">
        <v>3</v>
      </c>
      <c r="B40" s="11">
        <v>6</v>
      </c>
      <c r="C40" s="11">
        <v>5</v>
      </c>
      <c r="D40" s="11">
        <v>5</v>
      </c>
      <c r="E40" s="25" t="s">
        <v>62</v>
      </c>
      <c r="F40" s="74" t="s">
        <v>85</v>
      </c>
      <c r="G40" s="12">
        <v>50</v>
      </c>
      <c r="I40" s="76">
        <v>3</v>
      </c>
      <c r="J40" s="76">
        <v>9</v>
      </c>
      <c r="K40" s="46"/>
      <c r="L40" s="11" t="s">
        <v>53</v>
      </c>
      <c r="M40" s="11"/>
      <c r="N40" s="11"/>
      <c r="O40" s="11" t="s">
        <v>53</v>
      </c>
      <c r="P40" s="11">
        <v>37</v>
      </c>
      <c r="Q40" s="77">
        <f t="shared" si="13"/>
        <v>316.23931623931622</v>
      </c>
      <c r="R40" s="11" t="s">
        <v>53</v>
      </c>
      <c r="S40" s="11">
        <v>115</v>
      </c>
      <c r="T40" s="11"/>
      <c r="U40" s="11"/>
      <c r="V40" s="11"/>
      <c r="W40" s="11">
        <v>18</v>
      </c>
      <c r="X40" s="11"/>
      <c r="Y40" s="11">
        <v>8</v>
      </c>
      <c r="Z40" s="82"/>
      <c r="AA40" s="27">
        <v>2.7789999999999999</v>
      </c>
      <c r="AB40" s="27">
        <v>113.32</v>
      </c>
      <c r="AC40" s="27">
        <v>95.5</v>
      </c>
      <c r="AD40" s="27">
        <v>2.1709999999999998</v>
      </c>
      <c r="AE40" s="27"/>
      <c r="AF40" s="27">
        <v>107.08</v>
      </c>
      <c r="AG40" s="27">
        <v>90.8</v>
      </c>
      <c r="AH40" s="27"/>
      <c r="AI40" s="27"/>
      <c r="AJ40" s="27">
        <v>121.4</v>
      </c>
      <c r="AK40" s="27">
        <v>120.89</v>
      </c>
      <c r="AL40" s="27">
        <v>1.87</v>
      </c>
      <c r="AM40" s="27">
        <v>1.85</v>
      </c>
      <c r="AN40" s="27"/>
      <c r="AO40" s="83"/>
      <c r="AP40" s="79"/>
      <c r="AQ40" s="80">
        <v>6.25</v>
      </c>
      <c r="AR40" s="80">
        <v>0.84099999999999997</v>
      </c>
      <c r="AS40" s="80">
        <v>0.64790000000000003</v>
      </c>
      <c r="AT40" s="79"/>
      <c r="AU40" s="18">
        <f t="shared" si="1"/>
        <v>84.796413896152416</v>
      </c>
      <c r="AV40" s="18" t="e">
        <f t="shared" si="2"/>
        <v>#DIV/0!</v>
      </c>
      <c r="AW40" s="18">
        <f t="shared" si="14"/>
        <v>2.8946666666666667</v>
      </c>
      <c r="AX40" s="18">
        <f t="shared" si="14"/>
        <v>0</v>
      </c>
      <c r="AY40" s="18">
        <f t="shared" si="15"/>
        <v>2.4545735275806253</v>
      </c>
      <c r="AZ40" s="18" t="e">
        <f t="shared" si="15"/>
        <v>#DIV/0!</v>
      </c>
      <c r="BA40" s="18">
        <f t="shared" si="5"/>
        <v>37.200000000000003</v>
      </c>
      <c r="BB40" s="18" t="e">
        <f t="shared" si="6"/>
        <v>#DIV/0!</v>
      </c>
      <c r="BC40" s="11">
        <f t="shared" si="7"/>
        <v>48.265677499999995</v>
      </c>
      <c r="BD40" s="22">
        <f t="shared" si="8"/>
        <v>8.3333333333333339</v>
      </c>
      <c r="BE40" s="22">
        <f t="shared" si="9"/>
        <v>6.4199365834324222</v>
      </c>
      <c r="BF40" s="22">
        <f t="shared" si="10"/>
        <v>77.03923900118906</v>
      </c>
      <c r="BG40" s="22">
        <f t="shared" si="11"/>
        <v>22.96076099881094</v>
      </c>
      <c r="BH40" s="22">
        <f t="shared" si="12"/>
        <v>2.8788576692768313</v>
      </c>
    </row>
    <row r="41" spans="1:60" ht="38.1" customHeight="1" x14ac:dyDescent="0.25">
      <c r="A41" s="11">
        <v>4</v>
      </c>
      <c r="B41" s="11">
        <v>8</v>
      </c>
      <c r="C41" s="11">
        <v>6</v>
      </c>
      <c r="D41" s="11">
        <v>5</v>
      </c>
      <c r="E41" s="25" t="s">
        <v>62</v>
      </c>
      <c r="F41" s="74" t="s">
        <v>85</v>
      </c>
      <c r="G41" s="12">
        <v>67</v>
      </c>
      <c r="H41" s="89"/>
      <c r="I41" s="76">
        <v>1</v>
      </c>
      <c r="J41" s="76">
        <v>9</v>
      </c>
      <c r="K41" s="46"/>
      <c r="L41" s="11" t="s">
        <v>53</v>
      </c>
      <c r="M41" s="11"/>
      <c r="N41" s="11"/>
      <c r="O41" s="11" t="s">
        <v>53</v>
      </c>
      <c r="P41" s="11">
        <v>50</v>
      </c>
      <c r="Q41" s="77">
        <f t="shared" si="13"/>
        <v>427.35042735042731</v>
      </c>
      <c r="R41" s="11" t="s">
        <v>53</v>
      </c>
      <c r="S41" s="11">
        <v>120</v>
      </c>
      <c r="T41" s="11"/>
      <c r="U41" s="11"/>
      <c r="V41" s="11"/>
      <c r="W41" s="11">
        <v>18</v>
      </c>
      <c r="X41" s="11"/>
      <c r="Y41" s="11">
        <v>2</v>
      </c>
      <c r="AA41" s="32">
        <v>3.3029999999999999</v>
      </c>
      <c r="AB41" s="32">
        <v>103.62</v>
      </c>
      <c r="AC41" s="32">
        <v>88.4</v>
      </c>
      <c r="AD41" s="32">
        <v>2.4769999999999999</v>
      </c>
      <c r="AE41" s="32"/>
      <c r="AF41" s="32">
        <v>110.72</v>
      </c>
      <c r="AG41" s="32">
        <v>95.1</v>
      </c>
      <c r="AH41" s="32"/>
      <c r="AI41" s="32"/>
      <c r="AJ41" s="32">
        <v>129.47999999999999</v>
      </c>
      <c r="AK41" s="32">
        <v>127.91</v>
      </c>
      <c r="AL41" s="32">
        <v>1.84</v>
      </c>
      <c r="AM41" s="32">
        <v>1.84</v>
      </c>
      <c r="AN41" s="32"/>
      <c r="AO41" s="85"/>
      <c r="AP41" s="86"/>
      <c r="AQ41" s="80">
        <v>3.9</v>
      </c>
      <c r="AR41" s="80">
        <v>0.84099999999999997</v>
      </c>
      <c r="AS41" s="80">
        <v>0.64790000000000003</v>
      </c>
      <c r="AT41" s="86"/>
      <c r="AU41" s="18">
        <f t="shared" si="1"/>
        <v>85.892341040462426</v>
      </c>
      <c r="AV41" s="18" t="e">
        <f t="shared" si="2"/>
        <v>#DIV/0!</v>
      </c>
      <c r="AW41" s="18">
        <f t="shared" si="14"/>
        <v>3.3026666666666666</v>
      </c>
      <c r="AX41" s="18">
        <f t="shared" si="14"/>
        <v>0</v>
      </c>
      <c r="AY41" s="18">
        <f t="shared" si="15"/>
        <v>2.8367377167630057</v>
      </c>
      <c r="AZ41" s="18" t="e">
        <f t="shared" si="15"/>
        <v>#DIV/0!</v>
      </c>
      <c r="BA41" s="18">
        <f t="shared" si="5"/>
        <v>36.800000000000004</v>
      </c>
      <c r="BB41" s="18" t="e">
        <f t="shared" si="6"/>
        <v>#DIV/0!</v>
      </c>
      <c r="BC41" s="11">
        <f t="shared" si="7"/>
        <v>51.357402499999992</v>
      </c>
      <c r="BD41" s="22">
        <f t="shared" si="8"/>
        <v>5.2</v>
      </c>
      <c r="BE41" s="22">
        <f t="shared" si="9"/>
        <v>4.0060404280618318</v>
      </c>
      <c r="BF41" s="22">
        <f t="shared" si="10"/>
        <v>77.03923900118906</v>
      </c>
      <c r="BG41" s="22">
        <f t="shared" si="11"/>
        <v>22.96076099881094</v>
      </c>
      <c r="BH41" s="22">
        <f t="shared" si="12"/>
        <v>1.5744852644327816</v>
      </c>
    </row>
    <row r="42" spans="1:60" ht="38.1" customHeight="1" x14ac:dyDescent="0.25">
      <c r="A42" s="11">
        <v>1</v>
      </c>
      <c r="B42" s="11">
        <v>1</v>
      </c>
      <c r="C42" s="11">
        <v>5</v>
      </c>
      <c r="D42" s="11">
        <v>14</v>
      </c>
      <c r="E42" s="11" t="s">
        <v>58</v>
      </c>
      <c r="F42" s="74" t="s">
        <v>59</v>
      </c>
      <c r="G42" s="12">
        <v>5</v>
      </c>
      <c r="H42" s="90"/>
      <c r="I42" s="76">
        <v>7</v>
      </c>
      <c r="J42" s="76">
        <v>8</v>
      </c>
      <c r="K42" s="11"/>
      <c r="L42" s="11"/>
      <c r="M42" s="11"/>
      <c r="N42" s="11"/>
      <c r="O42" s="11"/>
      <c r="P42" s="11">
        <v>23</v>
      </c>
      <c r="Q42" s="77">
        <f t="shared" si="13"/>
        <v>196.58119658119656</v>
      </c>
      <c r="R42" s="11">
        <v>55</v>
      </c>
      <c r="S42" s="11">
        <v>105</v>
      </c>
      <c r="T42" s="11"/>
      <c r="U42" s="11"/>
      <c r="V42" s="11"/>
      <c r="W42" s="11">
        <v>17</v>
      </c>
      <c r="X42" s="11">
        <v>19</v>
      </c>
      <c r="Y42" s="11">
        <v>2</v>
      </c>
      <c r="Z42" s="82"/>
      <c r="AA42" s="27">
        <v>2.226</v>
      </c>
      <c r="AB42" s="27">
        <v>110.8</v>
      </c>
      <c r="AC42" s="27">
        <v>88.1</v>
      </c>
      <c r="AD42" s="27">
        <v>1.042</v>
      </c>
      <c r="AE42" s="27">
        <v>0.34799999999999998</v>
      </c>
      <c r="AF42" s="27">
        <v>105.68</v>
      </c>
      <c r="AG42" s="27">
        <v>88.3</v>
      </c>
      <c r="AH42" s="27">
        <v>103.46</v>
      </c>
      <c r="AI42" s="27">
        <v>81.599999999999994</v>
      </c>
      <c r="AJ42" s="27">
        <v>119.15</v>
      </c>
      <c r="AK42" s="27">
        <v>120.53</v>
      </c>
      <c r="AL42" s="27">
        <v>1.83</v>
      </c>
      <c r="AM42" s="27">
        <v>1.82</v>
      </c>
      <c r="AN42" s="27">
        <v>8.61</v>
      </c>
      <c r="AO42" s="83">
        <v>8.4</v>
      </c>
      <c r="AP42" s="79"/>
      <c r="AQ42" s="80">
        <v>4.95</v>
      </c>
      <c r="AR42" s="80">
        <v>1.1719999999999999</v>
      </c>
      <c r="AS42" s="80">
        <v>0.68310000000000004</v>
      </c>
      <c r="AT42" s="79"/>
      <c r="AU42" s="18">
        <f t="shared" si="1"/>
        <v>83.554125662376975</v>
      </c>
      <c r="AV42" s="18">
        <f t="shared" si="2"/>
        <v>78.87106127972163</v>
      </c>
      <c r="AW42" s="18">
        <f t="shared" si="14"/>
        <v>1.3893333333333333</v>
      </c>
      <c r="AX42" s="18">
        <f t="shared" si="14"/>
        <v>0.46399999999999997</v>
      </c>
      <c r="AY42" s="18">
        <f t="shared" si="15"/>
        <v>1.160845319202624</v>
      </c>
      <c r="AZ42" s="18">
        <f t="shared" si="15"/>
        <v>0.36596172433790836</v>
      </c>
      <c r="BA42" s="18">
        <f t="shared" si="5"/>
        <v>36.5</v>
      </c>
      <c r="BB42" s="18">
        <f t="shared" si="6"/>
        <v>170.09999999999997</v>
      </c>
      <c r="BC42" s="11">
        <f t="shared" si="7"/>
        <v>47.731279999999998</v>
      </c>
      <c r="BD42" s="22">
        <f t="shared" si="8"/>
        <v>6.6000000000000005</v>
      </c>
      <c r="BE42" s="22">
        <f t="shared" si="9"/>
        <v>3.8468088737201378</v>
      </c>
      <c r="BF42" s="22">
        <f t="shared" si="10"/>
        <v>58.284982935153593</v>
      </c>
      <c r="BG42" s="22">
        <f t="shared" si="11"/>
        <v>41.715017064846407</v>
      </c>
      <c r="BH42" s="22">
        <f t="shared" si="12"/>
        <v>4.7504798464491369</v>
      </c>
    </row>
    <row r="43" spans="1:60" ht="38.1" customHeight="1" x14ac:dyDescent="0.25">
      <c r="A43" s="11">
        <v>2</v>
      </c>
      <c r="B43" s="11">
        <v>3</v>
      </c>
      <c r="C43" s="11">
        <v>1</v>
      </c>
      <c r="D43" s="11">
        <v>14</v>
      </c>
      <c r="E43" s="11" t="s">
        <v>58</v>
      </c>
      <c r="F43" s="74" t="s">
        <v>59</v>
      </c>
      <c r="G43" s="12">
        <v>19</v>
      </c>
      <c r="I43" s="76">
        <v>4</v>
      </c>
      <c r="J43" s="76">
        <v>7</v>
      </c>
      <c r="K43" s="46"/>
      <c r="L43" s="11"/>
      <c r="M43" s="11"/>
      <c r="N43" s="11"/>
      <c r="O43" s="11"/>
      <c r="P43" s="11">
        <v>17</v>
      </c>
      <c r="Q43" s="77">
        <f t="shared" si="13"/>
        <v>145.29914529914529</v>
      </c>
      <c r="R43" s="11">
        <v>65</v>
      </c>
      <c r="S43" s="11">
        <v>110</v>
      </c>
      <c r="T43" s="11"/>
      <c r="U43" s="11"/>
      <c r="V43" s="11"/>
      <c r="W43" s="11">
        <v>19</v>
      </c>
      <c r="X43" s="11">
        <v>20</v>
      </c>
      <c r="Y43" s="11">
        <v>8</v>
      </c>
      <c r="Z43" s="82"/>
      <c r="AA43" s="27">
        <v>1.079</v>
      </c>
      <c r="AB43" s="27">
        <v>106.06</v>
      </c>
      <c r="AC43" s="27">
        <v>84.6</v>
      </c>
      <c r="AD43" s="27">
        <v>0.41</v>
      </c>
      <c r="AE43" s="27">
        <v>9.2999999999999999E-2</v>
      </c>
      <c r="AF43" s="27">
        <v>110.33</v>
      </c>
      <c r="AG43" s="27">
        <v>91.7</v>
      </c>
      <c r="AH43" s="27">
        <v>41.65</v>
      </c>
      <c r="AI43" s="27">
        <v>33.5</v>
      </c>
      <c r="AJ43" s="27">
        <v>119.71</v>
      </c>
      <c r="AK43" s="27">
        <v>115.02</v>
      </c>
      <c r="AL43" s="27">
        <v>1.81</v>
      </c>
      <c r="AM43" s="27">
        <v>1.75</v>
      </c>
      <c r="AN43" s="27">
        <v>6.96</v>
      </c>
      <c r="AO43" s="83">
        <v>6.87</v>
      </c>
      <c r="AP43" s="79"/>
      <c r="AQ43" s="80">
        <v>5.7</v>
      </c>
      <c r="AR43" s="80">
        <v>1.1719999999999999</v>
      </c>
      <c r="AS43" s="80">
        <v>0.68310000000000004</v>
      </c>
      <c r="AT43" s="79"/>
      <c r="AU43" s="18">
        <f t="shared" si="1"/>
        <v>83.114293483186813</v>
      </c>
      <c r="AV43" s="18">
        <f t="shared" si="2"/>
        <v>80.432172869147664</v>
      </c>
      <c r="AW43" s="18">
        <f t="shared" si="14"/>
        <v>0.54666666666666663</v>
      </c>
      <c r="AX43" s="18">
        <f t="shared" si="14"/>
        <v>0.124</v>
      </c>
      <c r="AY43" s="18">
        <f t="shared" si="15"/>
        <v>0.45435813770808792</v>
      </c>
      <c r="AZ43" s="18">
        <f t="shared" si="15"/>
        <v>9.9735894357743105E-2</v>
      </c>
      <c r="BA43" s="18">
        <f t="shared" si="5"/>
        <v>35.6</v>
      </c>
      <c r="BB43" s="18">
        <f t="shared" si="6"/>
        <v>138.30000000000001</v>
      </c>
      <c r="BC43" s="11">
        <f t="shared" si="7"/>
        <v>46.717767499999994</v>
      </c>
      <c r="BD43" s="22">
        <f t="shared" si="8"/>
        <v>7.6</v>
      </c>
      <c r="BE43" s="22">
        <f t="shared" si="9"/>
        <v>4.4296587030716728</v>
      </c>
      <c r="BF43" s="22">
        <f t="shared" si="10"/>
        <v>58.284982935153593</v>
      </c>
      <c r="BG43" s="22">
        <f t="shared" si="11"/>
        <v>41.715017064846407</v>
      </c>
      <c r="BH43" s="22">
        <f t="shared" si="12"/>
        <v>13.902439024390244</v>
      </c>
    </row>
    <row r="44" spans="1:60" ht="38.1" customHeight="1" x14ac:dyDescent="0.25">
      <c r="A44" s="11">
        <v>3</v>
      </c>
      <c r="B44" s="11">
        <v>5</v>
      </c>
      <c r="C44" s="11">
        <v>6</v>
      </c>
      <c r="D44" s="11">
        <v>14</v>
      </c>
      <c r="E44" s="11" t="s">
        <v>58</v>
      </c>
      <c r="F44" s="74" t="s">
        <v>59</v>
      </c>
      <c r="G44" s="12">
        <v>42</v>
      </c>
      <c r="I44" s="76">
        <v>3</v>
      </c>
      <c r="J44" s="76">
        <v>8</v>
      </c>
      <c r="K44" s="46"/>
      <c r="L44" s="11"/>
      <c r="M44" s="11"/>
      <c r="N44" s="11"/>
      <c r="O44" s="11"/>
      <c r="P44" s="11">
        <v>14</v>
      </c>
      <c r="Q44" s="77">
        <f t="shared" si="13"/>
        <v>119.65811965811965</v>
      </c>
      <c r="R44" s="11">
        <v>60</v>
      </c>
      <c r="S44" s="11">
        <v>100</v>
      </c>
      <c r="T44" s="11"/>
      <c r="U44" s="11"/>
      <c r="V44" s="11"/>
      <c r="W44" s="11">
        <v>18</v>
      </c>
      <c r="X44" s="11">
        <v>20</v>
      </c>
      <c r="Y44" s="11">
        <v>3</v>
      </c>
      <c r="Z44" s="82"/>
      <c r="AA44" s="27">
        <v>1.75</v>
      </c>
      <c r="AB44" s="27">
        <v>109.01</v>
      </c>
      <c r="AC44" s="27">
        <v>86.4</v>
      </c>
      <c r="AD44" s="27">
        <v>0.51</v>
      </c>
      <c r="AE44" s="27">
        <v>0.49</v>
      </c>
      <c r="AF44" s="27">
        <v>113.49</v>
      </c>
      <c r="AG44" s="27">
        <v>94.5</v>
      </c>
      <c r="AH44" s="27">
        <v>106.24</v>
      </c>
      <c r="AI44" s="27">
        <v>85.1</v>
      </c>
      <c r="AJ44" s="27">
        <v>125.98</v>
      </c>
      <c r="AK44" s="27">
        <v>127.28</v>
      </c>
      <c r="AL44" s="27">
        <v>1.82</v>
      </c>
      <c r="AM44" s="27">
        <v>1.88</v>
      </c>
      <c r="AN44" s="27">
        <v>7.81</v>
      </c>
      <c r="AO44" s="83">
        <v>7.68</v>
      </c>
      <c r="AP44" s="79"/>
      <c r="AQ44" s="80">
        <v>5.05</v>
      </c>
      <c r="AR44" s="80">
        <v>1.1719999999999999</v>
      </c>
      <c r="AS44" s="80">
        <v>0.68310000000000004</v>
      </c>
      <c r="AT44" s="79"/>
      <c r="AU44" s="18">
        <f t="shared" si="1"/>
        <v>83.267248215701827</v>
      </c>
      <c r="AV44" s="18">
        <f t="shared" si="2"/>
        <v>80.101656626506028</v>
      </c>
      <c r="AW44" s="18">
        <f t="shared" si="14"/>
        <v>0.68</v>
      </c>
      <c r="AX44" s="18">
        <f t="shared" si="14"/>
        <v>0.65333333333333332</v>
      </c>
      <c r="AY44" s="18">
        <f t="shared" si="15"/>
        <v>0.5662172878667725</v>
      </c>
      <c r="AZ44" s="18">
        <f t="shared" si="15"/>
        <v>0.52333082329317271</v>
      </c>
      <c r="BA44" s="18">
        <f t="shared" si="5"/>
        <v>37</v>
      </c>
      <c r="BB44" s="18">
        <f t="shared" si="6"/>
        <v>154.89999999999998</v>
      </c>
      <c r="BC44" s="11">
        <f t="shared" si="7"/>
        <v>50.511784999999989</v>
      </c>
      <c r="BD44" s="22">
        <f t="shared" si="8"/>
        <v>6.7333333333333334</v>
      </c>
      <c r="BE44" s="22">
        <f t="shared" si="9"/>
        <v>3.9245221843003422</v>
      </c>
      <c r="BF44" s="22">
        <f t="shared" si="10"/>
        <v>58.284982935153593</v>
      </c>
      <c r="BG44" s="22">
        <f t="shared" si="11"/>
        <v>41.715017064846407</v>
      </c>
      <c r="BH44" s="22">
        <f t="shared" si="12"/>
        <v>9.9019607843137241</v>
      </c>
    </row>
    <row r="45" spans="1:60" ht="38.1" customHeight="1" x14ac:dyDescent="0.25">
      <c r="A45" s="11">
        <v>4</v>
      </c>
      <c r="B45" s="11">
        <v>8</v>
      </c>
      <c r="C45" s="11">
        <v>9</v>
      </c>
      <c r="D45" s="11">
        <v>14</v>
      </c>
      <c r="E45" s="11" t="s">
        <v>58</v>
      </c>
      <c r="F45" s="74" t="s">
        <v>59</v>
      </c>
      <c r="G45" s="12">
        <v>64</v>
      </c>
      <c r="I45" s="76">
        <v>6</v>
      </c>
      <c r="J45" s="76">
        <v>7</v>
      </c>
      <c r="K45" s="46"/>
      <c r="L45" s="11"/>
      <c r="M45" s="11"/>
      <c r="N45" s="11"/>
      <c r="O45" s="11"/>
      <c r="P45" s="11">
        <v>16</v>
      </c>
      <c r="Q45" s="77">
        <f t="shared" si="13"/>
        <v>136.75213675213675</v>
      </c>
      <c r="R45" s="11">
        <v>60</v>
      </c>
      <c r="S45" s="11">
        <v>100</v>
      </c>
      <c r="T45" s="11"/>
      <c r="U45" s="11"/>
      <c r="V45" s="11"/>
      <c r="W45" s="11">
        <v>18</v>
      </c>
      <c r="X45" s="11">
        <v>21</v>
      </c>
      <c r="Y45" s="11">
        <v>5</v>
      </c>
      <c r="AA45" s="32">
        <v>1.6319999999999999</v>
      </c>
      <c r="AB45" s="32">
        <v>99.55</v>
      </c>
      <c r="AC45" s="32">
        <v>79.599999999999994</v>
      </c>
      <c r="AD45" s="32">
        <v>0.55200000000000005</v>
      </c>
      <c r="AE45" s="32">
        <v>0.40600000000000003</v>
      </c>
      <c r="AF45" s="32">
        <v>109.22</v>
      </c>
      <c r="AG45" s="32">
        <v>90.3</v>
      </c>
      <c r="AH45" s="32">
        <v>103.82</v>
      </c>
      <c r="AI45" s="32">
        <v>80</v>
      </c>
      <c r="AJ45" s="32"/>
      <c r="AK45" s="32"/>
      <c r="AL45" s="32">
        <v>1.99</v>
      </c>
      <c r="AM45" s="32">
        <v>2.0699999999999998</v>
      </c>
      <c r="AN45" s="32">
        <v>8.76</v>
      </c>
      <c r="AO45" s="85">
        <v>8.51</v>
      </c>
      <c r="AP45" s="86"/>
      <c r="AQ45" s="80">
        <v>7.6</v>
      </c>
      <c r="AR45" s="80">
        <v>1.1719999999999999</v>
      </c>
      <c r="AS45" s="80">
        <v>0.68310000000000004</v>
      </c>
      <c r="AT45" s="86"/>
      <c r="AU45" s="18">
        <f t="shared" si="1"/>
        <v>82.677165354330711</v>
      </c>
      <c r="AV45" s="18">
        <f t="shared" si="2"/>
        <v>77.056443845116547</v>
      </c>
      <c r="AW45" s="18">
        <f t="shared" si="14"/>
        <v>0.7360000000000001</v>
      </c>
      <c r="AX45" s="18">
        <f t="shared" si="14"/>
        <v>0.54133333333333344</v>
      </c>
      <c r="AY45" s="18">
        <f t="shared" si="15"/>
        <v>0.60850393700787409</v>
      </c>
      <c r="AZ45" s="18">
        <f t="shared" si="15"/>
        <v>0.41713221601489769</v>
      </c>
      <c r="BA45" s="18">
        <f t="shared" si="5"/>
        <v>40.599999999999994</v>
      </c>
      <c r="BB45" s="18">
        <f t="shared" si="6"/>
        <v>172.7</v>
      </c>
      <c r="BC45" s="11" t="e">
        <f t="shared" si="7"/>
        <v>#DIV/0!</v>
      </c>
      <c r="BD45" s="22">
        <f t="shared" si="8"/>
        <v>10.133333333333333</v>
      </c>
      <c r="BE45" s="22">
        <f t="shared" si="9"/>
        <v>5.9062116040955637</v>
      </c>
      <c r="BF45" s="22">
        <f t="shared" si="10"/>
        <v>58.284982935153593</v>
      </c>
      <c r="BG45" s="22">
        <f t="shared" si="11"/>
        <v>41.715017064846407</v>
      </c>
      <c r="BH45" s="22">
        <f t="shared" si="12"/>
        <v>13.768115942028983</v>
      </c>
    </row>
    <row r="46" spans="1:60" ht="38.1" customHeight="1" x14ac:dyDescent="0.25">
      <c r="A46" s="11">
        <v>1</v>
      </c>
      <c r="B46" s="11">
        <v>2</v>
      </c>
      <c r="C46" s="11">
        <v>3</v>
      </c>
      <c r="D46" s="11">
        <v>7</v>
      </c>
      <c r="E46" s="25" t="s">
        <v>56</v>
      </c>
      <c r="F46" s="74" t="s">
        <v>57</v>
      </c>
      <c r="G46" s="12">
        <v>16</v>
      </c>
      <c r="H46" s="90"/>
      <c r="I46" s="76">
        <v>6</v>
      </c>
      <c r="J46" s="76">
        <v>8</v>
      </c>
      <c r="K46" s="11"/>
      <c r="L46" s="11"/>
      <c r="M46" s="11"/>
      <c r="N46" s="11"/>
      <c r="O46" s="11"/>
      <c r="P46" s="11" t="s">
        <v>53</v>
      </c>
      <c r="Q46" s="77"/>
      <c r="R46" s="11">
        <v>60</v>
      </c>
      <c r="S46" s="11" t="s">
        <v>53</v>
      </c>
      <c r="T46" s="11"/>
      <c r="U46" s="11"/>
      <c r="V46" s="11"/>
      <c r="W46" s="11"/>
      <c r="X46" s="11">
        <v>20</v>
      </c>
      <c r="Y46" s="11">
        <v>8</v>
      </c>
      <c r="Z46" s="82"/>
      <c r="AA46" s="27">
        <v>0.78100000000000003</v>
      </c>
      <c r="AB46" s="27">
        <v>104.91</v>
      </c>
      <c r="AC46" s="27">
        <v>75.7</v>
      </c>
      <c r="AD46" s="27"/>
      <c r="AE46" s="27">
        <v>0.23699999999999999</v>
      </c>
      <c r="AF46" s="27"/>
      <c r="AG46" s="27"/>
      <c r="AH46" s="27">
        <v>97.86</v>
      </c>
      <c r="AI46" s="27">
        <v>75.3</v>
      </c>
      <c r="AJ46" s="27"/>
      <c r="AK46" s="27"/>
      <c r="AL46" s="27"/>
      <c r="AM46" s="27"/>
      <c r="AN46" s="27">
        <v>7.89</v>
      </c>
      <c r="AO46" s="83">
        <v>8.09</v>
      </c>
      <c r="AP46" s="79"/>
      <c r="AQ46" s="80">
        <v>5.65</v>
      </c>
      <c r="AR46" s="80">
        <v>0.93799999999999994</v>
      </c>
      <c r="AS46" s="80">
        <v>0.48349999999999999</v>
      </c>
      <c r="AT46" s="79"/>
      <c r="AU46" s="18" t="e">
        <f t="shared" si="1"/>
        <v>#DIV/0!</v>
      </c>
      <c r="AV46" s="18">
        <f t="shared" si="2"/>
        <v>76.946658491722857</v>
      </c>
      <c r="AW46" s="18">
        <f t="shared" si="14"/>
        <v>0</v>
      </c>
      <c r="AX46" s="18">
        <f t="shared" si="14"/>
        <v>0.31599999999999995</v>
      </c>
      <c r="AY46" s="18" t="e">
        <f t="shared" si="15"/>
        <v>#DIV/0!</v>
      </c>
      <c r="AZ46" s="18">
        <f t="shared" si="15"/>
        <v>0.24315144083384418</v>
      </c>
      <c r="BA46" s="18" t="e">
        <f t="shared" si="5"/>
        <v>#DIV/0!</v>
      </c>
      <c r="BB46" s="18">
        <f t="shared" si="6"/>
        <v>159.80000000000001</v>
      </c>
      <c r="BC46" s="11" t="e">
        <f t="shared" si="7"/>
        <v>#DIV/0!</v>
      </c>
      <c r="BD46" s="22">
        <f t="shared" si="8"/>
        <v>7.5333333333333341</v>
      </c>
      <c r="BE46" s="22">
        <f t="shared" si="9"/>
        <v>3.883120113717129</v>
      </c>
      <c r="BF46" s="22">
        <f t="shared" si="10"/>
        <v>51.545842217484008</v>
      </c>
      <c r="BG46" s="22">
        <f t="shared" si="11"/>
        <v>48.454157782515992</v>
      </c>
      <c r="BH46" s="22" t="e">
        <f t="shared" si="12"/>
        <v>#DIV/0!</v>
      </c>
    </row>
    <row r="47" spans="1:60" ht="38.1" customHeight="1" x14ac:dyDescent="0.25">
      <c r="A47" s="11">
        <v>2</v>
      </c>
      <c r="B47" s="11">
        <v>4</v>
      </c>
      <c r="C47" s="11">
        <v>3</v>
      </c>
      <c r="D47" s="11">
        <v>7</v>
      </c>
      <c r="E47" s="25" t="s">
        <v>56</v>
      </c>
      <c r="F47" s="74" t="s">
        <v>57</v>
      </c>
      <c r="G47" s="12">
        <v>34</v>
      </c>
      <c r="I47" s="76">
        <v>4</v>
      </c>
      <c r="J47" s="76">
        <v>8</v>
      </c>
      <c r="K47" s="46"/>
      <c r="L47" s="11"/>
      <c r="M47" s="11"/>
      <c r="N47" s="11"/>
      <c r="O47" s="11"/>
      <c r="P47" s="11" t="s">
        <v>53</v>
      </c>
      <c r="Q47" s="77"/>
      <c r="R47" s="11">
        <v>55</v>
      </c>
      <c r="S47" s="11" t="s">
        <v>53</v>
      </c>
      <c r="T47" s="11"/>
      <c r="U47" s="11"/>
      <c r="V47" s="11"/>
      <c r="W47" s="11"/>
      <c r="X47" s="11">
        <v>21</v>
      </c>
      <c r="Y47" s="11">
        <v>7</v>
      </c>
      <c r="Z47" s="82"/>
      <c r="AA47" s="27">
        <v>0.88800000000000001</v>
      </c>
      <c r="AB47" s="27">
        <v>108.05</v>
      </c>
      <c r="AC47" s="27">
        <v>83.3</v>
      </c>
      <c r="AD47" s="27"/>
      <c r="AE47" s="27">
        <v>0.13</v>
      </c>
      <c r="AF47" s="27"/>
      <c r="AG47" s="27"/>
      <c r="AH47" s="27">
        <v>69.97</v>
      </c>
      <c r="AI47" s="27">
        <v>56.1</v>
      </c>
      <c r="AJ47" s="27"/>
      <c r="AK47" s="27"/>
      <c r="AL47" s="27"/>
      <c r="AM47" s="27"/>
      <c r="AN47" s="27">
        <v>7.13</v>
      </c>
      <c r="AO47" s="83">
        <v>7.3</v>
      </c>
      <c r="AP47" s="79"/>
      <c r="AQ47" s="80">
        <v>4.8499999999999996</v>
      </c>
      <c r="AR47" s="80">
        <v>0.93799999999999994</v>
      </c>
      <c r="AS47" s="80">
        <v>0.48349999999999999</v>
      </c>
      <c r="AT47" s="79"/>
      <c r="AU47" s="18" t="e">
        <f t="shared" si="1"/>
        <v>#DIV/0!</v>
      </c>
      <c r="AV47" s="18">
        <f t="shared" si="2"/>
        <v>80.177218808060601</v>
      </c>
      <c r="AW47" s="18">
        <f t="shared" si="14"/>
        <v>0</v>
      </c>
      <c r="AX47" s="18">
        <f t="shared" si="14"/>
        <v>0.17333333333333334</v>
      </c>
      <c r="AY47" s="18" t="e">
        <f t="shared" si="15"/>
        <v>#DIV/0!</v>
      </c>
      <c r="AZ47" s="18">
        <f t="shared" si="15"/>
        <v>0.13897384593397172</v>
      </c>
      <c r="BA47" s="18" t="e">
        <f t="shared" si="5"/>
        <v>#DIV/0!</v>
      </c>
      <c r="BB47" s="18">
        <f t="shared" si="6"/>
        <v>144.30000000000001</v>
      </c>
      <c r="BC47" s="11" t="e">
        <f t="shared" si="7"/>
        <v>#DIV/0!</v>
      </c>
      <c r="BD47" s="22">
        <f t="shared" si="8"/>
        <v>6.4666666666666659</v>
      </c>
      <c r="BE47" s="22">
        <f t="shared" si="9"/>
        <v>3.3332977967306321</v>
      </c>
      <c r="BF47" s="22">
        <f t="shared" si="10"/>
        <v>51.545842217484008</v>
      </c>
      <c r="BG47" s="22">
        <f t="shared" si="11"/>
        <v>48.454157782515992</v>
      </c>
      <c r="BH47" s="22" t="e">
        <f t="shared" si="12"/>
        <v>#DIV/0!</v>
      </c>
    </row>
    <row r="48" spans="1:60" ht="38.1" customHeight="1" x14ac:dyDescent="0.25">
      <c r="A48" s="11">
        <v>3</v>
      </c>
      <c r="B48" s="11">
        <v>6</v>
      </c>
      <c r="C48" s="11">
        <v>2</v>
      </c>
      <c r="D48" s="11">
        <v>7</v>
      </c>
      <c r="E48" s="25" t="s">
        <v>56</v>
      </c>
      <c r="F48" s="74" t="s">
        <v>57</v>
      </c>
      <c r="G48" s="12">
        <v>53</v>
      </c>
      <c r="I48" s="76">
        <v>5</v>
      </c>
      <c r="J48" s="76">
        <v>8</v>
      </c>
      <c r="K48" s="46"/>
      <c r="L48" s="11"/>
      <c r="M48" s="11"/>
      <c r="N48" s="11"/>
      <c r="O48" s="11"/>
      <c r="P48" s="11"/>
      <c r="Q48" s="77"/>
      <c r="R48" s="11">
        <v>60</v>
      </c>
      <c r="S48" s="11" t="s">
        <v>53</v>
      </c>
      <c r="T48" s="11"/>
      <c r="U48" s="11"/>
      <c r="V48" s="11"/>
      <c r="W48" s="11"/>
      <c r="X48" s="11">
        <v>19</v>
      </c>
      <c r="Y48" s="11">
        <v>6</v>
      </c>
      <c r="Z48" s="82"/>
      <c r="AA48" s="27">
        <v>1.0129999999999999</v>
      </c>
      <c r="AB48" s="27">
        <v>98.35</v>
      </c>
      <c r="AC48" s="27">
        <v>72.400000000000006</v>
      </c>
      <c r="AD48" s="27"/>
      <c r="AE48" s="27">
        <v>0.246</v>
      </c>
      <c r="AF48" s="27"/>
      <c r="AG48" s="27"/>
      <c r="AH48" s="27">
        <v>101.09</v>
      </c>
      <c r="AI48" s="27">
        <v>77.099999999999994</v>
      </c>
      <c r="AJ48" s="27"/>
      <c r="AK48" s="27"/>
      <c r="AL48" s="27"/>
      <c r="AM48" s="27"/>
      <c r="AN48" s="27">
        <v>7.58</v>
      </c>
      <c r="AO48" s="83">
        <v>7.44</v>
      </c>
      <c r="AP48" s="79"/>
      <c r="AQ48" s="80">
        <v>7.75</v>
      </c>
      <c r="AR48" s="80">
        <v>0.93799999999999994</v>
      </c>
      <c r="AS48" s="80">
        <v>0.48349999999999999</v>
      </c>
      <c r="AT48" s="79"/>
      <c r="AU48" s="18" t="e">
        <f t="shared" si="1"/>
        <v>#DIV/0!</v>
      </c>
      <c r="AV48" s="18">
        <f t="shared" si="2"/>
        <v>76.268671480858629</v>
      </c>
      <c r="AW48" s="18">
        <f t="shared" si="14"/>
        <v>0</v>
      </c>
      <c r="AX48" s="18">
        <f t="shared" si="14"/>
        <v>0.32800000000000001</v>
      </c>
      <c r="AY48" s="18" t="e">
        <f t="shared" si="15"/>
        <v>#DIV/0!</v>
      </c>
      <c r="AZ48" s="18">
        <f t="shared" si="15"/>
        <v>0.25016124245721633</v>
      </c>
      <c r="BA48" s="18" t="e">
        <f t="shared" si="5"/>
        <v>#DIV/0!</v>
      </c>
      <c r="BB48" s="18">
        <f t="shared" si="6"/>
        <v>150.19999999999999</v>
      </c>
      <c r="BC48" s="11" t="e">
        <f t="shared" si="7"/>
        <v>#DIV/0!</v>
      </c>
      <c r="BD48" s="22">
        <f t="shared" si="8"/>
        <v>10.333333333333334</v>
      </c>
      <c r="BE48" s="22">
        <f t="shared" si="9"/>
        <v>5.3264036958066807</v>
      </c>
      <c r="BF48" s="22">
        <f t="shared" si="10"/>
        <v>51.545842217484008</v>
      </c>
      <c r="BG48" s="22">
        <f t="shared" si="11"/>
        <v>48.454157782515992</v>
      </c>
      <c r="BH48" s="22" t="e">
        <f t="shared" si="12"/>
        <v>#DIV/0!</v>
      </c>
    </row>
    <row r="49" spans="1:60" ht="38.1" customHeight="1" x14ac:dyDescent="0.25">
      <c r="A49" s="11">
        <v>4</v>
      </c>
      <c r="B49" s="11">
        <v>8</v>
      </c>
      <c r="C49" s="11">
        <v>5</v>
      </c>
      <c r="D49" s="11">
        <v>7</v>
      </c>
      <c r="E49" s="25" t="s">
        <v>56</v>
      </c>
      <c r="F49" s="74" t="s">
        <v>57</v>
      </c>
      <c r="G49" s="12">
        <v>68</v>
      </c>
      <c r="H49" s="89"/>
      <c r="I49" s="76">
        <v>5</v>
      </c>
      <c r="J49" s="76">
        <v>9</v>
      </c>
      <c r="K49" s="46"/>
      <c r="L49" s="11"/>
      <c r="M49" s="11"/>
      <c r="N49" s="11"/>
      <c r="O49" s="11"/>
      <c r="P49" s="11"/>
      <c r="Q49" s="77"/>
      <c r="R49" s="11">
        <v>60</v>
      </c>
      <c r="S49" s="11" t="s">
        <v>53</v>
      </c>
      <c r="T49" s="11"/>
      <c r="U49" s="11"/>
      <c r="V49" s="11"/>
      <c r="W49" s="11"/>
      <c r="X49" s="11">
        <v>21</v>
      </c>
      <c r="Y49" s="11">
        <v>6</v>
      </c>
      <c r="Z49" s="82"/>
      <c r="AA49" s="27">
        <v>1.879</v>
      </c>
      <c r="AB49" s="27">
        <v>106.79</v>
      </c>
      <c r="AC49" s="27">
        <v>71.400000000000006</v>
      </c>
      <c r="AD49" s="27"/>
      <c r="AE49" s="27">
        <v>0.91100000000000003</v>
      </c>
      <c r="AF49" s="27"/>
      <c r="AG49" s="27"/>
      <c r="AH49" s="27">
        <v>97.72</v>
      </c>
      <c r="AI49" s="27">
        <v>70.3</v>
      </c>
      <c r="AJ49" s="27"/>
      <c r="AK49" s="27"/>
      <c r="AL49" s="27"/>
      <c r="AM49" s="27"/>
      <c r="AN49" s="27">
        <v>9.5</v>
      </c>
      <c r="AO49" s="83">
        <v>9.36</v>
      </c>
      <c r="AP49" s="79"/>
      <c r="AQ49" s="80">
        <v>6.55</v>
      </c>
      <c r="AR49" s="80">
        <v>0.93799999999999994</v>
      </c>
      <c r="AS49" s="80">
        <v>0.48349999999999999</v>
      </c>
      <c r="AT49" s="79"/>
      <c r="AU49" s="18" t="e">
        <f t="shared" si="1"/>
        <v>#DIV/0!</v>
      </c>
      <c r="AV49" s="18">
        <f t="shared" si="2"/>
        <v>71.940237413016789</v>
      </c>
      <c r="AW49" s="18">
        <f t="shared" si="14"/>
        <v>0</v>
      </c>
      <c r="AX49" s="18">
        <f t="shared" si="14"/>
        <v>1.2146666666666666</v>
      </c>
      <c r="AY49" s="18" t="e">
        <f t="shared" si="15"/>
        <v>#DIV/0!</v>
      </c>
      <c r="AZ49" s="18">
        <f t="shared" si="15"/>
        <v>0.87383408377677707</v>
      </c>
      <c r="BA49" s="18" t="e">
        <f t="shared" si="5"/>
        <v>#DIV/0!</v>
      </c>
      <c r="BB49" s="18">
        <f t="shared" si="6"/>
        <v>188.6</v>
      </c>
      <c r="BC49" s="11" t="e">
        <f t="shared" si="7"/>
        <v>#DIV/0!</v>
      </c>
      <c r="BD49" s="22">
        <f t="shared" si="8"/>
        <v>8.7333333333333325</v>
      </c>
      <c r="BE49" s="22">
        <f t="shared" si="9"/>
        <v>4.5016702203269361</v>
      </c>
      <c r="BF49" s="22">
        <f t="shared" si="10"/>
        <v>51.545842217484008</v>
      </c>
      <c r="BG49" s="22">
        <f t="shared" si="11"/>
        <v>48.454157782515992</v>
      </c>
      <c r="BH49" s="22" t="e">
        <f t="shared" si="12"/>
        <v>#DIV/0!</v>
      </c>
    </row>
    <row r="50" spans="1:60" ht="38.1" customHeight="1" x14ac:dyDescent="0.25">
      <c r="A50" s="11">
        <v>1</v>
      </c>
      <c r="B50" s="11">
        <v>2</v>
      </c>
      <c r="C50" s="11">
        <v>8</v>
      </c>
      <c r="D50" s="11">
        <v>8</v>
      </c>
      <c r="E50" s="11" t="s">
        <v>74</v>
      </c>
      <c r="F50" s="74" t="s">
        <v>75</v>
      </c>
      <c r="G50" s="12">
        <v>11</v>
      </c>
      <c r="H50" s="90"/>
      <c r="I50" s="76">
        <v>5</v>
      </c>
      <c r="J50" s="76">
        <v>8</v>
      </c>
      <c r="K50" s="11"/>
      <c r="L50" s="11"/>
      <c r="M50" s="11"/>
      <c r="N50" s="11"/>
      <c r="O50" s="11"/>
      <c r="P50" s="11" t="s">
        <v>53</v>
      </c>
      <c r="Q50" s="77"/>
      <c r="R50" s="11">
        <v>50</v>
      </c>
      <c r="S50" s="11" t="s">
        <v>53</v>
      </c>
      <c r="T50" s="11"/>
      <c r="U50" s="11"/>
      <c r="V50" s="11"/>
      <c r="W50" s="11"/>
      <c r="X50" s="11">
        <v>20</v>
      </c>
      <c r="Y50" s="11">
        <v>6</v>
      </c>
      <c r="Z50" s="82"/>
      <c r="AA50" s="27">
        <v>0.35299999999999998</v>
      </c>
      <c r="AB50" s="27">
        <v>107.71</v>
      </c>
      <c r="AC50" s="27">
        <v>82.4</v>
      </c>
      <c r="AD50" s="27"/>
      <c r="AE50" s="27">
        <v>7.8E-2</v>
      </c>
      <c r="AF50" s="27"/>
      <c r="AG50" s="27"/>
      <c r="AH50" s="27">
        <v>22.65</v>
      </c>
      <c r="AI50" s="27">
        <v>17.899999999999999</v>
      </c>
      <c r="AJ50" s="27"/>
      <c r="AK50" s="27"/>
      <c r="AL50" s="27"/>
      <c r="AM50" s="27"/>
      <c r="AN50" s="27">
        <v>7.38</v>
      </c>
      <c r="AO50" s="83">
        <v>7.51</v>
      </c>
      <c r="AP50" s="79"/>
      <c r="AQ50" s="80">
        <v>6.1</v>
      </c>
      <c r="AR50" s="80">
        <v>1.2529999999999999</v>
      </c>
      <c r="AS50" s="80">
        <v>0.64219999999999999</v>
      </c>
      <c r="AT50" s="79"/>
      <c r="AU50" s="18" t="e">
        <f t="shared" si="1"/>
        <v>#DIV/0!</v>
      </c>
      <c r="AV50" s="18">
        <f t="shared" si="2"/>
        <v>79.028697571743933</v>
      </c>
      <c r="AW50" s="18">
        <f t="shared" si="14"/>
        <v>0</v>
      </c>
      <c r="AX50" s="18">
        <f t="shared" si="14"/>
        <v>0.104</v>
      </c>
      <c r="AY50" s="18" t="e">
        <f t="shared" si="15"/>
        <v>#DIV/0!</v>
      </c>
      <c r="AZ50" s="18">
        <f t="shared" si="15"/>
        <v>8.2189845474613693E-2</v>
      </c>
      <c r="BA50" s="18" t="e">
        <f t="shared" si="5"/>
        <v>#DIV/0!</v>
      </c>
      <c r="BB50" s="18">
        <f t="shared" si="6"/>
        <v>148.9</v>
      </c>
      <c r="BC50" s="11" t="e">
        <f t="shared" si="7"/>
        <v>#DIV/0!</v>
      </c>
      <c r="BD50" s="22">
        <f t="shared" si="8"/>
        <v>8.1333333333333329</v>
      </c>
      <c r="BE50" s="22">
        <f t="shared" si="9"/>
        <v>4.1685767491354087</v>
      </c>
      <c r="BF50" s="22">
        <f t="shared" si="10"/>
        <v>51.252992817238628</v>
      </c>
      <c r="BG50" s="22">
        <f t="shared" si="11"/>
        <v>48.747007182761372</v>
      </c>
      <c r="BH50" s="22" t="e">
        <f t="shared" si="12"/>
        <v>#DIV/0!</v>
      </c>
    </row>
    <row r="51" spans="1:60" ht="38.1" customHeight="1" x14ac:dyDescent="0.25">
      <c r="A51" s="11">
        <v>2</v>
      </c>
      <c r="B51" s="11">
        <v>3</v>
      </c>
      <c r="C51" s="11">
        <v>5</v>
      </c>
      <c r="D51" s="11">
        <v>8</v>
      </c>
      <c r="E51" s="11" t="s">
        <v>74</v>
      </c>
      <c r="F51" s="74" t="s">
        <v>75</v>
      </c>
      <c r="G51" s="12">
        <v>23</v>
      </c>
      <c r="I51" s="76">
        <v>6</v>
      </c>
      <c r="J51" s="76">
        <v>7</v>
      </c>
      <c r="K51" s="46"/>
      <c r="L51" s="11"/>
      <c r="M51" s="11"/>
      <c r="N51" s="11"/>
      <c r="O51" s="11"/>
      <c r="P51" s="11" t="s">
        <v>53</v>
      </c>
      <c r="Q51" s="77"/>
      <c r="R51" s="11">
        <v>55</v>
      </c>
      <c r="S51" s="11" t="s">
        <v>53</v>
      </c>
      <c r="T51" s="11"/>
      <c r="U51" s="11"/>
      <c r="V51" s="11"/>
      <c r="W51" s="11"/>
      <c r="X51" s="11">
        <v>20</v>
      </c>
      <c r="Y51" s="11">
        <v>8</v>
      </c>
      <c r="Z51" s="82"/>
      <c r="AA51" s="27">
        <v>1.0509999999999999</v>
      </c>
      <c r="AB51" s="27">
        <v>113.34</v>
      </c>
      <c r="AC51" s="27">
        <v>84.1</v>
      </c>
      <c r="AD51" s="27"/>
      <c r="AE51" s="27">
        <v>0.31900000000000001</v>
      </c>
      <c r="AF51" s="27"/>
      <c r="AG51" s="27"/>
      <c r="AH51" s="27">
        <v>100.62</v>
      </c>
      <c r="AI51" s="27">
        <v>74.7</v>
      </c>
      <c r="AJ51" s="27"/>
      <c r="AK51" s="27"/>
      <c r="AL51" s="27"/>
      <c r="AM51" s="27"/>
      <c r="AN51" s="27">
        <v>8.67</v>
      </c>
      <c r="AO51" s="83">
        <v>9</v>
      </c>
      <c r="AP51" s="79"/>
      <c r="AQ51" s="80">
        <v>5.65</v>
      </c>
      <c r="AR51" s="80">
        <v>1.2529999999999999</v>
      </c>
      <c r="AS51" s="80">
        <v>0.64219999999999999</v>
      </c>
      <c r="AT51" s="79"/>
      <c r="AU51" s="18" t="e">
        <f t="shared" si="1"/>
        <v>#DIV/0!</v>
      </c>
      <c r="AV51" s="18">
        <f t="shared" si="2"/>
        <v>74.23971377459749</v>
      </c>
      <c r="AW51" s="18">
        <f t="shared" si="14"/>
        <v>0</v>
      </c>
      <c r="AX51" s="18">
        <f t="shared" si="14"/>
        <v>0.42533333333333334</v>
      </c>
      <c r="AY51" s="18" t="e">
        <f t="shared" si="15"/>
        <v>#DIV/0!</v>
      </c>
      <c r="AZ51" s="18">
        <f t="shared" si="15"/>
        <v>0.31576624925462132</v>
      </c>
      <c r="BA51" s="18" t="e">
        <f t="shared" si="5"/>
        <v>#DIV/0!</v>
      </c>
      <c r="BB51" s="18">
        <f t="shared" si="6"/>
        <v>176.70000000000002</v>
      </c>
      <c r="BC51" s="11" t="e">
        <f t="shared" si="7"/>
        <v>#DIV/0!</v>
      </c>
      <c r="BD51" s="22">
        <f t="shared" si="8"/>
        <v>7.5333333333333341</v>
      </c>
      <c r="BE51" s="22">
        <f t="shared" si="9"/>
        <v>3.8610587922319772</v>
      </c>
      <c r="BF51" s="22">
        <f t="shared" si="10"/>
        <v>51.252992817238628</v>
      </c>
      <c r="BG51" s="22">
        <f t="shared" si="11"/>
        <v>48.747007182761372</v>
      </c>
      <c r="BH51" s="22" t="e">
        <f t="shared" si="12"/>
        <v>#DIV/0!</v>
      </c>
    </row>
    <row r="52" spans="1:60" ht="38.1" customHeight="1" x14ac:dyDescent="0.25">
      <c r="A52" s="11">
        <v>3</v>
      </c>
      <c r="B52" s="11">
        <v>5</v>
      </c>
      <c r="C52" s="11">
        <v>9</v>
      </c>
      <c r="D52" s="11">
        <v>8</v>
      </c>
      <c r="E52" s="11" t="s">
        <v>74</v>
      </c>
      <c r="F52" s="74" t="s">
        <v>75</v>
      </c>
      <c r="G52" s="12">
        <v>45</v>
      </c>
      <c r="I52" s="76">
        <v>8</v>
      </c>
      <c r="J52" s="76">
        <v>7</v>
      </c>
      <c r="K52" s="46"/>
      <c r="L52" s="11"/>
      <c r="M52" s="11"/>
      <c r="N52" s="11"/>
      <c r="O52" s="11"/>
      <c r="P52" s="11"/>
      <c r="Q52" s="77"/>
      <c r="R52" s="11">
        <v>55</v>
      </c>
      <c r="S52" s="11" t="s">
        <v>53</v>
      </c>
      <c r="T52" s="11"/>
      <c r="U52" s="11"/>
      <c r="V52" s="11"/>
      <c r="W52" s="11"/>
      <c r="X52" s="11">
        <v>21</v>
      </c>
      <c r="Y52" s="11">
        <v>6</v>
      </c>
      <c r="Z52" s="82"/>
      <c r="AA52" s="27">
        <v>0.64200000000000002</v>
      </c>
      <c r="AB52" s="27">
        <v>101.02</v>
      </c>
      <c r="AC52" s="27">
        <v>67.8</v>
      </c>
      <c r="AD52" s="27"/>
      <c r="AE52" s="27">
        <v>0.22700000000000001</v>
      </c>
      <c r="AF52" s="27"/>
      <c r="AG52" s="27"/>
      <c r="AH52" s="27">
        <v>104.71</v>
      </c>
      <c r="AI52" s="27">
        <v>76</v>
      </c>
      <c r="AJ52" s="27"/>
      <c r="AK52" s="27"/>
      <c r="AL52" s="27"/>
      <c r="AM52" s="27"/>
      <c r="AN52" s="27">
        <v>8.11</v>
      </c>
      <c r="AO52" s="83">
        <v>8.24</v>
      </c>
      <c r="AP52" s="79"/>
      <c r="AQ52" s="80">
        <v>7.4</v>
      </c>
      <c r="AR52" s="80">
        <v>1.2529999999999999</v>
      </c>
      <c r="AS52" s="80">
        <v>0.64219999999999999</v>
      </c>
      <c r="AT52" s="79"/>
      <c r="AU52" s="18" t="e">
        <f t="shared" si="1"/>
        <v>#DIV/0!</v>
      </c>
      <c r="AV52" s="18">
        <f t="shared" si="2"/>
        <v>72.581415337599083</v>
      </c>
      <c r="AW52" s="18">
        <f t="shared" si="14"/>
        <v>0</v>
      </c>
      <c r="AX52" s="18">
        <f t="shared" si="14"/>
        <v>0.30266666666666669</v>
      </c>
      <c r="AY52" s="18" t="e">
        <f t="shared" si="15"/>
        <v>#DIV/0!</v>
      </c>
      <c r="AZ52" s="18">
        <f t="shared" si="15"/>
        <v>0.21967975042179994</v>
      </c>
      <c r="BA52" s="18" t="e">
        <f t="shared" si="5"/>
        <v>#DIV/0!</v>
      </c>
      <c r="BB52" s="18">
        <f t="shared" si="6"/>
        <v>163.5</v>
      </c>
      <c r="BC52" s="11" t="e">
        <f t="shared" si="7"/>
        <v>#DIV/0!</v>
      </c>
      <c r="BD52" s="22">
        <f t="shared" si="8"/>
        <v>9.8666666666666671</v>
      </c>
      <c r="BE52" s="22">
        <f t="shared" si="9"/>
        <v>5.0569619579675447</v>
      </c>
      <c r="BF52" s="22">
        <f t="shared" si="10"/>
        <v>51.252992817238628</v>
      </c>
      <c r="BG52" s="22">
        <f t="shared" si="11"/>
        <v>48.747007182761372</v>
      </c>
      <c r="BH52" s="22" t="e">
        <f t="shared" si="12"/>
        <v>#DIV/0!</v>
      </c>
    </row>
    <row r="53" spans="1:60" ht="38.1" customHeight="1" x14ac:dyDescent="0.25">
      <c r="A53" s="11">
        <v>4</v>
      </c>
      <c r="B53" s="11">
        <v>7</v>
      </c>
      <c r="C53" s="11">
        <v>6</v>
      </c>
      <c r="D53" s="11">
        <v>8</v>
      </c>
      <c r="E53" s="11" t="s">
        <v>74</v>
      </c>
      <c r="F53" s="74" t="s">
        <v>75</v>
      </c>
      <c r="G53" s="12">
        <v>60</v>
      </c>
      <c r="I53" s="76">
        <v>5</v>
      </c>
      <c r="J53" s="76">
        <v>7</v>
      </c>
      <c r="K53" s="46"/>
      <c r="L53" s="11"/>
      <c r="M53" s="11"/>
      <c r="N53" s="11"/>
      <c r="O53" s="11"/>
      <c r="P53" s="11"/>
      <c r="Q53" s="77"/>
      <c r="R53" s="11">
        <v>50</v>
      </c>
      <c r="S53" s="11" t="s">
        <v>53</v>
      </c>
      <c r="T53" s="11"/>
      <c r="U53" s="11"/>
      <c r="V53" s="11"/>
      <c r="W53" s="11"/>
      <c r="X53" s="11">
        <v>21</v>
      </c>
      <c r="Y53" s="11">
        <v>5</v>
      </c>
      <c r="Z53" s="82"/>
      <c r="AA53" s="27">
        <v>0.96899999999999997</v>
      </c>
      <c r="AB53" s="27">
        <v>108.12</v>
      </c>
      <c r="AC53" s="27">
        <v>74.5</v>
      </c>
      <c r="AD53" s="27"/>
      <c r="AE53" s="27">
        <v>0.435</v>
      </c>
      <c r="AF53" s="27"/>
      <c r="AG53" s="27"/>
      <c r="AH53" s="27">
        <v>10078</v>
      </c>
      <c r="AI53" s="27">
        <v>73.2</v>
      </c>
      <c r="AJ53" s="27"/>
      <c r="AK53" s="27"/>
      <c r="AL53" s="27"/>
      <c r="AM53" s="27"/>
      <c r="AN53" s="27">
        <v>8.27</v>
      </c>
      <c r="AO53" s="83">
        <v>7.9</v>
      </c>
      <c r="AP53" s="79"/>
      <c r="AQ53" s="80">
        <v>5.9</v>
      </c>
      <c r="AR53" s="80">
        <v>1.2529999999999999</v>
      </c>
      <c r="AS53" s="80">
        <v>0.64219999999999999</v>
      </c>
      <c r="AT53" s="79"/>
      <c r="AU53" s="18" t="e">
        <f t="shared" si="1"/>
        <v>#DIV/0!</v>
      </c>
      <c r="AV53" s="18">
        <f t="shared" si="2"/>
        <v>0.72633459019646762</v>
      </c>
      <c r="AW53" s="18">
        <f t="shared" si="14"/>
        <v>0</v>
      </c>
      <c r="AX53" s="18">
        <f t="shared" si="14"/>
        <v>0.58000000000000007</v>
      </c>
      <c r="AY53" s="18" t="e">
        <f t="shared" si="15"/>
        <v>#DIV/0!</v>
      </c>
      <c r="AZ53" s="18">
        <f t="shared" si="15"/>
        <v>4.2127406231395126E-3</v>
      </c>
      <c r="BA53" s="18" t="e">
        <f t="shared" si="5"/>
        <v>#DIV/0!</v>
      </c>
      <c r="BB53" s="18">
        <f t="shared" si="6"/>
        <v>161.70000000000002</v>
      </c>
      <c r="BC53" s="11" t="e">
        <f t="shared" si="7"/>
        <v>#DIV/0!</v>
      </c>
      <c r="BD53" s="22">
        <f t="shared" si="8"/>
        <v>7.8666666666666671</v>
      </c>
      <c r="BE53" s="22">
        <f t="shared" si="9"/>
        <v>4.0319021016227721</v>
      </c>
      <c r="BF53" s="22">
        <f t="shared" si="10"/>
        <v>51.252992817238628</v>
      </c>
      <c r="BG53" s="22">
        <f t="shared" si="11"/>
        <v>48.747007182761372</v>
      </c>
      <c r="BH53" s="22" t="e">
        <f t="shared" si="12"/>
        <v>#DIV/0!</v>
      </c>
    </row>
    <row r="54" spans="1:60" ht="38.1" customHeight="1" x14ac:dyDescent="0.25">
      <c r="A54" s="11">
        <v>1</v>
      </c>
      <c r="B54" s="11">
        <v>1</v>
      </c>
      <c r="C54" s="11">
        <v>1</v>
      </c>
      <c r="D54" s="11">
        <v>3</v>
      </c>
      <c r="E54" s="11" t="s">
        <v>82</v>
      </c>
      <c r="F54" s="74" t="s">
        <v>83</v>
      </c>
      <c r="G54" s="12">
        <v>1</v>
      </c>
      <c r="H54" s="88">
        <v>45385</v>
      </c>
      <c r="I54" s="76">
        <v>2</v>
      </c>
      <c r="J54" s="76">
        <v>8</v>
      </c>
      <c r="K54" s="46">
        <v>45444</v>
      </c>
      <c r="L54" s="11" t="s">
        <v>53</v>
      </c>
      <c r="M54" s="11"/>
      <c r="N54" s="11"/>
      <c r="O54" s="11" t="s">
        <v>53</v>
      </c>
      <c r="P54" s="11">
        <v>39</v>
      </c>
      <c r="Q54" s="77">
        <f t="shared" ref="Q54:Q73" si="16">P54/0.117</f>
        <v>333.33333333333331</v>
      </c>
      <c r="R54" s="11" t="s">
        <v>53</v>
      </c>
      <c r="S54" s="11">
        <v>85</v>
      </c>
      <c r="T54" s="11"/>
      <c r="U54" s="11"/>
      <c r="V54" s="11"/>
      <c r="W54" s="11">
        <v>17</v>
      </c>
      <c r="X54" s="11"/>
      <c r="Y54" s="11">
        <v>9</v>
      </c>
      <c r="Z54" s="82"/>
      <c r="AA54" s="27">
        <v>2.7080000000000002</v>
      </c>
      <c r="AB54" s="27">
        <v>106.53</v>
      </c>
      <c r="AC54" s="27">
        <v>90.4</v>
      </c>
      <c r="AD54" s="27">
        <v>2.1269999999999998</v>
      </c>
      <c r="AE54" s="27"/>
      <c r="AF54" s="27">
        <v>107.23</v>
      </c>
      <c r="AG54" s="27">
        <v>91.5</v>
      </c>
      <c r="AH54" s="27"/>
      <c r="AI54" s="27"/>
      <c r="AJ54" s="27">
        <v>103.18</v>
      </c>
      <c r="AK54" s="27">
        <v>102.29</v>
      </c>
      <c r="AL54" s="27">
        <v>1.63</v>
      </c>
      <c r="AM54" s="27">
        <v>1.65</v>
      </c>
      <c r="AN54" s="27"/>
      <c r="AO54" s="83"/>
      <c r="AP54" s="79"/>
      <c r="AQ54" s="80">
        <v>3.7</v>
      </c>
      <c r="AR54" s="80">
        <v>0.79500000000000004</v>
      </c>
      <c r="AS54" s="80">
        <v>0.62549999999999994</v>
      </c>
      <c r="AT54" s="79"/>
      <c r="AU54" s="18">
        <f t="shared" si="1"/>
        <v>85.330597780471891</v>
      </c>
      <c r="AV54" s="18" t="e">
        <f t="shared" si="2"/>
        <v>#DIV/0!</v>
      </c>
      <c r="AW54" s="18">
        <f t="shared" si="14"/>
        <v>2.8359999999999994</v>
      </c>
      <c r="AX54" s="18">
        <f t="shared" si="14"/>
        <v>0</v>
      </c>
      <c r="AY54" s="18">
        <f t="shared" si="15"/>
        <v>2.4199757530541826</v>
      </c>
      <c r="AZ54" s="18" t="e">
        <f t="shared" si="15"/>
        <v>#DIV/0!</v>
      </c>
      <c r="BA54" s="18">
        <f t="shared" si="5"/>
        <v>32.799999999999997</v>
      </c>
      <c r="BB54" s="18" t="e">
        <f t="shared" si="6"/>
        <v>#DIV/0!</v>
      </c>
      <c r="BC54" s="11">
        <f t="shared" si="7"/>
        <v>40.726782499999999</v>
      </c>
      <c r="BD54" s="22">
        <f t="shared" si="8"/>
        <v>4.9333333333333336</v>
      </c>
      <c r="BE54" s="22">
        <f t="shared" si="9"/>
        <v>3.8815094339622642</v>
      </c>
      <c r="BF54" s="22">
        <f t="shared" si="10"/>
        <v>78.679245283018858</v>
      </c>
      <c r="BG54" s="22">
        <f t="shared" si="11"/>
        <v>21.320754716981142</v>
      </c>
      <c r="BH54" s="22">
        <f t="shared" si="12"/>
        <v>1.739539257169723</v>
      </c>
    </row>
    <row r="55" spans="1:60" ht="38.1" customHeight="1" x14ac:dyDescent="0.25">
      <c r="A55" s="11">
        <v>2</v>
      </c>
      <c r="B55" s="11">
        <v>3</v>
      </c>
      <c r="C55" s="11">
        <v>2</v>
      </c>
      <c r="D55" s="11">
        <v>3</v>
      </c>
      <c r="E55" s="11" t="s">
        <v>82</v>
      </c>
      <c r="F55" s="74" t="s">
        <v>83</v>
      </c>
      <c r="G55" s="12">
        <v>20</v>
      </c>
      <c r="I55" s="76">
        <v>1</v>
      </c>
      <c r="J55" s="76">
        <v>9</v>
      </c>
      <c r="K55" s="46"/>
      <c r="L55" s="11" t="s">
        <v>53</v>
      </c>
      <c r="M55" s="11"/>
      <c r="N55" s="11"/>
      <c r="O55" s="11" t="s">
        <v>53</v>
      </c>
      <c r="P55" s="11">
        <v>31</v>
      </c>
      <c r="Q55" s="77">
        <f t="shared" si="16"/>
        <v>264.95726495726495</v>
      </c>
      <c r="R55" s="11" t="s">
        <v>53</v>
      </c>
      <c r="S55" s="11">
        <v>80</v>
      </c>
      <c r="T55" s="11"/>
      <c r="U55" s="11"/>
      <c r="V55" s="11"/>
      <c r="W55" s="11">
        <v>19</v>
      </c>
      <c r="X55" s="11"/>
      <c r="Y55" s="11">
        <v>4</v>
      </c>
      <c r="Z55" s="82"/>
      <c r="AA55" s="27">
        <v>1.903</v>
      </c>
      <c r="AB55" s="27">
        <v>109.51</v>
      </c>
      <c r="AC55" s="27">
        <v>92.2</v>
      </c>
      <c r="AD55" s="27">
        <v>1.2869999999999999</v>
      </c>
      <c r="AE55" s="27"/>
      <c r="AF55" s="27">
        <v>104.04</v>
      </c>
      <c r="AG55" s="27">
        <v>88.5</v>
      </c>
      <c r="AH55" s="27"/>
      <c r="AI55" s="27"/>
      <c r="AJ55" s="27">
        <v>98.44</v>
      </c>
      <c r="AK55" s="27">
        <v>98</v>
      </c>
      <c r="AL55" s="27">
        <v>1.63</v>
      </c>
      <c r="AM55" s="27">
        <v>1.6</v>
      </c>
      <c r="AN55" s="27"/>
      <c r="AO55" s="83"/>
      <c r="AP55" s="79"/>
      <c r="AQ55" s="80">
        <v>5.0999999999999996</v>
      </c>
      <c r="AR55" s="80">
        <v>0.79500000000000004</v>
      </c>
      <c r="AS55" s="80">
        <v>0.62549999999999994</v>
      </c>
      <c r="AT55" s="79"/>
      <c r="AU55" s="18">
        <f t="shared" si="1"/>
        <v>85.063437139561699</v>
      </c>
      <c r="AV55" s="18" t="e">
        <f t="shared" si="2"/>
        <v>#DIV/0!</v>
      </c>
      <c r="AW55" s="18">
        <f t="shared" si="14"/>
        <v>1.716</v>
      </c>
      <c r="AX55" s="18">
        <f t="shared" si="14"/>
        <v>0</v>
      </c>
      <c r="AY55" s="18">
        <f t="shared" si="15"/>
        <v>1.4596885813148788</v>
      </c>
      <c r="AZ55" s="18" t="e">
        <f t="shared" si="15"/>
        <v>#DIV/0!</v>
      </c>
      <c r="BA55" s="18">
        <f t="shared" si="5"/>
        <v>32.299999999999997</v>
      </c>
      <c r="BB55" s="18" t="e">
        <f t="shared" si="6"/>
        <v>#DIV/0!</v>
      </c>
      <c r="BC55" s="11">
        <f t="shared" si="7"/>
        <v>38.877889999999994</v>
      </c>
      <c r="BD55" s="22">
        <f t="shared" si="8"/>
        <v>6.7999999999999989</v>
      </c>
      <c r="BE55" s="22">
        <f t="shared" si="9"/>
        <v>5.3501886792452815</v>
      </c>
      <c r="BF55" s="22">
        <f t="shared" si="10"/>
        <v>78.679245283018858</v>
      </c>
      <c r="BG55" s="22">
        <f t="shared" si="11"/>
        <v>21.320754716981142</v>
      </c>
      <c r="BH55" s="22">
        <f t="shared" si="12"/>
        <v>3.9627039627039622</v>
      </c>
    </row>
    <row r="56" spans="1:60" ht="38.1" customHeight="1" x14ac:dyDescent="0.25">
      <c r="A56" s="11">
        <v>3</v>
      </c>
      <c r="B56" s="11">
        <v>6</v>
      </c>
      <c r="C56" s="11">
        <v>3</v>
      </c>
      <c r="D56" s="11">
        <v>3</v>
      </c>
      <c r="E56" s="11" t="s">
        <v>82</v>
      </c>
      <c r="F56" s="74" t="s">
        <v>83</v>
      </c>
      <c r="G56" s="12">
        <v>52</v>
      </c>
      <c r="I56" s="76">
        <v>3</v>
      </c>
      <c r="J56" s="76">
        <v>9</v>
      </c>
      <c r="K56" s="46"/>
      <c r="L56" s="11" t="s">
        <v>53</v>
      </c>
      <c r="M56" s="11"/>
      <c r="N56" s="11"/>
      <c r="O56" s="11" t="s">
        <v>53</v>
      </c>
      <c r="P56" s="11">
        <v>21</v>
      </c>
      <c r="Q56" s="77">
        <f t="shared" si="16"/>
        <v>179.48717948717947</v>
      </c>
      <c r="R56" s="11" t="s">
        <v>53</v>
      </c>
      <c r="S56" s="11">
        <v>70</v>
      </c>
      <c r="T56" s="11"/>
      <c r="U56" s="11"/>
      <c r="V56" s="11"/>
      <c r="W56" s="11">
        <v>18</v>
      </c>
      <c r="X56" s="11"/>
      <c r="Y56" s="11">
        <v>3</v>
      </c>
      <c r="Z56" s="82"/>
      <c r="AA56" s="27">
        <v>2.2269999999999999</v>
      </c>
      <c r="AB56" s="27">
        <v>108.07</v>
      </c>
      <c r="AC56" s="27">
        <v>90.8</v>
      </c>
      <c r="AD56" s="27">
        <v>1.579</v>
      </c>
      <c r="AE56" s="27"/>
      <c r="AF56" s="27">
        <v>110.47</v>
      </c>
      <c r="AG56" s="27">
        <v>94.2</v>
      </c>
      <c r="AH56" s="27"/>
      <c r="AI56" s="27"/>
      <c r="AJ56" s="27">
        <v>99.4</v>
      </c>
      <c r="AK56" s="27">
        <v>98.76</v>
      </c>
      <c r="AL56" s="27">
        <v>1.63</v>
      </c>
      <c r="AM56" s="27">
        <v>1.63</v>
      </c>
      <c r="AN56" s="27"/>
      <c r="AO56" s="83"/>
      <c r="AP56" s="79"/>
      <c r="AQ56" s="80">
        <v>4.55</v>
      </c>
      <c r="AR56" s="80">
        <v>0.79500000000000004</v>
      </c>
      <c r="AS56" s="80">
        <v>0.62549999999999994</v>
      </c>
      <c r="AT56" s="79"/>
      <c r="AU56" s="18">
        <f t="shared" si="1"/>
        <v>85.272019552819785</v>
      </c>
      <c r="AV56" s="18" t="e">
        <f t="shared" si="2"/>
        <v>#DIV/0!</v>
      </c>
      <c r="AW56" s="18">
        <f t="shared" si="14"/>
        <v>2.1053333333333333</v>
      </c>
      <c r="AX56" s="18">
        <f t="shared" si="14"/>
        <v>0</v>
      </c>
      <c r="AY56" s="18">
        <f t="shared" si="15"/>
        <v>1.7952602516520326</v>
      </c>
      <c r="AZ56" s="18" t="e">
        <f t="shared" si="15"/>
        <v>#DIV/0!</v>
      </c>
      <c r="BA56" s="18">
        <f t="shared" si="5"/>
        <v>32.599999999999994</v>
      </c>
      <c r="BB56" s="18" t="e">
        <f t="shared" si="6"/>
        <v>#DIV/0!</v>
      </c>
      <c r="BC56" s="11">
        <f t="shared" si="7"/>
        <v>39.230060000000002</v>
      </c>
      <c r="BD56" s="22">
        <f t="shared" si="8"/>
        <v>6.0666666666666664</v>
      </c>
      <c r="BE56" s="22">
        <f t="shared" si="9"/>
        <v>4.773207547169811</v>
      </c>
      <c r="BF56" s="22">
        <f t="shared" si="10"/>
        <v>78.679245283018858</v>
      </c>
      <c r="BG56" s="22">
        <f t="shared" si="11"/>
        <v>21.320754716981142</v>
      </c>
      <c r="BH56" s="22">
        <f t="shared" si="12"/>
        <v>2.8815706143128561</v>
      </c>
    </row>
    <row r="57" spans="1:60" ht="38.1" customHeight="1" x14ac:dyDescent="0.25">
      <c r="A57" s="11">
        <v>4</v>
      </c>
      <c r="B57" s="11">
        <v>7</v>
      </c>
      <c r="C57" s="11">
        <v>7</v>
      </c>
      <c r="D57" s="11">
        <v>3</v>
      </c>
      <c r="E57" s="11" t="s">
        <v>82</v>
      </c>
      <c r="F57" s="74" t="s">
        <v>83</v>
      </c>
      <c r="G57" s="12">
        <v>61</v>
      </c>
      <c r="I57" s="76">
        <v>2</v>
      </c>
      <c r="J57" s="76">
        <v>8</v>
      </c>
      <c r="K57" s="46"/>
      <c r="L57" s="11" t="s">
        <v>53</v>
      </c>
      <c r="M57" s="11"/>
      <c r="N57" s="11"/>
      <c r="O57" s="11" t="s">
        <v>53</v>
      </c>
      <c r="P57" s="11">
        <v>42</v>
      </c>
      <c r="Q57" s="77">
        <f t="shared" si="16"/>
        <v>358.97435897435895</v>
      </c>
      <c r="R57" s="11" t="s">
        <v>53</v>
      </c>
      <c r="S57" s="11">
        <v>75</v>
      </c>
      <c r="T57" s="11"/>
      <c r="U57" s="11"/>
      <c r="V57" s="11"/>
      <c r="W57" s="11">
        <v>19</v>
      </c>
      <c r="X57" s="11"/>
      <c r="Y57" s="11">
        <v>2</v>
      </c>
      <c r="Z57" s="82"/>
      <c r="AA57" s="27">
        <v>2.2050000000000001</v>
      </c>
      <c r="AB57" s="27">
        <v>105.13</v>
      </c>
      <c r="AC57" s="27">
        <v>89</v>
      </c>
      <c r="AD57" s="27">
        <v>1.5940000000000001</v>
      </c>
      <c r="AE57" s="27"/>
      <c r="AF57" s="27">
        <v>107.35</v>
      </c>
      <c r="AG57" s="27">
        <v>91.5</v>
      </c>
      <c r="AH57" s="27"/>
      <c r="AI57" s="27"/>
      <c r="AJ57" s="27">
        <v>106.31</v>
      </c>
      <c r="AK57" s="27">
        <v>106.99</v>
      </c>
      <c r="AL57" s="27">
        <v>1.5</v>
      </c>
      <c r="AM57" s="27">
        <v>1.59</v>
      </c>
      <c r="AN57" s="27"/>
      <c r="AO57" s="83"/>
      <c r="AP57" s="79"/>
      <c r="AQ57" s="80">
        <v>4.4000000000000004</v>
      </c>
      <c r="AR57" s="80">
        <v>0.79500000000000004</v>
      </c>
      <c r="AS57" s="80">
        <v>0.62549999999999994</v>
      </c>
      <c r="AT57" s="79"/>
      <c r="AU57" s="18">
        <f t="shared" si="1"/>
        <v>85.235211923614358</v>
      </c>
      <c r="AV57" s="18" t="e">
        <f t="shared" si="2"/>
        <v>#DIV/0!</v>
      </c>
      <c r="AW57" s="18">
        <f t="shared" si="14"/>
        <v>2.1253333333333337</v>
      </c>
      <c r="AX57" s="18">
        <f t="shared" si="14"/>
        <v>0</v>
      </c>
      <c r="AY57" s="18">
        <f t="shared" si="15"/>
        <v>1.8115323707498843</v>
      </c>
      <c r="AZ57" s="18" t="e">
        <f t="shared" si="15"/>
        <v>#DIV/0!</v>
      </c>
      <c r="BA57" s="18">
        <f t="shared" si="5"/>
        <v>30.9</v>
      </c>
      <c r="BB57" s="18" t="e">
        <f t="shared" si="6"/>
        <v>#DIV/0!</v>
      </c>
      <c r="BC57" s="11">
        <f t="shared" si="7"/>
        <v>42.329974999999997</v>
      </c>
      <c r="BD57" s="22">
        <f t="shared" si="8"/>
        <v>5.8666666666666671</v>
      </c>
      <c r="BE57" s="22">
        <f t="shared" si="9"/>
        <v>4.615849056603774</v>
      </c>
      <c r="BF57" s="22">
        <f t="shared" si="10"/>
        <v>78.679245283018858</v>
      </c>
      <c r="BG57" s="22">
        <f t="shared" si="11"/>
        <v>21.320754716981142</v>
      </c>
      <c r="BH57" s="22">
        <f t="shared" si="12"/>
        <v>2.7603513174404011</v>
      </c>
    </row>
    <row r="58" spans="1:60" ht="38.1" customHeight="1" x14ac:dyDescent="0.25">
      <c r="A58" s="11">
        <v>1</v>
      </c>
      <c r="B58" s="11">
        <v>1</v>
      </c>
      <c r="C58" s="11">
        <v>8</v>
      </c>
      <c r="D58" s="11">
        <v>18</v>
      </c>
      <c r="E58" s="11" t="s">
        <v>80</v>
      </c>
      <c r="F58" s="74" t="s">
        <v>81</v>
      </c>
      <c r="G58" s="12">
        <v>8</v>
      </c>
      <c r="H58" s="90"/>
      <c r="I58" s="76">
        <v>6</v>
      </c>
      <c r="J58" s="76">
        <v>7</v>
      </c>
      <c r="K58" s="11"/>
      <c r="L58" s="11"/>
      <c r="M58" s="11"/>
      <c r="N58" s="11"/>
      <c r="O58" s="11"/>
      <c r="P58" s="11">
        <v>17</v>
      </c>
      <c r="Q58" s="77">
        <f t="shared" si="16"/>
        <v>145.29914529914529</v>
      </c>
      <c r="R58" s="11">
        <v>60</v>
      </c>
      <c r="S58" s="11">
        <v>65</v>
      </c>
      <c r="T58" s="11"/>
      <c r="U58" s="11"/>
      <c r="V58" s="11"/>
      <c r="W58" s="11">
        <v>19</v>
      </c>
      <c r="X58" s="11">
        <v>20</v>
      </c>
      <c r="Y58" s="11">
        <v>6</v>
      </c>
      <c r="Z58" s="82"/>
      <c r="AA58" s="27">
        <v>1.2529999999999999</v>
      </c>
      <c r="AB58" s="27">
        <v>99.92</v>
      </c>
      <c r="AC58" s="27">
        <v>76.8</v>
      </c>
      <c r="AD58" s="27">
        <v>0.32200000000000001</v>
      </c>
      <c r="AE58" s="27">
        <v>0.31900000000000001</v>
      </c>
      <c r="AF58" s="27">
        <v>109.9</v>
      </c>
      <c r="AG58" s="27">
        <v>91.2</v>
      </c>
      <c r="AH58" s="27">
        <v>102.99</v>
      </c>
      <c r="AI58" s="27">
        <v>79.400000000000006</v>
      </c>
      <c r="AJ58" s="27"/>
      <c r="AK58" s="27"/>
      <c r="AL58" s="27">
        <v>1.62</v>
      </c>
      <c r="AM58" s="27">
        <v>1.64</v>
      </c>
      <c r="AN58" s="27">
        <v>9.85</v>
      </c>
      <c r="AO58" s="83">
        <v>9.73</v>
      </c>
      <c r="AP58" s="79"/>
      <c r="AQ58" s="80">
        <v>4.3499999999999996</v>
      </c>
      <c r="AR58" s="80">
        <v>1.2070000000000001</v>
      </c>
      <c r="AS58" s="80">
        <v>0.64639999999999997</v>
      </c>
      <c r="AT58" s="79"/>
      <c r="AU58" s="18">
        <f t="shared" si="1"/>
        <v>82.984531392174702</v>
      </c>
      <c r="AV58" s="18">
        <f t="shared" si="2"/>
        <v>77.094863578988253</v>
      </c>
      <c r="AW58" s="18">
        <f t="shared" si="14"/>
        <v>0.42933333333333334</v>
      </c>
      <c r="AX58" s="18">
        <f t="shared" si="14"/>
        <v>0.42533333333333334</v>
      </c>
      <c r="AY58" s="18">
        <f t="shared" si="15"/>
        <v>0.35628025477707004</v>
      </c>
      <c r="AZ58" s="18">
        <f t="shared" si="15"/>
        <v>0.32791015308929666</v>
      </c>
      <c r="BA58" s="18">
        <f t="shared" si="5"/>
        <v>32.599999999999994</v>
      </c>
      <c r="BB58" s="18">
        <f t="shared" si="6"/>
        <v>195.79999999999998</v>
      </c>
      <c r="BC58" s="11" t="e">
        <f t="shared" si="7"/>
        <v>#DIV/0!</v>
      </c>
      <c r="BD58" s="22">
        <f t="shared" si="8"/>
        <v>5.8</v>
      </c>
      <c r="BE58" s="22">
        <f t="shared" si="9"/>
        <v>3.1061474730737362</v>
      </c>
      <c r="BF58" s="22">
        <f t="shared" si="10"/>
        <v>53.554266777133385</v>
      </c>
      <c r="BG58" s="22">
        <f t="shared" si="11"/>
        <v>46.445733222866615</v>
      </c>
      <c r="BH58" s="22">
        <f t="shared" si="12"/>
        <v>13.509316770186334</v>
      </c>
    </row>
    <row r="59" spans="1:60" ht="38.1" customHeight="1" x14ac:dyDescent="0.25">
      <c r="A59" s="11">
        <v>2</v>
      </c>
      <c r="B59" s="11">
        <v>3</v>
      </c>
      <c r="C59" s="11">
        <v>8</v>
      </c>
      <c r="D59" s="11">
        <v>18</v>
      </c>
      <c r="E59" s="11" t="s">
        <v>80</v>
      </c>
      <c r="F59" s="74" t="s">
        <v>81</v>
      </c>
      <c r="G59" s="12">
        <v>26</v>
      </c>
      <c r="I59" s="76">
        <v>6</v>
      </c>
      <c r="J59" s="76">
        <v>8</v>
      </c>
      <c r="K59" s="46"/>
      <c r="L59" s="11"/>
      <c r="M59" s="11"/>
      <c r="N59" s="11"/>
      <c r="O59" s="11"/>
      <c r="P59" s="11">
        <v>20</v>
      </c>
      <c r="Q59" s="77">
        <f t="shared" si="16"/>
        <v>170.94017094017093</v>
      </c>
      <c r="R59" s="11">
        <v>60</v>
      </c>
      <c r="S59" s="11">
        <v>75</v>
      </c>
      <c r="T59" s="11"/>
      <c r="U59" s="11"/>
      <c r="V59" s="11"/>
      <c r="W59" s="11">
        <v>19</v>
      </c>
      <c r="X59" s="11">
        <v>20</v>
      </c>
      <c r="Y59" s="11">
        <v>8</v>
      </c>
      <c r="Z59" s="82"/>
      <c r="AA59" s="27">
        <v>1.3440000000000001</v>
      </c>
      <c r="AB59" s="27">
        <v>100.91</v>
      </c>
      <c r="AC59" s="27">
        <v>79.400000000000006</v>
      </c>
      <c r="AD59" s="27">
        <v>0.28299999999999997</v>
      </c>
      <c r="AE59" s="27">
        <v>0.32200000000000001</v>
      </c>
      <c r="AF59" s="27">
        <v>110.36</v>
      </c>
      <c r="AG59" s="27">
        <v>92.2</v>
      </c>
      <c r="AH59" s="27">
        <v>111.03</v>
      </c>
      <c r="AI59" s="27">
        <v>87.2</v>
      </c>
      <c r="AJ59" s="27"/>
      <c r="AK59" s="27"/>
      <c r="AL59" s="27">
        <v>1.64</v>
      </c>
      <c r="AM59" s="27">
        <v>1.55</v>
      </c>
      <c r="AN59" s="27">
        <v>8.92</v>
      </c>
      <c r="AO59" s="83">
        <v>9.07</v>
      </c>
      <c r="AP59" s="79"/>
      <c r="AQ59" s="80">
        <v>6.6</v>
      </c>
      <c r="AR59" s="80">
        <v>1.2070000000000001</v>
      </c>
      <c r="AS59" s="80">
        <v>0.64639999999999997</v>
      </c>
      <c r="AT59" s="79"/>
      <c r="AU59" s="18">
        <f t="shared" si="1"/>
        <v>83.544762595143169</v>
      </c>
      <c r="AV59" s="18">
        <f t="shared" si="2"/>
        <v>78.53733225254436</v>
      </c>
      <c r="AW59" s="18">
        <f t="shared" si="14"/>
        <v>0.3773333333333333</v>
      </c>
      <c r="AX59" s="18">
        <f t="shared" si="14"/>
        <v>0.42933333333333334</v>
      </c>
      <c r="AY59" s="18">
        <f t="shared" si="15"/>
        <v>0.31524223752567354</v>
      </c>
      <c r="AZ59" s="18">
        <f t="shared" si="15"/>
        <v>0.33718694647092379</v>
      </c>
      <c r="BA59" s="18">
        <f t="shared" si="5"/>
        <v>31.9</v>
      </c>
      <c r="BB59" s="18">
        <f t="shared" si="6"/>
        <v>179.90000000000003</v>
      </c>
      <c r="BC59" s="11" t="e">
        <f t="shared" si="7"/>
        <v>#DIV/0!</v>
      </c>
      <c r="BD59" s="22">
        <f t="shared" si="8"/>
        <v>8.8000000000000007</v>
      </c>
      <c r="BE59" s="22">
        <f t="shared" si="9"/>
        <v>4.7127754763877387</v>
      </c>
      <c r="BF59" s="22">
        <f t="shared" si="10"/>
        <v>53.554266777133385</v>
      </c>
      <c r="BG59" s="22">
        <f t="shared" si="11"/>
        <v>46.445733222866615</v>
      </c>
      <c r="BH59" s="22">
        <f t="shared" si="12"/>
        <v>23.321554770318023</v>
      </c>
    </row>
    <row r="60" spans="1:60" ht="38.1" customHeight="1" x14ac:dyDescent="0.25">
      <c r="A60" s="11">
        <v>3</v>
      </c>
      <c r="B60" s="11">
        <v>6</v>
      </c>
      <c r="C60" s="11">
        <v>8</v>
      </c>
      <c r="D60" s="11">
        <v>18</v>
      </c>
      <c r="E60" s="11" t="s">
        <v>80</v>
      </c>
      <c r="F60" s="74" t="s">
        <v>81</v>
      </c>
      <c r="G60" s="12">
        <v>47</v>
      </c>
      <c r="I60" s="76">
        <v>6</v>
      </c>
      <c r="J60" s="76">
        <v>7</v>
      </c>
      <c r="K60" s="46"/>
      <c r="L60" s="11"/>
      <c r="M60" s="11"/>
      <c r="N60" s="11"/>
      <c r="O60" s="11"/>
      <c r="P60" s="11">
        <v>16</v>
      </c>
      <c r="Q60" s="77">
        <f t="shared" si="16"/>
        <v>136.75213675213675</v>
      </c>
      <c r="R60" s="11">
        <v>60</v>
      </c>
      <c r="S60" s="11">
        <v>75</v>
      </c>
      <c r="T60" s="11"/>
      <c r="U60" s="11"/>
      <c r="V60" s="11"/>
      <c r="W60" s="11">
        <v>18</v>
      </c>
      <c r="X60" s="11">
        <v>20</v>
      </c>
      <c r="Y60" s="11">
        <v>8</v>
      </c>
      <c r="Z60" s="82"/>
      <c r="AA60" s="27">
        <v>1.6739999999999999</v>
      </c>
      <c r="AB60" s="27">
        <v>103.5</v>
      </c>
      <c r="AC60" s="27">
        <v>71.099999999999994</v>
      </c>
      <c r="AD60" s="27">
        <v>0.23499999999999999</v>
      </c>
      <c r="AE60" s="27">
        <v>0.435</v>
      </c>
      <c r="AF60" s="27">
        <v>111.43</v>
      </c>
      <c r="AG60" s="27">
        <v>92.8</v>
      </c>
      <c r="AH60" s="27">
        <v>99.02</v>
      </c>
      <c r="AI60" s="27">
        <v>73.2</v>
      </c>
      <c r="AJ60" s="27"/>
      <c r="AK60" s="27"/>
      <c r="AL60" s="27">
        <v>1.83</v>
      </c>
      <c r="AM60" s="27">
        <v>1.89</v>
      </c>
      <c r="AN60" s="27">
        <v>9.3800000000000008</v>
      </c>
      <c r="AO60" s="83">
        <v>9.08</v>
      </c>
      <c r="AP60" s="79"/>
      <c r="AQ60" s="80">
        <v>8.8000000000000007</v>
      </c>
      <c r="AR60" s="80">
        <v>1.2070000000000001</v>
      </c>
      <c r="AS60" s="80">
        <v>0.64639999999999997</v>
      </c>
      <c r="AT60" s="79"/>
      <c r="AU60" s="18">
        <f t="shared" si="1"/>
        <v>83.280983577133611</v>
      </c>
      <c r="AV60" s="18">
        <f t="shared" si="2"/>
        <v>73.924459705110081</v>
      </c>
      <c r="AW60" s="18">
        <f t="shared" si="14"/>
        <v>0.3133333333333333</v>
      </c>
      <c r="AX60" s="18">
        <f t="shared" si="14"/>
        <v>0.58000000000000007</v>
      </c>
      <c r="AY60" s="18">
        <f t="shared" si="15"/>
        <v>0.26094708187501864</v>
      </c>
      <c r="AZ60" s="18">
        <f t="shared" si="15"/>
        <v>0.42876186628963853</v>
      </c>
      <c r="BA60" s="18">
        <f t="shared" si="5"/>
        <v>37.199999999999996</v>
      </c>
      <c r="BB60" s="18">
        <f t="shared" si="6"/>
        <v>184.60000000000002</v>
      </c>
      <c r="BC60" s="11" t="e">
        <f t="shared" si="7"/>
        <v>#DIV/0!</v>
      </c>
      <c r="BD60" s="22">
        <f t="shared" si="8"/>
        <v>11.733333333333334</v>
      </c>
      <c r="BE60" s="22">
        <f t="shared" si="9"/>
        <v>6.2837006351836511</v>
      </c>
      <c r="BF60" s="22">
        <f t="shared" si="10"/>
        <v>53.554266777133385</v>
      </c>
      <c r="BG60" s="22">
        <f t="shared" si="11"/>
        <v>46.445733222866615</v>
      </c>
      <c r="BH60" s="22">
        <f t="shared" si="12"/>
        <v>37.446808510638306</v>
      </c>
    </row>
    <row r="61" spans="1:60" ht="38.1" customHeight="1" x14ac:dyDescent="0.25">
      <c r="A61" s="11">
        <v>4</v>
      </c>
      <c r="B61" s="11">
        <v>7</v>
      </c>
      <c r="C61" s="11">
        <v>3</v>
      </c>
      <c r="D61" s="11">
        <v>18</v>
      </c>
      <c r="E61" s="11" t="s">
        <v>80</v>
      </c>
      <c r="F61" s="74" t="s">
        <v>81</v>
      </c>
      <c r="G61" s="12">
        <v>57</v>
      </c>
      <c r="I61" s="76">
        <v>6</v>
      </c>
      <c r="J61" s="76">
        <v>9</v>
      </c>
      <c r="K61" s="46"/>
      <c r="L61" s="11"/>
      <c r="M61" s="11"/>
      <c r="N61" s="11"/>
      <c r="O61" s="11"/>
      <c r="P61" s="11">
        <v>8</v>
      </c>
      <c r="Q61" s="77">
        <f t="shared" si="16"/>
        <v>68.376068376068375</v>
      </c>
      <c r="R61" s="11">
        <v>65</v>
      </c>
      <c r="S61" s="11">
        <v>70</v>
      </c>
      <c r="T61" s="11"/>
      <c r="U61" s="11"/>
      <c r="V61" s="11"/>
      <c r="W61" s="11">
        <v>18</v>
      </c>
      <c r="X61" s="11">
        <v>21</v>
      </c>
      <c r="Y61" s="11">
        <v>5</v>
      </c>
      <c r="AA61" s="32">
        <v>1.8740000000000001</v>
      </c>
      <c r="AB61" s="32">
        <v>105.45</v>
      </c>
      <c r="AC61" s="32">
        <v>78.099999999999994</v>
      </c>
      <c r="AD61" s="32">
        <v>0.39400000000000002</v>
      </c>
      <c r="AE61" s="32">
        <v>0.624</v>
      </c>
      <c r="AF61" s="32">
        <v>108.29</v>
      </c>
      <c r="AG61" s="32">
        <v>90.2</v>
      </c>
      <c r="AH61" s="32">
        <v>102.9</v>
      </c>
      <c r="AI61" s="32">
        <v>78.3</v>
      </c>
      <c r="AJ61" s="32">
        <v>103.43</v>
      </c>
      <c r="AK61" s="32">
        <v>101.19</v>
      </c>
      <c r="AL61" s="32">
        <v>1.8</v>
      </c>
      <c r="AM61" s="32">
        <v>1.89</v>
      </c>
      <c r="AN61" s="32">
        <v>9.43</v>
      </c>
      <c r="AO61" s="85">
        <v>9.4499999999999993</v>
      </c>
      <c r="AP61" s="86"/>
      <c r="AQ61" s="80">
        <v>9.85</v>
      </c>
      <c r="AR61" s="80">
        <v>1.2070000000000001</v>
      </c>
      <c r="AS61" s="80">
        <v>0.64639999999999997</v>
      </c>
      <c r="AT61" s="86"/>
      <c r="AU61" s="18">
        <f t="shared" si="1"/>
        <v>83.294856404100102</v>
      </c>
      <c r="AV61" s="18">
        <f t="shared" si="2"/>
        <v>76.093294460641388</v>
      </c>
      <c r="AW61" s="18">
        <f t="shared" si="14"/>
        <v>0.52533333333333332</v>
      </c>
      <c r="AX61" s="18">
        <f t="shared" si="14"/>
        <v>0.83199999999999996</v>
      </c>
      <c r="AY61" s="18">
        <f t="shared" si="15"/>
        <v>0.43757564564287255</v>
      </c>
      <c r="AZ61" s="18">
        <f t="shared" si="15"/>
        <v>0.63309620991253635</v>
      </c>
      <c r="BA61" s="18">
        <f t="shared" si="5"/>
        <v>36.9</v>
      </c>
      <c r="BB61" s="18">
        <f t="shared" si="6"/>
        <v>188.79999999999998</v>
      </c>
      <c r="BC61" s="11">
        <f t="shared" si="7"/>
        <v>40.552744999999994</v>
      </c>
      <c r="BD61" s="22">
        <f t="shared" si="8"/>
        <v>13.133333333333333</v>
      </c>
      <c r="BE61" s="22">
        <f t="shared" si="9"/>
        <v>7.0334603700635174</v>
      </c>
      <c r="BF61" s="22">
        <f t="shared" si="10"/>
        <v>53.554266777133385</v>
      </c>
      <c r="BG61" s="22">
        <f t="shared" si="11"/>
        <v>46.445733222866615</v>
      </c>
      <c r="BH61" s="22">
        <f t="shared" si="12"/>
        <v>25</v>
      </c>
    </row>
    <row r="62" spans="1:60" ht="38.1" customHeight="1" x14ac:dyDescent="0.25">
      <c r="A62" s="11">
        <v>1</v>
      </c>
      <c r="B62" s="11">
        <v>2</v>
      </c>
      <c r="C62" s="11">
        <v>5</v>
      </c>
      <c r="D62" s="11">
        <v>16</v>
      </c>
      <c r="E62" s="11" t="s">
        <v>49</v>
      </c>
      <c r="F62" s="74" t="s">
        <v>50</v>
      </c>
      <c r="G62" s="12">
        <v>14</v>
      </c>
      <c r="H62" s="90"/>
      <c r="I62" s="76">
        <v>7</v>
      </c>
      <c r="J62" s="76">
        <v>8</v>
      </c>
      <c r="K62" s="11"/>
      <c r="L62" s="11"/>
      <c r="M62" s="11"/>
      <c r="N62" s="11"/>
      <c r="O62" s="11"/>
      <c r="P62" s="11">
        <v>22</v>
      </c>
      <c r="Q62" s="77">
        <f t="shared" si="16"/>
        <v>188.03418803418802</v>
      </c>
      <c r="R62" s="11">
        <v>60</v>
      </c>
      <c r="S62" s="11">
        <v>70</v>
      </c>
      <c r="T62" s="11"/>
      <c r="U62" s="11"/>
      <c r="V62" s="11"/>
      <c r="W62" s="11">
        <v>19</v>
      </c>
      <c r="X62" s="11">
        <v>20</v>
      </c>
      <c r="Y62" s="11">
        <v>2</v>
      </c>
      <c r="Z62" s="82"/>
      <c r="AA62" s="27">
        <v>1.744</v>
      </c>
      <c r="AB62" s="27">
        <v>104.47</v>
      </c>
      <c r="AC62" s="27">
        <v>83.3</v>
      </c>
      <c r="AD62" s="27">
        <v>0.32200000000000001</v>
      </c>
      <c r="AE62" s="27">
        <v>0.65900000000000003</v>
      </c>
      <c r="AF62" s="27">
        <v>112.74</v>
      </c>
      <c r="AG62" s="27">
        <v>94.7</v>
      </c>
      <c r="AH62" s="27">
        <v>103.65</v>
      </c>
      <c r="AI62" s="27">
        <v>83.5</v>
      </c>
      <c r="AJ62" s="27"/>
      <c r="AK62" s="27"/>
      <c r="AL62" s="27">
        <v>1.61</v>
      </c>
      <c r="AM62" s="27">
        <v>1.67</v>
      </c>
      <c r="AN62" s="27">
        <v>8.6</v>
      </c>
      <c r="AO62" s="83">
        <v>8.94</v>
      </c>
      <c r="AP62" s="79"/>
      <c r="AQ62" s="80">
        <v>5.85</v>
      </c>
      <c r="AR62" s="80">
        <v>0.96299999999999997</v>
      </c>
      <c r="AS62" s="80">
        <v>0.52170000000000005</v>
      </c>
      <c r="AT62" s="79"/>
      <c r="AU62" s="18">
        <f t="shared" si="1"/>
        <v>83.998580805392947</v>
      </c>
      <c r="AV62" s="18">
        <f t="shared" si="2"/>
        <v>80.559575494452488</v>
      </c>
      <c r="AW62" s="18">
        <f t="shared" si="14"/>
        <v>0.42933333333333334</v>
      </c>
      <c r="AX62" s="18">
        <f t="shared" si="14"/>
        <v>0.87866666666666671</v>
      </c>
      <c r="AY62" s="18">
        <f t="shared" si="15"/>
        <v>0.3606339069244871</v>
      </c>
      <c r="AZ62" s="18">
        <f t="shared" si="15"/>
        <v>0.70785013667792251</v>
      </c>
      <c r="BA62" s="18">
        <f t="shared" si="5"/>
        <v>32.800000000000004</v>
      </c>
      <c r="BB62" s="18">
        <f t="shared" si="6"/>
        <v>175.39999999999998</v>
      </c>
      <c r="BC62" s="11" t="e">
        <f t="shared" si="7"/>
        <v>#DIV/0!</v>
      </c>
      <c r="BD62" s="22">
        <f t="shared" si="8"/>
        <v>7.7999999999999989</v>
      </c>
      <c r="BE62" s="22">
        <f t="shared" si="9"/>
        <v>4.2256074766355143</v>
      </c>
      <c r="BF62" s="22">
        <f t="shared" si="10"/>
        <v>54.174454828660444</v>
      </c>
      <c r="BG62" s="22">
        <f t="shared" si="11"/>
        <v>45.825545171339556</v>
      </c>
      <c r="BH62" s="22">
        <f t="shared" si="12"/>
        <v>18.167701863354033</v>
      </c>
    </row>
    <row r="63" spans="1:60" ht="38.1" customHeight="1" x14ac:dyDescent="0.25">
      <c r="A63" s="11">
        <v>2</v>
      </c>
      <c r="B63" s="11">
        <v>4</v>
      </c>
      <c r="C63" s="11">
        <v>9</v>
      </c>
      <c r="D63" s="11">
        <v>16</v>
      </c>
      <c r="E63" s="11" t="s">
        <v>49</v>
      </c>
      <c r="F63" s="74" t="s">
        <v>50</v>
      </c>
      <c r="G63" s="12">
        <v>28</v>
      </c>
      <c r="I63" s="76">
        <v>6</v>
      </c>
      <c r="J63" s="76">
        <v>7</v>
      </c>
      <c r="K63" s="46"/>
      <c r="L63" s="11"/>
      <c r="M63" s="11"/>
      <c r="N63" s="11"/>
      <c r="O63" s="11"/>
      <c r="P63" s="11">
        <v>14</v>
      </c>
      <c r="Q63" s="77">
        <f t="shared" si="16"/>
        <v>119.65811965811965</v>
      </c>
      <c r="R63" s="11">
        <v>60</v>
      </c>
      <c r="S63" s="11">
        <v>60</v>
      </c>
      <c r="T63" s="11"/>
      <c r="U63" s="11"/>
      <c r="V63" s="11"/>
      <c r="W63" s="11">
        <v>19</v>
      </c>
      <c r="X63" s="11">
        <v>20</v>
      </c>
      <c r="Y63" s="11">
        <v>9</v>
      </c>
      <c r="Z63" s="82"/>
      <c r="AA63" s="27">
        <v>1.1299999999999999</v>
      </c>
      <c r="AB63" s="27">
        <v>103.86</v>
      </c>
      <c r="AC63" s="27">
        <v>82.7</v>
      </c>
      <c r="AD63" s="27">
        <v>0.13200000000000001</v>
      </c>
      <c r="AE63" s="27">
        <v>0.28199999999999997</v>
      </c>
      <c r="AF63" s="27">
        <v>87.4</v>
      </c>
      <c r="AG63" s="27">
        <v>73.7</v>
      </c>
      <c r="AH63" s="27">
        <v>102.92</v>
      </c>
      <c r="AI63" s="27">
        <v>79.7</v>
      </c>
      <c r="AJ63" s="27"/>
      <c r="AK63" s="27"/>
      <c r="AL63" s="27">
        <v>1.79</v>
      </c>
      <c r="AM63" s="27">
        <v>1.68</v>
      </c>
      <c r="AN63" s="27">
        <v>7.38</v>
      </c>
      <c r="AO63" s="83">
        <v>7.33</v>
      </c>
      <c r="AP63" s="79"/>
      <c r="AQ63" s="80">
        <v>7.35</v>
      </c>
      <c r="AR63" s="80">
        <v>0.96299999999999997</v>
      </c>
      <c r="AS63" s="80">
        <v>0.52170000000000005</v>
      </c>
      <c r="AT63" s="79"/>
      <c r="AU63" s="18">
        <f t="shared" si="1"/>
        <v>84.324942791762012</v>
      </c>
      <c r="AV63" s="18">
        <f t="shared" si="2"/>
        <v>77.438787407695301</v>
      </c>
      <c r="AW63" s="18">
        <f t="shared" si="14"/>
        <v>0.17600000000000002</v>
      </c>
      <c r="AX63" s="18">
        <f t="shared" si="14"/>
        <v>0.37599999999999995</v>
      </c>
      <c r="AY63" s="18">
        <f t="shared" si="15"/>
        <v>0.14841189931350116</v>
      </c>
      <c r="AZ63" s="18">
        <f t="shared" si="15"/>
        <v>0.29116984065293428</v>
      </c>
      <c r="BA63" s="18">
        <f t="shared" si="5"/>
        <v>34.699999999999996</v>
      </c>
      <c r="BB63" s="18">
        <f t="shared" si="6"/>
        <v>147.10000000000002</v>
      </c>
      <c r="BC63" s="11" t="e">
        <f t="shared" si="7"/>
        <v>#DIV/0!</v>
      </c>
      <c r="BD63" s="22">
        <f t="shared" si="8"/>
        <v>9.8000000000000007</v>
      </c>
      <c r="BE63" s="22">
        <f t="shared" si="9"/>
        <v>5.3090965732087243</v>
      </c>
      <c r="BF63" s="22">
        <f t="shared" si="10"/>
        <v>54.174454828660444</v>
      </c>
      <c r="BG63" s="22">
        <f t="shared" si="11"/>
        <v>45.825545171339556</v>
      </c>
      <c r="BH63" s="22">
        <f t="shared" si="12"/>
        <v>55.68181818181818</v>
      </c>
    </row>
    <row r="64" spans="1:60" ht="38.1" customHeight="1" x14ac:dyDescent="0.25">
      <c r="A64" s="11">
        <v>3</v>
      </c>
      <c r="B64" s="11">
        <v>5</v>
      </c>
      <c r="C64" s="11">
        <v>1</v>
      </c>
      <c r="D64" s="11">
        <v>16</v>
      </c>
      <c r="E64" s="11" t="s">
        <v>49</v>
      </c>
      <c r="F64" s="74" t="s">
        <v>50</v>
      </c>
      <c r="G64" s="12">
        <v>37</v>
      </c>
      <c r="I64" s="76">
        <v>5</v>
      </c>
      <c r="J64" s="76">
        <v>9</v>
      </c>
      <c r="K64" s="46"/>
      <c r="L64" s="11"/>
      <c r="M64" s="11"/>
      <c r="N64" s="11"/>
      <c r="O64" s="11"/>
      <c r="P64" s="11">
        <v>13</v>
      </c>
      <c r="Q64" s="77">
        <f t="shared" si="16"/>
        <v>111.1111111111111</v>
      </c>
      <c r="R64" s="11">
        <v>65</v>
      </c>
      <c r="S64" s="11">
        <v>70</v>
      </c>
      <c r="T64" s="11"/>
      <c r="U64" s="11"/>
      <c r="V64" s="11"/>
      <c r="W64" s="11">
        <v>18</v>
      </c>
      <c r="X64" s="11">
        <v>21</v>
      </c>
      <c r="Y64" s="11">
        <v>9</v>
      </c>
      <c r="Z64" s="82"/>
      <c r="AA64" s="27">
        <v>0.72699999999999998</v>
      </c>
      <c r="AB64" s="27">
        <v>105.3</v>
      </c>
      <c r="AC64" s="27">
        <v>79.5</v>
      </c>
      <c r="AD64" s="27">
        <v>2.7E-2</v>
      </c>
      <c r="AE64" s="27">
        <v>0.19</v>
      </c>
      <c r="AF64" s="27"/>
      <c r="AG64" s="27"/>
      <c r="AH64" s="27">
        <v>51.96</v>
      </c>
      <c r="AI64" s="27">
        <v>41.3</v>
      </c>
      <c r="AJ64" s="27"/>
      <c r="AK64" s="27"/>
      <c r="AL64" s="27"/>
      <c r="AM64" s="27"/>
      <c r="AN64" s="27">
        <v>7.3</v>
      </c>
      <c r="AO64" s="83">
        <v>7.25</v>
      </c>
      <c r="AP64" s="79"/>
      <c r="AQ64" s="80">
        <v>5.85</v>
      </c>
      <c r="AR64" s="80">
        <v>0.96299999999999997</v>
      </c>
      <c r="AS64" s="80">
        <v>0.52170000000000005</v>
      </c>
      <c r="AT64" s="79"/>
      <c r="AU64" s="18" t="e">
        <f t="shared" si="1"/>
        <v>#DIV/0!</v>
      </c>
      <c r="AV64" s="18">
        <f t="shared" si="2"/>
        <v>79.484218629715158</v>
      </c>
      <c r="AW64" s="18">
        <f t="shared" si="14"/>
        <v>3.5999999999999997E-2</v>
      </c>
      <c r="AX64" s="18">
        <f t="shared" si="14"/>
        <v>0.2533333333333333</v>
      </c>
      <c r="AY64" s="18" t="e">
        <f t="shared" si="15"/>
        <v>#DIV/0!</v>
      </c>
      <c r="AZ64" s="18">
        <f t="shared" si="15"/>
        <v>0.20136002052861168</v>
      </c>
      <c r="BA64" s="18" t="e">
        <f t="shared" si="5"/>
        <v>#DIV/0!</v>
      </c>
      <c r="BB64" s="18">
        <f t="shared" si="6"/>
        <v>145.5</v>
      </c>
      <c r="BC64" s="11" t="e">
        <f t="shared" si="7"/>
        <v>#DIV/0!</v>
      </c>
      <c r="BD64" s="22">
        <f t="shared" si="8"/>
        <v>7.7999999999999989</v>
      </c>
      <c r="BE64" s="22">
        <f t="shared" si="9"/>
        <v>4.2256074766355143</v>
      </c>
      <c r="BF64" s="22">
        <f t="shared" si="10"/>
        <v>54.174454828660444</v>
      </c>
      <c r="BG64" s="22">
        <f t="shared" si="11"/>
        <v>45.825545171339556</v>
      </c>
      <c r="BH64" s="22">
        <f t="shared" si="12"/>
        <v>216.66666666666666</v>
      </c>
    </row>
    <row r="65" spans="1:60" ht="38.1" customHeight="1" x14ac:dyDescent="0.25">
      <c r="A65" s="11">
        <v>4</v>
      </c>
      <c r="B65" s="11">
        <v>8</v>
      </c>
      <c r="C65" s="11">
        <v>4</v>
      </c>
      <c r="D65" s="11">
        <v>16</v>
      </c>
      <c r="E65" s="11" t="s">
        <v>49</v>
      </c>
      <c r="F65" s="74" t="s">
        <v>50</v>
      </c>
      <c r="G65" s="12">
        <v>69</v>
      </c>
      <c r="H65" s="89"/>
      <c r="I65" s="76">
        <v>4</v>
      </c>
      <c r="J65" s="76">
        <v>8</v>
      </c>
      <c r="K65" s="46"/>
      <c r="L65" s="11"/>
      <c r="M65" s="11"/>
      <c r="N65" s="11"/>
      <c r="O65" s="11"/>
      <c r="P65" s="11">
        <v>18</v>
      </c>
      <c r="Q65" s="77">
        <f t="shared" si="16"/>
        <v>153.84615384615384</v>
      </c>
      <c r="R65" s="11">
        <v>65</v>
      </c>
      <c r="S65" s="11">
        <v>70</v>
      </c>
      <c r="T65" s="11"/>
      <c r="U65" s="11"/>
      <c r="V65" s="11"/>
      <c r="W65" s="11">
        <v>19</v>
      </c>
      <c r="X65" s="11">
        <v>21</v>
      </c>
      <c r="Y65" s="11">
        <v>8</v>
      </c>
      <c r="Z65" s="82"/>
      <c r="AA65" s="27">
        <v>1.522</v>
      </c>
      <c r="AB65" s="27">
        <v>103.28</v>
      </c>
      <c r="AC65" s="27">
        <v>80.900000000000006</v>
      </c>
      <c r="AD65" s="27">
        <v>0.26400000000000001</v>
      </c>
      <c r="AE65" s="27">
        <v>0.58099999999999996</v>
      </c>
      <c r="AF65" s="27">
        <v>107.68</v>
      </c>
      <c r="AG65" s="27">
        <v>90</v>
      </c>
      <c r="AH65" s="27">
        <v>100.53</v>
      </c>
      <c r="AI65" s="27">
        <v>79.5</v>
      </c>
      <c r="AJ65" s="27"/>
      <c r="AK65" s="27"/>
      <c r="AL65" s="27">
        <v>1.76</v>
      </c>
      <c r="AM65" s="27">
        <v>1.76</v>
      </c>
      <c r="AN65" s="27">
        <v>7.97</v>
      </c>
      <c r="AO65" s="83">
        <v>8.4700000000000006</v>
      </c>
      <c r="AP65" s="79"/>
      <c r="AQ65" s="80">
        <v>6.05</v>
      </c>
      <c r="AR65" s="80">
        <v>0.96299999999999997</v>
      </c>
      <c r="AS65" s="80">
        <v>0.52170000000000005</v>
      </c>
      <c r="AT65" s="79"/>
      <c r="AU65" s="18">
        <f t="shared" si="1"/>
        <v>83.580980683506681</v>
      </c>
      <c r="AV65" s="18">
        <f t="shared" si="2"/>
        <v>79.080871381677113</v>
      </c>
      <c r="AW65" s="18">
        <f t="shared" si="14"/>
        <v>0.35200000000000004</v>
      </c>
      <c r="AX65" s="18">
        <f t="shared" si="14"/>
        <v>0.77466666666666661</v>
      </c>
      <c r="AY65" s="18">
        <f t="shared" si="15"/>
        <v>0.29420505200594355</v>
      </c>
      <c r="AZ65" s="18">
        <f t="shared" si="15"/>
        <v>0.61261315030339192</v>
      </c>
      <c r="BA65" s="18">
        <f t="shared" si="5"/>
        <v>35.200000000000003</v>
      </c>
      <c r="BB65" s="18">
        <f t="shared" si="6"/>
        <v>164.4</v>
      </c>
      <c r="BC65" s="11" t="e">
        <f t="shared" si="7"/>
        <v>#DIV/0!</v>
      </c>
      <c r="BD65" s="22">
        <f t="shared" si="8"/>
        <v>8.0666666666666664</v>
      </c>
      <c r="BE65" s="22">
        <f t="shared" si="9"/>
        <v>4.3700726895119422</v>
      </c>
      <c r="BF65" s="22">
        <f t="shared" si="10"/>
        <v>54.174454828660444</v>
      </c>
      <c r="BG65" s="22">
        <f t="shared" si="11"/>
        <v>45.825545171339556</v>
      </c>
      <c r="BH65" s="22">
        <f t="shared" si="12"/>
        <v>22.916666666666664</v>
      </c>
    </row>
    <row r="66" spans="1:60" s="30" customFormat="1" ht="38.1" customHeight="1" x14ac:dyDescent="0.25">
      <c r="A66" s="11">
        <v>1</v>
      </c>
      <c r="B66" s="11">
        <v>2</v>
      </c>
      <c r="C66" s="11">
        <v>7</v>
      </c>
      <c r="D66" s="11">
        <v>17</v>
      </c>
      <c r="E66" s="11" t="s">
        <v>60</v>
      </c>
      <c r="F66" s="74" t="s">
        <v>61</v>
      </c>
      <c r="G66" s="12">
        <v>12</v>
      </c>
      <c r="H66" s="74"/>
      <c r="I66" s="76">
        <v>6</v>
      </c>
      <c r="J66" s="76">
        <v>8</v>
      </c>
      <c r="K66" s="11"/>
      <c r="L66" s="11"/>
      <c r="M66" s="11"/>
      <c r="N66" s="11"/>
      <c r="O66" s="11"/>
      <c r="P66" s="11">
        <v>33</v>
      </c>
      <c r="Q66" s="77">
        <f t="shared" si="16"/>
        <v>282.05128205128204</v>
      </c>
      <c r="R66" s="11">
        <v>55</v>
      </c>
      <c r="S66" s="11">
        <v>65</v>
      </c>
      <c r="T66" s="11"/>
      <c r="U66" s="11"/>
      <c r="V66" s="11"/>
      <c r="W66" s="11">
        <v>20</v>
      </c>
      <c r="X66" s="11">
        <v>21</v>
      </c>
      <c r="Y66" s="11">
        <v>5</v>
      </c>
      <c r="Z66" s="82"/>
      <c r="AA66" s="27">
        <v>1.1100000000000001</v>
      </c>
      <c r="AB66" s="27">
        <v>103.08</v>
      </c>
      <c r="AC66" s="27">
        <v>76.8</v>
      </c>
      <c r="AD66" s="27">
        <v>0.20799999999999999</v>
      </c>
      <c r="AE66" s="27">
        <v>0.26300000000000001</v>
      </c>
      <c r="AF66" s="27">
        <v>130.11000000000001</v>
      </c>
      <c r="AG66" s="27">
        <v>107.7</v>
      </c>
      <c r="AH66" s="27">
        <v>101.19</v>
      </c>
      <c r="AI66" s="27">
        <v>79.2</v>
      </c>
      <c r="AJ66" s="27"/>
      <c r="AK66" s="27"/>
      <c r="AL66" s="27">
        <v>1.68</v>
      </c>
      <c r="AM66" s="27">
        <v>1.65</v>
      </c>
      <c r="AN66" s="27">
        <v>7.74</v>
      </c>
      <c r="AO66" s="83">
        <v>7.5</v>
      </c>
      <c r="AP66" s="79"/>
      <c r="AQ66" s="80">
        <v>7.1</v>
      </c>
      <c r="AR66" s="80">
        <v>1.127</v>
      </c>
      <c r="AS66" s="80">
        <v>0.63819999999999999</v>
      </c>
      <c r="AT66" s="79"/>
      <c r="AU66" s="18">
        <f t="shared" ref="AU66:AU73" si="17">AG66/AF66*100</f>
        <v>82.776112520175232</v>
      </c>
      <c r="AV66" s="18">
        <f t="shared" ref="AV66:AV73" si="18">AI66/AH66*100</f>
        <v>78.268603616958202</v>
      </c>
      <c r="AW66" s="18">
        <f t="shared" ref="AW66:AX73" si="19">AD66/(1.5*5)*10</f>
        <v>0.27733333333333332</v>
      </c>
      <c r="AX66" s="18">
        <f t="shared" si="19"/>
        <v>0.35066666666666668</v>
      </c>
      <c r="AY66" s="18">
        <f t="shared" ref="AY66:AZ73" si="20">AW66*(AU66/100)</f>
        <v>0.22956575205595262</v>
      </c>
      <c r="AZ66" s="18">
        <f t="shared" si="20"/>
        <v>0.27446190335013343</v>
      </c>
      <c r="BA66" s="18">
        <f t="shared" ref="BA66:BA73" si="21">(AVERAGE(AL66,AM66))*20</f>
        <v>33.299999999999997</v>
      </c>
      <c r="BB66" s="18">
        <f t="shared" ref="BB66:BB73" si="22">(AVERAGE(AN66,AO66))*20</f>
        <v>152.4</v>
      </c>
      <c r="BC66" s="11" t="e">
        <f t="shared" ref="BC66:BC74" si="23">0.4095*AVERAGE(AJ66:AK66)-1.3432</f>
        <v>#DIV/0!</v>
      </c>
      <c r="BD66" s="22">
        <f t="shared" ref="BD66:BD74" si="24">AQ66/(1.5*5)*10</f>
        <v>9.4666666666666668</v>
      </c>
      <c r="BE66" s="22">
        <f t="shared" si="9"/>
        <v>5.3608044957113279</v>
      </c>
      <c r="BF66" s="22">
        <f t="shared" si="10"/>
        <v>56.628216503992903</v>
      </c>
      <c r="BG66" s="22">
        <f t="shared" si="11"/>
        <v>43.371783496007097</v>
      </c>
      <c r="BH66" s="22">
        <f t="shared" si="12"/>
        <v>34.134615384615387</v>
      </c>
    </row>
    <row r="67" spans="1:60" s="30" customFormat="1" ht="38.1" customHeight="1" x14ac:dyDescent="0.25">
      <c r="A67" s="11">
        <v>2</v>
      </c>
      <c r="B67" s="11">
        <v>3</v>
      </c>
      <c r="C67" s="11">
        <v>3</v>
      </c>
      <c r="D67" s="11">
        <v>17</v>
      </c>
      <c r="E67" s="11" t="s">
        <v>60</v>
      </c>
      <c r="F67" s="74" t="s">
        <v>61</v>
      </c>
      <c r="G67" s="12">
        <v>21</v>
      </c>
      <c r="H67" s="81"/>
      <c r="I67" s="76">
        <v>4</v>
      </c>
      <c r="J67" s="76">
        <v>8</v>
      </c>
      <c r="K67" s="46"/>
      <c r="L67" s="11"/>
      <c r="M67" s="11"/>
      <c r="N67" s="11"/>
      <c r="O67" s="11"/>
      <c r="P67" s="11">
        <v>18</v>
      </c>
      <c r="Q67" s="77">
        <f t="shared" si="16"/>
        <v>153.84615384615384</v>
      </c>
      <c r="R67" s="11">
        <v>60</v>
      </c>
      <c r="S67" s="11">
        <v>65</v>
      </c>
      <c r="T67" s="11"/>
      <c r="U67" s="11"/>
      <c r="V67" s="11"/>
      <c r="W67" s="11">
        <v>19</v>
      </c>
      <c r="X67" s="11">
        <v>20</v>
      </c>
      <c r="Y67" s="11">
        <v>8</v>
      </c>
      <c r="Z67" s="82"/>
      <c r="AA67" s="27">
        <v>1.0920000000000001</v>
      </c>
      <c r="AB67" s="27">
        <v>104.05</v>
      </c>
      <c r="AC67" s="27">
        <v>74.7</v>
      </c>
      <c r="AD67" s="27">
        <v>0.154</v>
      </c>
      <c r="AE67" s="27">
        <v>0.19700000000000001</v>
      </c>
      <c r="AF67" s="27">
        <v>86.46</v>
      </c>
      <c r="AG67" s="27">
        <v>71.5</v>
      </c>
      <c r="AH67" s="27">
        <v>116.59</v>
      </c>
      <c r="AI67" s="27">
        <v>85.9</v>
      </c>
      <c r="AJ67" s="27"/>
      <c r="AK67" s="27"/>
      <c r="AL67" s="27">
        <v>1.65</v>
      </c>
      <c r="AM67" s="27">
        <v>1.68</v>
      </c>
      <c r="AN67" s="27">
        <v>8.11</v>
      </c>
      <c r="AO67" s="83">
        <v>8.11</v>
      </c>
      <c r="AP67" s="79"/>
      <c r="AQ67" s="80">
        <v>5.25</v>
      </c>
      <c r="AR67" s="80">
        <v>1.127</v>
      </c>
      <c r="AS67" s="80">
        <v>0.63819999999999999</v>
      </c>
      <c r="AT67" s="79"/>
      <c r="AU67" s="18">
        <f t="shared" si="17"/>
        <v>82.697201017811707</v>
      </c>
      <c r="AV67" s="18">
        <f t="shared" si="18"/>
        <v>73.676987734797152</v>
      </c>
      <c r="AW67" s="18">
        <f t="shared" si="19"/>
        <v>0.20533333333333334</v>
      </c>
      <c r="AX67" s="18">
        <f t="shared" si="19"/>
        <v>0.26266666666666666</v>
      </c>
      <c r="AY67" s="18">
        <f t="shared" si="20"/>
        <v>0.16980491942324005</v>
      </c>
      <c r="AZ67" s="18">
        <f t="shared" si="20"/>
        <v>0.19352488778340052</v>
      </c>
      <c r="BA67" s="18">
        <f t="shared" si="21"/>
        <v>33.299999999999997</v>
      </c>
      <c r="BB67" s="18">
        <f t="shared" si="22"/>
        <v>162.19999999999999</v>
      </c>
      <c r="BC67" s="11" t="e">
        <f t="shared" si="23"/>
        <v>#DIV/0!</v>
      </c>
      <c r="BD67" s="22">
        <f t="shared" si="24"/>
        <v>7</v>
      </c>
      <c r="BE67" s="22">
        <f t="shared" ref="BE67:BE75" si="25">BD67*(BF67/100)</f>
        <v>3.9639751552795031</v>
      </c>
      <c r="BF67" s="22">
        <f t="shared" ref="BF67:BF75" si="26">AS67/AR67*100</f>
        <v>56.628216503992903</v>
      </c>
      <c r="BG67" s="22">
        <f t="shared" ref="BG67:BG75" si="27">100-BF67</f>
        <v>43.371783496007097</v>
      </c>
      <c r="BH67" s="22">
        <f t="shared" ref="BH67:BH75" si="28">BD67/AW67</f>
        <v>34.090909090909086</v>
      </c>
    </row>
    <row r="68" spans="1:60" s="30" customFormat="1" ht="38.1" customHeight="1" x14ac:dyDescent="0.25">
      <c r="A68" s="11">
        <v>3</v>
      </c>
      <c r="B68" s="11">
        <v>5</v>
      </c>
      <c r="C68" s="11">
        <v>7</v>
      </c>
      <c r="D68" s="11">
        <v>17</v>
      </c>
      <c r="E68" s="11" t="s">
        <v>60</v>
      </c>
      <c r="F68" s="74" t="s">
        <v>61</v>
      </c>
      <c r="G68" s="12">
        <v>43</v>
      </c>
      <c r="H68" s="81"/>
      <c r="I68" s="76">
        <v>6</v>
      </c>
      <c r="J68" s="76">
        <v>8</v>
      </c>
      <c r="K68" s="46"/>
      <c r="L68" s="11"/>
      <c r="M68" s="11"/>
      <c r="N68" s="11"/>
      <c r="O68" s="11"/>
      <c r="P68" s="11">
        <v>24</v>
      </c>
      <c r="Q68" s="77">
        <f t="shared" si="16"/>
        <v>205.12820512820511</v>
      </c>
      <c r="R68" s="11">
        <v>55</v>
      </c>
      <c r="S68" s="11">
        <v>65</v>
      </c>
      <c r="T68" s="11"/>
      <c r="U68" s="11"/>
      <c r="V68" s="11"/>
      <c r="W68" s="11">
        <v>19</v>
      </c>
      <c r="X68" s="11">
        <v>21</v>
      </c>
      <c r="Y68" s="11">
        <v>7</v>
      </c>
      <c r="Z68" s="82"/>
      <c r="AA68" s="27">
        <v>1.0529999999999999</v>
      </c>
      <c r="AB68" s="27">
        <v>102.77</v>
      </c>
      <c r="AC68" s="27">
        <v>77</v>
      </c>
      <c r="AD68" s="27">
        <v>0.12</v>
      </c>
      <c r="AE68" s="27">
        <v>0.307</v>
      </c>
      <c r="AF68" s="27">
        <v>45.65</v>
      </c>
      <c r="AG68" s="27">
        <v>37.9</v>
      </c>
      <c r="AH68" s="27">
        <v>110.57</v>
      </c>
      <c r="AI68" s="27">
        <v>85.1</v>
      </c>
      <c r="AJ68" s="27"/>
      <c r="AK68" s="27"/>
      <c r="AL68" s="27">
        <v>1.63</v>
      </c>
      <c r="AM68" s="27">
        <v>1.73</v>
      </c>
      <c r="AN68" s="27">
        <v>8.14</v>
      </c>
      <c r="AO68" s="83">
        <v>8.4</v>
      </c>
      <c r="AP68" s="79"/>
      <c r="AQ68" s="80">
        <v>6.2</v>
      </c>
      <c r="AR68" s="80">
        <v>1.127</v>
      </c>
      <c r="AS68" s="80">
        <v>0.63819999999999999</v>
      </c>
      <c r="AT68" s="79"/>
      <c r="AU68" s="18">
        <f t="shared" si="17"/>
        <v>83.023001095290255</v>
      </c>
      <c r="AV68" s="18">
        <f t="shared" si="18"/>
        <v>76.964818666907846</v>
      </c>
      <c r="AW68" s="18">
        <f t="shared" si="19"/>
        <v>0.16</v>
      </c>
      <c r="AX68" s="18">
        <f t="shared" si="19"/>
        <v>0.40933333333333333</v>
      </c>
      <c r="AY68" s="18">
        <f t="shared" si="20"/>
        <v>0.1328368017524644</v>
      </c>
      <c r="AZ68" s="18">
        <f t="shared" si="20"/>
        <v>0.31504265774320944</v>
      </c>
      <c r="BA68" s="18">
        <f t="shared" si="21"/>
        <v>33.6</v>
      </c>
      <c r="BB68" s="18">
        <f t="shared" si="22"/>
        <v>165.39999999999998</v>
      </c>
      <c r="BC68" s="11" t="e">
        <f t="shared" si="23"/>
        <v>#DIV/0!</v>
      </c>
      <c r="BD68" s="22">
        <f t="shared" si="24"/>
        <v>8.2666666666666657</v>
      </c>
      <c r="BE68" s="22">
        <f t="shared" si="25"/>
        <v>4.6812658976634127</v>
      </c>
      <c r="BF68" s="22">
        <f t="shared" si="26"/>
        <v>56.628216503992903</v>
      </c>
      <c r="BG68" s="22">
        <f t="shared" si="27"/>
        <v>43.371783496007097</v>
      </c>
      <c r="BH68" s="22">
        <f t="shared" si="28"/>
        <v>51.666666666666657</v>
      </c>
    </row>
    <row r="69" spans="1:60" s="30" customFormat="1" ht="38.1" customHeight="1" x14ac:dyDescent="0.25">
      <c r="A69" s="11">
        <v>4</v>
      </c>
      <c r="B69" s="11">
        <v>8</v>
      </c>
      <c r="C69" s="11">
        <v>3</v>
      </c>
      <c r="D69" s="11">
        <v>17</v>
      </c>
      <c r="E69" s="11" t="s">
        <v>60</v>
      </c>
      <c r="F69" s="74" t="s">
        <v>61</v>
      </c>
      <c r="G69" s="12">
        <v>70</v>
      </c>
      <c r="I69" s="76">
        <v>6</v>
      </c>
      <c r="J69" s="76">
        <v>7</v>
      </c>
      <c r="K69" s="46"/>
      <c r="L69" s="11"/>
      <c r="M69" s="11"/>
      <c r="N69" s="11"/>
      <c r="O69" s="11"/>
      <c r="P69" s="11">
        <v>12</v>
      </c>
      <c r="Q69" s="77">
        <f t="shared" si="16"/>
        <v>102.56410256410255</v>
      </c>
      <c r="R69" s="11">
        <v>55</v>
      </c>
      <c r="S69" s="11">
        <v>65</v>
      </c>
      <c r="T69" s="11"/>
      <c r="U69" s="11"/>
      <c r="V69" s="11"/>
      <c r="W69" s="11">
        <v>18</v>
      </c>
      <c r="X69" s="11">
        <v>21</v>
      </c>
      <c r="Y69" s="11">
        <v>5</v>
      </c>
      <c r="Z69" s="84"/>
      <c r="AA69" s="32">
        <v>1.298</v>
      </c>
      <c r="AB69" s="32">
        <v>100.25</v>
      </c>
      <c r="AC69" s="32">
        <v>68.8</v>
      </c>
      <c r="AD69" s="32">
        <v>0.185</v>
      </c>
      <c r="AE69" s="32">
        <v>0.34699999999999998</v>
      </c>
      <c r="AF69" s="32">
        <v>124.75</v>
      </c>
      <c r="AG69" s="32">
        <v>102.3</v>
      </c>
      <c r="AH69" s="32">
        <v>101.88</v>
      </c>
      <c r="AI69" s="32">
        <v>71.2</v>
      </c>
      <c r="AJ69" s="32"/>
      <c r="AK69" s="32"/>
      <c r="AL69" s="32">
        <v>1.86</v>
      </c>
      <c r="AM69" s="32">
        <v>1.84</v>
      </c>
      <c r="AN69" s="32">
        <v>9.2799999999999994</v>
      </c>
      <c r="AO69" s="85">
        <v>9.52</v>
      </c>
      <c r="AP69" s="86"/>
      <c r="AQ69" s="80">
        <v>5.6</v>
      </c>
      <c r="AR69" s="80">
        <v>1.127</v>
      </c>
      <c r="AS69" s="80">
        <v>0.63819999999999999</v>
      </c>
      <c r="AT69" s="86"/>
      <c r="AU69" s="18">
        <f t="shared" si="17"/>
        <v>82.00400801603206</v>
      </c>
      <c r="AV69" s="18">
        <f t="shared" si="18"/>
        <v>69.886140557518644</v>
      </c>
      <c r="AW69" s="18">
        <f t="shared" si="19"/>
        <v>0.24666666666666667</v>
      </c>
      <c r="AX69" s="18">
        <f t="shared" si="19"/>
        <v>0.46266666666666667</v>
      </c>
      <c r="AY69" s="18">
        <f t="shared" si="20"/>
        <v>0.20227655310621243</v>
      </c>
      <c r="AZ69" s="18">
        <f t="shared" si="20"/>
        <v>0.32333987697945288</v>
      </c>
      <c r="BA69" s="18">
        <f t="shared" si="21"/>
        <v>37</v>
      </c>
      <c r="BB69" s="18">
        <f t="shared" si="22"/>
        <v>187.99999999999997</v>
      </c>
      <c r="BC69" s="11" t="e">
        <f t="shared" si="23"/>
        <v>#DIV/0!</v>
      </c>
      <c r="BD69" s="22">
        <f t="shared" si="24"/>
        <v>7.4666666666666659</v>
      </c>
      <c r="BE69" s="22">
        <f t="shared" si="25"/>
        <v>4.2282401656314699</v>
      </c>
      <c r="BF69" s="22">
        <f t="shared" si="26"/>
        <v>56.628216503992903</v>
      </c>
      <c r="BG69" s="22">
        <f t="shared" si="27"/>
        <v>43.371783496007097</v>
      </c>
      <c r="BH69" s="22">
        <f t="shared" si="28"/>
        <v>30.270270270270267</v>
      </c>
    </row>
    <row r="70" spans="1:60" s="30" customFormat="1" ht="38.1" customHeight="1" x14ac:dyDescent="0.25">
      <c r="A70" s="11">
        <v>1</v>
      </c>
      <c r="B70" s="11">
        <v>2</v>
      </c>
      <c r="C70" s="11">
        <v>9</v>
      </c>
      <c r="D70" s="11">
        <v>6</v>
      </c>
      <c r="E70" s="11" t="s">
        <v>72</v>
      </c>
      <c r="F70" s="74" t="s">
        <v>73</v>
      </c>
      <c r="G70" s="12">
        <v>10</v>
      </c>
      <c r="H70" s="74"/>
      <c r="I70" s="76">
        <v>3</v>
      </c>
      <c r="J70" s="76">
        <v>8</v>
      </c>
      <c r="K70" s="11"/>
      <c r="L70" s="11" t="s">
        <v>53</v>
      </c>
      <c r="M70" s="11"/>
      <c r="N70" s="11"/>
      <c r="O70" s="11" t="s">
        <v>53</v>
      </c>
      <c r="P70" s="11">
        <v>29</v>
      </c>
      <c r="Q70" s="77">
        <f t="shared" si="16"/>
        <v>247.86324786324784</v>
      </c>
      <c r="R70" s="11" t="s">
        <v>53</v>
      </c>
      <c r="S70" s="11">
        <v>75</v>
      </c>
      <c r="T70" s="11"/>
      <c r="U70" s="11"/>
      <c r="V70" s="11"/>
      <c r="W70" s="11">
        <v>19</v>
      </c>
      <c r="X70" s="11"/>
      <c r="Y70" s="11">
        <v>2</v>
      </c>
      <c r="Z70" s="82"/>
      <c r="AA70" s="27">
        <v>2.6850000000000001</v>
      </c>
      <c r="AB70" s="27">
        <v>106.69</v>
      </c>
      <c r="AC70" s="27">
        <v>91</v>
      </c>
      <c r="AD70" s="27">
        <v>1.909</v>
      </c>
      <c r="AE70" s="27"/>
      <c r="AF70" s="27">
        <v>102.66</v>
      </c>
      <c r="AG70" s="27">
        <v>90.5</v>
      </c>
      <c r="AH70" s="27"/>
      <c r="AI70" s="27"/>
      <c r="AJ70" s="27">
        <v>107.6</v>
      </c>
      <c r="AK70" s="27">
        <v>107.71</v>
      </c>
      <c r="AL70" s="27">
        <v>0.78</v>
      </c>
      <c r="AM70" s="27">
        <v>1.65</v>
      </c>
      <c r="AN70" s="27"/>
      <c r="AO70" s="83"/>
      <c r="AP70" s="79"/>
      <c r="AQ70" s="80">
        <v>3.1</v>
      </c>
      <c r="AR70" s="80">
        <v>0.90100000000000002</v>
      </c>
      <c r="AS70" s="80">
        <v>0.55120000000000002</v>
      </c>
      <c r="AT70" s="79"/>
      <c r="AU70" s="18">
        <f t="shared" si="17"/>
        <v>88.155075004870454</v>
      </c>
      <c r="AV70" s="18" t="e">
        <f t="shared" si="18"/>
        <v>#DIV/0!</v>
      </c>
      <c r="AW70" s="18">
        <f t="shared" si="19"/>
        <v>2.5453333333333332</v>
      </c>
      <c r="AX70" s="18">
        <f t="shared" si="19"/>
        <v>0</v>
      </c>
      <c r="AY70" s="18">
        <f t="shared" si="20"/>
        <v>2.2438405091239693</v>
      </c>
      <c r="AZ70" s="18" t="e">
        <f t="shared" si="20"/>
        <v>#DIV/0!</v>
      </c>
      <c r="BA70" s="18">
        <f t="shared" si="21"/>
        <v>24.299999999999997</v>
      </c>
      <c r="BB70" s="18" t="e">
        <f t="shared" si="22"/>
        <v>#DIV/0!</v>
      </c>
      <c r="BC70" s="11">
        <f t="shared" si="23"/>
        <v>42.741522499999995</v>
      </c>
      <c r="BD70" s="22">
        <f t="shared" si="24"/>
        <v>4.1333333333333329</v>
      </c>
      <c r="BE70" s="22">
        <f t="shared" si="25"/>
        <v>2.5286274509803919</v>
      </c>
      <c r="BF70" s="22">
        <f t="shared" si="26"/>
        <v>61.176470588235297</v>
      </c>
      <c r="BG70" s="22">
        <f t="shared" si="27"/>
        <v>38.823529411764703</v>
      </c>
      <c r="BH70" s="22">
        <f t="shared" si="28"/>
        <v>1.6238868517548453</v>
      </c>
    </row>
    <row r="71" spans="1:60" s="30" customFormat="1" ht="38.1" customHeight="1" x14ac:dyDescent="0.25">
      <c r="A71" s="11">
        <v>2</v>
      </c>
      <c r="B71" s="11">
        <v>3</v>
      </c>
      <c r="C71" s="11">
        <v>4</v>
      </c>
      <c r="D71" s="11">
        <v>6</v>
      </c>
      <c r="E71" s="11" t="s">
        <v>72</v>
      </c>
      <c r="F71" s="74" t="s">
        <v>73</v>
      </c>
      <c r="G71" s="12">
        <v>22</v>
      </c>
      <c r="H71" s="81"/>
      <c r="I71" s="76">
        <v>2</v>
      </c>
      <c r="J71" s="76">
        <v>9</v>
      </c>
      <c r="K71" s="46"/>
      <c r="L71" s="11" t="s">
        <v>53</v>
      </c>
      <c r="M71" s="11"/>
      <c r="N71" s="11"/>
      <c r="O71" s="11" t="s">
        <v>53</v>
      </c>
      <c r="P71" s="11">
        <v>46</v>
      </c>
      <c r="Q71" s="77">
        <f t="shared" si="16"/>
        <v>393.16239316239313</v>
      </c>
      <c r="R71" s="11" t="s">
        <v>53</v>
      </c>
      <c r="S71" s="11">
        <v>80</v>
      </c>
      <c r="T71" s="11"/>
      <c r="U71" s="11"/>
      <c r="V71" s="11"/>
      <c r="W71" s="11">
        <v>19</v>
      </c>
      <c r="X71" s="11"/>
      <c r="Y71" s="11">
        <v>9</v>
      </c>
      <c r="Z71" s="82"/>
      <c r="AA71" s="27">
        <v>2.1850000000000001</v>
      </c>
      <c r="AB71" s="27">
        <v>110.02</v>
      </c>
      <c r="AC71" s="27">
        <v>93.2</v>
      </c>
      <c r="AD71" s="27">
        <v>1.4910000000000001</v>
      </c>
      <c r="AE71" s="27"/>
      <c r="AF71" s="27">
        <v>104.26</v>
      </c>
      <c r="AG71" s="27">
        <v>89.4</v>
      </c>
      <c r="AH71" s="27"/>
      <c r="AI71" s="27"/>
      <c r="AJ71" s="27">
        <v>96.62</v>
      </c>
      <c r="AK71" s="27">
        <v>94.37</v>
      </c>
      <c r="AL71" s="27">
        <v>1.55</v>
      </c>
      <c r="AM71" s="27">
        <v>1.59</v>
      </c>
      <c r="AN71" s="27"/>
      <c r="AO71" s="83"/>
      <c r="AP71" s="79"/>
      <c r="AQ71" s="80">
        <v>3.7</v>
      </c>
      <c r="AR71" s="80">
        <v>0.90100000000000002</v>
      </c>
      <c r="AS71" s="80">
        <v>0.55120000000000002</v>
      </c>
      <c r="AT71" s="79"/>
      <c r="AU71" s="18">
        <f t="shared" si="17"/>
        <v>85.747170535200453</v>
      </c>
      <c r="AV71" s="18" t="e">
        <f t="shared" si="18"/>
        <v>#DIV/0!</v>
      </c>
      <c r="AW71" s="18">
        <f t="shared" si="19"/>
        <v>1.988</v>
      </c>
      <c r="AX71" s="18">
        <f t="shared" si="19"/>
        <v>0</v>
      </c>
      <c r="AY71" s="18">
        <f t="shared" si="20"/>
        <v>1.7046537502397852</v>
      </c>
      <c r="AZ71" s="18" t="e">
        <f t="shared" si="20"/>
        <v>#DIV/0!</v>
      </c>
      <c r="BA71" s="18">
        <f t="shared" si="21"/>
        <v>31.400000000000002</v>
      </c>
      <c r="BB71" s="18" t="e">
        <f t="shared" si="22"/>
        <v>#DIV/0!</v>
      </c>
      <c r="BC71" s="11">
        <f t="shared" si="23"/>
        <v>37.762002499999994</v>
      </c>
      <c r="BD71" s="22">
        <f t="shared" si="24"/>
        <v>4.9333333333333336</v>
      </c>
      <c r="BE71" s="22">
        <f t="shared" si="25"/>
        <v>3.018039215686275</v>
      </c>
      <c r="BF71" s="22">
        <f t="shared" si="26"/>
        <v>61.176470588235297</v>
      </c>
      <c r="BG71" s="22">
        <f t="shared" si="27"/>
        <v>38.823529411764703</v>
      </c>
      <c r="BH71" s="22">
        <f t="shared" si="28"/>
        <v>2.4815560026827632</v>
      </c>
    </row>
    <row r="72" spans="1:60" s="30" customFormat="1" ht="38.1" customHeight="1" x14ac:dyDescent="0.25">
      <c r="A72" s="11">
        <v>3</v>
      </c>
      <c r="B72" s="11">
        <v>6</v>
      </c>
      <c r="C72" s="11">
        <v>6</v>
      </c>
      <c r="D72" s="11">
        <v>6</v>
      </c>
      <c r="E72" s="11" t="s">
        <v>72</v>
      </c>
      <c r="F72" s="74" t="s">
        <v>73</v>
      </c>
      <c r="G72" s="12">
        <v>49</v>
      </c>
      <c r="H72" s="81"/>
      <c r="I72" s="76">
        <v>3</v>
      </c>
      <c r="J72" s="76">
        <v>8</v>
      </c>
      <c r="K72" s="46"/>
      <c r="L72" s="11" t="s">
        <v>53</v>
      </c>
      <c r="M72" s="11"/>
      <c r="N72" s="11"/>
      <c r="O72" s="11" t="s">
        <v>53</v>
      </c>
      <c r="P72" s="11">
        <v>38</v>
      </c>
      <c r="Q72" s="77">
        <f t="shared" si="16"/>
        <v>324.78632478632477</v>
      </c>
      <c r="R72" s="11" t="s">
        <v>53</v>
      </c>
      <c r="S72" s="11">
        <v>75</v>
      </c>
      <c r="T72" s="11"/>
      <c r="U72" s="11"/>
      <c r="V72" s="11"/>
      <c r="W72" s="11">
        <v>19</v>
      </c>
      <c r="X72" s="11"/>
      <c r="Y72" s="11">
        <v>8</v>
      </c>
      <c r="Z72" s="82"/>
      <c r="AA72" s="27">
        <v>2.6</v>
      </c>
      <c r="AB72" s="27">
        <v>101.06</v>
      </c>
      <c r="AC72" s="27">
        <v>85.4</v>
      </c>
      <c r="AD72" s="27">
        <v>1.9119999999999999</v>
      </c>
      <c r="AE72" s="27"/>
      <c r="AF72" s="27">
        <v>107.23</v>
      </c>
      <c r="AG72" s="27">
        <v>91.3</v>
      </c>
      <c r="AH72" s="27"/>
      <c r="AI72" s="27"/>
      <c r="AJ72" s="27">
        <v>104.54</v>
      </c>
      <c r="AK72" s="27">
        <v>104.07</v>
      </c>
      <c r="AL72" s="27">
        <v>1.75</v>
      </c>
      <c r="AM72" s="27">
        <v>1.81</v>
      </c>
      <c r="AN72" s="27"/>
      <c r="AO72" s="83"/>
      <c r="AP72" s="79"/>
      <c r="AQ72" s="80">
        <v>4.05</v>
      </c>
      <c r="AR72" s="80">
        <v>0.90100000000000002</v>
      </c>
      <c r="AS72" s="80">
        <v>0.55120000000000002</v>
      </c>
      <c r="AT72" s="79"/>
      <c r="AU72" s="18">
        <f t="shared" si="17"/>
        <v>85.144082812645706</v>
      </c>
      <c r="AV72" s="18" t="e">
        <f t="shared" si="18"/>
        <v>#DIV/0!</v>
      </c>
      <c r="AW72" s="18">
        <f t="shared" si="19"/>
        <v>2.5493333333333332</v>
      </c>
      <c r="AX72" s="18">
        <f t="shared" si="19"/>
        <v>0</v>
      </c>
      <c r="AY72" s="18">
        <f t="shared" si="20"/>
        <v>2.1706064845037143</v>
      </c>
      <c r="AZ72" s="18" t="e">
        <f t="shared" si="20"/>
        <v>#DIV/0!</v>
      </c>
      <c r="BA72" s="18">
        <f t="shared" si="21"/>
        <v>35.6</v>
      </c>
      <c r="BB72" s="18" t="e">
        <f t="shared" si="22"/>
        <v>#DIV/0!</v>
      </c>
      <c r="BC72" s="11">
        <f t="shared" si="23"/>
        <v>41.369697499999994</v>
      </c>
      <c r="BD72" s="22">
        <f t="shared" si="24"/>
        <v>5.3999999999999995</v>
      </c>
      <c r="BE72" s="22">
        <f t="shared" si="25"/>
        <v>3.3035294117647056</v>
      </c>
      <c r="BF72" s="22">
        <f t="shared" si="26"/>
        <v>61.176470588235297</v>
      </c>
      <c r="BG72" s="22">
        <f t="shared" si="27"/>
        <v>38.823529411764703</v>
      </c>
      <c r="BH72" s="22">
        <f t="shared" si="28"/>
        <v>2.1182008368200838</v>
      </c>
    </row>
    <row r="73" spans="1:60" s="30" customFormat="1" ht="38.1" customHeight="1" x14ac:dyDescent="0.25">
      <c r="A73" s="11">
        <v>4</v>
      </c>
      <c r="B73" s="11">
        <v>7</v>
      </c>
      <c r="C73" s="11">
        <v>4</v>
      </c>
      <c r="D73" s="11">
        <v>6</v>
      </c>
      <c r="E73" s="11" t="s">
        <v>72</v>
      </c>
      <c r="F73" s="74" t="s">
        <v>73</v>
      </c>
      <c r="G73" s="12">
        <v>58</v>
      </c>
      <c r="H73" s="81"/>
      <c r="I73" s="76">
        <v>1</v>
      </c>
      <c r="J73" s="76">
        <v>9</v>
      </c>
      <c r="K73" s="46"/>
      <c r="L73" s="11" t="s">
        <v>53</v>
      </c>
      <c r="M73" s="11"/>
      <c r="N73" s="11"/>
      <c r="O73" s="11" t="s">
        <v>53</v>
      </c>
      <c r="P73" s="11">
        <v>49</v>
      </c>
      <c r="Q73" s="77">
        <f t="shared" si="16"/>
        <v>418.80341880341877</v>
      </c>
      <c r="R73" s="11" t="s">
        <v>53</v>
      </c>
      <c r="S73" s="11">
        <v>75</v>
      </c>
      <c r="T73" s="11"/>
      <c r="U73" s="11"/>
      <c r="V73" s="11"/>
      <c r="W73" s="11">
        <v>18</v>
      </c>
      <c r="X73" s="11"/>
      <c r="Y73" s="11">
        <v>6</v>
      </c>
      <c r="Z73" s="82"/>
      <c r="AA73" s="27">
        <v>3.0830000000000002</v>
      </c>
      <c r="AB73" s="27">
        <v>116.58</v>
      </c>
      <c r="AC73" s="27">
        <v>98.9</v>
      </c>
      <c r="AD73" s="27">
        <v>1.8819999999999999</v>
      </c>
      <c r="AE73" s="27"/>
      <c r="AF73" s="27">
        <v>112.47</v>
      </c>
      <c r="AG73" s="27">
        <v>96.3</v>
      </c>
      <c r="AH73" s="27"/>
      <c r="AI73" s="27"/>
      <c r="AJ73" s="27">
        <v>114.5</v>
      </c>
      <c r="AK73" s="27">
        <v>114.78</v>
      </c>
      <c r="AL73" s="27">
        <v>1.89</v>
      </c>
      <c r="AM73" s="27">
        <v>1.86</v>
      </c>
      <c r="AN73" s="27"/>
      <c r="AO73" s="83"/>
      <c r="AP73" s="79"/>
      <c r="AQ73" s="80">
        <v>4.5</v>
      </c>
      <c r="AR73" s="80">
        <v>0.90100000000000002</v>
      </c>
      <c r="AS73" s="80">
        <v>0.55120000000000002</v>
      </c>
      <c r="AT73" s="79"/>
      <c r="AU73" s="18">
        <f t="shared" si="17"/>
        <v>85.622832755401433</v>
      </c>
      <c r="AV73" s="18" t="e">
        <f t="shared" si="18"/>
        <v>#DIV/0!</v>
      </c>
      <c r="AW73" s="18">
        <f t="shared" si="19"/>
        <v>2.5093333333333332</v>
      </c>
      <c r="AX73" s="18">
        <f t="shared" si="19"/>
        <v>0</v>
      </c>
      <c r="AY73" s="18">
        <f t="shared" si="20"/>
        <v>2.14856228327554</v>
      </c>
      <c r="AZ73" s="18" t="e">
        <f t="shared" si="20"/>
        <v>#DIV/0!</v>
      </c>
      <c r="BA73" s="18">
        <f t="shared" si="21"/>
        <v>37.5</v>
      </c>
      <c r="BB73" s="18" t="e">
        <f t="shared" si="22"/>
        <v>#DIV/0!</v>
      </c>
      <c r="BC73" s="11">
        <f t="shared" si="23"/>
        <v>45.601879999999994</v>
      </c>
      <c r="BD73" s="22">
        <f t="shared" si="24"/>
        <v>6</v>
      </c>
      <c r="BE73" s="22">
        <f t="shared" si="25"/>
        <v>3.6705882352941179</v>
      </c>
      <c r="BF73" s="22">
        <f t="shared" si="26"/>
        <v>61.176470588235297</v>
      </c>
      <c r="BG73" s="22">
        <f t="shared" si="27"/>
        <v>38.823529411764703</v>
      </c>
      <c r="BH73" s="22">
        <f t="shared" si="28"/>
        <v>2.3910733262486716</v>
      </c>
    </row>
    <row r="74" spans="1:60" x14ac:dyDescent="0.25">
      <c r="A74" s="11"/>
      <c r="B74" s="11"/>
      <c r="C74" s="11"/>
      <c r="D74" s="11"/>
      <c r="E74" s="11"/>
      <c r="F74" s="74"/>
      <c r="G74" s="12"/>
    </row>
    <row r="75" spans="1:60" x14ac:dyDescent="0.25">
      <c r="A75" s="11"/>
      <c r="B75" s="11"/>
      <c r="C75" s="11"/>
      <c r="D75" s="11"/>
      <c r="E75" s="11"/>
      <c r="F75" s="74"/>
      <c r="G75" s="12"/>
    </row>
    <row r="76" spans="1:60" x14ac:dyDescent="0.25">
      <c r="A76" s="11"/>
      <c r="B76" s="11"/>
      <c r="C76" s="11"/>
      <c r="D76" s="11"/>
      <c r="E76" s="11"/>
      <c r="F76" s="74"/>
      <c r="G76" s="12"/>
    </row>
    <row r="77" spans="1:60" x14ac:dyDescent="0.25">
      <c r="A77" s="11"/>
      <c r="B77" s="11"/>
      <c r="C77" s="11"/>
      <c r="D77" s="11"/>
      <c r="E77" s="11"/>
      <c r="F77" s="74"/>
      <c r="G77" s="12"/>
    </row>
    <row r="78" spans="1:60" x14ac:dyDescent="0.25">
      <c r="A78" s="11"/>
      <c r="B78" s="11"/>
      <c r="C78" s="11"/>
      <c r="D78" s="11"/>
      <c r="E78" s="11"/>
      <c r="F78" s="74"/>
      <c r="G78" s="12"/>
    </row>
    <row r="79" spans="1:60" x14ac:dyDescent="0.25">
      <c r="A79" s="11"/>
      <c r="B79" s="11"/>
      <c r="C79" s="11"/>
      <c r="D79" s="11"/>
      <c r="E79" s="11"/>
      <c r="F79" s="74"/>
      <c r="G79" s="12"/>
    </row>
    <row r="80" spans="1:60" x14ac:dyDescent="0.25">
      <c r="A80" s="11"/>
      <c r="B80" s="11"/>
      <c r="C80" s="11"/>
      <c r="D80" s="11"/>
      <c r="E80" s="11"/>
      <c r="F80" s="74"/>
      <c r="G80" s="12"/>
    </row>
    <row r="81" spans="1:7" x14ac:dyDescent="0.25">
      <c r="A81" s="11"/>
      <c r="B81" s="11"/>
      <c r="C81" s="11"/>
      <c r="D81" s="11"/>
      <c r="E81" s="11"/>
      <c r="F81" s="74"/>
      <c r="G81" s="12"/>
    </row>
    <row r="82" spans="1:7" x14ac:dyDescent="0.25">
      <c r="A82" s="11"/>
      <c r="B82" s="11"/>
      <c r="C82" s="11"/>
      <c r="D82" s="11"/>
      <c r="E82" s="11"/>
      <c r="F82" s="74"/>
      <c r="G82" s="12"/>
    </row>
    <row r="83" spans="1:7" x14ac:dyDescent="0.25">
      <c r="A83" s="11"/>
      <c r="B83" s="11"/>
      <c r="C83" s="11"/>
      <c r="D83" s="11"/>
      <c r="E83" s="11"/>
      <c r="F83" s="74"/>
      <c r="G83" s="12"/>
    </row>
    <row r="84" spans="1:7" x14ac:dyDescent="0.25">
      <c r="A84" s="11"/>
      <c r="B84" s="11"/>
      <c r="C84" s="11"/>
      <c r="D84" s="11"/>
      <c r="E84" s="11"/>
      <c r="F84" s="74"/>
      <c r="G84" s="12"/>
    </row>
    <row r="85" spans="1:7" x14ac:dyDescent="0.25">
      <c r="A85" s="11"/>
      <c r="B85" s="11"/>
      <c r="C85" s="11"/>
      <c r="D85" s="11"/>
      <c r="E85" s="11"/>
      <c r="F85" s="74"/>
      <c r="G85" s="12"/>
    </row>
    <row r="86" spans="1:7" x14ac:dyDescent="0.25">
      <c r="A86" s="11"/>
      <c r="B86" s="11"/>
      <c r="C86" s="11"/>
      <c r="D86" s="11"/>
      <c r="E86" s="11"/>
      <c r="F86" s="74"/>
      <c r="G86" s="12"/>
    </row>
    <row r="87" spans="1:7" x14ac:dyDescent="0.25">
      <c r="A87" s="11"/>
      <c r="B87" s="11"/>
      <c r="C87" s="11"/>
      <c r="D87" s="11"/>
      <c r="E87" s="11"/>
      <c r="F87" s="74"/>
      <c r="G87" s="12"/>
    </row>
    <row r="88" spans="1:7" x14ac:dyDescent="0.25">
      <c r="A88" s="11"/>
      <c r="B88" s="11"/>
      <c r="C88" s="11"/>
      <c r="D88" s="11"/>
      <c r="E88" s="11"/>
      <c r="F88" s="74"/>
      <c r="G88" s="12"/>
    </row>
    <row r="89" spans="1:7" x14ac:dyDescent="0.25">
      <c r="A89" s="11"/>
      <c r="B89" s="11"/>
      <c r="C89" s="11"/>
      <c r="D89" s="11"/>
      <c r="E89" s="11"/>
      <c r="F89" s="74"/>
      <c r="G89" s="12"/>
    </row>
    <row r="90" spans="1:7" x14ac:dyDescent="0.25">
      <c r="A90" s="11"/>
      <c r="B90" s="11"/>
      <c r="C90" s="11"/>
      <c r="D90" s="11"/>
      <c r="E90" s="11"/>
      <c r="F90" s="74"/>
      <c r="G90" s="12"/>
    </row>
    <row r="91" spans="1:7" x14ac:dyDescent="0.25">
      <c r="A91" s="11"/>
      <c r="B91" s="11"/>
      <c r="C91" s="11"/>
      <c r="D91" s="11"/>
      <c r="E91" s="11"/>
      <c r="F91" s="74"/>
      <c r="G91" s="12"/>
    </row>
    <row r="92" spans="1:7" x14ac:dyDescent="0.25">
      <c r="A92" s="11"/>
      <c r="B92" s="11"/>
      <c r="C92" s="11"/>
      <c r="D92" s="11"/>
      <c r="E92" s="11"/>
      <c r="F92" s="74"/>
      <c r="G92" s="12"/>
    </row>
    <row r="93" spans="1:7" x14ac:dyDescent="0.25">
      <c r="A93" s="11"/>
      <c r="B93" s="11"/>
      <c r="C93" s="11"/>
      <c r="D93" s="11"/>
      <c r="E93" s="11"/>
      <c r="F93" s="74"/>
      <c r="G93" s="12"/>
    </row>
    <row r="94" spans="1:7" x14ac:dyDescent="0.25">
      <c r="A94" s="11"/>
      <c r="B94" s="11"/>
      <c r="C94" s="11"/>
      <c r="D94" s="11"/>
      <c r="E94" s="11"/>
      <c r="F94" s="74"/>
      <c r="G94" s="12"/>
    </row>
    <row r="95" spans="1:7" x14ac:dyDescent="0.25">
      <c r="A95" s="11"/>
      <c r="B95" s="11"/>
      <c r="C95" s="11"/>
      <c r="D95" s="11"/>
      <c r="E95" s="11"/>
      <c r="F95" s="74"/>
      <c r="G95" s="12"/>
    </row>
    <row r="96" spans="1:7" x14ac:dyDescent="0.25">
      <c r="A96" s="11"/>
      <c r="B96" s="11"/>
      <c r="C96" s="11"/>
      <c r="D96" s="11"/>
      <c r="E96" s="11"/>
      <c r="F96" s="74"/>
      <c r="G96" s="12"/>
    </row>
    <row r="97" spans="1:7" x14ac:dyDescent="0.25">
      <c r="A97" s="11"/>
      <c r="B97" s="11"/>
      <c r="C97" s="11"/>
      <c r="D97" s="11"/>
      <c r="E97" s="11"/>
      <c r="F97" s="74"/>
      <c r="G97" s="12"/>
    </row>
    <row r="98" spans="1:7" x14ac:dyDescent="0.25">
      <c r="A98" s="11"/>
      <c r="B98" s="11"/>
      <c r="C98" s="11"/>
      <c r="D98" s="11"/>
      <c r="E98" s="11"/>
      <c r="F98" s="74"/>
      <c r="G98" s="12"/>
    </row>
    <row r="99" spans="1:7" x14ac:dyDescent="0.25">
      <c r="A99" s="11"/>
      <c r="B99" s="11"/>
      <c r="C99" s="11"/>
      <c r="D99" s="11"/>
      <c r="E99" s="11"/>
      <c r="F99" s="74"/>
      <c r="G99" s="12"/>
    </row>
    <row r="100" spans="1:7" x14ac:dyDescent="0.25">
      <c r="A100" s="11"/>
      <c r="B100" s="11"/>
      <c r="C100" s="11"/>
      <c r="D100" s="11"/>
      <c r="E100" s="11"/>
      <c r="F100" s="74"/>
      <c r="G100" s="12"/>
    </row>
    <row r="101" spans="1:7" x14ac:dyDescent="0.25">
      <c r="A101" s="11"/>
      <c r="B101" s="11"/>
      <c r="C101" s="11"/>
      <c r="D101" s="11"/>
      <c r="E101" s="11"/>
      <c r="F101" s="74"/>
      <c r="G101" s="12"/>
    </row>
    <row r="102" spans="1:7" x14ac:dyDescent="0.25">
      <c r="A102" s="11"/>
      <c r="B102" s="11"/>
      <c r="C102" s="11"/>
      <c r="D102" s="11"/>
      <c r="E102" s="11"/>
      <c r="F102" s="74"/>
      <c r="G102" s="12"/>
    </row>
    <row r="103" spans="1:7" x14ac:dyDescent="0.25">
      <c r="A103" s="11"/>
      <c r="B103" s="11"/>
      <c r="C103" s="11"/>
      <c r="D103" s="11"/>
      <c r="E103" s="11"/>
      <c r="F103" s="74"/>
      <c r="G103" s="12"/>
    </row>
    <row r="104" spans="1:7" x14ac:dyDescent="0.25">
      <c r="A104" s="11"/>
      <c r="B104" s="11"/>
      <c r="C104" s="11"/>
      <c r="D104" s="11"/>
      <c r="E104" s="11"/>
      <c r="F104" s="74"/>
      <c r="G104" s="12"/>
    </row>
    <row r="105" spans="1:7" x14ac:dyDescent="0.25">
      <c r="A105" s="11"/>
      <c r="B105" s="11"/>
      <c r="C105" s="11"/>
      <c r="D105" s="11"/>
      <c r="E105" s="11"/>
      <c r="F105" s="74"/>
      <c r="G105" s="12"/>
    </row>
    <row r="106" spans="1:7" x14ac:dyDescent="0.25">
      <c r="A106" s="11"/>
      <c r="B106" s="11"/>
      <c r="C106" s="11"/>
      <c r="D106" s="11"/>
      <c r="E106" s="11"/>
      <c r="F106" s="74"/>
      <c r="G106" s="12"/>
    </row>
    <row r="107" spans="1:7" x14ac:dyDescent="0.25">
      <c r="A107" s="11"/>
      <c r="B107" s="11"/>
      <c r="C107" s="11"/>
      <c r="D107" s="11"/>
      <c r="E107" s="11"/>
      <c r="F107" s="74"/>
      <c r="G107" s="12"/>
    </row>
    <row r="108" spans="1:7" x14ac:dyDescent="0.25">
      <c r="A108" s="11"/>
      <c r="B108" s="11"/>
      <c r="C108" s="11"/>
      <c r="D108" s="11"/>
      <c r="E108" s="11"/>
      <c r="F108" s="74"/>
      <c r="G108" s="12"/>
    </row>
    <row r="109" spans="1:7" x14ac:dyDescent="0.25">
      <c r="A109" s="11"/>
      <c r="B109" s="11"/>
      <c r="C109" s="11"/>
      <c r="D109" s="11"/>
      <c r="E109" s="11"/>
      <c r="F109" s="74"/>
      <c r="G109" s="12"/>
    </row>
    <row r="110" spans="1:7" x14ac:dyDescent="0.25">
      <c r="A110" s="11"/>
      <c r="B110" s="11"/>
      <c r="C110" s="11"/>
      <c r="D110" s="11"/>
      <c r="E110" s="11"/>
      <c r="F110" s="74"/>
      <c r="G110" s="12"/>
    </row>
    <row r="111" spans="1:7" x14ac:dyDescent="0.25">
      <c r="A111" s="11"/>
      <c r="B111" s="11"/>
      <c r="C111" s="11"/>
      <c r="D111" s="11"/>
      <c r="E111" s="11"/>
      <c r="F111" s="74"/>
      <c r="G111" s="12"/>
    </row>
    <row r="112" spans="1:7" x14ac:dyDescent="0.25">
      <c r="A112" s="11"/>
      <c r="B112" s="11"/>
      <c r="C112" s="11"/>
      <c r="D112" s="11"/>
      <c r="E112" s="11"/>
      <c r="F112" s="74"/>
      <c r="G112" s="12"/>
    </row>
    <row r="113" spans="1:7" x14ac:dyDescent="0.25">
      <c r="A113" s="11"/>
      <c r="B113" s="11"/>
      <c r="C113" s="11"/>
      <c r="D113" s="11"/>
      <c r="E113" s="11"/>
      <c r="F113" s="74"/>
      <c r="G113" s="12"/>
    </row>
    <row r="114" spans="1:7" x14ac:dyDescent="0.25">
      <c r="A114" s="11"/>
      <c r="B114" s="11"/>
      <c r="C114" s="11"/>
      <c r="D114" s="11"/>
      <c r="E114" s="11"/>
      <c r="F114" s="74"/>
      <c r="G114" s="12"/>
    </row>
    <row r="115" spans="1:7" x14ac:dyDescent="0.25">
      <c r="A115" s="11"/>
      <c r="B115" s="11"/>
      <c r="C115" s="11"/>
      <c r="D115" s="11"/>
      <c r="E115" s="11"/>
      <c r="F115" s="74"/>
      <c r="G115" s="12"/>
    </row>
    <row r="116" spans="1:7" x14ac:dyDescent="0.25">
      <c r="A116" s="11"/>
      <c r="B116" s="11"/>
      <c r="C116" s="11"/>
      <c r="D116" s="11"/>
      <c r="E116" s="11"/>
      <c r="F116" s="74"/>
      <c r="G116" s="12"/>
    </row>
    <row r="117" spans="1:7" x14ac:dyDescent="0.25">
      <c r="A117" s="11"/>
      <c r="B117" s="11"/>
      <c r="C117" s="11"/>
      <c r="D117" s="11"/>
      <c r="E117" s="11"/>
      <c r="F117" s="74"/>
      <c r="G117" s="12"/>
    </row>
    <row r="118" spans="1:7" x14ac:dyDescent="0.25">
      <c r="A118" s="11"/>
      <c r="B118" s="11"/>
      <c r="C118" s="11"/>
      <c r="D118" s="11"/>
      <c r="E118" s="11"/>
      <c r="F118" s="74"/>
      <c r="G118" s="12"/>
    </row>
    <row r="119" spans="1:7" x14ac:dyDescent="0.25">
      <c r="A119" s="11"/>
      <c r="B119" s="11"/>
      <c r="C119" s="11"/>
      <c r="D119" s="11"/>
      <c r="E119" s="11"/>
      <c r="F119" s="74"/>
      <c r="G119" s="12"/>
    </row>
    <row r="120" spans="1:7" x14ac:dyDescent="0.25">
      <c r="A120" s="11"/>
      <c r="B120" s="11"/>
      <c r="C120" s="11"/>
      <c r="D120" s="11"/>
      <c r="E120" s="11"/>
      <c r="F120" s="74"/>
      <c r="G120" s="12"/>
    </row>
    <row r="121" spans="1:7" x14ac:dyDescent="0.25">
      <c r="A121" s="11"/>
      <c r="B121" s="11"/>
      <c r="C121" s="11"/>
      <c r="D121" s="11"/>
      <c r="E121" s="11"/>
      <c r="F121" s="74"/>
      <c r="G121" s="12"/>
    </row>
    <row r="122" spans="1:7" x14ac:dyDescent="0.25">
      <c r="A122" s="11"/>
      <c r="B122" s="11"/>
      <c r="C122" s="11"/>
      <c r="D122" s="11"/>
      <c r="E122" s="11"/>
      <c r="F122" s="74"/>
      <c r="G122" s="12"/>
    </row>
    <row r="123" spans="1:7" x14ac:dyDescent="0.25">
      <c r="A123" s="11"/>
      <c r="B123" s="11"/>
      <c r="C123" s="11"/>
      <c r="D123" s="11"/>
      <c r="E123" s="11"/>
      <c r="F123" s="74"/>
      <c r="G123" s="12"/>
    </row>
    <row r="124" spans="1:7" x14ac:dyDescent="0.25">
      <c r="A124" s="11"/>
      <c r="B124" s="11"/>
      <c r="C124" s="11"/>
      <c r="D124" s="11"/>
      <c r="E124" s="11"/>
      <c r="F124" s="74"/>
      <c r="G124" s="12"/>
    </row>
    <row r="125" spans="1:7" x14ac:dyDescent="0.25">
      <c r="A125" s="11"/>
      <c r="B125" s="11"/>
      <c r="C125" s="11"/>
      <c r="D125" s="11"/>
      <c r="E125" s="11"/>
      <c r="F125" s="74"/>
      <c r="G125" s="12"/>
    </row>
    <row r="126" spans="1:7" x14ac:dyDescent="0.25">
      <c r="A126" s="11"/>
      <c r="B126" s="11"/>
      <c r="C126" s="11"/>
      <c r="D126" s="11"/>
      <c r="E126" s="11"/>
      <c r="F126" s="74"/>
      <c r="G126" s="12"/>
    </row>
    <row r="127" spans="1:7" x14ac:dyDescent="0.25">
      <c r="A127" s="11"/>
      <c r="B127" s="11"/>
      <c r="C127" s="11"/>
      <c r="D127" s="11"/>
      <c r="E127" s="11"/>
      <c r="F127" s="74"/>
      <c r="G127" s="12"/>
    </row>
    <row r="128" spans="1:7" x14ac:dyDescent="0.25">
      <c r="A128" s="11"/>
      <c r="B128" s="11"/>
      <c r="C128" s="11"/>
      <c r="D128" s="11"/>
      <c r="E128" s="11"/>
      <c r="F128" s="74"/>
      <c r="G128" s="12"/>
    </row>
    <row r="129" spans="1:7" x14ac:dyDescent="0.25">
      <c r="A129" s="11"/>
      <c r="B129" s="11"/>
      <c r="C129" s="11"/>
      <c r="D129" s="11"/>
      <c r="E129" s="11"/>
      <c r="F129" s="74"/>
      <c r="G129" s="12"/>
    </row>
    <row r="130" spans="1:7" x14ac:dyDescent="0.25">
      <c r="A130" s="11"/>
      <c r="B130" s="11"/>
      <c r="C130" s="11"/>
      <c r="D130" s="11"/>
      <c r="E130" s="11"/>
      <c r="F130" s="74"/>
      <c r="G130" s="12"/>
    </row>
    <row r="131" spans="1:7" x14ac:dyDescent="0.25">
      <c r="A131" s="11"/>
      <c r="B131" s="11"/>
      <c r="C131" s="11"/>
      <c r="D131" s="11"/>
      <c r="E131" s="11"/>
      <c r="F131" s="74"/>
      <c r="G131" s="12"/>
    </row>
    <row r="132" spans="1:7" x14ac:dyDescent="0.25">
      <c r="A132" s="11"/>
      <c r="B132" s="11"/>
      <c r="C132" s="11"/>
      <c r="D132" s="11"/>
      <c r="E132" s="11"/>
      <c r="F132" s="74"/>
      <c r="G132" s="12"/>
    </row>
    <row r="133" spans="1:7" x14ac:dyDescent="0.25">
      <c r="A133" s="11"/>
      <c r="B133" s="11"/>
      <c r="C133" s="11"/>
      <c r="D133" s="11"/>
      <c r="E133" s="11"/>
      <c r="F133" s="74"/>
      <c r="G133" s="12"/>
    </row>
    <row r="134" spans="1:7" x14ac:dyDescent="0.25">
      <c r="A134" s="11"/>
      <c r="B134" s="11"/>
      <c r="C134" s="11"/>
      <c r="D134" s="11"/>
      <c r="E134" s="11"/>
      <c r="F134" s="74"/>
      <c r="G134" s="12"/>
    </row>
    <row r="135" spans="1:7" x14ac:dyDescent="0.25">
      <c r="A135" s="11"/>
      <c r="B135" s="11"/>
      <c r="C135" s="11"/>
      <c r="D135" s="11"/>
      <c r="E135" s="11"/>
      <c r="F135" s="74"/>
      <c r="G135" s="12"/>
    </row>
    <row r="136" spans="1:7" x14ac:dyDescent="0.25">
      <c r="A136" s="11"/>
      <c r="B136" s="11"/>
      <c r="C136" s="11"/>
      <c r="D136" s="11"/>
      <c r="E136" s="11"/>
      <c r="F136" s="74"/>
      <c r="G136" s="12"/>
    </row>
    <row r="137" spans="1:7" x14ac:dyDescent="0.25">
      <c r="A137" s="11"/>
      <c r="B137" s="11"/>
      <c r="C137" s="11"/>
      <c r="D137" s="11"/>
      <c r="E137" s="11"/>
      <c r="F137" s="74"/>
      <c r="G137" s="12"/>
    </row>
    <row r="138" spans="1:7" x14ac:dyDescent="0.25">
      <c r="A138" s="11"/>
      <c r="B138" s="11"/>
      <c r="C138" s="11"/>
      <c r="D138" s="11"/>
      <c r="E138" s="11"/>
      <c r="F138" s="74"/>
      <c r="G138" s="12"/>
    </row>
    <row r="139" spans="1:7" x14ac:dyDescent="0.25">
      <c r="A139" s="11"/>
      <c r="B139" s="11"/>
      <c r="C139" s="11"/>
      <c r="D139" s="11"/>
      <c r="E139" s="11"/>
      <c r="F139" s="74"/>
      <c r="G139" s="12"/>
    </row>
    <row r="140" spans="1:7" x14ac:dyDescent="0.25">
      <c r="A140" s="11"/>
      <c r="B140" s="11"/>
      <c r="C140" s="11"/>
      <c r="D140" s="11"/>
      <c r="E140" s="11"/>
      <c r="F140" s="74"/>
      <c r="G140" s="12"/>
    </row>
    <row r="141" spans="1:7" x14ac:dyDescent="0.25">
      <c r="A141" s="11"/>
      <c r="B141" s="11"/>
      <c r="C141" s="11"/>
      <c r="D141" s="11"/>
      <c r="E141" s="11"/>
      <c r="F141" s="74"/>
      <c r="G141" s="12"/>
    </row>
    <row r="142" spans="1:7" x14ac:dyDescent="0.25">
      <c r="A142" s="11"/>
      <c r="B142" s="11"/>
      <c r="C142" s="11"/>
      <c r="D142" s="11"/>
      <c r="E142" s="11"/>
      <c r="F142" s="74"/>
      <c r="G142" s="12"/>
    </row>
    <row r="143" spans="1:7" x14ac:dyDescent="0.25">
      <c r="A143" s="11"/>
      <c r="B143" s="11"/>
      <c r="C143" s="11"/>
      <c r="D143" s="11"/>
      <c r="E143" s="11"/>
      <c r="F143" s="74"/>
      <c r="G143" s="12"/>
    </row>
    <row r="144" spans="1:7" x14ac:dyDescent="0.25">
      <c r="A144" s="11"/>
      <c r="B144" s="11"/>
      <c r="C144" s="11"/>
      <c r="D144" s="11"/>
      <c r="E144" s="11"/>
      <c r="F144" s="74"/>
      <c r="G144" s="12"/>
    </row>
    <row r="145" spans="1:7" x14ac:dyDescent="0.25">
      <c r="A145" s="11"/>
      <c r="B145" s="11"/>
      <c r="C145" s="11"/>
      <c r="D145" s="11"/>
      <c r="E145" s="11"/>
      <c r="F145" s="74"/>
      <c r="G145" s="12"/>
    </row>
    <row r="146" spans="1:7" x14ac:dyDescent="0.25">
      <c r="A146" s="11"/>
      <c r="B146" s="11"/>
      <c r="C146" s="11"/>
      <c r="D146" s="11"/>
      <c r="E146" s="11"/>
      <c r="F146" s="74"/>
      <c r="G146" s="12"/>
    </row>
    <row r="147" spans="1:7" x14ac:dyDescent="0.25">
      <c r="A147" s="11"/>
      <c r="B147" s="11"/>
      <c r="C147" s="11"/>
      <c r="D147" s="11"/>
      <c r="E147" s="11"/>
      <c r="F147" s="74"/>
      <c r="G147" s="12"/>
    </row>
    <row r="148" spans="1:7" x14ac:dyDescent="0.25">
      <c r="A148" s="11"/>
      <c r="B148" s="11"/>
      <c r="C148" s="11"/>
      <c r="D148" s="11"/>
      <c r="E148" s="11"/>
      <c r="F148" s="74"/>
      <c r="G148" s="12"/>
    </row>
    <row r="149" spans="1:7" x14ac:dyDescent="0.25">
      <c r="A149" s="11"/>
      <c r="B149" s="11"/>
      <c r="C149" s="11"/>
      <c r="D149" s="11"/>
      <c r="E149" s="11"/>
      <c r="F149" s="74"/>
      <c r="G149" s="12"/>
    </row>
    <row r="150" spans="1:7" x14ac:dyDescent="0.25">
      <c r="A150" s="11"/>
      <c r="B150" s="11"/>
      <c r="C150" s="11"/>
      <c r="D150" s="11"/>
      <c r="E150" s="11"/>
      <c r="F150" s="74"/>
      <c r="G150" s="12"/>
    </row>
    <row r="151" spans="1:7" x14ac:dyDescent="0.25">
      <c r="A151" s="11"/>
      <c r="B151" s="11"/>
      <c r="C151" s="11"/>
      <c r="D151" s="11"/>
      <c r="E151" s="11"/>
      <c r="F151" s="74"/>
      <c r="G151" s="12"/>
    </row>
    <row r="152" spans="1:7" x14ac:dyDescent="0.25">
      <c r="A152" s="11"/>
      <c r="B152" s="11"/>
      <c r="C152" s="11"/>
      <c r="D152" s="11"/>
      <c r="E152" s="11"/>
      <c r="F152" s="74"/>
      <c r="G152" s="12"/>
    </row>
    <row r="153" spans="1:7" x14ac:dyDescent="0.25">
      <c r="A153" s="11"/>
      <c r="B153" s="11"/>
      <c r="C153" s="11"/>
      <c r="D153" s="11"/>
      <c r="E153" s="11"/>
      <c r="F153" s="74"/>
      <c r="G153" s="12"/>
    </row>
    <row r="154" spans="1:7" x14ac:dyDescent="0.25">
      <c r="A154" s="11"/>
      <c r="B154" s="11"/>
      <c r="C154" s="11"/>
      <c r="D154" s="11"/>
      <c r="E154" s="11"/>
      <c r="F154" s="74"/>
      <c r="G154" s="12"/>
    </row>
    <row r="155" spans="1:7" x14ac:dyDescent="0.25">
      <c r="A155" s="11"/>
      <c r="B155" s="11"/>
      <c r="C155" s="11"/>
      <c r="D155" s="11"/>
      <c r="E155" s="11"/>
      <c r="F155" s="74"/>
      <c r="G155" s="12"/>
    </row>
    <row r="156" spans="1:7" x14ac:dyDescent="0.25">
      <c r="A156" s="11"/>
      <c r="B156" s="11"/>
      <c r="C156" s="11"/>
      <c r="D156" s="11"/>
      <c r="E156" s="11"/>
      <c r="F156" s="74"/>
      <c r="G156" s="12"/>
    </row>
    <row r="157" spans="1:7" x14ac:dyDescent="0.25">
      <c r="A157" s="11"/>
      <c r="B157" s="11"/>
      <c r="C157" s="11"/>
      <c r="D157" s="11"/>
      <c r="E157" s="11"/>
      <c r="F157" s="74"/>
      <c r="G157" s="12"/>
    </row>
    <row r="158" spans="1:7" x14ac:dyDescent="0.25">
      <c r="A158" s="11"/>
      <c r="B158" s="11"/>
      <c r="C158" s="11"/>
      <c r="D158" s="11"/>
      <c r="E158" s="11"/>
      <c r="F158" s="74"/>
      <c r="G158" s="12"/>
    </row>
    <row r="159" spans="1:7" x14ac:dyDescent="0.25">
      <c r="A159" s="11"/>
      <c r="B159" s="11"/>
      <c r="C159" s="11"/>
      <c r="D159" s="11"/>
      <c r="E159" s="11"/>
      <c r="F159" s="74"/>
      <c r="G159" s="12"/>
    </row>
    <row r="160" spans="1:7" x14ac:dyDescent="0.25">
      <c r="A160" s="11"/>
      <c r="B160" s="11"/>
      <c r="C160" s="11"/>
      <c r="D160" s="11"/>
      <c r="E160" s="11"/>
      <c r="F160" s="74"/>
      <c r="G160" s="12"/>
    </row>
    <row r="161" spans="1:7" x14ac:dyDescent="0.25">
      <c r="A161" s="11"/>
      <c r="B161" s="11"/>
      <c r="C161" s="11"/>
      <c r="D161" s="11"/>
      <c r="E161" s="11"/>
      <c r="F161" s="74"/>
      <c r="G161" s="12"/>
    </row>
    <row r="162" spans="1:7" x14ac:dyDescent="0.25">
      <c r="A162" s="11"/>
      <c r="B162" s="11"/>
      <c r="C162" s="11"/>
      <c r="D162" s="11"/>
      <c r="E162" s="11"/>
      <c r="F162" s="74"/>
      <c r="G162" s="12"/>
    </row>
    <row r="163" spans="1:7" x14ac:dyDescent="0.25">
      <c r="A163" s="11"/>
      <c r="B163" s="11"/>
      <c r="C163" s="11"/>
      <c r="D163" s="11"/>
      <c r="E163" s="11"/>
      <c r="F163" s="74"/>
      <c r="G163" s="12"/>
    </row>
    <row r="164" spans="1:7" x14ac:dyDescent="0.25">
      <c r="A164" s="11"/>
      <c r="B164" s="11"/>
      <c r="C164" s="11"/>
      <c r="D164" s="11"/>
      <c r="E164" s="11"/>
      <c r="F164" s="74"/>
      <c r="G164" s="12"/>
    </row>
    <row r="165" spans="1:7" x14ac:dyDescent="0.25">
      <c r="A165" s="11"/>
      <c r="B165" s="11"/>
      <c r="C165" s="11"/>
      <c r="D165" s="11"/>
      <c r="E165" s="11"/>
      <c r="F165" s="74"/>
      <c r="G165" s="12"/>
    </row>
    <row r="166" spans="1:7" x14ac:dyDescent="0.25">
      <c r="A166" s="11"/>
      <c r="B166" s="11"/>
      <c r="C166" s="11"/>
      <c r="D166" s="11"/>
      <c r="E166" s="11"/>
      <c r="F166" s="74"/>
      <c r="G166" s="12"/>
    </row>
    <row r="167" spans="1:7" x14ac:dyDescent="0.25">
      <c r="A167" s="11"/>
      <c r="B167" s="11"/>
      <c r="C167" s="11"/>
      <c r="D167" s="11"/>
      <c r="E167" s="11"/>
      <c r="F167" s="74"/>
      <c r="G167" s="12"/>
    </row>
    <row r="168" spans="1:7" x14ac:dyDescent="0.25">
      <c r="A168" s="11"/>
      <c r="B168" s="11"/>
      <c r="C168" s="11"/>
      <c r="D168" s="11"/>
      <c r="E168" s="11"/>
      <c r="F168" s="74"/>
      <c r="G168" s="12"/>
    </row>
    <row r="169" spans="1:7" x14ac:dyDescent="0.25">
      <c r="A169" s="11"/>
      <c r="B169" s="11"/>
      <c r="C169" s="11"/>
      <c r="D169" s="11"/>
      <c r="E169" s="11"/>
      <c r="F169" s="74"/>
      <c r="G169" s="12"/>
    </row>
    <row r="170" spans="1:7" x14ac:dyDescent="0.25">
      <c r="A170" s="11"/>
      <c r="B170" s="11"/>
      <c r="C170" s="11"/>
      <c r="D170" s="11"/>
      <c r="E170" s="11"/>
      <c r="F170" s="74"/>
      <c r="G170" s="12"/>
    </row>
    <row r="171" spans="1:7" x14ac:dyDescent="0.25">
      <c r="A171" s="11"/>
      <c r="B171" s="11"/>
      <c r="C171" s="11"/>
      <c r="D171" s="11"/>
      <c r="E171" s="11"/>
      <c r="F171" s="74"/>
      <c r="G171" s="12"/>
    </row>
    <row r="172" spans="1:7" x14ac:dyDescent="0.25">
      <c r="A172" s="11"/>
      <c r="B172" s="11"/>
      <c r="C172" s="11"/>
      <c r="D172" s="11"/>
      <c r="E172" s="11"/>
      <c r="F172" s="74"/>
      <c r="G172" s="12"/>
    </row>
    <row r="173" spans="1:7" x14ac:dyDescent="0.25">
      <c r="A173" s="11"/>
      <c r="B173" s="11"/>
      <c r="C173" s="11"/>
      <c r="D173" s="11"/>
      <c r="E173" s="11"/>
      <c r="F173" s="74"/>
      <c r="G173" s="12"/>
    </row>
    <row r="174" spans="1:7" x14ac:dyDescent="0.25">
      <c r="A174" s="11"/>
      <c r="B174" s="11"/>
      <c r="C174" s="11"/>
      <c r="D174" s="11"/>
      <c r="E174" s="11"/>
      <c r="F174" s="74"/>
      <c r="G174" s="12"/>
    </row>
    <row r="175" spans="1:7" x14ac:dyDescent="0.25">
      <c r="A175" s="11"/>
      <c r="B175" s="11"/>
      <c r="C175" s="11"/>
      <c r="D175" s="11"/>
      <c r="E175" s="11"/>
      <c r="F175" s="74"/>
      <c r="G175" s="12"/>
    </row>
    <row r="176" spans="1:7" x14ac:dyDescent="0.25">
      <c r="A176" s="11"/>
      <c r="B176" s="11"/>
      <c r="C176" s="11"/>
      <c r="D176" s="11"/>
      <c r="E176" s="11"/>
      <c r="F176" s="74"/>
      <c r="G176" s="12"/>
    </row>
    <row r="177" spans="1:7" x14ac:dyDescent="0.25">
      <c r="A177" s="11"/>
      <c r="B177" s="11"/>
      <c r="C177" s="11"/>
      <c r="D177" s="11"/>
      <c r="E177" s="11"/>
      <c r="F177" s="74"/>
      <c r="G177" s="12"/>
    </row>
    <row r="178" spans="1:7" x14ac:dyDescent="0.25">
      <c r="A178" s="11"/>
      <c r="B178" s="11"/>
      <c r="C178" s="11"/>
      <c r="D178" s="11"/>
      <c r="E178" s="11"/>
      <c r="F178" s="74"/>
      <c r="G178" s="12"/>
    </row>
    <row r="179" spans="1:7" x14ac:dyDescent="0.25">
      <c r="A179" s="11"/>
      <c r="B179" s="11"/>
      <c r="C179" s="11"/>
      <c r="D179" s="11"/>
      <c r="E179" s="11"/>
      <c r="F179" s="74"/>
      <c r="G179" s="12"/>
    </row>
    <row r="180" spans="1:7" x14ac:dyDescent="0.25">
      <c r="A180" s="11"/>
      <c r="B180" s="11"/>
      <c r="C180" s="11"/>
      <c r="D180" s="11"/>
      <c r="E180" s="11"/>
      <c r="F180" s="74"/>
      <c r="G180" s="12"/>
    </row>
    <row r="181" spans="1:7" x14ac:dyDescent="0.25">
      <c r="A181" s="11"/>
      <c r="B181" s="11"/>
      <c r="C181" s="11"/>
      <c r="D181" s="11"/>
      <c r="E181" s="11"/>
      <c r="F181" s="74"/>
      <c r="G181" s="12"/>
    </row>
    <row r="182" spans="1:7" x14ac:dyDescent="0.25">
      <c r="A182" s="11"/>
      <c r="B182" s="11"/>
      <c r="C182" s="11"/>
      <c r="D182" s="11"/>
      <c r="E182" s="11"/>
      <c r="F182" s="74"/>
      <c r="G182" s="12"/>
    </row>
    <row r="183" spans="1:7" x14ac:dyDescent="0.25">
      <c r="A183" s="11"/>
      <c r="B183" s="11"/>
      <c r="C183" s="11"/>
      <c r="D183" s="11"/>
      <c r="E183" s="11"/>
      <c r="F183" s="74"/>
      <c r="G183" s="12"/>
    </row>
    <row r="184" spans="1:7" x14ac:dyDescent="0.25">
      <c r="A184" s="11"/>
      <c r="B184" s="11"/>
      <c r="C184" s="11"/>
      <c r="D184" s="11"/>
      <c r="E184" s="11"/>
      <c r="F184" s="74"/>
      <c r="G184" s="12"/>
    </row>
    <row r="185" spans="1:7" x14ac:dyDescent="0.25">
      <c r="A185" s="11"/>
      <c r="B185" s="11"/>
      <c r="C185" s="11"/>
      <c r="D185" s="11"/>
      <c r="E185" s="11"/>
      <c r="F185" s="74"/>
      <c r="G185" s="12"/>
    </row>
    <row r="186" spans="1:7" x14ac:dyDescent="0.25">
      <c r="A186" s="11"/>
      <c r="B186" s="11"/>
      <c r="C186" s="11"/>
      <c r="D186" s="11"/>
      <c r="E186" s="11"/>
      <c r="F186" s="74"/>
      <c r="G186" s="12"/>
    </row>
    <row r="187" spans="1:7" x14ac:dyDescent="0.25">
      <c r="A187" s="11"/>
      <c r="B187" s="11"/>
      <c r="C187" s="11"/>
      <c r="D187" s="11"/>
      <c r="E187" s="11"/>
      <c r="F187" s="74"/>
      <c r="G187" s="12"/>
    </row>
    <row r="188" spans="1:7" x14ac:dyDescent="0.25">
      <c r="A188" s="11"/>
      <c r="B188" s="11"/>
      <c r="C188" s="11"/>
      <c r="D188" s="11"/>
      <c r="E188" s="11"/>
      <c r="F188" s="74"/>
      <c r="G188" s="12"/>
    </row>
    <row r="189" spans="1:7" x14ac:dyDescent="0.25">
      <c r="A189" s="11"/>
      <c r="B189" s="11"/>
      <c r="C189" s="11"/>
      <c r="D189" s="11"/>
      <c r="E189" s="11"/>
      <c r="F189" s="74"/>
      <c r="G189" s="12"/>
    </row>
    <row r="190" spans="1:7" x14ac:dyDescent="0.25">
      <c r="A190" s="11"/>
      <c r="B190" s="11"/>
      <c r="C190" s="11"/>
      <c r="D190" s="11"/>
      <c r="E190" s="11"/>
      <c r="F190" s="74"/>
      <c r="G190" s="12"/>
    </row>
    <row r="191" spans="1:7" x14ac:dyDescent="0.25">
      <c r="A191" s="11"/>
      <c r="B191" s="11"/>
      <c r="C191" s="11"/>
      <c r="D191" s="11"/>
      <c r="E191" s="11"/>
      <c r="F191" s="74"/>
      <c r="G191" s="12"/>
    </row>
    <row r="192" spans="1:7" x14ac:dyDescent="0.25">
      <c r="A192" s="11"/>
      <c r="B192" s="11"/>
      <c r="C192" s="11"/>
      <c r="D192" s="11"/>
      <c r="E192" s="11"/>
      <c r="F192" s="74"/>
      <c r="G192" s="12"/>
    </row>
    <row r="193" spans="1:7" x14ac:dyDescent="0.25">
      <c r="A193" s="11"/>
      <c r="B193" s="11"/>
      <c r="C193" s="11"/>
      <c r="D193" s="11"/>
      <c r="E193" s="11"/>
      <c r="F193" s="74"/>
      <c r="G193" s="12"/>
    </row>
    <row r="194" spans="1:7" x14ac:dyDescent="0.25">
      <c r="A194" s="11"/>
      <c r="B194" s="11"/>
      <c r="C194" s="11"/>
      <c r="D194" s="11"/>
      <c r="E194" s="11"/>
      <c r="F194" s="74"/>
      <c r="G194" s="12"/>
    </row>
    <row r="195" spans="1:7" x14ac:dyDescent="0.25">
      <c r="A195" s="11"/>
      <c r="B195" s="11"/>
      <c r="C195" s="11"/>
      <c r="D195" s="11"/>
      <c r="E195" s="11"/>
      <c r="F195" s="74"/>
      <c r="G195" s="12"/>
    </row>
    <row r="196" spans="1:7" x14ac:dyDescent="0.25">
      <c r="A196" s="11"/>
      <c r="B196" s="11"/>
      <c r="C196" s="11"/>
      <c r="D196" s="11"/>
      <c r="E196" s="11"/>
      <c r="F196" s="74"/>
      <c r="G196" s="12"/>
    </row>
    <row r="197" spans="1:7" x14ac:dyDescent="0.25">
      <c r="A197" s="11"/>
      <c r="B197" s="11"/>
      <c r="C197" s="11"/>
      <c r="D197" s="11"/>
      <c r="E197" s="11"/>
      <c r="F197" s="74"/>
      <c r="G197" s="12"/>
    </row>
    <row r="198" spans="1:7" x14ac:dyDescent="0.25">
      <c r="A198" s="11"/>
      <c r="B198" s="11"/>
      <c r="C198" s="11"/>
      <c r="D198" s="11"/>
      <c r="E198" s="11"/>
      <c r="F198" s="74"/>
      <c r="G198" s="12"/>
    </row>
    <row r="199" spans="1:7" x14ac:dyDescent="0.25">
      <c r="A199" s="11"/>
      <c r="B199" s="11"/>
      <c r="C199" s="11"/>
      <c r="D199" s="11"/>
      <c r="E199" s="11"/>
      <c r="F199" s="74"/>
      <c r="G199" s="12"/>
    </row>
    <row r="200" spans="1:7" x14ac:dyDescent="0.25">
      <c r="A200" s="11"/>
      <c r="B200" s="11"/>
      <c r="C200" s="11"/>
      <c r="D200" s="11"/>
      <c r="E200" s="11"/>
      <c r="F200" s="74"/>
      <c r="G200" s="12"/>
    </row>
    <row r="201" spans="1:7" x14ac:dyDescent="0.25">
      <c r="A201" s="11"/>
      <c r="B201" s="11"/>
      <c r="C201" s="11"/>
      <c r="D201" s="11"/>
      <c r="E201" s="11"/>
      <c r="F201" s="74"/>
      <c r="G201" s="12"/>
    </row>
    <row r="202" spans="1:7" x14ac:dyDescent="0.25">
      <c r="A202" s="11"/>
      <c r="B202" s="11"/>
      <c r="C202" s="11"/>
      <c r="D202" s="11"/>
      <c r="E202" s="11"/>
      <c r="F202" s="74"/>
      <c r="G202" s="12"/>
    </row>
    <row r="203" spans="1:7" x14ac:dyDescent="0.25">
      <c r="A203" s="11"/>
      <c r="B203" s="11"/>
      <c r="C203" s="11"/>
      <c r="D203" s="11"/>
      <c r="E203" s="11"/>
      <c r="F203" s="74"/>
      <c r="G203" s="12"/>
    </row>
    <row r="204" spans="1:7" x14ac:dyDescent="0.25">
      <c r="A204" s="11"/>
      <c r="B204" s="11"/>
      <c r="C204" s="11"/>
      <c r="D204" s="11"/>
      <c r="E204" s="11"/>
      <c r="F204" s="74"/>
      <c r="G204" s="12"/>
    </row>
    <row r="205" spans="1:7" x14ac:dyDescent="0.25">
      <c r="A205" s="11"/>
      <c r="B205" s="11"/>
      <c r="C205" s="11"/>
      <c r="D205" s="11"/>
      <c r="E205" s="11"/>
      <c r="F205" s="74"/>
      <c r="G205" s="12"/>
    </row>
    <row r="206" spans="1:7" x14ac:dyDescent="0.25">
      <c r="A206" s="11"/>
      <c r="B206" s="11"/>
      <c r="C206" s="11"/>
      <c r="D206" s="11"/>
      <c r="E206" s="11"/>
      <c r="F206" s="74"/>
      <c r="G206" s="12"/>
    </row>
    <row r="207" spans="1:7" x14ac:dyDescent="0.25">
      <c r="A207" s="11"/>
      <c r="B207" s="11"/>
      <c r="C207" s="11"/>
      <c r="D207" s="11"/>
      <c r="E207" s="11"/>
      <c r="F207" s="74"/>
      <c r="G207" s="12"/>
    </row>
    <row r="208" spans="1:7" x14ac:dyDescent="0.25">
      <c r="A208" s="11"/>
      <c r="B208" s="11"/>
      <c r="C208" s="11"/>
      <c r="D208" s="11"/>
      <c r="E208" s="11"/>
      <c r="F208" s="74"/>
      <c r="G208" s="12"/>
    </row>
    <row r="209" spans="1:7" x14ac:dyDescent="0.25">
      <c r="A209" s="11"/>
      <c r="B209" s="11"/>
      <c r="C209" s="11"/>
      <c r="D209" s="11"/>
      <c r="E209" s="11"/>
      <c r="F209" s="74"/>
      <c r="G209" s="12"/>
    </row>
    <row r="210" spans="1:7" x14ac:dyDescent="0.25">
      <c r="A210" s="11"/>
      <c r="B210" s="11"/>
      <c r="C210" s="11"/>
      <c r="D210" s="11"/>
      <c r="E210" s="11"/>
      <c r="F210" s="74"/>
      <c r="G210" s="12"/>
    </row>
    <row r="211" spans="1:7" x14ac:dyDescent="0.25">
      <c r="A211" s="11"/>
      <c r="B211" s="11"/>
      <c r="C211" s="11"/>
      <c r="D211" s="11"/>
      <c r="E211" s="11"/>
      <c r="F211" s="74"/>
      <c r="G211" s="12"/>
    </row>
    <row r="212" spans="1:7" x14ac:dyDescent="0.25">
      <c r="A212" s="11"/>
      <c r="B212" s="11"/>
      <c r="C212" s="11"/>
      <c r="D212" s="11"/>
      <c r="E212" s="11"/>
      <c r="F212" s="74"/>
      <c r="G212" s="12"/>
    </row>
    <row r="213" spans="1:7" x14ac:dyDescent="0.25">
      <c r="A213" s="11"/>
      <c r="B213" s="11"/>
      <c r="C213" s="11"/>
      <c r="D213" s="11"/>
      <c r="E213" s="11"/>
      <c r="F213" s="74"/>
      <c r="G213" s="12"/>
    </row>
    <row r="214" spans="1:7" x14ac:dyDescent="0.25">
      <c r="A214" s="11"/>
      <c r="B214" s="11"/>
      <c r="C214" s="11"/>
      <c r="D214" s="11"/>
      <c r="E214" s="11"/>
      <c r="F214" s="74"/>
      <c r="G214" s="12"/>
    </row>
    <row r="215" spans="1:7" x14ac:dyDescent="0.25">
      <c r="A215" s="11"/>
      <c r="B215" s="11"/>
      <c r="C215" s="11"/>
      <c r="D215" s="11"/>
      <c r="E215" s="11"/>
      <c r="F215" s="74"/>
      <c r="G215" s="12"/>
    </row>
    <row r="216" spans="1:7" x14ac:dyDescent="0.25">
      <c r="A216" s="11"/>
      <c r="B216" s="11"/>
      <c r="C216" s="11"/>
      <c r="D216" s="11"/>
      <c r="E216" s="11"/>
      <c r="F216" s="74"/>
      <c r="G216" s="12"/>
    </row>
    <row r="217" spans="1:7" x14ac:dyDescent="0.25">
      <c r="A217" s="11"/>
      <c r="B217" s="11"/>
      <c r="C217" s="11"/>
      <c r="D217" s="11"/>
      <c r="E217" s="11"/>
      <c r="F217" s="74"/>
      <c r="G217" s="12"/>
    </row>
    <row r="218" spans="1:7" x14ac:dyDescent="0.25">
      <c r="A218" s="11"/>
      <c r="B218" s="11"/>
      <c r="C218" s="11"/>
      <c r="D218" s="11"/>
      <c r="E218" s="11"/>
      <c r="F218" s="74"/>
      <c r="G218" s="12"/>
    </row>
    <row r="219" spans="1:7" x14ac:dyDescent="0.25">
      <c r="A219" s="11"/>
      <c r="B219" s="11"/>
      <c r="C219" s="11"/>
      <c r="D219" s="11"/>
      <c r="E219" s="11"/>
      <c r="F219" s="74"/>
      <c r="G219" s="12"/>
    </row>
    <row r="220" spans="1:7" x14ac:dyDescent="0.25">
      <c r="A220" s="11"/>
      <c r="B220" s="11"/>
      <c r="C220" s="11"/>
      <c r="D220" s="11"/>
      <c r="E220" s="11"/>
      <c r="F220" s="74"/>
      <c r="G220" s="12"/>
    </row>
    <row r="221" spans="1:7" x14ac:dyDescent="0.25">
      <c r="A221" s="11"/>
      <c r="B221" s="11"/>
      <c r="C221" s="11"/>
      <c r="D221" s="11"/>
      <c r="E221" s="11"/>
      <c r="F221" s="74"/>
      <c r="G221" s="12"/>
    </row>
    <row r="222" spans="1:7" x14ac:dyDescent="0.25">
      <c r="A222" s="11"/>
      <c r="B222" s="11"/>
      <c r="C222" s="11"/>
      <c r="D222" s="11"/>
      <c r="E222" s="11"/>
      <c r="F222" s="74"/>
      <c r="G222" s="12"/>
    </row>
    <row r="223" spans="1:7" x14ac:dyDescent="0.25">
      <c r="A223" s="11"/>
      <c r="B223" s="11"/>
      <c r="C223" s="11"/>
      <c r="D223" s="11"/>
      <c r="E223" s="11"/>
      <c r="F223" s="74"/>
      <c r="G223" s="12"/>
    </row>
    <row r="224" spans="1:7" x14ac:dyDescent="0.25">
      <c r="A224" s="11"/>
      <c r="B224" s="11"/>
      <c r="C224" s="11"/>
      <c r="D224" s="11"/>
      <c r="E224" s="11"/>
      <c r="F224" s="74"/>
      <c r="G224" s="12"/>
    </row>
    <row r="225" spans="1:7" x14ac:dyDescent="0.25">
      <c r="A225" s="11"/>
      <c r="B225" s="11"/>
      <c r="C225" s="11"/>
      <c r="D225" s="11"/>
      <c r="E225" s="11"/>
      <c r="F225" s="74"/>
      <c r="G225" s="12"/>
    </row>
    <row r="226" spans="1:7" x14ac:dyDescent="0.25">
      <c r="A226" s="11"/>
      <c r="B226" s="11"/>
      <c r="C226" s="11"/>
      <c r="D226" s="11"/>
      <c r="E226" s="11"/>
      <c r="F226" s="74"/>
      <c r="G226" s="12"/>
    </row>
    <row r="227" spans="1:7" x14ac:dyDescent="0.25">
      <c r="A227" s="11"/>
      <c r="B227" s="11"/>
      <c r="C227" s="11"/>
      <c r="D227" s="11"/>
      <c r="E227" s="11"/>
      <c r="F227" s="74"/>
      <c r="G227" s="12"/>
    </row>
    <row r="228" spans="1:7" x14ac:dyDescent="0.25">
      <c r="A228" s="11"/>
      <c r="B228" s="11"/>
      <c r="C228" s="11"/>
      <c r="D228" s="11"/>
      <c r="E228" s="11"/>
      <c r="F228" s="74"/>
      <c r="G228" s="12"/>
    </row>
    <row r="229" spans="1:7" x14ac:dyDescent="0.25">
      <c r="A229" s="11"/>
      <c r="B229" s="11"/>
      <c r="C229" s="11"/>
      <c r="D229" s="11"/>
      <c r="E229" s="11"/>
      <c r="F229" s="74"/>
      <c r="G229" s="12"/>
    </row>
    <row r="230" spans="1:7" x14ac:dyDescent="0.25">
      <c r="A230" s="11"/>
      <c r="B230" s="11"/>
      <c r="C230" s="11"/>
      <c r="D230" s="11"/>
      <c r="E230" s="11"/>
      <c r="F230" s="74"/>
      <c r="G230" s="12"/>
    </row>
    <row r="231" spans="1:7" x14ac:dyDescent="0.25">
      <c r="A231" s="11"/>
      <c r="B231" s="11"/>
      <c r="C231" s="11"/>
      <c r="D231" s="11"/>
      <c r="E231" s="11"/>
      <c r="F231" s="74"/>
      <c r="G231" s="12"/>
    </row>
    <row r="232" spans="1:7" x14ac:dyDescent="0.25">
      <c r="A232" s="11"/>
      <c r="B232" s="11"/>
      <c r="C232" s="11"/>
      <c r="D232" s="11"/>
      <c r="E232" s="11"/>
      <c r="F232" s="74"/>
      <c r="G232" s="12"/>
    </row>
    <row r="233" spans="1:7" x14ac:dyDescent="0.25">
      <c r="A233" s="11"/>
      <c r="B233" s="11"/>
      <c r="C233" s="11"/>
      <c r="D233" s="11"/>
      <c r="E233" s="11"/>
      <c r="F233" s="74"/>
      <c r="G233" s="12"/>
    </row>
    <row r="234" spans="1:7" x14ac:dyDescent="0.25">
      <c r="A234" s="11"/>
      <c r="B234" s="11"/>
      <c r="C234" s="11"/>
      <c r="D234" s="11"/>
      <c r="E234" s="11"/>
      <c r="F234" s="74"/>
      <c r="G234" s="12"/>
    </row>
    <row r="235" spans="1:7" x14ac:dyDescent="0.25">
      <c r="A235" s="11"/>
      <c r="B235" s="11"/>
      <c r="C235" s="11"/>
      <c r="D235" s="11"/>
      <c r="E235" s="11"/>
      <c r="F235" s="74"/>
      <c r="G235" s="12"/>
    </row>
    <row r="236" spans="1:7" x14ac:dyDescent="0.25">
      <c r="A236" s="11"/>
      <c r="B236" s="11"/>
      <c r="C236" s="11"/>
      <c r="D236" s="11"/>
      <c r="E236" s="11"/>
      <c r="F236" s="74"/>
      <c r="G236" s="12"/>
    </row>
    <row r="237" spans="1:7" x14ac:dyDescent="0.25">
      <c r="A237" s="11"/>
      <c r="B237" s="11"/>
      <c r="C237" s="11"/>
      <c r="D237" s="11"/>
      <c r="E237" s="11"/>
      <c r="F237" s="74"/>
      <c r="G237" s="12"/>
    </row>
    <row r="238" spans="1:7" x14ac:dyDescent="0.25">
      <c r="A238" s="11"/>
      <c r="B238" s="11"/>
      <c r="C238" s="11"/>
      <c r="D238" s="11"/>
      <c r="E238" s="11"/>
      <c r="F238" s="74"/>
      <c r="G238" s="12"/>
    </row>
    <row r="239" spans="1:7" x14ac:dyDescent="0.25">
      <c r="A239" s="11"/>
      <c r="B239" s="11"/>
      <c r="C239" s="11"/>
      <c r="D239" s="11"/>
      <c r="E239" s="11"/>
      <c r="F239" s="74"/>
      <c r="G239" s="12"/>
    </row>
    <row r="240" spans="1:7" x14ac:dyDescent="0.25">
      <c r="A240" s="11"/>
      <c r="B240" s="11"/>
      <c r="C240" s="11"/>
      <c r="D240" s="11"/>
      <c r="E240" s="11"/>
      <c r="F240" s="74"/>
      <c r="G240" s="12"/>
    </row>
    <row r="241" spans="1:7" x14ac:dyDescent="0.25">
      <c r="A241" s="11"/>
      <c r="B241" s="11"/>
      <c r="C241" s="11"/>
      <c r="D241" s="11"/>
      <c r="E241" s="11"/>
      <c r="F241" s="74"/>
      <c r="G241" s="12"/>
    </row>
    <row r="242" spans="1:7" x14ac:dyDescent="0.25">
      <c r="A242" s="11"/>
      <c r="B242" s="11"/>
      <c r="C242" s="11"/>
      <c r="D242" s="11"/>
      <c r="E242" s="11"/>
      <c r="F242" s="74"/>
      <c r="G242" s="12"/>
    </row>
    <row r="243" spans="1:7" x14ac:dyDescent="0.25">
      <c r="A243" s="11"/>
      <c r="B243" s="11"/>
      <c r="C243" s="11"/>
      <c r="D243" s="11"/>
      <c r="E243" s="11"/>
      <c r="F243" s="74"/>
      <c r="G243" s="12"/>
    </row>
    <row r="244" spans="1:7" x14ac:dyDescent="0.25">
      <c r="A244" s="11"/>
      <c r="B244" s="11"/>
      <c r="C244" s="11"/>
      <c r="D244" s="11"/>
      <c r="E244" s="11"/>
      <c r="F244" s="74"/>
      <c r="G244" s="12"/>
    </row>
    <row r="245" spans="1:7" x14ac:dyDescent="0.25">
      <c r="A245" s="11"/>
      <c r="B245" s="11"/>
      <c r="C245" s="11"/>
      <c r="D245" s="11"/>
      <c r="E245" s="11"/>
      <c r="F245" s="74"/>
      <c r="G245" s="12"/>
    </row>
    <row r="246" spans="1:7" x14ac:dyDescent="0.25">
      <c r="A246" s="11"/>
      <c r="B246" s="11"/>
      <c r="C246" s="11"/>
      <c r="D246" s="11"/>
      <c r="E246" s="11"/>
      <c r="F246" s="74"/>
      <c r="G246" s="12"/>
    </row>
    <row r="247" spans="1:7" x14ac:dyDescent="0.25">
      <c r="A247" s="11"/>
      <c r="B247" s="11"/>
      <c r="C247" s="11"/>
      <c r="D247" s="11"/>
      <c r="E247" s="11"/>
      <c r="F247" s="74"/>
      <c r="G247" s="12"/>
    </row>
    <row r="248" spans="1:7" x14ac:dyDescent="0.25">
      <c r="A248" s="11"/>
      <c r="B248" s="11"/>
      <c r="C248" s="11"/>
      <c r="D248" s="11"/>
      <c r="E248" s="11"/>
      <c r="F248" s="74"/>
      <c r="G248" s="12"/>
    </row>
    <row r="249" spans="1:7" x14ac:dyDescent="0.25">
      <c r="A249" s="11"/>
      <c r="B249" s="11"/>
      <c r="C249" s="11"/>
      <c r="D249" s="11"/>
      <c r="E249" s="11"/>
      <c r="F249" s="74"/>
      <c r="G249" s="12"/>
    </row>
    <row r="250" spans="1:7" x14ac:dyDescent="0.25">
      <c r="A250" s="11"/>
      <c r="B250" s="11"/>
      <c r="C250" s="11"/>
      <c r="D250" s="11"/>
      <c r="E250" s="11"/>
      <c r="F250" s="74"/>
      <c r="G250" s="12"/>
    </row>
    <row r="251" spans="1:7" x14ac:dyDescent="0.25">
      <c r="A251" s="11"/>
      <c r="B251" s="11"/>
      <c r="C251" s="11"/>
      <c r="D251" s="11"/>
      <c r="E251" s="11"/>
      <c r="F251" s="74"/>
      <c r="G251" s="12"/>
    </row>
    <row r="252" spans="1:7" x14ac:dyDescent="0.25">
      <c r="A252" s="11"/>
      <c r="B252" s="11"/>
      <c r="C252" s="11"/>
      <c r="D252" s="11"/>
      <c r="E252" s="11"/>
      <c r="F252" s="74"/>
      <c r="G252" s="12"/>
    </row>
    <row r="253" spans="1:7" x14ac:dyDescent="0.25">
      <c r="A253" s="11"/>
      <c r="B253" s="11"/>
      <c r="C253" s="11"/>
      <c r="D253" s="11"/>
      <c r="E253" s="11"/>
      <c r="F253" s="74"/>
      <c r="G253" s="12"/>
    </row>
    <row r="254" spans="1:7" x14ac:dyDescent="0.25">
      <c r="A254" s="11"/>
      <c r="B254" s="11"/>
      <c r="C254" s="11"/>
      <c r="D254" s="11"/>
      <c r="E254" s="11"/>
      <c r="F254" s="74"/>
      <c r="G254" s="12"/>
    </row>
    <row r="255" spans="1:7" x14ac:dyDescent="0.25">
      <c r="A255" s="11"/>
      <c r="B255" s="11"/>
      <c r="C255" s="11"/>
      <c r="D255" s="11"/>
      <c r="E255" s="11"/>
      <c r="F255" s="74"/>
      <c r="G255" s="12"/>
    </row>
    <row r="256" spans="1:7" x14ac:dyDescent="0.25">
      <c r="A256" s="11"/>
      <c r="B256" s="11"/>
      <c r="C256" s="11"/>
      <c r="D256" s="11"/>
      <c r="E256" s="11"/>
      <c r="F256" s="74"/>
      <c r="G256" s="12"/>
    </row>
    <row r="257" spans="1:7" x14ac:dyDescent="0.25">
      <c r="A257" s="11"/>
      <c r="B257" s="11"/>
      <c r="C257" s="11"/>
      <c r="D257" s="11"/>
      <c r="E257" s="11"/>
      <c r="F257" s="74"/>
      <c r="G257" s="12"/>
    </row>
    <row r="258" spans="1:7" x14ac:dyDescent="0.25">
      <c r="A258" s="11"/>
      <c r="B258" s="11"/>
      <c r="C258" s="11"/>
      <c r="D258" s="11"/>
      <c r="E258" s="11"/>
      <c r="F258" s="74"/>
      <c r="G258" s="12"/>
    </row>
    <row r="259" spans="1:7" x14ac:dyDescent="0.25">
      <c r="A259" s="11"/>
      <c r="B259" s="11"/>
      <c r="C259" s="11"/>
      <c r="D259" s="11"/>
      <c r="E259" s="11"/>
      <c r="F259" s="74"/>
      <c r="G259" s="12"/>
    </row>
    <row r="260" spans="1:7" x14ac:dyDescent="0.25">
      <c r="A260" s="11"/>
      <c r="B260" s="11"/>
      <c r="C260" s="11"/>
      <c r="D260" s="11"/>
      <c r="E260" s="11"/>
      <c r="F260" s="74"/>
      <c r="G260" s="12"/>
    </row>
    <row r="261" spans="1:7" x14ac:dyDescent="0.25">
      <c r="A261" s="11"/>
      <c r="B261" s="11"/>
      <c r="C261" s="11"/>
      <c r="D261" s="11"/>
      <c r="E261" s="11"/>
      <c r="F261" s="74"/>
      <c r="G261" s="12"/>
    </row>
    <row r="262" spans="1:7" x14ac:dyDescent="0.25">
      <c r="A262" s="11"/>
      <c r="B262" s="11"/>
      <c r="C262" s="11"/>
      <c r="D262" s="11"/>
      <c r="E262" s="11"/>
      <c r="F262" s="74"/>
      <c r="G262" s="12"/>
    </row>
    <row r="263" spans="1:7" x14ac:dyDescent="0.25">
      <c r="A263" s="11"/>
      <c r="B263" s="11"/>
      <c r="C263" s="11"/>
      <c r="D263" s="11"/>
      <c r="E263" s="11"/>
      <c r="F263" s="74"/>
      <c r="G263" s="12"/>
    </row>
    <row r="264" spans="1:7" x14ac:dyDescent="0.25">
      <c r="A264" s="11"/>
      <c r="B264" s="11"/>
      <c r="C264" s="11"/>
      <c r="D264" s="11"/>
      <c r="E264" s="11"/>
      <c r="F264" s="74"/>
      <c r="G264" s="12"/>
    </row>
    <row r="265" spans="1:7" x14ac:dyDescent="0.25">
      <c r="A265" s="11"/>
      <c r="B265" s="11"/>
      <c r="C265" s="11"/>
      <c r="D265" s="11"/>
      <c r="E265" s="11"/>
      <c r="F265" s="74"/>
      <c r="G265" s="12"/>
    </row>
    <row r="266" spans="1:7" x14ac:dyDescent="0.25">
      <c r="A266" s="11"/>
      <c r="B266" s="11"/>
      <c r="C266" s="11"/>
      <c r="D266" s="11"/>
      <c r="E266" s="11"/>
      <c r="F266" s="74"/>
      <c r="G266" s="12"/>
    </row>
    <row r="267" spans="1:7" x14ac:dyDescent="0.25">
      <c r="A267" s="11"/>
      <c r="B267" s="11"/>
      <c r="C267" s="11"/>
      <c r="D267" s="11"/>
      <c r="E267" s="11"/>
      <c r="F267" s="74"/>
      <c r="G267" s="12"/>
    </row>
    <row r="268" spans="1:7" x14ac:dyDescent="0.25">
      <c r="A268" s="11"/>
      <c r="B268" s="11"/>
      <c r="C268" s="11"/>
      <c r="D268" s="11"/>
      <c r="E268" s="11"/>
      <c r="F268" s="74"/>
      <c r="G268" s="12"/>
    </row>
    <row r="269" spans="1:7" x14ac:dyDescent="0.25">
      <c r="A269" s="11"/>
      <c r="B269" s="11"/>
      <c r="C269" s="11"/>
      <c r="D269" s="11"/>
      <c r="E269" s="11"/>
      <c r="F269" s="74"/>
      <c r="G269" s="12"/>
    </row>
    <row r="270" spans="1:7" x14ac:dyDescent="0.25">
      <c r="A270" s="11"/>
      <c r="B270" s="11"/>
      <c r="C270" s="11"/>
      <c r="D270" s="11"/>
      <c r="E270" s="11"/>
      <c r="F270" s="74"/>
      <c r="G270" s="12"/>
    </row>
    <row r="271" spans="1:7" x14ac:dyDescent="0.25">
      <c r="A271" s="11"/>
      <c r="B271" s="11"/>
      <c r="C271" s="11"/>
      <c r="D271" s="11"/>
      <c r="E271" s="11"/>
      <c r="F271" s="74"/>
      <c r="G271" s="12"/>
    </row>
    <row r="272" spans="1:7" x14ac:dyDescent="0.25">
      <c r="A272" s="11"/>
      <c r="B272" s="11"/>
      <c r="C272" s="11"/>
      <c r="D272" s="11"/>
      <c r="E272" s="11"/>
      <c r="F272" s="74"/>
      <c r="G272" s="12"/>
    </row>
    <row r="273" spans="1:7" x14ac:dyDescent="0.25">
      <c r="A273" s="11"/>
      <c r="B273" s="11"/>
      <c r="C273" s="11"/>
      <c r="D273" s="11"/>
      <c r="E273" s="11"/>
      <c r="F273" s="74"/>
      <c r="G273" s="12"/>
    </row>
    <row r="274" spans="1:7" x14ac:dyDescent="0.25">
      <c r="A274" s="11"/>
      <c r="B274" s="11"/>
      <c r="C274" s="11"/>
      <c r="D274" s="11"/>
      <c r="E274" s="11"/>
      <c r="F274" s="74"/>
      <c r="G274" s="12"/>
    </row>
    <row r="275" spans="1:7" x14ac:dyDescent="0.25">
      <c r="A275" s="11"/>
      <c r="B275" s="11"/>
      <c r="C275" s="11"/>
      <c r="D275" s="11"/>
      <c r="E275" s="11"/>
      <c r="F275" s="74"/>
      <c r="G275" s="12"/>
    </row>
    <row r="276" spans="1:7" x14ac:dyDescent="0.25">
      <c r="A276" s="11"/>
      <c r="B276" s="11"/>
      <c r="C276" s="11"/>
      <c r="D276" s="11"/>
      <c r="E276" s="11"/>
      <c r="F276" s="74"/>
      <c r="G276" s="12"/>
    </row>
    <row r="277" spans="1:7" x14ac:dyDescent="0.25">
      <c r="A277" s="11"/>
      <c r="B277" s="11"/>
      <c r="C277" s="11"/>
      <c r="D277" s="11"/>
      <c r="E277" s="11"/>
      <c r="F277" s="74"/>
      <c r="G277" s="12"/>
    </row>
    <row r="278" spans="1:7" x14ac:dyDescent="0.25">
      <c r="A278" s="11"/>
      <c r="B278" s="11"/>
      <c r="C278" s="11"/>
      <c r="D278" s="11"/>
      <c r="E278" s="11"/>
      <c r="F278" s="74"/>
      <c r="G278" s="12"/>
    </row>
    <row r="279" spans="1:7" x14ac:dyDescent="0.25">
      <c r="A279" s="11"/>
      <c r="B279" s="11"/>
      <c r="C279" s="11"/>
      <c r="D279" s="11"/>
      <c r="E279" s="11"/>
      <c r="F279" s="74"/>
      <c r="G279" s="12"/>
    </row>
    <row r="280" spans="1:7" x14ac:dyDescent="0.25">
      <c r="A280" s="11"/>
      <c r="B280" s="11"/>
      <c r="C280" s="11"/>
      <c r="D280" s="11"/>
      <c r="E280" s="11"/>
      <c r="F280" s="74"/>
      <c r="G280" s="12"/>
    </row>
    <row r="281" spans="1:7" x14ac:dyDescent="0.25">
      <c r="A281" s="11"/>
      <c r="B281" s="11"/>
      <c r="C281" s="11"/>
      <c r="D281" s="11"/>
      <c r="E281" s="11"/>
      <c r="F281" s="74"/>
      <c r="G281" s="12"/>
    </row>
    <row r="282" spans="1:7" x14ac:dyDescent="0.25">
      <c r="A282" s="11"/>
      <c r="B282" s="11"/>
      <c r="C282" s="11"/>
      <c r="D282" s="11"/>
      <c r="E282" s="11"/>
      <c r="F282" s="74"/>
      <c r="G282" s="12"/>
    </row>
    <row r="283" spans="1:7" x14ac:dyDescent="0.25">
      <c r="A283" s="11"/>
      <c r="B283" s="11"/>
      <c r="C283" s="11"/>
      <c r="D283" s="11"/>
      <c r="E283" s="11"/>
      <c r="F283" s="74"/>
      <c r="G283" s="12"/>
    </row>
    <row r="284" spans="1:7" x14ac:dyDescent="0.25">
      <c r="A284" s="11"/>
      <c r="B284" s="11"/>
      <c r="C284" s="11"/>
      <c r="D284" s="11"/>
      <c r="E284" s="11"/>
      <c r="F284" s="74"/>
      <c r="G284" s="12"/>
    </row>
    <row r="285" spans="1:7" x14ac:dyDescent="0.25">
      <c r="A285" s="11"/>
      <c r="B285" s="11"/>
      <c r="C285" s="11"/>
      <c r="D285" s="11"/>
      <c r="E285" s="11"/>
      <c r="F285" s="74"/>
      <c r="G285" s="12"/>
    </row>
    <row r="286" spans="1:7" x14ac:dyDescent="0.25">
      <c r="A286" s="11"/>
      <c r="B286" s="11"/>
      <c r="C286" s="11"/>
      <c r="D286" s="11"/>
      <c r="E286" s="11"/>
      <c r="F286" s="74"/>
      <c r="G286" s="12"/>
    </row>
    <row r="287" spans="1:7" x14ac:dyDescent="0.25">
      <c r="A287" s="11"/>
      <c r="B287" s="11"/>
      <c r="C287" s="11"/>
      <c r="D287" s="11"/>
      <c r="E287" s="11"/>
      <c r="F287" s="74"/>
      <c r="G287" s="12"/>
    </row>
    <row r="288" spans="1:7" x14ac:dyDescent="0.25">
      <c r="A288" s="11"/>
      <c r="B288" s="11"/>
      <c r="C288" s="11"/>
      <c r="D288" s="11"/>
      <c r="E288" s="11"/>
      <c r="F288" s="74"/>
      <c r="G288" s="12"/>
    </row>
    <row r="289" spans="1:7" x14ac:dyDescent="0.25">
      <c r="A289" s="11"/>
      <c r="B289" s="11"/>
      <c r="C289" s="11"/>
      <c r="D289" s="11"/>
      <c r="E289" s="11"/>
      <c r="F289" s="74"/>
      <c r="G289" s="12"/>
    </row>
    <row r="290" spans="1:7" x14ac:dyDescent="0.25">
      <c r="A290" s="11"/>
      <c r="B290" s="11"/>
      <c r="C290" s="11"/>
      <c r="D290" s="11"/>
      <c r="E290" s="11"/>
      <c r="F290" s="74"/>
      <c r="G290" s="12"/>
    </row>
    <row r="291" spans="1:7" x14ac:dyDescent="0.25">
      <c r="A291" s="11"/>
      <c r="B291" s="11"/>
      <c r="C291" s="11"/>
      <c r="D291" s="11"/>
      <c r="E291" s="11"/>
      <c r="F291" s="74"/>
      <c r="G291" s="12"/>
    </row>
    <row r="292" spans="1:7" x14ac:dyDescent="0.25">
      <c r="A292" s="11"/>
      <c r="B292" s="11"/>
      <c r="C292" s="11"/>
      <c r="D292" s="11"/>
      <c r="E292" s="11"/>
      <c r="F292" s="74"/>
      <c r="G292" s="12"/>
    </row>
    <row r="293" spans="1:7" x14ac:dyDescent="0.25">
      <c r="A293" s="11"/>
      <c r="B293" s="11"/>
      <c r="C293" s="11"/>
      <c r="D293" s="11"/>
      <c r="E293" s="11"/>
      <c r="F293" s="74"/>
      <c r="G293" s="12"/>
    </row>
    <row r="294" spans="1:7" x14ac:dyDescent="0.25">
      <c r="A294" s="11"/>
      <c r="B294" s="11"/>
      <c r="C294" s="11"/>
      <c r="D294" s="11"/>
      <c r="E294" s="11"/>
      <c r="F294" s="74"/>
      <c r="G294" s="12"/>
    </row>
    <row r="295" spans="1:7" x14ac:dyDescent="0.25">
      <c r="A295" s="11"/>
      <c r="B295" s="11"/>
      <c r="C295" s="11"/>
      <c r="D295" s="11"/>
      <c r="E295" s="11"/>
      <c r="F295" s="74"/>
      <c r="G295" s="12"/>
    </row>
    <row r="296" spans="1:7" x14ac:dyDescent="0.25">
      <c r="A296" s="11"/>
      <c r="B296" s="11"/>
      <c r="C296" s="11"/>
      <c r="D296" s="11"/>
      <c r="E296" s="11"/>
      <c r="F296" s="74"/>
      <c r="G296" s="12"/>
    </row>
    <row r="297" spans="1:7" x14ac:dyDescent="0.25">
      <c r="A297" s="11"/>
      <c r="B297" s="11"/>
      <c r="C297" s="11"/>
      <c r="D297" s="11"/>
      <c r="E297" s="11"/>
      <c r="F297" s="74"/>
      <c r="G297" s="12"/>
    </row>
    <row r="298" spans="1:7" x14ac:dyDescent="0.25">
      <c r="A298" s="11"/>
      <c r="B298" s="11"/>
      <c r="C298" s="11"/>
      <c r="D298" s="11"/>
      <c r="E298" s="11"/>
      <c r="F298" s="74"/>
      <c r="G298" s="12"/>
    </row>
    <row r="299" spans="1:7" x14ac:dyDescent="0.25">
      <c r="A299" s="11"/>
      <c r="B299" s="11"/>
      <c r="C299" s="11"/>
      <c r="D299" s="11"/>
      <c r="E299" s="11"/>
      <c r="F299" s="74"/>
      <c r="G299" s="12"/>
    </row>
    <row r="300" spans="1:7" x14ac:dyDescent="0.25">
      <c r="A300" s="11"/>
      <c r="B300" s="11"/>
      <c r="C300" s="11"/>
      <c r="D300" s="11"/>
      <c r="E300" s="11"/>
      <c r="F300" s="74"/>
      <c r="G300" s="12"/>
    </row>
    <row r="301" spans="1:7" x14ac:dyDescent="0.25">
      <c r="A301" s="11"/>
      <c r="B301" s="11"/>
      <c r="C301" s="11"/>
      <c r="D301" s="11"/>
      <c r="E301" s="11"/>
      <c r="F301" s="74"/>
      <c r="G301" s="12"/>
    </row>
    <row r="302" spans="1:7" x14ac:dyDescent="0.25">
      <c r="A302" s="11"/>
      <c r="B302" s="11"/>
      <c r="C302" s="11"/>
      <c r="D302" s="11"/>
      <c r="E302" s="11"/>
      <c r="F302" s="74"/>
      <c r="G302" s="12"/>
    </row>
    <row r="303" spans="1:7" x14ac:dyDescent="0.25">
      <c r="A303" s="11"/>
      <c r="B303" s="11"/>
      <c r="C303" s="11"/>
      <c r="D303" s="11"/>
      <c r="E303" s="11"/>
      <c r="F303" s="74"/>
      <c r="G303" s="12"/>
    </row>
    <row r="304" spans="1:7" x14ac:dyDescent="0.25">
      <c r="A304" s="11"/>
      <c r="B304" s="11"/>
      <c r="C304" s="11"/>
      <c r="D304" s="11"/>
      <c r="E304" s="11"/>
      <c r="F304" s="74"/>
      <c r="G304" s="12"/>
    </row>
    <row r="305" spans="1:7" x14ac:dyDescent="0.25">
      <c r="A305" s="11"/>
      <c r="B305" s="11"/>
      <c r="C305" s="11"/>
      <c r="D305" s="11"/>
      <c r="E305" s="11"/>
      <c r="F305" s="74"/>
      <c r="G305" s="12"/>
    </row>
    <row r="306" spans="1:7" x14ac:dyDescent="0.25">
      <c r="A306" s="11"/>
      <c r="B306" s="11"/>
      <c r="C306" s="11"/>
      <c r="D306" s="11"/>
      <c r="E306" s="11"/>
      <c r="F306" s="74"/>
      <c r="G306" s="12"/>
    </row>
    <row r="307" spans="1:7" x14ac:dyDescent="0.25">
      <c r="A307" s="11"/>
      <c r="B307" s="11"/>
      <c r="C307" s="11"/>
      <c r="D307" s="11"/>
      <c r="E307" s="11"/>
      <c r="F307" s="74"/>
      <c r="G307" s="12"/>
    </row>
    <row r="308" spans="1:7" x14ac:dyDescent="0.25">
      <c r="A308" s="11"/>
      <c r="B308" s="11"/>
      <c r="C308" s="11"/>
      <c r="D308" s="11"/>
      <c r="E308" s="11"/>
      <c r="F308" s="74"/>
      <c r="G308" s="12"/>
    </row>
    <row r="309" spans="1:7" x14ac:dyDescent="0.25">
      <c r="A309" s="11"/>
      <c r="B309" s="11"/>
      <c r="C309" s="11"/>
      <c r="D309" s="11"/>
      <c r="E309" s="11"/>
      <c r="F309" s="74"/>
      <c r="G309" s="12"/>
    </row>
    <row r="310" spans="1:7" x14ac:dyDescent="0.25">
      <c r="A310" s="11"/>
      <c r="B310" s="11"/>
      <c r="C310" s="11"/>
      <c r="D310" s="11"/>
      <c r="E310" s="11"/>
      <c r="F310" s="74"/>
      <c r="G310" s="12"/>
    </row>
    <row r="311" spans="1:7" x14ac:dyDescent="0.25">
      <c r="A311" s="11"/>
      <c r="B311" s="11"/>
      <c r="C311" s="11"/>
      <c r="D311" s="11"/>
      <c r="E311" s="11"/>
      <c r="F311" s="74"/>
      <c r="G311" s="12"/>
    </row>
    <row r="312" spans="1:7" x14ac:dyDescent="0.25">
      <c r="A312" s="11"/>
      <c r="B312" s="11"/>
      <c r="C312" s="11"/>
      <c r="D312" s="11"/>
      <c r="E312" s="11"/>
      <c r="F312" s="74"/>
      <c r="G312" s="12"/>
    </row>
    <row r="313" spans="1:7" x14ac:dyDescent="0.25">
      <c r="A313" s="11"/>
      <c r="B313" s="11"/>
      <c r="C313" s="11"/>
      <c r="D313" s="11"/>
      <c r="E313" s="11"/>
      <c r="F313" s="74"/>
      <c r="G313" s="12"/>
    </row>
    <row r="314" spans="1:7" x14ac:dyDescent="0.25">
      <c r="A314" s="11"/>
      <c r="B314" s="11"/>
      <c r="C314" s="11"/>
      <c r="D314" s="11"/>
      <c r="E314" s="11"/>
      <c r="F314" s="74"/>
      <c r="G314" s="12"/>
    </row>
    <row r="315" spans="1:7" x14ac:dyDescent="0.25">
      <c r="A315" s="11"/>
      <c r="B315" s="11"/>
      <c r="C315" s="11"/>
      <c r="D315" s="11"/>
      <c r="E315" s="11"/>
      <c r="F315" s="74"/>
      <c r="G315" s="12"/>
    </row>
    <row r="316" spans="1:7" x14ac:dyDescent="0.25">
      <c r="A316" s="11"/>
      <c r="B316" s="11"/>
      <c r="C316" s="11"/>
      <c r="D316" s="11"/>
      <c r="E316" s="11"/>
      <c r="F316" s="74"/>
      <c r="G316" s="12"/>
    </row>
    <row r="317" spans="1:7" x14ac:dyDescent="0.25">
      <c r="A317" s="11"/>
      <c r="B317" s="11"/>
      <c r="C317" s="11"/>
      <c r="D317" s="11"/>
      <c r="E317" s="11"/>
      <c r="F317" s="74"/>
      <c r="G317" s="12"/>
    </row>
    <row r="318" spans="1:7" x14ac:dyDescent="0.25">
      <c r="A318" s="11"/>
      <c r="B318" s="11"/>
      <c r="C318" s="11"/>
      <c r="D318" s="11"/>
      <c r="E318" s="11"/>
      <c r="F318" s="74"/>
      <c r="G318" s="12"/>
    </row>
    <row r="319" spans="1:7" x14ac:dyDescent="0.25">
      <c r="A319" s="11"/>
      <c r="B319" s="11"/>
      <c r="C319" s="11"/>
      <c r="D319" s="11"/>
      <c r="E319" s="11"/>
      <c r="F319" s="74"/>
      <c r="G319" s="12"/>
    </row>
    <row r="320" spans="1:7" x14ac:dyDescent="0.25">
      <c r="A320" s="11"/>
      <c r="B320" s="11"/>
      <c r="C320" s="11"/>
      <c r="D320" s="11"/>
      <c r="E320" s="11"/>
      <c r="F320" s="74"/>
      <c r="G320" s="12"/>
    </row>
    <row r="321" spans="1:7" x14ac:dyDescent="0.25">
      <c r="A321" s="11"/>
      <c r="B321" s="11"/>
      <c r="C321" s="11"/>
      <c r="D321" s="11"/>
      <c r="E321" s="11"/>
      <c r="F321" s="74"/>
      <c r="G321" s="12"/>
    </row>
    <row r="322" spans="1:7" x14ac:dyDescent="0.25">
      <c r="A322" s="11"/>
      <c r="B322" s="11"/>
      <c r="C322" s="11"/>
      <c r="D322" s="11"/>
      <c r="E322" s="11"/>
      <c r="F322" s="74"/>
      <c r="G322" s="12"/>
    </row>
    <row r="323" spans="1:7" x14ac:dyDescent="0.25">
      <c r="A323" s="11"/>
      <c r="B323" s="11"/>
      <c r="C323" s="11"/>
      <c r="D323" s="11"/>
      <c r="E323" s="11"/>
      <c r="F323" s="74"/>
      <c r="G323" s="12"/>
    </row>
    <row r="324" spans="1:7" x14ac:dyDescent="0.25">
      <c r="A324" s="11"/>
      <c r="B324" s="11"/>
      <c r="C324" s="11"/>
      <c r="D324" s="11"/>
      <c r="E324" s="11"/>
      <c r="F324" s="74"/>
      <c r="G324" s="12"/>
    </row>
    <row r="325" spans="1:7" x14ac:dyDescent="0.25">
      <c r="A325" s="11"/>
      <c r="B325" s="11"/>
      <c r="C325" s="11"/>
      <c r="D325" s="11"/>
      <c r="E325" s="11"/>
      <c r="F325" s="74"/>
      <c r="G325" s="12"/>
    </row>
    <row r="326" spans="1:7" x14ac:dyDescent="0.25">
      <c r="A326" s="11"/>
      <c r="B326" s="11"/>
      <c r="C326" s="11"/>
      <c r="D326" s="11"/>
      <c r="E326" s="11"/>
      <c r="F326" s="74"/>
      <c r="G326" s="12"/>
    </row>
    <row r="327" spans="1:7" x14ac:dyDescent="0.25">
      <c r="A327" s="11"/>
      <c r="B327" s="11"/>
      <c r="C327" s="11"/>
      <c r="D327" s="11"/>
      <c r="E327" s="11"/>
      <c r="F327" s="74"/>
      <c r="G327" s="12"/>
    </row>
    <row r="328" spans="1:7" x14ac:dyDescent="0.25">
      <c r="A328" s="11"/>
      <c r="B328" s="11"/>
      <c r="C328" s="11"/>
      <c r="D328" s="11"/>
      <c r="E328" s="11"/>
      <c r="F328" s="74"/>
      <c r="G328" s="12"/>
    </row>
    <row r="329" spans="1:7" x14ac:dyDescent="0.25">
      <c r="A329" s="11"/>
      <c r="B329" s="11"/>
      <c r="C329" s="11"/>
      <c r="D329" s="11"/>
      <c r="E329" s="11"/>
      <c r="F329" s="74"/>
      <c r="G329" s="12"/>
    </row>
    <row r="330" spans="1:7" x14ac:dyDescent="0.25">
      <c r="A330" s="11"/>
      <c r="B330" s="11"/>
      <c r="C330" s="11"/>
      <c r="D330" s="11"/>
      <c r="E330" s="11"/>
      <c r="F330" s="74"/>
      <c r="G330" s="12"/>
    </row>
    <row r="331" spans="1:7" x14ac:dyDescent="0.25">
      <c r="A331" s="11"/>
      <c r="B331" s="11"/>
      <c r="C331" s="11"/>
      <c r="D331" s="11"/>
      <c r="E331" s="11"/>
      <c r="F331" s="74"/>
      <c r="G331" s="12"/>
    </row>
    <row r="332" spans="1:7" x14ac:dyDescent="0.25">
      <c r="A332" s="11"/>
      <c r="B332" s="11"/>
      <c r="C332" s="11"/>
      <c r="D332" s="11"/>
      <c r="E332" s="11"/>
      <c r="F332" s="74"/>
      <c r="G332" s="12"/>
    </row>
    <row r="333" spans="1:7" x14ac:dyDescent="0.25">
      <c r="A333" s="11"/>
      <c r="B333" s="11"/>
      <c r="C333" s="11"/>
      <c r="D333" s="11"/>
      <c r="E333" s="11"/>
      <c r="F333" s="74"/>
      <c r="G333" s="12"/>
    </row>
    <row r="334" spans="1:7" x14ac:dyDescent="0.25">
      <c r="A334" s="11"/>
      <c r="B334" s="11"/>
      <c r="C334" s="11"/>
      <c r="D334" s="11"/>
      <c r="E334" s="11"/>
      <c r="F334" s="74"/>
      <c r="G334" s="12"/>
    </row>
    <row r="335" spans="1:7" x14ac:dyDescent="0.25">
      <c r="A335" s="11"/>
      <c r="B335" s="11"/>
      <c r="C335" s="11"/>
      <c r="D335" s="11"/>
      <c r="E335" s="11"/>
      <c r="F335" s="74"/>
      <c r="G335" s="12"/>
    </row>
    <row r="336" spans="1:7" x14ac:dyDescent="0.25">
      <c r="A336" s="11"/>
      <c r="B336" s="11"/>
      <c r="C336" s="11"/>
      <c r="D336" s="11"/>
      <c r="E336" s="11"/>
      <c r="F336" s="74"/>
      <c r="G336" s="12"/>
    </row>
    <row r="337" spans="1:7" x14ac:dyDescent="0.25">
      <c r="A337" s="11"/>
      <c r="B337" s="11"/>
      <c r="C337" s="11"/>
      <c r="D337" s="11"/>
      <c r="E337" s="11"/>
      <c r="F337" s="74"/>
      <c r="G337" s="12"/>
    </row>
    <row r="338" spans="1:7" x14ac:dyDescent="0.25">
      <c r="A338" s="11"/>
      <c r="B338" s="11"/>
      <c r="C338" s="11"/>
      <c r="D338" s="11"/>
      <c r="E338" s="11"/>
      <c r="F338" s="74"/>
      <c r="G338" s="12"/>
    </row>
    <row r="339" spans="1:7" x14ac:dyDescent="0.25">
      <c r="A339" s="11"/>
      <c r="B339" s="11"/>
      <c r="C339" s="11"/>
      <c r="D339" s="11"/>
      <c r="E339" s="11"/>
      <c r="F339" s="74"/>
      <c r="G339" s="12"/>
    </row>
    <row r="340" spans="1:7" x14ac:dyDescent="0.25">
      <c r="A340" s="11"/>
      <c r="B340" s="11"/>
      <c r="C340" s="11"/>
      <c r="D340" s="11"/>
      <c r="E340" s="11"/>
      <c r="F340" s="74"/>
      <c r="G340" s="12"/>
    </row>
    <row r="341" spans="1:7" x14ac:dyDescent="0.25">
      <c r="A341" s="11"/>
      <c r="B341" s="11"/>
      <c r="C341" s="11"/>
      <c r="D341" s="11"/>
      <c r="E341" s="11"/>
      <c r="F341" s="74"/>
      <c r="G341" s="12"/>
    </row>
    <row r="342" spans="1:7" x14ac:dyDescent="0.25">
      <c r="A342" s="11"/>
      <c r="B342" s="11"/>
      <c r="C342" s="11"/>
      <c r="D342" s="11"/>
      <c r="E342" s="11"/>
      <c r="F342" s="74"/>
      <c r="G342" s="12"/>
    </row>
    <row r="343" spans="1:7" x14ac:dyDescent="0.25">
      <c r="A343" s="11"/>
      <c r="B343" s="11"/>
      <c r="C343" s="11"/>
      <c r="D343" s="11"/>
      <c r="E343" s="11"/>
      <c r="F343" s="74"/>
      <c r="G343" s="12"/>
    </row>
    <row r="344" spans="1:7" x14ac:dyDescent="0.25">
      <c r="A344" s="11"/>
      <c r="B344" s="11"/>
      <c r="C344" s="11"/>
      <c r="D344" s="11"/>
      <c r="E344" s="11"/>
      <c r="F344" s="74"/>
      <c r="G344" s="12"/>
    </row>
    <row r="345" spans="1:7" x14ac:dyDescent="0.25">
      <c r="A345" s="11"/>
      <c r="B345" s="11"/>
      <c r="C345" s="11"/>
      <c r="D345" s="11"/>
      <c r="E345" s="11"/>
      <c r="F345" s="74"/>
      <c r="G345" s="12"/>
    </row>
    <row r="346" spans="1:7" x14ac:dyDescent="0.25">
      <c r="A346" s="11"/>
      <c r="B346" s="11"/>
      <c r="C346" s="11"/>
      <c r="D346" s="11"/>
      <c r="E346" s="11"/>
      <c r="F346" s="74"/>
      <c r="G346" s="12"/>
    </row>
    <row r="347" spans="1:7" x14ac:dyDescent="0.25">
      <c r="A347" s="11"/>
      <c r="B347" s="11"/>
      <c r="C347" s="11"/>
      <c r="D347" s="11"/>
      <c r="E347" s="11"/>
      <c r="F347" s="74"/>
      <c r="G347" s="12"/>
    </row>
    <row r="348" spans="1:7" x14ac:dyDescent="0.25">
      <c r="A348" s="11"/>
      <c r="B348" s="11"/>
      <c r="C348" s="11"/>
      <c r="D348" s="11"/>
      <c r="E348" s="11"/>
      <c r="F348" s="74"/>
      <c r="G348" s="12"/>
    </row>
    <row r="349" spans="1:7" x14ac:dyDescent="0.25">
      <c r="A349" s="11"/>
      <c r="B349" s="11"/>
      <c r="C349" s="11"/>
      <c r="D349" s="11"/>
      <c r="E349" s="11"/>
      <c r="F349" s="74"/>
      <c r="G349" s="12"/>
    </row>
    <row r="350" spans="1:7" x14ac:dyDescent="0.25">
      <c r="A350" s="11"/>
      <c r="B350" s="11"/>
      <c r="C350" s="11"/>
      <c r="D350" s="11"/>
      <c r="E350" s="11"/>
      <c r="F350" s="74"/>
      <c r="G350" s="12"/>
    </row>
    <row r="351" spans="1:7" x14ac:dyDescent="0.25">
      <c r="A351" s="11"/>
      <c r="B351" s="11"/>
      <c r="C351" s="11"/>
      <c r="D351" s="11"/>
      <c r="E351" s="11"/>
      <c r="F351" s="74"/>
      <c r="G351" s="12"/>
    </row>
    <row r="352" spans="1:7" x14ac:dyDescent="0.25">
      <c r="A352" s="11"/>
      <c r="B352" s="11"/>
      <c r="C352" s="11"/>
      <c r="D352" s="11"/>
      <c r="E352" s="11"/>
      <c r="F352" s="74"/>
      <c r="G352" s="12"/>
    </row>
    <row r="353" spans="1:7" x14ac:dyDescent="0.25">
      <c r="A353" s="11"/>
      <c r="B353" s="11"/>
      <c r="C353" s="11"/>
      <c r="D353" s="11"/>
      <c r="E353" s="11"/>
      <c r="F353" s="74"/>
      <c r="G353" s="12"/>
    </row>
    <row r="354" spans="1:7" x14ac:dyDescent="0.25">
      <c r="A354" s="11"/>
      <c r="B354" s="11"/>
      <c r="C354" s="11"/>
      <c r="D354" s="11"/>
      <c r="E354" s="11"/>
      <c r="F354" s="74"/>
      <c r="G354" s="12"/>
    </row>
    <row r="355" spans="1:7" x14ac:dyDescent="0.25">
      <c r="A355" s="11"/>
      <c r="B355" s="11"/>
      <c r="C355" s="11"/>
      <c r="D355" s="11"/>
      <c r="E355" s="11"/>
      <c r="F355" s="74"/>
      <c r="G355" s="12"/>
    </row>
    <row r="356" spans="1:7" x14ac:dyDescent="0.25">
      <c r="A356" s="11"/>
      <c r="B356" s="11"/>
      <c r="C356" s="11"/>
      <c r="D356" s="11"/>
      <c r="E356" s="11"/>
      <c r="F356" s="74"/>
      <c r="G356" s="12"/>
    </row>
    <row r="357" spans="1:7" x14ac:dyDescent="0.25">
      <c r="A357" s="11"/>
      <c r="B357" s="11"/>
      <c r="C357" s="11"/>
      <c r="D357" s="11"/>
      <c r="E357" s="11"/>
      <c r="F357" s="74"/>
      <c r="G357" s="12"/>
    </row>
    <row r="358" spans="1:7" x14ac:dyDescent="0.25">
      <c r="A358" s="11"/>
      <c r="B358" s="11"/>
      <c r="C358" s="11"/>
      <c r="D358" s="11"/>
      <c r="E358" s="11"/>
      <c r="F358" s="74"/>
      <c r="G358" s="12"/>
    </row>
    <row r="359" spans="1:7" x14ac:dyDescent="0.25">
      <c r="A359" s="11"/>
      <c r="B359" s="11"/>
      <c r="C359" s="11"/>
      <c r="D359" s="11"/>
      <c r="E359" s="11"/>
      <c r="F359" s="74"/>
      <c r="G359" s="12"/>
    </row>
    <row r="360" spans="1:7" x14ac:dyDescent="0.25">
      <c r="A360" s="11"/>
      <c r="B360" s="11"/>
      <c r="C360" s="11"/>
      <c r="D360" s="11"/>
      <c r="E360" s="11"/>
      <c r="F360" s="74"/>
      <c r="G360" s="12"/>
    </row>
    <row r="361" spans="1:7" x14ac:dyDescent="0.25">
      <c r="A361" s="11"/>
      <c r="B361" s="11"/>
      <c r="C361" s="11"/>
      <c r="D361" s="11"/>
      <c r="E361" s="11"/>
      <c r="F361" s="74"/>
      <c r="G361" s="12"/>
    </row>
    <row r="362" spans="1:7" x14ac:dyDescent="0.25">
      <c r="A362" s="11"/>
      <c r="B362" s="11"/>
      <c r="C362" s="11"/>
      <c r="D362" s="11"/>
      <c r="E362" s="11"/>
      <c r="F362" s="74"/>
      <c r="G362" s="12"/>
    </row>
    <row r="363" spans="1:7" x14ac:dyDescent="0.25">
      <c r="A363" s="11"/>
      <c r="B363" s="11"/>
      <c r="C363" s="11"/>
      <c r="D363" s="11"/>
      <c r="E363" s="11"/>
      <c r="F363" s="74"/>
      <c r="G363" s="12"/>
    </row>
    <row r="364" spans="1:7" x14ac:dyDescent="0.25">
      <c r="A364" s="11"/>
      <c r="B364" s="11"/>
      <c r="C364" s="11"/>
      <c r="D364" s="11"/>
      <c r="E364" s="11"/>
      <c r="F364" s="74"/>
      <c r="G364" s="12"/>
    </row>
  </sheetData>
  <autoFilter ref="A1:BB73" xr:uid="{00000000-0009-0000-0000-00000C000000}">
    <sortState xmlns:xlrd2="http://schemas.microsoft.com/office/spreadsheetml/2017/richdata2" ref="A2:BB73">
      <sortCondition ref="E1:E73"/>
    </sortState>
  </autoFilter>
  <printOptions gridLines="1"/>
  <pageMargins left="0.42" right="0.36" top="0.54" bottom="0.5" header="0.26" footer="0.25"/>
  <pageSetup paperSize="9" scale="23" fitToHeight="0" orientation="portrait" horizontalDpi="4294967293" verticalDpi="4294967293" r:id="rId1"/>
  <headerFooter>
    <oddHeader>&amp;L&amp;14&amp;A</oddHeader>
    <oddFooter>&amp;LSeite &amp;P&amp;R&amp;Z&amp;F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7</vt:i4>
      </vt:variant>
    </vt:vector>
  </HeadingPairs>
  <TitlesOfParts>
    <vt:vector size="10" baseType="lpstr">
      <vt:lpstr>Oats-Lupins 22 Results</vt:lpstr>
      <vt:lpstr>OL-23 Results</vt:lpstr>
      <vt:lpstr>OL-24 Feldbuch Ergebnisse</vt:lpstr>
      <vt:lpstr>'OL-24 Feldbuch Ergebnisse'!_FilterDatenbank</vt:lpstr>
      <vt:lpstr>'Oats-Lupins 22 Results'!Druckbereich</vt:lpstr>
      <vt:lpstr>'OL-23 Results'!Druckbereich</vt:lpstr>
      <vt:lpstr>'OL-24 Feldbuch Ergebnisse'!Druckbereich</vt:lpstr>
      <vt:lpstr>'Oats-Lupins 22 Results'!Drucktitel</vt:lpstr>
      <vt:lpstr>'OL-23 Results'!Drucktitel</vt:lpstr>
      <vt:lpstr>'OL-24 Feldbuch Ergebnisse'!Drucktitel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Gallehr</dc:creator>
  <cp:lastModifiedBy>Andrea Gallehr</cp:lastModifiedBy>
  <dcterms:created xsi:type="dcterms:W3CDTF">2025-07-03T14:09:55Z</dcterms:created>
  <dcterms:modified xsi:type="dcterms:W3CDTF">2025-07-03T14:15:13Z</dcterms:modified>
</cp:coreProperties>
</file>