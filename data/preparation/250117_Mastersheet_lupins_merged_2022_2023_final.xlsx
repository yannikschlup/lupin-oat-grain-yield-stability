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mac/Documents/Schaffe_fuer_cash/Doktorat Agroscope CROPDIVA/Publications/5_MCSLUOatallSites/Data/"/>
    </mc:Choice>
  </mc:AlternateContent>
  <xr:revisionPtr revIDLastSave="0" documentId="13_ncr:1_{9F0E4126-5BCE-4147-9933-86547815A908}" xr6:coauthVersionLast="47" xr6:coauthVersionMax="47" xr10:uidLastSave="{00000000-0000-0000-0000-000000000000}"/>
  <bookViews>
    <workbookView xWindow="120" yWindow="2120" windowWidth="30240" windowHeight="17320" xr2:uid="{1218EBA9-DB2B-4C96-BAF6-81A1D02D55CC}"/>
  </bookViews>
  <sheets>
    <sheet name="Data_table" sheetId="1" r:id="rId1"/>
    <sheet name="Variablescheck" sheetId="2" r:id="rId2"/>
    <sheet name="Yield_hum_corr" sheetId="3" r:id="rId3"/>
  </sheets>
  <definedNames>
    <definedName name="_xlnm._FilterDatabase" localSheetId="0" hidden="1">Data_table!$A$2:$CW$322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F316" i="1" l="1"/>
  <c r="CF311" i="1"/>
  <c r="CF310" i="1"/>
  <c r="CF309" i="1"/>
  <c r="CF308" i="1"/>
  <c r="CF307" i="1"/>
  <c r="CF306" i="1"/>
  <c r="CF305" i="1"/>
  <c r="CF304" i="1"/>
  <c r="CF303" i="1"/>
  <c r="CF296" i="1"/>
  <c r="CF293" i="1"/>
  <c r="CF291" i="1"/>
  <c r="CF290" i="1"/>
  <c r="CF289" i="1"/>
  <c r="CF288" i="1"/>
  <c r="CF287" i="1"/>
  <c r="CF286" i="1"/>
  <c r="CF285" i="1"/>
  <c r="CF284" i="1"/>
  <c r="CF283" i="1"/>
  <c r="CF271" i="1"/>
  <c r="CF270" i="1"/>
  <c r="CF269" i="1"/>
  <c r="CF268" i="1"/>
  <c r="CF267" i="1"/>
  <c r="CF266" i="1"/>
  <c r="CF265" i="1"/>
  <c r="CF264" i="1"/>
  <c r="CF263" i="1"/>
  <c r="CF251" i="1"/>
  <c r="CF250" i="1"/>
  <c r="CF249" i="1"/>
  <c r="CF248" i="1"/>
  <c r="CF247" i="1"/>
  <c r="CF246" i="1"/>
  <c r="CF245" i="1"/>
  <c r="CF244" i="1"/>
  <c r="CF243" i="1"/>
  <c r="CF231" i="1"/>
  <c r="CF230" i="1"/>
  <c r="CF229" i="1"/>
  <c r="CF228" i="1"/>
  <c r="CF227" i="1"/>
  <c r="CF226" i="1"/>
  <c r="CF225" i="1"/>
  <c r="CF224" i="1"/>
  <c r="CF223" i="1"/>
  <c r="CF211" i="1"/>
  <c r="CF210" i="1"/>
  <c r="CF209" i="1"/>
  <c r="CF208" i="1"/>
  <c r="CF207" i="1"/>
  <c r="CF206" i="1"/>
  <c r="CF205" i="1"/>
  <c r="CF204" i="1"/>
  <c r="CF203" i="1"/>
  <c r="CF191" i="1"/>
  <c r="CF190" i="1"/>
  <c r="CF189" i="1"/>
  <c r="CF188" i="1"/>
  <c r="CF187" i="1"/>
  <c r="CF186" i="1"/>
  <c r="CF185" i="1"/>
  <c r="CF184" i="1"/>
  <c r="CF183" i="1"/>
  <c r="CF171" i="1"/>
  <c r="CF170" i="1"/>
  <c r="CF169" i="1"/>
  <c r="CF168" i="1"/>
  <c r="CF167" i="1"/>
  <c r="CF166" i="1"/>
  <c r="CF165" i="1"/>
  <c r="CF164" i="1"/>
  <c r="CF163" i="1"/>
  <c r="CF151" i="1"/>
  <c r="CF150" i="1"/>
  <c r="CF149" i="1"/>
  <c r="CF148" i="1"/>
  <c r="CF147" i="1"/>
  <c r="CF146" i="1"/>
  <c r="CF145" i="1"/>
  <c r="CF144" i="1"/>
  <c r="CF143" i="1"/>
  <c r="CF131" i="1"/>
  <c r="CF130" i="1"/>
  <c r="CF129" i="1"/>
  <c r="CF128" i="1"/>
  <c r="CF127" i="1"/>
  <c r="CF126" i="1"/>
  <c r="CF125" i="1"/>
  <c r="CF124" i="1"/>
  <c r="CF123" i="1"/>
  <c r="CF111" i="1"/>
  <c r="CF110" i="1"/>
  <c r="CF109" i="1"/>
  <c r="CF108" i="1"/>
  <c r="CF107" i="1"/>
  <c r="CF106" i="1"/>
  <c r="CF105" i="1"/>
  <c r="CF104" i="1"/>
  <c r="CF103" i="1"/>
  <c r="CF91" i="1"/>
  <c r="CF90" i="1"/>
  <c r="CF89" i="1"/>
  <c r="CF88" i="1"/>
  <c r="CF87" i="1"/>
  <c r="CF86" i="1"/>
  <c r="CF85" i="1"/>
  <c r="CF84" i="1"/>
  <c r="CF83" i="1"/>
  <c r="CF71" i="1"/>
  <c r="CF70" i="1"/>
  <c r="CF69" i="1"/>
  <c r="CF68" i="1"/>
  <c r="CF67" i="1"/>
  <c r="CF66" i="1"/>
  <c r="CF65" i="1"/>
  <c r="CF64" i="1"/>
  <c r="CF63" i="1"/>
  <c r="CF51" i="1"/>
  <c r="CF50" i="1"/>
  <c r="CF49" i="1"/>
  <c r="CF48" i="1"/>
  <c r="CF47" i="1"/>
  <c r="CF46" i="1"/>
  <c r="CF45" i="1"/>
  <c r="CF44" i="1"/>
  <c r="CF43" i="1"/>
  <c r="CF31" i="1"/>
  <c r="CF30" i="1"/>
  <c r="CF29" i="1"/>
  <c r="CF28" i="1"/>
  <c r="CF27" i="1"/>
  <c r="CF26" i="1"/>
  <c r="CF25" i="1"/>
  <c r="CF24" i="1"/>
  <c r="CF23" i="1"/>
  <c r="CF4" i="1"/>
  <c r="CF5" i="1"/>
  <c r="CF6" i="1"/>
  <c r="CF7" i="1"/>
  <c r="CF8" i="1"/>
  <c r="CF9" i="1"/>
  <c r="CF10" i="1"/>
  <c r="CF11" i="1"/>
  <c r="CF3" i="1"/>
  <c r="DD21" i="1"/>
  <c r="DD22" i="1"/>
  <c r="DD41" i="1"/>
  <c r="DD42" i="1"/>
  <c r="DD61" i="1"/>
  <c r="DD62" i="1"/>
  <c r="DD81" i="1"/>
  <c r="DD82" i="1"/>
  <c r="DD101" i="1"/>
  <c r="DD102" i="1"/>
  <c r="DD121" i="1"/>
  <c r="DD122" i="1"/>
  <c r="DD141" i="1"/>
  <c r="DD142" i="1"/>
  <c r="DD161" i="1"/>
  <c r="DD162" i="1"/>
  <c r="DD175" i="1"/>
  <c r="DD181" i="1"/>
  <c r="DD182" i="1"/>
  <c r="DD201" i="1"/>
  <c r="DD202" i="1"/>
  <c r="DD207" i="1"/>
  <c r="DD221" i="1"/>
  <c r="DD222" i="1"/>
  <c r="DD225" i="1"/>
  <c r="DD241" i="1"/>
  <c r="DD242" i="1"/>
  <c r="DD261" i="1"/>
  <c r="DD262" i="1"/>
  <c r="DD278" i="1"/>
  <c r="DD281" i="1"/>
  <c r="DD282" i="1"/>
  <c r="DD290" i="1"/>
  <c r="DD301" i="1"/>
  <c r="DD302" i="1"/>
  <c r="DD316" i="1"/>
  <c r="DD321" i="1"/>
  <c r="DD322" i="1"/>
  <c r="CC16" i="1"/>
  <c r="CX320" i="1"/>
  <c r="CX319" i="1"/>
  <c r="CX318" i="1"/>
  <c r="CX317" i="1"/>
  <c r="CX316" i="1"/>
  <c r="CX315" i="1"/>
  <c r="CX314" i="1"/>
  <c r="CX313" i="1"/>
  <c r="CX312" i="1"/>
  <c r="CX311" i="1"/>
  <c r="CX310" i="1"/>
  <c r="CX309" i="1"/>
  <c r="CX300" i="1"/>
  <c r="CX299" i="1"/>
  <c r="CX298" i="1"/>
  <c r="CX297" i="1"/>
  <c r="CX296" i="1"/>
  <c r="CX295" i="1"/>
  <c r="CX294" i="1"/>
  <c r="CX293" i="1"/>
  <c r="CX292" i="1"/>
  <c r="CX291" i="1"/>
  <c r="CX290" i="1"/>
  <c r="CX289" i="1"/>
  <c r="CX280" i="1"/>
  <c r="CX279" i="1"/>
  <c r="CX278" i="1"/>
  <c r="CX277" i="1"/>
  <c r="CX276" i="1"/>
  <c r="CX275" i="1"/>
  <c r="CX274" i="1"/>
  <c r="CX273" i="1"/>
  <c r="CX272" i="1"/>
  <c r="CX271" i="1"/>
  <c r="CX270" i="1"/>
  <c r="CX269" i="1"/>
  <c r="CX260" i="1"/>
  <c r="CX259" i="1"/>
  <c r="CX258" i="1"/>
  <c r="CX257" i="1"/>
  <c r="CX256" i="1"/>
  <c r="CX255" i="1"/>
  <c r="CX254" i="1"/>
  <c r="CX253" i="1"/>
  <c r="CX252" i="1"/>
  <c r="CX251" i="1"/>
  <c r="CX250" i="1"/>
  <c r="CX249" i="1"/>
  <c r="CX240" i="1"/>
  <c r="CX239" i="1"/>
  <c r="CX238" i="1"/>
  <c r="CX237" i="1"/>
  <c r="CX236" i="1"/>
  <c r="CX235" i="1"/>
  <c r="CX234" i="1"/>
  <c r="CX233" i="1"/>
  <c r="CX232" i="1"/>
  <c r="CX231" i="1"/>
  <c r="CX230" i="1"/>
  <c r="CX229" i="1"/>
  <c r="CX220" i="1"/>
  <c r="CX219" i="1"/>
  <c r="CX218" i="1"/>
  <c r="CX217" i="1"/>
  <c r="CX216" i="1"/>
  <c r="CX215" i="1"/>
  <c r="CX214" i="1"/>
  <c r="CX213" i="1"/>
  <c r="CX212" i="1"/>
  <c r="CX211" i="1"/>
  <c r="CX210" i="1"/>
  <c r="CX209" i="1"/>
  <c r="CX200" i="1"/>
  <c r="CX199" i="1"/>
  <c r="CX198" i="1"/>
  <c r="CX197" i="1"/>
  <c r="CX196" i="1"/>
  <c r="CX195" i="1"/>
  <c r="CX194" i="1"/>
  <c r="CX193" i="1"/>
  <c r="CX192" i="1"/>
  <c r="CX191" i="1"/>
  <c r="CX190" i="1"/>
  <c r="CX189" i="1"/>
  <c r="CX180" i="1"/>
  <c r="CX179" i="1"/>
  <c r="CX178" i="1"/>
  <c r="CX177" i="1"/>
  <c r="CX176" i="1"/>
  <c r="CX175" i="1"/>
  <c r="CX174" i="1"/>
  <c r="CX173" i="1"/>
  <c r="CX172" i="1"/>
  <c r="CX171" i="1"/>
  <c r="CX170" i="1"/>
  <c r="CX169" i="1"/>
  <c r="CX160" i="1"/>
  <c r="CX159" i="1"/>
  <c r="CX158" i="1"/>
  <c r="CX157" i="1"/>
  <c r="CX156" i="1"/>
  <c r="CX155" i="1"/>
  <c r="CX154" i="1"/>
  <c r="CX153" i="1"/>
  <c r="CX152" i="1"/>
  <c r="CX151" i="1"/>
  <c r="CX150" i="1"/>
  <c r="CX149" i="1"/>
  <c r="CX140" i="1"/>
  <c r="CX139" i="1"/>
  <c r="CX138" i="1"/>
  <c r="CX137" i="1"/>
  <c r="CX136" i="1"/>
  <c r="CX135" i="1"/>
  <c r="CX134" i="1"/>
  <c r="CX133" i="1"/>
  <c r="CX132" i="1"/>
  <c r="CX131" i="1"/>
  <c r="CX130" i="1"/>
  <c r="CX129" i="1"/>
  <c r="CX120" i="1"/>
  <c r="CX119" i="1"/>
  <c r="CX118" i="1"/>
  <c r="CX117" i="1"/>
  <c r="CX116" i="1"/>
  <c r="CX115" i="1"/>
  <c r="CX114" i="1"/>
  <c r="CX113" i="1"/>
  <c r="CX112" i="1"/>
  <c r="CX111" i="1"/>
  <c r="CX110" i="1"/>
  <c r="CX109" i="1"/>
  <c r="CX100" i="1"/>
  <c r="CX99" i="1"/>
  <c r="CX98" i="1"/>
  <c r="CX97" i="1"/>
  <c r="CX96" i="1"/>
  <c r="CX95" i="1"/>
  <c r="CX94" i="1"/>
  <c r="CX93" i="1"/>
  <c r="CX92" i="1"/>
  <c r="CX91" i="1"/>
  <c r="CX90" i="1"/>
  <c r="CX89" i="1"/>
  <c r="CX80" i="1"/>
  <c r="CZ80" i="1" s="1"/>
  <c r="CX79" i="1"/>
  <c r="CZ79" i="1" s="1"/>
  <c r="CX78" i="1"/>
  <c r="CZ78" i="1" s="1"/>
  <c r="CX77" i="1"/>
  <c r="CZ77" i="1" s="1"/>
  <c r="CX76" i="1"/>
  <c r="CZ76" i="1" s="1"/>
  <c r="CX75" i="1"/>
  <c r="CZ75" i="1" s="1"/>
  <c r="CX74" i="1"/>
  <c r="CZ74" i="1" s="1"/>
  <c r="CX73" i="1"/>
  <c r="CZ73" i="1" s="1"/>
  <c r="CX72" i="1"/>
  <c r="CZ72" i="1" s="1"/>
  <c r="CX71" i="1"/>
  <c r="CZ71" i="1" s="1"/>
  <c r="DD71" i="1" s="1"/>
  <c r="CX70" i="1"/>
  <c r="CZ70" i="1" s="1"/>
  <c r="DD70" i="1" s="1"/>
  <c r="CX69" i="1"/>
  <c r="CZ69" i="1" s="1"/>
  <c r="DD69" i="1" s="1"/>
  <c r="CX60" i="1"/>
  <c r="CZ60" i="1" s="1"/>
  <c r="CX59" i="1"/>
  <c r="CZ59" i="1" s="1"/>
  <c r="CX58" i="1"/>
  <c r="CZ58" i="1" s="1"/>
  <c r="DD58" i="1" s="1"/>
  <c r="CX57" i="1"/>
  <c r="CZ57" i="1" s="1"/>
  <c r="CX56" i="1"/>
  <c r="CZ56" i="1" s="1"/>
  <c r="CX55" i="1"/>
  <c r="CZ55" i="1" s="1"/>
  <c r="CX54" i="1"/>
  <c r="CZ54" i="1" s="1"/>
  <c r="CX53" i="1"/>
  <c r="CZ53" i="1" s="1"/>
  <c r="CX52" i="1"/>
  <c r="CZ52" i="1" s="1"/>
  <c r="DD52" i="1" s="1"/>
  <c r="CX51" i="1"/>
  <c r="CX50" i="1"/>
  <c r="CZ50" i="1" s="1"/>
  <c r="CX49" i="1"/>
  <c r="CZ49" i="1" s="1"/>
  <c r="DD49" i="1" s="1"/>
  <c r="CX40" i="1"/>
  <c r="CZ40" i="1" s="1"/>
  <c r="CX39" i="1"/>
  <c r="CZ39" i="1" s="1"/>
  <c r="CX38" i="1"/>
  <c r="CZ38" i="1" s="1"/>
  <c r="CX37" i="1"/>
  <c r="CZ37" i="1" s="1"/>
  <c r="CX36" i="1"/>
  <c r="CZ36" i="1" s="1"/>
  <c r="CX35" i="1"/>
  <c r="CZ35" i="1" s="1"/>
  <c r="CX34" i="1"/>
  <c r="CZ34" i="1" s="1"/>
  <c r="CX33" i="1"/>
  <c r="CZ33" i="1" s="1"/>
  <c r="DD33" i="1" s="1"/>
  <c r="CX32" i="1"/>
  <c r="CZ32" i="1" s="1"/>
  <c r="CX31" i="1"/>
  <c r="CZ31" i="1" s="1"/>
  <c r="DD31" i="1" s="1"/>
  <c r="CX30" i="1"/>
  <c r="CZ30" i="1" s="1"/>
  <c r="DD30" i="1" s="1"/>
  <c r="CX29" i="1"/>
  <c r="CZ29" i="1" s="1"/>
  <c r="DD29" i="1" s="1"/>
  <c r="H323" i="3"/>
  <c r="G323" i="3"/>
  <c r="H322" i="3"/>
  <c r="G322" i="3"/>
  <c r="H321" i="3"/>
  <c r="G321" i="3"/>
  <c r="H320" i="3"/>
  <c r="G320" i="3"/>
  <c r="G319" i="3"/>
  <c r="H318" i="3"/>
  <c r="G318" i="3"/>
  <c r="H317" i="3"/>
  <c r="G317" i="3"/>
  <c r="H316" i="3"/>
  <c r="G316" i="3"/>
  <c r="H315" i="3"/>
  <c r="G315" i="3"/>
  <c r="H314" i="3"/>
  <c r="H313" i="3"/>
  <c r="H312" i="3"/>
  <c r="G311" i="3"/>
  <c r="G310" i="3"/>
  <c r="G309" i="3"/>
  <c r="G308" i="3"/>
  <c r="G307" i="3"/>
  <c r="G306" i="3"/>
  <c r="H303" i="3"/>
  <c r="G303" i="3"/>
  <c r="H302" i="3"/>
  <c r="G302" i="3"/>
  <c r="H301" i="3"/>
  <c r="G301" i="3"/>
  <c r="H300" i="3"/>
  <c r="G300" i="3"/>
  <c r="H299" i="3"/>
  <c r="G299" i="3"/>
  <c r="H298" i="3"/>
  <c r="G298" i="3"/>
  <c r="H297" i="3"/>
  <c r="G297" i="3"/>
  <c r="H296" i="3"/>
  <c r="G296" i="3"/>
  <c r="G295" i="3"/>
  <c r="H294" i="3"/>
  <c r="H292" i="3"/>
  <c r="G291" i="3"/>
  <c r="G290" i="3"/>
  <c r="G289" i="3"/>
  <c r="G288" i="3"/>
  <c r="G287" i="3"/>
  <c r="G286" i="3"/>
  <c r="H283" i="3"/>
  <c r="G283" i="3"/>
  <c r="H282" i="3"/>
  <c r="G282" i="3"/>
  <c r="H280" i="3"/>
  <c r="G280" i="3"/>
  <c r="H279" i="3"/>
  <c r="G279" i="3"/>
  <c r="H278" i="3"/>
  <c r="G278" i="3"/>
  <c r="H277" i="3"/>
  <c r="G277" i="3"/>
  <c r="H276" i="3"/>
  <c r="G276" i="3"/>
  <c r="H275" i="3"/>
  <c r="G275" i="3"/>
  <c r="H274" i="3"/>
  <c r="H273" i="3"/>
  <c r="H272" i="3"/>
  <c r="G271" i="3"/>
  <c r="G270" i="3"/>
  <c r="G269" i="3"/>
  <c r="G268" i="3"/>
  <c r="G267" i="3"/>
  <c r="G266" i="3"/>
  <c r="H263" i="3"/>
  <c r="G263" i="3"/>
  <c r="G262" i="3"/>
  <c r="H261" i="3"/>
  <c r="G261" i="3"/>
  <c r="H260" i="3"/>
  <c r="G260" i="3"/>
  <c r="H259" i="3"/>
  <c r="G259" i="3"/>
  <c r="H258" i="3"/>
  <c r="G258" i="3"/>
  <c r="H257" i="3"/>
  <c r="G257" i="3"/>
  <c r="H256" i="3"/>
  <c r="G256" i="3"/>
  <c r="H255" i="3"/>
  <c r="G255" i="3"/>
  <c r="H254" i="3"/>
  <c r="H253" i="3"/>
  <c r="H252" i="3"/>
  <c r="G251" i="3"/>
  <c r="G250" i="3"/>
  <c r="G249" i="3"/>
  <c r="G248" i="3"/>
  <c r="G247" i="3"/>
  <c r="G246" i="3"/>
  <c r="H243" i="3"/>
  <c r="G243" i="3"/>
  <c r="H242" i="3"/>
  <c r="G242" i="3"/>
  <c r="H241" i="3"/>
  <c r="G241" i="3"/>
  <c r="H240" i="3"/>
  <c r="G240" i="3"/>
  <c r="H239" i="3"/>
  <c r="G239" i="3"/>
  <c r="H238" i="3"/>
  <c r="G238" i="3"/>
  <c r="H237" i="3"/>
  <c r="G237" i="3"/>
  <c r="H236" i="3"/>
  <c r="G236" i="3"/>
  <c r="H235" i="3"/>
  <c r="G235" i="3"/>
  <c r="H234" i="3"/>
  <c r="H233" i="3"/>
  <c r="H232" i="3"/>
  <c r="G231" i="3"/>
  <c r="G230" i="3"/>
  <c r="G229" i="3"/>
  <c r="G228" i="3"/>
  <c r="G227" i="3"/>
  <c r="G226" i="3"/>
  <c r="H223" i="3"/>
  <c r="G223" i="3"/>
  <c r="H222" i="3"/>
  <c r="G222" i="3"/>
  <c r="H221" i="3"/>
  <c r="G221" i="3"/>
  <c r="H220" i="3"/>
  <c r="G220" i="3"/>
  <c r="H219" i="3"/>
  <c r="G219" i="3"/>
  <c r="H218" i="3"/>
  <c r="G218" i="3"/>
  <c r="H217" i="3"/>
  <c r="G217" i="3"/>
  <c r="H216" i="3"/>
  <c r="G216" i="3"/>
  <c r="H215" i="3"/>
  <c r="G215" i="3"/>
  <c r="H214" i="3"/>
  <c r="H213" i="3"/>
  <c r="H212" i="3"/>
  <c r="G211" i="3"/>
  <c r="G210" i="3"/>
  <c r="G209" i="3"/>
  <c r="G208" i="3"/>
  <c r="G207" i="3"/>
  <c r="G206" i="3"/>
  <c r="H203" i="3"/>
  <c r="G203" i="3"/>
  <c r="H202" i="3"/>
  <c r="G202" i="3"/>
  <c r="H201" i="3"/>
  <c r="G201" i="3"/>
  <c r="H200" i="3"/>
  <c r="G200" i="3"/>
  <c r="H199" i="3"/>
  <c r="G199" i="3"/>
  <c r="H198" i="3"/>
  <c r="G198" i="3"/>
  <c r="H197" i="3"/>
  <c r="G197" i="3"/>
  <c r="H196" i="3"/>
  <c r="G196" i="3"/>
  <c r="H195" i="3"/>
  <c r="G195" i="3"/>
  <c r="H194" i="3"/>
  <c r="H193" i="3"/>
  <c r="H192" i="3"/>
  <c r="G191" i="3"/>
  <c r="G190" i="3"/>
  <c r="G189" i="3"/>
  <c r="G188" i="3"/>
  <c r="G187" i="3"/>
  <c r="G186" i="3"/>
  <c r="H183" i="3"/>
  <c r="G183" i="3"/>
  <c r="H182" i="3"/>
  <c r="G182" i="3"/>
  <c r="H181" i="3"/>
  <c r="G181" i="3"/>
  <c r="H180" i="3"/>
  <c r="G180" i="3"/>
  <c r="H179" i="3"/>
  <c r="G179" i="3"/>
  <c r="H178" i="3"/>
  <c r="G178" i="3"/>
  <c r="H177" i="3"/>
  <c r="G177" i="3"/>
  <c r="H176" i="3"/>
  <c r="G176" i="3"/>
  <c r="H175" i="3"/>
  <c r="G175" i="3"/>
  <c r="H174" i="3"/>
  <c r="H173" i="3"/>
  <c r="H172" i="3"/>
  <c r="G171" i="3"/>
  <c r="G170" i="3"/>
  <c r="G169" i="3"/>
  <c r="G168" i="3"/>
  <c r="G167" i="3"/>
  <c r="G166" i="3"/>
  <c r="H163" i="3"/>
  <c r="G163" i="3"/>
  <c r="H162" i="3"/>
  <c r="G162" i="3"/>
  <c r="H161" i="3"/>
  <c r="G161" i="3"/>
  <c r="H160" i="3"/>
  <c r="G160" i="3"/>
  <c r="H159" i="3"/>
  <c r="G159" i="3"/>
  <c r="H158" i="3"/>
  <c r="G158" i="3"/>
  <c r="H157" i="3"/>
  <c r="G157" i="3"/>
  <c r="H156" i="3"/>
  <c r="G156" i="3"/>
  <c r="H155" i="3"/>
  <c r="G155" i="3"/>
  <c r="H154" i="3"/>
  <c r="H153" i="3"/>
  <c r="H152" i="3"/>
  <c r="G151" i="3"/>
  <c r="G150" i="3"/>
  <c r="G149" i="3"/>
  <c r="G148" i="3"/>
  <c r="G147" i="3"/>
  <c r="G146" i="3"/>
  <c r="H143" i="3"/>
  <c r="G143" i="3"/>
  <c r="H142" i="3"/>
  <c r="G142" i="3"/>
  <c r="H141" i="3"/>
  <c r="G141" i="3"/>
  <c r="H140" i="3"/>
  <c r="G140" i="3"/>
  <c r="H139" i="3"/>
  <c r="G139" i="3"/>
  <c r="H138" i="3"/>
  <c r="G138" i="3"/>
  <c r="H137" i="3"/>
  <c r="G137" i="3"/>
  <c r="H136" i="3"/>
  <c r="G136" i="3"/>
  <c r="H135" i="3"/>
  <c r="G135" i="3"/>
  <c r="H134" i="3"/>
  <c r="H133" i="3"/>
  <c r="H132" i="3"/>
  <c r="G131" i="3"/>
  <c r="G130" i="3"/>
  <c r="G129" i="3"/>
  <c r="G128" i="3"/>
  <c r="G127" i="3"/>
  <c r="G126" i="3"/>
  <c r="H123" i="3"/>
  <c r="G123" i="3"/>
  <c r="H122" i="3"/>
  <c r="G122" i="3"/>
  <c r="H121" i="3"/>
  <c r="G121" i="3"/>
  <c r="H120" i="3"/>
  <c r="G120" i="3"/>
  <c r="H119" i="3"/>
  <c r="G119" i="3"/>
  <c r="H118" i="3"/>
  <c r="G118" i="3"/>
  <c r="H117" i="3"/>
  <c r="G117" i="3"/>
  <c r="H116" i="3"/>
  <c r="G116" i="3"/>
  <c r="H115" i="3"/>
  <c r="G115" i="3"/>
  <c r="H114" i="3"/>
  <c r="H113" i="3"/>
  <c r="H112" i="3"/>
  <c r="G111" i="3"/>
  <c r="G110" i="3"/>
  <c r="G109" i="3"/>
  <c r="G108" i="3"/>
  <c r="G107" i="3"/>
  <c r="G106" i="3"/>
  <c r="H103" i="3"/>
  <c r="G103" i="3"/>
  <c r="H102" i="3"/>
  <c r="G102" i="3"/>
  <c r="H101" i="3"/>
  <c r="G101" i="3"/>
  <c r="G100" i="3"/>
  <c r="H99" i="3"/>
  <c r="G99" i="3"/>
  <c r="H98" i="3"/>
  <c r="G98" i="3"/>
  <c r="H97" i="3"/>
  <c r="G97" i="3"/>
  <c r="H96" i="3"/>
  <c r="G96" i="3"/>
  <c r="H95" i="3"/>
  <c r="G95" i="3"/>
  <c r="H94" i="3"/>
  <c r="H93" i="3"/>
  <c r="H92" i="3"/>
  <c r="G91" i="3"/>
  <c r="G90" i="3"/>
  <c r="G89" i="3"/>
  <c r="G88" i="3"/>
  <c r="G87" i="3"/>
  <c r="G86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H73" i="3"/>
  <c r="H72" i="3"/>
  <c r="G71" i="3"/>
  <c r="G70" i="3"/>
  <c r="G69" i="3"/>
  <c r="G68" i="3"/>
  <c r="G67" i="3"/>
  <c r="G66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H53" i="3"/>
  <c r="H52" i="3"/>
  <c r="G51" i="3"/>
  <c r="G50" i="3"/>
  <c r="G49" i="3"/>
  <c r="G48" i="3"/>
  <c r="G47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H33" i="3"/>
  <c r="H32" i="3"/>
  <c r="G31" i="3"/>
  <c r="G30" i="3"/>
  <c r="G29" i="3"/>
  <c r="G28" i="3"/>
  <c r="G27" i="3"/>
  <c r="G26" i="3"/>
  <c r="H12" i="3"/>
  <c r="H13" i="3"/>
  <c r="H14" i="3"/>
  <c r="H15" i="3"/>
  <c r="H16" i="3"/>
  <c r="H17" i="3"/>
  <c r="H18" i="3"/>
  <c r="H19" i="3"/>
  <c r="H20" i="3"/>
  <c r="H21" i="3"/>
  <c r="H22" i="3"/>
  <c r="H23" i="3"/>
  <c r="G7" i="3"/>
  <c r="G8" i="3"/>
  <c r="G9" i="3"/>
  <c r="G10" i="3"/>
  <c r="G11" i="3"/>
  <c r="G15" i="3"/>
  <c r="G16" i="3"/>
  <c r="G17" i="3"/>
  <c r="G18" i="3"/>
  <c r="G19" i="3"/>
  <c r="G20" i="3"/>
  <c r="G21" i="3"/>
  <c r="G22" i="3"/>
  <c r="G23" i="3"/>
  <c r="G6" i="3"/>
  <c r="CX10" i="1"/>
  <c r="CZ10" i="1" s="1"/>
  <c r="DD10" i="1" s="1"/>
  <c r="CX11" i="1"/>
  <c r="CZ11" i="1" s="1"/>
  <c r="DD11" i="1" s="1"/>
  <c r="CX12" i="1"/>
  <c r="CZ12" i="1" s="1"/>
  <c r="CX13" i="1"/>
  <c r="CZ13" i="1" s="1"/>
  <c r="CX14" i="1"/>
  <c r="CZ14" i="1" s="1"/>
  <c r="CX15" i="1"/>
  <c r="CZ15" i="1" s="1"/>
  <c r="CX16" i="1"/>
  <c r="CZ16" i="1" s="1"/>
  <c r="CX17" i="1"/>
  <c r="CZ17" i="1" s="1"/>
  <c r="CX18" i="1"/>
  <c r="CZ18" i="1" s="1"/>
  <c r="DD18" i="1" s="1"/>
  <c r="CX19" i="1"/>
  <c r="CZ19" i="1" s="1"/>
  <c r="CX20" i="1"/>
  <c r="CZ20" i="1" s="1"/>
  <c r="CX9" i="1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28" i="2"/>
  <c r="CB12" i="1"/>
  <c r="DA12" i="1" s="1"/>
  <c r="CB4" i="1"/>
  <c r="DA4" i="1" s="1"/>
  <c r="DD4" i="1" s="1"/>
  <c r="CB5" i="1"/>
  <c r="DA5" i="1" s="1"/>
  <c r="DD5" i="1" s="1"/>
  <c r="CB6" i="1"/>
  <c r="DA6" i="1" s="1"/>
  <c r="DD6" i="1" s="1"/>
  <c r="CB7" i="1"/>
  <c r="DA7" i="1" s="1"/>
  <c r="DD7" i="1" s="1"/>
  <c r="CB8" i="1"/>
  <c r="DA8" i="1" s="1"/>
  <c r="DD8" i="1" s="1"/>
  <c r="CB3" i="1"/>
  <c r="DA3" i="1" s="1"/>
  <c r="DD3" i="1" s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299" i="1"/>
  <c r="BL300" i="1"/>
  <c r="BL301" i="1"/>
  <c r="BL302" i="1"/>
  <c r="BL303" i="1"/>
  <c r="BL304" i="1"/>
  <c r="BL305" i="1"/>
  <c r="BL306" i="1"/>
  <c r="BL307" i="1"/>
  <c r="BL308" i="1"/>
  <c r="BL309" i="1"/>
  <c r="BL310" i="1"/>
  <c r="BL311" i="1"/>
  <c r="BL312" i="1"/>
  <c r="BL313" i="1"/>
  <c r="BL314" i="1"/>
  <c r="BL315" i="1"/>
  <c r="BL316" i="1"/>
  <c r="BL317" i="1"/>
  <c r="BL318" i="1"/>
  <c r="BL319" i="1"/>
  <c r="BL320" i="1"/>
  <c r="BL321" i="1"/>
  <c r="BL322" i="1"/>
  <c r="BL3" i="1"/>
  <c r="CN320" i="1"/>
  <c r="CN319" i="1"/>
  <c r="CN318" i="1"/>
  <c r="CN317" i="1"/>
  <c r="CN315" i="1"/>
  <c r="CN314" i="1"/>
  <c r="CN313" i="1"/>
  <c r="CN312" i="1"/>
  <c r="CN300" i="1"/>
  <c r="CN298" i="1"/>
  <c r="CN297" i="1"/>
  <c r="CN295" i="1"/>
  <c r="CN294" i="1"/>
  <c r="CN292" i="1"/>
  <c r="CN280" i="1"/>
  <c r="CN279" i="1"/>
  <c r="CN277" i="1"/>
  <c r="CN276" i="1"/>
  <c r="CN275" i="1"/>
  <c r="CN274" i="1"/>
  <c r="CN273" i="1"/>
  <c r="CN272" i="1"/>
  <c r="CN260" i="1"/>
  <c r="CN259" i="1"/>
  <c r="CN258" i="1"/>
  <c r="CN257" i="1"/>
  <c r="CN256" i="1"/>
  <c r="CN255" i="1"/>
  <c r="CN254" i="1"/>
  <c r="CN253" i="1"/>
  <c r="CN252" i="1"/>
  <c r="CN240" i="1"/>
  <c r="CN239" i="1"/>
  <c r="CN238" i="1"/>
  <c r="CN237" i="1"/>
  <c r="CN236" i="1"/>
  <c r="CN235" i="1"/>
  <c r="CN234" i="1"/>
  <c r="CN233" i="1"/>
  <c r="CN232" i="1"/>
  <c r="CN220" i="1"/>
  <c r="CN219" i="1"/>
  <c r="CN218" i="1"/>
  <c r="CN217" i="1"/>
  <c r="CN216" i="1"/>
  <c r="CN215" i="1"/>
  <c r="CN214" i="1"/>
  <c r="CN213" i="1"/>
  <c r="CN212" i="1"/>
  <c r="CN200" i="1"/>
  <c r="CN199" i="1"/>
  <c r="CN198" i="1"/>
  <c r="CN197" i="1"/>
  <c r="CN196" i="1"/>
  <c r="CN195" i="1"/>
  <c r="CN194" i="1"/>
  <c r="CN193" i="1"/>
  <c r="CN192" i="1"/>
  <c r="CN180" i="1"/>
  <c r="CN179" i="1"/>
  <c r="CN178" i="1"/>
  <c r="CN177" i="1"/>
  <c r="CN176" i="1"/>
  <c r="CN175" i="1"/>
  <c r="CN174" i="1"/>
  <c r="CN173" i="1"/>
  <c r="CN172" i="1"/>
  <c r="CN160" i="1"/>
  <c r="CN159" i="1"/>
  <c r="CN158" i="1"/>
  <c r="CN157" i="1"/>
  <c r="CN156" i="1"/>
  <c r="CN155" i="1"/>
  <c r="CN154" i="1"/>
  <c r="CN153" i="1"/>
  <c r="CN152" i="1"/>
  <c r="CN140" i="1"/>
  <c r="CN139" i="1"/>
  <c r="CN138" i="1"/>
  <c r="CN137" i="1"/>
  <c r="CN136" i="1"/>
  <c r="CN135" i="1"/>
  <c r="CN134" i="1"/>
  <c r="CN133" i="1"/>
  <c r="CN132" i="1"/>
  <c r="CN120" i="1"/>
  <c r="CN119" i="1"/>
  <c r="CN118" i="1"/>
  <c r="CN117" i="1"/>
  <c r="CN116" i="1"/>
  <c r="CN115" i="1"/>
  <c r="CN114" i="1"/>
  <c r="CN113" i="1"/>
  <c r="CN112" i="1"/>
  <c r="CN100" i="1"/>
  <c r="CN99" i="1"/>
  <c r="CN98" i="1"/>
  <c r="CN97" i="1"/>
  <c r="CN96" i="1"/>
  <c r="CN95" i="1"/>
  <c r="CN94" i="1"/>
  <c r="CN93" i="1"/>
  <c r="CN92" i="1"/>
  <c r="CN80" i="1"/>
  <c r="CN79" i="1"/>
  <c r="CN78" i="1"/>
  <c r="CN77" i="1"/>
  <c r="CN76" i="1"/>
  <c r="CN75" i="1"/>
  <c r="CN74" i="1"/>
  <c r="CN73" i="1"/>
  <c r="CN72" i="1"/>
  <c r="CN60" i="1"/>
  <c r="CN59" i="1"/>
  <c r="CN58" i="1"/>
  <c r="CN57" i="1"/>
  <c r="CN56" i="1"/>
  <c r="CN55" i="1"/>
  <c r="CN54" i="1"/>
  <c r="CN53" i="1"/>
  <c r="CN52" i="1"/>
  <c r="CN40" i="1"/>
  <c r="CN39" i="1"/>
  <c r="CN38" i="1"/>
  <c r="CN37" i="1"/>
  <c r="CN36" i="1"/>
  <c r="CN35" i="1"/>
  <c r="CN34" i="1"/>
  <c r="CN33" i="1"/>
  <c r="CN32" i="1"/>
  <c r="CN20" i="1"/>
  <c r="CN19" i="1"/>
  <c r="CN18" i="1"/>
  <c r="CN15" i="1"/>
  <c r="CN17" i="1"/>
  <c r="CN16" i="1"/>
  <c r="CN14" i="1"/>
  <c r="CN13" i="1"/>
  <c r="CN12" i="1"/>
  <c r="CM320" i="1"/>
  <c r="CM319" i="1"/>
  <c r="CM318" i="1"/>
  <c r="CM317" i="1"/>
  <c r="CM315" i="1"/>
  <c r="CM314" i="1"/>
  <c r="CM313" i="1"/>
  <c r="CM312" i="1"/>
  <c r="CM300" i="1"/>
  <c r="CM298" i="1"/>
  <c r="CM297" i="1"/>
  <c r="CM295" i="1"/>
  <c r="CM294" i="1"/>
  <c r="CM292" i="1"/>
  <c r="CM280" i="1"/>
  <c r="CM279" i="1"/>
  <c r="CM277" i="1"/>
  <c r="CM276" i="1"/>
  <c r="CM275" i="1"/>
  <c r="CM274" i="1"/>
  <c r="CM273" i="1"/>
  <c r="CM272" i="1"/>
  <c r="CM260" i="1"/>
  <c r="CM259" i="1"/>
  <c r="CM258" i="1"/>
  <c r="CM257" i="1"/>
  <c r="CM256" i="1"/>
  <c r="CM255" i="1"/>
  <c r="CM254" i="1"/>
  <c r="CM253" i="1"/>
  <c r="CM252" i="1"/>
  <c r="CM240" i="1"/>
  <c r="CM239" i="1"/>
  <c r="CM238" i="1"/>
  <c r="CM237" i="1"/>
  <c r="CM236" i="1"/>
  <c r="CM235" i="1"/>
  <c r="CM234" i="1"/>
  <c r="CM233" i="1"/>
  <c r="CM232" i="1"/>
  <c r="CM220" i="1"/>
  <c r="CM219" i="1"/>
  <c r="CM218" i="1"/>
  <c r="CM217" i="1"/>
  <c r="CM216" i="1"/>
  <c r="CM215" i="1"/>
  <c r="CM214" i="1"/>
  <c r="CM213" i="1"/>
  <c r="CM212" i="1"/>
  <c r="CM200" i="1"/>
  <c r="CM199" i="1"/>
  <c r="CM198" i="1"/>
  <c r="CM197" i="1"/>
  <c r="CM196" i="1"/>
  <c r="CM195" i="1"/>
  <c r="CM194" i="1"/>
  <c r="CM193" i="1"/>
  <c r="CM192" i="1"/>
  <c r="CM180" i="1"/>
  <c r="CM179" i="1"/>
  <c r="CM178" i="1"/>
  <c r="CM177" i="1"/>
  <c r="CM176" i="1"/>
  <c r="CM175" i="1"/>
  <c r="CM174" i="1"/>
  <c r="CM173" i="1"/>
  <c r="CM172" i="1"/>
  <c r="CM160" i="1"/>
  <c r="CM159" i="1"/>
  <c r="CM158" i="1"/>
  <c r="CM157" i="1"/>
  <c r="CM156" i="1"/>
  <c r="CM155" i="1"/>
  <c r="CM154" i="1"/>
  <c r="CM153" i="1"/>
  <c r="CM152" i="1"/>
  <c r="CM140" i="1"/>
  <c r="CM139" i="1"/>
  <c r="CM138" i="1"/>
  <c r="CM137" i="1"/>
  <c r="CM136" i="1"/>
  <c r="CM135" i="1"/>
  <c r="CM134" i="1"/>
  <c r="CM133" i="1"/>
  <c r="CM132" i="1"/>
  <c r="CM120" i="1"/>
  <c r="CM119" i="1"/>
  <c r="CM118" i="1"/>
  <c r="CM117" i="1"/>
  <c r="CM116" i="1"/>
  <c r="CM115" i="1"/>
  <c r="CM114" i="1"/>
  <c r="CM113" i="1"/>
  <c r="CM112" i="1"/>
  <c r="CM100" i="1"/>
  <c r="CM99" i="1"/>
  <c r="CM98" i="1"/>
  <c r="CM97" i="1"/>
  <c r="CM96" i="1"/>
  <c r="CM95" i="1"/>
  <c r="CM94" i="1"/>
  <c r="CM93" i="1"/>
  <c r="CM92" i="1"/>
  <c r="CM80" i="1"/>
  <c r="CM79" i="1"/>
  <c r="CM78" i="1"/>
  <c r="CM77" i="1"/>
  <c r="CM76" i="1"/>
  <c r="CM75" i="1"/>
  <c r="CM74" i="1"/>
  <c r="CM73" i="1"/>
  <c r="CM72" i="1"/>
  <c r="CM60" i="1"/>
  <c r="CM59" i="1"/>
  <c r="CM58" i="1"/>
  <c r="CM57" i="1"/>
  <c r="CM56" i="1"/>
  <c r="CM55" i="1"/>
  <c r="CM54" i="1"/>
  <c r="CM53" i="1"/>
  <c r="CM52" i="1"/>
  <c r="CM40" i="1"/>
  <c r="CM39" i="1"/>
  <c r="CM38" i="1"/>
  <c r="CM37" i="1"/>
  <c r="CM36" i="1"/>
  <c r="CM35" i="1"/>
  <c r="CM34" i="1"/>
  <c r="CM33" i="1"/>
  <c r="CM32" i="1"/>
  <c r="CM15" i="1"/>
  <c r="CM14" i="1"/>
  <c r="CM13" i="1"/>
  <c r="CM12" i="1"/>
  <c r="CM20" i="1"/>
  <c r="CM19" i="1"/>
  <c r="CM18" i="1"/>
  <c r="CM17" i="1"/>
  <c r="CM16" i="1"/>
  <c r="CL320" i="1"/>
  <c r="CL319" i="1"/>
  <c r="CL318" i="1"/>
  <c r="CL317" i="1"/>
  <c r="CL315" i="1"/>
  <c r="CL314" i="1"/>
  <c r="CL313" i="1"/>
  <c r="CL312" i="1"/>
  <c r="CL300" i="1"/>
  <c r="CL298" i="1"/>
  <c r="CL297" i="1"/>
  <c r="CL295" i="1"/>
  <c r="CL294" i="1"/>
  <c r="CL292" i="1"/>
  <c r="CL280" i="1"/>
  <c r="CL279" i="1"/>
  <c r="CL277" i="1"/>
  <c r="CL276" i="1"/>
  <c r="CL275" i="1"/>
  <c r="CL274" i="1"/>
  <c r="CL273" i="1"/>
  <c r="CL272" i="1"/>
  <c r="CL260" i="1"/>
  <c r="CL259" i="1"/>
  <c r="CL258" i="1"/>
  <c r="CL257" i="1"/>
  <c r="CL256" i="1"/>
  <c r="CL255" i="1"/>
  <c r="CL254" i="1"/>
  <c r="CL253" i="1"/>
  <c r="CL252" i="1"/>
  <c r="CL240" i="1"/>
  <c r="CL239" i="1"/>
  <c r="CL238" i="1"/>
  <c r="CL237" i="1"/>
  <c r="CL236" i="1"/>
  <c r="CL235" i="1"/>
  <c r="CL234" i="1"/>
  <c r="CL233" i="1"/>
  <c r="CL232" i="1"/>
  <c r="CL220" i="1"/>
  <c r="CL219" i="1"/>
  <c r="CL218" i="1"/>
  <c r="CL217" i="1"/>
  <c r="CL216" i="1"/>
  <c r="CL215" i="1"/>
  <c r="CL214" i="1"/>
  <c r="CL213" i="1"/>
  <c r="CL212" i="1"/>
  <c r="CL200" i="1"/>
  <c r="CL199" i="1"/>
  <c r="CL198" i="1"/>
  <c r="CL197" i="1"/>
  <c r="CL196" i="1"/>
  <c r="CL195" i="1"/>
  <c r="CL194" i="1"/>
  <c r="CL193" i="1"/>
  <c r="CL192" i="1"/>
  <c r="CL180" i="1"/>
  <c r="CL179" i="1"/>
  <c r="CL178" i="1"/>
  <c r="CL177" i="1"/>
  <c r="CL176" i="1"/>
  <c r="CL175" i="1"/>
  <c r="CL174" i="1"/>
  <c r="CL173" i="1"/>
  <c r="CL172" i="1"/>
  <c r="CL160" i="1"/>
  <c r="CL159" i="1"/>
  <c r="CL158" i="1"/>
  <c r="CL157" i="1"/>
  <c r="CL156" i="1"/>
  <c r="CL155" i="1"/>
  <c r="CL154" i="1"/>
  <c r="CL153" i="1"/>
  <c r="CL152" i="1"/>
  <c r="CL140" i="1"/>
  <c r="CL139" i="1"/>
  <c r="CL138" i="1"/>
  <c r="CL137" i="1"/>
  <c r="CL136" i="1"/>
  <c r="CL135" i="1"/>
  <c r="CL134" i="1"/>
  <c r="CL133" i="1"/>
  <c r="CL132" i="1"/>
  <c r="CL120" i="1"/>
  <c r="CL119" i="1"/>
  <c r="CL118" i="1"/>
  <c r="CL117" i="1"/>
  <c r="CL116" i="1"/>
  <c r="CL115" i="1"/>
  <c r="CL114" i="1"/>
  <c r="CL113" i="1"/>
  <c r="CL112" i="1"/>
  <c r="CL100" i="1"/>
  <c r="CL99" i="1"/>
  <c r="CL98" i="1"/>
  <c r="CL97" i="1"/>
  <c r="CL96" i="1"/>
  <c r="CL95" i="1"/>
  <c r="CL94" i="1"/>
  <c r="CL93" i="1"/>
  <c r="CL92" i="1"/>
  <c r="CL80" i="1"/>
  <c r="CL79" i="1"/>
  <c r="CL78" i="1"/>
  <c r="CL77" i="1"/>
  <c r="CL76" i="1"/>
  <c r="CL75" i="1"/>
  <c r="CL74" i="1"/>
  <c r="CL73" i="1"/>
  <c r="CL72" i="1"/>
  <c r="CL60" i="1"/>
  <c r="CL59" i="1"/>
  <c r="CL58" i="1"/>
  <c r="CL57" i="1"/>
  <c r="CL56" i="1"/>
  <c r="CL55" i="1"/>
  <c r="CL54" i="1"/>
  <c r="CL53" i="1"/>
  <c r="CL52" i="1"/>
  <c r="CL40" i="1"/>
  <c r="CL39" i="1"/>
  <c r="CL38" i="1"/>
  <c r="CL37" i="1"/>
  <c r="CL36" i="1"/>
  <c r="CL35" i="1"/>
  <c r="CL34" i="1"/>
  <c r="CL33" i="1"/>
  <c r="CL32" i="1"/>
  <c r="CL20" i="1"/>
  <c r="CL19" i="1"/>
  <c r="CL18" i="1"/>
  <c r="CL17" i="1"/>
  <c r="CL16" i="1"/>
  <c r="CL15" i="1"/>
  <c r="CL14" i="1"/>
  <c r="CL13" i="1"/>
  <c r="CL12" i="1"/>
  <c r="CK320" i="1"/>
  <c r="CK319" i="1"/>
  <c r="CK318" i="1"/>
  <c r="CK317" i="1"/>
  <c r="CK315" i="1"/>
  <c r="CK314" i="1"/>
  <c r="CK313" i="1"/>
  <c r="CK312" i="1"/>
  <c r="CK300" i="1"/>
  <c r="CK298" i="1"/>
  <c r="CK297" i="1"/>
  <c r="CK295" i="1"/>
  <c r="CK294" i="1"/>
  <c r="CK292" i="1"/>
  <c r="CK280" i="1"/>
  <c r="CK279" i="1"/>
  <c r="CK277" i="1"/>
  <c r="CK276" i="1"/>
  <c r="CK275" i="1"/>
  <c r="CK274" i="1"/>
  <c r="CK273" i="1"/>
  <c r="CK272" i="1"/>
  <c r="CK260" i="1"/>
  <c r="CK259" i="1"/>
  <c r="CK258" i="1"/>
  <c r="CK257" i="1"/>
  <c r="CK256" i="1"/>
  <c r="CK255" i="1"/>
  <c r="CK254" i="1"/>
  <c r="CK253" i="1"/>
  <c r="CK252" i="1"/>
  <c r="CK240" i="1"/>
  <c r="CK239" i="1"/>
  <c r="CK238" i="1"/>
  <c r="CK237" i="1"/>
  <c r="CK236" i="1"/>
  <c r="CK235" i="1"/>
  <c r="CK234" i="1"/>
  <c r="CK233" i="1"/>
  <c r="CK232" i="1"/>
  <c r="CK220" i="1"/>
  <c r="CK219" i="1"/>
  <c r="CK218" i="1"/>
  <c r="CK217" i="1"/>
  <c r="CK216" i="1"/>
  <c r="CK215" i="1"/>
  <c r="CK214" i="1"/>
  <c r="CK213" i="1"/>
  <c r="CK212" i="1"/>
  <c r="CK200" i="1"/>
  <c r="CK199" i="1"/>
  <c r="CK198" i="1"/>
  <c r="CK197" i="1"/>
  <c r="CK196" i="1"/>
  <c r="CK195" i="1"/>
  <c r="CK194" i="1"/>
  <c r="CK193" i="1"/>
  <c r="CK192" i="1"/>
  <c r="CK180" i="1"/>
  <c r="CK179" i="1"/>
  <c r="CK178" i="1"/>
  <c r="CK177" i="1"/>
  <c r="CK176" i="1"/>
  <c r="CK175" i="1"/>
  <c r="CK174" i="1"/>
  <c r="CK173" i="1"/>
  <c r="CK172" i="1"/>
  <c r="CK160" i="1"/>
  <c r="CK159" i="1"/>
  <c r="CK158" i="1"/>
  <c r="CK157" i="1"/>
  <c r="CK156" i="1"/>
  <c r="CK155" i="1"/>
  <c r="CK154" i="1"/>
  <c r="CK153" i="1"/>
  <c r="CK152" i="1"/>
  <c r="CK140" i="1"/>
  <c r="CK139" i="1"/>
  <c r="CK138" i="1"/>
  <c r="CK137" i="1"/>
  <c r="CK136" i="1"/>
  <c r="CK135" i="1"/>
  <c r="CK134" i="1"/>
  <c r="CK133" i="1"/>
  <c r="CK132" i="1"/>
  <c r="CK120" i="1"/>
  <c r="CK119" i="1"/>
  <c r="CK118" i="1"/>
  <c r="CK117" i="1"/>
  <c r="CK116" i="1"/>
  <c r="CK115" i="1"/>
  <c r="CK114" i="1"/>
  <c r="CK113" i="1"/>
  <c r="CK112" i="1"/>
  <c r="CK100" i="1"/>
  <c r="CK99" i="1"/>
  <c r="CK98" i="1"/>
  <c r="CK97" i="1"/>
  <c r="CK96" i="1"/>
  <c r="CK95" i="1"/>
  <c r="CK94" i="1"/>
  <c r="CK93" i="1"/>
  <c r="CK92" i="1"/>
  <c r="CK80" i="1"/>
  <c r="CK79" i="1"/>
  <c r="CK78" i="1"/>
  <c r="CK77" i="1"/>
  <c r="CK76" i="1"/>
  <c r="CK75" i="1"/>
  <c r="CK74" i="1"/>
  <c r="CK73" i="1"/>
  <c r="CK72" i="1"/>
  <c r="CK60" i="1"/>
  <c r="CK59" i="1"/>
  <c r="CK58" i="1"/>
  <c r="CK57" i="1"/>
  <c r="CK56" i="1"/>
  <c r="CK55" i="1"/>
  <c r="CK54" i="1"/>
  <c r="CK53" i="1"/>
  <c r="CK52" i="1"/>
  <c r="CK40" i="1"/>
  <c r="CK39" i="1"/>
  <c r="CK38" i="1"/>
  <c r="CK37" i="1"/>
  <c r="CK36" i="1"/>
  <c r="CK35" i="1"/>
  <c r="CK34" i="1"/>
  <c r="CK33" i="1"/>
  <c r="CK32" i="1"/>
  <c r="CK20" i="1"/>
  <c r="CK19" i="1"/>
  <c r="CK18" i="1"/>
  <c r="CK17" i="1"/>
  <c r="CK16" i="1"/>
  <c r="CK15" i="1"/>
  <c r="CK14" i="1"/>
  <c r="CK13" i="1"/>
  <c r="CK12" i="1"/>
  <c r="CZ51" i="1" l="1"/>
  <c r="DD51" i="1" s="1"/>
  <c r="CZ9" i="1"/>
  <c r="DF12" i="1" s="1"/>
  <c r="DD12" i="1"/>
  <c r="DF16" i="1"/>
  <c r="DF15" i="1"/>
  <c r="DF14" i="1"/>
  <c r="DF20" i="1"/>
  <c r="DF13" i="1"/>
  <c r="DF19" i="1"/>
  <c r="DD38" i="1"/>
  <c r="DF17" i="1"/>
  <c r="DD19" i="1"/>
  <c r="DD50" i="1"/>
  <c r="R32" i="1"/>
  <c r="S159" i="1"/>
  <c r="S12" i="1"/>
  <c r="R12" i="1"/>
  <c r="T12" i="1" s="1"/>
  <c r="Q12" i="1"/>
  <c r="M20" i="1"/>
  <c r="M19" i="1"/>
  <c r="M18" i="1"/>
  <c r="M17" i="1"/>
  <c r="M16" i="1"/>
  <c r="M15" i="1"/>
  <c r="M14" i="1"/>
  <c r="M13" i="1"/>
  <c r="M12" i="1"/>
  <c r="L16" i="1"/>
  <c r="CB32" i="1"/>
  <c r="DA32" i="1" s="1"/>
  <c r="DD32" i="1" s="1"/>
  <c r="DF18" i="1" l="1"/>
  <c r="DD9" i="1"/>
  <c r="DB12" i="1"/>
  <c r="DE12" i="1" s="1"/>
  <c r="CC10" i="1"/>
  <c r="CI16" i="1" s="1"/>
  <c r="CC11" i="1"/>
  <c r="CC12" i="1"/>
  <c r="CC13" i="1"/>
  <c r="CC14" i="1"/>
  <c r="CC15" i="1"/>
  <c r="CC17" i="1"/>
  <c r="CC18" i="1"/>
  <c r="CC19" i="1"/>
  <c r="CC20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9" i="1"/>
  <c r="CC50" i="1"/>
  <c r="CC51" i="1"/>
  <c r="CC52" i="1"/>
  <c r="CI52" i="1" s="1"/>
  <c r="CC53" i="1"/>
  <c r="CC54" i="1"/>
  <c r="CC55" i="1"/>
  <c r="CC56" i="1"/>
  <c r="CC57" i="1"/>
  <c r="CC58" i="1"/>
  <c r="CC59" i="1"/>
  <c r="CC60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9" i="1"/>
  <c r="CC90" i="1"/>
  <c r="CZ90" i="1" s="1"/>
  <c r="DD90" i="1" s="1"/>
  <c r="CC91" i="1"/>
  <c r="CZ91" i="1" s="1"/>
  <c r="DD91" i="1" s="1"/>
  <c r="CC92" i="1"/>
  <c r="CZ92" i="1" s="1"/>
  <c r="CC93" i="1"/>
  <c r="CZ93" i="1" s="1"/>
  <c r="CC94" i="1"/>
  <c r="CZ94" i="1" s="1"/>
  <c r="CC95" i="1"/>
  <c r="CZ95" i="1" s="1"/>
  <c r="CC96" i="1"/>
  <c r="CZ96" i="1" s="1"/>
  <c r="CC97" i="1"/>
  <c r="CC98" i="1"/>
  <c r="CZ98" i="1" s="1"/>
  <c r="CC99" i="1"/>
  <c r="CZ99" i="1" s="1"/>
  <c r="CC100" i="1"/>
  <c r="CZ100" i="1" s="1"/>
  <c r="CC109" i="1"/>
  <c r="CZ109" i="1" s="1"/>
  <c r="DD109" i="1" s="1"/>
  <c r="CC110" i="1"/>
  <c r="CZ110" i="1" s="1"/>
  <c r="DD110" i="1" s="1"/>
  <c r="CC111" i="1"/>
  <c r="CZ111" i="1" s="1"/>
  <c r="DD111" i="1" s="1"/>
  <c r="CC112" i="1"/>
  <c r="CC113" i="1"/>
  <c r="CZ113" i="1" s="1"/>
  <c r="CC114" i="1"/>
  <c r="CZ114" i="1" s="1"/>
  <c r="CC115" i="1"/>
  <c r="CZ115" i="1" s="1"/>
  <c r="CC116" i="1"/>
  <c r="CZ116" i="1" s="1"/>
  <c r="CC117" i="1"/>
  <c r="CZ117" i="1" s="1"/>
  <c r="CC118" i="1"/>
  <c r="CC119" i="1"/>
  <c r="CZ119" i="1" s="1"/>
  <c r="CC120" i="1"/>
  <c r="CC129" i="1"/>
  <c r="CZ129" i="1" s="1"/>
  <c r="DD129" i="1" s="1"/>
  <c r="CC130" i="1"/>
  <c r="CZ130" i="1" s="1"/>
  <c r="DD130" i="1" s="1"/>
  <c r="CC131" i="1"/>
  <c r="CZ131" i="1" s="1"/>
  <c r="DD131" i="1" s="1"/>
  <c r="CC132" i="1"/>
  <c r="CC133" i="1"/>
  <c r="CZ133" i="1" s="1"/>
  <c r="CC134" i="1"/>
  <c r="CZ134" i="1" s="1"/>
  <c r="CC135" i="1"/>
  <c r="CZ135" i="1" s="1"/>
  <c r="CC136" i="1"/>
  <c r="CZ136" i="1" s="1"/>
  <c r="CC137" i="1"/>
  <c r="CZ137" i="1" s="1"/>
  <c r="CC138" i="1"/>
  <c r="CZ138" i="1" s="1"/>
  <c r="CC139" i="1"/>
  <c r="CZ139" i="1" s="1"/>
  <c r="CC140" i="1"/>
  <c r="CZ140" i="1" s="1"/>
  <c r="CC149" i="1"/>
  <c r="CZ149" i="1" s="1"/>
  <c r="DD149" i="1" s="1"/>
  <c r="CC150" i="1"/>
  <c r="CZ150" i="1" s="1"/>
  <c r="DD150" i="1" s="1"/>
  <c r="CC151" i="1"/>
  <c r="CZ151" i="1" s="1"/>
  <c r="DD151" i="1" s="1"/>
  <c r="CC152" i="1"/>
  <c r="CZ152" i="1" s="1"/>
  <c r="CC153" i="1"/>
  <c r="CZ153" i="1" s="1"/>
  <c r="CC154" i="1"/>
  <c r="CZ154" i="1" s="1"/>
  <c r="CC155" i="1"/>
  <c r="CZ155" i="1" s="1"/>
  <c r="CC156" i="1"/>
  <c r="CZ156" i="1" s="1"/>
  <c r="CC157" i="1"/>
  <c r="CZ157" i="1" s="1"/>
  <c r="CC158" i="1"/>
  <c r="CZ158" i="1" s="1"/>
  <c r="CC159" i="1"/>
  <c r="CZ159" i="1" s="1"/>
  <c r="CC160" i="1"/>
  <c r="CZ160" i="1" s="1"/>
  <c r="CC169" i="1"/>
  <c r="CZ169" i="1" s="1"/>
  <c r="DD169" i="1" s="1"/>
  <c r="CC170" i="1"/>
  <c r="CZ170" i="1" s="1"/>
  <c r="DD170" i="1" s="1"/>
  <c r="CC171" i="1"/>
  <c r="CZ171" i="1" s="1"/>
  <c r="DD171" i="1" s="1"/>
  <c r="CC172" i="1"/>
  <c r="CZ172" i="1" s="1"/>
  <c r="CC173" i="1"/>
  <c r="CZ173" i="1" s="1"/>
  <c r="CC174" i="1"/>
  <c r="CZ174" i="1" s="1"/>
  <c r="CC175" i="1"/>
  <c r="CC176" i="1"/>
  <c r="CZ176" i="1" s="1"/>
  <c r="CC177" i="1"/>
  <c r="CZ177" i="1" s="1"/>
  <c r="CC178" i="1"/>
  <c r="CZ178" i="1" s="1"/>
  <c r="CC179" i="1"/>
  <c r="CZ179" i="1" s="1"/>
  <c r="CC180" i="1"/>
  <c r="CZ180" i="1" s="1"/>
  <c r="CC189" i="1"/>
  <c r="CZ189" i="1" s="1"/>
  <c r="DD189" i="1" s="1"/>
  <c r="CC190" i="1"/>
  <c r="CZ190" i="1" s="1"/>
  <c r="DD190" i="1" s="1"/>
  <c r="CC191" i="1"/>
  <c r="CZ191" i="1" s="1"/>
  <c r="DD191" i="1" s="1"/>
  <c r="CC192" i="1"/>
  <c r="CZ192" i="1" s="1"/>
  <c r="CC193" i="1"/>
  <c r="CZ193" i="1" s="1"/>
  <c r="CC194" i="1"/>
  <c r="CZ194" i="1" s="1"/>
  <c r="CC195" i="1"/>
  <c r="CZ195" i="1" s="1"/>
  <c r="CC196" i="1"/>
  <c r="CZ196" i="1" s="1"/>
  <c r="CC197" i="1"/>
  <c r="CZ197" i="1" s="1"/>
  <c r="CC198" i="1"/>
  <c r="CZ198" i="1" s="1"/>
  <c r="CC199" i="1"/>
  <c r="CC200" i="1"/>
  <c r="CZ200" i="1" s="1"/>
  <c r="CC209" i="1"/>
  <c r="CZ209" i="1" s="1"/>
  <c r="DD209" i="1" s="1"/>
  <c r="CC210" i="1"/>
  <c r="CZ210" i="1" s="1"/>
  <c r="DD210" i="1" s="1"/>
  <c r="CC211" i="1"/>
  <c r="CZ211" i="1" s="1"/>
  <c r="DD211" i="1" s="1"/>
  <c r="CC212" i="1"/>
  <c r="CZ212" i="1" s="1"/>
  <c r="CC213" i="1"/>
  <c r="CZ213" i="1" s="1"/>
  <c r="CC214" i="1"/>
  <c r="CZ214" i="1" s="1"/>
  <c r="CC215" i="1"/>
  <c r="CZ215" i="1" s="1"/>
  <c r="CC216" i="1"/>
  <c r="CZ216" i="1" s="1"/>
  <c r="CC217" i="1"/>
  <c r="CZ217" i="1" s="1"/>
  <c r="CC218" i="1"/>
  <c r="CZ218" i="1" s="1"/>
  <c r="CC219" i="1"/>
  <c r="CZ219" i="1" s="1"/>
  <c r="CC220" i="1"/>
  <c r="CZ220" i="1" s="1"/>
  <c r="CC229" i="1"/>
  <c r="CZ229" i="1" s="1"/>
  <c r="DD229" i="1" s="1"/>
  <c r="CC230" i="1"/>
  <c r="CZ230" i="1" s="1"/>
  <c r="DD230" i="1" s="1"/>
  <c r="CC231" i="1"/>
  <c r="CZ231" i="1" s="1"/>
  <c r="DD231" i="1" s="1"/>
  <c r="CC232" i="1"/>
  <c r="CZ232" i="1" s="1"/>
  <c r="CC233" i="1"/>
  <c r="CZ233" i="1" s="1"/>
  <c r="CC234" i="1"/>
  <c r="CZ234" i="1" s="1"/>
  <c r="CC235" i="1"/>
  <c r="CZ235" i="1" s="1"/>
  <c r="CC236" i="1"/>
  <c r="CZ236" i="1" s="1"/>
  <c r="CC237" i="1"/>
  <c r="CZ237" i="1" s="1"/>
  <c r="CC238" i="1"/>
  <c r="CZ238" i="1" s="1"/>
  <c r="CC239" i="1"/>
  <c r="CZ239" i="1" s="1"/>
  <c r="CC240" i="1"/>
  <c r="CZ240" i="1" s="1"/>
  <c r="CC249" i="1"/>
  <c r="CZ249" i="1" s="1"/>
  <c r="DD249" i="1" s="1"/>
  <c r="CC250" i="1"/>
  <c r="CZ250" i="1" s="1"/>
  <c r="DD250" i="1" s="1"/>
  <c r="CC251" i="1"/>
  <c r="CZ251" i="1" s="1"/>
  <c r="DD251" i="1" s="1"/>
  <c r="CC252" i="1"/>
  <c r="CZ252" i="1" s="1"/>
  <c r="CC253" i="1"/>
  <c r="CZ253" i="1" s="1"/>
  <c r="CC254" i="1"/>
  <c r="CC255" i="1"/>
  <c r="CZ255" i="1" s="1"/>
  <c r="CC256" i="1"/>
  <c r="CZ256" i="1" s="1"/>
  <c r="CC257" i="1"/>
  <c r="CC258" i="1"/>
  <c r="CZ258" i="1" s="1"/>
  <c r="CC259" i="1"/>
  <c r="CZ259" i="1" s="1"/>
  <c r="CC260" i="1"/>
  <c r="CZ260" i="1" s="1"/>
  <c r="CC269" i="1"/>
  <c r="CZ269" i="1" s="1"/>
  <c r="DD269" i="1" s="1"/>
  <c r="CC270" i="1"/>
  <c r="CZ270" i="1" s="1"/>
  <c r="DD270" i="1" s="1"/>
  <c r="CC271" i="1"/>
  <c r="CZ271" i="1" s="1"/>
  <c r="DD271" i="1" s="1"/>
  <c r="CC272" i="1"/>
  <c r="CZ272" i="1" s="1"/>
  <c r="CC273" i="1"/>
  <c r="CZ273" i="1" s="1"/>
  <c r="CC274" i="1"/>
  <c r="CZ274" i="1" s="1"/>
  <c r="CC275" i="1"/>
  <c r="CZ275" i="1" s="1"/>
  <c r="CC276" i="1"/>
  <c r="CC277" i="1"/>
  <c r="CZ277" i="1" s="1"/>
  <c r="CC279" i="1"/>
  <c r="CZ279" i="1" s="1"/>
  <c r="CC280" i="1"/>
  <c r="CC289" i="1"/>
  <c r="CZ289" i="1" s="1"/>
  <c r="CC291" i="1"/>
  <c r="CZ291" i="1" s="1"/>
  <c r="DD291" i="1" s="1"/>
  <c r="CC292" i="1"/>
  <c r="CZ292" i="1" s="1"/>
  <c r="CC293" i="1"/>
  <c r="CZ293" i="1" s="1"/>
  <c r="CC294" i="1"/>
  <c r="CZ294" i="1" s="1"/>
  <c r="CC295" i="1"/>
  <c r="CZ295" i="1" s="1"/>
  <c r="CC296" i="1"/>
  <c r="CZ296" i="1" s="1"/>
  <c r="CC297" i="1"/>
  <c r="CC298" i="1"/>
  <c r="CZ298" i="1" s="1"/>
  <c r="CC299" i="1"/>
  <c r="CZ299" i="1" s="1"/>
  <c r="CC300" i="1"/>
  <c r="CZ300" i="1" s="1"/>
  <c r="CC309" i="1"/>
  <c r="CZ309" i="1" s="1"/>
  <c r="DD309" i="1" s="1"/>
  <c r="CC310" i="1"/>
  <c r="CZ310" i="1" s="1"/>
  <c r="CC311" i="1"/>
  <c r="CZ311" i="1" s="1"/>
  <c r="DD311" i="1" s="1"/>
  <c r="CC312" i="1"/>
  <c r="CZ312" i="1" s="1"/>
  <c r="CC313" i="1"/>
  <c r="CZ313" i="1" s="1"/>
  <c r="CC314" i="1"/>
  <c r="CZ314" i="1" s="1"/>
  <c r="CC315" i="1"/>
  <c r="CZ315" i="1" s="1"/>
  <c r="CC317" i="1"/>
  <c r="CZ317" i="1" s="1"/>
  <c r="CC318" i="1"/>
  <c r="CZ318" i="1" s="1"/>
  <c r="CC319" i="1"/>
  <c r="CZ319" i="1" s="1"/>
  <c r="CC320" i="1"/>
  <c r="CZ320" i="1" s="1"/>
  <c r="CC9" i="1"/>
  <c r="CB13" i="1"/>
  <c r="DA13" i="1" s="1"/>
  <c r="CB14" i="1"/>
  <c r="DA14" i="1" s="1"/>
  <c r="CB15" i="1"/>
  <c r="DA15" i="1" s="1"/>
  <c r="CB16" i="1"/>
  <c r="CB17" i="1"/>
  <c r="DA17" i="1" s="1"/>
  <c r="CB18" i="1"/>
  <c r="CB19" i="1"/>
  <c r="CB20" i="1"/>
  <c r="CB23" i="1"/>
  <c r="DA23" i="1" s="1"/>
  <c r="DD23" i="1" s="1"/>
  <c r="CB24" i="1"/>
  <c r="DA24" i="1" s="1"/>
  <c r="DD24" i="1" s="1"/>
  <c r="CB25" i="1"/>
  <c r="DA25" i="1" s="1"/>
  <c r="DD25" i="1" s="1"/>
  <c r="CB26" i="1"/>
  <c r="DA26" i="1" s="1"/>
  <c r="CB27" i="1"/>
  <c r="DA27" i="1" s="1"/>
  <c r="CB28" i="1"/>
  <c r="DA28" i="1" s="1"/>
  <c r="CB33" i="1"/>
  <c r="CB34" i="1"/>
  <c r="DA34" i="1" s="1"/>
  <c r="CB35" i="1"/>
  <c r="DA35" i="1" s="1"/>
  <c r="CB36" i="1"/>
  <c r="DA36" i="1" s="1"/>
  <c r="CB37" i="1"/>
  <c r="DA37" i="1" s="1"/>
  <c r="CB38" i="1"/>
  <c r="CB39" i="1"/>
  <c r="CB40" i="1"/>
  <c r="CB43" i="1"/>
  <c r="DA43" i="1" s="1"/>
  <c r="DD43" i="1" s="1"/>
  <c r="CB44" i="1"/>
  <c r="DA44" i="1" s="1"/>
  <c r="DD44" i="1" s="1"/>
  <c r="CB45" i="1"/>
  <c r="DA45" i="1" s="1"/>
  <c r="DD45" i="1" s="1"/>
  <c r="CB46" i="1"/>
  <c r="DA46" i="1" s="1"/>
  <c r="CB47" i="1"/>
  <c r="DA47" i="1" s="1"/>
  <c r="CB48" i="1"/>
  <c r="DA48" i="1" s="1"/>
  <c r="CB52" i="1"/>
  <c r="CB53" i="1"/>
  <c r="DA53" i="1" s="1"/>
  <c r="CB54" i="1"/>
  <c r="DA54" i="1" s="1"/>
  <c r="CB55" i="1"/>
  <c r="DA55" i="1" s="1"/>
  <c r="CB56" i="1"/>
  <c r="DA56" i="1" s="1"/>
  <c r="CB57" i="1"/>
  <c r="DA57" i="1" s="1"/>
  <c r="CB58" i="1"/>
  <c r="CB59" i="1"/>
  <c r="CB60" i="1"/>
  <c r="CB63" i="1"/>
  <c r="DA63" i="1" s="1"/>
  <c r="DD63" i="1" s="1"/>
  <c r="CB64" i="1"/>
  <c r="DA64" i="1" s="1"/>
  <c r="DD64" i="1" s="1"/>
  <c r="CB65" i="1"/>
  <c r="DA65" i="1" s="1"/>
  <c r="DD65" i="1" s="1"/>
  <c r="CB66" i="1"/>
  <c r="DA66" i="1" s="1"/>
  <c r="CB67" i="1"/>
  <c r="DA67" i="1" s="1"/>
  <c r="CB68" i="1"/>
  <c r="DA68" i="1" s="1"/>
  <c r="CB72" i="1"/>
  <c r="DA72" i="1" s="1"/>
  <c r="CB73" i="1"/>
  <c r="DA73" i="1" s="1"/>
  <c r="CB74" i="1"/>
  <c r="DA74" i="1" s="1"/>
  <c r="CB75" i="1"/>
  <c r="DA75" i="1" s="1"/>
  <c r="CB76" i="1"/>
  <c r="DA76" i="1" s="1"/>
  <c r="CB77" i="1"/>
  <c r="DA77" i="1" s="1"/>
  <c r="CB78" i="1"/>
  <c r="CB79" i="1"/>
  <c r="CB80" i="1"/>
  <c r="CB83" i="1"/>
  <c r="DA83" i="1" s="1"/>
  <c r="DD83" i="1" s="1"/>
  <c r="CB84" i="1"/>
  <c r="DA84" i="1" s="1"/>
  <c r="DD84" i="1" s="1"/>
  <c r="CB85" i="1"/>
  <c r="DA85" i="1" s="1"/>
  <c r="DD85" i="1" s="1"/>
  <c r="CB86" i="1"/>
  <c r="DA86" i="1" s="1"/>
  <c r="DD86" i="1" s="1"/>
  <c r="CB87" i="1"/>
  <c r="DA87" i="1" s="1"/>
  <c r="DD87" i="1" s="1"/>
  <c r="CB88" i="1"/>
  <c r="DA88" i="1" s="1"/>
  <c r="DD88" i="1" s="1"/>
  <c r="CB92" i="1"/>
  <c r="DA92" i="1" s="1"/>
  <c r="CB93" i="1"/>
  <c r="DA93" i="1" s="1"/>
  <c r="CB94" i="1"/>
  <c r="DA94" i="1" s="1"/>
  <c r="CB95" i="1"/>
  <c r="DA95" i="1" s="1"/>
  <c r="CB96" i="1"/>
  <c r="DA96" i="1" s="1"/>
  <c r="CB97" i="1"/>
  <c r="DA97" i="1" s="1"/>
  <c r="DD97" i="1" s="1"/>
  <c r="CB98" i="1"/>
  <c r="CB99" i="1"/>
  <c r="CB100" i="1"/>
  <c r="CB103" i="1"/>
  <c r="DA103" i="1" s="1"/>
  <c r="DD103" i="1" s="1"/>
  <c r="CB104" i="1"/>
  <c r="DA104" i="1" s="1"/>
  <c r="DD104" i="1" s="1"/>
  <c r="CB105" i="1"/>
  <c r="DA105" i="1" s="1"/>
  <c r="DD105" i="1" s="1"/>
  <c r="CB106" i="1"/>
  <c r="DA106" i="1" s="1"/>
  <c r="DD106" i="1" s="1"/>
  <c r="CB107" i="1"/>
  <c r="DA107" i="1" s="1"/>
  <c r="DD107" i="1" s="1"/>
  <c r="CB108" i="1"/>
  <c r="DA108" i="1" s="1"/>
  <c r="DD108" i="1" s="1"/>
  <c r="CB112" i="1"/>
  <c r="DA112" i="1" s="1"/>
  <c r="CB113" i="1"/>
  <c r="DA113" i="1" s="1"/>
  <c r="CB114" i="1"/>
  <c r="DA114" i="1" s="1"/>
  <c r="CB115" i="1"/>
  <c r="DA115" i="1" s="1"/>
  <c r="CB116" i="1"/>
  <c r="DA116" i="1" s="1"/>
  <c r="CB117" i="1"/>
  <c r="DA117" i="1" s="1"/>
  <c r="CB118" i="1"/>
  <c r="CB119" i="1"/>
  <c r="CB120" i="1"/>
  <c r="CB123" i="1"/>
  <c r="DA123" i="1" s="1"/>
  <c r="DD123" i="1" s="1"/>
  <c r="CB124" i="1"/>
  <c r="DA124" i="1" s="1"/>
  <c r="DD124" i="1" s="1"/>
  <c r="CB125" i="1"/>
  <c r="DA125" i="1" s="1"/>
  <c r="DD125" i="1" s="1"/>
  <c r="CB126" i="1"/>
  <c r="DA126" i="1" s="1"/>
  <c r="DD126" i="1" s="1"/>
  <c r="CB127" i="1"/>
  <c r="DA127" i="1" s="1"/>
  <c r="DD127" i="1" s="1"/>
  <c r="CB128" i="1"/>
  <c r="DA128" i="1" s="1"/>
  <c r="DD128" i="1" s="1"/>
  <c r="CB132" i="1"/>
  <c r="DA132" i="1" s="1"/>
  <c r="CB133" i="1"/>
  <c r="DA133" i="1" s="1"/>
  <c r="CB134" i="1"/>
  <c r="DA134" i="1" s="1"/>
  <c r="CB135" i="1"/>
  <c r="DA135" i="1" s="1"/>
  <c r="CB136" i="1"/>
  <c r="DA136" i="1" s="1"/>
  <c r="CB137" i="1"/>
  <c r="DA137" i="1" s="1"/>
  <c r="CB138" i="1"/>
  <c r="CB139" i="1"/>
  <c r="CB140" i="1"/>
  <c r="CB143" i="1"/>
  <c r="DA143" i="1" s="1"/>
  <c r="DD143" i="1" s="1"/>
  <c r="CB144" i="1"/>
  <c r="DA144" i="1" s="1"/>
  <c r="DD144" i="1" s="1"/>
  <c r="CB145" i="1"/>
  <c r="DA145" i="1" s="1"/>
  <c r="DD145" i="1" s="1"/>
  <c r="CB146" i="1"/>
  <c r="DA146" i="1" s="1"/>
  <c r="DD146" i="1" s="1"/>
  <c r="CB147" i="1"/>
  <c r="DA147" i="1" s="1"/>
  <c r="DD147" i="1" s="1"/>
  <c r="CB148" i="1"/>
  <c r="DA148" i="1" s="1"/>
  <c r="DD148" i="1" s="1"/>
  <c r="CB152" i="1"/>
  <c r="DA152" i="1" s="1"/>
  <c r="CB153" i="1"/>
  <c r="DA153" i="1" s="1"/>
  <c r="CB154" i="1"/>
  <c r="DA154" i="1" s="1"/>
  <c r="CB155" i="1"/>
  <c r="DA155" i="1" s="1"/>
  <c r="CB156" i="1"/>
  <c r="DA156" i="1" s="1"/>
  <c r="CB157" i="1"/>
  <c r="DA157" i="1" s="1"/>
  <c r="CB158" i="1"/>
  <c r="CB159" i="1"/>
  <c r="CB160" i="1"/>
  <c r="CB163" i="1"/>
  <c r="DA163" i="1" s="1"/>
  <c r="DD163" i="1" s="1"/>
  <c r="CB164" i="1"/>
  <c r="DA164" i="1" s="1"/>
  <c r="DD164" i="1" s="1"/>
  <c r="CB165" i="1"/>
  <c r="DA165" i="1" s="1"/>
  <c r="DD165" i="1" s="1"/>
  <c r="CB166" i="1"/>
  <c r="DA166" i="1" s="1"/>
  <c r="DD166" i="1" s="1"/>
  <c r="CB167" i="1"/>
  <c r="DA167" i="1" s="1"/>
  <c r="DD167" i="1" s="1"/>
  <c r="CB168" i="1"/>
  <c r="DA168" i="1" s="1"/>
  <c r="DD168" i="1" s="1"/>
  <c r="CB172" i="1"/>
  <c r="DA172" i="1" s="1"/>
  <c r="CB173" i="1"/>
  <c r="DA173" i="1" s="1"/>
  <c r="CB174" i="1"/>
  <c r="DA174" i="1" s="1"/>
  <c r="CB175" i="1"/>
  <c r="CB176" i="1"/>
  <c r="DA176" i="1" s="1"/>
  <c r="CB177" i="1"/>
  <c r="DA177" i="1" s="1"/>
  <c r="CB178" i="1"/>
  <c r="CB179" i="1"/>
  <c r="CB180" i="1"/>
  <c r="CB183" i="1"/>
  <c r="DA183" i="1" s="1"/>
  <c r="DD183" i="1" s="1"/>
  <c r="CB184" i="1"/>
  <c r="DA184" i="1" s="1"/>
  <c r="DD184" i="1" s="1"/>
  <c r="CB185" i="1"/>
  <c r="DA185" i="1" s="1"/>
  <c r="DD185" i="1" s="1"/>
  <c r="CB186" i="1"/>
  <c r="DA186" i="1" s="1"/>
  <c r="DD186" i="1" s="1"/>
  <c r="CB187" i="1"/>
  <c r="DA187" i="1" s="1"/>
  <c r="DD187" i="1" s="1"/>
  <c r="CB188" i="1"/>
  <c r="DA188" i="1" s="1"/>
  <c r="DD188" i="1" s="1"/>
  <c r="CB192" i="1"/>
  <c r="DA192" i="1" s="1"/>
  <c r="CB193" i="1"/>
  <c r="DA193" i="1" s="1"/>
  <c r="CB194" i="1"/>
  <c r="DA194" i="1" s="1"/>
  <c r="CB195" i="1"/>
  <c r="DA195" i="1" s="1"/>
  <c r="CB196" i="1"/>
  <c r="DA196" i="1" s="1"/>
  <c r="CB197" i="1"/>
  <c r="DA197" i="1" s="1"/>
  <c r="CB198" i="1"/>
  <c r="CB199" i="1"/>
  <c r="CB200" i="1"/>
  <c r="CB203" i="1"/>
  <c r="DA203" i="1" s="1"/>
  <c r="DD203" i="1" s="1"/>
  <c r="CB204" i="1"/>
  <c r="DA204" i="1" s="1"/>
  <c r="DD204" i="1" s="1"/>
  <c r="CB205" i="1"/>
  <c r="DA205" i="1" s="1"/>
  <c r="DD205" i="1" s="1"/>
  <c r="CB206" i="1"/>
  <c r="DA206" i="1" s="1"/>
  <c r="DD206" i="1" s="1"/>
  <c r="CB207" i="1"/>
  <c r="CB208" i="1"/>
  <c r="DA208" i="1" s="1"/>
  <c r="DD208" i="1" s="1"/>
  <c r="CB212" i="1"/>
  <c r="DA212" i="1" s="1"/>
  <c r="CB213" i="1"/>
  <c r="DA213" i="1" s="1"/>
  <c r="CB214" i="1"/>
  <c r="DA214" i="1" s="1"/>
  <c r="CB215" i="1"/>
  <c r="CB216" i="1"/>
  <c r="DA216" i="1" s="1"/>
  <c r="CB217" i="1"/>
  <c r="DA217" i="1" s="1"/>
  <c r="CB218" i="1"/>
  <c r="CB219" i="1"/>
  <c r="CB220" i="1"/>
  <c r="CB223" i="1"/>
  <c r="DA223" i="1" s="1"/>
  <c r="DD223" i="1" s="1"/>
  <c r="CB224" i="1"/>
  <c r="DA224" i="1" s="1"/>
  <c r="DD224" i="1" s="1"/>
  <c r="CB225" i="1"/>
  <c r="CB226" i="1"/>
  <c r="DA226" i="1" s="1"/>
  <c r="DD226" i="1" s="1"/>
  <c r="CB227" i="1"/>
  <c r="DA227" i="1" s="1"/>
  <c r="DD227" i="1" s="1"/>
  <c r="CB228" i="1"/>
  <c r="DA228" i="1" s="1"/>
  <c r="DD228" i="1" s="1"/>
  <c r="CB232" i="1"/>
  <c r="DA232" i="1" s="1"/>
  <c r="CB233" i="1"/>
  <c r="DA233" i="1" s="1"/>
  <c r="CB234" i="1"/>
  <c r="DA234" i="1" s="1"/>
  <c r="CB235" i="1"/>
  <c r="DA235" i="1" s="1"/>
  <c r="CB236" i="1"/>
  <c r="DA236" i="1" s="1"/>
  <c r="CB237" i="1"/>
  <c r="DA237" i="1" s="1"/>
  <c r="CB238" i="1"/>
  <c r="CB239" i="1"/>
  <c r="CB240" i="1"/>
  <c r="CB243" i="1"/>
  <c r="DA243" i="1" s="1"/>
  <c r="DD243" i="1" s="1"/>
  <c r="CB244" i="1"/>
  <c r="DA244" i="1" s="1"/>
  <c r="DD244" i="1" s="1"/>
  <c r="CB245" i="1"/>
  <c r="DA245" i="1" s="1"/>
  <c r="DD245" i="1" s="1"/>
  <c r="CB246" i="1"/>
  <c r="DA246" i="1" s="1"/>
  <c r="DD246" i="1" s="1"/>
  <c r="CB247" i="1"/>
  <c r="DA247" i="1" s="1"/>
  <c r="DD247" i="1" s="1"/>
  <c r="CB248" i="1"/>
  <c r="DA248" i="1" s="1"/>
  <c r="DD248" i="1" s="1"/>
  <c r="CB252" i="1"/>
  <c r="DA252" i="1" s="1"/>
  <c r="CB253" i="1"/>
  <c r="DA253" i="1" s="1"/>
  <c r="CB254" i="1"/>
  <c r="DA254" i="1" s="1"/>
  <c r="DD254" i="1" s="1"/>
  <c r="CB255" i="1"/>
  <c r="DA255" i="1" s="1"/>
  <c r="CB256" i="1"/>
  <c r="DA256" i="1" s="1"/>
  <c r="CB257" i="1"/>
  <c r="DA257" i="1" s="1"/>
  <c r="DD257" i="1" s="1"/>
  <c r="CB258" i="1"/>
  <c r="CB259" i="1"/>
  <c r="CB260" i="1"/>
  <c r="CB263" i="1"/>
  <c r="DA263" i="1" s="1"/>
  <c r="DD263" i="1" s="1"/>
  <c r="CB264" i="1"/>
  <c r="DA264" i="1" s="1"/>
  <c r="DD264" i="1" s="1"/>
  <c r="CB265" i="1"/>
  <c r="DA265" i="1" s="1"/>
  <c r="DD265" i="1" s="1"/>
  <c r="CB266" i="1"/>
  <c r="DA266" i="1" s="1"/>
  <c r="DD266" i="1" s="1"/>
  <c r="CB267" i="1"/>
  <c r="DA267" i="1" s="1"/>
  <c r="DD267" i="1" s="1"/>
  <c r="CB268" i="1"/>
  <c r="DA268" i="1" s="1"/>
  <c r="DD268" i="1" s="1"/>
  <c r="CB272" i="1"/>
  <c r="DA272" i="1" s="1"/>
  <c r="CB273" i="1"/>
  <c r="CB274" i="1"/>
  <c r="DA274" i="1" s="1"/>
  <c r="CB275" i="1"/>
  <c r="CB276" i="1"/>
  <c r="DA276" i="1" s="1"/>
  <c r="DD276" i="1" s="1"/>
  <c r="CB277" i="1"/>
  <c r="DA277" i="1" s="1"/>
  <c r="CB279" i="1"/>
  <c r="CB280" i="1"/>
  <c r="CB283" i="1"/>
  <c r="DA283" i="1" s="1"/>
  <c r="DD283" i="1" s="1"/>
  <c r="CB284" i="1"/>
  <c r="DA284" i="1" s="1"/>
  <c r="DD284" i="1" s="1"/>
  <c r="CB285" i="1"/>
  <c r="DA285" i="1" s="1"/>
  <c r="DD285" i="1" s="1"/>
  <c r="CB286" i="1"/>
  <c r="DA286" i="1" s="1"/>
  <c r="DD286" i="1" s="1"/>
  <c r="CB287" i="1"/>
  <c r="DA287" i="1" s="1"/>
  <c r="DD287" i="1" s="1"/>
  <c r="CB288" i="1"/>
  <c r="DA288" i="1" s="1"/>
  <c r="DD288" i="1" s="1"/>
  <c r="CB292" i="1"/>
  <c r="DA292" i="1" s="1"/>
  <c r="CB293" i="1"/>
  <c r="DA293" i="1" s="1"/>
  <c r="CB294" i="1"/>
  <c r="DA294" i="1" s="1"/>
  <c r="CB295" i="1"/>
  <c r="DA295" i="1" s="1"/>
  <c r="CB296" i="1"/>
  <c r="DA296" i="1" s="1"/>
  <c r="CB297" i="1"/>
  <c r="DA297" i="1" s="1"/>
  <c r="DD297" i="1" s="1"/>
  <c r="CB298" i="1"/>
  <c r="CB299" i="1"/>
  <c r="DA299" i="1" s="1"/>
  <c r="CB300" i="1"/>
  <c r="CB303" i="1"/>
  <c r="DA303" i="1" s="1"/>
  <c r="DD303" i="1" s="1"/>
  <c r="CB304" i="1"/>
  <c r="DA304" i="1" s="1"/>
  <c r="DD304" i="1" s="1"/>
  <c r="CB305" i="1"/>
  <c r="DA305" i="1" s="1"/>
  <c r="DD305" i="1" s="1"/>
  <c r="CB306" i="1"/>
  <c r="DA306" i="1" s="1"/>
  <c r="DD306" i="1" s="1"/>
  <c r="CB307" i="1"/>
  <c r="DA307" i="1" s="1"/>
  <c r="DD307" i="1" s="1"/>
  <c r="CB308" i="1"/>
  <c r="DA308" i="1" s="1"/>
  <c r="CB312" i="1"/>
  <c r="DA312" i="1" s="1"/>
  <c r="CB313" i="1"/>
  <c r="DA313" i="1" s="1"/>
  <c r="CB314" i="1"/>
  <c r="DA314" i="1" s="1"/>
  <c r="CB315" i="1"/>
  <c r="DA315" i="1" s="1"/>
  <c r="CB317" i="1"/>
  <c r="DA317" i="1" s="1"/>
  <c r="CB318" i="1"/>
  <c r="CB319" i="1"/>
  <c r="CB320" i="1"/>
  <c r="DA159" i="1" l="1"/>
  <c r="CF159" i="1"/>
  <c r="DA300" i="1"/>
  <c r="CF300" i="1"/>
  <c r="DA240" i="1"/>
  <c r="DD240" i="1" s="1"/>
  <c r="CF240" i="1"/>
  <c r="DA138" i="1"/>
  <c r="CF138" i="1"/>
  <c r="DA79" i="1"/>
  <c r="DB79" i="1" s="1"/>
  <c r="CF79" i="1"/>
  <c r="CF19" i="1"/>
  <c r="CE19" i="1"/>
  <c r="CF18" i="1"/>
  <c r="CE18" i="1"/>
  <c r="DA239" i="1"/>
  <c r="CF239" i="1"/>
  <c r="DA178" i="1"/>
  <c r="DB178" i="1" s="1"/>
  <c r="CF178" i="1"/>
  <c r="DA100" i="1"/>
  <c r="DD100" i="1" s="1"/>
  <c r="CF100" i="1"/>
  <c r="DA120" i="1"/>
  <c r="CF120" i="1"/>
  <c r="DA280" i="1"/>
  <c r="DD280" i="1" s="1"/>
  <c r="CF280" i="1"/>
  <c r="DA220" i="1"/>
  <c r="CF220" i="1"/>
  <c r="DA118" i="1"/>
  <c r="CF118" i="1"/>
  <c r="DA59" i="1"/>
  <c r="DB59" i="1" s="1"/>
  <c r="CF59" i="1"/>
  <c r="DA219" i="1"/>
  <c r="DD219" i="1" s="1"/>
  <c r="CF219" i="1"/>
  <c r="DA160" i="1"/>
  <c r="CF160" i="1"/>
  <c r="DA260" i="1"/>
  <c r="CF260" i="1"/>
  <c r="DA158" i="1"/>
  <c r="CF158" i="1"/>
  <c r="DA99" i="1"/>
  <c r="DD99" i="1" s="1"/>
  <c r="CF99" i="1"/>
  <c r="DA40" i="1"/>
  <c r="CF40" i="1"/>
  <c r="DA60" i="1"/>
  <c r="DB60" i="1" s="1"/>
  <c r="CF60" i="1"/>
  <c r="DA259" i="1"/>
  <c r="CF259" i="1"/>
  <c r="DA200" i="1"/>
  <c r="CF200" i="1"/>
  <c r="DA98" i="1"/>
  <c r="DD98" i="1" s="1"/>
  <c r="CF98" i="1"/>
  <c r="DA39" i="1"/>
  <c r="DD39" i="1" s="1"/>
  <c r="CF39" i="1"/>
  <c r="DA180" i="1"/>
  <c r="DB180" i="1" s="1"/>
  <c r="CF180" i="1"/>
  <c r="DA78" i="1"/>
  <c r="CF78" i="1"/>
  <c r="DA238" i="1"/>
  <c r="CF238" i="1"/>
  <c r="DA179" i="1"/>
  <c r="CF179" i="1"/>
  <c r="DA218" i="1"/>
  <c r="DD218" i="1" s="1"/>
  <c r="CF218" i="1"/>
  <c r="DA320" i="1"/>
  <c r="DB320" i="1" s="1"/>
  <c r="CF320" i="1"/>
  <c r="DA319" i="1"/>
  <c r="DD319" i="1" s="1"/>
  <c r="CF319" i="1"/>
  <c r="DA199" i="1"/>
  <c r="CF199" i="1"/>
  <c r="DA140" i="1"/>
  <c r="CF140" i="1"/>
  <c r="CF38" i="1"/>
  <c r="DA298" i="1"/>
  <c r="DD298" i="1" s="1"/>
  <c r="CF298" i="1"/>
  <c r="DA119" i="1"/>
  <c r="CF119" i="1"/>
  <c r="DA279" i="1"/>
  <c r="DD279" i="1" s="1"/>
  <c r="CF279" i="1"/>
  <c r="CF58" i="1"/>
  <c r="DA258" i="1"/>
  <c r="DD258" i="1" s="1"/>
  <c r="CF258" i="1"/>
  <c r="DA318" i="1"/>
  <c r="CF318" i="1"/>
  <c r="DA198" i="1"/>
  <c r="DD198" i="1" s="1"/>
  <c r="CF198" i="1"/>
  <c r="DA139" i="1"/>
  <c r="DD139" i="1" s="1"/>
  <c r="CF139" i="1"/>
  <c r="DA80" i="1"/>
  <c r="DD80" i="1" s="1"/>
  <c r="CF80" i="1"/>
  <c r="DA20" i="1"/>
  <c r="CF20" i="1"/>
  <c r="CE20" i="1"/>
  <c r="CI18" i="1"/>
  <c r="CZ89" i="1"/>
  <c r="DD89" i="1" s="1"/>
  <c r="CI58" i="1"/>
  <c r="CI39" i="1"/>
  <c r="DD67" i="1"/>
  <c r="DF76" i="1"/>
  <c r="DF77" i="1"/>
  <c r="DF75" i="1"/>
  <c r="DD54" i="1"/>
  <c r="DB54" i="1"/>
  <c r="DF319" i="1"/>
  <c r="DF299" i="1"/>
  <c r="DD299" i="1"/>
  <c r="DF279" i="1"/>
  <c r="DD259" i="1"/>
  <c r="DB259" i="1"/>
  <c r="DF259" i="1"/>
  <c r="DF240" i="1"/>
  <c r="DD172" i="1"/>
  <c r="DF172" i="1"/>
  <c r="DB172" i="1"/>
  <c r="DF153" i="1"/>
  <c r="DD153" i="1"/>
  <c r="DB153" i="1"/>
  <c r="DF134" i="1"/>
  <c r="DB134" i="1"/>
  <c r="DD134" i="1"/>
  <c r="DF115" i="1"/>
  <c r="DD115" i="1"/>
  <c r="DB115" i="1"/>
  <c r="DD96" i="1"/>
  <c r="DF96" i="1"/>
  <c r="DB96" i="1"/>
  <c r="DD66" i="1"/>
  <c r="DF72" i="1"/>
  <c r="DF74" i="1"/>
  <c r="DF73" i="1"/>
  <c r="DB53" i="1"/>
  <c r="DD53" i="1"/>
  <c r="DB37" i="1"/>
  <c r="DD37" i="1"/>
  <c r="DD20" i="1"/>
  <c r="DB20" i="1"/>
  <c r="DE20" i="1" s="1"/>
  <c r="DD318" i="1"/>
  <c r="DF318" i="1"/>
  <c r="DF298" i="1"/>
  <c r="DD277" i="1"/>
  <c r="DF277" i="1"/>
  <c r="DB277" i="1"/>
  <c r="DB258" i="1"/>
  <c r="DF258" i="1"/>
  <c r="DB239" i="1"/>
  <c r="DD239" i="1"/>
  <c r="DF239" i="1"/>
  <c r="DF220" i="1"/>
  <c r="DB220" i="1"/>
  <c r="DD220" i="1"/>
  <c r="DD152" i="1"/>
  <c r="DF152" i="1"/>
  <c r="DB152" i="1"/>
  <c r="DF133" i="1"/>
  <c r="DD133" i="1"/>
  <c r="DB133" i="1"/>
  <c r="DF114" i="1"/>
  <c r="DD114" i="1"/>
  <c r="DB114" i="1"/>
  <c r="DD95" i="1"/>
  <c r="DB36" i="1"/>
  <c r="DD36" i="1"/>
  <c r="DD317" i="1"/>
  <c r="DF317" i="1"/>
  <c r="DB317" i="1"/>
  <c r="DD238" i="1"/>
  <c r="DF238" i="1"/>
  <c r="DB238" i="1"/>
  <c r="DF219" i="1"/>
  <c r="DF200" i="1"/>
  <c r="DD200" i="1"/>
  <c r="DB200" i="1"/>
  <c r="CZ132" i="1"/>
  <c r="CI132" i="1"/>
  <c r="DF113" i="1"/>
  <c r="DD113" i="1"/>
  <c r="DB113" i="1"/>
  <c r="DB94" i="1"/>
  <c r="DF94" i="1"/>
  <c r="DD94" i="1"/>
  <c r="DB78" i="1"/>
  <c r="DD78" i="1"/>
  <c r="DF58" i="1"/>
  <c r="DD48" i="1"/>
  <c r="DF60" i="1"/>
  <c r="DF59" i="1"/>
  <c r="DB35" i="1"/>
  <c r="DD35" i="1"/>
  <c r="DF315" i="1"/>
  <c r="DD315" i="1"/>
  <c r="DB315" i="1"/>
  <c r="DF296" i="1"/>
  <c r="DD296" i="1"/>
  <c r="DF275" i="1"/>
  <c r="DD256" i="1"/>
  <c r="DF256" i="1"/>
  <c r="DB256" i="1"/>
  <c r="DD237" i="1"/>
  <c r="DF237" i="1"/>
  <c r="DB237" i="1"/>
  <c r="DF218" i="1"/>
  <c r="CZ199" i="1"/>
  <c r="CI199" i="1"/>
  <c r="DF180" i="1"/>
  <c r="DD180" i="1"/>
  <c r="CI112" i="1"/>
  <c r="CZ112" i="1"/>
  <c r="DF93" i="1"/>
  <c r="DD93" i="1"/>
  <c r="DB93" i="1"/>
  <c r="DB34" i="1"/>
  <c r="DD34" i="1"/>
  <c r="DD17" i="1"/>
  <c r="DB17" i="1"/>
  <c r="DE17" i="1" s="1"/>
  <c r="DF314" i="1"/>
  <c r="DD314" i="1"/>
  <c r="DB314" i="1"/>
  <c r="DB295" i="1"/>
  <c r="DF295" i="1"/>
  <c r="DD295" i="1"/>
  <c r="DF274" i="1"/>
  <c r="DD274" i="1"/>
  <c r="DB274" i="1"/>
  <c r="DF255" i="1"/>
  <c r="DD255" i="1"/>
  <c r="DB255" i="1"/>
  <c r="DF236" i="1"/>
  <c r="DD236" i="1"/>
  <c r="DB236" i="1"/>
  <c r="DD217" i="1"/>
  <c r="DF217" i="1"/>
  <c r="DF198" i="1"/>
  <c r="DF179" i="1"/>
  <c r="DD179" i="1"/>
  <c r="DB179" i="1"/>
  <c r="DD160" i="1"/>
  <c r="DF160" i="1"/>
  <c r="DB160" i="1"/>
  <c r="DD92" i="1"/>
  <c r="DD46" i="1"/>
  <c r="DF53" i="1"/>
  <c r="DF54" i="1"/>
  <c r="DF52" i="1"/>
  <c r="DF273" i="1"/>
  <c r="DD273" i="1"/>
  <c r="DF235" i="1"/>
  <c r="DD235" i="1"/>
  <c r="DB235" i="1"/>
  <c r="DF216" i="1"/>
  <c r="DD216" i="1"/>
  <c r="DD197" i="1"/>
  <c r="DF197" i="1"/>
  <c r="DB197" i="1"/>
  <c r="DF178" i="1"/>
  <c r="DF159" i="1"/>
  <c r="DD159" i="1"/>
  <c r="DB159" i="1"/>
  <c r="DD140" i="1"/>
  <c r="DF140" i="1"/>
  <c r="DB140" i="1"/>
  <c r="DB253" i="1"/>
  <c r="DF253" i="1"/>
  <c r="DD253" i="1"/>
  <c r="DF158" i="1"/>
  <c r="DD158" i="1"/>
  <c r="DB158" i="1"/>
  <c r="DF139" i="1"/>
  <c r="CZ120" i="1"/>
  <c r="CI120" i="1"/>
  <c r="DB75" i="1"/>
  <c r="DD75" i="1"/>
  <c r="DD28" i="1"/>
  <c r="DF40" i="1"/>
  <c r="DF38" i="1"/>
  <c r="DF39" i="1"/>
  <c r="DB272" i="1"/>
  <c r="DD272" i="1"/>
  <c r="DF272" i="1"/>
  <c r="DD215" i="1"/>
  <c r="DF215" i="1"/>
  <c r="DB74" i="1"/>
  <c r="DD74" i="1"/>
  <c r="DD27" i="1"/>
  <c r="DF37" i="1"/>
  <c r="DF35" i="1"/>
  <c r="DF36" i="1"/>
  <c r="DD14" i="1"/>
  <c r="DB14" i="1"/>
  <c r="DE14" i="1" s="1"/>
  <c r="DD292" i="1"/>
  <c r="DF292" i="1"/>
  <c r="DB292" i="1"/>
  <c r="DB252" i="1"/>
  <c r="DF252" i="1"/>
  <c r="DD252" i="1"/>
  <c r="DF233" i="1"/>
  <c r="DD233" i="1"/>
  <c r="DB233" i="1"/>
  <c r="DF214" i="1"/>
  <c r="DB214" i="1"/>
  <c r="DD214" i="1"/>
  <c r="DF195" i="1"/>
  <c r="DD195" i="1"/>
  <c r="DB195" i="1"/>
  <c r="DD176" i="1"/>
  <c r="DF176" i="1"/>
  <c r="DB176" i="1"/>
  <c r="DF157" i="1"/>
  <c r="DD157" i="1"/>
  <c r="DB157" i="1"/>
  <c r="DD138" i="1"/>
  <c r="DF138" i="1"/>
  <c r="DB138" i="1"/>
  <c r="DD119" i="1"/>
  <c r="DF119" i="1"/>
  <c r="DB119" i="1"/>
  <c r="DF100" i="1"/>
  <c r="CJ12" i="1"/>
  <c r="DD77" i="1"/>
  <c r="DB77" i="1"/>
  <c r="DB76" i="1"/>
  <c r="DD76" i="1"/>
  <c r="DB294" i="1"/>
  <c r="DD294" i="1"/>
  <c r="DF294" i="1"/>
  <c r="DB15" i="1"/>
  <c r="DE15" i="1" s="1"/>
  <c r="DD15" i="1"/>
  <c r="DD177" i="1"/>
  <c r="DF177" i="1"/>
  <c r="DB177" i="1"/>
  <c r="DB73" i="1"/>
  <c r="DD73" i="1"/>
  <c r="DD57" i="1"/>
  <c r="DB57" i="1"/>
  <c r="DD26" i="1"/>
  <c r="DF32" i="1"/>
  <c r="DF34" i="1"/>
  <c r="DF33" i="1"/>
  <c r="DB13" i="1"/>
  <c r="DE13" i="1" s="1"/>
  <c r="DD13" i="1"/>
  <c r="DD310" i="1"/>
  <c r="DF232" i="1"/>
  <c r="DD232" i="1"/>
  <c r="DB232" i="1"/>
  <c r="DF213" i="1"/>
  <c r="DB213" i="1"/>
  <c r="DD213" i="1"/>
  <c r="DB194" i="1"/>
  <c r="DF194" i="1"/>
  <c r="DD194" i="1"/>
  <c r="DD156" i="1"/>
  <c r="DF156" i="1"/>
  <c r="DB156" i="1"/>
  <c r="DF137" i="1"/>
  <c r="DD137" i="1"/>
  <c r="DB137" i="1"/>
  <c r="CI118" i="1"/>
  <c r="CZ118" i="1"/>
  <c r="DF99" i="1"/>
  <c r="DA16" i="1"/>
  <c r="CE16" i="1"/>
  <c r="CF16" i="1" s="1"/>
  <c r="DD59" i="1"/>
  <c r="DB312" i="1"/>
  <c r="DF312" i="1"/>
  <c r="DD312" i="1"/>
  <c r="DD196" i="1"/>
  <c r="DF196" i="1"/>
  <c r="DB196" i="1"/>
  <c r="DB72" i="1"/>
  <c r="DD72" i="1"/>
  <c r="DD56" i="1"/>
  <c r="DB56" i="1"/>
  <c r="DD40" i="1"/>
  <c r="DB40" i="1"/>
  <c r="DD289" i="1"/>
  <c r="DF212" i="1"/>
  <c r="DD212" i="1"/>
  <c r="DB212" i="1"/>
  <c r="DD193" i="1"/>
  <c r="DF193" i="1"/>
  <c r="DB193" i="1"/>
  <c r="DF174" i="1"/>
  <c r="DD174" i="1"/>
  <c r="DB174" i="1"/>
  <c r="DD155" i="1"/>
  <c r="DF155" i="1"/>
  <c r="DB155" i="1"/>
  <c r="DF136" i="1"/>
  <c r="DD136" i="1"/>
  <c r="DB136" i="1"/>
  <c r="DD117" i="1"/>
  <c r="DF117" i="1"/>
  <c r="DB117" i="1"/>
  <c r="DF57" i="1"/>
  <c r="DE57" i="1" s="1"/>
  <c r="DD47" i="1"/>
  <c r="DF56" i="1"/>
  <c r="DF55" i="1"/>
  <c r="DF313" i="1"/>
  <c r="DD313" i="1"/>
  <c r="DB313" i="1"/>
  <c r="DD293" i="1"/>
  <c r="DF293" i="1"/>
  <c r="DF234" i="1"/>
  <c r="DD234" i="1"/>
  <c r="DB234" i="1"/>
  <c r="DB318" i="1"/>
  <c r="DD308" i="1"/>
  <c r="DA275" i="1"/>
  <c r="DD275" i="1" s="1"/>
  <c r="CE275" i="1"/>
  <c r="CF275" i="1" s="1"/>
  <c r="DD68" i="1"/>
  <c r="DF79" i="1"/>
  <c r="DF80" i="1"/>
  <c r="DF78" i="1"/>
  <c r="DD55" i="1"/>
  <c r="DB55" i="1"/>
  <c r="DB39" i="1"/>
  <c r="DF320" i="1"/>
  <c r="DD300" i="1"/>
  <c r="DF300" i="1"/>
  <c r="DB300" i="1"/>
  <c r="DD260" i="1"/>
  <c r="DF260" i="1"/>
  <c r="DB260" i="1"/>
  <c r="DB192" i="1"/>
  <c r="DF192" i="1"/>
  <c r="DD192" i="1"/>
  <c r="DF173" i="1"/>
  <c r="DD173" i="1"/>
  <c r="DB173" i="1"/>
  <c r="DB154" i="1"/>
  <c r="DF154" i="1"/>
  <c r="DD154" i="1"/>
  <c r="DD135" i="1"/>
  <c r="DF135" i="1"/>
  <c r="DB135" i="1"/>
  <c r="DD116" i="1"/>
  <c r="DF116" i="1"/>
  <c r="DB116" i="1"/>
  <c r="CI78" i="1"/>
  <c r="DB32" i="1"/>
  <c r="CG20" i="1"/>
  <c r="CD20" i="1"/>
  <c r="CI20" i="1"/>
  <c r="CE32" i="1"/>
  <c r="CF32" i="1" s="1"/>
  <c r="CD32" i="1"/>
  <c r="CD37" i="1"/>
  <c r="CE37" i="1"/>
  <c r="CF37" i="1" s="1"/>
  <c r="CH37" i="1"/>
  <c r="CG37" i="1"/>
  <c r="CI257" i="1"/>
  <c r="CJ257" i="1"/>
  <c r="CJ213" i="1"/>
  <c r="CI213" i="1"/>
  <c r="CJ177" i="1"/>
  <c r="CI177" i="1"/>
  <c r="CJ139" i="1"/>
  <c r="CI139" i="1"/>
  <c r="CJ92" i="1"/>
  <c r="CI92" i="1"/>
  <c r="CD279" i="1"/>
  <c r="CE279" i="1"/>
  <c r="CG279" i="1"/>
  <c r="CH279" i="1"/>
  <c r="CJ176" i="1"/>
  <c r="CI176" i="1"/>
  <c r="CI12" i="1"/>
  <c r="CE320" i="1"/>
  <c r="CD320" i="1"/>
  <c r="CG320" i="1"/>
  <c r="CH320" i="1"/>
  <c r="CD312" i="1"/>
  <c r="CE312" i="1"/>
  <c r="CF312" i="1" s="1"/>
  <c r="CH312" i="1"/>
  <c r="CG312" i="1"/>
  <c r="CH299" i="1"/>
  <c r="CG299" i="1"/>
  <c r="CE277" i="1"/>
  <c r="CF277" i="1" s="1"/>
  <c r="CD277" i="1"/>
  <c r="CG277" i="1"/>
  <c r="CH277" i="1"/>
  <c r="CE256" i="1"/>
  <c r="CF256" i="1" s="1"/>
  <c r="CD256" i="1"/>
  <c r="CH256" i="1"/>
  <c r="CG256" i="1"/>
  <c r="CE235" i="1"/>
  <c r="CF235" i="1" s="1"/>
  <c r="CD235" i="1"/>
  <c r="CH235" i="1"/>
  <c r="CG235" i="1"/>
  <c r="CH214" i="1"/>
  <c r="CG214" i="1"/>
  <c r="CE214" i="1"/>
  <c r="CF214" i="1" s="1"/>
  <c r="CD214" i="1"/>
  <c r="CE193" i="1"/>
  <c r="CF193" i="1" s="1"/>
  <c r="CD193" i="1"/>
  <c r="CG193" i="1"/>
  <c r="CH193" i="1"/>
  <c r="CE180" i="1"/>
  <c r="CD180" i="1"/>
  <c r="CH180" i="1"/>
  <c r="CG180" i="1"/>
  <c r="CE172" i="1"/>
  <c r="CF172" i="1" s="1"/>
  <c r="CD172" i="1"/>
  <c r="CH172" i="1"/>
  <c r="CG172" i="1"/>
  <c r="CE152" i="1"/>
  <c r="CF152" i="1" s="1"/>
  <c r="CD152" i="1"/>
  <c r="CH152" i="1"/>
  <c r="CG152" i="1"/>
  <c r="CD140" i="1"/>
  <c r="CG140" i="1"/>
  <c r="CE140" i="1"/>
  <c r="CH140" i="1"/>
  <c r="CD132" i="1"/>
  <c r="CE132" i="1"/>
  <c r="CF132" i="1" s="1"/>
  <c r="CH132" i="1"/>
  <c r="CG132" i="1"/>
  <c r="CE120" i="1"/>
  <c r="CD120" i="1"/>
  <c r="CG120" i="1"/>
  <c r="CH120" i="1"/>
  <c r="CE112" i="1"/>
  <c r="CF112" i="1" s="1"/>
  <c r="CD112" i="1"/>
  <c r="CH112" i="1"/>
  <c r="CG112" i="1"/>
  <c r="CE93" i="1"/>
  <c r="CF93" i="1" s="1"/>
  <c r="CD93" i="1"/>
  <c r="CH93" i="1"/>
  <c r="CG93" i="1"/>
  <c r="CD73" i="1"/>
  <c r="CH73" i="1"/>
  <c r="CG73" i="1"/>
  <c r="CE73" i="1"/>
  <c r="CF73" i="1" s="1"/>
  <c r="CD54" i="1"/>
  <c r="CH54" i="1"/>
  <c r="CG54" i="1"/>
  <c r="CE54" i="1"/>
  <c r="CF54" i="1" s="1"/>
  <c r="CH35" i="1"/>
  <c r="CD35" i="1"/>
  <c r="CG35" i="1"/>
  <c r="CE35" i="1"/>
  <c r="CF35" i="1" s="1"/>
  <c r="CD15" i="1"/>
  <c r="CE15" i="1"/>
  <c r="CF15" i="1" s="1"/>
  <c r="CH15" i="1"/>
  <c r="CG15" i="1"/>
  <c r="CJ315" i="1"/>
  <c r="CI315" i="1"/>
  <c r="CJ293" i="1"/>
  <c r="CJ277" i="1"/>
  <c r="CI277" i="1"/>
  <c r="CJ255" i="1"/>
  <c r="CI255" i="1"/>
  <c r="CJ233" i="1"/>
  <c r="CI233" i="1"/>
  <c r="CI219" i="1"/>
  <c r="CJ219" i="1"/>
  <c r="CI197" i="1"/>
  <c r="CJ197" i="1"/>
  <c r="CJ175" i="1"/>
  <c r="CI175" i="1"/>
  <c r="CJ160" i="1"/>
  <c r="CI160" i="1"/>
  <c r="CI152" i="1"/>
  <c r="CJ152" i="1"/>
  <c r="CJ137" i="1"/>
  <c r="CI137" i="1"/>
  <c r="CJ114" i="1"/>
  <c r="CI114" i="1"/>
  <c r="CI98" i="1"/>
  <c r="CJ98" i="1"/>
  <c r="CJ75" i="1"/>
  <c r="CI75" i="1"/>
  <c r="CJ59" i="1"/>
  <c r="CI59" i="1"/>
  <c r="CJ35" i="1"/>
  <c r="CI35" i="1"/>
  <c r="CI19" i="1"/>
  <c r="CJ19" i="1"/>
  <c r="CG314" i="1"/>
  <c r="CD314" i="1"/>
  <c r="CH314" i="1"/>
  <c r="CE314" i="1"/>
  <c r="CF314" i="1" s="1"/>
  <c r="CE237" i="1"/>
  <c r="CF237" i="1" s="1"/>
  <c r="CG237" i="1"/>
  <c r="CD237" i="1"/>
  <c r="CH237" i="1"/>
  <c r="CE114" i="1"/>
  <c r="CF114" i="1" s="1"/>
  <c r="CD114" i="1"/>
  <c r="CH114" i="1"/>
  <c r="CG114" i="1"/>
  <c r="CJ13" i="1"/>
  <c r="CI13" i="1"/>
  <c r="CH313" i="1"/>
  <c r="CE313" i="1"/>
  <c r="CF313" i="1" s="1"/>
  <c r="CG313" i="1"/>
  <c r="CD313" i="1"/>
  <c r="CH257" i="1"/>
  <c r="CG257" i="1"/>
  <c r="CD257" i="1"/>
  <c r="CE257" i="1"/>
  <c r="CF257" i="1" s="1"/>
  <c r="CD236" i="1"/>
  <c r="CG236" i="1"/>
  <c r="CE236" i="1"/>
  <c r="CF236" i="1" s="1"/>
  <c r="CH236" i="1"/>
  <c r="CD94" i="1"/>
  <c r="CE94" i="1"/>
  <c r="CF94" i="1" s="1"/>
  <c r="CH94" i="1"/>
  <c r="CG94" i="1"/>
  <c r="CJ20" i="1"/>
  <c r="CH319" i="1"/>
  <c r="CG319" i="1"/>
  <c r="CD319" i="1"/>
  <c r="CE319" i="1"/>
  <c r="CD298" i="1"/>
  <c r="CH298" i="1"/>
  <c r="CG298" i="1"/>
  <c r="CE298" i="1"/>
  <c r="CH276" i="1"/>
  <c r="CG276" i="1"/>
  <c r="CD276" i="1"/>
  <c r="CE276" i="1"/>
  <c r="CF276" i="1" s="1"/>
  <c r="CD255" i="1"/>
  <c r="CG255" i="1"/>
  <c r="CE255" i="1"/>
  <c r="CF255" i="1" s="1"/>
  <c r="CH255" i="1"/>
  <c r="CD234" i="1"/>
  <c r="CH234" i="1"/>
  <c r="CE234" i="1"/>
  <c r="CF234" i="1" s="1"/>
  <c r="CG234" i="1"/>
  <c r="CD213" i="1"/>
  <c r="CE213" i="1"/>
  <c r="CF213" i="1" s="1"/>
  <c r="CG213" i="1"/>
  <c r="CH213" i="1"/>
  <c r="CH200" i="1"/>
  <c r="CG200" i="1"/>
  <c r="CD200" i="1"/>
  <c r="CE200" i="1"/>
  <c r="CH192" i="1"/>
  <c r="CG192" i="1"/>
  <c r="CD192" i="1"/>
  <c r="CE192" i="1"/>
  <c r="CF192" i="1" s="1"/>
  <c r="CD179" i="1"/>
  <c r="CE179" i="1"/>
  <c r="CG179" i="1"/>
  <c r="CH179" i="1"/>
  <c r="CD159" i="1"/>
  <c r="CG159" i="1"/>
  <c r="CE159" i="1"/>
  <c r="CH159" i="1"/>
  <c r="CE139" i="1"/>
  <c r="CD139" i="1"/>
  <c r="CH139" i="1"/>
  <c r="CG139" i="1"/>
  <c r="CD119" i="1"/>
  <c r="CE119" i="1"/>
  <c r="CG119" i="1"/>
  <c r="CH119" i="1"/>
  <c r="CD100" i="1"/>
  <c r="CG100" i="1"/>
  <c r="CE100" i="1"/>
  <c r="CH100" i="1"/>
  <c r="CD92" i="1"/>
  <c r="CG92" i="1"/>
  <c r="CE92" i="1"/>
  <c r="CF92" i="1" s="1"/>
  <c r="CH92" i="1"/>
  <c r="CG80" i="1"/>
  <c r="CE80" i="1"/>
  <c r="CD80" i="1"/>
  <c r="CH80" i="1"/>
  <c r="CG72" i="1"/>
  <c r="CE72" i="1"/>
  <c r="CF72" i="1" s="1"/>
  <c r="CD72" i="1"/>
  <c r="CH72" i="1"/>
  <c r="CG53" i="1"/>
  <c r="CE53" i="1"/>
  <c r="CF53" i="1" s="1"/>
  <c r="CD53" i="1"/>
  <c r="CH53" i="1"/>
  <c r="CH34" i="1"/>
  <c r="CE34" i="1"/>
  <c r="CF34" i="1" s="1"/>
  <c r="CD34" i="1"/>
  <c r="CG34" i="1"/>
  <c r="CD14" i="1"/>
  <c r="CH14" i="1"/>
  <c r="CE14" i="1"/>
  <c r="CF14" i="1" s="1"/>
  <c r="CG14" i="1"/>
  <c r="CJ314" i="1"/>
  <c r="CI314" i="1"/>
  <c r="CJ300" i="1"/>
  <c r="CI300" i="1"/>
  <c r="CJ292" i="1"/>
  <c r="CI292" i="1"/>
  <c r="CI276" i="1"/>
  <c r="CJ276" i="1"/>
  <c r="CI254" i="1"/>
  <c r="CJ254" i="1"/>
  <c r="CJ240" i="1"/>
  <c r="CI240" i="1"/>
  <c r="CJ232" i="1"/>
  <c r="CI232" i="1"/>
  <c r="CJ218" i="1"/>
  <c r="CI218" i="1"/>
  <c r="CJ196" i="1"/>
  <c r="CI196" i="1"/>
  <c r="CJ174" i="1"/>
  <c r="CI174" i="1"/>
  <c r="CJ159" i="1"/>
  <c r="CI159" i="1"/>
  <c r="CJ136" i="1"/>
  <c r="CI136" i="1"/>
  <c r="CJ113" i="1"/>
  <c r="CI113" i="1"/>
  <c r="CJ97" i="1"/>
  <c r="CI97" i="1"/>
  <c r="CJ74" i="1"/>
  <c r="CI74" i="1"/>
  <c r="CJ58" i="1"/>
  <c r="CJ34" i="1"/>
  <c r="CI34" i="1"/>
  <c r="CJ18" i="1"/>
  <c r="CH293" i="1"/>
  <c r="CG293" i="1"/>
  <c r="CH280" i="1"/>
  <c r="CG280" i="1"/>
  <c r="CE280" i="1"/>
  <c r="CD280" i="1"/>
  <c r="CE258" i="1"/>
  <c r="CD258" i="1"/>
  <c r="CG258" i="1"/>
  <c r="CH258" i="1"/>
  <c r="CE216" i="1"/>
  <c r="CF216" i="1" s="1"/>
  <c r="CD216" i="1"/>
  <c r="CH216" i="1"/>
  <c r="CG216" i="1"/>
  <c r="CH195" i="1"/>
  <c r="CG195" i="1"/>
  <c r="CE195" i="1"/>
  <c r="CF195" i="1" s="1"/>
  <c r="CD195" i="1"/>
  <c r="CE174" i="1"/>
  <c r="CF174" i="1" s="1"/>
  <c r="CD174" i="1"/>
  <c r="CG174" i="1"/>
  <c r="CH174" i="1"/>
  <c r="CE154" i="1"/>
  <c r="CF154" i="1" s="1"/>
  <c r="CD154" i="1"/>
  <c r="CH154" i="1"/>
  <c r="CG154" i="1"/>
  <c r="CH134" i="1"/>
  <c r="CD134" i="1"/>
  <c r="CG134" i="1"/>
  <c r="CE134" i="1"/>
  <c r="CF134" i="1" s="1"/>
  <c r="CE95" i="1"/>
  <c r="CF95" i="1" s="1"/>
  <c r="CH95" i="1"/>
  <c r="CD95" i="1"/>
  <c r="CG95" i="1"/>
  <c r="CD56" i="1"/>
  <c r="CE56" i="1"/>
  <c r="CF56" i="1" s="1"/>
  <c r="CH56" i="1"/>
  <c r="CG56" i="1"/>
  <c r="CJ318" i="1"/>
  <c r="CI318" i="1"/>
  <c r="CJ116" i="1"/>
  <c r="CI116" i="1"/>
  <c r="CJ53" i="1"/>
  <c r="CI53" i="1"/>
  <c r="CD292" i="1"/>
  <c r="CH292" i="1"/>
  <c r="CE292" i="1"/>
  <c r="CF292" i="1" s="1"/>
  <c r="CG292" i="1"/>
  <c r="CH153" i="1"/>
  <c r="CD153" i="1"/>
  <c r="CE153" i="1"/>
  <c r="CF153" i="1" s="1"/>
  <c r="CG153" i="1"/>
  <c r="CD113" i="1"/>
  <c r="CE113" i="1"/>
  <c r="CF113" i="1" s="1"/>
  <c r="CH113" i="1"/>
  <c r="CG113" i="1"/>
  <c r="CE55" i="1"/>
  <c r="CF55" i="1" s="1"/>
  <c r="CD55" i="1"/>
  <c r="CH55" i="1"/>
  <c r="CG55" i="1"/>
  <c r="CE36" i="1"/>
  <c r="CF36" i="1" s="1"/>
  <c r="CD36" i="1"/>
  <c r="CH36" i="1"/>
  <c r="CG36" i="1"/>
  <c r="CJ279" i="1"/>
  <c r="CI279" i="1"/>
  <c r="CJ234" i="1"/>
  <c r="CI234" i="1"/>
  <c r="CJ76" i="1"/>
  <c r="CI76" i="1"/>
  <c r="CH297" i="1"/>
  <c r="CG297" i="1"/>
  <c r="CE297" i="1"/>
  <c r="CF297" i="1" s="1"/>
  <c r="CD297" i="1"/>
  <c r="CE254" i="1"/>
  <c r="CF254" i="1" s="1"/>
  <c r="CD254" i="1"/>
  <c r="CH254" i="1"/>
  <c r="CG254" i="1"/>
  <c r="CH233" i="1"/>
  <c r="CG233" i="1"/>
  <c r="CE233" i="1"/>
  <c r="CF233" i="1" s="1"/>
  <c r="CD233" i="1"/>
  <c r="CE220" i="1"/>
  <c r="CD220" i="1"/>
  <c r="CG220" i="1"/>
  <c r="CH220" i="1"/>
  <c r="CE212" i="1"/>
  <c r="CF212" i="1" s="1"/>
  <c r="CD212" i="1"/>
  <c r="CG212" i="1"/>
  <c r="CH212" i="1"/>
  <c r="CE199" i="1"/>
  <c r="CG199" i="1"/>
  <c r="CD199" i="1"/>
  <c r="CH199" i="1"/>
  <c r="CE178" i="1"/>
  <c r="CD178" i="1"/>
  <c r="CH178" i="1"/>
  <c r="CG178" i="1"/>
  <c r="CE158" i="1"/>
  <c r="CD158" i="1"/>
  <c r="CH158" i="1"/>
  <c r="CG158" i="1"/>
  <c r="CD138" i="1"/>
  <c r="CH138" i="1"/>
  <c r="CE138" i="1"/>
  <c r="CG138" i="1"/>
  <c r="CE118" i="1"/>
  <c r="CG118" i="1"/>
  <c r="CD118" i="1"/>
  <c r="CH118" i="1"/>
  <c r="CG99" i="1"/>
  <c r="CE99" i="1"/>
  <c r="CD99" i="1"/>
  <c r="CH99" i="1"/>
  <c r="CD79" i="1"/>
  <c r="CE79" i="1"/>
  <c r="CG79" i="1"/>
  <c r="CH79" i="1"/>
  <c r="CD60" i="1"/>
  <c r="CE60" i="1"/>
  <c r="CH60" i="1"/>
  <c r="CG60" i="1"/>
  <c r="CD52" i="1"/>
  <c r="CE52" i="1"/>
  <c r="CF52" i="1" s="1"/>
  <c r="CG52" i="1"/>
  <c r="CH52" i="1"/>
  <c r="CD33" i="1"/>
  <c r="CE33" i="1"/>
  <c r="CF33" i="1" s="1"/>
  <c r="CG33" i="1"/>
  <c r="CH33" i="1"/>
  <c r="CG13" i="1"/>
  <c r="CE13" i="1"/>
  <c r="CF13" i="1" s="1"/>
  <c r="CD13" i="1"/>
  <c r="CH13" i="1"/>
  <c r="CI313" i="1"/>
  <c r="CJ313" i="1"/>
  <c r="CJ299" i="1"/>
  <c r="CJ275" i="1"/>
  <c r="CI275" i="1"/>
  <c r="CJ253" i="1"/>
  <c r="CI253" i="1"/>
  <c r="CJ239" i="1"/>
  <c r="CI239" i="1"/>
  <c r="CJ217" i="1"/>
  <c r="CI217" i="1"/>
  <c r="CJ195" i="1"/>
  <c r="CI195" i="1"/>
  <c r="CJ173" i="1"/>
  <c r="CI173" i="1"/>
  <c r="CJ158" i="1"/>
  <c r="CI158" i="1"/>
  <c r="CJ135" i="1"/>
  <c r="CI135" i="1"/>
  <c r="CJ120" i="1"/>
  <c r="CJ112" i="1"/>
  <c r="CJ96" i="1"/>
  <c r="CI96" i="1"/>
  <c r="CJ73" i="1"/>
  <c r="CI73" i="1"/>
  <c r="CI57" i="1"/>
  <c r="CJ57" i="1"/>
  <c r="CJ33" i="1"/>
  <c r="CI33" i="1"/>
  <c r="CJ17" i="1"/>
  <c r="CI17" i="1"/>
  <c r="CG32" i="1"/>
  <c r="CJ199" i="1"/>
  <c r="CJ37" i="1"/>
  <c r="CI37" i="1"/>
  <c r="CH300" i="1"/>
  <c r="CE300" i="1"/>
  <c r="CG300" i="1"/>
  <c r="CD300" i="1"/>
  <c r="CD194" i="1"/>
  <c r="CE194" i="1"/>
  <c r="CF194" i="1" s="1"/>
  <c r="CH194" i="1"/>
  <c r="CG194" i="1"/>
  <c r="CJ317" i="1"/>
  <c r="CI317" i="1"/>
  <c r="CI294" i="1"/>
  <c r="CJ294" i="1"/>
  <c r="CJ256" i="1"/>
  <c r="CI256" i="1"/>
  <c r="CJ220" i="1"/>
  <c r="CI220" i="1"/>
  <c r="CI198" i="1"/>
  <c r="CJ198" i="1"/>
  <c r="CJ115" i="1"/>
  <c r="CI115" i="1"/>
  <c r="CJ99" i="1"/>
  <c r="CI99" i="1"/>
  <c r="CJ60" i="1"/>
  <c r="CI60" i="1"/>
  <c r="CD317" i="1"/>
  <c r="CG317" i="1"/>
  <c r="CE317" i="1"/>
  <c r="CF317" i="1" s="1"/>
  <c r="CH317" i="1"/>
  <c r="CH296" i="1"/>
  <c r="CG296" i="1"/>
  <c r="CD274" i="1"/>
  <c r="CG274" i="1"/>
  <c r="CE274" i="1"/>
  <c r="CF274" i="1" s="1"/>
  <c r="CH274" i="1"/>
  <c r="CD253" i="1"/>
  <c r="CH253" i="1"/>
  <c r="CE253" i="1"/>
  <c r="CF253" i="1" s="1"/>
  <c r="CG253" i="1"/>
  <c r="CD240" i="1"/>
  <c r="CE240" i="1"/>
  <c r="CG240" i="1"/>
  <c r="CH240" i="1"/>
  <c r="CD232" i="1"/>
  <c r="CE232" i="1"/>
  <c r="CF232" i="1" s="1"/>
  <c r="CH232" i="1"/>
  <c r="CG232" i="1"/>
  <c r="CH219" i="1"/>
  <c r="CG219" i="1"/>
  <c r="CD219" i="1"/>
  <c r="CE219" i="1"/>
  <c r="CD198" i="1"/>
  <c r="CG198" i="1"/>
  <c r="CE198" i="1"/>
  <c r="CH198" i="1"/>
  <c r="CD177" i="1"/>
  <c r="CG177" i="1"/>
  <c r="CE177" i="1"/>
  <c r="CF177" i="1" s="1"/>
  <c r="CH177" i="1"/>
  <c r="CD157" i="1"/>
  <c r="CE157" i="1"/>
  <c r="CF157" i="1" s="1"/>
  <c r="CH157" i="1"/>
  <c r="CG157" i="1"/>
  <c r="CH137" i="1"/>
  <c r="CG137" i="1"/>
  <c r="CE137" i="1"/>
  <c r="CF137" i="1" s="1"/>
  <c r="CD137" i="1"/>
  <c r="CD117" i="1"/>
  <c r="CE117" i="1"/>
  <c r="CF117" i="1" s="1"/>
  <c r="CG117" i="1"/>
  <c r="CH117" i="1"/>
  <c r="CD98" i="1"/>
  <c r="CE98" i="1"/>
  <c r="CG98" i="1"/>
  <c r="CH98" i="1"/>
  <c r="CE78" i="1"/>
  <c r="CD78" i="1"/>
  <c r="CH78" i="1"/>
  <c r="CG78" i="1"/>
  <c r="CE59" i="1"/>
  <c r="CD59" i="1"/>
  <c r="CH59" i="1"/>
  <c r="CG59" i="1"/>
  <c r="CE40" i="1"/>
  <c r="CD40" i="1"/>
  <c r="CH40" i="1"/>
  <c r="CG40" i="1"/>
  <c r="CH20" i="1"/>
  <c r="CH12" i="1"/>
  <c r="CG12" i="1"/>
  <c r="CE12" i="1"/>
  <c r="CF12" i="1" s="1"/>
  <c r="CD12" i="1"/>
  <c r="CJ312" i="1"/>
  <c r="CI312" i="1"/>
  <c r="CJ298" i="1"/>
  <c r="CI298" i="1"/>
  <c r="CI274" i="1"/>
  <c r="CJ274" i="1"/>
  <c r="CJ260" i="1"/>
  <c r="CI260" i="1"/>
  <c r="CJ252" i="1"/>
  <c r="CI252" i="1"/>
  <c r="CI238" i="1"/>
  <c r="CJ238" i="1"/>
  <c r="CI216" i="1"/>
  <c r="CJ216" i="1"/>
  <c r="CJ194" i="1"/>
  <c r="CI194" i="1"/>
  <c r="CJ180" i="1"/>
  <c r="CI180" i="1"/>
  <c r="CJ172" i="1"/>
  <c r="CI172" i="1"/>
  <c r="CJ157" i="1"/>
  <c r="CI157" i="1"/>
  <c r="CI134" i="1"/>
  <c r="CJ134" i="1"/>
  <c r="CJ119" i="1"/>
  <c r="CI119" i="1"/>
  <c r="CJ95" i="1"/>
  <c r="CI95" i="1"/>
  <c r="CJ80" i="1"/>
  <c r="CI80" i="1"/>
  <c r="CJ72" i="1"/>
  <c r="CI72" i="1"/>
  <c r="CJ56" i="1"/>
  <c r="CI56" i="1"/>
  <c r="CJ40" i="1"/>
  <c r="CI40" i="1"/>
  <c r="CJ32" i="1"/>
  <c r="CI32" i="1"/>
  <c r="CJ16" i="1"/>
  <c r="CH32" i="1"/>
  <c r="CD75" i="1"/>
  <c r="CE75" i="1"/>
  <c r="CF75" i="1" s="1"/>
  <c r="CH75" i="1"/>
  <c r="CG75" i="1"/>
  <c r="CE17" i="1"/>
  <c r="CF17" i="1" s="1"/>
  <c r="CD17" i="1"/>
  <c r="CH17" i="1"/>
  <c r="CG17" i="1"/>
  <c r="CJ280" i="1"/>
  <c r="CI280" i="1"/>
  <c r="CJ154" i="1"/>
  <c r="CI154" i="1"/>
  <c r="CJ100" i="1"/>
  <c r="CI100" i="1"/>
  <c r="CD215" i="1"/>
  <c r="CH215" i="1"/>
  <c r="CE215" i="1"/>
  <c r="CF215" i="1" s="1"/>
  <c r="CG215" i="1"/>
  <c r="CH173" i="1"/>
  <c r="CG173" i="1"/>
  <c r="CD173" i="1"/>
  <c r="CE173" i="1"/>
  <c r="CF173" i="1" s="1"/>
  <c r="CI153" i="1"/>
  <c r="CJ153" i="1"/>
  <c r="CJ52" i="1"/>
  <c r="CE318" i="1"/>
  <c r="CH318" i="1"/>
  <c r="CD318" i="1"/>
  <c r="CG318" i="1"/>
  <c r="CD295" i="1"/>
  <c r="CE295" i="1"/>
  <c r="CF295" i="1" s="1"/>
  <c r="CG295" i="1"/>
  <c r="CH295" i="1"/>
  <c r="CE273" i="1"/>
  <c r="CF273" i="1" s="1"/>
  <c r="CD273" i="1"/>
  <c r="CH273" i="1"/>
  <c r="CG273" i="1"/>
  <c r="CH260" i="1"/>
  <c r="CG260" i="1"/>
  <c r="CE260" i="1"/>
  <c r="CD260" i="1"/>
  <c r="CH252" i="1"/>
  <c r="CG252" i="1"/>
  <c r="CE252" i="1"/>
  <c r="CF252" i="1" s="1"/>
  <c r="CD252" i="1"/>
  <c r="CE239" i="1"/>
  <c r="CD239" i="1"/>
  <c r="CG239" i="1"/>
  <c r="CH239" i="1"/>
  <c r="CE218" i="1"/>
  <c r="CD218" i="1"/>
  <c r="CH218" i="1"/>
  <c r="CG218" i="1"/>
  <c r="CE197" i="1"/>
  <c r="CF197" i="1" s="1"/>
  <c r="CD197" i="1"/>
  <c r="CH197" i="1"/>
  <c r="CG197" i="1"/>
  <c r="CG176" i="1"/>
  <c r="CE176" i="1"/>
  <c r="CF176" i="1" s="1"/>
  <c r="CH176" i="1"/>
  <c r="CD176" i="1"/>
  <c r="CH156" i="1"/>
  <c r="CG156" i="1"/>
  <c r="CE156" i="1"/>
  <c r="CF156" i="1" s="1"/>
  <c r="CD156" i="1"/>
  <c r="CD136" i="1"/>
  <c r="CE136" i="1"/>
  <c r="CF136" i="1" s="1"/>
  <c r="CH136" i="1"/>
  <c r="CG136" i="1"/>
  <c r="CE116" i="1"/>
  <c r="CF116" i="1" s="1"/>
  <c r="CD116" i="1"/>
  <c r="CH116" i="1"/>
  <c r="CG116" i="1"/>
  <c r="CE97" i="1"/>
  <c r="CF97" i="1" s="1"/>
  <c r="CD97" i="1"/>
  <c r="CH97" i="1"/>
  <c r="CG97" i="1"/>
  <c r="CH77" i="1"/>
  <c r="CG77" i="1"/>
  <c r="CE77" i="1"/>
  <c r="CF77" i="1" s="1"/>
  <c r="CD77" i="1"/>
  <c r="CH58" i="1"/>
  <c r="CG58" i="1"/>
  <c r="CE58" i="1"/>
  <c r="CD58" i="1"/>
  <c r="CE39" i="1"/>
  <c r="CH39" i="1"/>
  <c r="CD39" i="1"/>
  <c r="CG39" i="1"/>
  <c r="CH19" i="1"/>
  <c r="CD19" i="1"/>
  <c r="CG19" i="1"/>
  <c r="CJ320" i="1"/>
  <c r="CI320" i="1"/>
  <c r="CJ297" i="1"/>
  <c r="CI297" i="1"/>
  <c r="CI273" i="1"/>
  <c r="CJ273" i="1"/>
  <c r="CJ259" i="1"/>
  <c r="CI259" i="1"/>
  <c r="CJ237" i="1"/>
  <c r="CI237" i="1"/>
  <c r="CJ215" i="1"/>
  <c r="CI215" i="1"/>
  <c r="CJ193" i="1"/>
  <c r="CI193" i="1"/>
  <c r="CI179" i="1"/>
  <c r="CJ179" i="1"/>
  <c r="CJ156" i="1"/>
  <c r="CI156" i="1"/>
  <c r="CJ133" i="1"/>
  <c r="CI133" i="1"/>
  <c r="CJ118" i="1"/>
  <c r="CJ94" i="1"/>
  <c r="CI94" i="1"/>
  <c r="CI79" i="1"/>
  <c r="CJ79" i="1"/>
  <c r="CJ55" i="1"/>
  <c r="CI55" i="1"/>
  <c r="CJ39" i="1"/>
  <c r="CJ15" i="1"/>
  <c r="CI15" i="1"/>
  <c r="CJ295" i="1"/>
  <c r="CI295" i="1"/>
  <c r="CI235" i="1"/>
  <c r="CJ235" i="1"/>
  <c r="CJ77" i="1"/>
  <c r="CI77" i="1"/>
  <c r="CE133" i="1"/>
  <c r="CF133" i="1" s="1"/>
  <c r="CH133" i="1"/>
  <c r="CD133" i="1"/>
  <c r="CG133" i="1"/>
  <c r="CE74" i="1"/>
  <c r="CF74" i="1" s="1"/>
  <c r="CD74" i="1"/>
  <c r="CH74" i="1"/>
  <c r="CG74" i="1"/>
  <c r="CD16" i="1"/>
  <c r="CG16" i="1"/>
  <c r="CH16" i="1"/>
  <c r="CJ212" i="1"/>
  <c r="CI212" i="1"/>
  <c r="CJ138" i="1"/>
  <c r="CI138" i="1"/>
  <c r="CJ36" i="1"/>
  <c r="CI36" i="1"/>
  <c r="CG275" i="1"/>
  <c r="CD275" i="1"/>
  <c r="CH275" i="1"/>
  <c r="CE315" i="1"/>
  <c r="CF315" i="1" s="1"/>
  <c r="CD315" i="1"/>
  <c r="CG315" i="1"/>
  <c r="CH315" i="1"/>
  <c r="CH294" i="1"/>
  <c r="CE294" i="1"/>
  <c r="CF294" i="1" s="1"/>
  <c r="CG294" i="1"/>
  <c r="CD294" i="1"/>
  <c r="CD272" i="1"/>
  <c r="CH272" i="1"/>
  <c r="CE272" i="1"/>
  <c r="CF272" i="1" s="1"/>
  <c r="CG272" i="1"/>
  <c r="CD259" i="1"/>
  <c r="CE259" i="1"/>
  <c r="CH259" i="1"/>
  <c r="CG259" i="1"/>
  <c r="CH238" i="1"/>
  <c r="CG238" i="1"/>
  <c r="CD238" i="1"/>
  <c r="CE238" i="1"/>
  <c r="CD217" i="1"/>
  <c r="CG217" i="1"/>
  <c r="CE217" i="1"/>
  <c r="CF217" i="1" s="1"/>
  <c r="CH217" i="1"/>
  <c r="CD196" i="1"/>
  <c r="CE196" i="1"/>
  <c r="CF196" i="1" s="1"/>
  <c r="CG196" i="1"/>
  <c r="CH196" i="1"/>
  <c r="CD175" i="1"/>
  <c r="CE175" i="1"/>
  <c r="CF175" i="1" s="1"/>
  <c r="CG175" i="1"/>
  <c r="CH175" i="1"/>
  <c r="CD155" i="1"/>
  <c r="CE155" i="1"/>
  <c r="CF155" i="1" s="1"/>
  <c r="CG155" i="1"/>
  <c r="CH155" i="1"/>
  <c r="CE135" i="1"/>
  <c r="CF135" i="1" s="1"/>
  <c r="CD135" i="1"/>
  <c r="CG135" i="1"/>
  <c r="CH135" i="1"/>
  <c r="CD115" i="1"/>
  <c r="CH115" i="1"/>
  <c r="CG115" i="1"/>
  <c r="CE115" i="1"/>
  <c r="CF115" i="1" s="1"/>
  <c r="CH96" i="1"/>
  <c r="CG96" i="1"/>
  <c r="CE96" i="1"/>
  <c r="CF96" i="1" s="1"/>
  <c r="CD96" i="1"/>
  <c r="CE76" i="1"/>
  <c r="CF76" i="1" s="1"/>
  <c r="CD76" i="1"/>
  <c r="CH76" i="1"/>
  <c r="CG76" i="1"/>
  <c r="CE57" i="1"/>
  <c r="CF57" i="1" s="1"/>
  <c r="CD57" i="1"/>
  <c r="CH57" i="1"/>
  <c r="CG57" i="1"/>
  <c r="CE38" i="1"/>
  <c r="CG38" i="1"/>
  <c r="CD38" i="1"/>
  <c r="CH38" i="1"/>
  <c r="CD18" i="1"/>
  <c r="CG18" i="1"/>
  <c r="CH18" i="1"/>
  <c r="CI319" i="1"/>
  <c r="CJ319" i="1"/>
  <c r="CJ296" i="1"/>
  <c r="CJ272" i="1"/>
  <c r="CI272" i="1"/>
  <c r="CJ258" i="1"/>
  <c r="CI258" i="1"/>
  <c r="CI236" i="1"/>
  <c r="CJ236" i="1"/>
  <c r="CJ214" i="1"/>
  <c r="CI214" i="1"/>
  <c r="CI200" i="1"/>
  <c r="CJ200" i="1"/>
  <c r="CJ192" i="1"/>
  <c r="CI192" i="1"/>
  <c r="CI178" i="1"/>
  <c r="CJ178" i="1"/>
  <c r="CJ155" i="1"/>
  <c r="CI155" i="1"/>
  <c r="CJ140" i="1"/>
  <c r="CI140" i="1"/>
  <c r="CJ132" i="1"/>
  <c r="CI117" i="1"/>
  <c r="CJ117" i="1"/>
  <c r="CJ93" i="1"/>
  <c r="CI93" i="1"/>
  <c r="CJ78" i="1"/>
  <c r="CJ54" i="1"/>
  <c r="CI54" i="1"/>
  <c r="CJ38" i="1"/>
  <c r="CI38" i="1"/>
  <c r="CI14" i="1"/>
  <c r="CJ14" i="1"/>
  <c r="CE160" i="1"/>
  <c r="CD160" i="1"/>
  <c r="CH160" i="1"/>
  <c r="CG160" i="1"/>
  <c r="S319" i="1"/>
  <c r="S318" i="1"/>
  <c r="S317" i="1"/>
  <c r="S316" i="1"/>
  <c r="S315" i="1"/>
  <c r="S314" i="1"/>
  <c r="S313" i="1"/>
  <c r="S312" i="1"/>
  <c r="S320" i="1"/>
  <c r="R320" i="1"/>
  <c r="R319" i="1"/>
  <c r="R318" i="1"/>
  <c r="R317" i="1"/>
  <c r="R316" i="1"/>
  <c r="R315" i="1"/>
  <c r="R314" i="1"/>
  <c r="R313" i="1"/>
  <c r="R312" i="1"/>
  <c r="S300" i="1"/>
  <c r="R300" i="1"/>
  <c r="S299" i="1"/>
  <c r="R299" i="1"/>
  <c r="S298" i="1"/>
  <c r="R298" i="1"/>
  <c r="S297" i="1"/>
  <c r="R297" i="1"/>
  <c r="S296" i="1"/>
  <c r="R296" i="1"/>
  <c r="S295" i="1"/>
  <c r="R295" i="1"/>
  <c r="S294" i="1"/>
  <c r="R294" i="1"/>
  <c r="S293" i="1"/>
  <c r="R293" i="1"/>
  <c r="S292" i="1"/>
  <c r="R292" i="1"/>
  <c r="S280" i="1"/>
  <c r="R280" i="1"/>
  <c r="S279" i="1"/>
  <c r="R279" i="1"/>
  <c r="S278" i="1"/>
  <c r="R278" i="1"/>
  <c r="S277" i="1"/>
  <c r="R277" i="1"/>
  <c r="S276" i="1"/>
  <c r="R276" i="1"/>
  <c r="S275" i="1"/>
  <c r="R275" i="1"/>
  <c r="S274" i="1"/>
  <c r="R274" i="1"/>
  <c r="S273" i="1"/>
  <c r="R273" i="1"/>
  <c r="S272" i="1"/>
  <c r="R272" i="1"/>
  <c r="S260" i="1"/>
  <c r="R260" i="1"/>
  <c r="S259" i="1"/>
  <c r="R259" i="1"/>
  <c r="S258" i="1"/>
  <c r="R258" i="1"/>
  <c r="S257" i="1"/>
  <c r="R257" i="1"/>
  <c r="S256" i="1"/>
  <c r="R256" i="1"/>
  <c r="S255" i="1"/>
  <c r="R255" i="1"/>
  <c r="S254" i="1"/>
  <c r="R254" i="1"/>
  <c r="S253" i="1"/>
  <c r="R253" i="1"/>
  <c r="S252" i="1"/>
  <c r="R252" i="1"/>
  <c r="S240" i="1"/>
  <c r="R240" i="1"/>
  <c r="S239" i="1"/>
  <c r="R239" i="1"/>
  <c r="S238" i="1"/>
  <c r="R238" i="1"/>
  <c r="S237" i="1"/>
  <c r="R237" i="1"/>
  <c r="S236" i="1"/>
  <c r="R236" i="1"/>
  <c r="S235" i="1"/>
  <c r="R235" i="1"/>
  <c r="S234" i="1"/>
  <c r="R234" i="1"/>
  <c r="S233" i="1"/>
  <c r="R233" i="1"/>
  <c r="S232" i="1"/>
  <c r="R232" i="1"/>
  <c r="S220" i="1"/>
  <c r="R220" i="1"/>
  <c r="S219" i="1"/>
  <c r="R219" i="1"/>
  <c r="S218" i="1"/>
  <c r="R218" i="1"/>
  <c r="S217" i="1"/>
  <c r="R217" i="1"/>
  <c r="S216" i="1"/>
  <c r="R216" i="1"/>
  <c r="S215" i="1"/>
  <c r="R215" i="1"/>
  <c r="S214" i="1"/>
  <c r="R214" i="1"/>
  <c r="S213" i="1"/>
  <c r="R213" i="1"/>
  <c r="S212" i="1"/>
  <c r="R212" i="1"/>
  <c r="S200" i="1"/>
  <c r="R200" i="1"/>
  <c r="S199" i="1"/>
  <c r="R199" i="1"/>
  <c r="S198" i="1"/>
  <c r="R198" i="1"/>
  <c r="S197" i="1"/>
  <c r="R197" i="1"/>
  <c r="S196" i="1"/>
  <c r="R196" i="1"/>
  <c r="S195" i="1"/>
  <c r="R195" i="1"/>
  <c r="S194" i="1"/>
  <c r="R194" i="1"/>
  <c r="S193" i="1"/>
  <c r="R193" i="1"/>
  <c r="S192" i="1"/>
  <c r="R192" i="1"/>
  <c r="S180" i="1"/>
  <c r="R180" i="1"/>
  <c r="S179" i="1"/>
  <c r="R179" i="1"/>
  <c r="S178" i="1"/>
  <c r="R178" i="1"/>
  <c r="S177" i="1"/>
  <c r="R177" i="1"/>
  <c r="S176" i="1"/>
  <c r="R176" i="1"/>
  <c r="S175" i="1"/>
  <c r="R175" i="1"/>
  <c r="S174" i="1"/>
  <c r="R174" i="1"/>
  <c r="S173" i="1"/>
  <c r="R173" i="1"/>
  <c r="S172" i="1"/>
  <c r="R172" i="1"/>
  <c r="S160" i="1"/>
  <c r="R160" i="1"/>
  <c r="R159" i="1"/>
  <c r="S158" i="1"/>
  <c r="R158" i="1"/>
  <c r="S157" i="1"/>
  <c r="R157" i="1"/>
  <c r="S156" i="1"/>
  <c r="R156" i="1"/>
  <c r="S155" i="1"/>
  <c r="R155" i="1"/>
  <c r="S154" i="1"/>
  <c r="R154" i="1"/>
  <c r="S153" i="1"/>
  <c r="R153" i="1"/>
  <c r="S152" i="1"/>
  <c r="R152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2" i="1"/>
  <c r="R52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S20" i="1"/>
  <c r="S19" i="1"/>
  <c r="S18" i="1"/>
  <c r="S17" i="1"/>
  <c r="S16" i="1"/>
  <c r="S15" i="1"/>
  <c r="S14" i="1"/>
  <c r="S13" i="1"/>
  <c r="R20" i="1"/>
  <c r="R19" i="1"/>
  <c r="R18" i="1"/>
  <c r="R17" i="1"/>
  <c r="R16" i="1"/>
  <c r="R15" i="1"/>
  <c r="R14" i="1"/>
  <c r="R13" i="1"/>
  <c r="Q320" i="1"/>
  <c r="Q319" i="1"/>
  <c r="Q318" i="1"/>
  <c r="Q317" i="1"/>
  <c r="Q316" i="1"/>
  <c r="Q315" i="1"/>
  <c r="Q314" i="1"/>
  <c r="Q313" i="1"/>
  <c r="Q312" i="1"/>
  <c r="Q300" i="1"/>
  <c r="Q299" i="1"/>
  <c r="Q298" i="1"/>
  <c r="Q297" i="1"/>
  <c r="Q296" i="1"/>
  <c r="Q295" i="1"/>
  <c r="Q294" i="1"/>
  <c r="Q293" i="1"/>
  <c r="Q292" i="1"/>
  <c r="Q280" i="1"/>
  <c r="Q279" i="1"/>
  <c r="Q278" i="1"/>
  <c r="Q277" i="1"/>
  <c r="Q276" i="1"/>
  <c r="Q275" i="1"/>
  <c r="Q274" i="1"/>
  <c r="Q273" i="1"/>
  <c r="Q272" i="1"/>
  <c r="Q260" i="1"/>
  <c r="Q259" i="1"/>
  <c r="Q258" i="1"/>
  <c r="Q257" i="1"/>
  <c r="Q256" i="1"/>
  <c r="Q255" i="1"/>
  <c r="Q254" i="1"/>
  <c r="Q253" i="1"/>
  <c r="Q252" i="1"/>
  <c r="Q240" i="1"/>
  <c r="Q239" i="1"/>
  <c r="Q238" i="1"/>
  <c r="Q237" i="1"/>
  <c r="Q236" i="1"/>
  <c r="Q235" i="1"/>
  <c r="Q234" i="1"/>
  <c r="Q233" i="1"/>
  <c r="Q232" i="1"/>
  <c r="Q220" i="1"/>
  <c r="Q219" i="1"/>
  <c r="Q218" i="1"/>
  <c r="Q217" i="1"/>
  <c r="Q216" i="1"/>
  <c r="Q215" i="1"/>
  <c r="Q214" i="1"/>
  <c r="Q213" i="1"/>
  <c r="Q212" i="1"/>
  <c r="Q200" i="1"/>
  <c r="Q199" i="1"/>
  <c r="Q198" i="1"/>
  <c r="Q197" i="1"/>
  <c r="Q196" i="1"/>
  <c r="Q195" i="1"/>
  <c r="Q194" i="1"/>
  <c r="Q193" i="1"/>
  <c r="Q192" i="1"/>
  <c r="Q180" i="1"/>
  <c r="Q179" i="1"/>
  <c r="Q178" i="1"/>
  <c r="Q177" i="1"/>
  <c r="Q176" i="1"/>
  <c r="Q175" i="1"/>
  <c r="Q174" i="1"/>
  <c r="Q173" i="1"/>
  <c r="Q172" i="1"/>
  <c r="Q160" i="1"/>
  <c r="Q159" i="1"/>
  <c r="Q158" i="1"/>
  <c r="Q157" i="1"/>
  <c r="Q156" i="1"/>
  <c r="Q155" i="1"/>
  <c r="Q154" i="1"/>
  <c r="Q153" i="1"/>
  <c r="Q152" i="1"/>
  <c r="Q140" i="1"/>
  <c r="Q139" i="1"/>
  <c r="Q138" i="1"/>
  <c r="Q137" i="1"/>
  <c r="Q136" i="1"/>
  <c r="Q135" i="1"/>
  <c r="Q134" i="1"/>
  <c r="Q133" i="1"/>
  <c r="Q132" i="1"/>
  <c r="Q120" i="1"/>
  <c r="Q119" i="1"/>
  <c r="Q118" i="1"/>
  <c r="Q117" i="1"/>
  <c r="Q116" i="1"/>
  <c r="Q115" i="1"/>
  <c r="Q114" i="1"/>
  <c r="Q113" i="1"/>
  <c r="Q112" i="1"/>
  <c r="Q100" i="1"/>
  <c r="Q99" i="1"/>
  <c r="Q98" i="1"/>
  <c r="Q97" i="1"/>
  <c r="Q96" i="1"/>
  <c r="Q95" i="1"/>
  <c r="Q94" i="1"/>
  <c r="Q93" i="1"/>
  <c r="Q92" i="1"/>
  <c r="Q80" i="1"/>
  <c r="Q79" i="1"/>
  <c r="Q78" i="1"/>
  <c r="Q77" i="1"/>
  <c r="Q76" i="1"/>
  <c r="Q75" i="1"/>
  <c r="Q74" i="1"/>
  <c r="Q73" i="1"/>
  <c r="Q72" i="1"/>
  <c r="Q60" i="1"/>
  <c r="Q59" i="1"/>
  <c r="Q58" i="1"/>
  <c r="Q57" i="1"/>
  <c r="Q56" i="1"/>
  <c r="Q55" i="1"/>
  <c r="Q54" i="1"/>
  <c r="Q53" i="1"/>
  <c r="Q52" i="1"/>
  <c r="Q40" i="1"/>
  <c r="Q39" i="1"/>
  <c r="Q38" i="1"/>
  <c r="Q37" i="1"/>
  <c r="Q36" i="1"/>
  <c r="Q35" i="1"/>
  <c r="Q34" i="1"/>
  <c r="Q33" i="1"/>
  <c r="Q20" i="1"/>
  <c r="Q19" i="1"/>
  <c r="Q18" i="1"/>
  <c r="Q17" i="1"/>
  <c r="Q16" i="1"/>
  <c r="Q15" i="1"/>
  <c r="Q14" i="1"/>
  <c r="Q13" i="1"/>
  <c r="L313" i="1"/>
  <c r="L297" i="1"/>
  <c r="L295" i="1"/>
  <c r="L294" i="1"/>
  <c r="L292" i="1"/>
  <c r="L276" i="1"/>
  <c r="L275" i="1"/>
  <c r="L260" i="1"/>
  <c r="L259" i="1"/>
  <c r="L258" i="1"/>
  <c r="L257" i="1"/>
  <c r="L256" i="1"/>
  <c r="L255" i="1"/>
  <c r="L254" i="1"/>
  <c r="L253" i="1"/>
  <c r="L252" i="1"/>
  <c r="L140" i="1"/>
  <c r="L139" i="1"/>
  <c r="L138" i="1"/>
  <c r="L134" i="1"/>
  <c r="L132" i="1"/>
  <c r="L116" i="1"/>
  <c r="L115" i="1"/>
  <c r="L114" i="1"/>
  <c r="L113" i="1"/>
  <c r="L112" i="1"/>
  <c r="L94" i="1"/>
  <c r="L93" i="1"/>
  <c r="L92" i="1"/>
  <c r="L80" i="1"/>
  <c r="L79" i="1"/>
  <c r="L78" i="1"/>
  <c r="L77" i="1"/>
  <c r="L76" i="1"/>
  <c r="L75" i="1"/>
  <c r="L74" i="1"/>
  <c r="L73" i="1"/>
  <c r="L72" i="1"/>
  <c r="M297" i="1"/>
  <c r="M294" i="1"/>
  <c r="M279" i="1"/>
  <c r="M276" i="1"/>
  <c r="M275" i="1"/>
  <c r="M272" i="1"/>
  <c r="M260" i="1"/>
  <c r="M259" i="1"/>
  <c r="M258" i="1"/>
  <c r="M257" i="1"/>
  <c r="M256" i="1"/>
  <c r="M255" i="1"/>
  <c r="M254" i="1"/>
  <c r="M253" i="1"/>
  <c r="M252" i="1"/>
  <c r="M240" i="1"/>
  <c r="M239" i="1"/>
  <c r="M238" i="1"/>
  <c r="M237" i="1"/>
  <c r="M236" i="1"/>
  <c r="M235" i="1"/>
  <c r="M234" i="1"/>
  <c r="M233" i="1"/>
  <c r="M232" i="1"/>
  <c r="M220" i="1"/>
  <c r="M219" i="1"/>
  <c r="M218" i="1"/>
  <c r="M217" i="1"/>
  <c r="M216" i="1"/>
  <c r="M215" i="1"/>
  <c r="M214" i="1"/>
  <c r="M213" i="1"/>
  <c r="M212" i="1"/>
  <c r="M200" i="1"/>
  <c r="M199" i="1"/>
  <c r="M198" i="1"/>
  <c r="M197" i="1"/>
  <c r="M196" i="1"/>
  <c r="M195" i="1"/>
  <c r="M194" i="1"/>
  <c r="M193" i="1"/>
  <c r="M192" i="1"/>
  <c r="M180" i="1"/>
  <c r="M179" i="1"/>
  <c r="M178" i="1"/>
  <c r="M177" i="1"/>
  <c r="M176" i="1"/>
  <c r="M175" i="1"/>
  <c r="M174" i="1"/>
  <c r="M173" i="1"/>
  <c r="M172" i="1"/>
  <c r="M160" i="1"/>
  <c r="M158" i="1"/>
  <c r="M157" i="1"/>
  <c r="M156" i="1"/>
  <c r="M155" i="1"/>
  <c r="M154" i="1"/>
  <c r="M152" i="1"/>
  <c r="M140" i="1"/>
  <c r="M139" i="1"/>
  <c r="M138" i="1"/>
  <c r="M137" i="1"/>
  <c r="M136" i="1"/>
  <c r="M135" i="1"/>
  <c r="M134" i="1"/>
  <c r="M132" i="1"/>
  <c r="M119" i="1"/>
  <c r="M118" i="1"/>
  <c r="M116" i="1"/>
  <c r="M115" i="1"/>
  <c r="M114" i="1"/>
  <c r="M113" i="1"/>
  <c r="M112" i="1"/>
  <c r="M100" i="1"/>
  <c r="M99" i="1"/>
  <c r="M98" i="1"/>
  <c r="M97" i="1"/>
  <c r="M96" i="1"/>
  <c r="M95" i="1"/>
  <c r="M94" i="1"/>
  <c r="M93" i="1"/>
  <c r="M92" i="1"/>
  <c r="M80" i="1"/>
  <c r="M79" i="1"/>
  <c r="M78" i="1"/>
  <c r="M77" i="1"/>
  <c r="M76" i="1"/>
  <c r="M75" i="1"/>
  <c r="M74" i="1"/>
  <c r="M73" i="1"/>
  <c r="M72" i="1"/>
  <c r="M60" i="1"/>
  <c r="M59" i="1"/>
  <c r="M58" i="1"/>
  <c r="M57" i="1"/>
  <c r="M56" i="1"/>
  <c r="M55" i="1"/>
  <c r="M54" i="1"/>
  <c r="M53" i="1"/>
  <c r="M52" i="1"/>
  <c r="L58" i="1"/>
  <c r="L57" i="1"/>
  <c r="L56" i="1"/>
  <c r="L55" i="1"/>
  <c r="L54" i="1"/>
  <c r="L53" i="1"/>
  <c r="L52" i="1"/>
  <c r="L60" i="1"/>
  <c r="L59" i="1"/>
  <c r="L40" i="1"/>
  <c r="L39" i="1"/>
  <c r="L38" i="1"/>
  <c r="L37" i="1"/>
  <c r="L36" i="1"/>
  <c r="L35" i="1"/>
  <c r="L34" i="1"/>
  <c r="L33" i="1"/>
  <c r="L32" i="1"/>
  <c r="M40" i="1"/>
  <c r="M39" i="1"/>
  <c r="M38" i="1"/>
  <c r="M37" i="1"/>
  <c r="M36" i="1"/>
  <c r="M35" i="1"/>
  <c r="M34" i="1"/>
  <c r="M33" i="1"/>
  <c r="M32" i="1"/>
  <c r="L20" i="1"/>
  <c r="L19" i="1"/>
  <c r="L18" i="1"/>
  <c r="L17" i="1"/>
  <c r="L15" i="1"/>
  <c r="L14" i="1"/>
  <c r="L13" i="1"/>
  <c r="L12" i="1"/>
  <c r="DB92" i="1" l="1"/>
  <c r="DB98" i="1"/>
  <c r="DB298" i="1"/>
  <c r="DB80" i="1"/>
  <c r="DF98" i="1"/>
  <c r="DD178" i="1"/>
  <c r="DB198" i="1"/>
  <c r="DE198" i="1" s="1"/>
  <c r="DE34" i="1"/>
  <c r="DE239" i="1"/>
  <c r="DB279" i="1"/>
  <c r="DD60" i="1"/>
  <c r="DB218" i="1"/>
  <c r="DB219" i="1"/>
  <c r="DE219" i="1" s="1"/>
  <c r="DD79" i="1"/>
  <c r="DB319" i="1"/>
  <c r="DE319" i="1" s="1"/>
  <c r="DB139" i="1"/>
  <c r="DE139" i="1" s="1"/>
  <c r="DB240" i="1"/>
  <c r="DE240" i="1" s="1"/>
  <c r="DD320" i="1"/>
  <c r="DB99" i="1"/>
  <c r="DF92" i="1"/>
  <c r="DE92" i="1" s="1"/>
  <c r="DF95" i="1"/>
  <c r="DB100" i="1"/>
  <c r="DE100" i="1" s="1"/>
  <c r="DE320" i="1"/>
  <c r="DE196" i="1"/>
  <c r="DE37" i="1"/>
  <c r="DE114" i="1"/>
  <c r="DE259" i="1"/>
  <c r="DE256" i="1"/>
  <c r="DE213" i="1"/>
  <c r="DE212" i="1"/>
  <c r="DB95" i="1"/>
  <c r="DE95" i="1" s="1"/>
  <c r="DE176" i="1"/>
  <c r="DE153" i="1"/>
  <c r="DE177" i="1"/>
  <c r="DE40" i="1"/>
  <c r="DE54" i="1"/>
  <c r="DE80" i="1"/>
  <c r="DE76" i="1"/>
  <c r="DE200" i="1"/>
  <c r="DE96" i="1"/>
  <c r="DE258" i="1"/>
  <c r="DE72" i="1"/>
  <c r="DE233" i="1"/>
  <c r="DE36" i="1"/>
  <c r="DE53" i="1"/>
  <c r="DE194" i="1"/>
  <c r="DE35" i="1"/>
  <c r="DE113" i="1"/>
  <c r="DE94" i="1"/>
  <c r="DE116" i="1"/>
  <c r="DE214" i="1"/>
  <c r="DE272" i="1"/>
  <c r="DE295" i="1"/>
  <c r="DE56" i="1"/>
  <c r="DE160" i="1"/>
  <c r="DE59" i="1"/>
  <c r="DE158" i="1"/>
  <c r="DE314" i="1"/>
  <c r="DE135" i="1"/>
  <c r="DE317" i="1"/>
  <c r="DE292" i="1"/>
  <c r="DE253" i="1"/>
  <c r="DE197" i="1"/>
  <c r="DE173" i="1"/>
  <c r="DB16" i="1"/>
  <c r="DE16" i="1" s="1"/>
  <c r="DD16" i="1"/>
  <c r="DE172" i="1"/>
  <c r="DE39" i="1"/>
  <c r="DE55" i="1"/>
  <c r="DE99" i="1"/>
  <c r="DE157" i="1"/>
  <c r="DE236" i="1"/>
  <c r="DB112" i="1"/>
  <c r="DF112" i="1"/>
  <c r="DD112" i="1"/>
  <c r="DE237" i="1"/>
  <c r="DE152" i="1"/>
  <c r="DE136" i="1"/>
  <c r="DE159" i="1"/>
  <c r="DE235" i="1"/>
  <c r="DE315" i="1"/>
  <c r="DE277" i="1"/>
  <c r="DD118" i="1"/>
  <c r="DF118" i="1"/>
  <c r="DB118" i="1"/>
  <c r="DE115" i="1"/>
  <c r="DE192" i="1"/>
  <c r="DE155" i="1"/>
  <c r="DE32" i="1"/>
  <c r="DE178" i="1"/>
  <c r="DE238" i="1"/>
  <c r="DE74" i="1"/>
  <c r="DE119" i="1"/>
  <c r="DE252" i="1"/>
  <c r="DE180" i="1"/>
  <c r="DE220" i="1"/>
  <c r="DE298" i="1"/>
  <c r="DE260" i="1"/>
  <c r="DE234" i="1"/>
  <c r="DE98" i="1"/>
  <c r="DE312" i="1"/>
  <c r="DE294" i="1"/>
  <c r="DE179" i="1"/>
  <c r="DE255" i="1"/>
  <c r="DB275" i="1"/>
  <c r="DE275" i="1" s="1"/>
  <c r="DE60" i="1"/>
  <c r="DE318" i="1"/>
  <c r="DE134" i="1"/>
  <c r="DE75" i="1"/>
  <c r="DE78" i="1"/>
  <c r="DE137" i="1"/>
  <c r="DE195" i="1"/>
  <c r="DD199" i="1"/>
  <c r="DF199" i="1"/>
  <c r="DB199" i="1"/>
  <c r="DF132" i="1"/>
  <c r="DD132" i="1"/>
  <c r="DB132" i="1"/>
  <c r="DE77" i="1"/>
  <c r="DE174" i="1"/>
  <c r="DE232" i="1"/>
  <c r="DE138" i="1"/>
  <c r="DE133" i="1"/>
  <c r="DE279" i="1"/>
  <c r="DE154" i="1"/>
  <c r="DE300" i="1"/>
  <c r="DE79" i="1"/>
  <c r="DE313" i="1"/>
  <c r="DE117" i="1"/>
  <c r="DE193" i="1"/>
  <c r="DE156" i="1"/>
  <c r="DE73" i="1"/>
  <c r="DD120" i="1"/>
  <c r="DF120" i="1"/>
  <c r="DB120" i="1"/>
  <c r="DE140" i="1"/>
  <c r="DE274" i="1"/>
  <c r="DE93" i="1"/>
  <c r="DE218" i="1"/>
  <c r="T13" i="1"/>
  <c r="T14" i="1"/>
  <c r="T18" i="1"/>
  <c r="T16" i="1"/>
  <c r="T15" i="1"/>
  <c r="T17" i="1"/>
  <c r="T57" i="1"/>
  <c r="T76" i="1"/>
  <c r="T95" i="1"/>
  <c r="T114" i="1"/>
  <c r="T133" i="1"/>
  <c r="T152" i="1"/>
  <c r="T160" i="1"/>
  <c r="T179" i="1"/>
  <c r="T198" i="1"/>
  <c r="T217" i="1"/>
  <c r="T236" i="1"/>
  <c r="T255" i="1"/>
  <c r="T274" i="1"/>
  <c r="T293" i="1"/>
  <c r="T320" i="1"/>
  <c r="T20" i="1"/>
  <c r="T35" i="1"/>
  <c r="T39" i="1"/>
  <c r="T55" i="1"/>
  <c r="T59" i="1"/>
  <c r="T74" i="1"/>
  <c r="T78" i="1"/>
  <c r="T93" i="1"/>
  <c r="T97" i="1"/>
  <c r="T112" i="1"/>
  <c r="T116" i="1"/>
  <c r="T120" i="1"/>
  <c r="T135" i="1"/>
  <c r="T139" i="1"/>
  <c r="T154" i="1"/>
  <c r="T158" i="1"/>
  <c r="T173" i="1"/>
  <c r="T177" i="1"/>
  <c r="T192" i="1"/>
  <c r="T196" i="1"/>
  <c r="T200" i="1"/>
  <c r="T315" i="1"/>
  <c r="T215" i="1"/>
  <c r="T219" i="1"/>
  <c r="T234" i="1"/>
  <c r="T238" i="1"/>
  <c r="T253" i="1"/>
  <c r="T257" i="1"/>
  <c r="T272" i="1"/>
  <c r="T295" i="1"/>
  <c r="T318" i="1"/>
  <c r="T312" i="1"/>
  <c r="T280" i="1"/>
  <c r="T299" i="1"/>
  <c r="T32" i="1"/>
  <c r="T36" i="1"/>
  <c r="T40" i="1"/>
  <c r="T56" i="1"/>
  <c r="T60" i="1"/>
  <c r="T75" i="1"/>
  <c r="T79" i="1"/>
  <c r="T94" i="1"/>
  <c r="T98" i="1"/>
  <c r="T113" i="1"/>
  <c r="T117" i="1"/>
  <c r="T132" i="1"/>
  <c r="T136" i="1"/>
  <c r="T140" i="1"/>
  <c r="T155" i="1"/>
  <c r="T159" i="1"/>
  <c r="T174" i="1"/>
  <c r="T178" i="1"/>
  <c r="T193" i="1"/>
  <c r="T197" i="1"/>
  <c r="T212" i="1"/>
  <c r="T216" i="1"/>
  <c r="T220" i="1"/>
  <c r="T235" i="1"/>
  <c r="T239" i="1"/>
  <c r="T254" i="1"/>
  <c r="T258" i="1"/>
  <c r="T273" i="1"/>
  <c r="T277" i="1"/>
  <c r="T292" i="1"/>
  <c r="T296" i="1"/>
  <c r="T300" i="1"/>
  <c r="T313" i="1"/>
  <c r="T34" i="1"/>
  <c r="T38" i="1"/>
  <c r="T54" i="1"/>
  <c r="T58" i="1"/>
  <c r="T73" i="1"/>
  <c r="T77" i="1"/>
  <c r="T92" i="1"/>
  <c r="T96" i="1"/>
  <c r="T100" i="1"/>
  <c r="T115" i="1"/>
  <c r="T119" i="1"/>
  <c r="T134" i="1"/>
  <c r="T138" i="1"/>
  <c r="T153" i="1"/>
  <c r="T157" i="1"/>
  <c r="T172" i="1"/>
  <c r="T176" i="1"/>
  <c r="T180" i="1"/>
  <c r="T195" i="1"/>
  <c r="T199" i="1"/>
  <c r="T214" i="1"/>
  <c r="T218" i="1"/>
  <c r="T233" i="1"/>
  <c r="T237" i="1"/>
  <c r="T252" i="1"/>
  <c r="T256" i="1"/>
  <c r="T260" i="1"/>
  <c r="T275" i="1"/>
  <c r="T279" i="1"/>
  <c r="T294" i="1"/>
  <c r="T298" i="1"/>
  <c r="T314" i="1"/>
  <c r="T319" i="1"/>
  <c r="T33" i="1"/>
  <c r="T37" i="1"/>
  <c r="T52" i="1"/>
  <c r="T72" i="1"/>
  <c r="T80" i="1"/>
  <c r="T99" i="1"/>
  <c r="T118" i="1"/>
  <c r="T137" i="1"/>
  <c r="T156" i="1"/>
  <c r="T175" i="1"/>
  <c r="T194" i="1"/>
  <c r="T213" i="1"/>
  <c r="T232" i="1"/>
  <c r="T240" i="1"/>
  <c r="T259" i="1"/>
  <c r="T278" i="1"/>
  <c r="T297" i="1"/>
  <c r="T276" i="1"/>
  <c r="T316" i="1"/>
  <c r="T19" i="1"/>
  <c r="T317" i="1"/>
  <c r="DE132" i="1" l="1"/>
  <c r="DE118" i="1"/>
  <c r="DE120" i="1"/>
  <c r="DE199" i="1"/>
  <c r="DE112" i="1"/>
</calcChain>
</file>

<file path=xl/sharedStrings.xml><?xml version="1.0" encoding="utf-8"?>
<sst xmlns="http://schemas.openxmlformats.org/spreadsheetml/2006/main" count="15246" uniqueCount="184">
  <si>
    <t>Data type</t>
  </si>
  <si>
    <t>factor</t>
  </si>
  <si>
    <t>date</t>
  </si>
  <si>
    <t>days difference</t>
  </si>
  <si>
    <t>numeric</t>
  </si>
  <si>
    <t>mixed</t>
  </si>
  <si>
    <t>year</t>
  </si>
  <si>
    <t>location</t>
  </si>
  <si>
    <t>block_ID</t>
  </si>
  <si>
    <t>treatment</t>
  </si>
  <si>
    <t>cv_oat</t>
  </si>
  <si>
    <t>stand</t>
  </si>
  <si>
    <t>block</t>
  </si>
  <si>
    <t>fertilizer</t>
  </si>
  <si>
    <t>date_when_covered</t>
  </si>
  <si>
    <t>date_when_covered_diff_mix_to_pure_oat</t>
  </si>
  <si>
    <t>oat_bbch_51</t>
  </si>
  <si>
    <t>oat_bbch_59</t>
  </si>
  <si>
    <t>oat_bbch_51_mix_to_pure_diff</t>
  </si>
  <si>
    <t>oat_bbch_59_mix_to_pure_diff</t>
  </si>
  <si>
    <t>oat_bbch_ears_mix_to_pure_diff</t>
  </si>
  <si>
    <t>oat_tillers_average</t>
  </si>
  <si>
    <t>oat_mildew_dis</t>
  </si>
  <si>
    <t>oat_septoria_dis</t>
  </si>
  <si>
    <t>oat_helminthosporium_dis</t>
  </si>
  <si>
    <t>oat_oulema_dis</t>
  </si>
  <si>
    <t>oat_aphids_dis</t>
  </si>
  <si>
    <t>status_intercrop</t>
  </si>
  <si>
    <t>oat_yield_plot</t>
  </si>
  <si>
    <t>oat_tha</t>
  </si>
  <si>
    <t>ler_no_N</t>
  </si>
  <si>
    <t>ler_N</t>
  </si>
  <si>
    <t>oat_parLER_no_N</t>
  </si>
  <si>
    <t>oat_parler_N</t>
  </si>
  <si>
    <t>overyielding_N</t>
  </si>
  <si>
    <t>oat_hlw</t>
  </si>
  <si>
    <t>oat_tkw</t>
  </si>
  <si>
    <t>date_when_covered_diff_mix_to_pure_lupin</t>
  </si>
  <si>
    <t>lupin_bbch_65</t>
  </si>
  <si>
    <t>lupin_bbch_65_mix_to_pure_diff</t>
  </si>
  <si>
    <t>ripe_diff_oat_to_lupin_bbch</t>
  </si>
  <si>
    <t>cv_lupin</t>
  </si>
  <si>
    <t>lupin_mildew_dis</t>
  </si>
  <si>
    <t>lupin_yield_plot</t>
  </si>
  <si>
    <t>lupin_tha</t>
  </si>
  <si>
    <t>lupin_parler</t>
  </si>
  <si>
    <t>lupin_tkw</t>
  </si>
  <si>
    <t>lupin_protein_perc</t>
  </si>
  <si>
    <t>Seegr</t>
  </si>
  <si>
    <t>Re</t>
  </si>
  <si>
    <t>Bison</t>
  </si>
  <si>
    <t>Lion</t>
  </si>
  <si>
    <t>Troll</t>
  </si>
  <si>
    <t>Lunabor</t>
  </si>
  <si>
    <t>Probor</t>
  </si>
  <si>
    <t>Jowisz</t>
  </si>
  <si>
    <t>pure</t>
  </si>
  <si>
    <t>no</t>
  </si>
  <si>
    <t>yes</t>
  </si>
  <si>
    <t>cv_all</t>
  </si>
  <si>
    <t>Bison, Lunabor</t>
  </si>
  <si>
    <t>Bison, Probor</t>
  </si>
  <si>
    <t>Bison, Jowisz</t>
  </si>
  <si>
    <t>Lion, Lunabor</t>
  </si>
  <si>
    <t>Lion, Probor</t>
  </si>
  <si>
    <t>Lion, Jowisz</t>
  </si>
  <si>
    <t>Troll, Lunabor</t>
  </si>
  <si>
    <t>Troll, Probor</t>
  </si>
  <si>
    <t>Troll, Jowisz</t>
  </si>
  <si>
    <t>Fiorina</t>
  </si>
  <si>
    <t>Astronaut</t>
  </si>
  <si>
    <t>NA</t>
  </si>
  <si>
    <t>lodging_perc_mid_july_lupin</t>
  </si>
  <si>
    <t>lodging_perc_mid_july_oat</t>
  </si>
  <si>
    <t>lodging_perc_mid_may_lupin</t>
  </si>
  <si>
    <t>lodging_perc_mid_may_oat</t>
  </si>
  <si>
    <t>lodging_perc_end_june_lupin</t>
  </si>
  <si>
    <t>rel_weed_height_june</t>
  </si>
  <si>
    <t>weed_vol_percent_june</t>
  </si>
  <si>
    <t>weed_height_june</t>
  </si>
  <si>
    <t>weed_fcc_june</t>
  </si>
  <si>
    <t>weed_vol_percent_july</t>
  </si>
  <si>
    <t>rel_weed_height_july</t>
  </si>
  <si>
    <t>weed_height_july</t>
  </si>
  <si>
    <t>weed_fcc_july</t>
  </si>
  <si>
    <t>height_mid_may_oat</t>
  </si>
  <si>
    <t>height_mid_may_lupin</t>
  </si>
  <si>
    <t>height_june_oat</t>
  </si>
  <si>
    <t>height_june_lupin</t>
  </si>
  <si>
    <t>height_july_oat</t>
  </si>
  <si>
    <t>height_july_lupin</t>
  </si>
  <si>
    <t>helminthosporium_inc</t>
  </si>
  <si>
    <t>helminthosporium_sev</t>
  </si>
  <si>
    <t>oat_septoria_inc</t>
  </si>
  <si>
    <t>oat_septoria_sev</t>
  </si>
  <si>
    <t>oat_rust_inc</t>
  </si>
  <si>
    <t>oat_rust_sev</t>
  </si>
  <si>
    <t>oat_rust_dis</t>
  </si>
  <si>
    <t>oat_mildew_inc</t>
  </si>
  <si>
    <t>oat_mildew_sev</t>
  </si>
  <si>
    <t>lupin_chlorosis_inc</t>
  </si>
  <si>
    <t>lupin_mildew_inc</t>
  </si>
  <si>
    <t>lupin_mildew_sev</t>
  </si>
  <si>
    <t>oat_aphids_inc</t>
  </si>
  <si>
    <t>oat_aphids_sev</t>
  </si>
  <si>
    <t>lupin_det_perc_green_plants</t>
  </si>
  <si>
    <t>lupin_det_perc_flowering</t>
  </si>
  <si>
    <t>oat_fritfliege_plant_count</t>
  </si>
  <si>
    <t>rusty_ears_inc</t>
  </si>
  <si>
    <t>oat_brown_kernels_inc</t>
  </si>
  <si>
    <t>lupin_nodules_small</t>
  </si>
  <si>
    <t>lupin_nodules_medium</t>
  </si>
  <si>
    <t>lupin_nodules_large</t>
  </si>
  <si>
    <t>lupin_no_plants</t>
  </si>
  <si>
    <t>oat_no_plants</t>
  </si>
  <si>
    <t>lupin_pods_main_branch</t>
  </si>
  <si>
    <t>lupin_pods_side_branch</t>
  </si>
  <si>
    <t>oat_ripe_bbch</t>
  </si>
  <si>
    <t>lupin_ripe_bbch</t>
  </si>
  <si>
    <t>lupin_athracnose_no_pods</t>
  </si>
  <si>
    <t>weight_lu_roots_g</t>
  </si>
  <si>
    <t>weight_oat_roots_g</t>
  </si>
  <si>
    <t>lupin_hlw</t>
  </si>
  <si>
    <t>oat_hum</t>
  </si>
  <si>
    <t>lupin_hum</t>
  </si>
  <si>
    <t>percentage</t>
  </si>
  <si>
    <t>bbch score</t>
  </si>
  <si>
    <t>bbch difference</t>
  </si>
  <si>
    <t>lodging_perc_end_june_oat</t>
  </si>
  <si>
    <t>percent</t>
  </si>
  <si>
    <t>lupin_total_N</t>
  </si>
  <si>
    <t>oat_total_N</t>
  </si>
  <si>
    <t>competitive_balance_oat_N</t>
  </si>
  <si>
    <t>competitive_balance_lupin_N</t>
  </si>
  <si>
    <t>competitive_balance_oat_no_N</t>
  </si>
  <si>
    <t>competitive_balance_lupin_no_N</t>
  </si>
  <si>
    <t>weed_vol_factor_june</t>
  </si>
  <si>
    <t>weed_vol_factor_july</t>
  </si>
  <si>
    <t>inhomogeneity_perc</t>
  </si>
  <si>
    <t>Variable list</t>
  </si>
  <si>
    <t>yellow &gt; used in hypotheses</t>
  </si>
  <si>
    <t>take</t>
  </si>
  <si>
    <t>correlate to yield</t>
  </si>
  <si>
    <t>correlate to yield and mildew</t>
  </si>
  <si>
    <t>use</t>
  </si>
  <si>
    <t>disease maximum value</t>
  </si>
  <si>
    <t>use, justify anthracnose cause none on the leaves</t>
  </si>
  <si>
    <t>decision</t>
  </si>
  <si>
    <t>fraction of plants with symptoms</t>
  </si>
  <si>
    <t>protein_TOI</t>
  </si>
  <si>
    <t>lupin_total_protein_perc</t>
  </si>
  <si>
    <t>oat_total_protein_perc</t>
  </si>
  <si>
    <t>target hum</t>
  </si>
  <si>
    <t>oat yield corr</t>
  </si>
  <si>
    <t>lupin yield corr</t>
  </si>
  <si>
    <t>oat_proteinyield_kgha</t>
  </si>
  <si>
    <t>lupin_proteinyield_kgha</t>
  </si>
  <si>
    <t>red &gt; exclude</t>
  </si>
  <si>
    <t>use as graph year 2023</t>
  </si>
  <si>
    <t>use as graph year 2024</t>
  </si>
  <si>
    <t>use as graph year 2025</t>
  </si>
  <si>
    <t>use as graph year 2026</t>
  </si>
  <si>
    <t>oat_protein</t>
  </si>
  <si>
    <t>lupin_protein</t>
  </si>
  <si>
    <t>use in cnn15</t>
  </si>
  <si>
    <t>plot only</t>
  </si>
  <si>
    <t>oat_protein_perc</t>
  </si>
  <si>
    <t>use to correct yield</t>
  </si>
  <si>
    <t>plus graph mix/pure</t>
  </si>
  <si>
    <t>graph mix/pure</t>
  </si>
  <si>
    <t>use - do plot comparing june and july</t>
  </si>
  <si>
    <t>in hypotheses</t>
  </si>
  <si>
    <t>x</t>
  </si>
  <si>
    <t>Septoria excluded: too few mentions</t>
  </si>
  <si>
    <t>values &gt; 0</t>
  </si>
  <si>
    <t>Chose</t>
  </si>
  <si>
    <t>too low (only 2 points above damage threshold of 0.6)</t>
  </si>
  <si>
    <t>never above damage threshold of min 15%</t>
  </si>
  <si>
    <t>too low</t>
  </si>
  <si>
    <t>protein_yield_kgha</t>
  </si>
  <si>
    <t>protein_TOI_oat</t>
  </si>
  <si>
    <t>protein_TOI_lupin</t>
  </si>
  <si>
    <t>too few/low</t>
  </si>
  <si>
    <t>ler_corr_N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</si>
</sst>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2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4" borderId="0" xfId="0" applyFill="1"/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1" fillId="4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0" fontId="4" fillId="8" borderId="0" xfId="0" applyFont="1" applyFill="1" applyAlignment="1">
      <alignment horizontal="left"/>
    </xf>
    <xf numFmtId="0" fontId="0" fillId="0" borderId="0" xfId="1" applyFon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3">
    <cellStyle name="Normal" xfId="0" builtinId="0"/>
    <cellStyle name="Standard 2" xfId="1" xr:uid="{E595FCCC-A0F7-4C3C-BFF8-B4D85ACCCB8A}"/>
    <cellStyle name="Standard 3" xfId="2" xr:uid="{E831AD4F-92CA-4342-B510-3DBA88FB5C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EFD8-0F74-4EF2-AB15-E43E1719852D}">
  <dimension ref="A1:DG322"/>
  <sheetViews>
    <sheetView tabSelected="1" zoomScale="140" zoomScaleNormal="114" workbookViewId="0">
      <pane xSplit="10" ySplit="2" topLeftCell="K3" activePane="bottomRight" state="frozen"/>
      <selection activeCell="A12" sqref="A12"/>
      <selection pane="topRight" activeCell="K12" sqref="K12"/>
      <selection pane="bottomLeft" activeCell="A13" sqref="A13"/>
      <selection pane="bottomRight" activeCell="M17" sqref="M17"/>
    </sheetView>
  </sheetViews>
  <sheetFormatPr baseColWidth="10" defaultColWidth="10.5" defaultRowHeight="14" x14ac:dyDescent="0.15"/>
  <cols>
    <col min="1" max="1" width="10.6640625" customWidth="1"/>
    <col min="2" max="2" width="11.1640625" bestFit="1" customWidth="1"/>
    <col min="3" max="3" width="7.83203125" customWidth="1"/>
    <col min="4" max="4" width="9.5" customWidth="1"/>
    <col min="5" max="5" width="6.5" customWidth="1"/>
    <col min="6" max="6" width="8" customWidth="1"/>
    <col min="7" max="7" width="6" customWidth="1"/>
    <col min="8" max="8" width="7" bestFit="1" customWidth="1"/>
    <col min="9" max="9" width="13.83203125" bestFit="1" customWidth="1"/>
    <col min="10" max="10" width="0.1640625" customWidth="1"/>
    <col min="11" max="19" width="10.5" bestFit="1" customWidth="1"/>
    <col min="20" max="20" width="12" bestFit="1" customWidth="1"/>
    <col min="21" max="22" width="12" customWidth="1"/>
    <col min="24" max="29" width="10.5" bestFit="1" customWidth="1"/>
    <col min="30" max="31" width="12.5" bestFit="1" customWidth="1"/>
    <col min="32" max="33" width="13.5" bestFit="1" customWidth="1"/>
    <col min="36" max="36" width="10.5" bestFit="1" customWidth="1"/>
    <col min="43" max="43" width="15.33203125" customWidth="1"/>
    <col min="44" max="44" width="10.5" bestFit="1" customWidth="1"/>
    <col min="45" max="46" width="10.5" customWidth="1"/>
    <col min="47" max="47" width="10.5" bestFit="1" customWidth="1"/>
    <col min="48" max="49" width="10.5" customWidth="1"/>
    <col min="50" max="51" width="10.5" bestFit="1" customWidth="1"/>
    <col min="52" max="54" width="10.5" customWidth="1"/>
    <col min="55" max="55" width="12.5" customWidth="1"/>
    <col min="56" max="59" width="10.5" customWidth="1"/>
    <col min="60" max="60" width="18" customWidth="1"/>
    <col min="61" max="62" width="10.5" customWidth="1"/>
    <col min="68" max="68" width="11.33203125" customWidth="1"/>
    <col min="69" max="77" width="10.5" customWidth="1"/>
    <col min="80" max="80" width="8.33203125" customWidth="1"/>
    <col min="81" max="81" width="9.1640625" customWidth="1"/>
    <col min="82" max="82" width="9" customWidth="1"/>
    <col min="83" max="84" width="6.33203125" customWidth="1"/>
    <col min="85" max="85" width="16.5" customWidth="1"/>
    <col min="86" max="86" width="12.33203125" customWidth="1"/>
    <col min="87" max="87" width="11.5" customWidth="1"/>
    <col min="88" max="88" width="14.1640625" customWidth="1"/>
    <col min="89" max="92" width="14" customWidth="1"/>
    <col min="109" max="109" width="18.5" customWidth="1"/>
    <col min="111" max="111" width="26.33203125" customWidth="1"/>
  </cols>
  <sheetData>
    <row r="1" spans="1:111" x14ac:dyDescent="0.15">
      <c r="A1" s="2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2</v>
      </c>
      <c r="L1" t="s">
        <v>3</v>
      </c>
      <c r="M1" s="4" t="s">
        <v>3</v>
      </c>
      <c r="N1" t="s">
        <v>2</v>
      </c>
      <c r="O1" t="s">
        <v>2</v>
      </c>
      <c r="P1" t="s">
        <v>2</v>
      </c>
      <c r="Q1" s="4" t="s">
        <v>3</v>
      </c>
      <c r="R1" s="4" t="s">
        <v>3</v>
      </c>
      <c r="S1" s="4" t="s">
        <v>3</v>
      </c>
      <c r="T1" s="4" t="s">
        <v>3</v>
      </c>
      <c r="U1" s="4" t="s">
        <v>126</v>
      </c>
      <c r="V1" s="4" t="s">
        <v>126</v>
      </c>
      <c r="W1" s="4" t="s">
        <v>127</v>
      </c>
      <c r="X1" s="4" t="s">
        <v>4</v>
      </c>
      <c r="Y1" s="4" t="s">
        <v>4</v>
      </c>
      <c r="Z1" s="4" t="s">
        <v>4</v>
      </c>
      <c r="AA1" s="4" t="s">
        <v>4</v>
      </c>
      <c r="AB1" s="4" t="s">
        <v>4</v>
      </c>
      <c r="AC1" s="4" t="s">
        <v>4</v>
      </c>
      <c r="AD1" s="4" t="s">
        <v>4</v>
      </c>
      <c r="AE1" s="4" t="s">
        <v>4</v>
      </c>
      <c r="AF1" s="4" t="s">
        <v>4</v>
      </c>
      <c r="AG1" s="4" t="s">
        <v>4</v>
      </c>
      <c r="AH1" s="4" t="s">
        <v>4</v>
      </c>
      <c r="AI1" s="4" t="s">
        <v>4</v>
      </c>
      <c r="AJ1" s="4" t="s">
        <v>4</v>
      </c>
      <c r="AK1" s="4" t="s">
        <v>4</v>
      </c>
      <c r="AL1" s="4" t="s">
        <v>4</v>
      </c>
      <c r="AM1" s="4" t="s">
        <v>4</v>
      </c>
      <c r="AN1" s="4" t="s">
        <v>4</v>
      </c>
      <c r="AO1" s="4" t="s">
        <v>4</v>
      </c>
      <c r="AP1" s="4" t="s">
        <v>4</v>
      </c>
      <c r="AQ1" s="4" t="s">
        <v>4</v>
      </c>
      <c r="AR1" s="4" t="s">
        <v>4</v>
      </c>
      <c r="AS1" s="4" t="s">
        <v>4</v>
      </c>
      <c r="AT1" s="4" t="s">
        <v>4</v>
      </c>
      <c r="AU1" s="4" t="s">
        <v>4</v>
      </c>
      <c r="AV1" s="4" t="s">
        <v>4</v>
      </c>
      <c r="AW1" s="4" t="s">
        <v>4</v>
      </c>
      <c r="AX1" s="4" t="s">
        <v>4</v>
      </c>
      <c r="AY1" s="4" t="s">
        <v>4</v>
      </c>
      <c r="AZ1" s="4" t="s">
        <v>4</v>
      </c>
      <c r="BA1" s="4" t="s">
        <v>4</v>
      </c>
      <c r="BB1" s="4" t="s">
        <v>4</v>
      </c>
      <c r="BC1" s="4" t="s">
        <v>4</v>
      </c>
      <c r="BD1" s="4" t="s">
        <v>4</v>
      </c>
      <c r="BE1" s="4" t="s">
        <v>4</v>
      </c>
      <c r="BF1" s="4" t="s">
        <v>4</v>
      </c>
      <c r="BG1" s="4" t="s">
        <v>4</v>
      </c>
      <c r="BH1" t="s">
        <v>4</v>
      </c>
      <c r="BI1" t="s">
        <v>125</v>
      </c>
      <c r="BJ1" t="s">
        <v>125</v>
      </c>
      <c r="BK1" t="s">
        <v>4</v>
      </c>
      <c r="BL1" t="s">
        <v>4</v>
      </c>
      <c r="BM1" t="s">
        <v>4</v>
      </c>
      <c r="BN1" t="s">
        <v>4</v>
      </c>
      <c r="BO1" t="s">
        <v>4</v>
      </c>
      <c r="BP1" t="s">
        <v>125</v>
      </c>
      <c r="BQ1" t="s">
        <v>4</v>
      </c>
      <c r="BR1" t="s">
        <v>4</v>
      </c>
      <c r="BS1" t="s">
        <v>4</v>
      </c>
      <c r="BT1" t="s">
        <v>4</v>
      </c>
      <c r="BU1" t="s">
        <v>4</v>
      </c>
      <c r="BV1" t="s">
        <v>4</v>
      </c>
      <c r="BW1" t="s">
        <v>4</v>
      </c>
      <c r="BX1" t="s">
        <v>4</v>
      </c>
      <c r="BY1" t="s">
        <v>4</v>
      </c>
      <c r="BZ1" t="s">
        <v>4</v>
      </c>
      <c r="CA1" t="s">
        <v>4</v>
      </c>
      <c r="CB1" t="s">
        <v>4</v>
      </c>
      <c r="CC1" t="s">
        <v>4</v>
      </c>
      <c r="CD1" t="s">
        <v>4</v>
      </c>
      <c r="CE1" t="s">
        <v>4</v>
      </c>
      <c r="CF1" t="s">
        <v>4</v>
      </c>
      <c r="CG1" t="s">
        <v>4</v>
      </c>
      <c r="CH1" t="s">
        <v>4</v>
      </c>
      <c r="CI1" t="s">
        <v>4</v>
      </c>
      <c r="CJ1" t="s">
        <v>4</v>
      </c>
      <c r="CK1" t="s">
        <v>4</v>
      </c>
      <c r="CL1" t="s">
        <v>4</v>
      </c>
      <c r="CM1" t="s">
        <v>4</v>
      </c>
      <c r="CN1" t="s">
        <v>4</v>
      </c>
      <c r="CO1" t="s">
        <v>4</v>
      </c>
      <c r="CP1" t="s">
        <v>4</v>
      </c>
      <c r="CQ1" t="s">
        <v>4</v>
      </c>
      <c r="CR1" t="s">
        <v>4</v>
      </c>
      <c r="CS1" t="s">
        <v>129</v>
      </c>
      <c r="CT1" t="s">
        <v>4</v>
      </c>
      <c r="CU1" t="s">
        <v>4</v>
      </c>
      <c r="CV1" t="s">
        <v>4</v>
      </c>
      <c r="CW1" t="s">
        <v>4</v>
      </c>
      <c r="CX1" t="s">
        <v>4</v>
      </c>
      <c r="CY1" t="s">
        <v>4</v>
      </c>
      <c r="CZ1" t="s">
        <v>4</v>
      </c>
      <c r="DA1" t="s">
        <v>4</v>
      </c>
      <c r="DB1" t="s">
        <v>4</v>
      </c>
      <c r="DC1" t="s">
        <v>4</v>
      </c>
      <c r="DD1" t="s">
        <v>4</v>
      </c>
      <c r="DE1" t="s">
        <v>4</v>
      </c>
      <c r="DF1" t="s">
        <v>4</v>
      </c>
    </row>
    <row r="2" spans="1:111" s="15" customFormat="1" ht="52" customHeight="1" x14ac:dyDescent="0.15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41</v>
      </c>
      <c r="G2" s="8" t="s">
        <v>11</v>
      </c>
      <c r="H2" s="8" t="s">
        <v>12</v>
      </c>
      <c r="I2" s="9" t="s">
        <v>59</v>
      </c>
      <c r="J2" s="8" t="s">
        <v>13</v>
      </c>
      <c r="K2" s="10" t="s">
        <v>14</v>
      </c>
      <c r="L2" s="11" t="s">
        <v>15</v>
      </c>
      <c r="M2" s="11" t="s">
        <v>37</v>
      </c>
      <c r="N2" s="10" t="s">
        <v>16</v>
      </c>
      <c r="O2" s="10" t="s">
        <v>17</v>
      </c>
      <c r="P2" s="10" t="s">
        <v>38</v>
      </c>
      <c r="Q2" s="10" t="s">
        <v>39</v>
      </c>
      <c r="R2" s="10" t="s">
        <v>18</v>
      </c>
      <c r="S2" s="10" t="s">
        <v>19</v>
      </c>
      <c r="T2" s="10" t="s">
        <v>20</v>
      </c>
      <c r="U2" s="10" t="s">
        <v>117</v>
      </c>
      <c r="V2" s="10" t="s">
        <v>118</v>
      </c>
      <c r="W2" s="10" t="s">
        <v>40</v>
      </c>
      <c r="X2" s="10" t="s">
        <v>72</v>
      </c>
      <c r="Y2" s="10" t="s">
        <v>73</v>
      </c>
      <c r="Z2" s="10" t="s">
        <v>74</v>
      </c>
      <c r="AA2" s="10" t="s">
        <v>75</v>
      </c>
      <c r="AB2" s="10" t="s">
        <v>76</v>
      </c>
      <c r="AC2" s="10" t="s">
        <v>128</v>
      </c>
      <c r="AD2" s="10" t="s">
        <v>85</v>
      </c>
      <c r="AE2" s="10" t="s">
        <v>86</v>
      </c>
      <c r="AF2" s="10" t="s">
        <v>87</v>
      </c>
      <c r="AG2" s="10" t="s">
        <v>88</v>
      </c>
      <c r="AH2" s="10" t="s">
        <v>89</v>
      </c>
      <c r="AI2" s="10" t="s">
        <v>90</v>
      </c>
      <c r="AJ2" s="10" t="s">
        <v>21</v>
      </c>
      <c r="AK2" s="11" t="s">
        <v>93</v>
      </c>
      <c r="AL2" s="11" t="s">
        <v>94</v>
      </c>
      <c r="AM2" s="11" t="s">
        <v>23</v>
      </c>
      <c r="AN2" s="11" t="s">
        <v>91</v>
      </c>
      <c r="AO2" s="11" t="s">
        <v>92</v>
      </c>
      <c r="AP2" s="11" t="s">
        <v>24</v>
      </c>
      <c r="AQ2" s="11" t="s">
        <v>25</v>
      </c>
      <c r="AR2" s="11" t="s">
        <v>103</v>
      </c>
      <c r="AS2" s="11" t="s">
        <v>104</v>
      </c>
      <c r="AT2" s="11" t="s">
        <v>26</v>
      </c>
      <c r="AU2" s="11" t="s">
        <v>101</v>
      </c>
      <c r="AV2" s="11" t="s">
        <v>102</v>
      </c>
      <c r="AW2" s="11" t="s">
        <v>42</v>
      </c>
      <c r="AX2" s="11" t="s">
        <v>107</v>
      </c>
      <c r="AY2" s="11" t="s">
        <v>108</v>
      </c>
      <c r="AZ2" s="11" t="s">
        <v>100</v>
      </c>
      <c r="BA2" s="11" t="s">
        <v>95</v>
      </c>
      <c r="BB2" s="11" t="s">
        <v>96</v>
      </c>
      <c r="BC2" s="11" t="s">
        <v>97</v>
      </c>
      <c r="BD2" s="11" t="s">
        <v>98</v>
      </c>
      <c r="BE2" s="11" t="s">
        <v>99</v>
      </c>
      <c r="BF2" s="11" t="s">
        <v>22</v>
      </c>
      <c r="BG2" s="11" t="s">
        <v>109</v>
      </c>
      <c r="BH2" s="11" t="s">
        <v>119</v>
      </c>
      <c r="BI2" s="11" t="s">
        <v>105</v>
      </c>
      <c r="BJ2" s="11" t="s">
        <v>106</v>
      </c>
      <c r="BK2" s="10" t="s">
        <v>78</v>
      </c>
      <c r="BL2" s="10" t="s">
        <v>136</v>
      </c>
      <c r="BM2" s="12" t="s">
        <v>77</v>
      </c>
      <c r="BN2" s="10" t="s">
        <v>80</v>
      </c>
      <c r="BO2" s="10" t="s">
        <v>27</v>
      </c>
      <c r="BP2" s="13" t="s">
        <v>138</v>
      </c>
      <c r="BQ2" s="10" t="s">
        <v>110</v>
      </c>
      <c r="BR2" s="10" t="s">
        <v>111</v>
      </c>
      <c r="BS2" s="10" t="s">
        <v>112</v>
      </c>
      <c r="BT2" s="10" t="s">
        <v>113</v>
      </c>
      <c r="BU2" s="10" t="s">
        <v>114</v>
      </c>
      <c r="BV2" s="10" t="s">
        <v>115</v>
      </c>
      <c r="BW2" s="10" t="s">
        <v>116</v>
      </c>
      <c r="BX2" s="10" t="s">
        <v>120</v>
      </c>
      <c r="BY2" s="10" t="s">
        <v>121</v>
      </c>
      <c r="BZ2" s="10" t="s">
        <v>28</v>
      </c>
      <c r="CA2" s="10" t="s">
        <v>43</v>
      </c>
      <c r="CB2" s="10" t="s">
        <v>29</v>
      </c>
      <c r="CC2" s="10" t="s">
        <v>44</v>
      </c>
      <c r="CD2" s="10" t="s">
        <v>30</v>
      </c>
      <c r="CE2" s="10" t="s">
        <v>31</v>
      </c>
      <c r="CF2" s="10" t="s">
        <v>183</v>
      </c>
      <c r="CG2" s="10" t="s">
        <v>32</v>
      </c>
      <c r="CH2" s="10" t="s">
        <v>33</v>
      </c>
      <c r="CI2" s="10" t="s">
        <v>45</v>
      </c>
      <c r="CJ2" s="10" t="s">
        <v>34</v>
      </c>
      <c r="CK2" s="14" t="s">
        <v>134</v>
      </c>
      <c r="CL2" s="10" t="s">
        <v>132</v>
      </c>
      <c r="CM2" s="14" t="s">
        <v>135</v>
      </c>
      <c r="CN2" s="10" t="s">
        <v>133</v>
      </c>
      <c r="CO2" s="10" t="s">
        <v>35</v>
      </c>
      <c r="CP2" s="10" t="s">
        <v>122</v>
      </c>
      <c r="CQ2" s="10" t="s">
        <v>36</v>
      </c>
      <c r="CR2" s="10" t="s">
        <v>46</v>
      </c>
      <c r="CS2" s="10" t="s">
        <v>47</v>
      </c>
      <c r="CT2" s="10" t="s">
        <v>123</v>
      </c>
      <c r="CU2" s="10" t="s">
        <v>124</v>
      </c>
      <c r="CV2" s="10" t="s">
        <v>130</v>
      </c>
      <c r="CW2" s="10" t="s">
        <v>131</v>
      </c>
      <c r="CX2" s="10" t="s">
        <v>150</v>
      </c>
      <c r="CY2" s="10" t="s">
        <v>151</v>
      </c>
      <c r="CZ2" s="10" t="s">
        <v>156</v>
      </c>
      <c r="DA2" s="10" t="s">
        <v>155</v>
      </c>
      <c r="DB2" s="10" t="s">
        <v>149</v>
      </c>
      <c r="DC2" s="22" t="s">
        <v>166</v>
      </c>
      <c r="DD2" s="22" t="s">
        <v>179</v>
      </c>
      <c r="DE2" s="22" t="s">
        <v>180</v>
      </c>
      <c r="DF2" s="22" t="s">
        <v>181</v>
      </c>
    </row>
    <row r="3" spans="1:111" x14ac:dyDescent="0.15">
      <c r="A3" s="1">
        <v>2022</v>
      </c>
      <c r="B3" s="1" t="s">
        <v>48</v>
      </c>
      <c r="C3" s="1">
        <v>1</v>
      </c>
      <c r="D3" s="1">
        <v>1</v>
      </c>
      <c r="E3" s="1" t="s">
        <v>50</v>
      </c>
      <c r="F3" s="1"/>
      <c r="G3" s="1" t="s">
        <v>56</v>
      </c>
      <c r="H3" s="1">
        <v>1</v>
      </c>
      <c r="I3" s="23" t="s">
        <v>50</v>
      </c>
      <c r="J3" s="1" t="s">
        <v>57</v>
      </c>
      <c r="K3" s="24">
        <v>44713</v>
      </c>
      <c r="L3" s="1" t="s">
        <v>71</v>
      </c>
      <c r="M3" s="1" t="s">
        <v>71</v>
      </c>
      <c r="N3" s="24">
        <v>44711</v>
      </c>
      <c r="O3" s="24">
        <v>44722</v>
      </c>
      <c r="P3" s="1" t="s">
        <v>71</v>
      </c>
      <c r="Q3" s="1" t="s">
        <v>71</v>
      </c>
      <c r="R3" s="1" t="s">
        <v>71</v>
      </c>
      <c r="S3" s="1" t="s">
        <v>71</v>
      </c>
      <c r="T3" s="1" t="s">
        <v>71</v>
      </c>
      <c r="U3" s="1" t="s">
        <v>71</v>
      </c>
      <c r="V3" s="1" t="s">
        <v>71</v>
      </c>
      <c r="W3" s="1" t="s">
        <v>71</v>
      </c>
      <c r="X3" s="1" t="s">
        <v>71</v>
      </c>
      <c r="Y3" s="1">
        <v>0</v>
      </c>
      <c r="Z3" s="1" t="s">
        <v>71</v>
      </c>
      <c r="AA3" s="1" t="s">
        <v>71</v>
      </c>
      <c r="AB3" s="1" t="s">
        <v>71</v>
      </c>
      <c r="AC3" s="1" t="s">
        <v>71</v>
      </c>
      <c r="AD3" s="25">
        <v>53</v>
      </c>
      <c r="AE3" s="25" t="s">
        <v>71</v>
      </c>
      <c r="AF3" s="25">
        <v>101</v>
      </c>
      <c r="AG3" s="25" t="s">
        <v>71</v>
      </c>
      <c r="AH3" s="1">
        <v>109</v>
      </c>
      <c r="AI3" s="1" t="s">
        <v>71</v>
      </c>
      <c r="AJ3" s="1">
        <v>2</v>
      </c>
      <c r="AK3" s="1">
        <v>0</v>
      </c>
      <c r="AL3" s="1">
        <v>0</v>
      </c>
      <c r="AM3" s="1">
        <v>0</v>
      </c>
      <c r="AN3" s="1">
        <v>0.01</v>
      </c>
      <c r="AO3" s="1">
        <v>0.03</v>
      </c>
      <c r="AP3" s="1">
        <v>2.9999999999999997E-4</v>
      </c>
      <c r="AQ3" s="1">
        <v>22</v>
      </c>
      <c r="AR3" s="1">
        <v>0</v>
      </c>
      <c r="AS3" s="1">
        <v>0</v>
      </c>
      <c r="AT3" s="1">
        <v>0</v>
      </c>
      <c r="AU3" s="1" t="s">
        <v>71</v>
      </c>
      <c r="AV3" s="1" t="s">
        <v>71</v>
      </c>
      <c r="AW3" s="1" t="s">
        <v>71</v>
      </c>
      <c r="AX3" s="1">
        <v>0</v>
      </c>
      <c r="AY3" s="1">
        <v>0</v>
      </c>
      <c r="AZ3" s="1" t="s">
        <v>71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 t="s">
        <v>71</v>
      </c>
      <c r="BI3" s="1" t="s">
        <v>71</v>
      </c>
      <c r="BJ3" s="1" t="s">
        <v>71</v>
      </c>
      <c r="BK3" s="1">
        <v>8.0000000000000004E-4</v>
      </c>
      <c r="BL3" s="1">
        <f>BK3*100</f>
        <v>0.08</v>
      </c>
      <c r="BM3" s="1">
        <v>0.2</v>
      </c>
      <c r="BN3" s="1">
        <v>4.0000000000000001E-3</v>
      </c>
      <c r="BO3" s="1">
        <v>1</v>
      </c>
      <c r="BP3" s="1">
        <v>0</v>
      </c>
      <c r="BQ3" s="1" t="s">
        <v>71</v>
      </c>
      <c r="BR3" s="1" t="s">
        <v>71</v>
      </c>
      <c r="BS3" s="1" t="s">
        <v>71</v>
      </c>
      <c r="BT3" s="1" t="s">
        <v>71</v>
      </c>
      <c r="BU3" s="1">
        <v>10</v>
      </c>
      <c r="BV3" s="1" t="s">
        <v>71</v>
      </c>
      <c r="BW3" s="1" t="s">
        <v>71</v>
      </c>
      <c r="BX3" s="1" t="s">
        <v>71</v>
      </c>
      <c r="BY3" s="1">
        <v>23.64</v>
      </c>
      <c r="BZ3" s="3">
        <v>3.2</v>
      </c>
      <c r="CA3" s="3" t="s">
        <v>71</v>
      </c>
      <c r="CB3" s="3">
        <f>BZ3/(1.5*4.8)*10</f>
        <v>4.4444444444444455</v>
      </c>
      <c r="CC3" s="3" t="s">
        <v>71</v>
      </c>
      <c r="CD3" s="1">
        <v>1</v>
      </c>
      <c r="CE3" s="1">
        <v>1</v>
      </c>
      <c r="CF3" s="1">
        <f>CE3</f>
        <v>1</v>
      </c>
      <c r="CG3" s="3" t="s">
        <v>71</v>
      </c>
      <c r="CH3" s="3" t="s">
        <v>71</v>
      </c>
      <c r="CI3" s="3" t="s">
        <v>71</v>
      </c>
      <c r="CJ3" s="3" t="s">
        <v>71</v>
      </c>
      <c r="CK3" s="3" t="s">
        <v>71</v>
      </c>
      <c r="CL3" s="3" t="s">
        <v>71</v>
      </c>
      <c r="CM3" s="3" t="s">
        <v>71</v>
      </c>
      <c r="CN3" s="3" t="s">
        <v>71</v>
      </c>
      <c r="CO3" s="1">
        <v>42</v>
      </c>
      <c r="CP3" s="1" t="s">
        <v>71</v>
      </c>
      <c r="CQ3" s="1">
        <v>39.5</v>
      </c>
      <c r="CR3" s="1" t="s">
        <v>71</v>
      </c>
      <c r="CS3" s="1" t="s">
        <v>71</v>
      </c>
      <c r="CT3" s="1">
        <v>10.8</v>
      </c>
      <c r="CU3" s="1" t="s">
        <v>71</v>
      </c>
      <c r="CV3" s="1" t="s">
        <v>71</v>
      </c>
      <c r="CW3">
        <v>17.239999999999998</v>
      </c>
      <c r="CX3" s="1" t="s">
        <v>71</v>
      </c>
      <c r="CY3" s="1">
        <v>11</v>
      </c>
      <c r="CZ3" s="1" t="s">
        <v>71</v>
      </c>
      <c r="DA3">
        <f t="shared" ref="DA3:DA8" si="0">ROUND((CY3*CB3*10),0)</f>
        <v>489</v>
      </c>
      <c r="DB3" s="1" t="s">
        <v>71</v>
      </c>
      <c r="DC3" s="26">
        <v>11</v>
      </c>
      <c r="DD3">
        <f>SUM(CZ3,DA3)</f>
        <v>489</v>
      </c>
      <c r="DE3" s="1" t="s">
        <v>71</v>
      </c>
      <c r="DF3" s="1" t="s">
        <v>71</v>
      </c>
      <c r="DG3" s="23"/>
    </row>
    <row r="4" spans="1:111" x14ac:dyDescent="0.15">
      <c r="A4" s="1">
        <v>2022</v>
      </c>
      <c r="B4" s="1" t="s">
        <v>48</v>
      </c>
      <c r="C4" s="1">
        <v>1</v>
      </c>
      <c r="D4" s="1">
        <v>2</v>
      </c>
      <c r="E4" s="1" t="s">
        <v>51</v>
      </c>
      <c r="F4" s="1"/>
      <c r="G4" s="1" t="s">
        <v>56</v>
      </c>
      <c r="H4" s="1">
        <v>1</v>
      </c>
      <c r="I4" s="23" t="s">
        <v>51</v>
      </c>
      <c r="J4" s="1" t="s">
        <v>57</v>
      </c>
      <c r="K4" s="24">
        <v>44713</v>
      </c>
      <c r="L4" s="1" t="s">
        <v>71</v>
      </c>
      <c r="M4" s="1" t="s">
        <v>71</v>
      </c>
      <c r="N4" s="24">
        <v>44713</v>
      </c>
      <c r="O4" s="24">
        <v>44726</v>
      </c>
      <c r="P4" s="1" t="s">
        <v>71</v>
      </c>
      <c r="Q4" s="1" t="s">
        <v>71</v>
      </c>
      <c r="R4" s="1" t="s">
        <v>71</v>
      </c>
      <c r="S4" s="1" t="s">
        <v>71</v>
      </c>
      <c r="T4" s="1" t="s">
        <v>71</v>
      </c>
      <c r="U4" s="1" t="s">
        <v>71</v>
      </c>
      <c r="V4" s="1" t="s">
        <v>71</v>
      </c>
      <c r="W4" s="1" t="s">
        <v>71</v>
      </c>
      <c r="X4" s="1" t="s">
        <v>71</v>
      </c>
      <c r="Y4" s="1">
        <v>0</v>
      </c>
      <c r="Z4" s="1" t="s">
        <v>71</v>
      </c>
      <c r="AA4" s="1" t="s">
        <v>71</v>
      </c>
      <c r="AB4" s="1" t="s">
        <v>71</v>
      </c>
      <c r="AC4" s="1" t="s">
        <v>71</v>
      </c>
      <c r="AD4" s="25">
        <v>45</v>
      </c>
      <c r="AE4" s="25" t="s">
        <v>71</v>
      </c>
      <c r="AF4" s="25">
        <v>96</v>
      </c>
      <c r="AG4" s="25" t="s">
        <v>71</v>
      </c>
      <c r="AH4" s="1">
        <v>105</v>
      </c>
      <c r="AI4" s="1" t="s">
        <v>71</v>
      </c>
      <c r="AJ4" s="1">
        <v>0.3</v>
      </c>
      <c r="AK4" s="1">
        <v>0</v>
      </c>
      <c r="AL4" s="1">
        <v>0</v>
      </c>
      <c r="AM4" s="1">
        <v>0</v>
      </c>
      <c r="AN4" s="1">
        <v>0.02</v>
      </c>
      <c r="AO4" s="1">
        <v>0.05</v>
      </c>
      <c r="AP4" s="1">
        <v>1E-3</v>
      </c>
      <c r="AQ4" s="1">
        <v>25</v>
      </c>
      <c r="AR4" s="1">
        <v>0</v>
      </c>
      <c r="AS4" s="1">
        <v>0</v>
      </c>
      <c r="AT4" s="1">
        <v>0</v>
      </c>
      <c r="AU4" s="1" t="s">
        <v>71</v>
      </c>
      <c r="AV4" s="1" t="s">
        <v>71</v>
      </c>
      <c r="AW4" s="1" t="s">
        <v>71</v>
      </c>
      <c r="AX4" s="1">
        <v>0</v>
      </c>
      <c r="AY4" s="1">
        <v>0</v>
      </c>
      <c r="AZ4" s="1" t="s">
        <v>71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 t="s">
        <v>71</v>
      </c>
      <c r="BI4" s="1" t="s">
        <v>71</v>
      </c>
      <c r="BJ4" s="1" t="s">
        <v>71</v>
      </c>
      <c r="BK4" s="1">
        <v>3.0000000000000001E-3</v>
      </c>
      <c r="BL4" s="1">
        <f t="shared" ref="BL4:BL67" si="1">BK4*100</f>
        <v>0.3</v>
      </c>
      <c r="BM4" s="1">
        <v>0.3</v>
      </c>
      <c r="BN4" s="1">
        <v>0.01</v>
      </c>
      <c r="BO4" s="1">
        <v>1</v>
      </c>
      <c r="BP4" s="1">
        <v>0</v>
      </c>
      <c r="BQ4" s="1" t="s">
        <v>71</v>
      </c>
      <c r="BR4" s="1" t="s">
        <v>71</v>
      </c>
      <c r="BS4" s="1" t="s">
        <v>71</v>
      </c>
      <c r="BT4" s="1" t="s">
        <v>71</v>
      </c>
      <c r="BU4" s="1">
        <v>6</v>
      </c>
      <c r="BV4" s="1" t="s">
        <v>71</v>
      </c>
      <c r="BW4" s="1" t="s">
        <v>71</v>
      </c>
      <c r="BX4" s="1" t="s">
        <v>71</v>
      </c>
      <c r="BY4" s="1">
        <v>32.58</v>
      </c>
      <c r="BZ4" s="3">
        <v>3.9</v>
      </c>
      <c r="CA4" s="3" t="s">
        <v>71</v>
      </c>
      <c r="CB4" s="3">
        <f t="shared" ref="CB4:CB8" si="2">BZ4/(1.5*4.8)*10</f>
        <v>5.4166666666666679</v>
      </c>
      <c r="CC4" s="3" t="s">
        <v>71</v>
      </c>
      <c r="CD4" s="1">
        <v>1</v>
      </c>
      <c r="CE4" s="1">
        <v>1</v>
      </c>
      <c r="CF4" s="1">
        <f t="shared" ref="CF4:CF17" si="3">CE4</f>
        <v>1</v>
      </c>
      <c r="CG4" s="3" t="s">
        <v>71</v>
      </c>
      <c r="CH4" s="3" t="s">
        <v>71</v>
      </c>
      <c r="CI4" s="3" t="s">
        <v>71</v>
      </c>
      <c r="CJ4" s="3" t="s">
        <v>71</v>
      </c>
      <c r="CK4" s="3" t="s">
        <v>71</v>
      </c>
      <c r="CL4" s="3" t="s">
        <v>71</v>
      </c>
      <c r="CM4" s="3" t="s">
        <v>71</v>
      </c>
      <c r="CN4" s="3" t="s">
        <v>71</v>
      </c>
      <c r="CO4" s="1">
        <v>49</v>
      </c>
      <c r="CP4" s="1" t="s">
        <v>71</v>
      </c>
      <c r="CQ4" s="1">
        <v>28.3</v>
      </c>
      <c r="CR4" s="1" t="s">
        <v>71</v>
      </c>
      <c r="CS4" s="1" t="s">
        <v>71</v>
      </c>
      <c r="CT4" s="1">
        <v>10.6</v>
      </c>
      <c r="CU4" s="1" t="s">
        <v>71</v>
      </c>
      <c r="CV4" s="1" t="s">
        <v>71</v>
      </c>
      <c r="CW4">
        <v>17.88</v>
      </c>
      <c r="CX4" s="1" t="s">
        <v>71</v>
      </c>
      <c r="CY4" s="1">
        <v>11.2</v>
      </c>
      <c r="CZ4" s="1" t="s">
        <v>71</v>
      </c>
      <c r="DA4">
        <f t="shared" si="0"/>
        <v>607</v>
      </c>
      <c r="DB4" s="1" t="s">
        <v>71</v>
      </c>
      <c r="DC4" s="26">
        <v>11.2</v>
      </c>
      <c r="DD4">
        <f t="shared" ref="DD4:DD67" si="4">SUM(CZ4,DA4)</f>
        <v>607</v>
      </c>
      <c r="DE4" s="1" t="s">
        <v>71</v>
      </c>
      <c r="DF4" s="1" t="s">
        <v>71</v>
      </c>
      <c r="DG4" s="23"/>
    </row>
    <row r="5" spans="1:111" x14ac:dyDescent="0.15">
      <c r="A5" s="1">
        <v>2022</v>
      </c>
      <c r="B5" s="1" t="s">
        <v>48</v>
      </c>
      <c r="C5" s="1">
        <v>1</v>
      </c>
      <c r="D5" s="1">
        <v>3</v>
      </c>
      <c r="E5" s="1" t="s">
        <v>52</v>
      </c>
      <c r="F5" s="1"/>
      <c r="G5" s="1" t="s">
        <v>56</v>
      </c>
      <c r="H5" s="1">
        <v>1</v>
      </c>
      <c r="I5" s="23" t="s">
        <v>52</v>
      </c>
      <c r="J5" s="1" t="s">
        <v>57</v>
      </c>
      <c r="K5" s="24">
        <v>44713</v>
      </c>
      <c r="L5" s="1" t="s">
        <v>71</v>
      </c>
      <c r="M5" s="1" t="s">
        <v>71</v>
      </c>
      <c r="N5" s="24">
        <v>44717</v>
      </c>
      <c r="O5" s="24">
        <v>44729</v>
      </c>
      <c r="P5" s="1" t="s">
        <v>71</v>
      </c>
      <c r="Q5" s="1" t="s">
        <v>71</v>
      </c>
      <c r="R5" s="1" t="s">
        <v>71</v>
      </c>
      <c r="S5" s="1" t="s">
        <v>71</v>
      </c>
      <c r="T5" s="1" t="s">
        <v>71</v>
      </c>
      <c r="U5" s="1" t="s">
        <v>71</v>
      </c>
      <c r="V5" s="1" t="s">
        <v>71</v>
      </c>
      <c r="W5" s="1" t="s">
        <v>71</v>
      </c>
      <c r="X5" s="1" t="s">
        <v>71</v>
      </c>
      <c r="Y5" s="1">
        <v>0</v>
      </c>
      <c r="Z5" s="1" t="s">
        <v>71</v>
      </c>
      <c r="AA5" s="1" t="s">
        <v>71</v>
      </c>
      <c r="AB5" s="1" t="s">
        <v>71</v>
      </c>
      <c r="AC5" s="1" t="s">
        <v>71</v>
      </c>
      <c r="AD5" s="25">
        <v>45</v>
      </c>
      <c r="AE5" s="25" t="s">
        <v>71</v>
      </c>
      <c r="AF5" s="25">
        <v>67</v>
      </c>
      <c r="AG5" s="25" t="s">
        <v>71</v>
      </c>
      <c r="AH5" s="1">
        <v>88</v>
      </c>
      <c r="AI5" s="1" t="s">
        <v>71</v>
      </c>
      <c r="AJ5" s="1">
        <v>2</v>
      </c>
      <c r="AK5" s="1">
        <v>0</v>
      </c>
      <c r="AL5" s="1">
        <v>0</v>
      </c>
      <c r="AM5" s="1">
        <v>0</v>
      </c>
      <c r="AN5" s="1">
        <v>0.03</v>
      </c>
      <c r="AO5" s="1">
        <v>0.05</v>
      </c>
      <c r="AP5" s="1">
        <v>1.5E-3</v>
      </c>
      <c r="AQ5" s="1">
        <v>18</v>
      </c>
      <c r="AR5" s="1">
        <v>0</v>
      </c>
      <c r="AS5" s="1">
        <v>0</v>
      </c>
      <c r="AT5" s="1">
        <v>0</v>
      </c>
      <c r="AU5" s="1" t="s">
        <v>71</v>
      </c>
      <c r="AV5" s="1" t="s">
        <v>71</v>
      </c>
      <c r="AW5" s="1" t="s">
        <v>71</v>
      </c>
      <c r="AX5" s="1">
        <v>0</v>
      </c>
      <c r="AY5" s="1">
        <v>0</v>
      </c>
      <c r="AZ5" s="1" t="s">
        <v>71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 t="s">
        <v>71</v>
      </c>
      <c r="BI5" s="1" t="s">
        <v>71</v>
      </c>
      <c r="BJ5" s="1" t="s">
        <v>71</v>
      </c>
      <c r="BK5" s="1">
        <v>5.9999999999999995E-4</v>
      </c>
      <c r="BL5" s="1">
        <f t="shared" si="1"/>
        <v>0.06</v>
      </c>
      <c r="BM5" s="1">
        <v>0.6</v>
      </c>
      <c r="BN5" s="1">
        <v>1E-3</v>
      </c>
      <c r="BO5" s="1">
        <v>1</v>
      </c>
      <c r="BP5" s="1">
        <v>0</v>
      </c>
      <c r="BQ5" s="1" t="s">
        <v>71</v>
      </c>
      <c r="BR5" s="1" t="s">
        <v>71</v>
      </c>
      <c r="BS5" s="1" t="s">
        <v>71</v>
      </c>
      <c r="BT5" s="1" t="s">
        <v>71</v>
      </c>
      <c r="BU5" s="1">
        <v>8</v>
      </c>
      <c r="BV5" s="1" t="s">
        <v>71</v>
      </c>
      <c r="BW5" s="1" t="s">
        <v>71</v>
      </c>
      <c r="BX5" s="1" t="s">
        <v>71</v>
      </c>
      <c r="BY5" s="1">
        <v>22.78</v>
      </c>
      <c r="BZ5" s="3">
        <v>2.9</v>
      </c>
      <c r="CA5" s="3" t="s">
        <v>71</v>
      </c>
      <c r="CB5" s="3">
        <f t="shared" si="2"/>
        <v>4.0277777777777777</v>
      </c>
      <c r="CC5" s="3" t="s">
        <v>71</v>
      </c>
      <c r="CD5" s="1">
        <v>1</v>
      </c>
      <c r="CE5" s="1">
        <v>1</v>
      </c>
      <c r="CF5" s="1">
        <f t="shared" si="3"/>
        <v>1</v>
      </c>
      <c r="CG5" s="3" t="s">
        <v>71</v>
      </c>
      <c r="CH5" s="3" t="s">
        <v>71</v>
      </c>
      <c r="CI5" s="3" t="s">
        <v>71</v>
      </c>
      <c r="CJ5" s="3" t="s">
        <v>71</v>
      </c>
      <c r="CK5" s="3" t="s">
        <v>71</v>
      </c>
      <c r="CL5" s="3" t="s">
        <v>71</v>
      </c>
      <c r="CM5" s="3" t="s">
        <v>71</v>
      </c>
      <c r="CN5" s="3" t="s">
        <v>71</v>
      </c>
      <c r="CO5" s="1">
        <v>43</v>
      </c>
      <c r="CP5" s="1" t="s">
        <v>71</v>
      </c>
      <c r="CQ5" s="1">
        <v>28.650000000000002</v>
      </c>
      <c r="CR5" s="1" t="s">
        <v>71</v>
      </c>
      <c r="CS5" s="1" t="s">
        <v>71</v>
      </c>
      <c r="CT5" s="1">
        <v>10.5</v>
      </c>
      <c r="CU5" s="1" t="s">
        <v>71</v>
      </c>
      <c r="CV5" s="1" t="s">
        <v>71</v>
      </c>
      <c r="CW5">
        <v>16.88</v>
      </c>
      <c r="CX5" s="1" t="s">
        <v>71</v>
      </c>
      <c r="CY5" s="1">
        <v>11.2</v>
      </c>
      <c r="CZ5" s="1" t="s">
        <v>71</v>
      </c>
      <c r="DA5">
        <f t="shared" si="0"/>
        <v>451</v>
      </c>
      <c r="DB5" s="1" t="s">
        <v>71</v>
      </c>
      <c r="DC5" s="26">
        <v>11.2</v>
      </c>
      <c r="DD5">
        <f t="shared" si="4"/>
        <v>451</v>
      </c>
      <c r="DE5" s="1" t="s">
        <v>71</v>
      </c>
      <c r="DF5" s="1" t="s">
        <v>71</v>
      </c>
      <c r="DG5" s="23"/>
    </row>
    <row r="6" spans="1:111" x14ac:dyDescent="0.15">
      <c r="A6" s="1">
        <v>2022</v>
      </c>
      <c r="B6" s="1" t="s">
        <v>48</v>
      </c>
      <c r="C6" s="1">
        <v>1</v>
      </c>
      <c r="D6" s="1">
        <v>4</v>
      </c>
      <c r="E6" s="1" t="s">
        <v>50</v>
      </c>
      <c r="F6" s="1"/>
      <c r="G6" s="1" t="s">
        <v>56</v>
      </c>
      <c r="H6" s="1">
        <v>1</v>
      </c>
      <c r="I6" s="23" t="s">
        <v>50</v>
      </c>
      <c r="J6" s="1" t="s">
        <v>58</v>
      </c>
      <c r="K6" s="24">
        <v>44705</v>
      </c>
      <c r="L6" s="1" t="s">
        <v>71</v>
      </c>
      <c r="M6" s="1" t="s">
        <v>71</v>
      </c>
      <c r="N6" s="24">
        <v>44711</v>
      </c>
      <c r="O6" s="24">
        <v>44720</v>
      </c>
      <c r="P6" s="1" t="s">
        <v>71</v>
      </c>
      <c r="Q6" s="1" t="s">
        <v>71</v>
      </c>
      <c r="R6" s="1" t="s">
        <v>71</v>
      </c>
      <c r="S6" s="1" t="s">
        <v>71</v>
      </c>
      <c r="T6" s="1" t="s">
        <v>71</v>
      </c>
      <c r="U6" s="1" t="s">
        <v>71</v>
      </c>
      <c r="V6" s="1" t="s">
        <v>71</v>
      </c>
      <c r="W6" s="1" t="s">
        <v>71</v>
      </c>
      <c r="X6" s="1" t="s">
        <v>71</v>
      </c>
      <c r="Y6" s="1">
        <v>0</v>
      </c>
      <c r="Z6" s="1" t="s">
        <v>71</v>
      </c>
      <c r="AA6" s="1" t="s">
        <v>71</v>
      </c>
      <c r="AB6" s="1" t="s">
        <v>71</v>
      </c>
      <c r="AC6" s="1" t="s">
        <v>71</v>
      </c>
      <c r="AD6" s="25">
        <v>66</v>
      </c>
      <c r="AE6" s="25" t="s">
        <v>71</v>
      </c>
      <c r="AF6" s="25">
        <v>111</v>
      </c>
      <c r="AG6" s="25" t="s">
        <v>71</v>
      </c>
      <c r="AH6" s="1">
        <v>122</v>
      </c>
      <c r="AI6" s="1" t="s">
        <v>71</v>
      </c>
      <c r="AJ6" s="1">
        <v>3.3</v>
      </c>
      <c r="AK6" s="1">
        <v>0</v>
      </c>
      <c r="AL6" s="1">
        <v>0</v>
      </c>
      <c r="AM6" s="1">
        <v>0</v>
      </c>
      <c r="AN6" s="1">
        <v>0.08</v>
      </c>
      <c r="AO6" s="1">
        <v>0.06</v>
      </c>
      <c r="AP6" s="1">
        <v>4.7999999999999996E-3</v>
      </c>
      <c r="AQ6" s="1">
        <v>25</v>
      </c>
      <c r="AR6" s="1">
        <v>0</v>
      </c>
      <c r="AS6" s="1">
        <v>0</v>
      </c>
      <c r="AT6" s="1">
        <v>0</v>
      </c>
      <c r="AU6" s="1" t="s">
        <v>71</v>
      </c>
      <c r="AV6" s="1" t="s">
        <v>71</v>
      </c>
      <c r="AW6" s="1" t="s">
        <v>71</v>
      </c>
      <c r="AX6" s="1">
        <v>0</v>
      </c>
      <c r="AY6" s="1">
        <v>0</v>
      </c>
      <c r="AZ6" s="1" t="s">
        <v>71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 t="s">
        <v>71</v>
      </c>
      <c r="BI6" s="1" t="s">
        <v>71</v>
      </c>
      <c r="BJ6" s="1" t="s">
        <v>71</v>
      </c>
      <c r="BK6" s="1">
        <v>1.5E-3</v>
      </c>
      <c r="BL6" s="1">
        <f t="shared" si="1"/>
        <v>0.15</v>
      </c>
      <c r="BM6" s="1">
        <v>0.3</v>
      </c>
      <c r="BN6" s="1">
        <v>5.0000000000000001E-3</v>
      </c>
      <c r="BO6" s="1">
        <v>1</v>
      </c>
      <c r="BP6" s="1">
        <v>0</v>
      </c>
      <c r="BQ6" s="1" t="s">
        <v>71</v>
      </c>
      <c r="BR6" s="1" t="s">
        <v>71</v>
      </c>
      <c r="BS6" s="1" t="s">
        <v>71</v>
      </c>
      <c r="BT6" s="1" t="s">
        <v>71</v>
      </c>
      <c r="BU6" s="1">
        <v>6</v>
      </c>
      <c r="BV6" s="1" t="s">
        <v>71</v>
      </c>
      <c r="BW6" s="1" t="s">
        <v>71</v>
      </c>
      <c r="BX6" s="1" t="s">
        <v>71</v>
      </c>
      <c r="BY6" s="1">
        <v>27.1</v>
      </c>
      <c r="BZ6" s="3">
        <v>3.7</v>
      </c>
      <c r="CA6" s="3" t="s">
        <v>71</v>
      </c>
      <c r="CB6" s="3">
        <f t="shared" si="2"/>
        <v>5.1388888888888893</v>
      </c>
      <c r="CC6" s="3" t="s">
        <v>71</v>
      </c>
      <c r="CD6" s="1">
        <v>1</v>
      </c>
      <c r="CE6" s="1">
        <v>1</v>
      </c>
      <c r="CF6" s="1">
        <f t="shared" si="3"/>
        <v>1</v>
      </c>
      <c r="CG6" s="3" t="s">
        <v>71</v>
      </c>
      <c r="CH6" s="3" t="s">
        <v>71</v>
      </c>
      <c r="CI6" s="3" t="s">
        <v>71</v>
      </c>
      <c r="CJ6" s="3" t="s">
        <v>71</v>
      </c>
      <c r="CK6" s="3" t="s">
        <v>71</v>
      </c>
      <c r="CL6" s="3" t="s">
        <v>71</v>
      </c>
      <c r="CM6" s="3" t="s">
        <v>71</v>
      </c>
      <c r="CN6" s="3" t="s">
        <v>71</v>
      </c>
      <c r="CO6" s="1">
        <v>46</v>
      </c>
      <c r="CP6" s="1" t="s">
        <v>71</v>
      </c>
      <c r="CQ6" s="1">
        <v>34.700000000000003</v>
      </c>
      <c r="CR6" s="1" t="s">
        <v>71</v>
      </c>
      <c r="CS6" s="1" t="s">
        <v>71</v>
      </c>
      <c r="CT6" s="1">
        <v>10.9</v>
      </c>
      <c r="CU6" s="1" t="s">
        <v>71</v>
      </c>
      <c r="CV6" s="1" t="s">
        <v>71</v>
      </c>
      <c r="CW6">
        <v>16.78</v>
      </c>
      <c r="CX6" s="1" t="s">
        <v>71</v>
      </c>
      <c r="CY6" s="1">
        <v>10.8</v>
      </c>
      <c r="CZ6" s="1" t="s">
        <v>71</v>
      </c>
      <c r="DA6">
        <f t="shared" si="0"/>
        <v>555</v>
      </c>
      <c r="DB6" s="1" t="s">
        <v>71</v>
      </c>
      <c r="DC6" s="26">
        <v>10.8</v>
      </c>
      <c r="DD6">
        <f t="shared" si="4"/>
        <v>555</v>
      </c>
      <c r="DE6" s="1" t="s">
        <v>71</v>
      </c>
      <c r="DF6" s="1" t="s">
        <v>71</v>
      </c>
      <c r="DG6" s="23"/>
    </row>
    <row r="7" spans="1:111" x14ac:dyDescent="0.15">
      <c r="A7" s="1">
        <v>2022</v>
      </c>
      <c r="B7" s="1" t="s">
        <v>48</v>
      </c>
      <c r="C7" s="1">
        <v>1</v>
      </c>
      <c r="D7" s="1">
        <v>5</v>
      </c>
      <c r="E7" s="1" t="s">
        <v>51</v>
      </c>
      <c r="F7" s="1"/>
      <c r="G7" s="1" t="s">
        <v>56</v>
      </c>
      <c r="H7" s="1">
        <v>1</v>
      </c>
      <c r="I7" s="23" t="s">
        <v>51</v>
      </c>
      <c r="J7" s="1" t="s">
        <v>58</v>
      </c>
      <c r="K7" s="24">
        <v>44705</v>
      </c>
      <c r="L7" s="1" t="s">
        <v>71</v>
      </c>
      <c r="M7" s="1" t="s">
        <v>71</v>
      </c>
      <c r="N7" s="24">
        <v>44715</v>
      </c>
      <c r="O7" s="24">
        <v>44720</v>
      </c>
      <c r="P7" s="1" t="s">
        <v>71</v>
      </c>
      <c r="Q7" s="1" t="s">
        <v>71</v>
      </c>
      <c r="R7" s="1" t="s">
        <v>71</v>
      </c>
      <c r="S7" s="1" t="s">
        <v>71</v>
      </c>
      <c r="T7" s="1" t="s">
        <v>71</v>
      </c>
      <c r="U7" s="1" t="s">
        <v>71</v>
      </c>
      <c r="V7" s="1" t="s">
        <v>71</v>
      </c>
      <c r="W7" s="1" t="s">
        <v>71</v>
      </c>
      <c r="X7" s="1" t="s">
        <v>71</v>
      </c>
      <c r="Y7" s="1">
        <v>0</v>
      </c>
      <c r="Z7" s="1" t="s">
        <v>71</v>
      </c>
      <c r="AA7" s="1" t="s">
        <v>71</v>
      </c>
      <c r="AB7" s="1" t="s">
        <v>71</v>
      </c>
      <c r="AC7" s="1" t="s">
        <v>71</v>
      </c>
      <c r="AD7" s="25">
        <v>53</v>
      </c>
      <c r="AE7" s="25" t="s">
        <v>71</v>
      </c>
      <c r="AF7" s="25">
        <v>105</v>
      </c>
      <c r="AG7" s="25" t="s">
        <v>71</v>
      </c>
      <c r="AH7" s="1">
        <v>83</v>
      </c>
      <c r="AI7" s="1" t="s">
        <v>71</v>
      </c>
      <c r="AJ7" s="1">
        <v>1.7</v>
      </c>
      <c r="AK7" s="1">
        <v>0</v>
      </c>
      <c r="AL7" s="1">
        <v>0</v>
      </c>
      <c r="AM7" s="1">
        <v>0</v>
      </c>
      <c r="AN7" s="1">
        <v>0.05</v>
      </c>
      <c r="AO7" s="1">
        <v>7.0000000000000007E-2</v>
      </c>
      <c r="AP7" s="1">
        <v>3.5000000000000005E-3</v>
      </c>
      <c r="AQ7" s="1">
        <v>14</v>
      </c>
      <c r="AR7" s="1">
        <v>0</v>
      </c>
      <c r="AS7" s="1">
        <v>0</v>
      </c>
      <c r="AT7" s="1">
        <v>0</v>
      </c>
      <c r="AU7" s="1" t="s">
        <v>71</v>
      </c>
      <c r="AV7" s="1" t="s">
        <v>71</v>
      </c>
      <c r="AW7" s="1" t="s">
        <v>71</v>
      </c>
      <c r="AX7" s="1">
        <v>0</v>
      </c>
      <c r="AY7" s="1">
        <v>0</v>
      </c>
      <c r="AZ7" s="1" t="s">
        <v>71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 t="s">
        <v>71</v>
      </c>
      <c r="BI7" s="1" t="s">
        <v>71</v>
      </c>
      <c r="BJ7" s="1" t="s">
        <v>71</v>
      </c>
      <c r="BK7" s="1">
        <v>3.4999999999999996E-3</v>
      </c>
      <c r="BL7" s="1">
        <f t="shared" si="1"/>
        <v>0.35</v>
      </c>
      <c r="BM7" s="1">
        <v>0.7</v>
      </c>
      <c r="BN7" s="1">
        <v>5.0000000000000001E-3</v>
      </c>
      <c r="BO7" s="1">
        <v>1</v>
      </c>
      <c r="BP7" s="1">
        <v>0</v>
      </c>
      <c r="BQ7" s="1" t="s">
        <v>71</v>
      </c>
      <c r="BR7" s="1" t="s">
        <v>71</v>
      </c>
      <c r="BS7" s="1" t="s">
        <v>71</v>
      </c>
      <c r="BT7" s="1" t="s">
        <v>71</v>
      </c>
      <c r="BU7" s="1">
        <v>13</v>
      </c>
      <c r="BV7" s="1" t="s">
        <v>71</v>
      </c>
      <c r="BW7" s="1" t="s">
        <v>71</v>
      </c>
      <c r="BX7" s="1" t="s">
        <v>71</v>
      </c>
      <c r="BY7" s="1">
        <v>22.71</v>
      </c>
      <c r="BZ7" s="3">
        <v>4.7</v>
      </c>
      <c r="CA7" s="3" t="s">
        <v>71</v>
      </c>
      <c r="CB7" s="3">
        <f t="shared" si="2"/>
        <v>6.5277777777777786</v>
      </c>
      <c r="CC7" s="3" t="s">
        <v>71</v>
      </c>
      <c r="CD7" s="1">
        <v>1</v>
      </c>
      <c r="CE7" s="1">
        <v>1</v>
      </c>
      <c r="CF7" s="1">
        <f t="shared" si="3"/>
        <v>1</v>
      </c>
      <c r="CG7" s="3" t="s">
        <v>71</v>
      </c>
      <c r="CH7" s="3" t="s">
        <v>71</v>
      </c>
      <c r="CI7" s="3" t="s">
        <v>71</v>
      </c>
      <c r="CJ7" s="3" t="s">
        <v>71</v>
      </c>
      <c r="CK7" s="3" t="s">
        <v>71</v>
      </c>
      <c r="CL7" s="3" t="s">
        <v>71</v>
      </c>
      <c r="CM7" s="3" t="s">
        <v>71</v>
      </c>
      <c r="CN7" s="3" t="s">
        <v>71</v>
      </c>
      <c r="CO7" s="1">
        <v>47</v>
      </c>
      <c r="CP7" s="1" t="s">
        <v>71</v>
      </c>
      <c r="CQ7" s="1">
        <v>29.700000000000003</v>
      </c>
      <c r="CR7" s="1" t="s">
        <v>71</v>
      </c>
      <c r="CS7" s="1" t="s">
        <v>71</v>
      </c>
      <c r="CT7" s="1">
        <v>10.5</v>
      </c>
      <c r="CU7" s="1" t="s">
        <v>71</v>
      </c>
      <c r="CV7" s="1" t="s">
        <v>71</v>
      </c>
      <c r="CW7">
        <v>17.71</v>
      </c>
      <c r="CX7" s="1" t="s">
        <v>71</v>
      </c>
      <c r="CY7" s="1">
        <v>11.6</v>
      </c>
      <c r="CZ7" s="1" t="s">
        <v>71</v>
      </c>
      <c r="DA7">
        <f t="shared" si="0"/>
        <v>757</v>
      </c>
      <c r="DB7" s="1" t="s">
        <v>71</v>
      </c>
      <c r="DC7" s="26">
        <v>11.6</v>
      </c>
      <c r="DD7">
        <f t="shared" si="4"/>
        <v>757</v>
      </c>
      <c r="DE7" s="1" t="s">
        <v>71</v>
      </c>
      <c r="DF7" s="1" t="s">
        <v>71</v>
      </c>
      <c r="DG7" s="23"/>
    </row>
    <row r="8" spans="1:111" x14ac:dyDescent="0.15">
      <c r="A8" s="1">
        <v>2022</v>
      </c>
      <c r="B8" s="1" t="s">
        <v>48</v>
      </c>
      <c r="C8" s="1">
        <v>1</v>
      </c>
      <c r="D8" s="1">
        <v>6</v>
      </c>
      <c r="E8" s="1" t="s">
        <v>52</v>
      </c>
      <c r="F8" s="1"/>
      <c r="G8" s="1" t="s">
        <v>56</v>
      </c>
      <c r="H8" s="1">
        <v>1</v>
      </c>
      <c r="I8" s="23" t="s">
        <v>52</v>
      </c>
      <c r="J8" s="1" t="s">
        <v>58</v>
      </c>
      <c r="K8" s="24">
        <v>44705</v>
      </c>
      <c r="L8" s="1" t="s">
        <v>71</v>
      </c>
      <c r="M8" s="1" t="s">
        <v>71</v>
      </c>
      <c r="N8" s="24">
        <v>44715</v>
      </c>
      <c r="O8" s="24">
        <v>44730</v>
      </c>
      <c r="P8" s="1" t="s">
        <v>71</v>
      </c>
      <c r="Q8" s="1" t="s">
        <v>71</v>
      </c>
      <c r="R8" s="1" t="s">
        <v>71</v>
      </c>
      <c r="S8" s="1" t="s">
        <v>71</v>
      </c>
      <c r="T8" s="1" t="s">
        <v>71</v>
      </c>
      <c r="U8" s="1" t="s">
        <v>71</v>
      </c>
      <c r="V8" s="1" t="s">
        <v>71</v>
      </c>
      <c r="W8" s="1" t="s">
        <v>71</v>
      </c>
      <c r="X8" s="1" t="s">
        <v>71</v>
      </c>
      <c r="Y8" s="1">
        <v>0</v>
      </c>
      <c r="Z8" s="1" t="s">
        <v>71</v>
      </c>
      <c r="AA8" s="1" t="s">
        <v>71</v>
      </c>
      <c r="AB8" s="1" t="s">
        <v>71</v>
      </c>
      <c r="AC8" s="1" t="s">
        <v>71</v>
      </c>
      <c r="AD8" s="25">
        <v>51</v>
      </c>
      <c r="AE8" s="25" t="s">
        <v>71</v>
      </c>
      <c r="AF8" s="25">
        <v>79</v>
      </c>
      <c r="AG8" s="25" t="s">
        <v>71</v>
      </c>
      <c r="AH8" s="1">
        <v>88</v>
      </c>
      <c r="AI8" s="1" t="s">
        <v>71</v>
      </c>
      <c r="AJ8" s="1">
        <v>2</v>
      </c>
      <c r="AK8" s="1">
        <v>0</v>
      </c>
      <c r="AL8" s="1">
        <v>0</v>
      </c>
      <c r="AM8" s="1">
        <v>0</v>
      </c>
      <c r="AN8" s="1">
        <v>0.05</v>
      </c>
      <c r="AO8" s="1">
        <v>0.02</v>
      </c>
      <c r="AP8" s="1">
        <v>1E-3</v>
      </c>
      <c r="AQ8" s="1">
        <v>16</v>
      </c>
      <c r="AR8" s="1">
        <v>0</v>
      </c>
      <c r="AS8" s="1">
        <v>0</v>
      </c>
      <c r="AT8" s="1">
        <v>0</v>
      </c>
      <c r="AU8" s="1" t="s">
        <v>71</v>
      </c>
      <c r="AV8" s="1" t="s">
        <v>71</v>
      </c>
      <c r="AW8" s="1" t="s">
        <v>71</v>
      </c>
      <c r="AX8" s="1">
        <v>0</v>
      </c>
      <c r="AY8" s="1">
        <v>0</v>
      </c>
      <c r="AZ8" s="1" t="s">
        <v>71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 t="s">
        <v>71</v>
      </c>
      <c r="BI8" s="1" t="s">
        <v>71</v>
      </c>
      <c r="BJ8" s="1" t="s">
        <v>71</v>
      </c>
      <c r="BK8" s="1">
        <v>2.4000000000000002E-3</v>
      </c>
      <c r="BL8" s="1">
        <f t="shared" si="1"/>
        <v>0.24000000000000002</v>
      </c>
      <c r="BM8" s="1">
        <v>0.8</v>
      </c>
      <c r="BN8" s="1">
        <v>3.0000000000000001E-3</v>
      </c>
      <c r="BO8" s="1">
        <v>1</v>
      </c>
      <c r="BP8" s="1">
        <v>0</v>
      </c>
      <c r="BQ8" s="1" t="s">
        <v>71</v>
      </c>
      <c r="BR8" s="1" t="s">
        <v>71</v>
      </c>
      <c r="BS8" s="1" t="s">
        <v>71</v>
      </c>
      <c r="BT8" s="1" t="s">
        <v>71</v>
      </c>
      <c r="BU8" s="1">
        <v>6</v>
      </c>
      <c r="BV8" s="1" t="s">
        <v>71</v>
      </c>
      <c r="BW8" s="1" t="s">
        <v>71</v>
      </c>
      <c r="BX8" s="1" t="s">
        <v>71</v>
      </c>
      <c r="BY8" s="1">
        <v>24.72</v>
      </c>
      <c r="BZ8" s="3">
        <v>3.9</v>
      </c>
      <c r="CA8" s="3" t="s">
        <v>71</v>
      </c>
      <c r="CB8" s="3">
        <f t="shared" si="2"/>
        <v>5.4166666666666679</v>
      </c>
      <c r="CC8" s="3" t="s">
        <v>71</v>
      </c>
      <c r="CD8" s="1">
        <v>1</v>
      </c>
      <c r="CE8" s="1">
        <v>1</v>
      </c>
      <c r="CF8" s="1">
        <f t="shared" si="3"/>
        <v>1</v>
      </c>
      <c r="CG8" s="3" t="s">
        <v>71</v>
      </c>
      <c r="CH8" s="3" t="s">
        <v>71</v>
      </c>
      <c r="CI8" s="3" t="s">
        <v>71</v>
      </c>
      <c r="CJ8" s="3" t="s">
        <v>71</v>
      </c>
      <c r="CK8" s="3" t="s">
        <v>71</v>
      </c>
      <c r="CL8" s="3" t="s">
        <v>71</v>
      </c>
      <c r="CM8" s="3" t="s">
        <v>71</v>
      </c>
      <c r="CN8" s="3" t="s">
        <v>71</v>
      </c>
      <c r="CO8" s="1">
        <v>48</v>
      </c>
      <c r="CP8" s="1" t="s">
        <v>71</v>
      </c>
      <c r="CQ8" s="1">
        <v>27.599999999999998</v>
      </c>
      <c r="CR8" s="1" t="s">
        <v>71</v>
      </c>
      <c r="CS8" s="1" t="s">
        <v>71</v>
      </c>
      <c r="CT8" s="1">
        <v>10.7</v>
      </c>
      <c r="CU8" s="1" t="s">
        <v>71</v>
      </c>
      <c r="CV8" s="1" t="s">
        <v>71</v>
      </c>
      <c r="CW8">
        <v>16.84</v>
      </c>
      <c r="CX8" s="1" t="s">
        <v>71</v>
      </c>
      <c r="CY8" s="1">
        <v>11.3</v>
      </c>
      <c r="CZ8" s="1" t="s">
        <v>71</v>
      </c>
      <c r="DA8">
        <f t="shared" si="0"/>
        <v>612</v>
      </c>
      <c r="DB8" s="1" t="s">
        <v>71</v>
      </c>
      <c r="DC8" s="26">
        <v>11.3</v>
      </c>
      <c r="DD8">
        <f t="shared" si="4"/>
        <v>612</v>
      </c>
      <c r="DE8" s="1" t="s">
        <v>71</v>
      </c>
      <c r="DF8" s="1" t="s">
        <v>71</v>
      </c>
      <c r="DG8" s="23"/>
    </row>
    <row r="9" spans="1:111" x14ac:dyDescent="0.15">
      <c r="A9" s="1">
        <v>2022</v>
      </c>
      <c r="B9" s="1" t="s">
        <v>48</v>
      </c>
      <c r="C9" s="1">
        <v>1</v>
      </c>
      <c r="D9" s="1">
        <v>7</v>
      </c>
      <c r="E9" s="1"/>
      <c r="F9" s="1" t="s">
        <v>53</v>
      </c>
      <c r="G9" s="1" t="s">
        <v>56</v>
      </c>
      <c r="H9" s="1">
        <v>1</v>
      </c>
      <c r="I9" s="23" t="s">
        <v>53</v>
      </c>
      <c r="J9" s="1" t="s">
        <v>57</v>
      </c>
      <c r="K9" s="24">
        <v>44693</v>
      </c>
      <c r="L9" s="1" t="s">
        <v>71</v>
      </c>
      <c r="M9" s="1" t="s">
        <v>71</v>
      </c>
      <c r="N9" s="1" t="s">
        <v>71</v>
      </c>
      <c r="O9" s="1" t="s">
        <v>71</v>
      </c>
      <c r="P9" s="24">
        <v>44699</v>
      </c>
      <c r="Q9" s="1" t="s">
        <v>71</v>
      </c>
      <c r="R9" s="1" t="s">
        <v>71</v>
      </c>
      <c r="S9" s="1" t="s">
        <v>71</v>
      </c>
      <c r="T9" s="1" t="s">
        <v>71</v>
      </c>
      <c r="U9" s="1" t="s">
        <v>71</v>
      </c>
      <c r="V9" s="1" t="s">
        <v>71</v>
      </c>
      <c r="W9" s="1" t="s">
        <v>71</v>
      </c>
      <c r="X9" s="1">
        <v>70</v>
      </c>
      <c r="Y9" s="1" t="s">
        <v>71</v>
      </c>
      <c r="Z9" s="1" t="s">
        <v>71</v>
      </c>
      <c r="AA9" s="1" t="s">
        <v>71</v>
      </c>
      <c r="AB9" s="1" t="s">
        <v>71</v>
      </c>
      <c r="AC9" s="1" t="s">
        <v>71</v>
      </c>
      <c r="AD9" s="25" t="s">
        <v>71</v>
      </c>
      <c r="AE9" s="25">
        <v>41</v>
      </c>
      <c r="AF9" s="25" t="s">
        <v>71</v>
      </c>
      <c r="AG9" s="25">
        <v>84</v>
      </c>
      <c r="AH9" s="1" t="s">
        <v>71</v>
      </c>
      <c r="AI9" s="1">
        <v>56</v>
      </c>
      <c r="AJ9" s="1" t="s">
        <v>71</v>
      </c>
      <c r="AK9" s="1" t="s">
        <v>71</v>
      </c>
      <c r="AL9" s="1" t="s">
        <v>71</v>
      </c>
      <c r="AM9" s="1" t="s">
        <v>71</v>
      </c>
      <c r="AN9" s="1" t="s">
        <v>71</v>
      </c>
      <c r="AO9" s="1" t="s">
        <v>71</v>
      </c>
      <c r="AP9" s="1" t="s">
        <v>71</v>
      </c>
      <c r="AQ9" s="1" t="s">
        <v>71</v>
      </c>
      <c r="AR9" s="1" t="s">
        <v>71</v>
      </c>
      <c r="AS9" s="1" t="s">
        <v>71</v>
      </c>
      <c r="AT9" s="1" t="s">
        <v>71</v>
      </c>
      <c r="AU9" s="1">
        <v>0</v>
      </c>
      <c r="AV9" s="1">
        <v>0</v>
      </c>
      <c r="AW9" s="1">
        <v>0</v>
      </c>
      <c r="AX9" s="1" t="s">
        <v>71</v>
      </c>
      <c r="AY9" s="1" t="s">
        <v>71</v>
      </c>
      <c r="AZ9" s="1">
        <v>0</v>
      </c>
      <c r="BA9" s="1" t="s">
        <v>71</v>
      </c>
      <c r="BB9" s="1" t="s">
        <v>71</v>
      </c>
      <c r="BC9" s="1" t="s">
        <v>71</v>
      </c>
      <c r="BD9" s="1" t="s">
        <v>71</v>
      </c>
      <c r="BE9" s="1" t="s">
        <v>71</v>
      </c>
      <c r="BF9" s="1" t="s">
        <v>71</v>
      </c>
      <c r="BG9" s="1" t="s">
        <v>71</v>
      </c>
      <c r="BH9" s="1">
        <v>1</v>
      </c>
      <c r="BI9" s="1" t="s">
        <v>71</v>
      </c>
      <c r="BJ9" s="1" t="s">
        <v>71</v>
      </c>
      <c r="BK9" s="1">
        <v>1.7999999999999999E-2</v>
      </c>
      <c r="BL9" s="1">
        <f t="shared" si="1"/>
        <v>1.7999999999999998</v>
      </c>
      <c r="BM9" s="1">
        <v>1.2</v>
      </c>
      <c r="BN9" s="1">
        <v>1.4999999999999999E-2</v>
      </c>
      <c r="BO9" s="1">
        <v>2</v>
      </c>
      <c r="BP9" s="1">
        <v>0</v>
      </c>
      <c r="BQ9" s="1">
        <v>70</v>
      </c>
      <c r="BR9" s="1">
        <v>58</v>
      </c>
      <c r="BS9" s="1">
        <v>13</v>
      </c>
      <c r="BT9" s="1">
        <v>9</v>
      </c>
      <c r="BU9" s="1" t="s">
        <v>71</v>
      </c>
      <c r="BV9" s="1">
        <v>7</v>
      </c>
      <c r="BW9" s="1">
        <v>5</v>
      </c>
      <c r="BX9" s="1">
        <v>33.03</v>
      </c>
      <c r="BY9" s="1" t="s">
        <v>71</v>
      </c>
      <c r="BZ9" s="3" t="s">
        <v>71</v>
      </c>
      <c r="CA9" s="3">
        <v>2.2999999999999998</v>
      </c>
      <c r="CB9" s="1" t="s">
        <v>71</v>
      </c>
      <c r="CC9" s="3">
        <f>CA9/(1.5*4.8)*10</f>
        <v>3.1944444444444446</v>
      </c>
      <c r="CD9" s="1">
        <v>1</v>
      </c>
      <c r="CE9" s="1">
        <v>1</v>
      </c>
      <c r="CF9" s="1">
        <f t="shared" si="3"/>
        <v>1</v>
      </c>
      <c r="CG9" s="1" t="s">
        <v>71</v>
      </c>
      <c r="CH9" s="1" t="s">
        <v>71</v>
      </c>
      <c r="CI9" s="1" t="s">
        <v>71</v>
      </c>
      <c r="CJ9" s="1" t="s">
        <v>71</v>
      </c>
      <c r="CK9" s="3" t="s">
        <v>71</v>
      </c>
      <c r="CL9" s="3" t="s">
        <v>71</v>
      </c>
      <c r="CM9" s="3" t="s">
        <v>71</v>
      </c>
      <c r="CN9" s="3" t="s">
        <v>71</v>
      </c>
      <c r="CO9" s="1" t="s">
        <v>71</v>
      </c>
      <c r="CP9" s="1" t="s">
        <v>71</v>
      </c>
      <c r="CQ9" s="1" t="s">
        <v>71</v>
      </c>
      <c r="CR9" s="1">
        <v>136.19999999999999</v>
      </c>
      <c r="CS9" s="1">
        <v>34</v>
      </c>
      <c r="CT9" s="1" t="s">
        <v>71</v>
      </c>
      <c r="CU9" s="1">
        <v>10</v>
      </c>
      <c r="CV9">
        <v>52.79</v>
      </c>
      <c r="CW9" t="s">
        <v>71</v>
      </c>
      <c r="CX9" t="e">
        <f>ROUND(CV9*#REF!/10,1)</f>
        <v>#REF!</v>
      </c>
      <c r="CY9" s="1" t="s">
        <v>71</v>
      </c>
      <c r="CZ9" t="e">
        <f t="shared" ref="CZ9:CZ20" si="5">ROUND(CX9/100*CA9, 2)*1000</f>
        <v>#REF!</v>
      </c>
      <c r="DA9" s="1" t="s">
        <v>71</v>
      </c>
      <c r="DB9" s="1" t="s">
        <v>71</v>
      </c>
      <c r="DC9" s="26" t="s">
        <v>71</v>
      </c>
      <c r="DD9" t="e">
        <f t="shared" si="4"/>
        <v>#REF!</v>
      </c>
      <c r="DE9" s="1" t="s">
        <v>71</v>
      </c>
      <c r="DF9" s="1" t="s">
        <v>71</v>
      </c>
      <c r="DG9" s="23"/>
    </row>
    <row r="10" spans="1:111" x14ac:dyDescent="0.15">
      <c r="A10" s="1">
        <v>2022</v>
      </c>
      <c r="B10" s="1" t="s">
        <v>48</v>
      </c>
      <c r="C10" s="1">
        <v>1</v>
      </c>
      <c r="D10" s="1">
        <v>8</v>
      </c>
      <c r="E10" s="1"/>
      <c r="F10" s="1" t="s">
        <v>54</v>
      </c>
      <c r="G10" s="1" t="s">
        <v>56</v>
      </c>
      <c r="H10" s="1">
        <v>1</v>
      </c>
      <c r="I10" s="23" t="s">
        <v>54</v>
      </c>
      <c r="J10" s="1" t="s">
        <v>57</v>
      </c>
      <c r="K10" s="24">
        <v>44705</v>
      </c>
      <c r="L10" s="1" t="s">
        <v>71</v>
      </c>
      <c r="M10" s="1" t="s">
        <v>71</v>
      </c>
      <c r="N10" s="1" t="s">
        <v>71</v>
      </c>
      <c r="O10" s="1" t="s">
        <v>71</v>
      </c>
      <c r="P10" s="24">
        <v>44699</v>
      </c>
      <c r="Q10" s="1" t="s">
        <v>71</v>
      </c>
      <c r="R10" s="1" t="s">
        <v>71</v>
      </c>
      <c r="S10" s="1" t="s">
        <v>71</v>
      </c>
      <c r="T10" s="1" t="s">
        <v>71</v>
      </c>
      <c r="U10" s="1" t="s">
        <v>71</v>
      </c>
      <c r="V10" s="1" t="s">
        <v>71</v>
      </c>
      <c r="W10" s="1" t="s">
        <v>71</v>
      </c>
      <c r="X10" s="1">
        <v>100</v>
      </c>
      <c r="Y10" s="1" t="s">
        <v>71</v>
      </c>
      <c r="Z10" s="1" t="s">
        <v>71</v>
      </c>
      <c r="AA10" s="1" t="s">
        <v>71</v>
      </c>
      <c r="AB10" s="1" t="s">
        <v>71</v>
      </c>
      <c r="AC10" s="1" t="s">
        <v>71</v>
      </c>
      <c r="AD10" s="25" t="s">
        <v>71</v>
      </c>
      <c r="AE10" s="25">
        <v>33</v>
      </c>
      <c r="AF10" s="25" t="s">
        <v>71</v>
      </c>
      <c r="AG10" s="25">
        <v>84</v>
      </c>
      <c r="AH10" s="1" t="s">
        <v>71</v>
      </c>
      <c r="AI10" s="1">
        <v>30</v>
      </c>
      <c r="AJ10" s="1" t="s">
        <v>71</v>
      </c>
      <c r="AK10" s="1" t="s">
        <v>71</v>
      </c>
      <c r="AL10" s="1" t="s">
        <v>71</v>
      </c>
      <c r="AM10" s="1" t="s">
        <v>71</v>
      </c>
      <c r="AN10" s="1" t="s">
        <v>71</v>
      </c>
      <c r="AO10" s="1" t="s">
        <v>71</v>
      </c>
      <c r="AP10" s="1" t="s">
        <v>71</v>
      </c>
      <c r="AQ10" s="1" t="s">
        <v>71</v>
      </c>
      <c r="AR10" s="1" t="s">
        <v>71</v>
      </c>
      <c r="AS10" s="1" t="s">
        <v>71</v>
      </c>
      <c r="AT10" s="1" t="s">
        <v>71</v>
      </c>
      <c r="AU10" s="1">
        <v>0</v>
      </c>
      <c r="AV10" s="1">
        <v>0</v>
      </c>
      <c r="AW10" s="1">
        <v>0</v>
      </c>
      <c r="AX10" s="1" t="s">
        <v>71</v>
      </c>
      <c r="AY10" s="1" t="s">
        <v>71</v>
      </c>
      <c r="AZ10" s="1">
        <v>0</v>
      </c>
      <c r="BA10" s="1" t="s">
        <v>71</v>
      </c>
      <c r="BB10" s="1" t="s">
        <v>71</v>
      </c>
      <c r="BC10" s="1" t="s">
        <v>71</v>
      </c>
      <c r="BD10" s="1" t="s">
        <v>71</v>
      </c>
      <c r="BE10" s="1" t="s">
        <v>71</v>
      </c>
      <c r="BF10" s="1" t="s">
        <v>71</v>
      </c>
      <c r="BG10" s="1" t="s">
        <v>71</v>
      </c>
      <c r="BH10" s="1">
        <v>4</v>
      </c>
      <c r="BI10" s="1" t="s">
        <v>71</v>
      </c>
      <c r="BJ10" s="1" t="s">
        <v>71</v>
      </c>
      <c r="BK10" s="1">
        <v>0.04</v>
      </c>
      <c r="BL10" s="1">
        <f t="shared" si="1"/>
        <v>4</v>
      </c>
      <c r="BM10" s="1">
        <v>1</v>
      </c>
      <c r="BN10" s="1">
        <v>0.04</v>
      </c>
      <c r="BO10" s="1">
        <v>2</v>
      </c>
      <c r="BP10" s="1">
        <v>0</v>
      </c>
      <c r="BQ10" s="1">
        <v>82</v>
      </c>
      <c r="BR10" s="1">
        <v>13</v>
      </c>
      <c r="BS10" s="1">
        <v>11</v>
      </c>
      <c r="BT10" s="1">
        <v>7</v>
      </c>
      <c r="BU10" s="1" t="s">
        <v>71</v>
      </c>
      <c r="BV10" s="1">
        <v>6</v>
      </c>
      <c r="BW10" s="1">
        <v>7</v>
      </c>
      <c r="BX10" s="1">
        <v>10.63</v>
      </c>
      <c r="BY10" s="1" t="s">
        <v>71</v>
      </c>
      <c r="BZ10" s="3" t="s">
        <v>71</v>
      </c>
      <c r="CA10" s="3">
        <v>2.2000000000000002</v>
      </c>
      <c r="CB10" s="1" t="s">
        <v>71</v>
      </c>
      <c r="CC10" s="3">
        <f t="shared" ref="CC10:CC73" si="6">CA10/(1.5*4.8)*10</f>
        <v>3.0555555555555562</v>
      </c>
      <c r="CD10" s="1">
        <v>1</v>
      </c>
      <c r="CE10" s="1">
        <v>1</v>
      </c>
      <c r="CF10" s="1">
        <f t="shared" si="3"/>
        <v>1</v>
      </c>
      <c r="CG10" s="1" t="s">
        <v>71</v>
      </c>
      <c r="CH10" s="1" t="s">
        <v>71</v>
      </c>
      <c r="CI10" s="1" t="s">
        <v>71</v>
      </c>
      <c r="CJ10" s="1" t="s">
        <v>71</v>
      </c>
      <c r="CK10" s="3" t="s">
        <v>71</v>
      </c>
      <c r="CL10" s="3" t="s">
        <v>71</v>
      </c>
      <c r="CM10" s="3" t="s">
        <v>71</v>
      </c>
      <c r="CN10" s="3" t="s">
        <v>71</v>
      </c>
      <c r="CO10" s="1" t="s">
        <v>71</v>
      </c>
      <c r="CP10" s="1" t="s">
        <v>71</v>
      </c>
      <c r="CQ10" s="1" t="s">
        <v>71</v>
      </c>
      <c r="CR10" s="1">
        <v>132.4</v>
      </c>
      <c r="CS10" s="1">
        <v>41</v>
      </c>
      <c r="CT10" s="1" t="s">
        <v>71</v>
      </c>
      <c r="CU10" s="1">
        <v>10.1</v>
      </c>
      <c r="CV10">
        <v>63.33</v>
      </c>
      <c r="CW10" t="s">
        <v>71</v>
      </c>
      <c r="CX10" t="e">
        <f>ROUND(CV10*#REF!/10,1)</f>
        <v>#REF!</v>
      </c>
      <c r="CY10" s="1" t="s">
        <v>71</v>
      </c>
      <c r="CZ10" t="e">
        <f t="shared" si="5"/>
        <v>#REF!</v>
      </c>
      <c r="DA10" s="1" t="s">
        <v>71</v>
      </c>
      <c r="DB10" s="1" t="s">
        <v>71</v>
      </c>
      <c r="DC10" s="26" t="s">
        <v>71</v>
      </c>
      <c r="DD10" t="e">
        <f t="shared" si="4"/>
        <v>#REF!</v>
      </c>
      <c r="DE10" s="1" t="s">
        <v>71</v>
      </c>
      <c r="DF10" s="1" t="s">
        <v>71</v>
      </c>
      <c r="DG10" s="23"/>
    </row>
    <row r="11" spans="1:111" x14ac:dyDescent="0.15">
      <c r="A11" s="1">
        <v>2022</v>
      </c>
      <c r="B11" s="1" t="s">
        <v>48</v>
      </c>
      <c r="C11" s="1">
        <v>1</v>
      </c>
      <c r="D11" s="1">
        <v>9</v>
      </c>
      <c r="E11" s="1"/>
      <c r="F11" s="1" t="s">
        <v>55</v>
      </c>
      <c r="G11" s="1" t="s">
        <v>56</v>
      </c>
      <c r="H11" s="1">
        <v>1</v>
      </c>
      <c r="I11" s="23" t="s">
        <v>55</v>
      </c>
      <c r="J11" s="1" t="s">
        <v>57</v>
      </c>
      <c r="K11" s="24">
        <v>44693</v>
      </c>
      <c r="L11" s="1" t="s">
        <v>71</v>
      </c>
      <c r="M11" s="1" t="s">
        <v>71</v>
      </c>
      <c r="N11" s="1" t="s">
        <v>71</v>
      </c>
      <c r="O11" s="1" t="s">
        <v>71</v>
      </c>
      <c r="P11" s="24">
        <v>44699</v>
      </c>
      <c r="Q11" s="1" t="s">
        <v>71</v>
      </c>
      <c r="R11" s="1" t="s">
        <v>71</v>
      </c>
      <c r="S11" s="1" t="s">
        <v>71</v>
      </c>
      <c r="T11" s="1" t="s">
        <v>71</v>
      </c>
      <c r="U11" s="1" t="s">
        <v>71</v>
      </c>
      <c r="V11" s="1" t="s">
        <v>71</v>
      </c>
      <c r="W11" s="1" t="s">
        <v>71</v>
      </c>
      <c r="X11" s="1">
        <v>0</v>
      </c>
      <c r="Y11" s="1" t="s">
        <v>71</v>
      </c>
      <c r="Z11" s="1" t="s">
        <v>71</v>
      </c>
      <c r="AA11" s="1" t="s">
        <v>71</v>
      </c>
      <c r="AB11" s="1" t="s">
        <v>71</v>
      </c>
      <c r="AC11" s="1" t="s">
        <v>71</v>
      </c>
      <c r="AD11" s="25" t="s">
        <v>71</v>
      </c>
      <c r="AE11" s="25">
        <v>31</v>
      </c>
      <c r="AF11" s="25" t="s">
        <v>71</v>
      </c>
      <c r="AG11" s="25">
        <v>84</v>
      </c>
      <c r="AH11" s="1" t="s">
        <v>71</v>
      </c>
      <c r="AI11" s="1">
        <v>88</v>
      </c>
      <c r="AJ11" s="1" t="s">
        <v>71</v>
      </c>
      <c r="AK11" s="1" t="s">
        <v>71</v>
      </c>
      <c r="AL11" s="1" t="s">
        <v>71</v>
      </c>
      <c r="AM11" s="1" t="s">
        <v>71</v>
      </c>
      <c r="AN11" s="1" t="s">
        <v>71</v>
      </c>
      <c r="AO11" s="1" t="s">
        <v>71</v>
      </c>
      <c r="AP11" s="1" t="s">
        <v>71</v>
      </c>
      <c r="AQ11" s="1" t="s">
        <v>71</v>
      </c>
      <c r="AR11" s="1" t="s">
        <v>71</v>
      </c>
      <c r="AS11" s="1" t="s">
        <v>71</v>
      </c>
      <c r="AT11" s="1" t="s">
        <v>71</v>
      </c>
      <c r="AU11" s="1">
        <v>0</v>
      </c>
      <c r="AV11" s="1">
        <v>0</v>
      </c>
      <c r="AW11" s="1">
        <v>0</v>
      </c>
      <c r="AX11" s="1" t="s">
        <v>71</v>
      </c>
      <c r="AY11" s="1" t="s">
        <v>71</v>
      </c>
      <c r="AZ11" s="1">
        <v>0</v>
      </c>
      <c r="BA11" s="1" t="s">
        <v>71</v>
      </c>
      <c r="BB11" s="1" t="s">
        <v>71</v>
      </c>
      <c r="BC11" s="1" t="s">
        <v>71</v>
      </c>
      <c r="BD11" s="1" t="s">
        <v>71</v>
      </c>
      <c r="BE11" s="1" t="s">
        <v>71</v>
      </c>
      <c r="BF11" s="1" t="s">
        <v>71</v>
      </c>
      <c r="BG11" s="1" t="s">
        <v>71</v>
      </c>
      <c r="BH11" s="1">
        <v>2</v>
      </c>
      <c r="BI11" s="1" t="s">
        <v>71</v>
      </c>
      <c r="BJ11" s="1" t="s">
        <v>71</v>
      </c>
      <c r="BK11" s="1">
        <v>0.23</v>
      </c>
      <c r="BL11" s="1">
        <f t="shared" si="1"/>
        <v>23</v>
      </c>
      <c r="BM11" s="1">
        <v>1</v>
      </c>
      <c r="BN11" s="1">
        <v>0.23</v>
      </c>
      <c r="BO11" s="1">
        <v>1</v>
      </c>
      <c r="BP11" s="1">
        <v>0</v>
      </c>
      <c r="BQ11" s="1">
        <v>14</v>
      </c>
      <c r="BR11" s="1">
        <v>34</v>
      </c>
      <c r="BS11" s="1">
        <v>54</v>
      </c>
      <c r="BT11" s="1">
        <v>9</v>
      </c>
      <c r="BU11" s="1" t="s">
        <v>71</v>
      </c>
      <c r="BV11" s="1">
        <v>6</v>
      </c>
      <c r="BW11" s="1">
        <v>4</v>
      </c>
      <c r="BX11" s="1">
        <v>22.52</v>
      </c>
      <c r="BY11" s="1" t="s">
        <v>71</v>
      </c>
      <c r="BZ11" s="3" t="s">
        <v>71</v>
      </c>
      <c r="CA11" s="3">
        <v>2.8</v>
      </c>
      <c r="CB11" s="1" t="s">
        <v>71</v>
      </c>
      <c r="CC11" s="3">
        <f t="shared" si="6"/>
        <v>3.8888888888888888</v>
      </c>
      <c r="CD11" s="1">
        <v>1</v>
      </c>
      <c r="CE11" s="1">
        <v>1</v>
      </c>
      <c r="CF11" s="1">
        <f t="shared" si="3"/>
        <v>1</v>
      </c>
      <c r="CG11" s="1" t="s">
        <v>71</v>
      </c>
      <c r="CH11" s="1" t="s">
        <v>71</v>
      </c>
      <c r="CI11" s="1" t="s">
        <v>71</v>
      </c>
      <c r="CJ11" s="1" t="s">
        <v>71</v>
      </c>
      <c r="CK11" s="3" t="s">
        <v>71</v>
      </c>
      <c r="CL11" s="3" t="s">
        <v>71</v>
      </c>
      <c r="CM11" s="3" t="s">
        <v>71</v>
      </c>
      <c r="CN11" s="3" t="s">
        <v>71</v>
      </c>
      <c r="CO11" s="1" t="s">
        <v>71</v>
      </c>
      <c r="CP11" s="1" t="s">
        <v>71</v>
      </c>
      <c r="CQ11" s="1" t="s">
        <v>71</v>
      </c>
      <c r="CR11" s="1">
        <v>162.5</v>
      </c>
      <c r="CS11" s="1">
        <v>39</v>
      </c>
      <c r="CT11" s="1" t="s">
        <v>71</v>
      </c>
      <c r="CU11" s="1">
        <v>9.3000000000000007</v>
      </c>
      <c r="CV11">
        <v>54.58</v>
      </c>
      <c r="CW11" t="s">
        <v>71</v>
      </c>
      <c r="CX11" t="e">
        <f>ROUND(CV11*#REF!/10,1)</f>
        <v>#REF!</v>
      </c>
      <c r="CY11" s="1" t="s">
        <v>71</v>
      </c>
      <c r="CZ11" t="e">
        <f t="shared" si="5"/>
        <v>#REF!</v>
      </c>
      <c r="DA11" s="1" t="s">
        <v>71</v>
      </c>
      <c r="DB11" s="1" t="s">
        <v>71</v>
      </c>
      <c r="DC11" s="26" t="s">
        <v>71</v>
      </c>
      <c r="DD11" t="e">
        <f t="shared" si="4"/>
        <v>#REF!</v>
      </c>
      <c r="DE11" s="1" t="s">
        <v>71</v>
      </c>
      <c r="DF11" s="1" t="s">
        <v>71</v>
      </c>
      <c r="DG11" s="23"/>
    </row>
    <row r="12" spans="1:111" x14ac:dyDescent="0.15">
      <c r="A12" s="1">
        <v>2022</v>
      </c>
      <c r="B12" s="1" t="s">
        <v>48</v>
      </c>
      <c r="C12" s="1">
        <v>1</v>
      </c>
      <c r="D12" s="1">
        <v>10</v>
      </c>
      <c r="E12" s="1" t="s">
        <v>50</v>
      </c>
      <c r="F12" s="1" t="s">
        <v>53</v>
      </c>
      <c r="G12" s="1" t="s">
        <v>5</v>
      </c>
      <c r="H12" s="1">
        <v>1</v>
      </c>
      <c r="I12" s="23" t="s">
        <v>60</v>
      </c>
      <c r="J12" s="1" t="s">
        <v>57</v>
      </c>
      <c r="K12" s="24">
        <v>44693</v>
      </c>
      <c r="L12" s="1">
        <f>K12-K6</f>
        <v>-12</v>
      </c>
      <c r="M12" s="1">
        <f>K12-K9</f>
        <v>0</v>
      </c>
      <c r="N12" s="24">
        <v>44708</v>
      </c>
      <c r="O12" s="24">
        <v>44721</v>
      </c>
      <c r="P12" s="24">
        <v>44699</v>
      </c>
      <c r="Q12" s="1">
        <f>P12-P9</f>
        <v>0</v>
      </c>
      <c r="R12" s="1">
        <f>N12-N6</f>
        <v>-3</v>
      </c>
      <c r="S12" s="1">
        <f>O12-O6</f>
        <v>1</v>
      </c>
      <c r="T12" s="1">
        <f>AVERAGE(R12,S12)</f>
        <v>-1</v>
      </c>
      <c r="U12" s="1" t="s">
        <v>71</v>
      </c>
      <c r="V12" s="1" t="s">
        <v>71</v>
      </c>
      <c r="W12" s="1">
        <v>-2</v>
      </c>
      <c r="X12" s="1">
        <v>5</v>
      </c>
      <c r="Y12" s="1">
        <v>0</v>
      </c>
      <c r="Z12" s="1" t="s">
        <v>71</v>
      </c>
      <c r="AA12" s="1" t="s">
        <v>71</v>
      </c>
      <c r="AB12" s="1" t="s">
        <v>71</v>
      </c>
      <c r="AC12" s="1" t="s">
        <v>71</v>
      </c>
      <c r="AD12" s="25">
        <v>53</v>
      </c>
      <c r="AE12" s="25">
        <v>36</v>
      </c>
      <c r="AF12" s="25">
        <v>120</v>
      </c>
      <c r="AG12" s="25">
        <v>77</v>
      </c>
      <c r="AH12" s="1">
        <v>128</v>
      </c>
      <c r="AI12" s="1">
        <v>77</v>
      </c>
      <c r="AJ12" s="1">
        <v>3.3</v>
      </c>
      <c r="AK12" s="1">
        <v>0</v>
      </c>
      <c r="AL12" s="1">
        <v>0</v>
      </c>
      <c r="AM12" s="1">
        <v>0</v>
      </c>
      <c r="AN12" s="1">
        <v>0.04</v>
      </c>
      <c r="AO12" s="1">
        <v>0.04</v>
      </c>
      <c r="AP12" s="1">
        <v>1.6000000000000001E-3</v>
      </c>
      <c r="AQ12" s="1">
        <v>5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 t="s">
        <v>71</v>
      </c>
      <c r="BI12" s="1" t="s">
        <v>71</v>
      </c>
      <c r="BJ12" s="1" t="s">
        <v>71</v>
      </c>
      <c r="BK12" s="1">
        <v>1.6E-2</v>
      </c>
      <c r="BL12" s="1">
        <f t="shared" si="1"/>
        <v>1.6</v>
      </c>
      <c r="BM12" s="1">
        <v>0.8</v>
      </c>
      <c r="BN12" s="1">
        <v>0.02</v>
      </c>
      <c r="BO12" s="1">
        <v>1</v>
      </c>
      <c r="BP12" s="1">
        <v>0</v>
      </c>
      <c r="BQ12" s="1">
        <v>179</v>
      </c>
      <c r="BR12" s="1">
        <v>24</v>
      </c>
      <c r="BS12" s="1">
        <v>6</v>
      </c>
      <c r="BT12" s="1">
        <v>6</v>
      </c>
      <c r="BU12" s="1">
        <v>0</v>
      </c>
      <c r="BV12" s="1">
        <v>6</v>
      </c>
      <c r="BW12" s="1">
        <v>3</v>
      </c>
      <c r="BX12" s="1">
        <v>14.56</v>
      </c>
      <c r="BY12" s="1" t="s">
        <v>71</v>
      </c>
      <c r="BZ12" s="3">
        <v>0.6</v>
      </c>
      <c r="CA12" s="3">
        <v>2.1</v>
      </c>
      <c r="CB12" s="3">
        <f>BZ12/(1.5*4.8)*10</f>
        <v>0.83333333333333348</v>
      </c>
      <c r="CC12" s="3">
        <f t="shared" si="6"/>
        <v>2.916666666666667</v>
      </c>
      <c r="CD12" s="1">
        <f>ROUND(CB12/CB3+CC12/CC9,2)</f>
        <v>1.1000000000000001</v>
      </c>
      <c r="CE12" s="1">
        <f>ROUND(CB12/CB6+CC12/CC9,2)</f>
        <v>1.08</v>
      </c>
      <c r="CF12" s="1">
        <f t="shared" si="3"/>
        <v>1.08</v>
      </c>
      <c r="CG12" s="1">
        <f>ROUND(CB12/CB3,2)</f>
        <v>0.19</v>
      </c>
      <c r="CH12" s="1">
        <f>ROUND(CB12/CB6,2)</f>
        <v>0.16</v>
      </c>
      <c r="CI12" s="1">
        <f>ROUND(CC12/CC9,2)</f>
        <v>0.91</v>
      </c>
      <c r="CJ12" s="1">
        <f>ROUND((CC12+CB12)/MAX(CC9,CB6),2)</f>
        <v>0.73</v>
      </c>
      <c r="CK12" s="1">
        <f>ROUND(LN((0.9*BZ12)/(0.1*CA12))/(BZ3/CA9),2)</f>
        <v>0.68</v>
      </c>
      <c r="CL12" s="1">
        <f>ROUND(LN((0.9*BZ12)/(0.1*CA12))/(BZ6/CA9),2)</f>
        <v>0.59</v>
      </c>
      <c r="CM12" s="1">
        <f>ROUND(LN((0.1*CA12)/(0.9*BZ12))/(CA9/BZ3),2)</f>
        <v>-1.31</v>
      </c>
      <c r="CN12" s="1">
        <f>ROUND(LN((0.1*CA12)/(0.9*BZ12))/(CA9/BZ6),2)</f>
        <v>-1.52</v>
      </c>
      <c r="CO12" s="1">
        <v>47</v>
      </c>
      <c r="CP12" s="1" t="s">
        <v>71</v>
      </c>
      <c r="CQ12" s="1">
        <v>39.5</v>
      </c>
      <c r="CR12" s="1">
        <v>137.4</v>
      </c>
      <c r="CS12" s="1">
        <v>34</v>
      </c>
      <c r="CT12" s="1">
        <v>10.6</v>
      </c>
      <c r="CU12" s="1">
        <v>10.199999999999999</v>
      </c>
      <c r="CV12">
        <v>54.13</v>
      </c>
      <c r="CW12">
        <v>22.29</v>
      </c>
      <c r="CX12" t="e">
        <f>ROUND(CV12*#REF!/10,1)</f>
        <v>#REF!</v>
      </c>
      <c r="CY12" s="1">
        <v>13.8</v>
      </c>
      <c r="CZ12" t="e">
        <f t="shared" si="5"/>
        <v>#REF!</v>
      </c>
      <c r="DA12">
        <f t="shared" ref="DA12:DA17" si="7">ROUND((CY12*CB12*10),0)</f>
        <v>115</v>
      </c>
      <c r="DB12" t="e">
        <f>(CZ12+DA12)/MAX(DA6,CZ9)</f>
        <v>#REF!</v>
      </c>
      <c r="DC12" s="26">
        <v>13.8</v>
      </c>
      <c r="DD12" t="e">
        <f t="shared" si="4"/>
        <v>#REF!</v>
      </c>
      <c r="DE12" t="e">
        <f>ROUND(MAX((DB12-DF12), 0), 2)</f>
        <v>#REF!</v>
      </c>
      <c r="DF12" t="e">
        <f>ROUND(CZ12/MAX(DA6,CZ9), 2)</f>
        <v>#REF!</v>
      </c>
      <c r="DG12" s="23"/>
    </row>
    <row r="13" spans="1:111" x14ac:dyDescent="0.15">
      <c r="A13" s="1">
        <v>2022</v>
      </c>
      <c r="B13" s="1" t="s">
        <v>48</v>
      </c>
      <c r="C13" s="1">
        <v>1</v>
      </c>
      <c r="D13" s="1">
        <v>11</v>
      </c>
      <c r="E13" s="1" t="s">
        <v>50</v>
      </c>
      <c r="F13" s="1" t="s">
        <v>54</v>
      </c>
      <c r="G13" s="1" t="s">
        <v>5</v>
      </c>
      <c r="H13" s="1">
        <v>1</v>
      </c>
      <c r="I13" s="23" t="s">
        <v>61</v>
      </c>
      <c r="J13" s="1" t="s">
        <v>57</v>
      </c>
      <c r="K13" s="24">
        <v>44705</v>
      </c>
      <c r="L13" s="1">
        <f>K13-K6</f>
        <v>0</v>
      </c>
      <c r="M13" s="1">
        <f>K13-K10</f>
        <v>0</v>
      </c>
      <c r="N13" s="24">
        <v>44712</v>
      </c>
      <c r="O13" s="24">
        <v>44721</v>
      </c>
      <c r="P13" s="24">
        <v>44699</v>
      </c>
      <c r="Q13" s="1">
        <f>P13-P10</f>
        <v>0</v>
      </c>
      <c r="R13" s="1">
        <f>N13-N6</f>
        <v>1</v>
      </c>
      <c r="S13" s="1">
        <f>O13-O6</f>
        <v>1</v>
      </c>
      <c r="T13" s="1">
        <f t="shared" ref="T13:T20" si="8">AVERAGE(R13,S13)</f>
        <v>1</v>
      </c>
      <c r="U13" s="1" t="s">
        <v>71</v>
      </c>
      <c r="V13" s="1" t="s">
        <v>71</v>
      </c>
      <c r="W13" s="1">
        <v>-2</v>
      </c>
      <c r="X13" s="1">
        <v>30</v>
      </c>
      <c r="Y13" s="1">
        <v>0</v>
      </c>
      <c r="Z13" s="1" t="s">
        <v>71</v>
      </c>
      <c r="AA13" s="1" t="s">
        <v>71</v>
      </c>
      <c r="AB13" s="1" t="s">
        <v>71</v>
      </c>
      <c r="AC13" s="1" t="s">
        <v>71</v>
      </c>
      <c r="AD13" s="25">
        <v>48</v>
      </c>
      <c r="AE13" s="25">
        <v>33</v>
      </c>
      <c r="AF13" s="25">
        <v>118</v>
      </c>
      <c r="AG13" s="25">
        <v>76</v>
      </c>
      <c r="AH13" s="1">
        <v>111</v>
      </c>
      <c r="AI13" s="1">
        <v>56</v>
      </c>
      <c r="AJ13" s="1">
        <v>2</v>
      </c>
      <c r="AK13" s="1">
        <v>0</v>
      </c>
      <c r="AL13" s="1">
        <v>0</v>
      </c>
      <c r="AM13" s="1">
        <v>0</v>
      </c>
      <c r="AN13" s="1">
        <v>0.03</v>
      </c>
      <c r="AO13" s="1">
        <v>0.1</v>
      </c>
      <c r="AP13" s="1">
        <v>3.0000000000000001E-3</v>
      </c>
      <c r="AQ13" s="1">
        <v>3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1</v>
      </c>
      <c r="BI13" s="1" t="s">
        <v>71</v>
      </c>
      <c r="BJ13" s="1" t="s">
        <v>71</v>
      </c>
      <c r="BK13" s="1">
        <v>1.6E-2</v>
      </c>
      <c r="BL13" s="1">
        <f t="shared" si="1"/>
        <v>1.6</v>
      </c>
      <c r="BM13" s="1">
        <v>0.8</v>
      </c>
      <c r="BN13" s="1">
        <v>0.02</v>
      </c>
      <c r="BO13" s="1">
        <v>1</v>
      </c>
      <c r="BP13" s="1">
        <v>0</v>
      </c>
      <c r="BQ13" s="1">
        <v>133</v>
      </c>
      <c r="BR13" s="1">
        <v>21</v>
      </c>
      <c r="BS13" s="1">
        <v>5</v>
      </c>
      <c r="BT13" s="1">
        <v>8</v>
      </c>
      <c r="BU13" s="1">
        <v>2</v>
      </c>
      <c r="BV13" s="1">
        <v>7</v>
      </c>
      <c r="BW13" s="1">
        <v>7</v>
      </c>
      <c r="BX13" s="1">
        <v>7.91</v>
      </c>
      <c r="BY13" s="1">
        <v>7.37</v>
      </c>
      <c r="BZ13" s="3">
        <v>0.6</v>
      </c>
      <c r="CA13" s="3">
        <v>2.2999999999999998</v>
      </c>
      <c r="CB13" s="3">
        <f t="shared" ref="CB13:CB67" si="9">BZ13/(1.5*4.8)*10</f>
        <v>0.83333333333333348</v>
      </c>
      <c r="CC13" s="3">
        <f t="shared" si="6"/>
        <v>3.1944444444444446</v>
      </c>
      <c r="CD13" s="1">
        <f>ROUND(CB13/CB3+CC13/CC10,2)</f>
        <v>1.23</v>
      </c>
      <c r="CE13" s="1">
        <f>ROUND(CB13/CB6+CC13/CC10,2)</f>
        <v>1.21</v>
      </c>
      <c r="CF13" s="1">
        <f t="shared" si="3"/>
        <v>1.21</v>
      </c>
      <c r="CG13" s="1">
        <f>ROUND(CB13/CB3,2)</f>
        <v>0.19</v>
      </c>
      <c r="CH13" s="1">
        <f>ROUND(CB13/CB6,2)</f>
        <v>0.16</v>
      </c>
      <c r="CI13" s="1">
        <f>ROUND(CC13/CC10,2)</f>
        <v>1.05</v>
      </c>
      <c r="CJ13" s="1">
        <f>ROUND((CC13+CB13)/MAX(CC10,CB6),2)</f>
        <v>0.78</v>
      </c>
      <c r="CK13" s="1">
        <f>ROUND(LN((0.9*BZ13)/(0.1*CA13))/(BZ3/CA10),2)</f>
        <v>0.59</v>
      </c>
      <c r="CL13" s="1">
        <f>ROUND(LN((0.9*BZ13)/(0.1*CA13))/(BZ6/CA10),2)</f>
        <v>0.51</v>
      </c>
      <c r="CM13" s="1">
        <f>ROUND(LN((0.1*CA13)/(0.9*BZ13))/(CA10/BZ3),2)</f>
        <v>-1.24</v>
      </c>
      <c r="CN13" s="1">
        <f>ROUND(LN((0.1*CA13)/(0.9*BZ13))/(CA10/BZ6),2)</f>
        <v>-1.44</v>
      </c>
      <c r="CO13" s="1">
        <v>44</v>
      </c>
      <c r="CP13" s="1" t="s">
        <v>71</v>
      </c>
      <c r="CQ13" s="1">
        <v>35.049999999999997</v>
      </c>
      <c r="CR13" s="1">
        <v>133.4</v>
      </c>
      <c r="CS13" s="1">
        <v>39</v>
      </c>
      <c r="CT13" s="1">
        <v>10.5</v>
      </c>
      <c r="CU13" s="1">
        <v>10</v>
      </c>
      <c r="CV13">
        <v>63.99</v>
      </c>
      <c r="CW13">
        <v>22.06</v>
      </c>
      <c r="CX13" t="e">
        <f>ROUND(CV13*#REF!/10,1)</f>
        <v>#REF!</v>
      </c>
      <c r="CY13" s="1">
        <v>13.2</v>
      </c>
      <c r="CZ13" t="e">
        <f t="shared" si="5"/>
        <v>#REF!</v>
      </c>
      <c r="DA13">
        <f t="shared" si="7"/>
        <v>110</v>
      </c>
      <c r="DB13" t="e">
        <f>(CZ13+DA13)/MAX(DA6,CZ10)</f>
        <v>#REF!</v>
      </c>
      <c r="DC13" s="26">
        <v>13.2</v>
      </c>
      <c r="DD13" t="e">
        <f>SUM(CZ13,DA13)</f>
        <v>#REF!</v>
      </c>
      <c r="DE13" t="e">
        <f t="shared" ref="DE13:DE20" si="10">ROUND(MAX((DB13-DF13), 0), 2)</f>
        <v>#REF!</v>
      </c>
      <c r="DF13" t="e">
        <f>ROUND(CZ13/MAX(DA6,CZ10), 2)</f>
        <v>#REF!</v>
      </c>
      <c r="DG13" s="23"/>
    </row>
    <row r="14" spans="1:111" x14ac:dyDescent="0.15">
      <c r="A14" s="1">
        <v>2022</v>
      </c>
      <c r="B14" s="1" t="s">
        <v>48</v>
      </c>
      <c r="C14" s="1">
        <v>1</v>
      </c>
      <c r="D14" s="1">
        <v>12</v>
      </c>
      <c r="E14" s="1" t="s">
        <v>50</v>
      </c>
      <c r="F14" s="1" t="s">
        <v>55</v>
      </c>
      <c r="G14" s="1" t="s">
        <v>5</v>
      </c>
      <c r="H14" s="1">
        <v>1</v>
      </c>
      <c r="I14" s="23" t="s">
        <v>62</v>
      </c>
      <c r="J14" s="1" t="s">
        <v>57</v>
      </c>
      <c r="K14" s="24">
        <v>44693</v>
      </c>
      <c r="L14" s="1">
        <f>K14-K6</f>
        <v>-12</v>
      </c>
      <c r="M14" s="1">
        <f>K14-K11</f>
        <v>0</v>
      </c>
      <c r="N14" s="24">
        <v>44712</v>
      </c>
      <c r="O14" s="24">
        <v>44720</v>
      </c>
      <c r="P14" s="24">
        <v>44696</v>
      </c>
      <c r="Q14" s="1">
        <f>P14-P11</f>
        <v>-3</v>
      </c>
      <c r="R14" s="1">
        <f>N14-N6</f>
        <v>1</v>
      </c>
      <c r="S14" s="1">
        <f>O14-O6</f>
        <v>0</v>
      </c>
      <c r="T14" s="1">
        <f t="shared" si="8"/>
        <v>0.5</v>
      </c>
      <c r="U14" s="1" t="s">
        <v>71</v>
      </c>
      <c r="V14" s="1" t="s">
        <v>71</v>
      </c>
      <c r="W14" s="1">
        <v>-2</v>
      </c>
      <c r="X14" s="1" t="s">
        <v>71</v>
      </c>
      <c r="Y14" s="1">
        <v>0</v>
      </c>
      <c r="Z14" s="1" t="s">
        <v>71</v>
      </c>
      <c r="AA14" s="1" t="s">
        <v>71</v>
      </c>
      <c r="AB14" s="1" t="s">
        <v>71</v>
      </c>
      <c r="AC14" s="1" t="s">
        <v>71</v>
      </c>
      <c r="AD14" s="25">
        <v>53</v>
      </c>
      <c r="AE14" s="25">
        <v>44</v>
      </c>
      <c r="AF14" s="25">
        <v>113</v>
      </c>
      <c r="AG14" s="25">
        <v>76</v>
      </c>
      <c r="AH14" s="1">
        <v>132</v>
      </c>
      <c r="AI14" s="1">
        <v>81</v>
      </c>
      <c r="AJ14" s="1">
        <v>1.3</v>
      </c>
      <c r="AK14" s="1">
        <v>0</v>
      </c>
      <c r="AL14" s="1">
        <v>0</v>
      </c>
      <c r="AM14" s="1">
        <v>0</v>
      </c>
      <c r="AN14" s="1">
        <v>0.02</v>
      </c>
      <c r="AO14" s="1">
        <v>0.05</v>
      </c>
      <c r="AP14" s="1">
        <v>1E-3</v>
      </c>
      <c r="AQ14" s="1">
        <v>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 t="s">
        <v>71</v>
      </c>
      <c r="BI14" s="1" t="s">
        <v>71</v>
      </c>
      <c r="BJ14" s="1" t="s">
        <v>71</v>
      </c>
      <c r="BK14" s="1">
        <v>1.1999999999999999E-3</v>
      </c>
      <c r="BL14" s="1">
        <f t="shared" si="1"/>
        <v>0.12</v>
      </c>
      <c r="BM14" s="1">
        <v>0.6</v>
      </c>
      <c r="BN14" s="1">
        <v>2E-3</v>
      </c>
      <c r="BO14" s="1">
        <v>1</v>
      </c>
      <c r="BP14" s="1">
        <v>0</v>
      </c>
      <c r="BQ14" s="1">
        <v>26</v>
      </c>
      <c r="BR14" s="1">
        <v>27</v>
      </c>
      <c r="BS14" s="1">
        <v>0</v>
      </c>
      <c r="BT14" s="1">
        <v>6</v>
      </c>
      <c r="BU14" s="1">
        <v>4</v>
      </c>
      <c r="BV14" s="1">
        <v>7</v>
      </c>
      <c r="BW14" s="1">
        <v>3</v>
      </c>
      <c r="BX14" s="1">
        <v>9.0299999999999994</v>
      </c>
      <c r="BY14" s="1">
        <v>11.55</v>
      </c>
      <c r="BZ14" s="3">
        <v>0.7</v>
      </c>
      <c r="CA14" s="3">
        <v>2.2999999999999998</v>
      </c>
      <c r="CB14" s="3">
        <f t="shared" si="9"/>
        <v>0.97222222222222221</v>
      </c>
      <c r="CC14" s="3">
        <f t="shared" si="6"/>
        <v>3.1944444444444446</v>
      </c>
      <c r="CD14" s="1">
        <f>ROUND(CB14/CB3+CC14/CC11,2)</f>
        <v>1.04</v>
      </c>
      <c r="CE14" s="1">
        <f>ROUND(CB14/CB6+CC14/CC11,2)</f>
        <v>1.01</v>
      </c>
      <c r="CF14" s="1">
        <f t="shared" si="3"/>
        <v>1.01</v>
      </c>
      <c r="CG14" s="1">
        <f>ROUND(CB14/CB3,2)</f>
        <v>0.22</v>
      </c>
      <c r="CH14" s="1">
        <f>ROUND(CB14/CB6,2)</f>
        <v>0.19</v>
      </c>
      <c r="CI14" s="1">
        <f>ROUND(CC14/CC11,2)</f>
        <v>0.82</v>
      </c>
      <c r="CJ14" s="1">
        <f>ROUND((CC14+CB14)/MAX(CC11,CB6),2)</f>
        <v>0.81</v>
      </c>
      <c r="CK14" s="1">
        <f>ROUND(LN((0.9*BZ14)/(0.1*CA14))/(BZ3/CA11),2)</f>
        <v>0.88</v>
      </c>
      <c r="CL14" s="1">
        <f>ROUND(LN((0.9*BZ14)/(0.1*CA14))/(BZ6/CA11),2)</f>
        <v>0.76</v>
      </c>
      <c r="CM14" s="1">
        <f>ROUND(LN((0.1*CA14)/(0.9*BZ14))/(CA11/BZ3),2)</f>
        <v>-1.1499999999999999</v>
      </c>
      <c r="CN14" s="1">
        <f>ROUND(LN((0.1*CA14)/(0.9*BZ14))/(CA11/BZ6),2)</f>
        <v>-1.33</v>
      </c>
      <c r="CO14" s="1">
        <v>42</v>
      </c>
      <c r="CP14" s="1" t="s">
        <v>71</v>
      </c>
      <c r="CQ14" s="1">
        <v>40.450000000000003</v>
      </c>
      <c r="CR14" s="1">
        <v>164.7</v>
      </c>
      <c r="CS14" s="1">
        <v>39</v>
      </c>
      <c r="CT14" s="1">
        <v>10.199999999999999</v>
      </c>
      <c r="CU14" s="1">
        <v>9.6999999999999993</v>
      </c>
      <c r="CV14">
        <v>58.72</v>
      </c>
      <c r="CW14">
        <v>22.23</v>
      </c>
      <c r="CX14" t="e">
        <f>ROUND(CV14*#REF!/10,1)</f>
        <v>#REF!</v>
      </c>
      <c r="CY14" s="1">
        <v>13.4</v>
      </c>
      <c r="CZ14" t="e">
        <f t="shared" si="5"/>
        <v>#REF!</v>
      </c>
      <c r="DA14">
        <f t="shared" si="7"/>
        <v>130</v>
      </c>
      <c r="DB14" t="e">
        <f>(CZ14+DA14)/MAX(DA6,CZ11)</f>
        <v>#REF!</v>
      </c>
      <c r="DC14" s="26">
        <v>13.4</v>
      </c>
      <c r="DD14" t="e">
        <f t="shared" si="4"/>
        <v>#REF!</v>
      </c>
      <c r="DE14" t="e">
        <f t="shared" si="10"/>
        <v>#REF!</v>
      </c>
      <c r="DF14" t="e">
        <f>ROUND(CZ14/MAX(DA6,CZ11), 2)</f>
        <v>#REF!</v>
      </c>
      <c r="DG14" s="23"/>
    </row>
    <row r="15" spans="1:111" x14ac:dyDescent="0.15">
      <c r="A15" s="1">
        <v>2022</v>
      </c>
      <c r="B15" s="1" t="s">
        <v>48</v>
      </c>
      <c r="C15" s="1">
        <v>1</v>
      </c>
      <c r="D15" s="1">
        <v>13</v>
      </c>
      <c r="E15" s="1" t="s">
        <v>51</v>
      </c>
      <c r="F15" s="1" t="s">
        <v>53</v>
      </c>
      <c r="G15" s="1" t="s">
        <v>5</v>
      </c>
      <c r="H15" s="1">
        <v>1</v>
      </c>
      <c r="I15" s="23" t="s">
        <v>63</v>
      </c>
      <c r="J15" s="1" t="s">
        <v>57</v>
      </c>
      <c r="K15" s="24">
        <v>44693</v>
      </c>
      <c r="L15" s="1">
        <f>K15-K7</f>
        <v>-12</v>
      </c>
      <c r="M15" s="1">
        <f>K15-K9</f>
        <v>0</v>
      </c>
      <c r="N15" s="24">
        <v>44716</v>
      </c>
      <c r="O15" s="24">
        <v>44724</v>
      </c>
      <c r="P15" s="24">
        <v>44696</v>
      </c>
      <c r="Q15" s="1">
        <f>P15-P9</f>
        <v>-3</v>
      </c>
      <c r="R15" s="1">
        <f>N15-N7</f>
        <v>1</v>
      </c>
      <c r="S15" s="1">
        <f>O15-O7</f>
        <v>4</v>
      </c>
      <c r="T15" s="1">
        <f t="shared" si="8"/>
        <v>2.5</v>
      </c>
      <c r="U15" s="1" t="s">
        <v>71</v>
      </c>
      <c r="V15" s="1" t="s">
        <v>71</v>
      </c>
      <c r="W15" s="1">
        <v>-2</v>
      </c>
      <c r="X15" s="1">
        <v>15</v>
      </c>
      <c r="Y15" s="1">
        <v>0</v>
      </c>
      <c r="Z15" s="1" t="s">
        <v>71</v>
      </c>
      <c r="AA15" s="1" t="s">
        <v>71</v>
      </c>
      <c r="AB15" s="1" t="s">
        <v>71</v>
      </c>
      <c r="AC15" s="1" t="s">
        <v>71</v>
      </c>
      <c r="AD15" s="25">
        <v>46</v>
      </c>
      <c r="AE15" s="25">
        <v>41</v>
      </c>
      <c r="AF15" s="25">
        <v>105</v>
      </c>
      <c r="AG15" s="25">
        <v>77</v>
      </c>
      <c r="AH15" s="1">
        <v>126</v>
      </c>
      <c r="AI15" s="1">
        <v>78</v>
      </c>
      <c r="AJ15" s="1">
        <v>2.7</v>
      </c>
      <c r="AK15" s="1">
        <v>0</v>
      </c>
      <c r="AL15" s="1">
        <v>0</v>
      </c>
      <c r="AM15" s="1">
        <v>0</v>
      </c>
      <c r="AN15" s="1">
        <v>0.01</v>
      </c>
      <c r="AO15" s="1">
        <v>0.02</v>
      </c>
      <c r="AP15" s="1">
        <v>2.0000000000000001E-4</v>
      </c>
      <c r="AQ15" s="1">
        <v>5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1</v>
      </c>
      <c r="BI15" s="1" t="s">
        <v>71</v>
      </c>
      <c r="BJ15" s="1" t="s">
        <v>71</v>
      </c>
      <c r="BK15" s="1">
        <v>2.8E-3</v>
      </c>
      <c r="BL15" s="1">
        <f t="shared" si="1"/>
        <v>0.27999999999999997</v>
      </c>
      <c r="BM15" s="1">
        <v>0.7</v>
      </c>
      <c r="BN15" s="1">
        <v>4.0000000000000001E-3</v>
      </c>
      <c r="BO15" s="1">
        <v>1</v>
      </c>
      <c r="BP15" s="1">
        <v>0</v>
      </c>
      <c r="BQ15" s="1">
        <v>45</v>
      </c>
      <c r="BR15" s="1">
        <v>32</v>
      </c>
      <c r="BS15" s="1">
        <v>14</v>
      </c>
      <c r="BT15" s="1">
        <v>6</v>
      </c>
      <c r="BU15" s="1">
        <v>1</v>
      </c>
      <c r="BV15" s="1">
        <v>6</v>
      </c>
      <c r="BW15" s="1">
        <v>5</v>
      </c>
      <c r="BX15" s="1">
        <v>12.93</v>
      </c>
      <c r="BY15" s="1">
        <v>3.86</v>
      </c>
      <c r="BZ15" s="3">
        <v>1.1000000000000001</v>
      </c>
      <c r="CA15" s="3">
        <v>2.2999999999999998</v>
      </c>
      <c r="CB15" s="3">
        <f t="shared" si="9"/>
        <v>1.5277777777777781</v>
      </c>
      <c r="CC15" s="3">
        <f t="shared" si="6"/>
        <v>3.1944444444444446</v>
      </c>
      <c r="CD15" s="1">
        <f>ROUND(CB15/CB4+CC15/CC9,2)</f>
        <v>1.28</v>
      </c>
      <c r="CE15" s="1">
        <f>ROUND(CB15/CB7+CC15/CC9,2)</f>
        <v>1.23</v>
      </c>
      <c r="CF15" s="1">
        <f t="shared" si="3"/>
        <v>1.23</v>
      </c>
      <c r="CG15" s="1">
        <f>ROUND(CB15/CB4,2)</f>
        <v>0.28000000000000003</v>
      </c>
      <c r="CH15" s="1">
        <f>ROUND(CB15/CB7,2)</f>
        <v>0.23</v>
      </c>
      <c r="CI15" s="1">
        <f>ROUND(CC15/CC9,2)</f>
        <v>1</v>
      </c>
      <c r="CJ15" s="1">
        <f>ROUND((CC15+CB15)/MAX(CC9,CB7),2)</f>
        <v>0.72</v>
      </c>
      <c r="CK15" s="1">
        <f>ROUND(LN((0.9*BZ15)/(0.1*CA15))/(BZ4/CA9),2)</f>
        <v>0.86</v>
      </c>
      <c r="CL15" s="1">
        <f>ROUND(LN((0.9*BZ15)/(0.1*CA15))/(BZ7/CA9),2)</f>
        <v>0.71</v>
      </c>
      <c r="CM15" s="1">
        <f>ROUND(LN((0.1*CA15)/(0.9*BZ15))/(CA9/BZ4),2)</f>
        <v>-2.48</v>
      </c>
      <c r="CN15" s="1">
        <f>ROUND(LN((0.1*CA15)/(0.9*BZ15))/(CA9/BZ7),2)</f>
        <v>-2.98</v>
      </c>
      <c r="CO15" s="1">
        <v>51</v>
      </c>
      <c r="CP15" s="1" t="s">
        <v>71</v>
      </c>
      <c r="CQ15" s="1">
        <v>34.6</v>
      </c>
      <c r="CR15" s="1">
        <v>146.64999999999998</v>
      </c>
      <c r="CS15" s="1">
        <v>32</v>
      </c>
      <c r="CT15" s="1">
        <v>11</v>
      </c>
      <c r="CU15" s="1">
        <v>10</v>
      </c>
      <c r="CV15">
        <v>51.48</v>
      </c>
      <c r="CW15">
        <v>20.29</v>
      </c>
      <c r="CX15" t="e">
        <f>ROUND(CV15*#REF!/10,1)</f>
        <v>#REF!</v>
      </c>
      <c r="CY15" s="1">
        <v>12.5</v>
      </c>
      <c r="CZ15" t="e">
        <f t="shared" si="5"/>
        <v>#REF!</v>
      </c>
      <c r="DA15">
        <f t="shared" si="7"/>
        <v>191</v>
      </c>
      <c r="DB15" t="e">
        <f>(CZ15+DA15)/MAX(DA7,CZ9)</f>
        <v>#REF!</v>
      </c>
      <c r="DC15" s="26">
        <v>12.5</v>
      </c>
      <c r="DD15" t="e">
        <f t="shared" si="4"/>
        <v>#REF!</v>
      </c>
      <c r="DE15" t="e">
        <f t="shared" si="10"/>
        <v>#REF!</v>
      </c>
      <c r="DF15" t="e">
        <f>ROUND(CZ15/MAX(DA7,CZ9), 2)</f>
        <v>#REF!</v>
      </c>
      <c r="DG15" s="23"/>
    </row>
    <row r="16" spans="1:111" x14ac:dyDescent="0.15">
      <c r="A16" s="1">
        <v>2022</v>
      </c>
      <c r="B16" s="1" t="s">
        <v>48</v>
      </c>
      <c r="C16" s="1">
        <v>1</v>
      </c>
      <c r="D16" s="1">
        <v>14</v>
      </c>
      <c r="E16" s="1" t="s">
        <v>51</v>
      </c>
      <c r="F16" s="1" t="s">
        <v>54</v>
      </c>
      <c r="G16" s="1" t="s">
        <v>5</v>
      </c>
      <c r="H16" s="1">
        <v>1</v>
      </c>
      <c r="I16" s="23" t="s">
        <v>64</v>
      </c>
      <c r="J16" s="1" t="s">
        <v>57</v>
      </c>
      <c r="K16" s="24">
        <v>44693</v>
      </c>
      <c r="L16" s="1">
        <f>K16-K7</f>
        <v>-12</v>
      </c>
      <c r="M16" s="1">
        <f>K16-K10</f>
        <v>-12</v>
      </c>
      <c r="N16" s="24">
        <v>44716</v>
      </c>
      <c r="O16" s="24">
        <v>44727</v>
      </c>
      <c r="P16" s="24">
        <v>44699</v>
      </c>
      <c r="Q16" s="1">
        <f>P16-P10</f>
        <v>0</v>
      </c>
      <c r="R16" s="1">
        <f>N16-N7</f>
        <v>1</v>
      </c>
      <c r="S16" s="1">
        <f>O16-O7</f>
        <v>7</v>
      </c>
      <c r="T16" s="1">
        <f t="shared" si="8"/>
        <v>4</v>
      </c>
      <c r="U16" s="1" t="s">
        <v>71</v>
      </c>
      <c r="V16" s="1" t="s">
        <v>71</v>
      </c>
      <c r="W16" s="1">
        <v>-2</v>
      </c>
      <c r="X16" s="1">
        <v>40</v>
      </c>
      <c r="Y16" s="1">
        <v>0</v>
      </c>
      <c r="Z16" s="1" t="s">
        <v>71</v>
      </c>
      <c r="AA16" s="1" t="s">
        <v>71</v>
      </c>
      <c r="AB16" s="1" t="s">
        <v>71</v>
      </c>
      <c r="AC16" s="1" t="s">
        <v>71</v>
      </c>
      <c r="AD16" s="25">
        <v>41</v>
      </c>
      <c r="AE16" s="25">
        <v>33</v>
      </c>
      <c r="AF16" s="25">
        <v>100</v>
      </c>
      <c r="AG16" s="25">
        <v>77</v>
      </c>
      <c r="AH16" s="1">
        <v>107</v>
      </c>
      <c r="AI16" s="1">
        <v>60</v>
      </c>
      <c r="AJ16" s="1">
        <v>2</v>
      </c>
      <c r="AK16" s="1">
        <v>0</v>
      </c>
      <c r="AL16" s="1">
        <v>0</v>
      </c>
      <c r="AM16" s="1">
        <v>0</v>
      </c>
      <c r="AN16" s="1">
        <v>0.03</v>
      </c>
      <c r="AO16" s="1">
        <v>0.08</v>
      </c>
      <c r="AP16" s="1">
        <v>2.3999999999999998E-3</v>
      </c>
      <c r="AQ16" s="1">
        <v>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2</v>
      </c>
      <c r="BI16" s="1" t="s">
        <v>71</v>
      </c>
      <c r="BJ16" s="1" t="s">
        <v>71</v>
      </c>
      <c r="BK16" s="1">
        <v>1.6E-2</v>
      </c>
      <c r="BL16" s="1">
        <f t="shared" si="1"/>
        <v>1.6</v>
      </c>
      <c r="BM16" s="1">
        <v>0.8</v>
      </c>
      <c r="BN16" s="1">
        <v>0.02</v>
      </c>
      <c r="BO16" s="1">
        <v>1</v>
      </c>
      <c r="BP16" s="1">
        <v>0</v>
      </c>
      <c r="BQ16" s="1">
        <v>83</v>
      </c>
      <c r="BR16" s="1">
        <v>37</v>
      </c>
      <c r="BS16" s="1">
        <v>3</v>
      </c>
      <c r="BT16" s="1">
        <v>11</v>
      </c>
      <c r="BU16" s="1">
        <v>1</v>
      </c>
      <c r="BV16" s="1">
        <v>7</v>
      </c>
      <c r="BW16" s="1">
        <v>6</v>
      </c>
      <c r="BX16" s="1">
        <v>15.4</v>
      </c>
      <c r="BY16" s="1">
        <v>5.35</v>
      </c>
      <c r="BZ16" s="3">
        <v>1.2</v>
      </c>
      <c r="CA16" s="3">
        <v>3.2</v>
      </c>
      <c r="CB16" s="3">
        <f t="shared" si="9"/>
        <v>1.666666666666667</v>
      </c>
      <c r="CC16" s="3">
        <f>CA16/(1.5*4.8)*10</f>
        <v>4.4444444444444455</v>
      </c>
      <c r="CD16" s="1">
        <f>ROUND(CB16/CB4+CC16/CC10,2)</f>
        <v>1.76</v>
      </c>
      <c r="CE16" s="1">
        <f>ROUND(CB16/CB7+CC16/CC10,2)</f>
        <v>1.71</v>
      </c>
      <c r="CF16" s="1">
        <f t="shared" si="3"/>
        <v>1.71</v>
      </c>
      <c r="CG16" s="1">
        <f>ROUND(CB16/CB4,2)</f>
        <v>0.31</v>
      </c>
      <c r="CH16" s="1">
        <f>ROUND(CB16/CB7,2)</f>
        <v>0.26</v>
      </c>
      <c r="CI16" s="1">
        <f>ROUND(CC16/CC10,2)</f>
        <v>1.45</v>
      </c>
      <c r="CJ16" s="1">
        <f>ROUND((CC16+CB16)/MAX(CC10,CB7),2)</f>
        <v>0.94</v>
      </c>
      <c r="CK16" s="1">
        <f>ROUND(LN((0.9*BZ16)/(0.1*CA16))/(BZ4/CA10),2)</f>
        <v>0.69</v>
      </c>
      <c r="CL16" s="1">
        <f>ROUND(LN((0.9*BZ16)/(0.1*CA16))/(BZ7/CA10),2)</f>
        <v>0.56999999999999995</v>
      </c>
      <c r="CM16" s="1">
        <f>ROUND(LN((0.1*CA16)/(0.9*BZ16))/(CA10/BZ4),2)</f>
        <v>-2.16</v>
      </c>
      <c r="CN16" s="1">
        <f>ROUND(LN((0.1*CA16)/(0.9*BZ16))/(CA10/BZ7),2)</f>
        <v>-2.6</v>
      </c>
      <c r="CO16" s="1">
        <v>49</v>
      </c>
      <c r="CP16" s="1" t="s">
        <v>71</v>
      </c>
      <c r="CQ16" s="1">
        <v>32.85</v>
      </c>
      <c r="CR16" s="1">
        <v>137.30000000000001</v>
      </c>
      <c r="CS16" s="1">
        <v>41</v>
      </c>
      <c r="CT16" s="1">
        <v>10.7</v>
      </c>
      <c r="CU16" s="1">
        <v>10</v>
      </c>
      <c r="CV16">
        <v>63.4</v>
      </c>
      <c r="CW16">
        <v>19.739999999999998</v>
      </c>
      <c r="CX16" t="e">
        <f>ROUND(CV16*#REF!/10,1)</f>
        <v>#REF!</v>
      </c>
      <c r="CY16" s="1">
        <v>12.8</v>
      </c>
      <c r="CZ16" t="e">
        <f t="shared" si="5"/>
        <v>#REF!</v>
      </c>
      <c r="DA16">
        <f t="shared" si="7"/>
        <v>213</v>
      </c>
      <c r="DB16" t="e">
        <f>(CZ16+DA16)/MAX(DA7,CZ10)</f>
        <v>#REF!</v>
      </c>
      <c r="DC16" s="26">
        <v>12.8</v>
      </c>
      <c r="DD16" t="e">
        <f t="shared" si="4"/>
        <v>#REF!</v>
      </c>
      <c r="DE16" t="e">
        <f t="shared" si="10"/>
        <v>#REF!</v>
      </c>
      <c r="DF16" t="e">
        <f>ROUND(CZ16/MAX(DA7,CZ10), 2)</f>
        <v>#REF!</v>
      </c>
      <c r="DG16" s="23"/>
    </row>
    <row r="17" spans="1:111" x14ac:dyDescent="0.15">
      <c r="A17" s="1">
        <v>2022</v>
      </c>
      <c r="B17" s="1" t="s">
        <v>48</v>
      </c>
      <c r="C17" s="1">
        <v>1</v>
      </c>
      <c r="D17" s="1">
        <v>15</v>
      </c>
      <c r="E17" s="1" t="s">
        <v>51</v>
      </c>
      <c r="F17" s="1" t="s">
        <v>55</v>
      </c>
      <c r="G17" s="1" t="s">
        <v>5</v>
      </c>
      <c r="H17" s="1">
        <v>1</v>
      </c>
      <c r="I17" s="23" t="s">
        <v>65</v>
      </c>
      <c r="J17" s="1" t="s">
        <v>57</v>
      </c>
      <c r="K17" s="24">
        <v>44705</v>
      </c>
      <c r="L17" s="1">
        <f>K17-K7</f>
        <v>0</v>
      </c>
      <c r="M17" s="1">
        <f>K17-K11</f>
        <v>12</v>
      </c>
      <c r="N17" s="24">
        <v>44716</v>
      </c>
      <c r="O17" s="24">
        <v>44727</v>
      </c>
      <c r="P17" s="24">
        <v>44692</v>
      </c>
      <c r="Q17" s="1">
        <f>P17-P11</f>
        <v>-7</v>
      </c>
      <c r="R17" s="1">
        <f>N17-N7</f>
        <v>1</v>
      </c>
      <c r="S17" s="1">
        <f>O17-O7</f>
        <v>7</v>
      </c>
      <c r="T17" s="1">
        <f t="shared" si="8"/>
        <v>4</v>
      </c>
      <c r="U17" s="1" t="s">
        <v>71</v>
      </c>
      <c r="V17" s="1" t="s">
        <v>71</v>
      </c>
      <c r="W17" s="1">
        <v>1</v>
      </c>
      <c r="X17" s="1" t="s">
        <v>71</v>
      </c>
      <c r="Y17" s="1">
        <v>0</v>
      </c>
      <c r="Z17" s="1" t="s">
        <v>71</v>
      </c>
      <c r="AA17" s="1" t="s">
        <v>71</v>
      </c>
      <c r="AB17" s="1" t="s">
        <v>71</v>
      </c>
      <c r="AC17" s="1" t="s">
        <v>71</v>
      </c>
      <c r="AD17" s="25">
        <v>44</v>
      </c>
      <c r="AE17" s="25">
        <v>36</v>
      </c>
      <c r="AF17" s="25">
        <v>101</v>
      </c>
      <c r="AG17" s="25">
        <v>69</v>
      </c>
      <c r="AH17" s="1">
        <v>115</v>
      </c>
      <c r="AI17" s="1">
        <v>77</v>
      </c>
      <c r="AJ17" s="1">
        <v>2.7</v>
      </c>
      <c r="AK17" s="1">
        <v>0</v>
      </c>
      <c r="AL17" s="1">
        <v>0</v>
      </c>
      <c r="AM17" s="1">
        <v>0</v>
      </c>
      <c r="AN17" s="1">
        <v>0.02</v>
      </c>
      <c r="AO17" s="1">
        <v>0.12</v>
      </c>
      <c r="AP17" s="1">
        <v>2.3999999999999998E-3</v>
      </c>
      <c r="AQ17" s="1">
        <v>3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 t="s">
        <v>71</v>
      </c>
      <c r="BI17" s="1" t="s">
        <v>71</v>
      </c>
      <c r="BJ17" s="1" t="s">
        <v>71</v>
      </c>
      <c r="BK17" s="1">
        <v>2E-3</v>
      </c>
      <c r="BL17" s="1">
        <f t="shared" si="1"/>
        <v>0.2</v>
      </c>
      <c r="BM17" s="1">
        <v>1</v>
      </c>
      <c r="BN17" s="1">
        <v>2E-3</v>
      </c>
      <c r="BO17" s="1">
        <v>1</v>
      </c>
      <c r="BP17" s="1">
        <v>0</v>
      </c>
      <c r="BQ17" s="1">
        <v>58</v>
      </c>
      <c r="BR17" s="1">
        <v>59</v>
      </c>
      <c r="BS17" s="1">
        <v>21</v>
      </c>
      <c r="BT17" s="1">
        <v>6</v>
      </c>
      <c r="BU17" s="1">
        <v>2</v>
      </c>
      <c r="BV17" s="1">
        <v>6</v>
      </c>
      <c r="BW17" s="1">
        <v>4</v>
      </c>
      <c r="BX17" s="1">
        <v>12.85</v>
      </c>
      <c r="BY17" s="1">
        <v>9.81</v>
      </c>
      <c r="BZ17" s="3">
        <v>1.2</v>
      </c>
      <c r="CA17" s="3">
        <v>2</v>
      </c>
      <c r="CB17" s="3">
        <f t="shared" si="9"/>
        <v>1.666666666666667</v>
      </c>
      <c r="CC17" s="3">
        <f t="shared" si="6"/>
        <v>2.7777777777777777</v>
      </c>
      <c r="CD17" s="1">
        <f>ROUND(CB17/CB4+CC17/CC11,2)</f>
        <v>1.02</v>
      </c>
      <c r="CE17" s="1">
        <f>ROUND(CB17/CB7+CC17/CC11,2)</f>
        <v>0.97</v>
      </c>
      <c r="CF17" s="1">
        <f t="shared" si="3"/>
        <v>0.97</v>
      </c>
      <c r="CG17" s="1">
        <f>ROUND(CB17/CB4,2)</f>
        <v>0.31</v>
      </c>
      <c r="CH17" s="1">
        <f>ROUND(CB17/CB7,2)</f>
        <v>0.26</v>
      </c>
      <c r="CI17" s="1">
        <f>ROUND(CC17/CC11,2)</f>
        <v>0.71</v>
      </c>
      <c r="CJ17" s="1">
        <f>ROUND((CC17+CB17)/MAX(CC11,CB7),2)</f>
        <v>0.68</v>
      </c>
      <c r="CK17" s="1">
        <f>ROUND(LN((0.9*BZ17)/(0.1*CA17))/(BZ4/CA11),2)</f>
        <v>1.21</v>
      </c>
      <c r="CL17" s="1">
        <f>ROUND(LN((0.9*BZ17)/(0.1*CA17))/(BZ7/CA11),2)</f>
        <v>1</v>
      </c>
      <c r="CM17" s="1">
        <f>ROUND(LN((0.1*CA17)/(0.9*BZ17))/(CA11/BZ4),2)</f>
        <v>-2.35</v>
      </c>
      <c r="CN17" s="1">
        <f>ROUND(LN((0.1*CA17)/(0.9*BZ17))/(CA11/BZ7),2)</f>
        <v>-2.83</v>
      </c>
      <c r="CO17" s="1">
        <v>51</v>
      </c>
      <c r="CP17" s="1" t="s">
        <v>71</v>
      </c>
      <c r="CQ17" s="1">
        <v>39.549999999999997</v>
      </c>
      <c r="CR17" s="1">
        <v>152.5</v>
      </c>
      <c r="CS17" s="1">
        <v>41</v>
      </c>
      <c r="CT17" s="1">
        <v>10.7</v>
      </c>
      <c r="CU17" s="1">
        <v>8.8000000000000007</v>
      </c>
      <c r="CV17">
        <v>57.51</v>
      </c>
      <c r="CW17">
        <v>21.17</v>
      </c>
      <c r="CX17" t="e">
        <f>ROUND(CV17*#REF!/10,1)</f>
        <v>#REF!</v>
      </c>
      <c r="CY17" s="1">
        <v>13.3</v>
      </c>
      <c r="CZ17" t="e">
        <f t="shared" si="5"/>
        <v>#REF!</v>
      </c>
      <c r="DA17">
        <f t="shared" si="7"/>
        <v>222</v>
      </c>
      <c r="DB17" t="e">
        <f>(CZ17+DA17)/MAX(DA7,CZ11)</f>
        <v>#REF!</v>
      </c>
      <c r="DC17" s="26">
        <v>13.3</v>
      </c>
      <c r="DD17" t="e">
        <f t="shared" si="4"/>
        <v>#REF!</v>
      </c>
      <c r="DE17" t="e">
        <f t="shared" si="10"/>
        <v>#REF!</v>
      </c>
      <c r="DF17" t="e">
        <f>ROUND(CZ17/MAX(DA7,CZ11), 2)</f>
        <v>#REF!</v>
      </c>
      <c r="DG17" s="23"/>
    </row>
    <row r="18" spans="1:111" x14ac:dyDescent="0.15">
      <c r="A18" s="1">
        <v>2022</v>
      </c>
      <c r="B18" s="1" t="s">
        <v>48</v>
      </c>
      <c r="C18" s="1">
        <v>1</v>
      </c>
      <c r="D18" s="1">
        <v>16</v>
      </c>
      <c r="E18" s="1" t="s">
        <v>52</v>
      </c>
      <c r="F18" s="1" t="s">
        <v>53</v>
      </c>
      <c r="G18" s="1" t="s">
        <v>5</v>
      </c>
      <c r="H18" s="1">
        <v>1</v>
      </c>
      <c r="I18" s="23" t="s">
        <v>66</v>
      </c>
      <c r="J18" s="1" t="s">
        <v>57</v>
      </c>
      <c r="K18" s="24">
        <v>44693</v>
      </c>
      <c r="L18" s="1">
        <f>K18-K8</f>
        <v>-12</v>
      </c>
      <c r="M18" s="1">
        <f>K18-K9</f>
        <v>0</v>
      </c>
      <c r="N18" s="24">
        <v>44718</v>
      </c>
      <c r="O18" s="24">
        <v>44738</v>
      </c>
      <c r="P18" s="24">
        <v>44698</v>
      </c>
      <c r="Q18" s="1">
        <f>P18-P9</f>
        <v>-1</v>
      </c>
      <c r="R18" s="1">
        <f>N18-N8</f>
        <v>3</v>
      </c>
      <c r="S18" s="1">
        <f>O18-O8</f>
        <v>8</v>
      </c>
      <c r="T18" s="1">
        <f t="shared" si="8"/>
        <v>5.5</v>
      </c>
      <c r="U18" s="1" t="s">
        <v>71</v>
      </c>
      <c r="V18" s="1" t="s">
        <v>71</v>
      </c>
      <c r="W18" s="1">
        <v>-2</v>
      </c>
      <c r="X18" s="1">
        <v>40</v>
      </c>
      <c r="Y18" s="1">
        <v>0</v>
      </c>
      <c r="Z18" s="1" t="s">
        <v>71</v>
      </c>
      <c r="AA18" s="1" t="s">
        <v>71</v>
      </c>
      <c r="AB18" s="1" t="s">
        <v>71</v>
      </c>
      <c r="AC18" s="1" t="s">
        <v>71</v>
      </c>
      <c r="AD18" s="25">
        <v>42</v>
      </c>
      <c r="AE18" s="25">
        <v>42</v>
      </c>
      <c r="AF18" s="25">
        <v>84</v>
      </c>
      <c r="AG18" s="25">
        <v>78</v>
      </c>
      <c r="AH18" s="1">
        <v>90</v>
      </c>
      <c r="AI18" s="1">
        <v>78</v>
      </c>
      <c r="AJ18" s="1">
        <v>2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1</v>
      </c>
      <c r="BI18" s="1" t="s">
        <v>71</v>
      </c>
      <c r="BJ18" s="1" t="s">
        <v>71</v>
      </c>
      <c r="BK18" s="1">
        <v>1.6000000000000001E-3</v>
      </c>
      <c r="BL18" s="1">
        <f t="shared" si="1"/>
        <v>0.16</v>
      </c>
      <c r="BM18" s="1">
        <v>0.8</v>
      </c>
      <c r="BN18" s="1">
        <v>2E-3</v>
      </c>
      <c r="BO18" s="1">
        <v>1</v>
      </c>
      <c r="BP18" s="1">
        <v>0</v>
      </c>
      <c r="BQ18" s="1">
        <v>30</v>
      </c>
      <c r="BR18" s="1">
        <v>27</v>
      </c>
      <c r="BS18" s="1">
        <v>9</v>
      </c>
      <c r="BT18" s="1">
        <v>6</v>
      </c>
      <c r="BU18" s="1">
        <v>2</v>
      </c>
      <c r="BV18" s="1">
        <v>7</v>
      </c>
      <c r="BW18" s="1">
        <v>5</v>
      </c>
      <c r="BX18" s="1">
        <v>12.66</v>
      </c>
      <c r="BY18" s="1">
        <v>5.23</v>
      </c>
      <c r="BZ18" s="3">
        <v>0.5</v>
      </c>
      <c r="CA18" s="3">
        <v>2.8</v>
      </c>
      <c r="CB18" s="3">
        <f t="shared" si="9"/>
        <v>0.69444444444444442</v>
      </c>
      <c r="CC18" s="3">
        <f t="shared" si="6"/>
        <v>3.8888888888888888</v>
      </c>
      <c r="CD18" s="1">
        <f>ROUND(CB18/CB5+CC18/CC9,2)</f>
        <v>1.39</v>
      </c>
      <c r="CE18" s="1">
        <f>ROUND(CB18/CB8+CC18/CC9,2)</f>
        <v>1.35</v>
      </c>
      <c r="CF18" s="1">
        <f>ROUND(CB18/(1.2*CB8)+CC18/CC9,2)</f>
        <v>1.32</v>
      </c>
      <c r="CG18" s="1">
        <f>ROUND(CB18/CB5,2)</f>
        <v>0.17</v>
      </c>
      <c r="CH18" s="1">
        <f>ROUND(CB18/CB8,2)</f>
        <v>0.13</v>
      </c>
      <c r="CI18" s="1">
        <f>ROUND(CC18/CC9,2)</f>
        <v>1.22</v>
      </c>
      <c r="CJ18" s="1">
        <f>ROUND((CC18+CB18)/MAX(CC9,CB8),2)</f>
        <v>0.85</v>
      </c>
      <c r="CK18" s="1">
        <f>ROUND(LN((0.9*BZ18)/(0.1*CA18))/(BZ5/CA9),2)</f>
        <v>0.38</v>
      </c>
      <c r="CL18" s="1">
        <f>ROUND(LN((0.9*BZ18)/(0.1*CA18))/(BZ8/CA9),2)</f>
        <v>0.28000000000000003</v>
      </c>
      <c r="CM18" s="1">
        <f>ROUND(LN((0.1*CA18)/(0.9*BZ18))/(CA9/BZ5),2)</f>
        <v>-0.6</v>
      </c>
      <c r="CN18" s="1">
        <f>ROUND(LN((0.1*CA18)/(0.9*BZ18))/(CA9/BZ8),2)</f>
        <v>-0.8</v>
      </c>
      <c r="CO18" s="1">
        <v>42</v>
      </c>
      <c r="CP18" s="1" t="s">
        <v>71</v>
      </c>
      <c r="CQ18" s="1">
        <v>30.6</v>
      </c>
      <c r="CR18" s="1">
        <v>137.30000000000001</v>
      </c>
      <c r="CS18" s="1">
        <v>35</v>
      </c>
      <c r="CT18" s="1">
        <v>10.3</v>
      </c>
      <c r="CU18" s="1">
        <v>9.9</v>
      </c>
      <c r="CV18">
        <v>55.29</v>
      </c>
      <c r="CW18">
        <v>22.6</v>
      </c>
      <c r="CX18" t="e">
        <f>ROUND(CV18*#REF!/10,1)</f>
        <v>#REF!</v>
      </c>
      <c r="CY18" s="1" t="s">
        <v>71</v>
      </c>
      <c r="CZ18" t="e">
        <f t="shared" si="5"/>
        <v>#REF!</v>
      </c>
      <c r="DA18" s="26" t="s">
        <v>71</v>
      </c>
      <c r="DB18" s="26" t="s">
        <v>71</v>
      </c>
      <c r="DC18" s="26" t="s">
        <v>71</v>
      </c>
      <c r="DD18" t="e">
        <f t="shared" si="4"/>
        <v>#REF!</v>
      </c>
      <c r="DE18" t="s">
        <v>71</v>
      </c>
      <c r="DF18" t="e">
        <f>ROUND(CZ18/MAX(DA8,CZ9), 2)</f>
        <v>#REF!</v>
      </c>
      <c r="DG18" s="23"/>
    </row>
    <row r="19" spans="1:111" x14ac:dyDescent="0.15">
      <c r="A19" s="1">
        <v>2022</v>
      </c>
      <c r="B19" s="1" t="s">
        <v>48</v>
      </c>
      <c r="C19" s="1">
        <v>1</v>
      </c>
      <c r="D19" s="1">
        <v>17</v>
      </c>
      <c r="E19" s="1" t="s">
        <v>52</v>
      </c>
      <c r="F19" s="1" t="s">
        <v>54</v>
      </c>
      <c r="G19" s="1" t="s">
        <v>5</v>
      </c>
      <c r="H19" s="1">
        <v>1</v>
      </c>
      <c r="I19" s="23" t="s">
        <v>67</v>
      </c>
      <c r="J19" s="1" t="s">
        <v>57</v>
      </c>
      <c r="K19" s="24">
        <v>44693</v>
      </c>
      <c r="L19" s="1">
        <f>K19-K8</f>
        <v>-12</v>
      </c>
      <c r="M19" s="1">
        <f>K19-K10</f>
        <v>-12</v>
      </c>
      <c r="N19" s="24">
        <v>44721</v>
      </c>
      <c r="O19" s="24">
        <v>44738</v>
      </c>
      <c r="P19" s="24">
        <v>44699</v>
      </c>
      <c r="Q19" s="1">
        <f>P19-P10</f>
        <v>0</v>
      </c>
      <c r="R19" s="1">
        <f>N19-N8</f>
        <v>6</v>
      </c>
      <c r="S19" s="1">
        <f>O19-O8</f>
        <v>8</v>
      </c>
      <c r="T19" s="1">
        <f t="shared" si="8"/>
        <v>7</v>
      </c>
      <c r="U19" s="1" t="s">
        <v>71</v>
      </c>
      <c r="V19" s="1" t="s">
        <v>71</v>
      </c>
      <c r="W19" s="1">
        <v>1</v>
      </c>
      <c r="X19" s="1">
        <v>100</v>
      </c>
      <c r="Y19" s="1">
        <v>0</v>
      </c>
      <c r="Z19" s="1" t="s">
        <v>71</v>
      </c>
      <c r="AA19" s="1" t="s">
        <v>71</v>
      </c>
      <c r="AB19" s="1" t="s">
        <v>71</v>
      </c>
      <c r="AC19" s="1" t="s">
        <v>71</v>
      </c>
      <c r="AD19" s="25">
        <v>42</v>
      </c>
      <c r="AE19" s="25">
        <v>32</v>
      </c>
      <c r="AF19" s="25">
        <v>76</v>
      </c>
      <c r="AG19" s="25">
        <v>71</v>
      </c>
      <c r="AH19" s="1">
        <v>89</v>
      </c>
      <c r="AI19" s="1">
        <v>65</v>
      </c>
      <c r="AJ19" s="1">
        <v>2.2999999999999998</v>
      </c>
      <c r="AK19" s="1">
        <v>0</v>
      </c>
      <c r="AL19" s="1">
        <v>0</v>
      </c>
      <c r="AM19" s="1">
        <v>0</v>
      </c>
      <c r="AN19" s="1">
        <v>0.01</v>
      </c>
      <c r="AO19" s="1">
        <v>0.03</v>
      </c>
      <c r="AP19" s="1">
        <v>2.9999999999999997E-4</v>
      </c>
      <c r="AQ19" s="1">
        <v>4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2</v>
      </c>
      <c r="BI19" s="1" t="s">
        <v>71</v>
      </c>
      <c r="BJ19" s="1" t="s">
        <v>71</v>
      </c>
      <c r="BK19" s="1">
        <v>1.6E-2</v>
      </c>
      <c r="BL19" s="1">
        <f t="shared" si="1"/>
        <v>1.6</v>
      </c>
      <c r="BM19" s="1">
        <v>0.8</v>
      </c>
      <c r="BN19" s="1">
        <v>0.02</v>
      </c>
      <c r="BO19" s="1">
        <v>2</v>
      </c>
      <c r="BP19" s="1">
        <v>0</v>
      </c>
      <c r="BQ19" s="1">
        <v>84</v>
      </c>
      <c r="BR19" s="1">
        <v>79</v>
      </c>
      <c r="BS19" s="1">
        <v>20</v>
      </c>
      <c r="BT19" s="1">
        <v>6</v>
      </c>
      <c r="BU19" s="1">
        <v>1</v>
      </c>
      <c r="BV19" s="1">
        <v>7</v>
      </c>
      <c r="BW19" s="1">
        <v>8</v>
      </c>
      <c r="BX19" s="1">
        <v>8.89</v>
      </c>
      <c r="BY19" s="1">
        <v>3.15</v>
      </c>
      <c r="BZ19" s="3">
        <v>0.5</v>
      </c>
      <c r="CA19" s="3">
        <v>2.4</v>
      </c>
      <c r="CB19" s="3">
        <f t="shared" si="9"/>
        <v>0.69444444444444442</v>
      </c>
      <c r="CC19" s="3">
        <f t="shared" si="6"/>
        <v>3.3333333333333339</v>
      </c>
      <c r="CD19" s="1">
        <f>ROUND(CB19/CB5+CC19/CC10,2)</f>
        <v>1.26</v>
      </c>
      <c r="CE19" s="1">
        <f>ROUND(CB19/CB8+CC19/CC10,2)</f>
        <v>1.22</v>
      </c>
      <c r="CF19" s="1">
        <f>ROUND(CB19/(1.2*CB8)+CC19/CC10,2)</f>
        <v>1.2</v>
      </c>
      <c r="CG19" s="1">
        <f>ROUND(CB19/CB5,2)</f>
        <v>0.17</v>
      </c>
      <c r="CH19" s="1">
        <f>ROUND(CB19/CB8,2)</f>
        <v>0.13</v>
      </c>
      <c r="CI19" s="1">
        <f>ROUND(CC19/CC10,2)</f>
        <v>1.0900000000000001</v>
      </c>
      <c r="CJ19" s="1">
        <f>ROUND((CC19+CB19)/MAX(CC10,CB8),2)</f>
        <v>0.74</v>
      </c>
      <c r="CK19" s="1">
        <f>ROUND(LN((0.9*BZ19)/(0.1*CA19))/(BZ5/CA10),2)</f>
        <v>0.48</v>
      </c>
      <c r="CL19" s="1">
        <f>ROUND(LN((0.9*BZ19)/(0.1*CA19))/(BZ8/CA10),2)</f>
        <v>0.35</v>
      </c>
      <c r="CM19" s="1">
        <f>ROUND(LN((0.1*CA19)/(0.9*BZ19))/(CA10/BZ5),2)</f>
        <v>-0.83</v>
      </c>
      <c r="CN19" s="1">
        <f>ROUND(LN((0.1*CA19)/(0.9*BZ19))/(CA10/BZ8),2)</f>
        <v>-1.1100000000000001</v>
      </c>
      <c r="CO19" s="1">
        <v>53</v>
      </c>
      <c r="CP19" s="1" t="s">
        <v>71</v>
      </c>
      <c r="CQ19" s="1">
        <v>29.4</v>
      </c>
      <c r="CR19" s="1">
        <v>132</v>
      </c>
      <c r="CS19" s="1">
        <v>42</v>
      </c>
      <c r="CT19" s="1">
        <v>9.1</v>
      </c>
      <c r="CU19" s="1">
        <v>10.4</v>
      </c>
      <c r="CV19">
        <v>64.7</v>
      </c>
      <c r="CW19">
        <v>22.44</v>
      </c>
      <c r="CX19" t="e">
        <f>ROUND(CV19*#REF!/10,1)</f>
        <v>#REF!</v>
      </c>
      <c r="CY19" s="1" t="s">
        <v>71</v>
      </c>
      <c r="CZ19" t="e">
        <f t="shared" si="5"/>
        <v>#REF!</v>
      </c>
      <c r="DA19" s="26" t="s">
        <v>71</v>
      </c>
      <c r="DB19" s="26" t="s">
        <v>71</v>
      </c>
      <c r="DC19" s="26" t="s">
        <v>71</v>
      </c>
      <c r="DD19" t="e">
        <f t="shared" si="4"/>
        <v>#REF!</v>
      </c>
      <c r="DE19" t="s">
        <v>71</v>
      </c>
      <c r="DF19" t="e">
        <f>ROUND(CZ19/MAX(DA8,CZ10), 2)</f>
        <v>#REF!</v>
      </c>
      <c r="DG19" s="23"/>
    </row>
    <row r="20" spans="1:111" x14ac:dyDescent="0.15">
      <c r="A20" s="1">
        <v>2022</v>
      </c>
      <c r="B20" s="1" t="s">
        <v>48</v>
      </c>
      <c r="C20" s="1">
        <v>1</v>
      </c>
      <c r="D20" s="1">
        <v>18</v>
      </c>
      <c r="E20" s="1" t="s">
        <v>52</v>
      </c>
      <c r="F20" s="1" t="s">
        <v>55</v>
      </c>
      <c r="G20" s="1" t="s">
        <v>5</v>
      </c>
      <c r="H20" s="1">
        <v>1</v>
      </c>
      <c r="I20" s="23" t="s">
        <v>68</v>
      </c>
      <c r="J20" s="1" t="s">
        <v>57</v>
      </c>
      <c r="K20" s="24">
        <v>44693</v>
      </c>
      <c r="L20" s="1">
        <f>K20-K8</f>
        <v>-12</v>
      </c>
      <c r="M20" s="1">
        <f>K20-K11</f>
        <v>0</v>
      </c>
      <c r="N20" s="24">
        <v>44719</v>
      </c>
      <c r="O20" s="24">
        <v>44736</v>
      </c>
      <c r="P20" s="24">
        <v>44699</v>
      </c>
      <c r="Q20" s="1">
        <f>P20-P11</f>
        <v>0</v>
      </c>
      <c r="R20" s="1">
        <f>N20-N8</f>
        <v>4</v>
      </c>
      <c r="S20" s="1">
        <f>O20-O8</f>
        <v>6</v>
      </c>
      <c r="T20" s="1">
        <f t="shared" si="8"/>
        <v>5</v>
      </c>
      <c r="U20" s="1" t="s">
        <v>71</v>
      </c>
      <c r="V20" s="1" t="s">
        <v>71</v>
      </c>
      <c r="W20" s="1">
        <v>-2</v>
      </c>
      <c r="X20" s="1">
        <v>0</v>
      </c>
      <c r="Y20" s="1">
        <v>0</v>
      </c>
      <c r="Z20" s="1" t="s">
        <v>71</v>
      </c>
      <c r="AA20" s="1" t="s">
        <v>71</v>
      </c>
      <c r="AB20" s="1" t="s">
        <v>71</v>
      </c>
      <c r="AC20" s="1" t="s">
        <v>71</v>
      </c>
      <c r="AD20" s="25">
        <v>47</v>
      </c>
      <c r="AE20" s="25">
        <v>42</v>
      </c>
      <c r="AF20" s="25">
        <v>90</v>
      </c>
      <c r="AG20" s="25">
        <v>80</v>
      </c>
      <c r="AH20" s="1">
        <v>95</v>
      </c>
      <c r="AI20" s="1">
        <v>71</v>
      </c>
      <c r="AJ20" s="1">
        <v>3</v>
      </c>
      <c r="AK20" s="1">
        <v>0</v>
      </c>
      <c r="AL20" s="1">
        <v>0</v>
      </c>
      <c r="AM20" s="1">
        <v>0</v>
      </c>
      <c r="AN20" s="1">
        <v>0.01</v>
      </c>
      <c r="AO20" s="1">
        <v>5.0000000000000001E-3</v>
      </c>
      <c r="AP20" s="1">
        <v>5.0000000000000002E-5</v>
      </c>
      <c r="AQ20" s="1">
        <v>5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1</v>
      </c>
      <c r="BI20" s="1" t="s">
        <v>71</v>
      </c>
      <c r="BJ20" s="1" t="s">
        <v>71</v>
      </c>
      <c r="BK20" s="1">
        <v>4.0000000000000001E-3</v>
      </c>
      <c r="BL20" s="1">
        <f t="shared" si="1"/>
        <v>0.4</v>
      </c>
      <c r="BM20" s="1">
        <v>0.8</v>
      </c>
      <c r="BN20" s="1">
        <v>5.0000000000000001E-3</v>
      </c>
      <c r="BO20" s="1">
        <v>1</v>
      </c>
      <c r="BP20" s="1">
        <v>0</v>
      </c>
      <c r="BQ20" s="1">
        <v>39</v>
      </c>
      <c r="BR20" s="1">
        <v>83</v>
      </c>
      <c r="BS20" s="1">
        <v>15</v>
      </c>
      <c r="BT20" s="1">
        <v>13</v>
      </c>
      <c r="BU20" s="1">
        <v>1</v>
      </c>
      <c r="BV20" s="1">
        <v>7</v>
      </c>
      <c r="BW20" s="1">
        <v>5</v>
      </c>
      <c r="BX20" s="1">
        <v>27.92</v>
      </c>
      <c r="BY20" s="1">
        <v>3.31</v>
      </c>
      <c r="BZ20" s="3">
        <v>0.6</v>
      </c>
      <c r="CA20" s="3">
        <v>2.5</v>
      </c>
      <c r="CB20" s="3">
        <f t="shared" si="9"/>
        <v>0.83333333333333348</v>
      </c>
      <c r="CC20" s="3">
        <f t="shared" si="6"/>
        <v>3.4722222222222228</v>
      </c>
      <c r="CD20" s="1">
        <f>ROUND(CB20/CB5+CC20/CC11,2)</f>
        <v>1.1000000000000001</v>
      </c>
      <c r="CE20" s="1">
        <f>ROUND(CB20/CB8+CC20/CC11,2)</f>
        <v>1.05</v>
      </c>
      <c r="CF20" s="1">
        <f>ROUND(CB20/(1.2*CB8)+CC20/CC11,2)</f>
        <v>1.02</v>
      </c>
      <c r="CG20" s="1">
        <f>ROUND(CB20/CB5,2)</f>
        <v>0.21</v>
      </c>
      <c r="CH20" s="1">
        <f>ROUND(CB20/CB8,2)</f>
        <v>0.15</v>
      </c>
      <c r="CI20" s="1">
        <f>ROUND(CC20/CC11,2)</f>
        <v>0.89</v>
      </c>
      <c r="CJ20" s="1">
        <f>ROUND((CC20+CB20)/MAX(CC11,CB8),2)</f>
        <v>0.79</v>
      </c>
      <c r="CK20" s="1">
        <f>ROUND(LN((0.9*BZ20)/(0.1*CA20))/(BZ5/CA11),2)</f>
        <v>0.74</v>
      </c>
      <c r="CL20" s="1">
        <f>ROUND(LN((0.9*BZ20)/(0.1*CA20))/(BZ8/CA11),2)</f>
        <v>0.55000000000000004</v>
      </c>
      <c r="CM20" s="1">
        <f>ROUND(LN((0.1*CA20)/(0.9*BZ20))/(CA11/BZ5),2)</f>
        <v>-0.8</v>
      </c>
      <c r="CN20" s="1">
        <f>ROUND(LN((0.1*CA20)/(0.9*BZ20))/(CA11/BZ8),2)</f>
        <v>-1.07</v>
      </c>
      <c r="CO20" s="1">
        <v>41</v>
      </c>
      <c r="CP20" s="1" t="s">
        <v>71</v>
      </c>
      <c r="CQ20" s="1">
        <v>30.099999999999998</v>
      </c>
      <c r="CR20" s="1">
        <v>170.75</v>
      </c>
      <c r="CS20" s="1">
        <v>39</v>
      </c>
      <c r="CT20" s="1">
        <v>10.5</v>
      </c>
      <c r="CU20" s="1">
        <v>9.1</v>
      </c>
      <c r="CV20">
        <v>58.08</v>
      </c>
      <c r="CW20">
        <v>22.7</v>
      </c>
      <c r="CX20" t="e">
        <f>ROUND(CV20*#REF!/10,1)</f>
        <v>#REF!</v>
      </c>
      <c r="CY20" s="1">
        <v>13.2</v>
      </c>
      <c r="CZ20" t="e">
        <f t="shared" si="5"/>
        <v>#REF!</v>
      </c>
      <c r="DA20">
        <f>ROUND((CY20*CB20*10),0)</f>
        <v>110</v>
      </c>
      <c r="DB20" t="e">
        <f>(CZ20+DA20)/MAX(DA8,CZ11)</f>
        <v>#REF!</v>
      </c>
      <c r="DC20" s="26">
        <v>13.2</v>
      </c>
      <c r="DD20" t="e">
        <f t="shared" si="4"/>
        <v>#REF!</v>
      </c>
      <c r="DE20" t="e">
        <f t="shared" si="10"/>
        <v>#REF!</v>
      </c>
      <c r="DF20" t="e">
        <f>ROUND(CZ20/MAX(DA8,CZ11), 2)</f>
        <v>#REF!</v>
      </c>
      <c r="DG20" s="23"/>
    </row>
    <row r="21" spans="1:111" x14ac:dyDescent="0.15">
      <c r="A21" s="1">
        <v>2022</v>
      </c>
      <c r="B21" s="1" t="s">
        <v>48</v>
      </c>
      <c r="C21" s="1">
        <v>1</v>
      </c>
      <c r="D21" s="1">
        <v>19</v>
      </c>
      <c r="E21" s="1"/>
      <c r="F21" s="1"/>
      <c r="G21" s="1" t="s">
        <v>56</v>
      </c>
      <c r="H21" s="1">
        <v>1</v>
      </c>
      <c r="I21" s="23" t="s">
        <v>69</v>
      </c>
      <c r="J21" s="1" t="s">
        <v>57</v>
      </c>
      <c r="K21" s="24">
        <v>44705</v>
      </c>
      <c r="L21" s="1" t="s">
        <v>71</v>
      </c>
      <c r="M21" s="1" t="s">
        <v>71</v>
      </c>
      <c r="N21" s="24">
        <v>44708</v>
      </c>
      <c r="O21" s="24">
        <v>44718</v>
      </c>
      <c r="P21" s="1" t="s">
        <v>71</v>
      </c>
      <c r="Q21" s="1" t="s">
        <v>71</v>
      </c>
      <c r="R21" s="1" t="s">
        <v>71</v>
      </c>
      <c r="S21" s="1" t="s">
        <v>71</v>
      </c>
      <c r="T21" s="1" t="s">
        <v>71</v>
      </c>
      <c r="U21" s="1" t="s">
        <v>71</v>
      </c>
      <c r="V21" s="1" t="s">
        <v>71</v>
      </c>
      <c r="W21" s="1" t="s">
        <v>71</v>
      </c>
      <c r="X21" s="1">
        <v>0</v>
      </c>
      <c r="Y21" s="1">
        <v>0</v>
      </c>
      <c r="Z21" s="1" t="s">
        <v>71</v>
      </c>
      <c r="AA21" s="1" t="s">
        <v>71</v>
      </c>
      <c r="AB21" s="1" t="s">
        <v>71</v>
      </c>
      <c r="AC21" s="1" t="s">
        <v>71</v>
      </c>
      <c r="AD21" s="25">
        <v>36</v>
      </c>
      <c r="AE21" s="25" t="s">
        <v>71</v>
      </c>
      <c r="AF21" s="25" t="s">
        <v>71</v>
      </c>
      <c r="AG21" s="25" t="s">
        <v>71</v>
      </c>
      <c r="AH21" s="1">
        <v>85</v>
      </c>
      <c r="AI21" s="1" t="s">
        <v>71</v>
      </c>
      <c r="AJ21" s="1">
        <v>1</v>
      </c>
      <c r="AK21" s="1" t="s">
        <v>71</v>
      </c>
      <c r="AL21" s="1" t="s">
        <v>71</v>
      </c>
      <c r="AM21" s="1" t="s">
        <v>71</v>
      </c>
      <c r="AN21" s="1" t="s">
        <v>71</v>
      </c>
      <c r="AO21" s="1" t="s">
        <v>71</v>
      </c>
      <c r="AP21" s="1" t="s">
        <v>71</v>
      </c>
      <c r="AQ21" s="1" t="s">
        <v>71</v>
      </c>
      <c r="AR21" s="1" t="s">
        <v>71</v>
      </c>
      <c r="AS21" s="1" t="s">
        <v>71</v>
      </c>
      <c r="AT21" s="1" t="s">
        <v>71</v>
      </c>
      <c r="AU21" s="1">
        <v>0</v>
      </c>
      <c r="AV21" s="1">
        <v>0</v>
      </c>
      <c r="AW21" s="1">
        <v>0</v>
      </c>
      <c r="AX21" s="1" t="s">
        <v>71</v>
      </c>
      <c r="AY21" s="1" t="s">
        <v>71</v>
      </c>
      <c r="AZ21" s="1">
        <v>0</v>
      </c>
      <c r="BA21" s="1" t="s">
        <v>71</v>
      </c>
      <c r="BB21" s="1" t="s">
        <v>71</v>
      </c>
      <c r="BC21" s="1" t="s">
        <v>71</v>
      </c>
      <c r="BD21" s="1" t="s">
        <v>71</v>
      </c>
      <c r="BE21" s="1" t="s">
        <v>71</v>
      </c>
      <c r="BF21" s="1" t="s">
        <v>71</v>
      </c>
      <c r="BG21" s="1" t="s">
        <v>71</v>
      </c>
      <c r="BH21" s="1" t="s">
        <v>71</v>
      </c>
      <c r="BI21" s="1" t="s">
        <v>71</v>
      </c>
      <c r="BJ21" s="1" t="s">
        <v>71</v>
      </c>
      <c r="BK21" s="1">
        <v>0.02</v>
      </c>
      <c r="BL21" s="1">
        <f t="shared" si="1"/>
        <v>2</v>
      </c>
      <c r="BM21" s="1">
        <v>1</v>
      </c>
      <c r="BN21" s="1">
        <v>0.02</v>
      </c>
      <c r="BO21" s="1">
        <v>1</v>
      </c>
      <c r="BP21" s="1">
        <v>0</v>
      </c>
      <c r="BQ21" s="1" t="s">
        <v>71</v>
      </c>
      <c r="BR21" s="1" t="s">
        <v>71</v>
      </c>
      <c r="BS21" s="1" t="s">
        <v>71</v>
      </c>
      <c r="BT21" s="1" t="s">
        <v>71</v>
      </c>
      <c r="BU21" s="1" t="s">
        <v>71</v>
      </c>
      <c r="BV21" s="1" t="s">
        <v>71</v>
      </c>
      <c r="BW21" s="1" t="s">
        <v>71</v>
      </c>
      <c r="BX21" s="1">
        <v>16.38</v>
      </c>
      <c r="BY21" s="1" t="s">
        <v>71</v>
      </c>
      <c r="BZ21" s="3" t="s">
        <v>71</v>
      </c>
      <c r="CA21" s="3" t="s">
        <v>71</v>
      </c>
      <c r="CB21" s="3" t="s">
        <v>71</v>
      </c>
      <c r="CC21" s="3" t="s">
        <v>71</v>
      </c>
      <c r="CD21" s="1" t="s">
        <v>71</v>
      </c>
      <c r="CE21" s="1" t="s">
        <v>71</v>
      </c>
      <c r="CF21" s="1" t="s">
        <v>71</v>
      </c>
      <c r="CG21" s="3" t="s">
        <v>71</v>
      </c>
      <c r="CH21" s="3" t="s">
        <v>71</v>
      </c>
      <c r="CI21" s="3" t="s">
        <v>71</v>
      </c>
      <c r="CJ21" s="3" t="s">
        <v>71</v>
      </c>
      <c r="CK21" s="3" t="s">
        <v>71</v>
      </c>
      <c r="CL21" s="3" t="s">
        <v>71</v>
      </c>
      <c r="CM21" s="3" t="s">
        <v>71</v>
      </c>
      <c r="CN21" s="3" t="s">
        <v>71</v>
      </c>
      <c r="CO21" s="1" t="s">
        <v>71</v>
      </c>
      <c r="CP21" s="1" t="s">
        <v>71</v>
      </c>
      <c r="CQ21" s="1">
        <v>40.300000000000004</v>
      </c>
      <c r="CR21" s="1">
        <v>0</v>
      </c>
      <c r="CS21" s="1" t="s">
        <v>71</v>
      </c>
      <c r="CT21" s="1" t="s">
        <v>71</v>
      </c>
      <c r="CU21" s="1" t="s">
        <v>71</v>
      </c>
      <c r="CV21" s="1" t="s">
        <v>71</v>
      </c>
      <c r="CW21" s="1" t="s">
        <v>71</v>
      </c>
      <c r="CX21" t="s">
        <v>71</v>
      </c>
      <c r="CY21" s="1" t="s">
        <v>71</v>
      </c>
      <c r="CZ21" t="s">
        <v>71</v>
      </c>
      <c r="DA21" t="s">
        <v>71</v>
      </c>
      <c r="DB21" t="s">
        <v>71</v>
      </c>
      <c r="DC21" s="26" t="s">
        <v>71</v>
      </c>
      <c r="DD21">
        <f t="shared" si="4"/>
        <v>0</v>
      </c>
      <c r="DE21" t="s">
        <v>71</v>
      </c>
      <c r="DF21" s="26" t="s">
        <v>71</v>
      </c>
      <c r="DG21" s="23"/>
    </row>
    <row r="22" spans="1:111" x14ac:dyDescent="0.15">
      <c r="A22" s="1">
        <v>2022</v>
      </c>
      <c r="B22" s="1" t="s">
        <v>48</v>
      </c>
      <c r="C22" s="1">
        <v>1</v>
      </c>
      <c r="D22" s="1">
        <v>20</v>
      </c>
      <c r="E22" s="1"/>
      <c r="F22" s="1"/>
      <c r="G22" s="1" t="s">
        <v>56</v>
      </c>
      <c r="H22" s="1">
        <v>1</v>
      </c>
      <c r="I22" s="23" t="s">
        <v>70</v>
      </c>
      <c r="J22" s="1" t="s">
        <v>57</v>
      </c>
      <c r="K22" s="1" t="s">
        <v>57</v>
      </c>
      <c r="L22" s="1" t="s">
        <v>71</v>
      </c>
      <c r="M22" s="1" t="s">
        <v>71</v>
      </c>
      <c r="N22" s="1" t="s">
        <v>71</v>
      </c>
      <c r="O22" s="1" t="s">
        <v>71</v>
      </c>
      <c r="P22" s="1" t="s">
        <v>71</v>
      </c>
      <c r="Q22" s="1" t="s">
        <v>71</v>
      </c>
      <c r="R22" s="1" t="s">
        <v>71</v>
      </c>
      <c r="S22" s="1" t="s">
        <v>71</v>
      </c>
      <c r="T22" s="1" t="s">
        <v>71</v>
      </c>
      <c r="U22" s="1" t="s">
        <v>71</v>
      </c>
      <c r="V22" s="1" t="s">
        <v>71</v>
      </c>
      <c r="W22" s="1" t="s">
        <v>71</v>
      </c>
      <c r="X22" s="1">
        <v>0</v>
      </c>
      <c r="Y22" s="1">
        <v>0</v>
      </c>
      <c r="Z22" s="1" t="s">
        <v>71</v>
      </c>
      <c r="AA22" s="1" t="s">
        <v>71</v>
      </c>
      <c r="AB22" s="1" t="s">
        <v>71</v>
      </c>
      <c r="AC22" s="1" t="s">
        <v>71</v>
      </c>
      <c r="AD22" s="25" t="s">
        <v>71</v>
      </c>
      <c r="AE22" s="25">
        <v>29</v>
      </c>
      <c r="AF22" s="25" t="s">
        <v>71</v>
      </c>
      <c r="AG22" s="25">
        <v>89</v>
      </c>
      <c r="AH22" s="1">
        <v>22</v>
      </c>
      <c r="AI22" s="1" t="s">
        <v>71</v>
      </c>
      <c r="AJ22" s="1" t="s">
        <v>71</v>
      </c>
      <c r="AK22" s="1" t="s">
        <v>71</v>
      </c>
      <c r="AL22" s="1" t="s">
        <v>71</v>
      </c>
      <c r="AM22" s="1" t="s">
        <v>71</v>
      </c>
      <c r="AN22" s="1" t="s">
        <v>71</v>
      </c>
      <c r="AO22" s="1" t="s">
        <v>71</v>
      </c>
      <c r="AP22" s="1" t="s">
        <v>71</v>
      </c>
      <c r="AQ22" s="1" t="s">
        <v>71</v>
      </c>
      <c r="AR22" s="1" t="s">
        <v>71</v>
      </c>
      <c r="AS22" s="1" t="s">
        <v>71</v>
      </c>
      <c r="AT22" s="1" t="s">
        <v>71</v>
      </c>
      <c r="AU22" s="1">
        <v>0</v>
      </c>
      <c r="AV22" s="1">
        <v>0</v>
      </c>
      <c r="AW22" s="1">
        <v>0</v>
      </c>
      <c r="AX22" s="1" t="s">
        <v>71</v>
      </c>
      <c r="AY22" s="1" t="s">
        <v>71</v>
      </c>
      <c r="AZ22" s="1">
        <v>0</v>
      </c>
      <c r="BA22" s="1" t="s">
        <v>71</v>
      </c>
      <c r="BB22" s="1" t="s">
        <v>71</v>
      </c>
      <c r="BC22" s="1" t="s">
        <v>71</v>
      </c>
      <c r="BD22" s="1" t="s">
        <v>71</v>
      </c>
      <c r="BE22" s="1" t="s">
        <v>71</v>
      </c>
      <c r="BF22" s="1" t="s">
        <v>71</v>
      </c>
      <c r="BG22" s="1" t="s">
        <v>71</v>
      </c>
      <c r="BH22" s="1" t="s">
        <v>71</v>
      </c>
      <c r="BI22" s="1" t="s">
        <v>71</v>
      </c>
      <c r="BJ22" s="1" t="s">
        <v>71</v>
      </c>
      <c r="BK22" s="1">
        <v>6.9999999999999993E-2</v>
      </c>
      <c r="BL22" s="1">
        <f t="shared" si="1"/>
        <v>6.9999999999999991</v>
      </c>
      <c r="BM22" s="1">
        <v>0.7</v>
      </c>
      <c r="BN22" s="1">
        <v>0.1</v>
      </c>
      <c r="BO22" s="1">
        <v>3</v>
      </c>
      <c r="BP22" s="1">
        <v>15</v>
      </c>
      <c r="BQ22" s="1" t="s">
        <v>71</v>
      </c>
      <c r="BR22" s="1" t="s">
        <v>71</v>
      </c>
      <c r="BS22" s="1" t="s">
        <v>71</v>
      </c>
      <c r="BT22" s="1" t="s">
        <v>71</v>
      </c>
      <c r="BU22" s="1" t="s">
        <v>71</v>
      </c>
      <c r="BV22" s="1" t="s">
        <v>71</v>
      </c>
      <c r="BW22" s="1" t="s">
        <v>71</v>
      </c>
      <c r="BX22" s="1">
        <v>30.23</v>
      </c>
      <c r="BY22" s="1" t="s">
        <v>71</v>
      </c>
      <c r="BZ22" s="3" t="s">
        <v>71</v>
      </c>
      <c r="CA22" s="3" t="s">
        <v>71</v>
      </c>
      <c r="CB22" s="3" t="s">
        <v>71</v>
      </c>
      <c r="CC22" s="3" t="s">
        <v>71</v>
      </c>
      <c r="CD22" s="1" t="s">
        <v>71</v>
      </c>
      <c r="CE22" s="1" t="s">
        <v>71</v>
      </c>
      <c r="CF22" s="1" t="s">
        <v>71</v>
      </c>
      <c r="CG22" s="3" t="s">
        <v>71</v>
      </c>
      <c r="CH22" s="3" t="s">
        <v>71</v>
      </c>
      <c r="CI22" s="3" t="s">
        <v>71</v>
      </c>
      <c r="CJ22" s="3" t="s">
        <v>71</v>
      </c>
      <c r="CK22" s="3" t="s">
        <v>71</v>
      </c>
      <c r="CL22" s="3" t="s">
        <v>71</v>
      </c>
      <c r="CM22" s="3" t="s">
        <v>71</v>
      </c>
      <c r="CN22" s="3" t="s">
        <v>71</v>
      </c>
      <c r="CO22" s="1" t="s">
        <v>71</v>
      </c>
      <c r="CP22" s="1" t="s">
        <v>71</v>
      </c>
      <c r="CQ22" s="1">
        <v>0</v>
      </c>
      <c r="CR22" s="1">
        <v>0</v>
      </c>
      <c r="CS22" s="1" t="s">
        <v>71</v>
      </c>
      <c r="CT22" s="1" t="s">
        <v>71</v>
      </c>
      <c r="CU22" s="1" t="s">
        <v>71</v>
      </c>
      <c r="CV22" s="1" t="s">
        <v>71</v>
      </c>
      <c r="CW22" s="1" t="s">
        <v>71</v>
      </c>
      <c r="CX22" t="s">
        <v>71</v>
      </c>
      <c r="CY22" s="1" t="s">
        <v>71</v>
      </c>
      <c r="CZ22" t="s">
        <v>71</v>
      </c>
      <c r="DA22" t="s">
        <v>71</v>
      </c>
      <c r="DB22" t="s">
        <v>71</v>
      </c>
      <c r="DC22" s="26" t="s">
        <v>71</v>
      </c>
      <c r="DD22">
        <f t="shared" si="4"/>
        <v>0</v>
      </c>
      <c r="DE22" t="s">
        <v>71</v>
      </c>
      <c r="DF22" s="26" t="s">
        <v>71</v>
      </c>
      <c r="DG22" s="23"/>
    </row>
    <row r="23" spans="1:111" x14ac:dyDescent="0.15">
      <c r="A23" s="1">
        <v>2022</v>
      </c>
      <c r="B23" s="1" t="s">
        <v>48</v>
      </c>
      <c r="C23" s="1">
        <v>2</v>
      </c>
      <c r="D23" s="1">
        <v>1</v>
      </c>
      <c r="E23" s="1" t="s">
        <v>50</v>
      </c>
      <c r="F23" s="1"/>
      <c r="G23" s="1" t="s">
        <v>56</v>
      </c>
      <c r="H23" s="1">
        <v>2</v>
      </c>
      <c r="I23" s="23" t="s">
        <v>50</v>
      </c>
      <c r="J23" s="1" t="s">
        <v>57</v>
      </c>
      <c r="K23" s="24">
        <v>44705</v>
      </c>
      <c r="L23" s="1" t="s">
        <v>71</v>
      </c>
      <c r="M23" s="1" t="s">
        <v>71</v>
      </c>
      <c r="N23" s="24">
        <v>44711</v>
      </c>
      <c r="O23" s="24">
        <v>44720</v>
      </c>
      <c r="P23" s="1" t="s">
        <v>71</v>
      </c>
      <c r="Q23" s="1" t="s">
        <v>71</v>
      </c>
      <c r="R23" s="1" t="s">
        <v>71</v>
      </c>
      <c r="S23" s="1" t="s">
        <v>71</v>
      </c>
      <c r="T23" s="1" t="s">
        <v>71</v>
      </c>
      <c r="U23" s="1" t="s">
        <v>71</v>
      </c>
      <c r="V23" s="1" t="s">
        <v>71</v>
      </c>
      <c r="W23" s="1" t="s">
        <v>71</v>
      </c>
      <c r="X23" s="1" t="s">
        <v>71</v>
      </c>
      <c r="Y23" s="1">
        <v>0</v>
      </c>
      <c r="Z23" s="1" t="s">
        <v>71</v>
      </c>
      <c r="AA23" s="1" t="s">
        <v>71</v>
      </c>
      <c r="AB23" s="1" t="s">
        <v>71</v>
      </c>
      <c r="AC23" s="1" t="s">
        <v>71</v>
      </c>
      <c r="AD23" s="25">
        <v>51</v>
      </c>
      <c r="AE23" s="25" t="s">
        <v>71</v>
      </c>
      <c r="AF23" s="25">
        <v>111</v>
      </c>
      <c r="AG23" s="25" t="s">
        <v>71</v>
      </c>
      <c r="AH23" s="1">
        <v>116</v>
      </c>
      <c r="AI23" s="1" t="s">
        <v>71</v>
      </c>
      <c r="AJ23" s="1">
        <v>1.3</v>
      </c>
      <c r="AK23" s="1">
        <v>0</v>
      </c>
      <c r="AL23" s="1">
        <v>0</v>
      </c>
      <c r="AM23" s="1">
        <v>0</v>
      </c>
      <c r="AN23" s="1">
        <v>0.04</v>
      </c>
      <c r="AO23" s="1">
        <v>0.03</v>
      </c>
      <c r="AP23" s="1">
        <v>1.1999999999999999E-3</v>
      </c>
      <c r="AQ23" s="1">
        <v>12</v>
      </c>
      <c r="AR23" s="1">
        <v>0</v>
      </c>
      <c r="AS23" s="1">
        <v>0</v>
      </c>
      <c r="AT23" s="1">
        <v>0</v>
      </c>
      <c r="AU23" s="1" t="s">
        <v>71</v>
      </c>
      <c r="AV23" s="1" t="s">
        <v>71</v>
      </c>
      <c r="AW23" s="1" t="s">
        <v>71</v>
      </c>
      <c r="AX23" s="1">
        <v>0</v>
      </c>
      <c r="AY23" s="1">
        <v>0</v>
      </c>
      <c r="AZ23" s="1" t="s">
        <v>71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 t="s">
        <v>71</v>
      </c>
      <c r="BI23" s="1" t="s">
        <v>71</v>
      </c>
      <c r="BJ23" s="1" t="s">
        <v>71</v>
      </c>
      <c r="BK23" s="1">
        <v>2.0000000000000001E-4</v>
      </c>
      <c r="BL23" s="1">
        <f t="shared" si="1"/>
        <v>0.02</v>
      </c>
      <c r="BM23" s="1">
        <v>0.1</v>
      </c>
      <c r="BN23" s="1">
        <v>2E-3</v>
      </c>
      <c r="BO23" s="1">
        <v>1</v>
      </c>
      <c r="BP23" s="1">
        <v>0</v>
      </c>
      <c r="BQ23" s="1" t="s">
        <v>71</v>
      </c>
      <c r="BR23" s="1" t="s">
        <v>71</v>
      </c>
      <c r="BS23" s="1" t="s">
        <v>71</v>
      </c>
      <c r="BT23" s="1" t="s">
        <v>71</v>
      </c>
      <c r="BU23" s="1">
        <v>11</v>
      </c>
      <c r="BV23" s="1" t="s">
        <v>71</v>
      </c>
      <c r="BW23" s="1" t="s">
        <v>71</v>
      </c>
      <c r="BX23" s="1" t="s">
        <v>71</v>
      </c>
      <c r="BY23" s="1">
        <v>18.47</v>
      </c>
      <c r="BZ23" s="3">
        <v>3.7</v>
      </c>
      <c r="CA23" s="3" t="s">
        <v>71</v>
      </c>
      <c r="CB23" s="3">
        <f t="shared" si="9"/>
        <v>5.1388888888888893</v>
      </c>
      <c r="CC23" s="3" t="s">
        <v>71</v>
      </c>
      <c r="CD23" s="1">
        <v>1</v>
      </c>
      <c r="CE23" s="1">
        <v>1</v>
      </c>
      <c r="CF23" s="1">
        <f>CE23</f>
        <v>1</v>
      </c>
      <c r="CG23" s="3" t="s">
        <v>71</v>
      </c>
      <c r="CH23" s="3" t="s">
        <v>71</v>
      </c>
      <c r="CI23" s="3" t="s">
        <v>71</v>
      </c>
      <c r="CJ23" s="3" t="s">
        <v>71</v>
      </c>
      <c r="CK23" s="3" t="s">
        <v>71</v>
      </c>
      <c r="CL23" s="3" t="s">
        <v>71</v>
      </c>
      <c r="CM23" s="3" t="s">
        <v>71</v>
      </c>
      <c r="CN23" s="3" t="s">
        <v>71</v>
      </c>
      <c r="CO23" s="1">
        <v>44</v>
      </c>
      <c r="CP23" s="1" t="s">
        <v>71</v>
      </c>
      <c r="CQ23" s="1">
        <v>34.25</v>
      </c>
      <c r="CR23" s="1" t="s">
        <v>71</v>
      </c>
      <c r="CS23" s="1" t="s">
        <v>71</v>
      </c>
      <c r="CT23" s="1">
        <v>10.4</v>
      </c>
      <c r="CU23" s="1" t="s">
        <v>71</v>
      </c>
      <c r="CV23" s="1" t="s">
        <v>71</v>
      </c>
      <c r="CW23">
        <v>16.850000000000001</v>
      </c>
      <c r="CX23" s="1" t="s">
        <v>71</v>
      </c>
      <c r="CY23" s="1">
        <v>11.4</v>
      </c>
      <c r="CZ23" s="1" t="s">
        <v>71</v>
      </c>
      <c r="DA23">
        <f t="shared" ref="DA23:DA28" si="11">ROUND((CY23*CB23*10),0)</f>
        <v>586</v>
      </c>
      <c r="DB23" s="1" t="s">
        <v>71</v>
      </c>
      <c r="DC23" s="26">
        <v>11.4</v>
      </c>
      <c r="DD23">
        <f t="shared" si="4"/>
        <v>586</v>
      </c>
      <c r="DE23" s="1" t="s">
        <v>71</v>
      </c>
      <c r="DF23" s="1" t="s">
        <v>71</v>
      </c>
    </row>
    <row r="24" spans="1:111" x14ac:dyDescent="0.15">
      <c r="A24" s="1">
        <v>2022</v>
      </c>
      <c r="B24" s="1" t="s">
        <v>48</v>
      </c>
      <c r="C24" s="1">
        <v>2</v>
      </c>
      <c r="D24" s="1">
        <v>2</v>
      </c>
      <c r="E24" s="1" t="s">
        <v>51</v>
      </c>
      <c r="F24" s="1"/>
      <c r="G24" s="1" t="s">
        <v>56</v>
      </c>
      <c r="H24" s="1">
        <v>2</v>
      </c>
      <c r="I24" s="23" t="s">
        <v>51</v>
      </c>
      <c r="J24" s="1" t="s">
        <v>57</v>
      </c>
      <c r="K24" s="24">
        <v>44705</v>
      </c>
      <c r="L24" s="1" t="s">
        <v>71</v>
      </c>
      <c r="M24" s="1" t="s">
        <v>71</v>
      </c>
      <c r="N24" s="24">
        <v>44716</v>
      </c>
      <c r="O24" s="24">
        <v>44726</v>
      </c>
      <c r="P24" s="1" t="s">
        <v>71</v>
      </c>
      <c r="Q24" s="1" t="s">
        <v>71</v>
      </c>
      <c r="R24" s="1" t="s">
        <v>71</v>
      </c>
      <c r="S24" s="1" t="s">
        <v>71</v>
      </c>
      <c r="T24" s="1" t="s">
        <v>71</v>
      </c>
      <c r="U24" s="1" t="s">
        <v>71</v>
      </c>
      <c r="V24" s="1" t="s">
        <v>71</v>
      </c>
      <c r="W24" s="1" t="s">
        <v>71</v>
      </c>
      <c r="X24" s="1" t="s">
        <v>71</v>
      </c>
      <c r="Y24" s="1">
        <v>0</v>
      </c>
      <c r="Z24" s="1" t="s">
        <v>71</v>
      </c>
      <c r="AA24" s="1" t="s">
        <v>71</v>
      </c>
      <c r="AB24" s="1" t="s">
        <v>71</v>
      </c>
      <c r="AC24" s="1" t="s">
        <v>71</v>
      </c>
      <c r="AD24" s="25">
        <v>41</v>
      </c>
      <c r="AE24" s="25" t="s">
        <v>71</v>
      </c>
      <c r="AF24" s="25">
        <v>93</v>
      </c>
      <c r="AG24" s="25" t="s">
        <v>71</v>
      </c>
      <c r="AH24" s="1">
        <v>108</v>
      </c>
      <c r="AI24" s="1" t="s">
        <v>71</v>
      </c>
      <c r="AJ24" s="1">
        <v>0.7</v>
      </c>
      <c r="AK24" s="1">
        <v>0</v>
      </c>
      <c r="AL24" s="1">
        <v>0</v>
      </c>
      <c r="AM24" s="1">
        <v>0</v>
      </c>
      <c r="AN24" s="1">
        <v>0.04</v>
      </c>
      <c r="AO24" s="1">
        <v>0.05</v>
      </c>
      <c r="AP24" s="1">
        <v>2E-3</v>
      </c>
      <c r="AQ24" s="1">
        <v>12</v>
      </c>
      <c r="AR24" s="1">
        <v>0</v>
      </c>
      <c r="AS24" s="1">
        <v>0</v>
      </c>
      <c r="AT24" s="1">
        <v>0</v>
      </c>
      <c r="AU24" s="1" t="s">
        <v>71</v>
      </c>
      <c r="AV24" s="1" t="s">
        <v>71</v>
      </c>
      <c r="AW24" s="1" t="s">
        <v>71</v>
      </c>
      <c r="AX24" s="1">
        <v>0</v>
      </c>
      <c r="AY24" s="1">
        <v>0</v>
      </c>
      <c r="AZ24" s="1" t="s">
        <v>71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 t="s">
        <v>71</v>
      </c>
      <c r="BI24" s="1" t="s">
        <v>71</v>
      </c>
      <c r="BJ24" s="1" t="s">
        <v>71</v>
      </c>
      <c r="BK24" s="1">
        <v>5.9999999999999995E-4</v>
      </c>
      <c r="BL24" s="1">
        <f t="shared" si="1"/>
        <v>0.06</v>
      </c>
      <c r="BM24" s="1">
        <v>0.3</v>
      </c>
      <c r="BN24" s="1">
        <v>2E-3</v>
      </c>
      <c r="BO24" s="1">
        <v>1</v>
      </c>
      <c r="BP24" s="1">
        <v>0</v>
      </c>
      <c r="BQ24" s="1" t="s">
        <v>71</v>
      </c>
      <c r="BR24" s="1" t="s">
        <v>71</v>
      </c>
      <c r="BS24" s="1" t="s">
        <v>71</v>
      </c>
      <c r="BT24" s="1" t="s">
        <v>71</v>
      </c>
      <c r="BU24" s="1">
        <v>5</v>
      </c>
      <c r="BV24" s="1" t="s">
        <v>71</v>
      </c>
      <c r="BW24" s="1" t="s">
        <v>71</v>
      </c>
      <c r="BX24" s="1" t="s">
        <v>71</v>
      </c>
      <c r="BY24" s="1">
        <v>16.21</v>
      </c>
      <c r="BZ24" s="3">
        <v>4</v>
      </c>
      <c r="CA24" s="3" t="s">
        <v>71</v>
      </c>
      <c r="CB24" s="3">
        <f t="shared" si="9"/>
        <v>5.5555555555555554</v>
      </c>
      <c r="CC24" s="3" t="s">
        <v>71</v>
      </c>
      <c r="CD24" s="1">
        <v>1</v>
      </c>
      <c r="CE24" s="1">
        <v>1</v>
      </c>
      <c r="CF24" s="1">
        <f t="shared" ref="CF24:CF37" si="12">CE24</f>
        <v>1</v>
      </c>
      <c r="CG24" s="3" t="s">
        <v>71</v>
      </c>
      <c r="CH24" s="3" t="s">
        <v>71</v>
      </c>
      <c r="CI24" s="3" t="s">
        <v>71</v>
      </c>
      <c r="CJ24" s="3" t="s">
        <v>71</v>
      </c>
      <c r="CK24" s="3" t="s">
        <v>71</v>
      </c>
      <c r="CL24" s="3" t="s">
        <v>71</v>
      </c>
      <c r="CM24" s="3" t="s">
        <v>71</v>
      </c>
      <c r="CN24" s="3" t="s">
        <v>71</v>
      </c>
      <c r="CO24" s="1">
        <v>47</v>
      </c>
      <c r="CP24" s="1" t="s">
        <v>71</v>
      </c>
      <c r="CQ24" s="1">
        <v>28.450000000000003</v>
      </c>
      <c r="CR24" s="1" t="s">
        <v>71</v>
      </c>
      <c r="CS24" s="1" t="s">
        <v>71</v>
      </c>
      <c r="CT24" s="1">
        <v>10.6</v>
      </c>
      <c r="CU24" s="1" t="s">
        <v>71</v>
      </c>
      <c r="CV24" s="1" t="s">
        <v>71</v>
      </c>
      <c r="CW24">
        <v>16.91</v>
      </c>
      <c r="CX24" s="1" t="s">
        <v>71</v>
      </c>
      <c r="CY24" s="1">
        <v>11</v>
      </c>
      <c r="CZ24" s="1" t="s">
        <v>71</v>
      </c>
      <c r="DA24">
        <f t="shared" si="11"/>
        <v>611</v>
      </c>
      <c r="DB24" s="1" t="s">
        <v>71</v>
      </c>
      <c r="DC24" s="26">
        <v>11</v>
      </c>
      <c r="DD24">
        <f t="shared" si="4"/>
        <v>611</v>
      </c>
      <c r="DE24" s="1" t="s">
        <v>71</v>
      </c>
      <c r="DF24" s="1" t="s">
        <v>71</v>
      </c>
    </row>
    <row r="25" spans="1:111" x14ac:dyDescent="0.15">
      <c r="A25" s="1">
        <v>2022</v>
      </c>
      <c r="B25" s="1" t="s">
        <v>48</v>
      </c>
      <c r="C25" s="1">
        <v>2</v>
      </c>
      <c r="D25" s="1">
        <v>3</v>
      </c>
      <c r="E25" s="1" t="s">
        <v>52</v>
      </c>
      <c r="F25" s="1"/>
      <c r="G25" s="1" t="s">
        <v>56</v>
      </c>
      <c r="H25" s="1">
        <v>2</v>
      </c>
      <c r="I25" s="23" t="s">
        <v>52</v>
      </c>
      <c r="J25" s="1" t="s">
        <v>57</v>
      </c>
      <c r="K25" s="24">
        <v>44705</v>
      </c>
      <c r="L25" s="1" t="s">
        <v>71</v>
      </c>
      <c r="M25" s="1" t="s">
        <v>71</v>
      </c>
      <c r="N25" s="24">
        <v>44715</v>
      </c>
      <c r="O25" s="24">
        <v>44728</v>
      </c>
      <c r="P25" s="1" t="s">
        <v>71</v>
      </c>
      <c r="Q25" s="1" t="s">
        <v>71</v>
      </c>
      <c r="R25" s="1" t="s">
        <v>71</v>
      </c>
      <c r="S25" s="1" t="s">
        <v>71</v>
      </c>
      <c r="T25" s="1" t="s">
        <v>71</v>
      </c>
      <c r="U25" s="1" t="s">
        <v>71</v>
      </c>
      <c r="V25" s="1" t="s">
        <v>71</v>
      </c>
      <c r="W25" s="1" t="s">
        <v>71</v>
      </c>
      <c r="X25" s="1" t="s">
        <v>71</v>
      </c>
      <c r="Y25" s="1">
        <v>0</v>
      </c>
      <c r="Z25" s="1" t="s">
        <v>71</v>
      </c>
      <c r="AA25" s="1" t="s">
        <v>71</v>
      </c>
      <c r="AB25" s="1" t="s">
        <v>71</v>
      </c>
      <c r="AC25" s="1" t="s">
        <v>71</v>
      </c>
      <c r="AD25" s="25">
        <v>38</v>
      </c>
      <c r="AE25" s="25" t="s">
        <v>71</v>
      </c>
      <c r="AF25" s="25">
        <v>65</v>
      </c>
      <c r="AG25" s="25" t="s">
        <v>71</v>
      </c>
      <c r="AH25" s="1">
        <v>69</v>
      </c>
      <c r="AI25" s="1" t="s">
        <v>71</v>
      </c>
      <c r="AJ25" s="1">
        <v>1.3</v>
      </c>
      <c r="AK25" s="1">
        <v>0</v>
      </c>
      <c r="AL25" s="1">
        <v>0</v>
      </c>
      <c r="AM25" s="1">
        <v>0</v>
      </c>
      <c r="AN25" s="1">
        <v>0.05</v>
      </c>
      <c r="AO25" s="1">
        <v>0.01</v>
      </c>
      <c r="AP25" s="1">
        <v>5.0000000000000001E-4</v>
      </c>
      <c r="AQ25" s="1">
        <v>10</v>
      </c>
      <c r="AR25" s="1">
        <v>0</v>
      </c>
      <c r="AS25" s="1">
        <v>0</v>
      </c>
      <c r="AT25" s="1">
        <v>0</v>
      </c>
      <c r="AU25" s="1" t="s">
        <v>71</v>
      </c>
      <c r="AV25" s="1" t="s">
        <v>71</v>
      </c>
      <c r="AW25" s="1" t="s">
        <v>71</v>
      </c>
      <c r="AX25" s="1">
        <v>0</v>
      </c>
      <c r="AY25" s="1">
        <v>0</v>
      </c>
      <c r="AZ25" s="1" t="s">
        <v>71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 t="s">
        <v>71</v>
      </c>
      <c r="BI25" s="1" t="s">
        <v>71</v>
      </c>
      <c r="BJ25" s="1" t="s">
        <v>71</v>
      </c>
      <c r="BK25" s="1">
        <v>5.0000000000000001E-3</v>
      </c>
      <c r="BL25" s="1">
        <f t="shared" si="1"/>
        <v>0.5</v>
      </c>
      <c r="BM25" s="1">
        <v>1</v>
      </c>
      <c r="BN25" s="1">
        <v>5.0000000000000001E-3</v>
      </c>
      <c r="BO25" s="1">
        <v>1</v>
      </c>
      <c r="BP25" s="1">
        <v>0</v>
      </c>
      <c r="BQ25" s="1" t="s">
        <v>71</v>
      </c>
      <c r="BR25" s="1" t="s">
        <v>71</v>
      </c>
      <c r="BS25" s="1" t="s">
        <v>71</v>
      </c>
      <c r="BT25" s="1" t="s">
        <v>71</v>
      </c>
      <c r="BU25" s="1">
        <v>6</v>
      </c>
      <c r="BV25" s="1" t="s">
        <v>71</v>
      </c>
      <c r="BW25" s="1" t="s">
        <v>71</v>
      </c>
      <c r="BX25" s="1" t="s">
        <v>71</v>
      </c>
      <c r="BY25" s="1">
        <v>23.24</v>
      </c>
      <c r="BZ25" s="3">
        <v>3.6</v>
      </c>
      <c r="CA25" s="3" t="s">
        <v>71</v>
      </c>
      <c r="CB25" s="3">
        <f t="shared" si="9"/>
        <v>5.0000000000000009</v>
      </c>
      <c r="CC25" s="3" t="s">
        <v>71</v>
      </c>
      <c r="CD25" s="1">
        <v>1</v>
      </c>
      <c r="CE25" s="1">
        <v>1</v>
      </c>
      <c r="CF25" s="1">
        <f t="shared" si="12"/>
        <v>1</v>
      </c>
      <c r="CG25" s="3" t="s">
        <v>71</v>
      </c>
      <c r="CH25" s="3" t="s">
        <v>71</v>
      </c>
      <c r="CI25" s="3" t="s">
        <v>71</v>
      </c>
      <c r="CJ25" s="3" t="s">
        <v>71</v>
      </c>
      <c r="CK25" s="3" t="s">
        <v>71</v>
      </c>
      <c r="CL25" s="3" t="s">
        <v>71</v>
      </c>
      <c r="CM25" s="3" t="s">
        <v>71</v>
      </c>
      <c r="CN25" s="3" t="s">
        <v>71</v>
      </c>
      <c r="CO25" s="1">
        <v>44</v>
      </c>
      <c r="CP25" s="1" t="s">
        <v>71</v>
      </c>
      <c r="CQ25" s="1">
        <v>29.1</v>
      </c>
      <c r="CR25" s="1" t="s">
        <v>71</v>
      </c>
      <c r="CS25" s="1" t="s">
        <v>71</v>
      </c>
      <c r="CT25" s="1">
        <v>10.6</v>
      </c>
      <c r="CU25" s="1" t="s">
        <v>71</v>
      </c>
      <c r="CV25" s="1" t="s">
        <v>71</v>
      </c>
      <c r="CW25">
        <v>19.02</v>
      </c>
      <c r="CX25" s="1" t="s">
        <v>71</v>
      </c>
      <c r="CY25" s="1">
        <v>12</v>
      </c>
      <c r="CZ25" s="1" t="s">
        <v>71</v>
      </c>
      <c r="DA25">
        <f t="shared" si="11"/>
        <v>600</v>
      </c>
      <c r="DB25" s="1" t="s">
        <v>71</v>
      </c>
      <c r="DC25" s="26">
        <v>12</v>
      </c>
      <c r="DD25">
        <f t="shared" si="4"/>
        <v>600</v>
      </c>
      <c r="DE25" s="1" t="s">
        <v>71</v>
      </c>
      <c r="DF25" s="1" t="s">
        <v>71</v>
      </c>
    </row>
    <row r="26" spans="1:111" x14ac:dyDescent="0.15">
      <c r="A26" s="1">
        <v>2022</v>
      </c>
      <c r="B26" s="1" t="s">
        <v>48</v>
      </c>
      <c r="C26" s="1">
        <v>2</v>
      </c>
      <c r="D26" s="1">
        <v>4</v>
      </c>
      <c r="E26" s="1" t="s">
        <v>50</v>
      </c>
      <c r="F26" s="1"/>
      <c r="G26" s="1" t="s">
        <v>56</v>
      </c>
      <c r="H26" s="1">
        <v>2</v>
      </c>
      <c r="I26" s="23" t="s">
        <v>50</v>
      </c>
      <c r="J26" s="1" t="s">
        <v>58</v>
      </c>
      <c r="K26" s="24">
        <v>44705</v>
      </c>
      <c r="L26" s="1" t="s">
        <v>71</v>
      </c>
      <c r="M26" s="1" t="s">
        <v>71</v>
      </c>
      <c r="N26" s="24">
        <v>44709</v>
      </c>
      <c r="O26" s="24">
        <v>44719</v>
      </c>
      <c r="P26" s="1" t="s">
        <v>71</v>
      </c>
      <c r="Q26" s="1" t="s">
        <v>71</v>
      </c>
      <c r="R26" s="1" t="s">
        <v>71</v>
      </c>
      <c r="S26" s="1" t="s">
        <v>71</v>
      </c>
      <c r="T26" s="1" t="s">
        <v>71</v>
      </c>
      <c r="U26" s="1" t="s">
        <v>71</v>
      </c>
      <c r="V26" s="1" t="s">
        <v>71</v>
      </c>
      <c r="W26" s="1" t="s">
        <v>71</v>
      </c>
      <c r="X26" s="1" t="s">
        <v>71</v>
      </c>
      <c r="Y26" s="1">
        <v>0</v>
      </c>
      <c r="Z26" s="1" t="s">
        <v>71</v>
      </c>
      <c r="AA26" s="1" t="s">
        <v>71</v>
      </c>
      <c r="AB26" s="1" t="s">
        <v>71</v>
      </c>
      <c r="AC26" s="1" t="s">
        <v>71</v>
      </c>
      <c r="AD26" s="25">
        <v>62</v>
      </c>
      <c r="AE26" s="25" t="s">
        <v>71</v>
      </c>
      <c r="AF26" s="25">
        <v>114</v>
      </c>
      <c r="AG26" s="25" t="s">
        <v>71</v>
      </c>
      <c r="AH26" s="1">
        <v>126</v>
      </c>
      <c r="AI26" s="1" t="s">
        <v>71</v>
      </c>
      <c r="AJ26" s="1">
        <v>2.2999999999999998</v>
      </c>
      <c r="AK26" s="1">
        <v>0</v>
      </c>
      <c r="AL26" s="1">
        <v>0</v>
      </c>
      <c r="AM26" s="1">
        <v>0</v>
      </c>
      <c r="AN26" s="1">
        <v>0.03</v>
      </c>
      <c r="AO26" s="1">
        <v>0.1</v>
      </c>
      <c r="AP26" s="1">
        <v>3.0000000000000001E-3</v>
      </c>
      <c r="AQ26" s="1">
        <v>15</v>
      </c>
      <c r="AR26" s="1">
        <v>0</v>
      </c>
      <c r="AS26" s="1">
        <v>0</v>
      </c>
      <c r="AT26" s="1">
        <v>0</v>
      </c>
      <c r="AU26" s="1" t="s">
        <v>71</v>
      </c>
      <c r="AV26" s="1" t="s">
        <v>71</v>
      </c>
      <c r="AW26" s="1" t="s">
        <v>71</v>
      </c>
      <c r="AX26" s="1">
        <v>0</v>
      </c>
      <c r="AY26" s="1">
        <v>0</v>
      </c>
      <c r="AZ26" s="1" t="s">
        <v>71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 t="s">
        <v>71</v>
      </c>
      <c r="BI26" s="1" t="s">
        <v>71</v>
      </c>
      <c r="BJ26" s="1" t="s">
        <v>71</v>
      </c>
      <c r="BK26" s="1">
        <v>6.0000000000000006E-4</v>
      </c>
      <c r="BL26" s="1">
        <f t="shared" si="1"/>
        <v>6.0000000000000005E-2</v>
      </c>
      <c r="BM26" s="1">
        <v>0.2</v>
      </c>
      <c r="BN26" s="1">
        <v>3.0000000000000001E-3</v>
      </c>
      <c r="BO26" s="1">
        <v>1</v>
      </c>
      <c r="BP26" s="1">
        <v>0</v>
      </c>
      <c r="BQ26" s="1" t="s">
        <v>71</v>
      </c>
      <c r="BR26" s="1" t="s">
        <v>71</v>
      </c>
      <c r="BS26" s="1" t="s">
        <v>71</v>
      </c>
      <c r="BT26" s="1" t="s">
        <v>71</v>
      </c>
      <c r="BU26" s="1">
        <v>8</v>
      </c>
      <c r="BV26" s="1" t="s">
        <v>71</v>
      </c>
      <c r="BW26" s="1" t="s">
        <v>71</v>
      </c>
      <c r="BX26" s="1" t="s">
        <v>71</v>
      </c>
      <c r="BY26" s="1">
        <v>25.89</v>
      </c>
      <c r="BZ26" s="3">
        <v>4.2</v>
      </c>
      <c r="CA26" s="3" t="s">
        <v>71</v>
      </c>
      <c r="CB26" s="3">
        <f t="shared" si="9"/>
        <v>5.8333333333333339</v>
      </c>
      <c r="CC26" s="3" t="s">
        <v>71</v>
      </c>
      <c r="CD26" s="1">
        <v>1</v>
      </c>
      <c r="CE26" s="1">
        <v>1</v>
      </c>
      <c r="CF26" s="1">
        <f t="shared" si="12"/>
        <v>1</v>
      </c>
      <c r="CG26" s="3" t="s">
        <v>71</v>
      </c>
      <c r="CH26" s="3" t="s">
        <v>71</v>
      </c>
      <c r="CI26" s="3" t="s">
        <v>71</v>
      </c>
      <c r="CJ26" s="3" t="s">
        <v>71</v>
      </c>
      <c r="CK26" s="3" t="s">
        <v>71</v>
      </c>
      <c r="CL26" s="3" t="s">
        <v>71</v>
      </c>
      <c r="CM26" s="3" t="s">
        <v>71</v>
      </c>
      <c r="CN26" s="3" t="s">
        <v>71</v>
      </c>
      <c r="CO26" s="1">
        <v>48</v>
      </c>
      <c r="CP26" s="1" t="s">
        <v>71</v>
      </c>
      <c r="CQ26" s="1">
        <v>35</v>
      </c>
      <c r="CR26" s="1" t="s">
        <v>71</v>
      </c>
      <c r="CS26" s="1" t="s">
        <v>71</v>
      </c>
      <c r="CT26" s="1">
        <v>10.7</v>
      </c>
      <c r="CU26" s="1" t="s">
        <v>71</v>
      </c>
      <c r="CV26" s="1" t="s">
        <v>71</v>
      </c>
      <c r="CW26">
        <v>17.18</v>
      </c>
      <c r="CX26" s="1" t="s">
        <v>71</v>
      </c>
      <c r="CY26" s="1">
        <v>11.2</v>
      </c>
      <c r="CZ26" s="1" t="s">
        <v>71</v>
      </c>
      <c r="DA26">
        <f t="shared" si="11"/>
        <v>653</v>
      </c>
      <c r="DB26" s="1" t="s">
        <v>71</v>
      </c>
      <c r="DC26" s="26">
        <v>11.2</v>
      </c>
      <c r="DD26">
        <f t="shared" si="4"/>
        <v>653</v>
      </c>
      <c r="DE26" s="1" t="s">
        <v>71</v>
      </c>
      <c r="DF26" s="1" t="s">
        <v>71</v>
      </c>
    </row>
    <row r="27" spans="1:111" x14ac:dyDescent="0.15">
      <c r="A27" s="1">
        <v>2022</v>
      </c>
      <c r="B27" s="1" t="s">
        <v>48</v>
      </c>
      <c r="C27" s="1">
        <v>2</v>
      </c>
      <c r="D27" s="1">
        <v>5</v>
      </c>
      <c r="E27" s="1" t="s">
        <v>51</v>
      </c>
      <c r="F27" s="1"/>
      <c r="G27" s="1" t="s">
        <v>56</v>
      </c>
      <c r="H27" s="1">
        <v>2</v>
      </c>
      <c r="I27" s="23" t="s">
        <v>51</v>
      </c>
      <c r="J27" s="1" t="s">
        <v>58</v>
      </c>
      <c r="K27" s="24">
        <v>44705</v>
      </c>
      <c r="L27" s="1" t="s">
        <v>71</v>
      </c>
      <c r="M27" s="1" t="s">
        <v>71</v>
      </c>
      <c r="N27" s="24">
        <v>44717</v>
      </c>
      <c r="O27" s="24">
        <v>44724</v>
      </c>
      <c r="P27" s="1" t="s">
        <v>71</v>
      </c>
      <c r="Q27" s="1" t="s">
        <v>71</v>
      </c>
      <c r="R27" s="1" t="s">
        <v>71</v>
      </c>
      <c r="S27" s="1" t="s">
        <v>71</v>
      </c>
      <c r="T27" s="1" t="s">
        <v>71</v>
      </c>
      <c r="U27" s="1" t="s">
        <v>71</v>
      </c>
      <c r="V27" s="1" t="s">
        <v>71</v>
      </c>
      <c r="W27" s="1" t="s">
        <v>71</v>
      </c>
      <c r="X27" s="1" t="s">
        <v>71</v>
      </c>
      <c r="Y27" s="1">
        <v>0</v>
      </c>
      <c r="Z27" s="1" t="s">
        <v>71</v>
      </c>
      <c r="AA27" s="1" t="s">
        <v>71</v>
      </c>
      <c r="AB27" s="1" t="s">
        <v>71</v>
      </c>
      <c r="AC27" s="1" t="s">
        <v>71</v>
      </c>
      <c r="AD27" s="25">
        <v>55</v>
      </c>
      <c r="AE27" s="25" t="s">
        <v>71</v>
      </c>
      <c r="AF27" s="25">
        <v>97</v>
      </c>
      <c r="AG27" s="25" t="s">
        <v>71</v>
      </c>
      <c r="AH27" s="1">
        <v>115</v>
      </c>
      <c r="AI27" s="1" t="s">
        <v>71</v>
      </c>
      <c r="AJ27" s="1">
        <v>3.3</v>
      </c>
      <c r="AK27" s="1">
        <v>0</v>
      </c>
      <c r="AL27" s="1">
        <v>0</v>
      </c>
      <c r="AM27" s="1">
        <v>0</v>
      </c>
      <c r="AN27" s="1">
        <v>0.03</v>
      </c>
      <c r="AO27" s="1">
        <v>0.03</v>
      </c>
      <c r="AP27" s="1">
        <v>8.9999999999999998E-4</v>
      </c>
      <c r="AQ27" s="1">
        <v>16</v>
      </c>
      <c r="AR27" s="1">
        <v>0</v>
      </c>
      <c r="AS27" s="1">
        <v>0</v>
      </c>
      <c r="AT27" s="1">
        <v>0</v>
      </c>
      <c r="AU27" s="1" t="s">
        <v>71</v>
      </c>
      <c r="AV27" s="1" t="s">
        <v>71</v>
      </c>
      <c r="AW27" s="1" t="s">
        <v>71</v>
      </c>
      <c r="AX27" s="1">
        <v>0</v>
      </c>
      <c r="AY27" s="1">
        <v>0</v>
      </c>
      <c r="AZ27" s="1" t="s">
        <v>71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 t="s">
        <v>71</v>
      </c>
      <c r="BI27" s="1" t="s">
        <v>71</v>
      </c>
      <c r="BJ27" s="1" t="s">
        <v>71</v>
      </c>
      <c r="BK27" s="1">
        <v>4.0000000000000002E-4</v>
      </c>
      <c r="BL27" s="1">
        <f t="shared" si="1"/>
        <v>0.04</v>
      </c>
      <c r="BM27" s="1">
        <v>0.4</v>
      </c>
      <c r="BN27" s="1">
        <v>1E-3</v>
      </c>
      <c r="BO27" s="1">
        <v>1</v>
      </c>
      <c r="BP27" s="1">
        <v>0</v>
      </c>
      <c r="BQ27" s="1" t="s">
        <v>71</v>
      </c>
      <c r="BR27" s="1" t="s">
        <v>71</v>
      </c>
      <c r="BS27" s="1" t="s">
        <v>71</v>
      </c>
      <c r="BT27" s="1" t="s">
        <v>71</v>
      </c>
      <c r="BU27" s="1">
        <v>3</v>
      </c>
      <c r="BV27" s="1" t="s">
        <v>71</v>
      </c>
      <c r="BW27" s="1" t="s">
        <v>71</v>
      </c>
      <c r="BX27" s="1" t="s">
        <v>71</v>
      </c>
      <c r="BY27" s="1">
        <v>24.76</v>
      </c>
      <c r="BZ27" s="3">
        <v>4.4000000000000004</v>
      </c>
      <c r="CA27" s="3" t="s">
        <v>71</v>
      </c>
      <c r="CB27" s="3">
        <f t="shared" si="9"/>
        <v>6.1111111111111125</v>
      </c>
      <c r="CC27" s="3" t="s">
        <v>71</v>
      </c>
      <c r="CD27" s="1">
        <v>1</v>
      </c>
      <c r="CE27" s="1">
        <v>1</v>
      </c>
      <c r="CF27" s="1">
        <f t="shared" si="12"/>
        <v>1</v>
      </c>
      <c r="CG27" s="1" t="s">
        <v>71</v>
      </c>
      <c r="CH27" s="1" t="s">
        <v>71</v>
      </c>
      <c r="CI27" s="1" t="s">
        <v>71</v>
      </c>
      <c r="CJ27" s="1" t="s">
        <v>71</v>
      </c>
      <c r="CK27" s="3" t="s">
        <v>71</v>
      </c>
      <c r="CL27" s="3" t="s">
        <v>71</v>
      </c>
      <c r="CM27" s="3" t="s">
        <v>71</v>
      </c>
      <c r="CN27" s="3" t="s">
        <v>71</v>
      </c>
      <c r="CO27" s="1">
        <v>48</v>
      </c>
      <c r="CP27" s="1" t="s">
        <v>71</v>
      </c>
      <c r="CQ27" s="1">
        <v>31.349999999999998</v>
      </c>
      <c r="CR27" s="1" t="s">
        <v>71</v>
      </c>
      <c r="CS27" s="1" t="s">
        <v>71</v>
      </c>
      <c r="CT27" s="1">
        <v>10.9</v>
      </c>
      <c r="CU27" s="1" t="s">
        <v>71</v>
      </c>
      <c r="CV27" s="1" t="s">
        <v>71</v>
      </c>
      <c r="CW27">
        <v>17.28</v>
      </c>
      <c r="CX27" s="1" t="s">
        <v>71</v>
      </c>
      <c r="CY27" s="1">
        <v>10.5</v>
      </c>
      <c r="CZ27" s="1" t="s">
        <v>71</v>
      </c>
      <c r="DA27">
        <f t="shared" si="11"/>
        <v>642</v>
      </c>
      <c r="DB27" s="1" t="s">
        <v>71</v>
      </c>
      <c r="DC27" s="26">
        <v>10.5</v>
      </c>
      <c r="DD27">
        <f t="shared" si="4"/>
        <v>642</v>
      </c>
      <c r="DE27" s="1" t="s">
        <v>71</v>
      </c>
      <c r="DF27" s="1" t="s">
        <v>71</v>
      </c>
    </row>
    <row r="28" spans="1:111" x14ac:dyDescent="0.15">
      <c r="A28" s="1">
        <v>2022</v>
      </c>
      <c r="B28" s="1" t="s">
        <v>48</v>
      </c>
      <c r="C28" s="1">
        <v>2</v>
      </c>
      <c r="D28" s="1">
        <v>6</v>
      </c>
      <c r="E28" s="1" t="s">
        <v>52</v>
      </c>
      <c r="F28" s="1"/>
      <c r="G28" s="1" t="s">
        <v>56</v>
      </c>
      <c r="H28" s="1">
        <v>2</v>
      </c>
      <c r="I28" s="23" t="s">
        <v>52</v>
      </c>
      <c r="J28" s="1" t="s">
        <v>58</v>
      </c>
      <c r="K28" s="24">
        <v>44713</v>
      </c>
      <c r="L28" s="1" t="s">
        <v>71</v>
      </c>
      <c r="M28" s="1" t="s">
        <v>71</v>
      </c>
      <c r="N28" s="24">
        <v>44717</v>
      </c>
      <c r="O28" s="24">
        <v>44728</v>
      </c>
      <c r="P28" s="1" t="s">
        <v>71</v>
      </c>
      <c r="Q28" s="1" t="s">
        <v>71</v>
      </c>
      <c r="R28" s="1" t="s">
        <v>71</v>
      </c>
      <c r="S28" s="1" t="s">
        <v>71</v>
      </c>
      <c r="T28" s="1" t="s">
        <v>71</v>
      </c>
      <c r="U28" s="1" t="s">
        <v>71</v>
      </c>
      <c r="V28" s="1" t="s">
        <v>71</v>
      </c>
      <c r="W28" s="1" t="s">
        <v>71</v>
      </c>
      <c r="X28" s="1" t="s">
        <v>71</v>
      </c>
      <c r="Y28" s="1">
        <v>0</v>
      </c>
      <c r="Z28" s="1" t="s">
        <v>71</v>
      </c>
      <c r="AA28" s="1" t="s">
        <v>71</v>
      </c>
      <c r="AB28" s="1" t="s">
        <v>71</v>
      </c>
      <c r="AC28" s="1" t="s">
        <v>71</v>
      </c>
      <c r="AD28" s="25">
        <v>50</v>
      </c>
      <c r="AE28" s="25" t="s">
        <v>71</v>
      </c>
      <c r="AF28" s="25">
        <v>71</v>
      </c>
      <c r="AG28" s="25" t="s">
        <v>71</v>
      </c>
      <c r="AH28" s="1">
        <v>86</v>
      </c>
      <c r="AI28" s="1" t="s">
        <v>71</v>
      </c>
      <c r="AJ28" s="1">
        <v>2</v>
      </c>
      <c r="AK28" s="1">
        <v>0</v>
      </c>
      <c r="AL28" s="1">
        <v>0</v>
      </c>
      <c r="AM28" s="1">
        <v>0</v>
      </c>
      <c r="AN28" s="1">
        <v>0.02</v>
      </c>
      <c r="AO28" s="1">
        <v>0.05</v>
      </c>
      <c r="AP28" s="1">
        <v>1E-3</v>
      </c>
      <c r="AQ28" s="1">
        <v>18</v>
      </c>
      <c r="AR28" s="1">
        <v>0</v>
      </c>
      <c r="AS28" s="1">
        <v>0</v>
      </c>
      <c r="AT28" s="1">
        <v>0</v>
      </c>
      <c r="AU28" s="1" t="s">
        <v>71</v>
      </c>
      <c r="AV28" s="1" t="s">
        <v>71</v>
      </c>
      <c r="AW28" s="1" t="s">
        <v>71</v>
      </c>
      <c r="AX28" s="1">
        <v>0</v>
      </c>
      <c r="AY28" s="1">
        <v>0</v>
      </c>
      <c r="AZ28" s="1" t="s">
        <v>71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 t="s">
        <v>71</v>
      </c>
      <c r="BI28" s="1" t="s">
        <v>71</v>
      </c>
      <c r="BJ28" s="1" t="s">
        <v>71</v>
      </c>
      <c r="BK28" s="1">
        <v>1.8E-3</v>
      </c>
      <c r="BL28" s="1">
        <f t="shared" si="1"/>
        <v>0.18</v>
      </c>
      <c r="BM28" s="1">
        <v>0.3</v>
      </c>
      <c r="BN28" s="1">
        <v>6.0000000000000001E-3</v>
      </c>
      <c r="BO28" s="1">
        <v>1</v>
      </c>
      <c r="BP28" s="1">
        <v>0</v>
      </c>
      <c r="BQ28" s="1" t="s">
        <v>71</v>
      </c>
      <c r="BR28" s="1" t="s">
        <v>71</v>
      </c>
      <c r="BS28" s="1" t="s">
        <v>71</v>
      </c>
      <c r="BT28" s="1" t="s">
        <v>71</v>
      </c>
      <c r="BU28" s="1">
        <v>10</v>
      </c>
      <c r="BV28" s="1" t="s">
        <v>71</v>
      </c>
      <c r="BW28" s="1" t="s">
        <v>71</v>
      </c>
      <c r="BX28" s="1" t="s">
        <v>71</v>
      </c>
      <c r="BY28" s="1">
        <v>24.27</v>
      </c>
      <c r="BZ28" s="3">
        <v>4.0999999999999996</v>
      </c>
      <c r="CA28" s="3" t="s">
        <v>71</v>
      </c>
      <c r="CB28" s="3">
        <f t="shared" si="9"/>
        <v>5.6944444444444446</v>
      </c>
      <c r="CC28" s="3" t="s">
        <v>71</v>
      </c>
      <c r="CD28" s="1">
        <v>1</v>
      </c>
      <c r="CE28" s="1">
        <v>1</v>
      </c>
      <c r="CF28" s="1">
        <f t="shared" si="12"/>
        <v>1</v>
      </c>
      <c r="CG28" s="1" t="s">
        <v>71</v>
      </c>
      <c r="CH28" s="1" t="s">
        <v>71</v>
      </c>
      <c r="CI28" s="1" t="s">
        <v>71</v>
      </c>
      <c r="CJ28" s="1" t="s">
        <v>71</v>
      </c>
      <c r="CK28" s="3" t="s">
        <v>71</v>
      </c>
      <c r="CL28" s="3" t="s">
        <v>71</v>
      </c>
      <c r="CM28" s="3" t="s">
        <v>71</v>
      </c>
      <c r="CN28" s="3" t="s">
        <v>71</v>
      </c>
      <c r="CO28" s="1">
        <v>46</v>
      </c>
      <c r="CP28" s="1" t="s">
        <v>71</v>
      </c>
      <c r="CQ28" s="1">
        <v>29.1</v>
      </c>
      <c r="CR28" s="1" t="s">
        <v>71</v>
      </c>
      <c r="CS28" s="1" t="s">
        <v>71</v>
      </c>
      <c r="CT28" s="1">
        <v>10.9</v>
      </c>
      <c r="CU28" s="1" t="s">
        <v>71</v>
      </c>
      <c r="CV28" s="1" t="s">
        <v>71</v>
      </c>
      <c r="CW28">
        <v>16.72</v>
      </c>
      <c r="CX28" s="1" t="s">
        <v>71</v>
      </c>
      <c r="CY28" s="1">
        <v>11.4</v>
      </c>
      <c r="CZ28" s="1" t="s">
        <v>71</v>
      </c>
      <c r="DA28">
        <f t="shared" si="11"/>
        <v>649</v>
      </c>
      <c r="DB28" s="1" t="s">
        <v>71</v>
      </c>
      <c r="DC28" s="26">
        <v>11.4</v>
      </c>
      <c r="DD28">
        <f t="shared" si="4"/>
        <v>649</v>
      </c>
      <c r="DE28" s="1" t="s">
        <v>71</v>
      </c>
      <c r="DF28" s="1" t="s">
        <v>71</v>
      </c>
    </row>
    <row r="29" spans="1:111" x14ac:dyDescent="0.15">
      <c r="A29" s="1">
        <v>2022</v>
      </c>
      <c r="B29" s="1" t="s">
        <v>48</v>
      </c>
      <c r="C29" s="1">
        <v>2</v>
      </c>
      <c r="D29" s="1">
        <v>7</v>
      </c>
      <c r="E29" s="1"/>
      <c r="F29" s="1" t="s">
        <v>53</v>
      </c>
      <c r="G29" s="1" t="s">
        <v>56</v>
      </c>
      <c r="H29" s="1">
        <v>2</v>
      </c>
      <c r="I29" s="23" t="s">
        <v>53</v>
      </c>
      <c r="J29" s="1" t="s">
        <v>57</v>
      </c>
      <c r="K29" s="24">
        <v>44693</v>
      </c>
      <c r="L29" s="1" t="s">
        <v>71</v>
      </c>
      <c r="M29" s="1" t="s">
        <v>71</v>
      </c>
      <c r="N29" s="1" t="s">
        <v>71</v>
      </c>
      <c r="O29" s="1" t="s">
        <v>71</v>
      </c>
      <c r="P29" s="24">
        <v>44699</v>
      </c>
      <c r="Q29" s="1" t="s">
        <v>71</v>
      </c>
      <c r="R29" s="1" t="s">
        <v>71</v>
      </c>
      <c r="S29" s="1" t="s">
        <v>71</v>
      </c>
      <c r="T29" s="1" t="s">
        <v>71</v>
      </c>
      <c r="U29" s="1" t="s">
        <v>71</v>
      </c>
      <c r="V29" s="1" t="s">
        <v>71</v>
      </c>
      <c r="W29" s="1" t="s">
        <v>71</v>
      </c>
      <c r="X29" s="1">
        <v>60</v>
      </c>
      <c r="Y29" s="1" t="s">
        <v>71</v>
      </c>
      <c r="Z29" s="1" t="s">
        <v>71</v>
      </c>
      <c r="AA29" s="1" t="s">
        <v>71</v>
      </c>
      <c r="AB29" s="1" t="s">
        <v>71</v>
      </c>
      <c r="AC29" s="1" t="s">
        <v>71</v>
      </c>
      <c r="AD29" s="25" t="s">
        <v>71</v>
      </c>
      <c r="AE29" s="25">
        <v>36</v>
      </c>
      <c r="AF29" s="25">
        <v>80</v>
      </c>
      <c r="AG29" s="25" t="s">
        <v>71</v>
      </c>
      <c r="AH29" s="1">
        <v>42</v>
      </c>
      <c r="AI29" s="1">
        <v>38</v>
      </c>
      <c r="AJ29" s="1" t="s">
        <v>71</v>
      </c>
      <c r="AK29" s="1" t="s">
        <v>71</v>
      </c>
      <c r="AL29" s="1" t="s">
        <v>71</v>
      </c>
      <c r="AM29" s="1" t="s">
        <v>71</v>
      </c>
      <c r="AN29" s="1" t="s">
        <v>71</v>
      </c>
      <c r="AO29" s="1" t="s">
        <v>71</v>
      </c>
      <c r="AP29" s="1" t="s">
        <v>71</v>
      </c>
      <c r="AQ29" s="1" t="s">
        <v>71</v>
      </c>
      <c r="AR29" s="1" t="s">
        <v>71</v>
      </c>
      <c r="AS29" s="1" t="s">
        <v>71</v>
      </c>
      <c r="AT29" s="1" t="s">
        <v>71</v>
      </c>
      <c r="AU29" s="1">
        <v>0</v>
      </c>
      <c r="AV29" s="1">
        <v>0</v>
      </c>
      <c r="AW29" s="1">
        <v>0</v>
      </c>
      <c r="AX29" s="1" t="s">
        <v>71</v>
      </c>
      <c r="AY29" s="1" t="s">
        <v>71</v>
      </c>
      <c r="AZ29" s="1">
        <v>0</v>
      </c>
      <c r="BA29" s="1" t="s">
        <v>71</v>
      </c>
      <c r="BB29" s="1" t="s">
        <v>71</v>
      </c>
      <c r="BC29" s="1" t="s">
        <v>71</v>
      </c>
      <c r="BD29" s="1" t="s">
        <v>71</v>
      </c>
      <c r="BE29" s="1" t="s">
        <v>71</v>
      </c>
      <c r="BF29" s="1" t="s">
        <v>71</v>
      </c>
      <c r="BG29" s="1" t="s">
        <v>71</v>
      </c>
      <c r="BH29" s="1">
        <v>3</v>
      </c>
      <c r="BI29" s="1" t="s">
        <v>71</v>
      </c>
      <c r="BJ29" s="1" t="s">
        <v>71</v>
      </c>
      <c r="BK29" s="1">
        <v>2E-3</v>
      </c>
      <c r="BL29" s="1">
        <f t="shared" si="1"/>
        <v>0.2</v>
      </c>
      <c r="BM29" s="1">
        <v>1</v>
      </c>
      <c r="BN29" s="1">
        <v>2E-3</v>
      </c>
      <c r="BO29" s="1">
        <v>2</v>
      </c>
      <c r="BP29" s="1">
        <v>0</v>
      </c>
      <c r="BQ29" s="1">
        <v>161</v>
      </c>
      <c r="BR29" s="1">
        <v>36</v>
      </c>
      <c r="BS29" s="1">
        <v>2</v>
      </c>
      <c r="BT29" s="1">
        <v>11</v>
      </c>
      <c r="BU29" s="1" t="s">
        <v>71</v>
      </c>
      <c r="BV29" s="1">
        <v>6</v>
      </c>
      <c r="BW29" s="1">
        <v>4</v>
      </c>
      <c r="BX29" s="1">
        <v>20.96</v>
      </c>
      <c r="BY29" s="1" t="s">
        <v>71</v>
      </c>
      <c r="BZ29" s="3" t="s">
        <v>71</v>
      </c>
      <c r="CA29" s="3">
        <v>3</v>
      </c>
      <c r="CB29" s="1" t="s">
        <v>71</v>
      </c>
      <c r="CC29" s="3">
        <f t="shared" si="6"/>
        <v>4.166666666666667</v>
      </c>
      <c r="CD29" s="1">
        <v>1</v>
      </c>
      <c r="CE29" s="1">
        <v>1</v>
      </c>
      <c r="CF29" s="1">
        <f t="shared" si="12"/>
        <v>1</v>
      </c>
      <c r="CG29" s="1" t="s">
        <v>71</v>
      </c>
      <c r="CH29" s="1" t="s">
        <v>71</v>
      </c>
      <c r="CI29" s="1" t="s">
        <v>71</v>
      </c>
      <c r="CJ29" s="1" t="s">
        <v>71</v>
      </c>
      <c r="CK29" s="3" t="s">
        <v>71</v>
      </c>
      <c r="CL29" s="3" t="s">
        <v>71</v>
      </c>
      <c r="CM29" s="3" t="s">
        <v>71</v>
      </c>
      <c r="CN29" s="3" t="s">
        <v>71</v>
      </c>
      <c r="CO29" s="1" t="s">
        <v>71</v>
      </c>
      <c r="CP29" s="1" t="s">
        <v>71</v>
      </c>
      <c r="CQ29" s="1" t="s">
        <v>71</v>
      </c>
      <c r="CR29" s="1">
        <v>138.65</v>
      </c>
      <c r="CS29" s="1">
        <v>34</v>
      </c>
      <c r="CT29" s="1" t="s">
        <v>71</v>
      </c>
      <c r="CU29" s="1">
        <v>9.9</v>
      </c>
      <c r="CV29">
        <v>54.32</v>
      </c>
      <c r="CW29" t="s">
        <v>71</v>
      </c>
      <c r="CX29" t="e">
        <f>ROUND(CV29*#REF!/10,1)</f>
        <v>#REF!</v>
      </c>
      <c r="CY29" s="1" t="s">
        <v>71</v>
      </c>
      <c r="CZ29" t="e">
        <f t="shared" ref="CZ29:CZ40" si="13">ROUND(CX29/100*CA29, 2)*1000</f>
        <v>#REF!</v>
      </c>
      <c r="DA29" s="1" t="s">
        <v>71</v>
      </c>
      <c r="DB29" s="1" t="s">
        <v>71</v>
      </c>
      <c r="DC29" s="26" t="s">
        <v>71</v>
      </c>
      <c r="DD29" t="e">
        <f t="shared" si="4"/>
        <v>#REF!</v>
      </c>
      <c r="DE29" s="1" t="s">
        <v>71</v>
      </c>
      <c r="DF29" s="1" t="s">
        <v>71</v>
      </c>
    </row>
    <row r="30" spans="1:111" x14ac:dyDescent="0.15">
      <c r="A30" s="1">
        <v>2022</v>
      </c>
      <c r="B30" s="1" t="s">
        <v>48</v>
      </c>
      <c r="C30" s="1">
        <v>2</v>
      </c>
      <c r="D30" s="1">
        <v>8</v>
      </c>
      <c r="E30" s="1"/>
      <c r="F30" s="1" t="s">
        <v>54</v>
      </c>
      <c r="G30" s="1" t="s">
        <v>56</v>
      </c>
      <c r="H30" s="1">
        <v>2</v>
      </c>
      <c r="I30" s="23" t="s">
        <v>54</v>
      </c>
      <c r="J30" s="1" t="s">
        <v>57</v>
      </c>
      <c r="K30" s="24">
        <v>44693</v>
      </c>
      <c r="L30" s="1" t="s">
        <v>71</v>
      </c>
      <c r="M30" s="1" t="s">
        <v>71</v>
      </c>
      <c r="N30" s="1" t="s">
        <v>71</v>
      </c>
      <c r="O30" s="1" t="s">
        <v>71</v>
      </c>
      <c r="P30" s="24">
        <v>44699</v>
      </c>
      <c r="Q30" s="1" t="s">
        <v>71</v>
      </c>
      <c r="R30" s="1" t="s">
        <v>71</v>
      </c>
      <c r="S30" s="1" t="s">
        <v>71</v>
      </c>
      <c r="T30" s="1" t="s">
        <v>71</v>
      </c>
      <c r="U30" s="1" t="s">
        <v>71</v>
      </c>
      <c r="V30" s="1" t="s">
        <v>71</v>
      </c>
      <c r="W30" s="1" t="s">
        <v>71</v>
      </c>
      <c r="X30" s="1">
        <v>90</v>
      </c>
      <c r="Y30" s="1" t="s">
        <v>71</v>
      </c>
      <c r="Z30" s="1" t="s">
        <v>71</v>
      </c>
      <c r="AA30" s="1" t="s">
        <v>71</v>
      </c>
      <c r="AB30" s="1" t="s">
        <v>71</v>
      </c>
      <c r="AC30" s="1" t="s">
        <v>71</v>
      </c>
      <c r="AD30" s="25" t="s">
        <v>71</v>
      </c>
      <c r="AE30" s="25">
        <v>36</v>
      </c>
      <c r="AF30" s="25" t="s">
        <v>71</v>
      </c>
      <c r="AG30" s="25">
        <v>83</v>
      </c>
      <c r="AH30" s="1" t="s">
        <v>71</v>
      </c>
      <c r="AI30" s="1">
        <v>39</v>
      </c>
      <c r="AJ30" s="1" t="s">
        <v>71</v>
      </c>
      <c r="AK30" s="1" t="s">
        <v>71</v>
      </c>
      <c r="AL30" s="1" t="s">
        <v>71</v>
      </c>
      <c r="AM30" s="1" t="s">
        <v>71</v>
      </c>
      <c r="AN30" s="1" t="s">
        <v>71</v>
      </c>
      <c r="AO30" s="1" t="s">
        <v>71</v>
      </c>
      <c r="AP30" s="1" t="s">
        <v>71</v>
      </c>
      <c r="AQ30" s="1" t="s">
        <v>71</v>
      </c>
      <c r="AR30" s="1" t="s">
        <v>71</v>
      </c>
      <c r="AS30" s="1" t="s">
        <v>71</v>
      </c>
      <c r="AT30" s="1" t="s">
        <v>71</v>
      </c>
      <c r="AU30" s="1">
        <v>0</v>
      </c>
      <c r="AV30" s="1">
        <v>0</v>
      </c>
      <c r="AW30" s="1">
        <v>0</v>
      </c>
      <c r="AX30" s="1" t="s">
        <v>71</v>
      </c>
      <c r="AY30" s="1" t="s">
        <v>71</v>
      </c>
      <c r="AZ30" s="1">
        <v>0</v>
      </c>
      <c r="BA30" s="1" t="s">
        <v>71</v>
      </c>
      <c r="BB30" s="1" t="s">
        <v>71</v>
      </c>
      <c r="BC30" s="1" t="s">
        <v>71</v>
      </c>
      <c r="BD30" s="1" t="s">
        <v>71</v>
      </c>
      <c r="BE30" s="1" t="s">
        <v>71</v>
      </c>
      <c r="BF30" s="1" t="s">
        <v>71</v>
      </c>
      <c r="BG30" s="1" t="s">
        <v>71</v>
      </c>
      <c r="BH30" s="1">
        <v>3</v>
      </c>
      <c r="BI30" s="1" t="s">
        <v>71</v>
      </c>
      <c r="BJ30" s="1" t="s">
        <v>71</v>
      </c>
      <c r="BK30" s="1">
        <v>0.15</v>
      </c>
      <c r="BL30" s="1">
        <f t="shared" si="1"/>
        <v>15</v>
      </c>
      <c r="BM30" s="1">
        <v>1</v>
      </c>
      <c r="BN30" s="1">
        <v>0.15</v>
      </c>
      <c r="BO30" s="1">
        <v>2</v>
      </c>
      <c r="BP30" s="1">
        <v>0</v>
      </c>
      <c r="BQ30" s="1">
        <v>92</v>
      </c>
      <c r="BR30" s="1">
        <v>52</v>
      </c>
      <c r="BS30" s="1">
        <v>1</v>
      </c>
      <c r="BT30" s="1">
        <v>8</v>
      </c>
      <c r="BU30" s="1" t="s">
        <v>71</v>
      </c>
      <c r="BV30" s="1">
        <v>7</v>
      </c>
      <c r="BW30" s="1">
        <v>8</v>
      </c>
      <c r="BX30" s="1">
        <v>20.09</v>
      </c>
      <c r="BY30" s="1" t="s">
        <v>71</v>
      </c>
      <c r="BZ30" s="3" t="s">
        <v>71</v>
      </c>
      <c r="CA30" s="3">
        <v>2.4</v>
      </c>
      <c r="CB30" s="1" t="s">
        <v>71</v>
      </c>
      <c r="CC30" s="3">
        <f t="shared" si="6"/>
        <v>3.3333333333333339</v>
      </c>
      <c r="CD30" s="1">
        <v>1</v>
      </c>
      <c r="CE30" s="1">
        <v>1</v>
      </c>
      <c r="CF30" s="1">
        <f t="shared" si="12"/>
        <v>1</v>
      </c>
      <c r="CG30" s="1" t="s">
        <v>71</v>
      </c>
      <c r="CH30" s="1" t="s">
        <v>71</v>
      </c>
      <c r="CI30" s="1" t="s">
        <v>71</v>
      </c>
      <c r="CJ30" s="1" t="s">
        <v>71</v>
      </c>
      <c r="CK30" s="3" t="s">
        <v>71</v>
      </c>
      <c r="CL30" s="3" t="s">
        <v>71</v>
      </c>
      <c r="CM30" s="3" t="s">
        <v>71</v>
      </c>
      <c r="CN30" s="3" t="s">
        <v>71</v>
      </c>
      <c r="CO30" s="1" t="s">
        <v>71</v>
      </c>
      <c r="CP30" s="1" t="s">
        <v>71</v>
      </c>
      <c r="CQ30" s="1" t="s">
        <v>71</v>
      </c>
      <c r="CR30" s="1">
        <v>132.30000000000001</v>
      </c>
      <c r="CS30" s="1">
        <v>41</v>
      </c>
      <c r="CT30" s="1" t="s">
        <v>71</v>
      </c>
      <c r="CU30" s="1">
        <v>10</v>
      </c>
      <c r="CV30">
        <v>65.89</v>
      </c>
      <c r="CW30" t="s">
        <v>71</v>
      </c>
      <c r="CX30" t="e">
        <f>ROUND(CV30*#REF!/10,1)</f>
        <v>#REF!</v>
      </c>
      <c r="CY30" s="1" t="s">
        <v>71</v>
      </c>
      <c r="CZ30" t="e">
        <f t="shared" si="13"/>
        <v>#REF!</v>
      </c>
      <c r="DA30" s="1" t="s">
        <v>71</v>
      </c>
      <c r="DB30" s="1" t="s">
        <v>71</v>
      </c>
      <c r="DC30" s="26" t="s">
        <v>71</v>
      </c>
      <c r="DD30" t="e">
        <f t="shared" si="4"/>
        <v>#REF!</v>
      </c>
      <c r="DE30" s="1" t="s">
        <v>71</v>
      </c>
      <c r="DF30" s="1" t="s">
        <v>71</v>
      </c>
    </row>
    <row r="31" spans="1:111" x14ac:dyDescent="0.15">
      <c r="A31" s="1">
        <v>2022</v>
      </c>
      <c r="B31" s="1" t="s">
        <v>48</v>
      </c>
      <c r="C31" s="1">
        <v>2</v>
      </c>
      <c r="D31" s="1">
        <v>9</v>
      </c>
      <c r="E31" s="1"/>
      <c r="F31" s="1" t="s">
        <v>55</v>
      </c>
      <c r="G31" s="1" t="s">
        <v>56</v>
      </c>
      <c r="H31" s="1">
        <v>2</v>
      </c>
      <c r="I31" s="23" t="s">
        <v>55</v>
      </c>
      <c r="J31" s="1" t="s">
        <v>57</v>
      </c>
      <c r="K31" s="24">
        <v>44693</v>
      </c>
      <c r="L31" s="1" t="s">
        <v>71</v>
      </c>
      <c r="M31" s="1" t="s">
        <v>71</v>
      </c>
      <c r="N31" s="1" t="s">
        <v>71</v>
      </c>
      <c r="O31" s="1" t="s">
        <v>71</v>
      </c>
      <c r="P31" s="24">
        <v>44698</v>
      </c>
      <c r="Q31" s="1" t="s">
        <v>71</v>
      </c>
      <c r="R31" s="1" t="s">
        <v>71</v>
      </c>
      <c r="S31" s="1" t="s">
        <v>71</v>
      </c>
      <c r="T31" s="1" t="s">
        <v>71</v>
      </c>
      <c r="U31" s="1" t="s">
        <v>71</v>
      </c>
      <c r="V31" s="1" t="s">
        <v>71</v>
      </c>
      <c r="W31" s="1" t="s">
        <v>71</v>
      </c>
      <c r="X31" s="1">
        <v>0</v>
      </c>
      <c r="Y31" s="1" t="s">
        <v>71</v>
      </c>
      <c r="Z31" s="1" t="s">
        <v>71</v>
      </c>
      <c r="AA31" s="1" t="s">
        <v>71</v>
      </c>
      <c r="AB31" s="1" t="s">
        <v>71</v>
      </c>
      <c r="AC31" s="1" t="s">
        <v>71</v>
      </c>
      <c r="AD31" s="25" t="s">
        <v>71</v>
      </c>
      <c r="AE31" s="25">
        <v>40</v>
      </c>
      <c r="AF31" s="25" t="s">
        <v>71</v>
      </c>
      <c r="AG31" s="25">
        <v>79</v>
      </c>
      <c r="AH31" s="1" t="s">
        <v>71</v>
      </c>
      <c r="AI31" s="1">
        <v>92</v>
      </c>
      <c r="AJ31" s="1" t="s">
        <v>71</v>
      </c>
      <c r="AK31" s="1" t="s">
        <v>71</v>
      </c>
      <c r="AL31" s="1" t="s">
        <v>71</v>
      </c>
      <c r="AM31" s="1" t="s">
        <v>71</v>
      </c>
      <c r="AN31" s="1" t="s">
        <v>71</v>
      </c>
      <c r="AO31" s="1" t="s">
        <v>71</v>
      </c>
      <c r="AP31" s="1" t="s">
        <v>71</v>
      </c>
      <c r="AQ31" s="1" t="s">
        <v>71</v>
      </c>
      <c r="AR31" s="1" t="s">
        <v>71</v>
      </c>
      <c r="AS31" s="1" t="s">
        <v>71</v>
      </c>
      <c r="AT31" s="1" t="s">
        <v>71</v>
      </c>
      <c r="AU31" s="1">
        <v>0</v>
      </c>
      <c r="AV31" s="1">
        <v>0</v>
      </c>
      <c r="AW31" s="1">
        <v>0</v>
      </c>
      <c r="AX31" s="1" t="s">
        <v>71</v>
      </c>
      <c r="AY31" s="1" t="s">
        <v>71</v>
      </c>
      <c r="AZ31" s="1">
        <v>0</v>
      </c>
      <c r="BA31" s="1" t="s">
        <v>71</v>
      </c>
      <c r="BB31" s="1" t="s">
        <v>71</v>
      </c>
      <c r="BC31" s="1" t="s">
        <v>71</v>
      </c>
      <c r="BD31" s="1" t="s">
        <v>71</v>
      </c>
      <c r="BE31" s="1" t="s">
        <v>71</v>
      </c>
      <c r="BF31" s="1" t="s">
        <v>71</v>
      </c>
      <c r="BG31" s="1" t="s">
        <v>71</v>
      </c>
      <c r="BH31" s="1" t="s">
        <v>71</v>
      </c>
      <c r="BI31" s="1" t="s">
        <v>71</v>
      </c>
      <c r="BJ31" s="1" t="s">
        <v>71</v>
      </c>
      <c r="BK31" s="1">
        <v>5.0000000000000001E-3</v>
      </c>
      <c r="BL31" s="1">
        <f t="shared" si="1"/>
        <v>0.5</v>
      </c>
      <c r="BM31" s="1">
        <v>1</v>
      </c>
      <c r="BN31" s="1">
        <v>5.0000000000000001E-3</v>
      </c>
      <c r="BO31" s="1">
        <v>1</v>
      </c>
      <c r="BP31" s="1">
        <v>0</v>
      </c>
      <c r="BQ31" s="1">
        <v>157</v>
      </c>
      <c r="BR31" s="1">
        <v>26</v>
      </c>
      <c r="BS31" s="1">
        <v>1</v>
      </c>
      <c r="BT31" s="1">
        <v>10</v>
      </c>
      <c r="BU31" s="1" t="s">
        <v>71</v>
      </c>
      <c r="BV31" s="1">
        <v>6</v>
      </c>
      <c r="BW31" s="1">
        <v>5</v>
      </c>
      <c r="BX31" s="1">
        <v>19.59</v>
      </c>
      <c r="BY31" s="1" t="s">
        <v>71</v>
      </c>
      <c r="BZ31" s="3" t="s">
        <v>71</v>
      </c>
      <c r="CA31" s="3">
        <v>2.7</v>
      </c>
      <c r="CB31" s="1" t="s">
        <v>71</v>
      </c>
      <c r="CC31" s="3">
        <f t="shared" si="6"/>
        <v>3.7500000000000004</v>
      </c>
      <c r="CD31" s="1">
        <v>1</v>
      </c>
      <c r="CE31" s="1">
        <v>1</v>
      </c>
      <c r="CF31" s="1">
        <f t="shared" si="12"/>
        <v>1</v>
      </c>
      <c r="CG31" s="1" t="s">
        <v>71</v>
      </c>
      <c r="CH31" s="1" t="s">
        <v>71</v>
      </c>
      <c r="CI31" s="1" t="s">
        <v>71</v>
      </c>
      <c r="CJ31" s="1" t="s">
        <v>71</v>
      </c>
      <c r="CK31" s="3" t="s">
        <v>71</v>
      </c>
      <c r="CL31" s="3" t="s">
        <v>71</v>
      </c>
      <c r="CM31" s="3" t="s">
        <v>71</v>
      </c>
      <c r="CN31" s="3" t="s">
        <v>71</v>
      </c>
      <c r="CO31" s="1" t="s">
        <v>71</v>
      </c>
      <c r="CP31" s="1" t="s">
        <v>71</v>
      </c>
      <c r="CQ31" s="1" t="s">
        <v>71</v>
      </c>
      <c r="CR31" s="1">
        <v>152.25</v>
      </c>
      <c r="CS31" s="1">
        <v>41</v>
      </c>
      <c r="CT31" s="1" t="s">
        <v>71</v>
      </c>
      <c r="CU31" s="1">
        <v>9.1999999999999993</v>
      </c>
      <c r="CV31">
        <v>56.82</v>
      </c>
      <c r="CW31" t="s">
        <v>71</v>
      </c>
      <c r="CX31" t="e">
        <f>ROUND(CV31*#REF!/10,1)</f>
        <v>#REF!</v>
      </c>
      <c r="CY31" s="1" t="s">
        <v>71</v>
      </c>
      <c r="CZ31" t="e">
        <f t="shared" si="13"/>
        <v>#REF!</v>
      </c>
      <c r="DA31" s="1" t="s">
        <v>71</v>
      </c>
      <c r="DB31" s="1" t="s">
        <v>71</v>
      </c>
      <c r="DC31" s="26" t="s">
        <v>71</v>
      </c>
      <c r="DD31" t="e">
        <f t="shared" si="4"/>
        <v>#REF!</v>
      </c>
      <c r="DE31" s="1" t="s">
        <v>71</v>
      </c>
      <c r="DF31" s="1" t="s">
        <v>71</v>
      </c>
    </row>
    <row r="32" spans="1:111" x14ac:dyDescent="0.15">
      <c r="A32" s="1">
        <v>2022</v>
      </c>
      <c r="B32" s="1" t="s">
        <v>48</v>
      </c>
      <c r="C32" s="1">
        <v>2</v>
      </c>
      <c r="D32" s="1">
        <v>10</v>
      </c>
      <c r="E32" s="1" t="s">
        <v>50</v>
      </c>
      <c r="F32" s="1" t="s">
        <v>53</v>
      </c>
      <c r="G32" s="1" t="s">
        <v>5</v>
      </c>
      <c r="H32" s="1">
        <v>2</v>
      </c>
      <c r="I32" s="23" t="s">
        <v>60</v>
      </c>
      <c r="J32" s="1" t="s">
        <v>57</v>
      </c>
      <c r="K32" s="24">
        <v>44693</v>
      </c>
      <c r="L32" s="1">
        <f>K32-K26</f>
        <v>-12</v>
      </c>
      <c r="M32" s="1">
        <f>K32-K29</f>
        <v>0</v>
      </c>
      <c r="N32" s="24">
        <v>44713</v>
      </c>
      <c r="O32" s="24">
        <v>44721</v>
      </c>
      <c r="P32" s="1" t="s">
        <v>71</v>
      </c>
      <c r="Q32" s="27" t="s">
        <v>71</v>
      </c>
      <c r="R32" s="1">
        <f>N32-N26</f>
        <v>4</v>
      </c>
      <c r="S32" s="1">
        <f>O32-O26</f>
        <v>2</v>
      </c>
      <c r="T32" s="1">
        <f>AVERAGE(R32,S32)</f>
        <v>3</v>
      </c>
      <c r="U32" s="1" t="s">
        <v>71</v>
      </c>
      <c r="V32" s="1" t="s">
        <v>71</v>
      </c>
      <c r="W32" s="1">
        <v>-2</v>
      </c>
      <c r="X32" s="1">
        <v>90</v>
      </c>
      <c r="Y32" s="1">
        <v>0</v>
      </c>
      <c r="Z32" s="1" t="s">
        <v>71</v>
      </c>
      <c r="AA32" s="1" t="s">
        <v>71</v>
      </c>
      <c r="AB32" s="1" t="s">
        <v>71</v>
      </c>
      <c r="AC32" s="1" t="s">
        <v>71</v>
      </c>
      <c r="AD32" s="25">
        <v>50</v>
      </c>
      <c r="AE32" s="25">
        <v>41</v>
      </c>
      <c r="AF32" s="25">
        <v>116</v>
      </c>
      <c r="AG32" s="25">
        <v>79</v>
      </c>
      <c r="AH32" s="1">
        <v>84</v>
      </c>
      <c r="AI32" s="1">
        <v>41</v>
      </c>
      <c r="AJ32" s="1">
        <v>2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8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2</v>
      </c>
      <c r="BI32" s="1" t="s">
        <v>71</v>
      </c>
      <c r="BJ32" s="1" t="s">
        <v>71</v>
      </c>
      <c r="BK32" s="1">
        <v>0</v>
      </c>
      <c r="BL32" s="1">
        <f t="shared" si="1"/>
        <v>0</v>
      </c>
      <c r="BM32" s="1">
        <v>0</v>
      </c>
      <c r="BN32" s="1">
        <v>0</v>
      </c>
      <c r="BO32" s="1">
        <v>2</v>
      </c>
      <c r="BP32" s="1">
        <v>0</v>
      </c>
      <c r="BQ32" s="1">
        <v>100</v>
      </c>
      <c r="BR32" s="1">
        <v>76</v>
      </c>
      <c r="BS32" s="1">
        <v>13</v>
      </c>
      <c r="BT32" s="1">
        <v>5</v>
      </c>
      <c r="BU32" s="1">
        <v>2</v>
      </c>
      <c r="BV32" s="1">
        <v>7</v>
      </c>
      <c r="BW32" s="1">
        <v>4</v>
      </c>
      <c r="BX32" s="1">
        <v>13.85</v>
      </c>
      <c r="BY32" s="1">
        <v>5.87</v>
      </c>
      <c r="BZ32" s="3">
        <v>0.8</v>
      </c>
      <c r="CA32" s="3">
        <v>2.2999999999999998</v>
      </c>
      <c r="CB32" s="3">
        <f>BZ32/(1.5*4.8)*10</f>
        <v>1.1111111111111114</v>
      </c>
      <c r="CC32" s="3">
        <f t="shared" si="6"/>
        <v>3.1944444444444446</v>
      </c>
      <c r="CD32" s="1">
        <f>ROUND(CB32/CB23+CC32/CC29,2)</f>
        <v>0.98</v>
      </c>
      <c r="CE32" s="1">
        <f>ROUND(CB32/CB26+CC32/CC29,2)</f>
        <v>0.96</v>
      </c>
      <c r="CF32" s="1">
        <f t="shared" si="12"/>
        <v>0.96</v>
      </c>
      <c r="CG32" s="1">
        <f>ROUND(CB32/CB23,2)</f>
        <v>0.22</v>
      </c>
      <c r="CH32" s="1">
        <f>ROUND(CB32/CB26,2)</f>
        <v>0.19</v>
      </c>
      <c r="CI32" s="1">
        <f>ROUND(CC32/CC29,2)</f>
        <v>0.77</v>
      </c>
      <c r="CJ32" s="1">
        <f>ROUND((CC32+CB32)/MAX(CC29,CB26),2)</f>
        <v>0.74</v>
      </c>
      <c r="CK32" s="1">
        <f>ROUND(LN((0.9*BZ32)/(0.1*CA32))/(BZ23/CA29),2)</f>
        <v>0.93</v>
      </c>
      <c r="CL32" s="1">
        <f>ROUND(LN((0.9*BZ32)/(0.1*CA32))/(BZ26/CA29),2)</f>
        <v>0.82</v>
      </c>
      <c r="CM32" s="1">
        <f>ROUND(LN((0.1*CA32)/(0.9*BZ32))/(CA29/BZ23),2)</f>
        <v>-1.41</v>
      </c>
      <c r="CN32" s="1">
        <f>ROUND(LN((0.1*CA32)/(0.9*BZ32))/(CA29/BZ26),2)</f>
        <v>-1.6</v>
      </c>
      <c r="CO32" s="1">
        <v>49</v>
      </c>
      <c r="CP32" s="1" t="s">
        <v>71</v>
      </c>
      <c r="CQ32" s="1">
        <v>43.25</v>
      </c>
      <c r="CR32" s="1">
        <v>142</v>
      </c>
      <c r="CS32" s="1">
        <v>34</v>
      </c>
      <c r="CT32" s="1">
        <v>10.6</v>
      </c>
      <c r="CU32" s="1">
        <v>10</v>
      </c>
      <c r="CV32">
        <v>54.19</v>
      </c>
      <c r="CW32">
        <v>21.43</v>
      </c>
      <c r="CX32" t="e">
        <f>ROUND(CV32*#REF!/10,1)</f>
        <v>#REF!</v>
      </c>
      <c r="CY32" s="1">
        <v>13</v>
      </c>
      <c r="CZ32" t="e">
        <f t="shared" si="13"/>
        <v>#REF!</v>
      </c>
      <c r="DA32">
        <f>ROUND((CY32*CB32*10),0)</f>
        <v>144</v>
      </c>
      <c r="DB32" t="e">
        <f>(CZ32+DA32)/MAX(DA26,CZ29)</f>
        <v>#REF!</v>
      </c>
      <c r="DC32" s="26">
        <v>13</v>
      </c>
      <c r="DD32" t="e">
        <f t="shared" si="4"/>
        <v>#REF!</v>
      </c>
      <c r="DE32" t="e">
        <f>ROUND(MAX((DB32-DF32), 0), 2)</f>
        <v>#REF!</v>
      </c>
      <c r="DF32" t="e">
        <f>ROUND(CZ32/MAX(DA26,CZ29), 2)</f>
        <v>#REF!</v>
      </c>
    </row>
    <row r="33" spans="1:110" x14ac:dyDescent="0.15">
      <c r="A33" s="1">
        <v>2022</v>
      </c>
      <c r="B33" s="1" t="s">
        <v>48</v>
      </c>
      <c r="C33" s="1">
        <v>2</v>
      </c>
      <c r="D33" s="1">
        <v>11</v>
      </c>
      <c r="E33" s="1" t="s">
        <v>50</v>
      </c>
      <c r="F33" s="1" t="s">
        <v>54</v>
      </c>
      <c r="G33" s="1" t="s">
        <v>5</v>
      </c>
      <c r="H33" s="1">
        <v>2</v>
      </c>
      <c r="I33" s="23" t="s">
        <v>61</v>
      </c>
      <c r="J33" s="1" t="s">
        <v>57</v>
      </c>
      <c r="K33" s="24">
        <v>44713</v>
      </c>
      <c r="L33" s="1">
        <f>K33-K26</f>
        <v>8</v>
      </c>
      <c r="M33" s="1">
        <f>K33-K30</f>
        <v>20</v>
      </c>
      <c r="N33" s="24">
        <v>44712</v>
      </c>
      <c r="O33" s="24">
        <v>44721</v>
      </c>
      <c r="P33" s="24">
        <v>44699</v>
      </c>
      <c r="Q33" s="1">
        <f>P33-P30</f>
        <v>0</v>
      </c>
      <c r="R33" s="1">
        <f>N33-N26</f>
        <v>3</v>
      </c>
      <c r="S33" s="1">
        <f>O33-O26</f>
        <v>2</v>
      </c>
      <c r="T33" s="1">
        <f t="shared" ref="T33:T40" si="14">AVERAGE(R33,S33)</f>
        <v>2.5</v>
      </c>
      <c r="U33" s="1" t="s">
        <v>71</v>
      </c>
      <c r="V33" s="1" t="s">
        <v>71</v>
      </c>
      <c r="W33" s="1">
        <v>-2</v>
      </c>
      <c r="X33" s="1">
        <v>10</v>
      </c>
      <c r="Y33" s="1">
        <v>0</v>
      </c>
      <c r="Z33" s="1" t="s">
        <v>71</v>
      </c>
      <c r="AA33" s="1" t="s">
        <v>71</v>
      </c>
      <c r="AB33" s="1" t="s">
        <v>71</v>
      </c>
      <c r="AC33" s="1" t="s">
        <v>71</v>
      </c>
      <c r="AD33" s="25">
        <v>42</v>
      </c>
      <c r="AE33" s="25">
        <v>31</v>
      </c>
      <c r="AF33" s="25">
        <v>113</v>
      </c>
      <c r="AG33" s="25">
        <v>75</v>
      </c>
      <c r="AH33" s="1">
        <v>124</v>
      </c>
      <c r="AI33" s="1">
        <v>77</v>
      </c>
      <c r="AJ33" s="1">
        <v>2</v>
      </c>
      <c r="AK33" s="1">
        <v>0</v>
      </c>
      <c r="AL33" s="1">
        <v>0</v>
      </c>
      <c r="AM33" s="1">
        <v>0</v>
      </c>
      <c r="AN33" s="1">
        <v>0.02</v>
      </c>
      <c r="AO33" s="1">
        <v>0.15</v>
      </c>
      <c r="AP33" s="1">
        <v>3.0000000000000001E-3</v>
      </c>
      <c r="AQ33" s="1">
        <v>6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2</v>
      </c>
      <c r="BI33" s="1" t="s">
        <v>71</v>
      </c>
      <c r="BJ33" s="1" t="s">
        <v>71</v>
      </c>
      <c r="BK33" s="1">
        <v>2.0999999999999999E-3</v>
      </c>
      <c r="BL33" s="1">
        <f t="shared" si="1"/>
        <v>0.21</v>
      </c>
      <c r="BM33" s="1">
        <v>0.7</v>
      </c>
      <c r="BN33" s="1">
        <v>3.0000000000000001E-3</v>
      </c>
      <c r="BO33" s="1">
        <v>1</v>
      </c>
      <c r="BP33" s="1">
        <v>10</v>
      </c>
      <c r="BQ33" s="1">
        <v>81</v>
      </c>
      <c r="BR33" s="1">
        <v>14</v>
      </c>
      <c r="BS33" s="1">
        <v>10</v>
      </c>
      <c r="BT33" s="1">
        <v>6</v>
      </c>
      <c r="BU33" s="1">
        <v>1</v>
      </c>
      <c r="BV33" s="1">
        <v>4</v>
      </c>
      <c r="BW33" s="1">
        <v>5</v>
      </c>
      <c r="BX33" s="1">
        <v>9.3000000000000007</v>
      </c>
      <c r="BY33" s="1">
        <v>11.01</v>
      </c>
      <c r="BZ33" s="3">
        <v>0.8</v>
      </c>
      <c r="CA33" s="3">
        <v>2.1</v>
      </c>
      <c r="CB33" s="3">
        <f t="shared" si="9"/>
        <v>1.1111111111111114</v>
      </c>
      <c r="CC33" s="3">
        <f t="shared" si="6"/>
        <v>2.916666666666667</v>
      </c>
      <c r="CD33" s="1">
        <f>ROUND(CB33/CB23+CC33/CC30,2)</f>
        <v>1.0900000000000001</v>
      </c>
      <c r="CE33" s="1">
        <f>ROUND(CB33/CB26+CC33/CC30,2)</f>
        <v>1.07</v>
      </c>
      <c r="CF33" s="1">
        <f t="shared" si="12"/>
        <v>1.07</v>
      </c>
      <c r="CG33" s="1">
        <f>ROUND(CB33/CB23,2)</f>
        <v>0.22</v>
      </c>
      <c r="CH33" s="1">
        <f>ROUND(CB33/CB26,2)</f>
        <v>0.19</v>
      </c>
      <c r="CI33" s="1">
        <f>ROUND(CC33/CC30,2)</f>
        <v>0.88</v>
      </c>
      <c r="CJ33" s="1">
        <f>ROUND((CC33+CB33)/MAX(CC30,CB26),2)</f>
        <v>0.69</v>
      </c>
      <c r="CK33" s="1">
        <f>ROUND(LN((0.9*BZ33)/(0.1*CA33))/(BZ23/CA30),2)</f>
        <v>0.8</v>
      </c>
      <c r="CL33" s="1">
        <f>ROUND(LN((0.9*BZ33)/(0.1*CA33))/(BZ26/CA30),2)</f>
        <v>0.7</v>
      </c>
      <c r="CM33" s="1">
        <f>ROUND(LN((0.1*CA33)/(0.9*BZ33))/(CA30/BZ23),2)</f>
        <v>-1.9</v>
      </c>
      <c r="CN33" s="1">
        <f>ROUND(LN((0.1*CA33)/(0.9*BZ33))/(CA30/BZ26),2)</f>
        <v>-2.16</v>
      </c>
      <c r="CO33" s="1">
        <v>47</v>
      </c>
      <c r="CP33" s="1" t="s">
        <v>71</v>
      </c>
      <c r="CQ33" s="1">
        <v>40.25</v>
      </c>
      <c r="CR33" s="1">
        <v>131.69999999999999</v>
      </c>
      <c r="CS33" s="1">
        <v>40</v>
      </c>
      <c r="CT33" s="1">
        <v>10.8</v>
      </c>
      <c r="CU33" s="1">
        <v>9.9</v>
      </c>
      <c r="CV33">
        <v>60.11</v>
      </c>
      <c r="CW33">
        <v>21.57</v>
      </c>
      <c r="CX33" t="e">
        <f>ROUND(CV33*#REF!/10,1)</f>
        <v>#REF!</v>
      </c>
      <c r="CY33" s="1" t="s">
        <v>71</v>
      </c>
      <c r="CZ33" t="e">
        <f t="shared" si="13"/>
        <v>#REF!</v>
      </c>
      <c r="DA33" s="1" t="s">
        <v>71</v>
      </c>
      <c r="DB33" s="1" t="s">
        <v>71</v>
      </c>
      <c r="DC33" s="26" t="s">
        <v>71</v>
      </c>
      <c r="DD33" t="e">
        <f t="shared" si="4"/>
        <v>#REF!</v>
      </c>
      <c r="DE33" t="s">
        <v>71</v>
      </c>
      <c r="DF33" t="e">
        <f>ROUND(CZ33/MAX(DA26,CZ30), 2)</f>
        <v>#REF!</v>
      </c>
    </row>
    <row r="34" spans="1:110" x14ac:dyDescent="0.15">
      <c r="A34" s="1">
        <v>2022</v>
      </c>
      <c r="B34" s="1" t="s">
        <v>48</v>
      </c>
      <c r="C34" s="1">
        <v>2</v>
      </c>
      <c r="D34" s="1">
        <v>12</v>
      </c>
      <c r="E34" s="1" t="s">
        <v>50</v>
      </c>
      <c r="F34" s="1" t="s">
        <v>55</v>
      </c>
      <c r="G34" s="1" t="s">
        <v>5</v>
      </c>
      <c r="H34" s="1">
        <v>2</v>
      </c>
      <c r="I34" s="23" t="s">
        <v>62</v>
      </c>
      <c r="J34" s="1" t="s">
        <v>57</v>
      </c>
      <c r="K34" s="24">
        <v>44693</v>
      </c>
      <c r="L34" s="1">
        <f>K34-K26</f>
        <v>-12</v>
      </c>
      <c r="M34" s="1">
        <f>K34-K31</f>
        <v>0</v>
      </c>
      <c r="N34" s="24">
        <v>44712</v>
      </c>
      <c r="O34" s="24">
        <v>44721</v>
      </c>
      <c r="P34" s="24">
        <v>44698</v>
      </c>
      <c r="Q34" s="1">
        <f>P34-P31</f>
        <v>0</v>
      </c>
      <c r="R34" s="1">
        <f>N34-N26</f>
        <v>3</v>
      </c>
      <c r="S34" s="1">
        <f>O34-O26</f>
        <v>2</v>
      </c>
      <c r="T34" s="1">
        <f t="shared" si="14"/>
        <v>2.5</v>
      </c>
      <c r="U34" s="1" t="s">
        <v>71</v>
      </c>
      <c r="V34" s="1" t="s">
        <v>71</v>
      </c>
      <c r="W34" s="1">
        <v>-2</v>
      </c>
      <c r="X34" s="1">
        <v>0</v>
      </c>
      <c r="Y34" s="1">
        <v>0</v>
      </c>
      <c r="Z34" s="1" t="s">
        <v>71</v>
      </c>
      <c r="AA34" s="1" t="s">
        <v>71</v>
      </c>
      <c r="AB34" s="1" t="s">
        <v>71</v>
      </c>
      <c r="AC34" s="1" t="s">
        <v>71</v>
      </c>
      <c r="AD34" s="25">
        <v>51</v>
      </c>
      <c r="AE34" s="25">
        <v>47</v>
      </c>
      <c r="AF34" s="25">
        <v>115</v>
      </c>
      <c r="AG34" s="25">
        <v>80</v>
      </c>
      <c r="AH34" s="1">
        <v>133</v>
      </c>
      <c r="AI34" s="1">
        <v>81</v>
      </c>
      <c r="AJ34" s="1">
        <v>1.7</v>
      </c>
      <c r="AK34" s="1">
        <v>0</v>
      </c>
      <c r="AL34" s="1">
        <v>0</v>
      </c>
      <c r="AM34" s="1">
        <v>0</v>
      </c>
      <c r="AN34" s="1">
        <v>0.01</v>
      </c>
      <c r="AO34" s="1">
        <v>0.02</v>
      </c>
      <c r="AP34" s="1">
        <v>2.0000000000000001E-4</v>
      </c>
      <c r="AQ34" s="1">
        <v>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3</v>
      </c>
      <c r="BI34" s="1" t="s">
        <v>71</v>
      </c>
      <c r="BJ34" s="1" t="s">
        <v>71</v>
      </c>
      <c r="BK34" s="1">
        <v>1.1999999999999999E-3</v>
      </c>
      <c r="BL34" s="1">
        <f t="shared" si="1"/>
        <v>0.12</v>
      </c>
      <c r="BM34" s="1">
        <v>0.6</v>
      </c>
      <c r="BN34" s="1">
        <v>2E-3</v>
      </c>
      <c r="BO34" s="1">
        <v>1</v>
      </c>
      <c r="BP34" s="1">
        <v>5</v>
      </c>
      <c r="BQ34" s="1">
        <v>46</v>
      </c>
      <c r="BR34" s="1">
        <v>39</v>
      </c>
      <c r="BS34" s="1">
        <v>12</v>
      </c>
      <c r="BT34" s="1">
        <v>12</v>
      </c>
      <c r="BU34" s="1">
        <v>1</v>
      </c>
      <c r="BV34" s="1">
        <v>6</v>
      </c>
      <c r="BW34" s="1">
        <v>4</v>
      </c>
      <c r="BX34" s="1">
        <v>14.45</v>
      </c>
      <c r="BY34" s="1">
        <v>7.47</v>
      </c>
      <c r="BZ34" s="3">
        <v>1.3</v>
      </c>
      <c r="CA34" s="3">
        <v>2.1</v>
      </c>
      <c r="CB34" s="3">
        <f t="shared" si="9"/>
        <v>1.8055555555555558</v>
      </c>
      <c r="CC34" s="3">
        <f t="shared" si="6"/>
        <v>2.916666666666667</v>
      </c>
      <c r="CD34" s="1">
        <f>ROUND(CB34/CB23+CC34/CC31,2)</f>
        <v>1.1299999999999999</v>
      </c>
      <c r="CE34" s="1">
        <f>ROUND(CB34/CB26+CC34/CC31,2)</f>
        <v>1.0900000000000001</v>
      </c>
      <c r="CF34" s="1">
        <f t="shared" si="12"/>
        <v>1.0900000000000001</v>
      </c>
      <c r="CG34" s="1">
        <f>ROUND(CB34/CB23,2)</f>
        <v>0.35</v>
      </c>
      <c r="CH34" s="1">
        <f>ROUND(CB34/CB26,2)</f>
        <v>0.31</v>
      </c>
      <c r="CI34" s="1">
        <f>ROUND(CC34/CC31,2)</f>
        <v>0.78</v>
      </c>
      <c r="CJ34" s="1">
        <f>ROUND((CC34+CB34)/MAX(CC31,CB26),2)</f>
        <v>0.81</v>
      </c>
      <c r="CK34" s="1">
        <f>ROUND(LN((0.9*BZ34)/(0.1*CA34))/(BZ23/CA31),2)</f>
        <v>1.25</v>
      </c>
      <c r="CL34" s="1">
        <f>ROUND(LN((0.9*BZ34)/(0.1*CA34))/(BZ26/CA31),2)</f>
        <v>1.1000000000000001</v>
      </c>
      <c r="CM34" s="1">
        <f>ROUND(LN((0.1*CA34)/(0.9*BZ34))/(CA31/BZ23),2)</f>
        <v>-2.35</v>
      </c>
      <c r="CN34" s="1">
        <f>ROUND(LN((0.1*CA34)/(0.9*BZ34))/(CA31/BZ26),2)</f>
        <v>-2.67</v>
      </c>
      <c r="CO34" s="1">
        <v>52</v>
      </c>
      <c r="CP34" s="1" t="s">
        <v>71</v>
      </c>
      <c r="CQ34" s="1">
        <v>42.199999999999996</v>
      </c>
      <c r="CR34" s="1">
        <v>153.85</v>
      </c>
      <c r="CS34" s="1">
        <v>41</v>
      </c>
      <c r="CT34" s="1">
        <v>10.7</v>
      </c>
      <c r="CU34" s="1">
        <v>8.6</v>
      </c>
      <c r="CV34">
        <v>56.84</v>
      </c>
      <c r="CW34">
        <v>20.9</v>
      </c>
      <c r="CX34" t="e">
        <f>ROUND(CV34*#REF!/10,1)</f>
        <v>#REF!</v>
      </c>
      <c r="CY34" s="1">
        <v>13.5</v>
      </c>
      <c r="CZ34" t="e">
        <f t="shared" si="13"/>
        <v>#REF!</v>
      </c>
      <c r="DA34">
        <f>ROUND((CY34*CB34*10),0)</f>
        <v>244</v>
      </c>
      <c r="DB34" t="e">
        <f>(CZ34+DA34)/MAX(DA26,CZ31)</f>
        <v>#REF!</v>
      </c>
      <c r="DC34" s="26">
        <v>13.5</v>
      </c>
      <c r="DD34" t="e">
        <f t="shared" si="4"/>
        <v>#REF!</v>
      </c>
      <c r="DE34" t="e">
        <f t="shared" ref="DE34:DE40" si="15">ROUND(MAX((DB34-DF34), 0), 2)</f>
        <v>#REF!</v>
      </c>
      <c r="DF34" t="e">
        <f>ROUND(CZ34/MAX(DA26,CZ31), 2)</f>
        <v>#REF!</v>
      </c>
    </row>
    <row r="35" spans="1:110" x14ac:dyDescent="0.15">
      <c r="A35" s="1">
        <v>2022</v>
      </c>
      <c r="B35" s="1" t="s">
        <v>48</v>
      </c>
      <c r="C35" s="1">
        <v>2</v>
      </c>
      <c r="D35" s="1">
        <v>13</v>
      </c>
      <c r="E35" s="1" t="s">
        <v>51</v>
      </c>
      <c r="F35" s="1" t="s">
        <v>53</v>
      </c>
      <c r="G35" s="1" t="s">
        <v>5</v>
      </c>
      <c r="H35" s="1">
        <v>2</v>
      </c>
      <c r="I35" s="23" t="s">
        <v>63</v>
      </c>
      <c r="J35" s="1" t="s">
        <v>57</v>
      </c>
      <c r="K35" s="24">
        <v>44693</v>
      </c>
      <c r="L35" s="1">
        <f>K35-K27</f>
        <v>-12</v>
      </c>
      <c r="M35" s="1">
        <f>K35-K29</f>
        <v>0</v>
      </c>
      <c r="N35" s="24">
        <v>44716</v>
      </c>
      <c r="O35" s="24">
        <v>44723</v>
      </c>
      <c r="P35" s="24">
        <v>44699</v>
      </c>
      <c r="Q35" s="1">
        <f>P35-P29</f>
        <v>0</v>
      </c>
      <c r="R35" s="1">
        <f>N35-N27</f>
        <v>-1</v>
      </c>
      <c r="S35" s="1">
        <f>O35-O27</f>
        <v>-1</v>
      </c>
      <c r="T35" s="1">
        <f t="shared" si="14"/>
        <v>-1</v>
      </c>
      <c r="U35" s="1" t="s">
        <v>71</v>
      </c>
      <c r="V35" s="1" t="s">
        <v>71</v>
      </c>
      <c r="W35" s="1">
        <v>-2</v>
      </c>
      <c r="X35" s="1">
        <v>20</v>
      </c>
      <c r="Y35" s="1">
        <v>0</v>
      </c>
      <c r="Z35" s="1" t="s">
        <v>71</v>
      </c>
      <c r="AA35" s="1" t="s">
        <v>71</v>
      </c>
      <c r="AB35" s="1" t="s">
        <v>71</v>
      </c>
      <c r="AC35" s="1" t="s">
        <v>71</v>
      </c>
      <c r="AD35" s="25">
        <v>50</v>
      </c>
      <c r="AE35" s="25">
        <v>41</v>
      </c>
      <c r="AF35" s="25">
        <v>93</v>
      </c>
      <c r="AG35" s="25">
        <v>75</v>
      </c>
      <c r="AH35" s="1">
        <v>124</v>
      </c>
      <c r="AI35" s="1">
        <v>66</v>
      </c>
      <c r="AJ35" s="1">
        <v>2.2999999999999998</v>
      </c>
      <c r="AK35" s="1">
        <v>0</v>
      </c>
      <c r="AL35" s="1">
        <v>0</v>
      </c>
      <c r="AM35" s="1">
        <v>0</v>
      </c>
      <c r="AN35" s="1">
        <v>0.01</v>
      </c>
      <c r="AO35" s="1">
        <v>0.02</v>
      </c>
      <c r="AP35" s="1">
        <v>2.0000000000000001E-4</v>
      </c>
      <c r="AQ35" s="1">
        <v>5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3</v>
      </c>
      <c r="BI35" s="1" t="s">
        <v>71</v>
      </c>
      <c r="BJ35" s="1" t="s">
        <v>71</v>
      </c>
      <c r="BK35" s="1">
        <v>1E-4</v>
      </c>
      <c r="BL35" s="1">
        <f t="shared" si="1"/>
        <v>0.01</v>
      </c>
      <c r="BM35" s="1">
        <v>0.1</v>
      </c>
      <c r="BN35" s="1">
        <v>1E-3</v>
      </c>
      <c r="BO35" s="1">
        <v>2</v>
      </c>
      <c r="BP35" s="1">
        <v>0</v>
      </c>
      <c r="BQ35" s="1">
        <v>106</v>
      </c>
      <c r="BR35" s="1">
        <v>17</v>
      </c>
      <c r="BS35" s="1">
        <v>3</v>
      </c>
      <c r="BT35" s="1">
        <v>6</v>
      </c>
      <c r="BU35" s="1">
        <v>1</v>
      </c>
      <c r="BV35" s="1">
        <v>3</v>
      </c>
      <c r="BW35" s="1">
        <v>2</v>
      </c>
      <c r="BX35" s="1">
        <v>8.7100000000000009</v>
      </c>
      <c r="BY35" s="1">
        <v>11.58</v>
      </c>
      <c r="BZ35" s="3">
        <v>1</v>
      </c>
      <c r="CA35" s="3">
        <v>2.6</v>
      </c>
      <c r="CB35" s="3">
        <f t="shared" si="9"/>
        <v>1.3888888888888888</v>
      </c>
      <c r="CC35" s="3">
        <f t="shared" si="6"/>
        <v>3.6111111111111116</v>
      </c>
      <c r="CD35" s="1">
        <f>ROUND(CB35/CB24+CC35/CC29,2)</f>
        <v>1.1200000000000001</v>
      </c>
      <c r="CE35" s="1">
        <f>ROUND(CB35/CB27+CC35/CC29,2)</f>
        <v>1.0900000000000001</v>
      </c>
      <c r="CF35" s="1">
        <f t="shared" si="12"/>
        <v>1.0900000000000001</v>
      </c>
      <c r="CG35" s="1">
        <f>ROUND(CB35/CB24,2)</f>
        <v>0.25</v>
      </c>
      <c r="CH35" s="1">
        <f>ROUND(CB35/CB27,2)</f>
        <v>0.23</v>
      </c>
      <c r="CI35" s="1">
        <f>ROUND(CC35/CC29,2)</f>
        <v>0.87</v>
      </c>
      <c r="CJ35" s="1">
        <f>ROUND((CC35+CB35)/MAX(CC29,CB27),2)</f>
        <v>0.82</v>
      </c>
      <c r="CK35" s="1">
        <f>ROUND(LN((0.9*BZ35)/(0.1*CA35))/(BZ24/CA29),2)</f>
        <v>0.93</v>
      </c>
      <c r="CL35" s="1">
        <f>ROUND(LN((0.9*BZ35)/(0.1*CA35))/(BZ27/CA29),2)</f>
        <v>0.85</v>
      </c>
      <c r="CM35" s="1">
        <f>ROUND(LN((0.1*CA35)/(0.9*BZ35))/(CA29/BZ24),2)</f>
        <v>-1.66</v>
      </c>
      <c r="CN35" s="1">
        <f>ROUND(LN((0.1*CA35)/(0.9*BZ35))/(CA29/BZ27),2)</f>
        <v>-1.82</v>
      </c>
      <c r="CO35" s="1">
        <v>46</v>
      </c>
      <c r="CP35" s="1" t="s">
        <v>71</v>
      </c>
      <c r="CQ35" s="1">
        <v>34.15</v>
      </c>
      <c r="CR35" s="1">
        <v>142.75</v>
      </c>
      <c r="CS35" s="1">
        <v>34</v>
      </c>
      <c r="CT35" s="1">
        <v>10.7</v>
      </c>
      <c r="CU35" s="1">
        <v>10.1</v>
      </c>
      <c r="CV35">
        <v>57.89</v>
      </c>
      <c r="CW35">
        <v>20.99</v>
      </c>
      <c r="CX35" t="e">
        <f>ROUND(CV35*#REF!/10,1)</f>
        <v>#REF!</v>
      </c>
      <c r="CY35" s="1">
        <v>12.9</v>
      </c>
      <c r="CZ35" t="e">
        <f t="shared" si="13"/>
        <v>#REF!</v>
      </c>
      <c r="DA35">
        <f>ROUND((CY35*CB35*10),0)</f>
        <v>179</v>
      </c>
      <c r="DB35" t="e">
        <f>(CZ35+DA35)/MAX(DA27,CZ29)</f>
        <v>#REF!</v>
      </c>
      <c r="DC35" s="26">
        <v>12.9</v>
      </c>
      <c r="DD35" t="e">
        <f t="shared" si="4"/>
        <v>#REF!</v>
      </c>
      <c r="DE35" t="e">
        <f t="shared" si="15"/>
        <v>#REF!</v>
      </c>
      <c r="DF35" t="e">
        <f>ROUND(CZ35/MAX(DA27,CZ29), 2)</f>
        <v>#REF!</v>
      </c>
    </row>
    <row r="36" spans="1:110" x14ac:dyDescent="0.15">
      <c r="A36" s="1">
        <v>2022</v>
      </c>
      <c r="B36" s="1" t="s">
        <v>48</v>
      </c>
      <c r="C36" s="1">
        <v>2</v>
      </c>
      <c r="D36" s="1">
        <v>14</v>
      </c>
      <c r="E36" s="1" t="s">
        <v>51</v>
      </c>
      <c r="F36" s="1" t="s">
        <v>54</v>
      </c>
      <c r="G36" s="1" t="s">
        <v>5</v>
      </c>
      <c r="H36" s="1">
        <v>2</v>
      </c>
      <c r="I36" s="23" t="s">
        <v>64</v>
      </c>
      <c r="J36" s="1" t="s">
        <v>57</v>
      </c>
      <c r="K36" s="24">
        <v>44693</v>
      </c>
      <c r="L36" s="1">
        <f>K36-K27</f>
        <v>-12</v>
      </c>
      <c r="M36" s="1">
        <f>K36-K30</f>
        <v>0</v>
      </c>
      <c r="N36" s="24">
        <v>44717</v>
      </c>
      <c r="O36" s="24">
        <v>44728</v>
      </c>
      <c r="P36" s="24">
        <v>44701</v>
      </c>
      <c r="Q36" s="1">
        <f>P36-P30</f>
        <v>2</v>
      </c>
      <c r="R36" s="1">
        <f>N36-N27</f>
        <v>0</v>
      </c>
      <c r="S36" s="1">
        <f>O36-O27</f>
        <v>4</v>
      </c>
      <c r="T36" s="1">
        <f t="shared" si="14"/>
        <v>2</v>
      </c>
      <c r="U36" s="1" t="s">
        <v>71</v>
      </c>
      <c r="V36" s="1" t="s">
        <v>71</v>
      </c>
      <c r="W36" s="1">
        <v>-2</v>
      </c>
      <c r="X36" s="1">
        <v>25</v>
      </c>
      <c r="Y36" s="1">
        <v>0</v>
      </c>
      <c r="Z36" s="1" t="s">
        <v>71</v>
      </c>
      <c r="AA36" s="1" t="s">
        <v>71</v>
      </c>
      <c r="AB36" s="1" t="s">
        <v>71</v>
      </c>
      <c r="AC36" s="1" t="s">
        <v>71</v>
      </c>
      <c r="AD36" s="25">
        <v>44</v>
      </c>
      <c r="AE36" s="25">
        <v>34</v>
      </c>
      <c r="AF36" s="25">
        <v>102</v>
      </c>
      <c r="AG36" s="25">
        <v>79</v>
      </c>
      <c r="AH36" s="1">
        <v>121</v>
      </c>
      <c r="AI36" s="1">
        <v>63</v>
      </c>
      <c r="AJ36" s="1">
        <v>2</v>
      </c>
      <c r="AK36" s="1">
        <v>0</v>
      </c>
      <c r="AL36" s="1">
        <v>0</v>
      </c>
      <c r="AM36" s="1">
        <v>0</v>
      </c>
      <c r="AN36" s="1">
        <v>0.03</v>
      </c>
      <c r="AO36" s="1">
        <v>0.05</v>
      </c>
      <c r="AP36" s="1">
        <v>1.5E-3</v>
      </c>
      <c r="AQ36" s="1">
        <v>6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 t="s">
        <v>71</v>
      </c>
      <c r="BI36" s="1" t="s">
        <v>71</v>
      </c>
      <c r="BJ36" s="1" t="s">
        <v>71</v>
      </c>
      <c r="BK36" s="1">
        <v>1.4E-3</v>
      </c>
      <c r="BL36" s="1">
        <f t="shared" si="1"/>
        <v>0.13999999999999999</v>
      </c>
      <c r="BM36" s="1">
        <v>0.7</v>
      </c>
      <c r="BN36" s="1">
        <v>2E-3</v>
      </c>
      <c r="BO36" s="1">
        <v>1</v>
      </c>
      <c r="BP36" s="1">
        <v>10</v>
      </c>
      <c r="BQ36" s="1">
        <v>81</v>
      </c>
      <c r="BR36" s="1">
        <v>36</v>
      </c>
      <c r="BS36" s="1">
        <v>5</v>
      </c>
      <c r="BT36" s="1">
        <v>8</v>
      </c>
      <c r="BU36" s="1">
        <v>1</v>
      </c>
      <c r="BV36" s="1">
        <v>5</v>
      </c>
      <c r="BW36" s="1">
        <v>7</v>
      </c>
      <c r="BX36" s="1">
        <v>14.06</v>
      </c>
      <c r="BY36" s="1">
        <v>7.92</v>
      </c>
      <c r="BZ36" s="3">
        <v>0.8</v>
      </c>
      <c r="CA36" s="3">
        <v>2.2000000000000002</v>
      </c>
      <c r="CB36" s="3">
        <f t="shared" si="9"/>
        <v>1.1111111111111114</v>
      </c>
      <c r="CC36" s="3">
        <f t="shared" si="6"/>
        <v>3.0555555555555562</v>
      </c>
      <c r="CD36" s="1">
        <f>ROUND(CB36/CB24+CC36/CC30,2)</f>
        <v>1.1200000000000001</v>
      </c>
      <c r="CE36" s="1">
        <f>ROUND(CB36/CB27+CC36/CC30,2)</f>
        <v>1.1000000000000001</v>
      </c>
      <c r="CF36" s="1">
        <f t="shared" si="12"/>
        <v>1.1000000000000001</v>
      </c>
      <c r="CG36" s="1">
        <f>ROUND(CB36/CB24,2)</f>
        <v>0.2</v>
      </c>
      <c r="CH36" s="1">
        <f>ROUND(CB36/CB27,2)</f>
        <v>0.18</v>
      </c>
      <c r="CI36" s="1">
        <f>ROUND(CC36/CC30,2)</f>
        <v>0.92</v>
      </c>
      <c r="CJ36" s="1">
        <f>ROUND((CC36+CB36)/MAX(CC30,CB27),2)</f>
        <v>0.68</v>
      </c>
      <c r="CK36" s="1">
        <f>ROUND(LN((0.9*BZ36)/(0.1*CA36))/(BZ24/CA30),2)</f>
        <v>0.71</v>
      </c>
      <c r="CL36" s="1">
        <f>ROUND(LN((0.9*BZ36)/(0.1*CA36))/(BZ27/CA30),2)</f>
        <v>0.65</v>
      </c>
      <c r="CM36" s="1">
        <f>ROUND(LN((0.1*CA36)/(0.9*BZ36))/(CA30/BZ24),2)</f>
        <v>-1.98</v>
      </c>
      <c r="CN36" s="1">
        <f>ROUND(LN((0.1*CA36)/(0.9*BZ36))/(CA30/BZ27),2)</f>
        <v>-2.17</v>
      </c>
      <c r="CO36" s="1">
        <v>49</v>
      </c>
      <c r="CP36" s="1" t="s">
        <v>71</v>
      </c>
      <c r="CQ36" s="1">
        <v>30.049999999999997</v>
      </c>
      <c r="CR36" s="1">
        <v>134.55000000000001</v>
      </c>
      <c r="CS36" s="1">
        <v>43</v>
      </c>
      <c r="CT36" s="1">
        <v>10.8</v>
      </c>
      <c r="CU36" s="1">
        <v>10.3</v>
      </c>
      <c r="CV36">
        <v>65.849999999999994</v>
      </c>
      <c r="CW36">
        <v>20.27</v>
      </c>
      <c r="CX36" t="e">
        <f>ROUND(CV36*#REF!/10,1)</f>
        <v>#REF!</v>
      </c>
      <c r="CY36" s="1">
        <v>13</v>
      </c>
      <c r="CZ36" t="e">
        <f t="shared" si="13"/>
        <v>#REF!</v>
      </c>
      <c r="DA36">
        <f>ROUND((CY36*CB36*10),0)</f>
        <v>144</v>
      </c>
      <c r="DB36" t="e">
        <f>(CZ36+DA36)/MAX(DA27,CZ30)</f>
        <v>#REF!</v>
      </c>
      <c r="DC36" s="26">
        <v>13</v>
      </c>
      <c r="DD36" t="e">
        <f t="shared" si="4"/>
        <v>#REF!</v>
      </c>
      <c r="DE36" t="e">
        <f t="shared" si="15"/>
        <v>#REF!</v>
      </c>
      <c r="DF36" t="e">
        <f>ROUND(CZ36/MAX(DA27,CZ30), 2)</f>
        <v>#REF!</v>
      </c>
    </row>
    <row r="37" spans="1:110" x14ac:dyDescent="0.15">
      <c r="A37" s="1">
        <v>2022</v>
      </c>
      <c r="B37" s="1" t="s">
        <v>48</v>
      </c>
      <c r="C37" s="1">
        <v>2</v>
      </c>
      <c r="D37" s="1">
        <v>15</v>
      </c>
      <c r="E37" s="1" t="s">
        <v>51</v>
      </c>
      <c r="F37" s="1" t="s">
        <v>55</v>
      </c>
      <c r="G37" s="1" t="s">
        <v>5</v>
      </c>
      <c r="H37" s="1">
        <v>2</v>
      </c>
      <c r="I37" s="23" t="s">
        <v>65</v>
      </c>
      <c r="J37" s="1" t="s">
        <v>57</v>
      </c>
      <c r="K37" s="24">
        <v>44693</v>
      </c>
      <c r="L37" s="1">
        <f>K37-K27</f>
        <v>-12</v>
      </c>
      <c r="M37" s="1">
        <f>K37-K31</f>
        <v>0</v>
      </c>
      <c r="N37" s="24">
        <v>44718</v>
      </c>
      <c r="O37" s="24">
        <v>44728</v>
      </c>
      <c r="P37" s="24">
        <v>44701</v>
      </c>
      <c r="Q37" s="1">
        <f>P37-P31</f>
        <v>3</v>
      </c>
      <c r="R37" s="1">
        <f>N37-N27</f>
        <v>1</v>
      </c>
      <c r="S37" s="1">
        <f>O37-O27</f>
        <v>4</v>
      </c>
      <c r="T37" s="1">
        <f t="shared" si="14"/>
        <v>2.5</v>
      </c>
      <c r="U37" s="1" t="s">
        <v>71</v>
      </c>
      <c r="V37" s="1" t="s">
        <v>71</v>
      </c>
      <c r="W37" s="1">
        <v>-2</v>
      </c>
      <c r="X37" s="1">
        <v>0</v>
      </c>
      <c r="Y37" s="1">
        <v>0</v>
      </c>
      <c r="Z37" s="1" t="s">
        <v>71</v>
      </c>
      <c r="AA37" s="1" t="s">
        <v>71</v>
      </c>
      <c r="AB37" s="1" t="s">
        <v>71</v>
      </c>
      <c r="AC37" s="1" t="s">
        <v>71</v>
      </c>
      <c r="AD37" s="25">
        <v>44</v>
      </c>
      <c r="AE37" s="25">
        <v>42</v>
      </c>
      <c r="AF37" s="25">
        <v>105</v>
      </c>
      <c r="AG37" s="25">
        <v>79</v>
      </c>
      <c r="AH37" s="1">
        <v>122</v>
      </c>
      <c r="AI37" s="1">
        <v>74</v>
      </c>
      <c r="AJ37" s="1">
        <v>2.2999999999999998</v>
      </c>
      <c r="AK37" s="1">
        <v>0</v>
      </c>
      <c r="AL37" s="1">
        <v>0</v>
      </c>
      <c r="AM37" s="1">
        <v>0</v>
      </c>
      <c r="AN37" s="1">
        <v>0.01</v>
      </c>
      <c r="AO37" s="1">
        <v>2E-3</v>
      </c>
      <c r="AP37" s="1">
        <v>2.0000000000000002E-5</v>
      </c>
      <c r="AQ37" s="1">
        <v>4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1</v>
      </c>
      <c r="BI37" s="1" t="s">
        <v>71</v>
      </c>
      <c r="BJ37" s="1" t="s">
        <v>71</v>
      </c>
      <c r="BK37" s="1">
        <v>2.8E-3</v>
      </c>
      <c r="BL37" s="1">
        <f t="shared" si="1"/>
        <v>0.27999999999999997</v>
      </c>
      <c r="BM37" s="1">
        <v>0.7</v>
      </c>
      <c r="BN37" s="1">
        <v>4.0000000000000001E-3</v>
      </c>
      <c r="BO37" s="1">
        <v>1</v>
      </c>
      <c r="BP37" s="1">
        <v>0</v>
      </c>
      <c r="BQ37" s="1">
        <v>59</v>
      </c>
      <c r="BR37" s="1">
        <v>20</v>
      </c>
      <c r="BS37" s="1">
        <v>1</v>
      </c>
      <c r="BT37" s="1">
        <v>8</v>
      </c>
      <c r="BU37" s="1">
        <v>2</v>
      </c>
      <c r="BV37" s="1">
        <v>5</v>
      </c>
      <c r="BW37" s="1">
        <v>4</v>
      </c>
      <c r="BX37" s="1">
        <v>14.86</v>
      </c>
      <c r="BY37" s="1">
        <v>11.84</v>
      </c>
      <c r="BZ37" s="3">
        <v>1.1000000000000001</v>
      </c>
      <c r="CA37" s="3">
        <v>2.2999999999999998</v>
      </c>
      <c r="CB37" s="3">
        <f t="shared" si="9"/>
        <v>1.5277777777777781</v>
      </c>
      <c r="CC37" s="3">
        <f t="shared" si="6"/>
        <v>3.1944444444444446</v>
      </c>
      <c r="CD37" s="1">
        <f>ROUND(CB37/CB24+CC37/CC31,2)</f>
        <v>1.1299999999999999</v>
      </c>
      <c r="CE37" s="1">
        <f>ROUND(CB37/CB27+CC37/CC31,2)</f>
        <v>1.1000000000000001</v>
      </c>
      <c r="CF37" s="1">
        <f t="shared" si="12"/>
        <v>1.1000000000000001</v>
      </c>
      <c r="CG37" s="1">
        <f>ROUND(CB37/CB24,2)</f>
        <v>0.28000000000000003</v>
      </c>
      <c r="CH37" s="1">
        <f>ROUND(CB37/CB27,2)</f>
        <v>0.25</v>
      </c>
      <c r="CI37" s="1">
        <f>ROUND(CC37/CC31,2)</f>
        <v>0.85</v>
      </c>
      <c r="CJ37" s="1">
        <f>ROUND((CC37+CB37)/MAX(CC31,CB27),2)</f>
        <v>0.77</v>
      </c>
      <c r="CK37" s="1">
        <f>ROUND(LN((0.9*BZ37)/(0.1*CA37))/(BZ24/CA31),2)</f>
        <v>0.99</v>
      </c>
      <c r="CL37" s="1">
        <f>ROUND(LN((0.9*BZ37)/(0.1*CA37))/(BZ27/CA31),2)</f>
        <v>0.9</v>
      </c>
      <c r="CM37" s="1">
        <f>ROUND(LN((0.1*CA37)/(0.9*BZ37))/(CA31/BZ24),2)</f>
        <v>-2.16</v>
      </c>
      <c r="CN37" s="1">
        <f>ROUND(LN((0.1*CA37)/(0.9*BZ37))/(CA31/BZ27),2)</f>
        <v>-2.38</v>
      </c>
      <c r="CO37" s="1">
        <v>49</v>
      </c>
      <c r="CP37" s="1" t="s">
        <v>71</v>
      </c>
      <c r="CQ37" s="1">
        <v>30.6</v>
      </c>
      <c r="CR37" s="1">
        <v>147.10000000000002</v>
      </c>
      <c r="CS37" s="1">
        <v>40</v>
      </c>
      <c r="CT37" s="1">
        <v>10.6</v>
      </c>
      <c r="CU37" s="1">
        <v>9</v>
      </c>
      <c r="CV37">
        <v>58.36</v>
      </c>
      <c r="CW37">
        <v>21.21</v>
      </c>
      <c r="CX37" t="e">
        <f>ROUND(CV37*#REF!/10,1)</f>
        <v>#REF!</v>
      </c>
      <c r="CY37" s="1">
        <v>13.7</v>
      </c>
      <c r="CZ37" t="e">
        <f t="shared" si="13"/>
        <v>#REF!</v>
      </c>
      <c r="DA37">
        <f>ROUND((CY37*CB37*10),0)</f>
        <v>209</v>
      </c>
      <c r="DB37" t="e">
        <f>(CZ37+DA37)/MAX(DA27,CZ31)</f>
        <v>#REF!</v>
      </c>
      <c r="DC37" s="26">
        <v>13.7</v>
      </c>
      <c r="DD37" t="e">
        <f t="shared" si="4"/>
        <v>#REF!</v>
      </c>
      <c r="DE37" t="e">
        <f t="shared" si="15"/>
        <v>#REF!</v>
      </c>
      <c r="DF37" t="e">
        <f>ROUND(CZ37/MAX(DA27,CZ31), 2)</f>
        <v>#REF!</v>
      </c>
    </row>
    <row r="38" spans="1:110" x14ac:dyDescent="0.15">
      <c r="A38" s="1">
        <v>2022</v>
      </c>
      <c r="B38" s="1" t="s">
        <v>48</v>
      </c>
      <c r="C38" s="1">
        <v>2</v>
      </c>
      <c r="D38" s="1">
        <v>16</v>
      </c>
      <c r="E38" s="1" t="s">
        <v>52</v>
      </c>
      <c r="F38" s="1" t="s">
        <v>53</v>
      </c>
      <c r="G38" s="1" t="s">
        <v>5</v>
      </c>
      <c r="H38" s="1">
        <v>2</v>
      </c>
      <c r="I38" s="23" t="s">
        <v>66</v>
      </c>
      <c r="J38" s="1" t="s">
        <v>57</v>
      </c>
      <c r="K38" s="24">
        <v>44693</v>
      </c>
      <c r="L38" s="1">
        <f>K38-K28</f>
        <v>-20</v>
      </c>
      <c r="M38" s="1">
        <f>K38-K29</f>
        <v>0</v>
      </c>
      <c r="N38" s="24">
        <v>44716</v>
      </c>
      <c r="O38" s="24">
        <v>44730</v>
      </c>
      <c r="P38" s="24">
        <v>44699</v>
      </c>
      <c r="Q38" s="1">
        <f>P38-P29</f>
        <v>0</v>
      </c>
      <c r="R38" s="1">
        <f>N38-N28</f>
        <v>-1</v>
      </c>
      <c r="S38" s="1">
        <f>O38-O28</f>
        <v>2</v>
      </c>
      <c r="T38" s="1">
        <f t="shared" si="14"/>
        <v>0.5</v>
      </c>
      <c r="U38" s="1" t="s">
        <v>71</v>
      </c>
      <c r="V38" s="1" t="s">
        <v>71</v>
      </c>
      <c r="W38" s="1">
        <v>1</v>
      </c>
      <c r="X38" s="1">
        <v>95</v>
      </c>
      <c r="Y38" s="1">
        <v>0</v>
      </c>
      <c r="Z38" s="1" t="s">
        <v>71</v>
      </c>
      <c r="AA38" s="1" t="s">
        <v>71</v>
      </c>
      <c r="AB38" s="1" t="s">
        <v>71</v>
      </c>
      <c r="AC38" s="1" t="s">
        <v>71</v>
      </c>
      <c r="AD38" s="25">
        <v>45</v>
      </c>
      <c r="AE38" s="25">
        <v>40</v>
      </c>
      <c r="AF38" s="25">
        <v>81</v>
      </c>
      <c r="AG38" s="25">
        <v>77</v>
      </c>
      <c r="AH38" s="1">
        <v>97</v>
      </c>
      <c r="AI38" s="1">
        <v>66</v>
      </c>
      <c r="AJ38" s="1">
        <v>1.7</v>
      </c>
      <c r="AK38" s="1">
        <v>0</v>
      </c>
      <c r="AL38" s="1">
        <v>0</v>
      </c>
      <c r="AM38" s="1">
        <v>0</v>
      </c>
      <c r="AN38" s="1">
        <v>0.01</v>
      </c>
      <c r="AO38" s="1">
        <v>0.05</v>
      </c>
      <c r="AP38" s="1">
        <v>5.0000000000000001E-4</v>
      </c>
      <c r="AQ38" s="1">
        <v>4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2</v>
      </c>
      <c r="BI38" s="1" t="s">
        <v>71</v>
      </c>
      <c r="BJ38" s="1" t="s">
        <v>71</v>
      </c>
      <c r="BK38" s="1">
        <v>1.2E-2</v>
      </c>
      <c r="BL38" s="1">
        <f t="shared" si="1"/>
        <v>1.2</v>
      </c>
      <c r="BM38" s="1">
        <v>1.2</v>
      </c>
      <c r="BN38" s="1">
        <v>0.01</v>
      </c>
      <c r="BO38" s="1">
        <v>2</v>
      </c>
      <c r="BP38" s="1">
        <v>0</v>
      </c>
      <c r="BQ38" s="1">
        <v>44</v>
      </c>
      <c r="BR38" s="1">
        <v>51</v>
      </c>
      <c r="BS38" s="1">
        <v>17</v>
      </c>
      <c r="BT38" s="1">
        <v>5</v>
      </c>
      <c r="BU38" s="1">
        <v>3</v>
      </c>
      <c r="BV38" s="1">
        <v>5</v>
      </c>
      <c r="BW38" s="1">
        <v>4</v>
      </c>
      <c r="BX38" s="1">
        <v>8.02</v>
      </c>
      <c r="BY38" s="1">
        <v>8.15</v>
      </c>
      <c r="BZ38" s="3">
        <v>0.4</v>
      </c>
      <c r="CA38" s="3">
        <v>2.8</v>
      </c>
      <c r="CB38" s="3">
        <f t="shared" si="9"/>
        <v>0.55555555555555569</v>
      </c>
      <c r="CC38" s="3">
        <f t="shared" si="6"/>
        <v>3.8888888888888888</v>
      </c>
      <c r="CD38" s="1">
        <f>ROUND(CB38/CB25+CC38/CC29,2)</f>
        <v>1.04</v>
      </c>
      <c r="CE38" s="1">
        <f>ROUND(CB38/CB28+CC38/CC29,2)</f>
        <v>1.03</v>
      </c>
      <c r="CF38" s="1">
        <f>ROUND(CB38/(1.2*CB28)+CC38/CC29,2)</f>
        <v>1.01</v>
      </c>
      <c r="CG38" s="1">
        <f>ROUND(CB38/CB25,2)</f>
        <v>0.11</v>
      </c>
      <c r="CH38" s="1">
        <f>ROUND(CB38/CB28,2)</f>
        <v>0.1</v>
      </c>
      <c r="CI38" s="1">
        <f>ROUND(CC38/CC29,2)</f>
        <v>0.93</v>
      </c>
      <c r="CJ38" s="1">
        <f>ROUND((CC38+CB38)/MAX(CC29,CB28),2)</f>
        <v>0.78</v>
      </c>
      <c r="CK38" s="1">
        <f>ROUND(LN((0.9*BZ38)/(0.1*CA38))/(BZ25/CA29),2)</f>
        <v>0.21</v>
      </c>
      <c r="CL38" s="1">
        <f>ROUND(LN((0.9*BZ38)/(0.1*CA38))/(BZ28/CA29),2)</f>
        <v>0.18</v>
      </c>
      <c r="CM38" s="1">
        <f>ROUND(LN((0.1*CA38)/(0.9*BZ38))/(CA29/BZ25),2)</f>
        <v>-0.3</v>
      </c>
      <c r="CN38" s="1">
        <f>ROUND(LN((0.1*CA38)/(0.9*BZ38))/(CA29/BZ28),2)</f>
        <v>-0.34</v>
      </c>
      <c r="CO38" s="1">
        <v>43</v>
      </c>
      <c r="CP38" s="1" t="s">
        <v>71</v>
      </c>
      <c r="CQ38" s="1">
        <v>30.8</v>
      </c>
      <c r="CR38" s="1">
        <v>138.35000000000002</v>
      </c>
      <c r="CS38" s="1">
        <v>34</v>
      </c>
      <c r="CT38" s="1">
        <v>10.4</v>
      </c>
      <c r="CU38" s="1">
        <v>9.6999999999999993</v>
      </c>
      <c r="CV38">
        <v>53.23</v>
      </c>
      <c r="CW38">
        <v>21.01</v>
      </c>
      <c r="CX38" t="e">
        <f>ROUND(CV38*#REF!/10,1)</f>
        <v>#REF!</v>
      </c>
      <c r="CY38" s="1" t="s">
        <v>71</v>
      </c>
      <c r="CZ38" t="e">
        <f t="shared" si="13"/>
        <v>#REF!</v>
      </c>
      <c r="DA38" s="1" t="s">
        <v>71</v>
      </c>
      <c r="DB38" s="1" t="s">
        <v>71</v>
      </c>
      <c r="DC38" s="26" t="s">
        <v>71</v>
      </c>
      <c r="DD38" t="e">
        <f t="shared" si="4"/>
        <v>#REF!</v>
      </c>
      <c r="DE38" t="s">
        <v>71</v>
      </c>
      <c r="DF38" t="e">
        <f>ROUND(CZ38/MAX(DA28,CZ29), 2)</f>
        <v>#REF!</v>
      </c>
    </row>
    <row r="39" spans="1:110" x14ac:dyDescent="0.15">
      <c r="A39" s="1">
        <v>2022</v>
      </c>
      <c r="B39" s="1" t="s">
        <v>48</v>
      </c>
      <c r="C39" s="1">
        <v>2</v>
      </c>
      <c r="D39" s="1">
        <v>17</v>
      </c>
      <c r="E39" s="1" t="s">
        <v>52</v>
      </c>
      <c r="F39" s="1" t="s">
        <v>54</v>
      </c>
      <c r="G39" s="1" t="s">
        <v>5</v>
      </c>
      <c r="H39" s="1">
        <v>2</v>
      </c>
      <c r="I39" s="23" t="s">
        <v>67</v>
      </c>
      <c r="J39" s="1" t="s">
        <v>57</v>
      </c>
      <c r="K39" s="24">
        <v>44705</v>
      </c>
      <c r="L39" s="1">
        <f>K39-K28</f>
        <v>-8</v>
      </c>
      <c r="M39" s="1">
        <f>K39-K30</f>
        <v>12</v>
      </c>
      <c r="N39" s="24">
        <v>44718</v>
      </c>
      <c r="O39" s="24">
        <v>44731</v>
      </c>
      <c r="P39" s="24">
        <v>44699</v>
      </c>
      <c r="Q39" s="1">
        <f>P39-P30</f>
        <v>0</v>
      </c>
      <c r="R39" s="1">
        <f>N39-N28</f>
        <v>1</v>
      </c>
      <c r="S39" s="1">
        <f>O39-O28</f>
        <v>3</v>
      </c>
      <c r="T39" s="1">
        <f t="shared" si="14"/>
        <v>2</v>
      </c>
      <c r="U39" s="1" t="s">
        <v>71</v>
      </c>
      <c r="V39" s="1" t="s">
        <v>71</v>
      </c>
      <c r="W39" s="1">
        <v>-2</v>
      </c>
      <c r="X39" s="1">
        <v>40</v>
      </c>
      <c r="Y39" s="1">
        <v>0</v>
      </c>
      <c r="Z39" s="1" t="s">
        <v>71</v>
      </c>
      <c r="AA39" s="1" t="s">
        <v>71</v>
      </c>
      <c r="AB39" s="1" t="s">
        <v>71</v>
      </c>
      <c r="AC39" s="1" t="s">
        <v>71</v>
      </c>
      <c r="AD39" s="25">
        <v>40</v>
      </c>
      <c r="AE39" s="25">
        <v>32</v>
      </c>
      <c r="AF39" s="25">
        <v>76</v>
      </c>
      <c r="AG39" s="25">
        <v>75</v>
      </c>
      <c r="AH39" s="1">
        <v>77</v>
      </c>
      <c r="AI39" s="1">
        <v>56</v>
      </c>
      <c r="AJ39" s="1">
        <v>4.7</v>
      </c>
      <c r="AK39" s="1">
        <v>0</v>
      </c>
      <c r="AL39" s="1">
        <v>0</v>
      </c>
      <c r="AM39" s="1">
        <v>0</v>
      </c>
      <c r="AN39" s="1">
        <v>0.1</v>
      </c>
      <c r="AO39" s="1">
        <v>0.05</v>
      </c>
      <c r="AP39" s="1">
        <v>5.000000000000001E-3</v>
      </c>
      <c r="AQ39" s="1">
        <v>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2</v>
      </c>
      <c r="BI39" s="1" t="s">
        <v>71</v>
      </c>
      <c r="BJ39" s="1" t="s">
        <v>71</v>
      </c>
      <c r="BK39" s="1">
        <v>1.4999999999999999E-2</v>
      </c>
      <c r="BL39" s="1">
        <f t="shared" si="1"/>
        <v>1.5</v>
      </c>
      <c r="BM39" s="1">
        <v>1</v>
      </c>
      <c r="BN39" s="1">
        <v>1.4999999999999999E-2</v>
      </c>
      <c r="BO39" s="1">
        <v>1</v>
      </c>
      <c r="BP39" s="1">
        <v>0</v>
      </c>
      <c r="BQ39" s="1">
        <v>47</v>
      </c>
      <c r="BR39" s="1">
        <v>48</v>
      </c>
      <c r="BS39" s="1">
        <v>21</v>
      </c>
      <c r="BT39" s="1">
        <v>6</v>
      </c>
      <c r="BU39" s="1">
        <v>1</v>
      </c>
      <c r="BV39" s="1">
        <v>7</v>
      </c>
      <c r="BW39" s="1">
        <v>7</v>
      </c>
      <c r="BX39" s="1">
        <v>14.68</v>
      </c>
      <c r="BY39" s="1">
        <v>3.51</v>
      </c>
      <c r="BZ39" s="3">
        <v>0.8</v>
      </c>
      <c r="CA39" s="3">
        <v>2.6</v>
      </c>
      <c r="CB39" s="3">
        <f t="shared" si="9"/>
        <v>1.1111111111111114</v>
      </c>
      <c r="CC39" s="3">
        <f t="shared" si="6"/>
        <v>3.6111111111111116</v>
      </c>
      <c r="CD39" s="1">
        <f>ROUND(CB39/CB25+CC39/CC30,2)</f>
        <v>1.31</v>
      </c>
      <c r="CE39" s="1">
        <f>ROUND(CB39/CB28+CC39/CC30,2)</f>
        <v>1.28</v>
      </c>
      <c r="CF39" s="1">
        <f>ROUND(CB39/(1.2*CB28)+CC39/CC30,2)</f>
        <v>1.25</v>
      </c>
      <c r="CG39" s="1">
        <f>ROUND(CB39/CB25,2)</f>
        <v>0.22</v>
      </c>
      <c r="CH39" s="1">
        <f>ROUND(CB39/CB28,2)</f>
        <v>0.2</v>
      </c>
      <c r="CI39" s="1">
        <f>ROUND(CC39/CC30,2)</f>
        <v>1.08</v>
      </c>
      <c r="CJ39" s="1">
        <f>ROUND((CC39+CB39)/MAX(CC30,CB28),2)</f>
        <v>0.83</v>
      </c>
      <c r="CK39" s="1">
        <f>ROUND(LN((0.9*BZ39)/(0.1*CA39))/(BZ25/CA30),2)</f>
        <v>0.68</v>
      </c>
      <c r="CL39" s="1">
        <f>ROUND(LN((0.9*BZ39)/(0.1*CA39))/(BZ28/CA30),2)</f>
        <v>0.6</v>
      </c>
      <c r="CM39" s="1">
        <f>ROUND(LN((0.1*CA39)/(0.9*BZ39))/(CA30/BZ25),2)</f>
        <v>-1.53</v>
      </c>
      <c r="CN39" s="1">
        <f>ROUND(LN((0.1*CA39)/(0.9*BZ39))/(CA30/BZ28),2)</f>
        <v>-1.74</v>
      </c>
      <c r="CO39" s="1">
        <v>48</v>
      </c>
      <c r="CP39" s="1" t="s">
        <v>71</v>
      </c>
      <c r="CQ39" s="1">
        <v>31.6</v>
      </c>
      <c r="CR39" s="1">
        <v>139.1</v>
      </c>
      <c r="CS39" s="1">
        <v>39</v>
      </c>
      <c r="CT39" s="1">
        <v>10.9</v>
      </c>
      <c r="CU39" s="1">
        <v>10.5</v>
      </c>
      <c r="CV39">
        <v>62.02</v>
      </c>
      <c r="CW39">
        <v>21.76</v>
      </c>
      <c r="CX39" t="e">
        <f>ROUND(CV39*#REF!/10,1)</f>
        <v>#REF!</v>
      </c>
      <c r="CY39" s="1">
        <v>13.2</v>
      </c>
      <c r="CZ39" t="e">
        <f t="shared" si="13"/>
        <v>#REF!</v>
      </c>
      <c r="DA39">
        <f>ROUND((CY39*CB39*10),0)</f>
        <v>147</v>
      </c>
      <c r="DB39" t="e">
        <f>(CZ39+DA39)/MAX(DA28,CZ30)</f>
        <v>#REF!</v>
      </c>
      <c r="DC39" s="26">
        <v>13.2</v>
      </c>
      <c r="DD39" t="e">
        <f t="shared" si="4"/>
        <v>#REF!</v>
      </c>
      <c r="DE39" t="e">
        <f t="shared" si="15"/>
        <v>#REF!</v>
      </c>
      <c r="DF39" t="e">
        <f>ROUND(CZ39/MAX(DA28,CZ30), 2)</f>
        <v>#REF!</v>
      </c>
    </row>
    <row r="40" spans="1:110" x14ac:dyDescent="0.15">
      <c r="A40" s="1">
        <v>2022</v>
      </c>
      <c r="B40" s="1" t="s">
        <v>48</v>
      </c>
      <c r="C40" s="1">
        <v>2</v>
      </c>
      <c r="D40" s="1">
        <v>18</v>
      </c>
      <c r="E40" s="1" t="s">
        <v>52</v>
      </c>
      <c r="F40" s="1" t="s">
        <v>55</v>
      </c>
      <c r="G40" s="1" t="s">
        <v>5</v>
      </c>
      <c r="H40" s="1">
        <v>2</v>
      </c>
      <c r="I40" s="23" t="s">
        <v>68</v>
      </c>
      <c r="J40" s="1" t="s">
        <v>57</v>
      </c>
      <c r="K40" s="24">
        <v>44693</v>
      </c>
      <c r="L40" s="1">
        <f>K40-K28</f>
        <v>-20</v>
      </c>
      <c r="M40" s="1">
        <f>K40-K31</f>
        <v>0</v>
      </c>
      <c r="N40" s="24">
        <v>44721</v>
      </c>
      <c r="O40" s="24">
        <v>44734</v>
      </c>
      <c r="P40" s="24">
        <v>44699</v>
      </c>
      <c r="Q40" s="1">
        <f>P40-P31</f>
        <v>1</v>
      </c>
      <c r="R40" s="1">
        <f>N40-N28</f>
        <v>4</v>
      </c>
      <c r="S40" s="1">
        <f>O40-O28</f>
        <v>6</v>
      </c>
      <c r="T40" s="1">
        <f t="shared" si="14"/>
        <v>5</v>
      </c>
      <c r="U40" s="1" t="s">
        <v>71</v>
      </c>
      <c r="V40" s="1" t="s">
        <v>71</v>
      </c>
      <c r="W40" s="1">
        <v>-2</v>
      </c>
      <c r="X40" s="1">
        <v>0</v>
      </c>
      <c r="Y40" s="1">
        <v>0</v>
      </c>
      <c r="Z40" s="1" t="s">
        <v>71</v>
      </c>
      <c r="AA40" s="1" t="s">
        <v>71</v>
      </c>
      <c r="AB40" s="1" t="s">
        <v>71</v>
      </c>
      <c r="AC40" s="1" t="s">
        <v>71</v>
      </c>
      <c r="AD40" s="25">
        <v>45</v>
      </c>
      <c r="AE40" s="25">
        <v>39</v>
      </c>
      <c r="AF40" s="25">
        <v>83</v>
      </c>
      <c r="AG40" s="25">
        <v>80</v>
      </c>
      <c r="AH40" s="1">
        <v>109</v>
      </c>
      <c r="AI40" s="1">
        <v>79</v>
      </c>
      <c r="AJ40" s="1">
        <v>2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5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1</v>
      </c>
      <c r="BI40" s="1" t="s">
        <v>71</v>
      </c>
      <c r="BJ40" s="1" t="s">
        <v>71</v>
      </c>
      <c r="BK40" s="1">
        <v>1.8000000000000002E-3</v>
      </c>
      <c r="BL40" s="1">
        <f t="shared" si="1"/>
        <v>0.18000000000000002</v>
      </c>
      <c r="BM40" s="1">
        <v>0.9</v>
      </c>
      <c r="BN40" s="1">
        <v>2E-3</v>
      </c>
      <c r="BO40" s="1">
        <v>1</v>
      </c>
      <c r="BP40" s="1">
        <v>5</v>
      </c>
      <c r="BQ40" s="1">
        <v>35</v>
      </c>
      <c r="BR40" s="1">
        <v>82</v>
      </c>
      <c r="BS40" s="1">
        <v>26</v>
      </c>
      <c r="BT40" s="1">
        <v>8</v>
      </c>
      <c r="BU40" s="1">
        <v>1</v>
      </c>
      <c r="BV40" s="1">
        <v>6</v>
      </c>
      <c r="BW40" s="1">
        <v>5</v>
      </c>
      <c r="BX40" s="1">
        <v>25.23</v>
      </c>
      <c r="BY40" s="1">
        <v>1.1499999999999999</v>
      </c>
      <c r="BZ40" s="3">
        <v>0.7</v>
      </c>
      <c r="CA40" s="3">
        <v>2.5</v>
      </c>
      <c r="CB40" s="3">
        <f t="shared" si="9"/>
        <v>0.97222222222222221</v>
      </c>
      <c r="CC40" s="3">
        <f t="shared" si="6"/>
        <v>3.4722222222222228</v>
      </c>
      <c r="CD40" s="1">
        <f>ROUND(CB40/CB25+CC40/CC31,2)</f>
        <v>1.1200000000000001</v>
      </c>
      <c r="CE40" s="1">
        <f>ROUND(CB40/CB28+CC40/CC31,2)</f>
        <v>1.1000000000000001</v>
      </c>
      <c r="CF40" s="1">
        <f>ROUND(CB40/(1.2*CB28)+CC40/CC31,2)</f>
        <v>1.07</v>
      </c>
      <c r="CG40" s="1">
        <f>ROUND(CB40/CB25,2)</f>
        <v>0.19</v>
      </c>
      <c r="CH40" s="1">
        <f>ROUND(CB40/CB28,2)</f>
        <v>0.17</v>
      </c>
      <c r="CI40" s="1">
        <f>ROUND(CC40/CC31,2)</f>
        <v>0.93</v>
      </c>
      <c r="CJ40" s="1">
        <f>ROUND((CC40+CB40)/MAX(CC31,CB28),2)</f>
        <v>0.78</v>
      </c>
      <c r="CK40" s="1">
        <f>ROUND(LN((0.9*BZ40)/(0.1*CA40))/(BZ25/CA31),2)</f>
        <v>0.69</v>
      </c>
      <c r="CL40" s="1">
        <f>ROUND(LN((0.9*BZ40)/(0.1*CA40))/(BZ28/CA31),2)</f>
        <v>0.61</v>
      </c>
      <c r="CM40" s="1">
        <f>ROUND(LN((0.1*CA40)/(0.9*BZ40))/(CA31/BZ25),2)</f>
        <v>-1.23</v>
      </c>
      <c r="CN40" s="1">
        <f>ROUND(LN((0.1*CA40)/(0.9*BZ40))/(CA31/BZ28),2)</f>
        <v>-1.4</v>
      </c>
      <c r="CO40" s="1">
        <v>47</v>
      </c>
      <c r="CP40" s="1" t="s">
        <v>71</v>
      </c>
      <c r="CQ40" s="1">
        <v>32.9</v>
      </c>
      <c r="CR40" s="1">
        <v>161.70000000000002</v>
      </c>
      <c r="CS40" s="1">
        <v>38</v>
      </c>
      <c r="CT40" s="1">
        <v>10.6</v>
      </c>
      <c r="CU40" s="1">
        <v>9.6</v>
      </c>
      <c r="CV40">
        <v>60.36</v>
      </c>
      <c r="CW40">
        <v>22.4</v>
      </c>
      <c r="CX40" t="e">
        <f>ROUND(CV40*#REF!/10,1)</f>
        <v>#REF!</v>
      </c>
      <c r="CY40" s="1">
        <v>13.8</v>
      </c>
      <c r="CZ40" t="e">
        <f t="shared" si="13"/>
        <v>#REF!</v>
      </c>
      <c r="DA40">
        <f>ROUND((CY40*CB40*10),0)</f>
        <v>134</v>
      </c>
      <c r="DB40" t="e">
        <f>(CZ40+DA40)/MAX(DA28,CZ31)</f>
        <v>#REF!</v>
      </c>
      <c r="DC40" s="26">
        <v>13.8</v>
      </c>
      <c r="DD40" t="e">
        <f t="shared" si="4"/>
        <v>#REF!</v>
      </c>
      <c r="DE40" t="e">
        <f t="shared" si="15"/>
        <v>#REF!</v>
      </c>
      <c r="DF40" t="e">
        <f>ROUND(CZ40/MAX(DA28,CZ31), 2)</f>
        <v>#REF!</v>
      </c>
    </row>
    <row r="41" spans="1:110" x14ac:dyDescent="0.15">
      <c r="A41" s="1">
        <v>2022</v>
      </c>
      <c r="B41" s="1" t="s">
        <v>48</v>
      </c>
      <c r="C41" s="1">
        <v>2</v>
      </c>
      <c r="D41" s="1">
        <v>19</v>
      </c>
      <c r="E41" s="1"/>
      <c r="F41" s="1"/>
      <c r="G41" s="1" t="s">
        <v>56</v>
      </c>
      <c r="H41" s="1">
        <v>2</v>
      </c>
      <c r="I41" s="23" t="s">
        <v>69</v>
      </c>
      <c r="J41" s="1" t="s">
        <v>57</v>
      </c>
      <c r="K41" s="24">
        <v>44705</v>
      </c>
      <c r="L41" s="1" t="s">
        <v>71</v>
      </c>
      <c r="M41" s="1" t="s">
        <v>71</v>
      </c>
      <c r="N41" s="1" t="s">
        <v>71</v>
      </c>
      <c r="O41" s="1" t="s">
        <v>71</v>
      </c>
      <c r="P41" s="1" t="s">
        <v>71</v>
      </c>
      <c r="Q41" s="1" t="s">
        <v>71</v>
      </c>
      <c r="R41" s="1" t="s">
        <v>71</v>
      </c>
      <c r="S41" s="1" t="s">
        <v>71</v>
      </c>
      <c r="T41" s="1" t="s">
        <v>71</v>
      </c>
      <c r="U41" s="1" t="s">
        <v>71</v>
      </c>
      <c r="V41" s="1" t="s">
        <v>71</v>
      </c>
      <c r="W41" s="1" t="s">
        <v>71</v>
      </c>
      <c r="X41" s="1">
        <v>0</v>
      </c>
      <c r="Y41" s="1">
        <v>0</v>
      </c>
      <c r="Z41" s="1" t="s">
        <v>71</v>
      </c>
      <c r="AA41" s="1" t="s">
        <v>71</v>
      </c>
      <c r="AB41" s="1" t="s">
        <v>71</v>
      </c>
      <c r="AC41" s="1" t="s">
        <v>71</v>
      </c>
      <c r="AD41" s="25">
        <v>38</v>
      </c>
      <c r="AE41" s="25" t="s">
        <v>71</v>
      </c>
      <c r="AF41" s="25" t="s">
        <v>71</v>
      </c>
      <c r="AG41" s="25" t="s">
        <v>71</v>
      </c>
      <c r="AH41" s="1">
        <v>81</v>
      </c>
      <c r="AI41" s="1" t="s">
        <v>71</v>
      </c>
      <c r="AJ41" s="1">
        <v>2.2999999999999998</v>
      </c>
      <c r="AK41" s="1" t="s">
        <v>71</v>
      </c>
      <c r="AL41" s="1" t="s">
        <v>71</v>
      </c>
      <c r="AM41" s="1" t="s">
        <v>71</v>
      </c>
      <c r="AN41" s="1" t="s">
        <v>71</v>
      </c>
      <c r="AO41" s="1" t="s">
        <v>71</v>
      </c>
      <c r="AP41" s="1" t="s">
        <v>71</v>
      </c>
      <c r="AQ41" s="1" t="s">
        <v>71</v>
      </c>
      <c r="AR41" s="1" t="s">
        <v>71</v>
      </c>
      <c r="AS41" s="1" t="s">
        <v>71</v>
      </c>
      <c r="AT41" s="1" t="s">
        <v>71</v>
      </c>
      <c r="AU41" s="1">
        <v>0</v>
      </c>
      <c r="AV41" s="1">
        <v>0</v>
      </c>
      <c r="AW41" s="1">
        <v>0</v>
      </c>
      <c r="AX41" s="1" t="s">
        <v>71</v>
      </c>
      <c r="AY41" s="1" t="s">
        <v>71</v>
      </c>
      <c r="AZ41" s="1">
        <v>0</v>
      </c>
      <c r="BA41" s="1" t="s">
        <v>71</v>
      </c>
      <c r="BB41" s="1" t="s">
        <v>71</v>
      </c>
      <c r="BC41" s="1" t="s">
        <v>71</v>
      </c>
      <c r="BD41" s="1" t="s">
        <v>71</v>
      </c>
      <c r="BE41" s="1" t="s">
        <v>71</v>
      </c>
      <c r="BF41" s="1" t="s">
        <v>71</v>
      </c>
      <c r="BG41" s="1" t="s">
        <v>71</v>
      </c>
      <c r="BH41" s="1" t="s">
        <v>71</v>
      </c>
      <c r="BI41" s="1" t="s">
        <v>71</v>
      </c>
      <c r="BJ41" s="1" t="s">
        <v>71</v>
      </c>
      <c r="BK41" s="1">
        <v>6.9999999999999993E-3</v>
      </c>
      <c r="BL41" s="1">
        <f t="shared" si="1"/>
        <v>0.7</v>
      </c>
      <c r="BM41" s="1">
        <v>0.7</v>
      </c>
      <c r="BN41" s="1">
        <v>0.01</v>
      </c>
      <c r="BO41" s="1">
        <v>1</v>
      </c>
      <c r="BP41" s="1">
        <v>0</v>
      </c>
      <c r="BQ41" s="1" t="s">
        <v>71</v>
      </c>
      <c r="BR41" s="1" t="s">
        <v>71</v>
      </c>
      <c r="BS41" s="1" t="s">
        <v>71</v>
      </c>
      <c r="BT41" s="1" t="s">
        <v>71</v>
      </c>
      <c r="BU41" s="1" t="s">
        <v>71</v>
      </c>
      <c r="BV41" s="1" t="s">
        <v>71</v>
      </c>
      <c r="BW41" s="1" t="s">
        <v>71</v>
      </c>
      <c r="BX41" s="1">
        <v>12.51</v>
      </c>
      <c r="BY41" s="1" t="s">
        <v>71</v>
      </c>
      <c r="BZ41" s="3" t="s">
        <v>71</v>
      </c>
      <c r="CA41" s="3" t="s">
        <v>71</v>
      </c>
      <c r="CB41" s="3" t="s">
        <v>71</v>
      </c>
      <c r="CC41" s="3" t="s">
        <v>71</v>
      </c>
      <c r="CD41" s="3" t="s">
        <v>71</v>
      </c>
      <c r="CE41" s="3" t="s">
        <v>71</v>
      </c>
      <c r="CF41" s="1" t="s">
        <v>71</v>
      </c>
      <c r="CG41" s="3" t="s">
        <v>71</v>
      </c>
      <c r="CH41" s="3" t="s">
        <v>71</v>
      </c>
      <c r="CI41" s="3" t="s">
        <v>71</v>
      </c>
      <c r="CJ41" s="3" t="s">
        <v>71</v>
      </c>
      <c r="CK41" s="3" t="s">
        <v>71</v>
      </c>
      <c r="CL41" s="3" t="s">
        <v>71</v>
      </c>
      <c r="CM41" s="3" t="s">
        <v>71</v>
      </c>
      <c r="CN41" s="3" t="s">
        <v>71</v>
      </c>
      <c r="CO41" s="1" t="s">
        <v>71</v>
      </c>
      <c r="CP41" s="1" t="s">
        <v>71</v>
      </c>
      <c r="CQ41" s="1">
        <v>39.799999999999997</v>
      </c>
      <c r="CR41" s="1">
        <v>0</v>
      </c>
      <c r="CS41" s="1" t="s">
        <v>71</v>
      </c>
      <c r="CT41" s="1" t="s">
        <v>71</v>
      </c>
      <c r="CU41" s="1" t="s">
        <v>71</v>
      </c>
      <c r="CV41" s="1" t="s">
        <v>71</v>
      </c>
      <c r="CW41" s="1" t="s">
        <v>71</v>
      </c>
      <c r="CX41" t="s">
        <v>71</v>
      </c>
      <c r="CY41" s="1" t="s">
        <v>71</v>
      </c>
      <c r="CZ41" t="s">
        <v>71</v>
      </c>
      <c r="DA41" t="s">
        <v>71</v>
      </c>
      <c r="DB41" t="s">
        <v>71</v>
      </c>
      <c r="DC41" s="26" t="s">
        <v>71</v>
      </c>
      <c r="DD41">
        <f t="shared" si="4"/>
        <v>0</v>
      </c>
      <c r="DE41" t="s">
        <v>71</v>
      </c>
      <c r="DF41" s="26" t="s">
        <v>71</v>
      </c>
    </row>
    <row r="42" spans="1:110" x14ac:dyDescent="0.15">
      <c r="A42" s="1">
        <v>2022</v>
      </c>
      <c r="B42" s="1" t="s">
        <v>48</v>
      </c>
      <c r="C42" s="1">
        <v>2</v>
      </c>
      <c r="D42" s="1">
        <v>20</v>
      </c>
      <c r="E42" s="1"/>
      <c r="F42" s="1"/>
      <c r="G42" s="1" t="s">
        <v>56</v>
      </c>
      <c r="H42" s="1">
        <v>2</v>
      </c>
      <c r="I42" s="23" t="s">
        <v>70</v>
      </c>
      <c r="J42" s="1" t="s">
        <v>57</v>
      </c>
      <c r="K42" s="1" t="s">
        <v>57</v>
      </c>
      <c r="L42" s="1" t="s">
        <v>71</v>
      </c>
      <c r="M42" s="1" t="s">
        <v>71</v>
      </c>
      <c r="N42" s="1" t="s">
        <v>71</v>
      </c>
      <c r="O42" s="1" t="s">
        <v>71</v>
      </c>
      <c r="P42" s="1" t="s">
        <v>71</v>
      </c>
      <c r="Q42" s="1" t="s">
        <v>71</v>
      </c>
      <c r="R42" s="1" t="s">
        <v>71</v>
      </c>
      <c r="S42" s="1" t="s">
        <v>71</v>
      </c>
      <c r="T42" s="1" t="s">
        <v>71</v>
      </c>
      <c r="U42" s="1" t="s">
        <v>71</v>
      </c>
      <c r="V42" s="1" t="s">
        <v>71</v>
      </c>
      <c r="W42" s="1" t="s">
        <v>71</v>
      </c>
      <c r="X42" s="1">
        <v>0</v>
      </c>
      <c r="Y42" s="1">
        <v>0</v>
      </c>
      <c r="Z42" s="1" t="s">
        <v>71</v>
      </c>
      <c r="AA42" s="1" t="s">
        <v>71</v>
      </c>
      <c r="AB42" s="1" t="s">
        <v>71</v>
      </c>
      <c r="AC42" s="1" t="s">
        <v>71</v>
      </c>
      <c r="AD42" s="25" t="s">
        <v>71</v>
      </c>
      <c r="AE42" s="25">
        <v>29</v>
      </c>
      <c r="AF42" s="25" t="s">
        <v>71</v>
      </c>
      <c r="AG42" s="25">
        <v>80</v>
      </c>
      <c r="AH42" s="1" t="s">
        <v>71</v>
      </c>
      <c r="AI42" s="1" t="s">
        <v>71</v>
      </c>
      <c r="AJ42" s="1" t="s">
        <v>71</v>
      </c>
      <c r="AK42" s="1" t="s">
        <v>71</v>
      </c>
      <c r="AL42" s="1" t="s">
        <v>71</v>
      </c>
      <c r="AM42" s="1" t="s">
        <v>71</v>
      </c>
      <c r="AN42" s="1" t="s">
        <v>71</v>
      </c>
      <c r="AO42" s="1" t="s">
        <v>71</v>
      </c>
      <c r="AP42" s="1" t="s">
        <v>71</v>
      </c>
      <c r="AQ42" s="1" t="s">
        <v>71</v>
      </c>
      <c r="AR42" s="1" t="s">
        <v>71</v>
      </c>
      <c r="AS42" s="1" t="s">
        <v>71</v>
      </c>
      <c r="AT42" s="1" t="s">
        <v>71</v>
      </c>
      <c r="AU42" s="1">
        <v>0</v>
      </c>
      <c r="AV42" s="1">
        <v>0</v>
      </c>
      <c r="AW42" s="1">
        <v>0</v>
      </c>
      <c r="AX42" s="1" t="s">
        <v>71</v>
      </c>
      <c r="AY42" s="1" t="s">
        <v>71</v>
      </c>
      <c r="AZ42" s="1">
        <v>0</v>
      </c>
      <c r="BA42" s="1" t="s">
        <v>71</v>
      </c>
      <c r="BB42" s="1" t="s">
        <v>71</v>
      </c>
      <c r="BC42" s="1" t="s">
        <v>71</v>
      </c>
      <c r="BD42" s="1" t="s">
        <v>71</v>
      </c>
      <c r="BE42" s="1" t="s">
        <v>71</v>
      </c>
      <c r="BF42" s="1" t="s">
        <v>71</v>
      </c>
      <c r="BG42" s="1" t="s">
        <v>71</v>
      </c>
      <c r="BH42" s="1" t="s">
        <v>71</v>
      </c>
      <c r="BI42" s="1" t="s">
        <v>71</v>
      </c>
      <c r="BJ42" s="1" t="s">
        <v>71</v>
      </c>
      <c r="BK42" s="1">
        <v>0.2</v>
      </c>
      <c r="BL42" s="1">
        <f t="shared" si="1"/>
        <v>20</v>
      </c>
      <c r="BM42" s="1">
        <v>1</v>
      </c>
      <c r="BN42" s="1">
        <v>0.2</v>
      </c>
      <c r="BO42" s="1">
        <v>3</v>
      </c>
      <c r="BP42" s="1">
        <v>15</v>
      </c>
      <c r="BQ42" s="1" t="s">
        <v>71</v>
      </c>
      <c r="BR42" s="1" t="s">
        <v>71</v>
      </c>
      <c r="BS42" s="1" t="s">
        <v>71</v>
      </c>
      <c r="BT42" s="1" t="s">
        <v>71</v>
      </c>
      <c r="BU42" s="1">
        <v>10</v>
      </c>
      <c r="BV42" s="1" t="s">
        <v>71</v>
      </c>
      <c r="BW42" s="1" t="s">
        <v>71</v>
      </c>
      <c r="BX42" s="1">
        <v>8.77</v>
      </c>
      <c r="BY42" s="1" t="s">
        <v>71</v>
      </c>
      <c r="BZ42" s="3" t="s">
        <v>71</v>
      </c>
      <c r="CA42" s="3" t="s">
        <v>71</v>
      </c>
      <c r="CB42" s="3" t="s">
        <v>71</v>
      </c>
      <c r="CC42" s="3" t="s">
        <v>71</v>
      </c>
      <c r="CD42" s="3" t="s">
        <v>71</v>
      </c>
      <c r="CE42" s="3" t="s">
        <v>71</v>
      </c>
      <c r="CF42" s="1" t="s">
        <v>71</v>
      </c>
      <c r="CG42" s="3" t="s">
        <v>71</v>
      </c>
      <c r="CH42" s="3" t="s">
        <v>71</v>
      </c>
      <c r="CI42" s="3" t="s">
        <v>71</v>
      </c>
      <c r="CJ42" s="3" t="s">
        <v>71</v>
      </c>
      <c r="CK42" s="3" t="s">
        <v>71</v>
      </c>
      <c r="CL42" s="3" t="s">
        <v>71</v>
      </c>
      <c r="CM42" s="3" t="s">
        <v>71</v>
      </c>
      <c r="CN42" s="3" t="s">
        <v>71</v>
      </c>
      <c r="CO42" s="1">
        <v>0</v>
      </c>
      <c r="CP42" s="1" t="s">
        <v>71</v>
      </c>
      <c r="CQ42" s="1">
        <v>0</v>
      </c>
      <c r="CR42" s="1">
        <v>0</v>
      </c>
      <c r="CS42" s="1" t="s">
        <v>71</v>
      </c>
      <c r="CT42" s="1" t="s">
        <v>71</v>
      </c>
      <c r="CU42" s="1" t="s">
        <v>71</v>
      </c>
      <c r="CV42" s="1" t="s">
        <v>71</v>
      </c>
      <c r="CW42" s="1" t="s">
        <v>71</v>
      </c>
      <c r="CX42" t="s">
        <v>71</v>
      </c>
      <c r="CY42" s="1">
        <v>12.9</v>
      </c>
      <c r="CZ42" t="s">
        <v>71</v>
      </c>
      <c r="DA42" t="s">
        <v>71</v>
      </c>
      <c r="DB42" t="s">
        <v>71</v>
      </c>
      <c r="DC42" s="26">
        <v>12.9</v>
      </c>
      <c r="DD42">
        <f t="shared" si="4"/>
        <v>0</v>
      </c>
      <c r="DE42" t="s">
        <v>71</v>
      </c>
      <c r="DF42" s="26" t="s">
        <v>71</v>
      </c>
    </row>
    <row r="43" spans="1:110" x14ac:dyDescent="0.15">
      <c r="A43" s="1">
        <v>2022</v>
      </c>
      <c r="B43" s="1" t="s">
        <v>48</v>
      </c>
      <c r="C43" s="1">
        <v>3</v>
      </c>
      <c r="D43" s="1">
        <v>1</v>
      </c>
      <c r="E43" s="1" t="s">
        <v>50</v>
      </c>
      <c r="F43" s="1"/>
      <c r="G43" s="1" t="s">
        <v>56</v>
      </c>
      <c r="H43" s="1">
        <v>3</v>
      </c>
      <c r="I43" s="23" t="s">
        <v>50</v>
      </c>
      <c r="J43" s="1" t="s">
        <v>57</v>
      </c>
      <c r="K43" s="24">
        <v>44705</v>
      </c>
      <c r="L43" s="1" t="s">
        <v>71</v>
      </c>
      <c r="M43" s="1" t="s">
        <v>71</v>
      </c>
      <c r="N43" s="24">
        <v>44713</v>
      </c>
      <c r="O43" s="24">
        <v>44721</v>
      </c>
      <c r="P43" s="1" t="s">
        <v>71</v>
      </c>
      <c r="Q43" s="1" t="s">
        <v>71</v>
      </c>
      <c r="R43" s="1" t="s">
        <v>71</v>
      </c>
      <c r="S43" s="1" t="s">
        <v>71</v>
      </c>
      <c r="T43" s="1" t="s">
        <v>71</v>
      </c>
      <c r="U43" s="1" t="s">
        <v>71</v>
      </c>
      <c r="V43" s="1" t="s">
        <v>71</v>
      </c>
      <c r="W43" s="1" t="s">
        <v>71</v>
      </c>
      <c r="X43" s="1" t="s">
        <v>71</v>
      </c>
      <c r="Y43" s="1">
        <v>0</v>
      </c>
      <c r="Z43" s="1" t="s">
        <v>71</v>
      </c>
      <c r="AA43" s="1" t="s">
        <v>71</v>
      </c>
      <c r="AB43" s="1" t="s">
        <v>71</v>
      </c>
      <c r="AC43" s="1" t="s">
        <v>71</v>
      </c>
      <c r="AD43" s="25">
        <v>52</v>
      </c>
      <c r="AE43" s="25" t="s">
        <v>71</v>
      </c>
      <c r="AF43" s="25">
        <v>102</v>
      </c>
      <c r="AG43" s="25" t="s">
        <v>71</v>
      </c>
      <c r="AH43" s="1">
        <v>114</v>
      </c>
      <c r="AI43" s="1" t="s">
        <v>71</v>
      </c>
      <c r="AJ43" s="1">
        <v>1.3</v>
      </c>
      <c r="AK43" s="1">
        <v>0</v>
      </c>
      <c r="AL43" s="1">
        <v>0</v>
      </c>
      <c r="AM43" s="1">
        <v>0</v>
      </c>
      <c r="AN43" s="1">
        <v>0.01</v>
      </c>
      <c r="AO43" s="1">
        <v>0.05</v>
      </c>
      <c r="AP43" s="1">
        <v>5.0000000000000001E-4</v>
      </c>
      <c r="AQ43" s="1">
        <v>18</v>
      </c>
      <c r="AR43" s="1">
        <v>0</v>
      </c>
      <c r="AS43" s="1">
        <v>0</v>
      </c>
      <c r="AT43" s="1">
        <v>0</v>
      </c>
      <c r="AU43" s="1" t="s">
        <v>71</v>
      </c>
      <c r="AV43" s="1" t="s">
        <v>71</v>
      </c>
      <c r="AW43" s="1" t="s">
        <v>71</v>
      </c>
      <c r="AX43" s="1">
        <v>0</v>
      </c>
      <c r="AY43" s="1">
        <v>0</v>
      </c>
      <c r="AZ43" s="1" t="s">
        <v>71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 t="s">
        <v>71</v>
      </c>
      <c r="BI43" s="1" t="s">
        <v>71</v>
      </c>
      <c r="BJ43" s="1" t="s">
        <v>71</v>
      </c>
      <c r="BK43" s="1">
        <v>2.4000000000000002E-3</v>
      </c>
      <c r="BL43" s="1">
        <f t="shared" si="1"/>
        <v>0.24000000000000002</v>
      </c>
      <c r="BM43" s="1">
        <v>0.8</v>
      </c>
      <c r="BN43" s="1">
        <v>3.0000000000000001E-3</v>
      </c>
      <c r="BO43" s="1">
        <v>1</v>
      </c>
      <c r="BP43" s="1">
        <v>5</v>
      </c>
      <c r="BQ43" s="1" t="s">
        <v>71</v>
      </c>
      <c r="BR43" s="1" t="s">
        <v>71</v>
      </c>
      <c r="BS43" s="1" t="s">
        <v>71</v>
      </c>
      <c r="BT43" s="1" t="s">
        <v>71</v>
      </c>
      <c r="BU43" s="1">
        <v>5</v>
      </c>
      <c r="BV43" s="1" t="s">
        <v>71</v>
      </c>
      <c r="BW43" s="1" t="s">
        <v>71</v>
      </c>
      <c r="BX43" s="1" t="s">
        <v>71</v>
      </c>
      <c r="BY43" s="1">
        <v>25.8</v>
      </c>
      <c r="BZ43" s="3">
        <v>4.2</v>
      </c>
      <c r="CA43" s="3" t="s">
        <v>71</v>
      </c>
      <c r="CB43" s="3">
        <f t="shared" si="9"/>
        <v>5.8333333333333339</v>
      </c>
      <c r="CC43" s="3" t="s">
        <v>71</v>
      </c>
      <c r="CD43" s="1">
        <v>1</v>
      </c>
      <c r="CE43" s="1">
        <v>1</v>
      </c>
      <c r="CF43" s="1">
        <f>CE43</f>
        <v>1</v>
      </c>
      <c r="CG43" s="3" t="s">
        <v>71</v>
      </c>
      <c r="CH43" s="3" t="s">
        <v>71</v>
      </c>
      <c r="CI43" s="3" t="s">
        <v>71</v>
      </c>
      <c r="CJ43" s="3" t="s">
        <v>71</v>
      </c>
      <c r="CK43" s="3" t="s">
        <v>71</v>
      </c>
      <c r="CL43" s="3" t="s">
        <v>71</v>
      </c>
      <c r="CM43" s="3" t="s">
        <v>71</v>
      </c>
      <c r="CN43" s="3" t="s">
        <v>71</v>
      </c>
      <c r="CO43" s="1">
        <v>0</v>
      </c>
      <c r="CP43" s="1" t="s">
        <v>71</v>
      </c>
      <c r="CQ43" s="1">
        <v>35.9</v>
      </c>
      <c r="CR43" s="1" t="s">
        <v>71</v>
      </c>
      <c r="CS43" s="1" t="s">
        <v>71</v>
      </c>
      <c r="CT43" s="1" t="s">
        <v>71</v>
      </c>
      <c r="CU43" s="1" t="s">
        <v>71</v>
      </c>
      <c r="CV43" s="1" t="s">
        <v>71</v>
      </c>
      <c r="CW43">
        <v>17.82</v>
      </c>
      <c r="CX43" s="1" t="s">
        <v>71</v>
      </c>
      <c r="CY43" s="1">
        <v>11.6</v>
      </c>
      <c r="CZ43" s="1" t="s">
        <v>71</v>
      </c>
      <c r="DA43">
        <f t="shared" ref="DA43:DA48" si="16">ROUND((CY43*CB43*10),0)</f>
        <v>677</v>
      </c>
      <c r="DB43" s="1" t="s">
        <v>71</v>
      </c>
      <c r="DC43" s="26">
        <v>11.6</v>
      </c>
      <c r="DD43">
        <f t="shared" si="4"/>
        <v>677</v>
      </c>
      <c r="DE43" s="1" t="s">
        <v>71</v>
      </c>
      <c r="DF43" s="1" t="s">
        <v>71</v>
      </c>
    </row>
    <row r="44" spans="1:110" x14ac:dyDescent="0.15">
      <c r="A44" s="1">
        <v>2022</v>
      </c>
      <c r="B44" s="1" t="s">
        <v>48</v>
      </c>
      <c r="C44" s="1">
        <v>3</v>
      </c>
      <c r="D44" s="1">
        <v>2</v>
      </c>
      <c r="E44" s="1" t="s">
        <v>51</v>
      </c>
      <c r="F44" s="1"/>
      <c r="G44" s="1" t="s">
        <v>56</v>
      </c>
      <c r="H44" s="1">
        <v>3</v>
      </c>
      <c r="I44" s="23" t="s">
        <v>51</v>
      </c>
      <c r="J44" s="1" t="s">
        <v>57</v>
      </c>
      <c r="K44" s="24">
        <v>44693</v>
      </c>
      <c r="L44" s="1" t="s">
        <v>71</v>
      </c>
      <c r="M44" s="1" t="s">
        <v>71</v>
      </c>
      <c r="N44" s="24">
        <v>44716</v>
      </c>
      <c r="O44" s="24">
        <v>44727</v>
      </c>
      <c r="P44" s="1" t="s">
        <v>71</v>
      </c>
      <c r="Q44" s="1" t="s">
        <v>71</v>
      </c>
      <c r="R44" s="1" t="s">
        <v>71</v>
      </c>
      <c r="S44" s="1" t="s">
        <v>71</v>
      </c>
      <c r="T44" s="1" t="s">
        <v>71</v>
      </c>
      <c r="U44" s="1" t="s">
        <v>71</v>
      </c>
      <c r="V44" s="1" t="s">
        <v>71</v>
      </c>
      <c r="W44" s="1" t="s">
        <v>71</v>
      </c>
      <c r="X44" s="1" t="s">
        <v>71</v>
      </c>
      <c r="Y44" s="1">
        <v>0</v>
      </c>
      <c r="Z44" s="1" t="s">
        <v>71</v>
      </c>
      <c r="AA44" s="1" t="s">
        <v>71</v>
      </c>
      <c r="AB44" s="1" t="s">
        <v>71</v>
      </c>
      <c r="AC44" s="1" t="s">
        <v>71</v>
      </c>
      <c r="AD44" s="25">
        <v>44</v>
      </c>
      <c r="AE44" s="25" t="s">
        <v>71</v>
      </c>
      <c r="AF44" s="25">
        <v>81</v>
      </c>
      <c r="AG44" s="25" t="s">
        <v>71</v>
      </c>
      <c r="AH44" s="1">
        <v>107</v>
      </c>
      <c r="AI44" s="1" t="s">
        <v>71</v>
      </c>
      <c r="AJ44" s="1">
        <v>1.7</v>
      </c>
      <c r="AK44" s="1">
        <v>0</v>
      </c>
      <c r="AL44" s="1">
        <v>0</v>
      </c>
      <c r="AM44" s="1">
        <v>0</v>
      </c>
      <c r="AN44" s="1">
        <v>0.06</v>
      </c>
      <c r="AO44" s="1">
        <v>0.01</v>
      </c>
      <c r="AP44" s="1">
        <v>5.9999999999999995E-4</v>
      </c>
      <c r="AQ44" s="1">
        <v>14</v>
      </c>
      <c r="AR44" s="1">
        <v>0</v>
      </c>
      <c r="AS44" s="1">
        <v>0</v>
      </c>
      <c r="AT44" s="1">
        <v>0</v>
      </c>
      <c r="AU44" s="1" t="s">
        <v>71</v>
      </c>
      <c r="AV44" s="1" t="s">
        <v>71</v>
      </c>
      <c r="AW44" s="1" t="s">
        <v>71</v>
      </c>
      <c r="AX44" s="1">
        <v>0</v>
      </c>
      <c r="AY44" s="1">
        <v>0</v>
      </c>
      <c r="AZ44" s="1" t="s">
        <v>71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 t="s">
        <v>71</v>
      </c>
      <c r="BI44" s="1" t="s">
        <v>71</v>
      </c>
      <c r="BJ44" s="1" t="s">
        <v>71</v>
      </c>
      <c r="BK44" s="1">
        <v>1.5E-3</v>
      </c>
      <c r="BL44" s="1">
        <f t="shared" si="1"/>
        <v>0.15</v>
      </c>
      <c r="BM44" s="1">
        <v>0.5</v>
      </c>
      <c r="BN44" s="1">
        <v>3.0000000000000001E-3</v>
      </c>
      <c r="BO44" s="1">
        <v>1</v>
      </c>
      <c r="BP44" s="1">
        <v>5</v>
      </c>
      <c r="BQ44" s="1" t="s">
        <v>71</v>
      </c>
      <c r="BR44" s="1" t="s">
        <v>71</v>
      </c>
      <c r="BS44" s="1" t="s">
        <v>71</v>
      </c>
      <c r="BT44" s="1" t="s">
        <v>71</v>
      </c>
      <c r="BU44" s="1">
        <v>8</v>
      </c>
      <c r="BV44" s="1" t="s">
        <v>71</v>
      </c>
      <c r="BW44" s="1" t="s">
        <v>71</v>
      </c>
      <c r="BX44" s="1" t="s">
        <v>71</v>
      </c>
      <c r="BY44" s="1">
        <v>27.21</v>
      </c>
      <c r="BZ44" s="3">
        <v>3.7</v>
      </c>
      <c r="CA44" s="3" t="s">
        <v>71</v>
      </c>
      <c r="CB44" s="3">
        <f t="shared" si="9"/>
        <v>5.1388888888888893</v>
      </c>
      <c r="CC44" s="3" t="s">
        <v>71</v>
      </c>
      <c r="CD44" s="1">
        <v>1</v>
      </c>
      <c r="CE44" s="1">
        <v>1</v>
      </c>
      <c r="CF44" s="1">
        <f t="shared" ref="CF44:CF57" si="17">CE44</f>
        <v>1</v>
      </c>
      <c r="CG44" s="3" t="s">
        <v>71</v>
      </c>
      <c r="CH44" s="3" t="s">
        <v>71</v>
      </c>
      <c r="CI44" s="3" t="s">
        <v>71</v>
      </c>
      <c r="CJ44" s="3" t="s">
        <v>71</v>
      </c>
      <c r="CK44" s="3" t="s">
        <v>71</v>
      </c>
      <c r="CL44" s="3" t="s">
        <v>71</v>
      </c>
      <c r="CM44" s="3" t="s">
        <v>71</v>
      </c>
      <c r="CN44" s="3" t="s">
        <v>71</v>
      </c>
      <c r="CO44" s="1">
        <v>47</v>
      </c>
      <c r="CP44" s="1" t="s">
        <v>71</v>
      </c>
      <c r="CQ44" s="1">
        <v>30.7</v>
      </c>
      <c r="CR44" s="1" t="s">
        <v>71</v>
      </c>
      <c r="CS44" s="1" t="s">
        <v>71</v>
      </c>
      <c r="CT44" s="1">
        <v>10.8</v>
      </c>
      <c r="CU44" s="1" t="s">
        <v>71</v>
      </c>
      <c r="CV44" s="1" t="s">
        <v>71</v>
      </c>
      <c r="CW44">
        <v>16.39</v>
      </c>
      <c r="CX44" s="1" t="s">
        <v>71</v>
      </c>
      <c r="CY44" s="1">
        <v>10.8</v>
      </c>
      <c r="CZ44" s="1" t="s">
        <v>71</v>
      </c>
      <c r="DA44">
        <f t="shared" si="16"/>
        <v>555</v>
      </c>
      <c r="DB44" s="1" t="s">
        <v>71</v>
      </c>
      <c r="DC44" s="26">
        <v>10.8</v>
      </c>
      <c r="DD44">
        <f t="shared" si="4"/>
        <v>555</v>
      </c>
      <c r="DE44" s="1" t="s">
        <v>71</v>
      </c>
      <c r="DF44" s="1" t="s">
        <v>71</v>
      </c>
    </row>
    <row r="45" spans="1:110" x14ac:dyDescent="0.15">
      <c r="A45" s="1">
        <v>2022</v>
      </c>
      <c r="B45" s="1" t="s">
        <v>48</v>
      </c>
      <c r="C45" s="1">
        <v>3</v>
      </c>
      <c r="D45" s="1">
        <v>3</v>
      </c>
      <c r="E45" s="1" t="s">
        <v>52</v>
      </c>
      <c r="F45" s="1"/>
      <c r="G45" s="1" t="s">
        <v>56</v>
      </c>
      <c r="H45" s="1">
        <v>3</v>
      </c>
      <c r="I45" s="23" t="s">
        <v>52</v>
      </c>
      <c r="J45" s="1" t="s">
        <v>57</v>
      </c>
      <c r="K45" s="24">
        <v>44705</v>
      </c>
      <c r="L45" s="1" t="s">
        <v>71</v>
      </c>
      <c r="M45" s="1" t="s">
        <v>71</v>
      </c>
      <c r="N45" s="24">
        <v>44715</v>
      </c>
      <c r="O45" s="24">
        <v>44728</v>
      </c>
      <c r="P45" s="1" t="s">
        <v>71</v>
      </c>
      <c r="Q45" s="1" t="s">
        <v>71</v>
      </c>
      <c r="R45" s="1" t="s">
        <v>71</v>
      </c>
      <c r="S45" s="1" t="s">
        <v>71</v>
      </c>
      <c r="T45" s="1" t="s">
        <v>71</v>
      </c>
      <c r="U45" s="1" t="s">
        <v>71</v>
      </c>
      <c r="V45" s="1" t="s">
        <v>71</v>
      </c>
      <c r="W45" s="1" t="s">
        <v>71</v>
      </c>
      <c r="X45" s="1" t="s">
        <v>71</v>
      </c>
      <c r="Y45" s="1">
        <v>0</v>
      </c>
      <c r="Z45" s="1" t="s">
        <v>71</v>
      </c>
      <c r="AA45" s="1" t="s">
        <v>71</v>
      </c>
      <c r="AB45" s="1" t="s">
        <v>71</v>
      </c>
      <c r="AC45" s="1" t="s">
        <v>71</v>
      </c>
      <c r="AD45" s="25">
        <v>40</v>
      </c>
      <c r="AE45" s="25" t="s">
        <v>71</v>
      </c>
      <c r="AF45" s="25">
        <v>66</v>
      </c>
      <c r="AG45" s="25" t="s">
        <v>71</v>
      </c>
      <c r="AH45" s="1">
        <v>79</v>
      </c>
      <c r="AI45" s="1" t="s">
        <v>71</v>
      </c>
      <c r="AJ45" s="1">
        <v>2</v>
      </c>
      <c r="AK45" s="1">
        <v>0</v>
      </c>
      <c r="AL45" s="1">
        <v>0</v>
      </c>
      <c r="AM45" s="1">
        <v>0</v>
      </c>
      <c r="AN45" s="1">
        <v>0.04</v>
      </c>
      <c r="AO45" s="1">
        <v>0.05</v>
      </c>
      <c r="AP45" s="1">
        <v>2E-3</v>
      </c>
      <c r="AQ45" s="1">
        <v>14</v>
      </c>
      <c r="AR45" s="1">
        <v>0</v>
      </c>
      <c r="AS45" s="1">
        <v>0</v>
      </c>
      <c r="AT45" s="1">
        <v>0</v>
      </c>
      <c r="AU45" s="1" t="s">
        <v>71</v>
      </c>
      <c r="AV45" s="1" t="s">
        <v>71</v>
      </c>
      <c r="AW45" s="1" t="s">
        <v>71</v>
      </c>
      <c r="AX45" s="1">
        <v>0</v>
      </c>
      <c r="AY45" s="1">
        <v>0</v>
      </c>
      <c r="AZ45" s="1" t="s">
        <v>71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 t="s">
        <v>71</v>
      </c>
      <c r="BI45" s="1" t="s">
        <v>71</v>
      </c>
      <c r="BJ45" s="1" t="s">
        <v>71</v>
      </c>
      <c r="BK45" s="1">
        <v>8.0000000000000002E-3</v>
      </c>
      <c r="BL45" s="1">
        <f t="shared" si="1"/>
        <v>0.8</v>
      </c>
      <c r="BM45" s="1">
        <v>0.8</v>
      </c>
      <c r="BN45" s="1">
        <v>0.01</v>
      </c>
      <c r="BO45" s="1">
        <v>1</v>
      </c>
      <c r="BP45" s="1">
        <v>5</v>
      </c>
      <c r="BQ45" s="1" t="s">
        <v>71</v>
      </c>
      <c r="BR45" s="1" t="s">
        <v>71</v>
      </c>
      <c r="BS45" s="1" t="s">
        <v>71</v>
      </c>
      <c r="BT45" s="1" t="s">
        <v>71</v>
      </c>
      <c r="BU45" s="1">
        <v>5</v>
      </c>
      <c r="BV45" s="1" t="s">
        <v>71</v>
      </c>
      <c r="BW45" s="1" t="s">
        <v>71</v>
      </c>
      <c r="BX45" s="1" t="s">
        <v>71</v>
      </c>
      <c r="BY45" s="1">
        <v>19.05</v>
      </c>
      <c r="BZ45" s="3">
        <v>3.3</v>
      </c>
      <c r="CA45" s="3" t="s">
        <v>71</v>
      </c>
      <c r="CB45" s="3">
        <f t="shared" si="9"/>
        <v>4.5833333333333339</v>
      </c>
      <c r="CC45" s="3" t="s">
        <v>71</v>
      </c>
      <c r="CD45" s="1">
        <v>1</v>
      </c>
      <c r="CE45" s="1">
        <v>1</v>
      </c>
      <c r="CF45" s="1">
        <f t="shared" si="17"/>
        <v>1</v>
      </c>
      <c r="CG45" s="3" t="s">
        <v>71</v>
      </c>
      <c r="CH45" s="3" t="s">
        <v>71</v>
      </c>
      <c r="CI45" s="3" t="s">
        <v>71</v>
      </c>
      <c r="CJ45" s="3" t="s">
        <v>71</v>
      </c>
      <c r="CK45" s="3" t="s">
        <v>71</v>
      </c>
      <c r="CL45" s="3" t="s">
        <v>71</v>
      </c>
      <c r="CM45" s="3" t="s">
        <v>71</v>
      </c>
      <c r="CN45" s="3" t="s">
        <v>71</v>
      </c>
      <c r="CO45" s="1">
        <v>44</v>
      </c>
      <c r="CP45" s="1" t="s">
        <v>71</v>
      </c>
      <c r="CQ45" s="1">
        <v>32.950000000000003</v>
      </c>
      <c r="CR45" s="1" t="s">
        <v>71</v>
      </c>
      <c r="CS45" s="1" t="s">
        <v>71</v>
      </c>
      <c r="CT45" s="1">
        <v>10.7</v>
      </c>
      <c r="CU45" s="1" t="s">
        <v>71</v>
      </c>
      <c r="CV45" s="1" t="s">
        <v>71</v>
      </c>
      <c r="CW45">
        <v>18.079999999999998</v>
      </c>
      <c r="CX45" s="1" t="s">
        <v>71</v>
      </c>
      <c r="CY45" s="1">
        <v>11.9</v>
      </c>
      <c r="CZ45" s="1" t="s">
        <v>71</v>
      </c>
      <c r="DA45">
        <f t="shared" si="16"/>
        <v>545</v>
      </c>
      <c r="DB45" s="1" t="s">
        <v>71</v>
      </c>
      <c r="DC45" s="26">
        <v>11.9</v>
      </c>
      <c r="DD45">
        <f t="shared" si="4"/>
        <v>545</v>
      </c>
      <c r="DE45" s="1" t="s">
        <v>71</v>
      </c>
      <c r="DF45" s="1" t="s">
        <v>71</v>
      </c>
    </row>
    <row r="46" spans="1:110" x14ac:dyDescent="0.15">
      <c r="A46" s="1">
        <v>2022</v>
      </c>
      <c r="B46" s="1" t="s">
        <v>48</v>
      </c>
      <c r="C46" s="1">
        <v>3</v>
      </c>
      <c r="D46" s="1">
        <v>4</v>
      </c>
      <c r="E46" s="1" t="s">
        <v>50</v>
      </c>
      <c r="F46" s="1"/>
      <c r="G46" s="1" t="s">
        <v>56</v>
      </c>
      <c r="H46" s="1">
        <v>3</v>
      </c>
      <c r="I46" s="23" t="s">
        <v>50</v>
      </c>
      <c r="J46" s="1" t="s">
        <v>58</v>
      </c>
      <c r="K46" s="24">
        <v>44705</v>
      </c>
      <c r="L46" s="1" t="s">
        <v>71</v>
      </c>
      <c r="M46" s="1" t="s">
        <v>71</v>
      </c>
      <c r="N46" s="24">
        <v>44712</v>
      </c>
      <c r="O46" s="24">
        <v>44726</v>
      </c>
      <c r="P46" s="1" t="s">
        <v>71</v>
      </c>
      <c r="Q46" s="1" t="s">
        <v>71</v>
      </c>
      <c r="R46" s="1" t="s">
        <v>71</v>
      </c>
      <c r="S46" s="1" t="s">
        <v>71</v>
      </c>
      <c r="T46" s="1" t="s">
        <v>71</v>
      </c>
      <c r="U46" s="1" t="s">
        <v>71</v>
      </c>
      <c r="V46" s="1" t="s">
        <v>71</v>
      </c>
      <c r="W46" s="1" t="s">
        <v>71</v>
      </c>
      <c r="X46" s="1" t="s">
        <v>71</v>
      </c>
      <c r="Y46" s="1">
        <v>0</v>
      </c>
      <c r="Z46" s="1" t="s">
        <v>71</v>
      </c>
      <c r="AA46" s="1" t="s">
        <v>71</v>
      </c>
      <c r="AB46" s="1" t="s">
        <v>71</v>
      </c>
      <c r="AC46" s="1" t="s">
        <v>71</v>
      </c>
      <c r="AD46" s="25">
        <v>59</v>
      </c>
      <c r="AE46" s="25" t="s">
        <v>71</v>
      </c>
      <c r="AF46" s="25">
        <v>104</v>
      </c>
      <c r="AG46" s="25" t="s">
        <v>71</v>
      </c>
      <c r="AH46" s="1">
        <v>115</v>
      </c>
      <c r="AI46" s="1" t="s">
        <v>71</v>
      </c>
      <c r="AJ46" s="1">
        <v>1.7</v>
      </c>
      <c r="AK46" s="1">
        <v>0</v>
      </c>
      <c r="AL46" s="1">
        <v>0</v>
      </c>
      <c r="AM46" s="1">
        <v>0</v>
      </c>
      <c r="AN46" s="1">
        <v>0.03</v>
      </c>
      <c r="AO46" s="1">
        <v>0.03</v>
      </c>
      <c r="AP46" s="1">
        <v>8.9999999999999998E-4</v>
      </c>
      <c r="AQ46" s="1">
        <v>14</v>
      </c>
      <c r="AR46" s="1">
        <v>0</v>
      </c>
      <c r="AS46" s="1">
        <v>0</v>
      </c>
      <c r="AT46" s="1">
        <v>0</v>
      </c>
      <c r="AU46" s="1" t="s">
        <v>71</v>
      </c>
      <c r="AV46" s="1" t="s">
        <v>71</v>
      </c>
      <c r="AW46" s="1" t="s">
        <v>71</v>
      </c>
      <c r="AX46" s="1">
        <v>0</v>
      </c>
      <c r="AY46" s="1">
        <v>0</v>
      </c>
      <c r="AZ46" s="1" t="s">
        <v>71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 t="s">
        <v>71</v>
      </c>
      <c r="BI46" s="1" t="s">
        <v>71</v>
      </c>
      <c r="BJ46" s="1" t="s">
        <v>71</v>
      </c>
      <c r="BK46" s="1">
        <v>3.2000000000000002E-3</v>
      </c>
      <c r="BL46" s="1">
        <f t="shared" si="1"/>
        <v>0.32</v>
      </c>
      <c r="BM46" s="1">
        <v>0.8</v>
      </c>
      <c r="BN46" s="1">
        <v>4.0000000000000001E-3</v>
      </c>
      <c r="BO46" s="1">
        <v>1</v>
      </c>
      <c r="BP46" s="1">
        <v>0</v>
      </c>
      <c r="BQ46" s="1" t="s">
        <v>71</v>
      </c>
      <c r="BR46" s="1" t="s">
        <v>71</v>
      </c>
      <c r="BS46" s="1" t="s">
        <v>71</v>
      </c>
      <c r="BT46" s="1" t="s">
        <v>71</v>
      </c>
      <c r="BU46" s="1">
        <v>2</v>
      </c>
      <c r="BV46" s="1" t="s">
        <v>71</v>
      </c>
      <c r="BW46" s="1" t="s">
        <v>71</v>
      </c>
      <c r="BX46" s="1" t="s">
        <v>71</v>
      </c>
      <c r="BY46" s="1">
        <v>21.49</v>
      </c>
      <c r="BZ46" s="3">
        <v>4.8</v>
      </c>
      <c r="CA46" s="3" t="s">
        <v>71</v>
      </c>
      <c r="CB46" s="3">
        <f t="shared" si="9"/>
        <v>6.6666666666666679</v>
      </c>
      <c r="CC46" s="3" t="s">
        <v>71</v>
      </c>
      <c r="CD46" s="1">
        <v>1</v>
      </c>
      <c r="CE46" s="1">
        <v>1</v>
      </c>
      <c r="CF46" s="1">
        <f t="shared" si="17"/>
        <v>1</v>
      </c>
      <c r="CG46" s="3" t="s">
        <v>71</v>
      </c>
      <c r="CH46" s="3" t="s">
        <v>71</v>
      </c>
      <c r="CI46" s="3" t="s">
        <v>71</v>
      </c>
      <c r="CJ46" s="3" t="s">
        <v>71</v>
      </c>
      <c r="CK46" s="3" t="s">
        <v>71</v>
      </c>
      <c r="CL46" s="3" t="s">
        <v>71</v>
      </c>
      <c r="CM46" s="3" t="s">
        <v>71</v>
      </c>
      <c r="CN46" s="3" t="s">
        <v>71</v>
      </c>
      <c r="CO46" s="1">
        <v>50</v>
      </c>
      <c r="CP46" s="1" t="s">
        <v>71</v>
      </c>
      <c r="CQ46" s="1">
        <v>36.299999999999997</v>
      </c>
      <c r="CR46" s="1" t="s">
        <v>71</v>
      </c>
      <c r="CS46" s="1" t="s">
        <v>71</v>
      </c>
      <c r="CT46" s="1">
        <v>10.8</v>
      </c>
      <c r="CU46" s="1" t="s">
        <v>71</v>
      </c>
      <c r="CV46" s="1" t="s">
        <v>71</v>
      </c>
      <c r="CW46">
        <v>17.21</v>
      </c>
      <c r="CX46" s="1" t="s">
        <v>71</v>
      </c>
      <c r="CY46" s="1">
        <v>11.6</v>
      </c>
      <c r="CZ46" s="1" t="s">
        <v>71</v>
      </c>
      <c r="DA46">
        <f t="shared" si="16"/>
        <v>773</v>
      </c>
      <c r="DB46" s="1" t="s">
        <v>71</v>
      </c>
      <c r="DC46" s="26">
        <v>11.6</v>
      </c>
      <c r="DD46">
        <f t="shared" si="4"/>
        <v>773</v>
      </c>
      <c r="DE46" s="1" t="s">
        <v>71</v>
      </c>
      <c r="DF46" s="1" t="s">
        <v>71</v>
      </c>
    </row>
    <row r="47" spans="1:110" x14ac:dyDescent="0.15">
      <c r="A47" s="1">
        <v>2022</v>
      </c>
      <c r="B47" s="1" t="s">
        <v>48</v>
      </c>
      <c r="C47" s="1">
        <v>3</v>
      </c>
      <c r="D47" s="1">
        <v>5</v>
      </c>
      <c r="E47" s="1" t="s">
        <v>51</v>
      </c>
      <c r="F47" s="1"/>
      <c r="G47" s="1" t="s">
        <v>56</v>
      </c>
      <c r="H47" s="1">
        <v>3</v>
      </c>
      <c r="I47" s="23" t="s">
        <v>51</v>
      </c>
      <c r="J47" s="1" t="s">
        <v>58</v>
      </c>
      <c r="K47" s="24">
        <v>44705</v>
      </c>
      <c r="L47" s="1" t="s">
        <v>71</v>
      </c>
      <c r="M47" s="1" t="s">
        <v>71</v>
      </c>
      <c r="N47" s="24">
        <v>44716</v>
      </c>
      <c r="O47" s="24">
        <v>44721</v>
      </c>
      <c r="P47" s="1" t="s">
        <v>71</v>
      </c>
      <c r="Q47" s="1" t="s">
        <v>71</v>
      </c>
      <c r="R47" s="1" t="s">
        <v>71</v>
      </c>
      <c r="S47" s="1" t="s">
        <v>71</v>
      </c>
      <c r="T47" s="1" t="s">
        <v>71</v>
      </c>
      <c r="U47" s="1" t="s">
        <v>71</v>
      </c>
      <c r="V47" s="1" t="s">
        <v>71</v>
      </c>
      <c r="W47" s="1" t="s">
        <v>71</v>
      </c>
      <c r="X47" s="1" t="s">
        <v>71</v>
      </c>
      <c r="Y47" s="1">
        <v>0</v>
      </c>
      <c r="Z47" s="1" t="s">
        <v>71</v>
      </c>
      <c r="AA47" s="1" t="s">
        <v>71</v>
      </c>
      <c r="AB47" s="1" t="s">
        <v>71</v>
      </c>
      <c r="AC47" s="1" t="s">
        <v>71</v>
      </c>
      <c r="AD47" s="25">
        <v>52</v>
      </c>
      <c r="AE47" s="25" t="s">
        <v>71</v>
      </c>
      <c r="AF47" s="25">
        <v>98</v>
      </c>
      <c r="AG47" s="25" t="s">
        <v>71</v>
      </c>
      <c r="AH47" s="1">
        <v>117</v>
      </c>
      <c r="AI47" s="1" t="s">
        <v>71</v>
      </c>
      <c r="AJ47" s="1">
        <v>2.7</v>
      </c>
      <c r="AK47" s="1">
        <v>0</v>
      </c>
      <c r="AL47" s="1">
        <v>0</v>
      </c>
      <c r="AM47" s="1">
        <v>0</v>
      </c>
      <c r="AN47" s="1">
        <v>0.04</v>
      </c>
      <c r="AO47" s="1">
        <v>0.05</v>
      </c>
      <c r="AP47" s="1">
        <v>2E-3</v>
      </c>
      <c r="AQ47" s="1">
        <v>20</v>
      </c>
      <c r="AR47" s="1">
        <v>0</v>
      </c>
      <c r="AS47" s="1">
        <v>0</v>
      </c>
      <c r="AT47" s="1">
        <v>0</v>
      </c>
      <c r="AU47" s="1" t="s">
        <v>71</v>
      </c>
      <c r="AV47" s="1" t="s">
        <v>71</v>
      </c>
      <c r="AW47" s="1" t="s">
        <v>71</v>
      </c>
      <c r="AX47" s="1">
        <v>0</v>
      </c>
      <c r="AY47" s="1">
        <v>0</v>
      </c>
      <c r="AZ47" s="1" t="s">
        <v>71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 t="s">
        <v>71</v>
      </c>
      <c r="BI47" s="1" t="s">
        <v>71</v>
      </c>
      <c r="BJ47" s="1" t="s">
        <v>71</v>
      </c>
      <c r="BK47" s="1">
        <v>1E-3</v>
      </c>
      <c r="BL47" s="1">
        <f t="shared" si="1"/>
        <v>0.1</v>
      </c>
      <c r="BM47" s="1">
        <v>0.5</v>
      </c>
      <c r="BN47" s="1">
        <v>2E-3</v>
      </c>
      <c r="BO47" s="1">
        <v>1</v>
      </c>
      <c r="BP47" s="1">
        <v>0</v>
      </c>
      <c r="BQ47" s="1" t="s">
        <v>71</v>
      </c>
      <c r="BR47" s="1" t="s">
        <v>71</v>
      </c>
      <c r="BS47" s="1" t="s">
        <v>71</v>
      </c>
      <c r="BT47" s="1" t="s">
        <v>71</v>
      </c>
      <c r="BU47" s="1">
        <v>6</v>
      </c>
      <c r="BV47" s="1" t="s">
        <v>71</v>
      </c>
      <c r="BW47" s="1" t="s">
        <v>71</v>
      </c>
      <c r="BX47" s="1" t="s">
        <v>71</v>
      </c>
      <c r="BY47" s="1">
        <v>27.3</v>
      </c>
      <c r="BZ47" s="3">
        <v>4.7</v>
      </c>
      <c r="CA47" s="3" t="s">
        <v>71</v>
      </c>
      <c r="CB47" s="3">
        <f t="shared" si="9"/>
        <v>6.5277777777777786</v>
      </c>
      <c r="CC47" s="3" t="s">
        <v>71</v>
      </c>
      <c r="CD47" s="1">
        <v>1</v>
      </c>
      <c r="CE47" s="1">
        <v>1</v>
      </c>
      <c r="CF47" s="1">
        <f t="shared" si="17"/>
        <v>1</v>
      </c>
      <c r="CG47" s="3" t="s">
        <v>71</v>
      </c>
      <c r="CH47" s="3" t="s">
        <v>71</v>
      </c>
      <c r="CI47" s="3" t="s">
        <v>71</v>
      </c>
      <c r="CJ47" s="3" t="s">
        <v>71</v>
      </c>
      <c r="CK47" s="3" t="s">
        <v>71</v>
      </c>
      <c r="CL47" s="3" t="s">
        <v>71</v>
      </c>
      <c r="CM47" s="3" t="s">
        <v>71</v>
      </c>
      <c r="CN47" s="3" t="s">
        <v>71</v>
      </c>
      <c r="CO47" s="1">
        <v>47</v>
      </c>
      <c r="CP47" s="1" t="s">
        <v>71</v>
      </c>
      <c r="CQ47" s="1">
        <v>26.349999999999998</v>
      </c>
      <c r="CR47" s="1" t="s">
        <v>71</v>
      </c>
      <c r="CS47" s="1" t="s">
        <v>71</v>
      </c>
      <c r="CT47" s="1">
        <v>11.2</v>
      </c>
      <c r="CU47" s="1" t="s">
        <v>71</v>
      </c>
      <c r="CV47" s="1" t="s">
        <v>71</v>
      </c>
      <c r="CW47">
        <v>16.829999999999998</v>
      </c>
      <c r="CX47" s="1" t="s">
        <v>71</v>
      </c>
      <c r="CY47" s="1">
        <v>11.1</v>
      </c>
      <c r="CZ47" s="1" t="s">
        <v>71</v>
      </c>
      <c r="DA47">
        <f t="shared" si="16"/>
        <v>725</v>
      </c>
      <c r="DB47" s="1" t="s">
        <v>71</v>
      </c>
      <c r="DC47" s="26">
        <v>11.1</v>
      </c>
      <c r="DD47">
        <f t="shared" si="4"/>
        <v>725</v>
      </c>
      <c r="DE47" s="1" t="s">
        <v>71</v>
      </c>
      <c r="DF47" s="1" t="s">
        <v>71</v>
      </c>
    </row>
    <row r="48" spans="1:110" x14ac:dyDescent="0.15">
      <c r="A48" s="1">
        <v>2022</v>
      </c>
      <c r="B48" s="1" t="s">
        <v>48</v>
      </c>
      <c r="C48" s="1">
        <v>3</v>
      </c>
      <c r="D48" s="1">
        <v>6</v>
      </c>
      <c r="E48" s="1" t="s">
        <v>52</v>
      </c>
      <c r="F48" s="1"/>
      <c r="G48" s="1" t="s">
        <v>56</v>
      </c>
      <c r="H48" s="1">
        <v>3</v>
      </c>
      <c r="I48" s="23" t="s">
        <v>52</v>
      </c>
      <c r="J48" s="1" t="s">
        <v>58</v>
      </c>
      <c r="K48" s="24">
        <v>44713</v>
      </c>
      <c r="L48" s="1" t="s">
        <v>71</v>
      </c>
      <c r="M48" s="1" t="s">
        <v>71</v>
      </c>
      <c r="N48" s="24">
        <v>44715</v>
      </c>
      <c r="O48" s="24">
        <v>44728</v>
      </c>
      <c r="P48" s="1" t="s">
        <v>71</v>
      </c>
      <c r="Q48" s="1" t="s">
        <v>71</v>
      </c>
      <c r="R48" s="1" t="s">
        <v>71</v>
      </c>
      <c r="S48" s="1" t="s">
        <v>71</v>
      </c>
      <c r="T48" s="1" t="s">
        <v>71</v>
      </c>
      <c r="U48" s="1" t="s">
        <v>71</v>
      </c>
      <c r="V48" s="1" t="s">
        <v>71</v>
      </c>
      <c r="W48" s="1" t="s">
        <v>71</v>
      </c>
      <c r="X48" s="1" t="s">
        <v>71</v>
      </c>
      <c r="Y48" s="1">
        <v>0</v>
      </c>
      <c r="Z48" s="1" t="s">
        <v>71</v>
      </c>
      <c r="AA48" s="1" t="s">
        <v>71</v>
      </c>
      <c r="AB48" s="1" t="s">
        <v>71</v>
      </c>
      <c r="AC48" s="1" t="s">
        <v>71</v>
      </c>
      <c r="AD48" s="25">
        <v>45</v>
      </c>
      <c r="AE48" s="25" t="s">
        <v>71</v>
      </c>
      <c r="AF48" s="25">
        <v>74</v>
      </c>
      <c r="AG48" s="25" t="s">
        <v>71</v>
      </c>
      <c r="AH48" s="1">
        <v>83</v>
      </c>
      <c r="AI48" s="1" t="s">
        <v>71</v>
      </c>
      <c r="AJ48" s="1">
        <v>2.7</v>
      </c>
      <c r="AK48" s="1">
        <v>0</v>
      </c>
      <c r="AL48" s="1">
        <v>0</v>
      </c>
      <c r="AM48" s="1">
        <v>0</v>
      </c>
      <c r="AN48" s="1">
        <v>0.02</v>
      </c>
      <c r="AO48" s="1">
        <v>0.05</v>
      </c>
      <c r="AP48" s="1">
        <v>1E-3</v>
      </c>
      <c r="AQ48" s="1">
        <v>11</v>
      </c>
      <c r="AR48" s="1">
        <v>0</v>
      </c>
      <c r="AS48" s="1">
        <v>0</v>
      </c>
      <c r="AT48" s="1">
        <v>0</v>
      </c>
      <c r="AU48" s="1" t="s">
        <v>71</v>
      </c>
      <c r="AV48" s="1" t="s">
        <v>71</v>
      </c>
      <c r="AW48" s="1" t="s">
        <v>71</v>
      </c>
      <c r="AX48" s="1">
        <v>0</v>
      </c>
      <c r="AY48" s="1">
        <v>0</v>
      </c>
      <c r="AZ48" s="1" t="s">
        <v>71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 t="s">
        <v>71</v>
      </c>
      <c r="BI48" s="1" t="s">
        <v>71</v>
      </c>
      <c r="BJ48" s="1" t="s">
        <v>71</v>
      </c>
      <c r="BK48" s="1">
        <v>1.4999999999999999E-2</v>
      </c>
      <c r="BL48" s="1">
        <f t="shared" si="1"/>
        <v>1.5</v>
      </c>
      <c r="BM48" s="1">
        <v>0.5</v>
      </c>
      <c r="BN48" s="1">
        <v>0.03</v>
      </c>
      <c r="BO48" s="1">
        <v>1</v>
      </c>
      <c r="BP48" s="1">
        <v>10</v>
      </c>
      <c r="BQ48" s="1" t="s">
        <v>71</v>
      </c>
      <c r="BR48" s="1" t="s">
        <v>71</v>
      </c>
      <c r="BS48" s="1" t="s">
        <v>71</v>
      </c>
      <c r="BT48" s="1" t="s">
        <v>71</v>
      </c>
      <c r="BU48" s="1">
        <v>9</v>
      </c>
      <c r="BV48" s="1" t="s">
        <v>71</v>
      </c>
      <c r="BW48" s="1" t="s">
        <v>71</v>
      </c>
      <c r="BX48" s="1" t="s">
        <v>71</v>
      </c>
      <c r="BY48" s="1">
        <v>17.32</v>
      </c>
      <c r="BZ48" s="3">
        <v>4.2</v>
      </c>
      <c r="CA48" s="3" t="s">
        <v>71</v>
      </c>
      <c r="CB48" s="3">
        <f t="shared" si="9"/>
        <v>5.8333333333333339</v>
      </c>
      <c r="CC48" s="3" t="s">
        <v>71</v>
      </c>
      <c r="CD48" s="1">
        <v>1</v>
      </c>
      <c r="CE48" s="1">
        <v>1</v>
      </c>
      <c r="CF48" s="1">
        <f t="shared" si="17"/>
        <v>1</v>
      </c>
      <c r="CG48" s="3" t="s">
        <v>71</v>
      </c>
      <c r="CH48" s="3" t="s">
        <v>71</v>
      </c>
      <c r="CI48" s="3" t="s">
        <v>71</v>
      </c>
      <c r="CJ48" s="3" t="s">
        <v>71</v>
      </c>
      <c r="CK48" s="3" t="s">
        <v>71</v>
      </c>
      <c r="CL48" s="3" t="s">
        <v>71</v>
      </c>
      <c r="CM48" s="3" t="s">
        <v>71</v>
      </c>
      <c r="CN48" s="3" t="s">
        <v>71</v>
      </c>
      <c r="CO48" s="1">
        <v>45</v>
      </c>
      <c r="CP48" s="1" t="s">
        <v>71</v>
      </c>
      <c r="CQ48" s="1">
        <v>29.45</v>
      </c>
      <c r="CR48" s="1" t="s">
        <v>71</v>
      </c>
      <c r="CS48" s="1" t="s">
        <v>71</v>
      </c>
      <c r="CT48" s="1">
        <v>10.7</v>
      </c>
      <c r="CU48" s="1" t="s">
        <v>71</v>
      </c>
      <c r="CV48" s="1" t="s">
        <v>71</v>
      </c>
      <c r="CW48">
        <v>17.14</v>
      </c>
      <c r="CX48" s="1" t="s">
        <v>71</v>
      </c>
      <c r="CY48" s="1">
        <v>11.4</v>
      </c>
      <c r="CZ48" s="1" t="s">
        <v>71</v>
      </c>
      <c r="DA48">
        <f t="shared" si="16"/>
        <v>665</v>
      </c>
      <c r="DB48" s="1" t="s">
        <v>71</v>
      </c>
      <c r="DC48" s="26">
        <v>11.4</v>
      </c>
      <c r="DD48">
        <f t="shared" si="4"/>
        <v>665</v>
      </c>
      <c r="DE48" s="1" t="s">
        <v>71</v>
      </c>
      <c r="DF48" s="1" t="s">
        <v>71</v>
      </c>
    </row>
    <row r="49" spans="1:110" x14ac:dyDescent="0.15">
      <c r="A49" s="1">
        <v>2022</v>
      </c>
      <c r="B49" s="1" t="s">
        <v>48</v>
      </c>
      <c r="C49" s="1">
        <v>3</v>
      </c>
      <c r="D49" s="1">
        <v>7</v>
      </c>
      <c r="E49" s="1"/>
      <c r="F49" s="1" t="s">
        <v>53</v>
      </c>
      <c r="G49" s="1" t="s">
        <v>56</v>
      </c>
      <c r="H49" s="1">
        <v>3</v>
      </c>
      <c r="I49" s="23" t="s">
        <v>53</v>
      </c>
      <c r="J49" s="1" t="s">
        <v>57</v>
      </c>
      <c r="K49" s="24">
        <v>44693</v>
      </c>
      <c r="L49" s="1" t="s">
        <v>71</v>
      </c>
      <c r="M49" s="1" t="s">
        <v>71</v>
      </c>
      <c r="N49" s="1" t="s">
        <v>71</v>
      </c>
      <c r="O49" s="1" t="s">
        <v>71</v>
      </c>
      <c r="P49" s="24">
        <v>44699</v>
      </c>
      <c r="Q49" s="1" t="s">
        <v>71</v>
      </c>
      <c r="R49" s="1" t="s">
        <v>71</v>
      </c>
      <c r="S49" s="1" t="s">
        <v>71</v>
      </c>
      <c r="T49" s="1" t="s">
        <v>71</v>
      </c>
      <c r="U49" s="1" t="s">
        <v>71</v>
      </c>
      <c r="V49" s="1" t="s">
        <v>71</v>
      </c>
      <c r="W49" s="1" t="s">
        <v>71</v>
      </c>
      <c r="X49" s="1">
        <v>90</v>
      </c>
      <c r="Y49" s="1" t="s">
        <v>71</v>
      </c>
      <c r="Z49" s="1" t="s">
        <v>71</v>
      </c>
      <c r="AA49" s="1" t="s">
        <v>71</v>
      </c>
      <c r="AB49" s="1" t="s">
        <v>71</v>
      </c>
      <c r="AC49" s="1" t="s">
        <v>71</v>
      </c>
      <c r="AD49" s="25" t="s">
        <v>71</v>
      </c>
      <c r="AE49" s="25">
        <v>38</v>
      </c>
      <c r="AF49" s="25" t="s">
        <v>71</v>
      </c>
      <c r="AG49" s="25">
        <v>81</v>
      </c>
      <c r="AH49" s="1" t="s">
        <v>71</v>
      </c>
      <c r="AI49" s="1">
        <v>50</v>
      </c>
      <c r="AJ49" s="1" t="s">
        <v>71</v>
      </c>
      <c r="AK49" s="1" t="s">
        <v>71</v>
      </c>
      <c r="AL49" s="1" t="s">
        <v>71</v>
      </c>
      <c r="AM49" s="1" t="s">
        <v>71</v>
      </c>
      <c r="AN49" s="1" t="s">
        <v>71</v>
      </c>
      <c r="AO49" s="1" t="s">
        <v>71</v>
      </c>
      <c r="AP49" s="1" t="s">
        <v>71</v>
      </c>
      <c r="AQ49" s="1" t="s">
        <v>71</v>
      </c>
      <c r="AR49" s="1" t="s">
        <v>71</v>
      </c>
      <c r="AS49" s="1" t="s">
        <v>71</v>
      </c>
      <c r="AT49" s="1" t="s">
        <v>71</v>
      </c>
      <c r="AU49" s="1">
        <v>0</v>
      </c>
      <c r="AV49" s="1">
        <v>0</v>
      </c>
      <c r="AW49" s="1">
        <v>0</v>
      </c>
      <c r="AX49" s="1" t="s">
        <v>71</v>
      </c>
      <c r="AY49" s="1" t="s">
        <v>71</v>
      </c>
      <c r="AZ49" s="1">
        <v>0</v>
      </c>
      <c r="BA49" s="1" t="s">
        <v>71</v>
      </c>
      <c r="BB49" s="1" t="s">
        <v>71</v>
      </c>
      <c r="BC49" s="1" t="s">
        <v>71</v>
      </c>
      <c r="BD49" s="1" t="s">
        <v>71</v>
      </c>
      <c r="BE49" s="1" t="s">
        <v>71</v>
      </c>
      <c r="BF49" s="1" t="s">
        <v>71</v>
      </c>
      <c r="BG49" s="1" t="s">
        <v>71</v>
      </c>
      <c r="BH49" s="1">
        <v>10</v>
      </c>
      <c r="BI49" s="1" t="s">
        <v>71</v>
      </c>
      <c r="BJ49" s="1" t="s">
        <v>71</v>
      </c>
      <c r="BK49" s="1">
        <v>1.8000000000000002E-2</v>
      </c>
      <c r="BL49" s="1">
        <f t="shared" si="1"/>
        <v>1.8000000000000003</v>
      </c>
      <c r="BM49" s="1">
        <v>1</v>
      </c>
      <c r="BN49" s="1">
        <v>1.8000000000000002E-2</v>
      </c>
      <c r="BO49" s="1">
        <v>2</v>
      </c>
      <c r="BP49" s="1">
        <v>0</v>
      </c>
      <c r="BQ49" s="1">
        <v>144</v>
      </c>
      <c r="BR49" s="1">
        <v>45</v>
      </c>
      <c r="BS49" s="1">
        <v>12</v>
      </c>
      <c r="BT49" s="1">
        <v>8</v>
      </c>
      <c r="BU49" s="1" t="s">
        <v>71</v>
      </c>
      <c r="BV49" s="1">
        <v>6</v>
      </c>
      <c r="BW49" s="1">
        <v>7</v>
      </c>
      <c r="BX49" s="1">
        <v>14.41</v>
      </c>
      <c r="BY49" s="1" t="s">
        <v>71</v>
      </c>
      <c r="BZ49" s="3" t="s">
        <v>71</v>
      </c>
      <c r="CA49" s="3">
        <v>2.2000000000000002</v>
      </c>
      <c r="CB49" s="1" t="s">
        <v>71</v>
      </c>
      <c r="CC49" s="3">
        <f t="shared" si="6"/>
        <v>3.0555555555555562</v>
      </c>
      <c r="CD49" s="1">
        <v>1</v>
      </c>
      <c r="CE49" s="1">
        <v>1</v>
      </c>
      <c r="CF49" s="1">
        <f t="shared" si="17"/>
        <v>1</v>
      </c>
      <c r="CG49" s="1" t="s">
        <v>71</v>
      </c>
      <c r="CH49" s="1" t="s">
        <v>71</v>
      </c>
      <c r="CI49" s="1" t="s">
        <v>71</v>
      </c>
      <c r="CJ49" s="1" t="s">
        <v>71</v>
      </c>
      <c r="CK49" s="3" t="s">
        <v>71</v>
      </c>
      <c r="CL49" s="3" t="s">
        <v>71</v>
      </c>
      <c r="CM49" s="3" t="s">
        <v>71</v>
      </c>
      <c r="CN49" s="3" t="s">
        <v>71</v>
      </c>
      <c r="CO49" s="1" t="s">
        <v>71</v>
      </c>
      <c r="CP49" s="1" t="s">
        <v>71</v>
      </c>
      <c r="CQ49" s="1" t="s">
        <v>71</v>
      </c>
      <c r="CR49" s="1">
        <v>138.19999999999999</v>
      </c>
      <c r="CS49" s="1">
        <v>36</v>
      </c>
      <c r="CT49" s="1" t="s">
        <v>71</v>
      </c>
      <c r="CU49" s="1">
        <v>9.8000000000000007</v>
      </c>
      <c r="CV49">
        <v>55.77</v>
      </c>
      <c r="CW49" t="s">
        <v>71</v>
      </c>
      <c r="CX49" t="e">
        <f>ROUND(CV49*#REF!/10,1)</f>
        <v>#REF!</v>
      </c>
      <c r="CY49" s="1" t="s">
        <v>71</v>
      </c>
      <c r="CZ49" t="e">
        <f t="shared" ref="CZ49:CZ60" si="18">ROUND(CX49/100*CA49, 2)*1000</f>
        <v>#REF!</v>
      </c>
      <c r="DA49" s="1" t="s">
        <v>71</v>
      </c>
      <c r="DB49" s="1" t="s">
        <v>71</v>
      </c>
      <c r="DC49" s="26" t="s">
        <v>71</v>
      </c>
      <c r="DD49" t="e">
        <f t="shared" si="4"/>
        <v>#REF!</v>
      </c>
      <c r="DE49" s="1" t="s">
        <v>71</v>
      </c>
      <c r="DF49" s="1" t="s">
        <v>71</v>
      </c>
    </row>
    <row r="50" spans="1:110" x14ac:dyDescent="0.15">
      <c r="A50" s="1">
        <v>2022</v>
      </c>
      <c r="B50" s="1" t="s">
        <v>48</v>
      </c>
      <c r="C50" s="1">
        <v>3</v>
      </c>
      <c r="D50" s="1">
        <v>8</v>
      </c>
      <c r="E50" s="1"/>
      <c r="F50" s="1" t="s">
        <v>54</v>
      </c>
      <c r="G50" s="1" t="s">
        <v>56</v>
      </c>
      <c r="H50" s="1">
        <v>3</v>
      </c>
      <c r="I50" s="23" t="s">
        <v>54</v>
      </c>
      <c r="J50" s="1" t="s">
        <v>57</v>
      </c>
      <c r="K50" s="24">
        <v>44693</v>
      </c>
      <c r="L50" s="1" t="s">
        <v>71</v>
      </c>
      <c r="M50" s="1" t="s">
        <v>71</v>
      </c>
      <c r="N50" s="1" t="s">
        <v>71</v>
      </c>
      <c r="O50" s="1" t="s">
        <v>71</v>
      </c>
      <c r="P50" s="24">
        <v>44701</v>
      </c>
      <c r="Q50" s="1" t="s">
        <v>71</v>
      </c>
      <c r="R50" s="1" t="s">
        <v>71</v>
      </c>
      <c r="S50" s="1" t="s">
        <v>71</v>
      </c>
      <c r="T50" s="1" t="s">
        <v>71</v>
      </c>
      <c r="U50" s="1" t="s">
        <v>71</v>
      </c>
      <c r="V50" s="1" t="s">
        <v>71</v>
      </c>
      <c r="W50" s="1" t="s">
        <v>71</v>
      </c>
      <c r="X50" s="1">
        <v>100</v>
      </c>
      <c r="Y50" s="1" t="s">
        <v>71</v>
      </c>
      <c r="Z50" s="1" t="s">
        <v>71</v>
      </c>
      <c r="AA50" s="1" t="s">
        <v>71</v>
      </c>
      <c r="AB50" s="1" t="s">
        <v>71</v>
      </c>
      <c r="AC50" s="1" t="s">
        <v>71</v>
      </c>
      <c r="AD50" s="25" t="s">
        <v>71</v>
      </c>
      <c r="AE50" s="25">
        <v>32</v>
      </c>
      <c r="AF50" s="25" t="s">
        <v>71</v>
      </c>
      <c r="AG50" s="25">
        <v>81</v>
      </c>
      <c r="AH50" s="1" t="s">
        <v>71</v>
      </c>
      <c r="AI50" s="1">
        <v>42</v>
      </c>
      <c r="AJ50" s="1" t="s">
        <v>71</v>
      </c>
      <c r="AK50" s="1" t="s">
        <v>71</v>
      </c>
      <c r="AL50" s="1" t="s">
        <v>71</v>
      </c>
      <c r="AM50" s="1" t="s">
        <v>71</v>
      </c>
      <c r="AN50" s="1" t="s">
        <v>71</v>
      </c>
      <c r="AO50" s="1" t="s">
        <v>71</v>
      </c>
      <c r="AP50" s="1" t="s">
        <v>71</v>
      </c>
      <c r="AQ50" s="1" t="s">
        <v>71</v>
      </c>
      <c r="AR50" s="1" t="s">
        <v>71</v>
      </c>
      <c r="AS50" s="1" t="s">
        <v>71</v>
      </c>
      <c r="AT50" s="1" t="s">
        <v>71</v>
      </c>
      <c r="AU50" s="1">
        <v>0</v>
      </c>
      <c r="AV50" s="1">
        <v>0</v>
      </c>
      <c r="AW50" s="1">
        <v>0</v>
      </c>
      <c r="AX50" s="1" t="s">
        <v>71</v>
      </c>
      <c r="AY50" s="1" t="s">
        <v>71</v>
      </c>
      <c r="AZ50" s="1">
        <v>0</v>
      </c>
      <c r="BA50" s="1" t="s">
        <v>71</v>
      </c>
      <c r="BB50" s="1" t="s">
        <v>71</v>
      </c>
      <c r="BC50" s="1" t="s">
        <v>71</v>
      </c>
      <c r="BD50" s="1" t="s">
        <v>71</v>
      </c>
      <c r="BE50" s="1" t="s">
        <v>71</v>
      </c>
      <c r="BF50" s="1" t="s">
        <v>71</v>
      </c>
      <c r="BG50" s="1" t="s">
        <v>71</v>
      </c>
      <c r="BH50" s="1" t="s">
        <v>71</v>
      </c>
      <c r="BI50" s="1" t="s">
        <v>71</v>
      </c>
      <c r="BJ50" s="1" t="s">
        <v>71</v>
      </c>
      <c r="BK50" s="1">
        <v>5.0000000000000001E-3</v>
      </c>
      <c r="BL50" s="1">
        <f t="shared" si="1"/>
        <v>0.5</v>
      </c>
      <c r="BM50" s="1">
        <v>1</v>
      </c>
      <c r="BN50" s="1">
        <v>5.0000000000000001E-3</v>
      </c>
      <c r="BO50" s="1">
        <v>2</v>
      </c>
      <c r="BP50" s="1">
        <v>0</v>
      </c>
      <c r="BQ50" s="1">
        <v>270</v>
      </c>
      <c r="BR50" s="1">
        <v>25</v>
      </c>
      <c r="BS50" s="1">
        <v>2</v>
      </c>
      <c r="BT50" s="1">
        <v>10</v>
      </c>
      <c r="BU50" s="1" t="s">
        <v>71</v>
      </c>
      <c r="BV50" s="1">
        <v>7</v>
      </c>
      <c r="BW50" s="1">
        <v>10</v>
      </c>
      <c r="BX50" s="1">
        <v>24.94</v>
      </c>
      <c r="BY50" s="1" t="s">
        <v>71</v>
      </c>
      <c r="BZ50" s="3" t="s">
        <v>71</v>
      </c>
      <c r="CA50" s="3">
        <v>2.5</v>
      </c>
      <c r="CB50" s="1" t="s">
        <v>71</v>
      </c>
      <c r="CC50" s="3">
        <f t="shared" si="6"/>
        <v>3.4722222222222228</v>
      </c>
      <c r="CD50" s="1">
        <v>1</v>
      </c>
      <c r="CE50" s="1">
        <v>1</v>
      </c>
      <c r="CF50" s="1">
        <f t="shared" si="17"/>
        <v>1</v>
      </c>
      <c r="CG50" s="1" t="s">
        <v>71</v>
      </c>
      <c r="CH50" s="1" t="s">
        <v>71</v>
      </c>
      <c r="CI50" s="1" t="s">
        <v>71</v>
      </c>
      <c r="CJ50" s="1" t="s">
        <v>71</v>
      </c>
      <c r="CK50" s="3" t="s">
        <v>71</v>
      </c>
      <c r="CL50" s="3" t="s">
        <v>71</v>
      </c>
      <c r="CM50" s="3" t="s">
        <v>71</v>
      </c>
      <c r="CN50" s="3" t="s">
        <v>71</v>
      </c>
      <c r="CO50" s="1" t="s">
        <v>71</v>
      </c>
      <c r="CP50" s="1" t="s">
        <v>71</v>
      </c>
      <c r="CQ50" s="1" t="s">
        <v>71</v>
      </c>
      <c r="CR50" s="1">
        <v>132.85</v>
      </c>
      <c r="CS50" s="1">
        <v>41</v>
      </c>
      <c r="CT50" s="1" t="s">
        <v>71</v>
      </c>
      <c r="CU50" s="1">
        <v>9.9</v>
      </c>
      <c r="CV50">
        <v>64.87</v>
      </c>
      <c r="CW50" t="s">
        <v>71</v>
      </c>
      <c r="CX50" t="e">
        <f>ROUND(CV50*#REF!/10,1)</f>
        <v>#REF!</v>
      </c>
      <c r="CY50" s="1" t="s">
        <v>71</v>
      </c>
      <c r="CZ50" t="e">
        <f t="shared" si="18"/>
        <v>#REF!</v>
      </c>
      <c r="DA50" s="1" t="s">
        <v>71</v>
      </c>
      <c r="DB50" s="1" t="s">
        <v>71</v>
      </c>
      <c r="DC50" s="26" t="s">
        <v>71</v>
      </c>
      <c r="DD50" t="e">
        <f t="shared" si="4"/>
        <v>#REF!</v>
      </c>
      <c r="DE50" s="1" t="s">
        <v>71</v>
      </c>
      <c r="DF50" s="1" t="s">
        <v>71</v>
      </c>
    </row>
    <row r="51" spans="1:110" x14ac:dyDescent="0.15">
      <c r="A51" s="1">
        <v>2022</v>
      </c>
      <c r="B51" s="1" t="s">
        <v>48</v>
      </c>
      <c r="C51" s="1">
        <v>3</v>
      </c>
      <c r="D51" s="1">
        <v>9</v>
      </c>
      <c r="E51" s="1"/>
      <c r="F51" s="1" t="s">
        <v>55</v>
      </c>
      <c r="G51" s="1" t="s">
        <v>56</v>
      </c>
      <c r="H51" s="1">
        <v>3</v>
      </c>
      <c r="I51" s="23" t="s">
        <v>55</v>
      </c>
      <c r="J51" s="1" t="s">
        <v>57</v>
      </c>
      <c r="K51" s="24">
        <v>44693</v>
      </c>
      <c r="L51" s="1" t="s">
        <v>71</v>
      </c>
      <c r="M51" s="1" t="s">
        <v>71</v>
      </c>
      <c r="N51" s="1" t="s">
        <v>71</v>
      </c>
      <c r="O51" s="1" t="s">
        <v>71</v>
      </c>
      <c r="P51" s="24">
        <v>44698</v>
      </c>
      <c r="Q51" s="1" t="s">
        <v>71</v>
      </c>
      <c r="R51" s="1" t="s">
        <v>71</v>
      </c>
      <c r="S51" s="1" t="s">
        <v>71</v>
      </c>
      <c r="T51" s="1" t="s">
        <v>71</v>
      </c>
      <c r="U51" s="1" t="s">
        <v>71</v>
      </c>
      <c r="V51" s="1" t="s">
        <v>71</v>
      </c>
      <c r="W51" s="1" t="s">
        <v>71</v>
      </c>
      <c r="X51" s="1">
        <v>5</v>
      </c>
      <c r="Y51" s="1" t="s">
        <v>71</v>
      </c>
      <c r="Z51" s="1" t="s">
        <v>71</v>
      </c>
      <c r="AA51" s="1" t="s">
        <v>71</v>
      </c>
      <c r="AB51" s="1" t="s">
        <v>71</v>
      </c>
      <c r="AC51" s="1" t="s">
        <v>71</v>
      </c>
      <c r="AD51" s="25" t="s">
        <v>71</v>
      </c>
      <c r="AE51" s="25">
        <v>42</v>
      </c>
      <c r="AF51" s="25">
        <v>79</v>
      </c>
      <c r="AG51" s="25" t="s">
        <v>71</v>
      </c>
      <c r="AH51" s="1" t="s">
        <v>71</v>
      </c>
      <c r="AI51" s="1">
        <v>74</v>
      </c>
      <c r="AJ51" s="1" t="s">
        <v>71</v>
      </c>
      <c r="AK51" s="1" t="s">
        <v>71</v>
      </c>
      <c r="AL51" s="1" t="s">
        <v>71</v>
      </c>
      <c r="AM51" s="1" t="s">
        <v>71</v>
      </c>
      <c r="AN51" s="1" t="s">
        <v>71</v>
      </c>
      <c r="AO51" s="1" t="s">
        <v>71</v>
      </c>
      <c r="AP51" s="1" t="s">
        <v>71</v>
      </c>
      <c r="AQ51" s="1" t="s">
        <v>71</v>
      </c>
      <c r="AR51" s="1" t="s">
        <v>71</v>
      </c>
      <c r="AS51" s="1" t="s">
        <v>71</v>
      </c>
      <c r="AT51" s="1" t="s">
        <v>71</v>
      </c>
      <c r="AU51" s="1">
        <v>0</v>
      </c>
      <c r="AV51" s="1">
        <v>0</v>
      </c>
      <c r="AW51" s="1">
        <v>0</v>
      </c>
      <c r="AX51" s="1" t="s">
        <v>71</v>
      </c>
      <c r="AY51" s="1" t="s">
        <v>71</v>
      </c>
      <c r="AZ51" s="1">
        <v>0</v>
      </c>
      <c r="BA51" s="1" t="s">
        <v>71</v>
      </c>
      <c r="BB51" s="1" t="s">
        <v>71</v>
      </c>
      <c r="BC51" s="1" t="s">
        <v>71</v>
      </c>
      <c r="BD51" s="1" t="s">
        <v>71</v>
      </c>
      <c r="BE51" s="1" t="s">
        <v>71</v>
      </c>
      <c r="BF51" s="1" t="s">
        <v>71</v>
      </c>
      <c r="BG51" s="1" t="s">
        <v>71</v>
      </c>
      <c r="BH51" s="1">
        <v>3</v>
      </c>
      <c r="BI51" s="1" t="s">
        <v>71</v>
      </c>
      <c r="BJ51" s="1" t="s">
        <v>71</v>
      </c>
      <c r="BK51" s="1">
        <v>0.01</v>
      </c>
      <c r="BL51" s="1">
        <f t="shared" si="1"/>
        <v>1</v>
      </c>
      <c r="BM51" s="1">
        <v>1</v>
      </c>
      <c r="BN51" s="1">
        <v>0.01</v>
      </c>
      <c r="BO51" s="1">
        <v>1</v>
      </c>
      <c r="BP51" s="1">
        <v>0</v>
      </c>
      <c r="BQ51" s="1">
        <v>57</v>
      </c>
      <c r="BR51" s="1">
        <v>46</v>
      </c>
      <c r="BS51" s="1">
        <v>21</v>
      </c>
      <c r="BT51" s="1">
        <v>14</v>
      </c>
      <c r="BU51" s="1" t="s">
        <v>71</v>
      </c>
      <c r="BV51" s="1">
        <v>6</v>
      </c>
      <c r="BW51" s="1">
        <v>4</v>
      </c>
      <c r="BX51" s="1">
        <v>30.21</v>
      </c>
      <c r="BY51" s="1" t="s">
        <v>71</v>
      </c>
      <c r="BZ51" s="3" t="s">
        <v>71</v>
      </c>
      <c r="CA51" s="3">
        <v>2.2999999999999998</v>
      </c>
      <c r="CB51" s="1" t="s">
        <v>71</v>
      </c>
      <c r="CC51" s="3">
        <f t="shared" si="6"/>
        <v>3.1944444444444446</v>
      </c>
      <c r="CD51" s="1">
        <v>1</v>
      </c>
      <c r="CE51" s="1">
        <v>1</v>
      </c>
      <c r="CF51" s="1">
        <f t="shared" si="17"/>
        <v>1</v>
      </c>
      <c r="CG51" s="1" t="s">
        <v>71</v>
      </c>
      <c r="CH51" s="1" t="s">
        <v>71</v>
      </c>
      <c r="CI51" s="1" t="s">
        <v>71</v>
      </c>
      <c r="CJ51" s="1" t="s">
        <v>71</v>
      </c>
      <c r="CK51" s="3" t="s">
        <v>71</v>
      </c>
      <c r="CL51" s="3" t="s">
        <v>71</v>
      </c>
      <c r="CM51" s="3" t="s">
        <v>71</v>
      </c>
      <c r="CN51" s="3" t="s">
        <v>71</v>
      </c>
      <c r="CO51" s="1" t="s">
        <v>71</v>
      </c>
      <c r="CP51" s="1" t="s">
        <v>71</v>
      </c>
      <c r="CQ51" s="1" t="s">
        <v>71</v>
      </c>
      <c r="CR51" s="1">
        <v>158.15</v>
      </c>
      <c r="CS51" s="1">
        <v>38</v>
      </c>
      <c r="CT51" s="1" t="s">
        <v>71</v>
      </c>
      <c r="CU51" s="1">
        <v>9.5</v>
      </c>
      <c r="CV51">
        <v>55.58</v>
      </c>
      <c r="CW51" t="s">
        <v>71</v>
      </c>
      <c r="CX51" t="e">
        <f>ROUND(CV51*#REF!/10,1)</f>
        <v>#REF!</v>
      </c>
      <c r="CY51" s="1" t="s">
        <v>71</v>
      </c>
      <c r="CZ51" t="e">
        <f t="shared" si="18"/>
        <v>#REF!</v>
      </c>
      <c r="DA51" s="1" t="s">
        <v>71</v>
      </c>
      <c r="DB51" s="1" t="s">
        <v>71</v>
      </c>
      <c r="DC51" s="26" t="s">
        <v>71</v>
      </c>
      <c r="DD51" t="e">
        <f t="shared" si="4"/>
        <v>#REF!</v>
      </c>
      <c r="DE51" s="1" t="s">
        <v>71</v>
      </c>
      <c r="DF51" s="1" t="s">
        <v>71</v>
      </c>
    </row>
    <row r="52" spans="1:110" x14ac:dyDescent="0.15">
      <c r="A52" s="1">
        <v>2022</v>
      </c>
      <c r="B52" s="1" t="s">
        <v>48</v>
      </c>
      <c r="C52" s="1">
        <v>3</v>
      </c>
      <c r="D52" s="1">
        <v>10</v>
      </c>
      <c r="E52" s="1" t="s">
        <v>50</v>
      </c>
      <c r="F52" s="1" t="s">
        <v>53</v>
      </c>
      <c r="G52" s="1" t="s">
        <v>5</v>
      </c>
      <c r="H52" s="1">
        <v>3</v>
      </c>
      <c r="I52" s="23" t="s">
        <v>60</v>
      </c>
      <c r="J52" s="1" t="s">
        <v>57</v>
      </c>
      <c r="K52" s="24">
        <v>44705</v>
      </c>
      <c r="L52" s="1">
        <f>K52-K46</f>
        <v>0</v>
      </c>
      <c r="M52" s="1">
        <f>K52-K49</f>
        <v>12</v>
      </c>
      <c r="N52" s="24">
        <v>44713</v>
      </c>
      <c r="O52" s="24">
        <v>44720</v>
      </c>
      <c r="P52" s="24">
        <v>44699</v>
      </c>
      <c r="Q52" s="1">
        <f>P52-P49</f>
        <v>0</v>
      </c>
      <c r="R52" s="1">
        <f>N52-N46</f>
        <v>1</v>
      </c>
      <c r="S52" s="1">
        <f>O52-O46</f>
        <v>-6</v>
      </c>
      <c r="T52" s="1">
        <f>AVERAGE(R52,S52)</f>
        <v>-2.5</v>
      </c>
      <c r="U52" s="1" t="s">
        <v>71</v>
      </c>
      <c r="V52" s="1" t="s">
        <v>71</v>
      </c>
      <c r="W52" s="1">
        <v>-2</v>
      </c>
      <c r="X52" s="1">
        <v>20</v>
      </c>
      <c r="Y52" s="1">
        <v>0</v>
      </c>
      <c r="Z52" s="1" t="s">
        <v>71</v>
      </c>
      <c r="AA52" s="1" t="s">
        <v>71</v>
      </c>
      <c r="AB52" s="1" t="s">
        <v>71</v>
      </c>
      <c r="AC52" s="1" t="s">
        <v>71</v>
      </c>
      <c r="AD52" s="25">
        <v>51</v>
      </c>
      <c r="AE52" s="25">
        <v>40</v>
      </c>
      <c r="AF52" s="25">
        <v>110</v>
      </c>
      <c r="AG52" s="25">
        <v>75</v>
      </c>
      <c r="AH52" s="1">
        <v>121</v>
      </c>
      <c r="AI52" s="1">
        <v>70</v>
      </c>
      <c r="AJ52" s="1">
        <v>2</v>
      </c>
      <c r="AK52" s="1">
        <v>0</v>
      </c>
      <c r="AL52" s="1">
        <v>0</v>
      </c>
      <c r="AM52" s="1">
        <v>0</v>
      </c>
      <c r="AN52" s="1">
        <v>0.01</v>
      </c>
      <c r="AO52" s="1">
        <v>0.02</v>
      </c>
      <c r="AP52" s="1">
        <v>2.0000000000000001E-4</v>
      </c>
      <c r="AQ52" s="1" t="s">
        <v>71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3</v>
      </c>
      <c r="BI52" s="1" t="s">
        <v>71</v>
      </c>
      <c r="BJ52" s="1" t="s">
        <v>71</v>
      </c>
      <c r="BK52" s="1">
        <v>1.6E-2</v>
      </c>
      <c r="BL52" s="1">
        <f t="shared" si="1"/>
        <v>1.6</v>
      </c>
      <c r="BM52" s="1">
        <v>0.8</v>
      </c>
      <c r="BN52" s="1">
        <v>0.02</v>
      </c>
      <c r="BO52" s="1">
        <v>2</v>
      </c>
      <c r="BP52" s="1">
        <v>10</v>
      </c>
      <c r="BQ52" s="1">
        <v>42</v>
      </c>
      <c r="BR52" s="1">
        <v>63</v>
      </c>
      <c r="BS52" s="1">
        <v>8</v>
      </c>
      <c r="BT52" s="1">
        <v>8</v>
      </c>
      <c r="BU52" s="1">
        <v>2</v>
      </c>
      <c r="BV52" s="1">
        <v>4</v>
      </c>
      <c r="BW52" s="1">
        <v>5</v>
      </c>
      <c r="BX52" s="1">
        <v>10.94</v>
      </c>
      <c r="BY52" s="1">
        <v>11.15</v>
      </c>
      <c r="BZ52" s="3">
        <v>0.5</v>
      </c>
      <c r="CA52" s="3">
        <v>2.6</v>
      </c>
      <c r="CB52" s="3">
        <f t="shared" si="9"/>
        <v>0.69444444444444442</v>
      </c>
      <c r="CC52" s="3">
        <f t="shared" si="6"/>
        <v>3.6111111111111116</v>
      </c>
      <c r="CD52" s="1">
        <f>ROUND(CB52/CB43+CC52/CC49,2)</f>
        <v>1.3</v>
      </c>
      <c r="CE52" s="1">
        <f>ROUND(CB52/CB46+CC52/CC49,2)</f>
        <v>1.29</v>
      </c>
      <c r="CF52" s="1">
        <f t="shared" si="17"/>
        <v>1.29</v>
      </c>
      <c r="CG52" s="1">
        <f>ROUND(CB52/CB43,2)</f>
        <v>0.12</v>
      </c>
      <c r="CH52" s="1">
        <f>ROUND(CB52/CB46,2)</f>
        <v>0.1</v>
      </c>
      <c r="CI52" s="1">
        <f>ROUND(CC52/CC49,2)</f>
        <v>1.18</v>
      </c>
      <c r="CJ52" s="1">
        <f>ROUND((CC52+CB52)/MAX(CC49,CB46),2)</f>
        <v>0.65</v>
      </c>
      <c r="CK52" s="1">
        <f>ROUND(LN((0.9*BZ52)/(0.1*CA52))/(BZ43/CA49),2)</f>
        <v>0.28999999999999998</v>
      </c>
      <c r="CL52" s="1">
        <f>ROUND(LN((0.9*BZ52)/(0.1*CA52))/(BZ46/CA49),2)</f>
        <v>0.25</v>
      </c>
      <c r="CM52" s="1">
        <f>ROUND(LN((0.1*CA52)/(0.9*BZ52))/(CA49/BZ43),2)</f>
        <v>-1.05</v>
      </c>
      <c r="CN52" s="1">
        <f>ROUND(LN((0.1*CA52)/(0.9*BZ52))/(CA49/BZ46),2)</f>
        <v>-1.2</v>
      </c>
      <c r="CO52" s="1">
        <v>51</v>
      </c>
      <c r="CP52" s="1" t="s">
        <v>71</v>
      </c>
      <c r="CQ52" s="1">
        <v>44.900000000000006</v>
      </c>
      <c r="CR52" s="1">
        <v>138.15</v>
      </c>
      <c r="CS52" s="1">
        <v>35</v>
      </c>
      <c r="CT52" s="1">
        <v>10.9</v>
      </c>
      <c r="CU52" s="1">
        <v>10.1</v>
      </c>
      <c r="CV52">
        <v>53.31</v>
      </c>
      <c r="CW52">
        <v>21.45</v>
      </c>
      <c r="CX52" t="e">
        <f>ROUND(CV52*#REF!/10,1)</f>
        <v>#REF!</v>
      </c>
      <c r="CY52" s="1" t="s">
        <v>71</v>
      </c>
      <c r="CZ52" t="e">
        <f t="shared" si="18"/>
        <v>#REF!</v>
      </c>
      <c r="DA52" s="1" t="s">
        <v>71</v>
      </c>
      <c r="DB52" s="1" t="s">
        <v>71</v>
      </c>
      <c r="DC52" s="26" t="s">
        <v>71</v>
      </c>
      <c r="DD52" t="e">
        <f t="shared" si="4"/>
        <v>#REF!</v>
      </c>
      <c r="DE52" t="s">
        <v>71</v>
      </c>
      <c r="DF52" t="e">
        <f>ROUND(CZ52/MAX(DA46,CZ49), 2)</f>
        <v>#REF!</v>
      </c>
    </row>
    <row r="53" spans="1:110" x14ac:dyDescent="0.15">
      <c r="A53" s="1">
        <v>2022</v>
      </c>
      <c r="B53" s="1" t="s">
        <v>48</v>
      </c>
      <c r="C53" s="1">
        <v>3</v>
      </c>
      <c r="D53" s="1">
        <v>11</v>
      </c>
      <c r="E53" s="1" t="s">
        <v>50</v>
      </c>
      <c r="F53" s="1" t="s">
        <v>54</v>
      </c>
      <c r="G53" s="1" t="s">
        <v>5</v>
      </c>
      <c r="H53" s="1">
        <v>3</v>
      </c>
      <c r="I53" s="23" t="s">
        <v>61</v>
      </c>
      <c r="J53" s="1" t="s">
        <v>57</v>
      </c>
      <c r="K53" s="24">
        <v>44705</v>
      </c>
      <c r="L53" s="1">
        <f>K53-K46</f>
        <v>0</v>
      </c>
      <c r="M53" s="1">
        <f>K53-K50</f>
        <v>12</v>
      </c>
      <c r="N53" s="1" t="s">
        <v>71</v>
      </c>
      <c r="O53" s="1" t="s">
        <v>71</v>
      </c>
      <c r="P53" s="24">
        <v>44699</v>
      </c>
      <c r="Q53" s="1">
        <f>P53-P50</f>
        <v>-2</v>
      </c>
      <c r="R53" s="1">
        <v>5</v>
      </c>
      <c r="S53" s="1">
        <v>5</v>
      </c>
      <c r="T53" s="1">
        <v>5</v>
      </c>
      <c r="U53" s="1" t="s">
        <v>71</v>
      </c>
      <c r="V53" s="1" t="s">
        <v>71</v>
      </c>
      <c r="W53" s="1">
        <v>-2</v>
      </c>
      <c r="X53" s="1">
        <v>60</v>
      </c>
      <c r="Y53" s="1">
        <v>0</v>
      </c>
      <c r="Z53" s="1" t="s">
        <v>71</v>
      </c>
      <c r="AA53" s="1" t="s">
        <v>71</v>
      </c>
      <c r="AB53" s="1" t="s">
        <v>71</v>
      </c>
      <c r="AC53" s="1" t="s">
        <v>71</v>
      </c>
      <c r="AD53" s="25">
        <v>48</v>
      </c>
      <c r="AE53" s="25">
        <v>31</v>
      </c>
      <c r="AF53" s="25">
        <v>109</v>
      </c>
      <c r="AG53" s="25">
        <v>78</v>
      </c>
      <c r="AH53" s="1">
        <v>125</v>
      </c>
      <c r="AI53" s="1">
        <v>62</v>
      </c>
      <c r="AJ53" s="1">
        <v>3</v>
      </c>
      <c r="AK53" s="1">
        <v>0</v>
      </c>
      <c r="AL53" s="1">
        <v>0</v>
      </c>
      <c r="AM53" s="1">
        <v>0</v>
      </c>
      <c r="AN53" s="1">
        <v>0.01</v>
      </c>
      <c r="AO53" s="1">
        <v>5.0000000000000001E-3</v>
      </c>
      <c r="AP53" s="1">
        <v>5.0000000000000002E-5</v>
      </c>
      <c r="AQ53" s="1">
        <v>5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1</v>
      </c>
      <c r="BI53" s="1" t="s">
        <v>71</v>
      </c>
      <c r="BJ53" s="1" t="s">
        <v>71</v>
      </c>
      <c r="BK53" s="1">
        <v>5.5999999999999999E-3</v>
      </c>
      <c r="BL53" s="1">
        <f t="shared" si="1"/>
        <v>0.55999999999999994</v>
      </c>
      <c r="BM53" s="1">
        <v>0.7</v>
      </c>
      <c r="BN53" s="1">
        <v>8.0000000000000002E-3</v>
      </c>
      <c r="BO53" s="1">
        <v>2</v>
      </c>
      <c r="BP53" s="1">
        <v>0</v>
      </c>
      <c r="BQ53" s="1">
        <v>126</v>
      </c>
      <c r="BR53" s="1">
        <v>155</v>
      </c>
      <c r="BS53" s="1">
        <v>11</v>
      </c>
      <c r="BT53" s="1">
        <v>8</v>
      </c>
      <c r="BU53" s="1">
        <v>9</v>
      </c>
      <c r="BV53" s="1">
        <v>7</v>
      </c>
      <c r="BW53" s="1">
        <v>4</v>
      </c>
      <c r="BX53" s="1">
        <v>12.6</v>
      </c>
      <c r="BY53" s="1">
        <v>11.75</v>
      </c>
      <c r="BZ53" s="3">
        <v>0.8</v>
      </c>
      <c r="CA53" s="3">
        <v>2.2999999999999998</v>
      </c>
      <c r="CB53" s="3">
        <f t="shared" si="9"/>
        <v>1.1111111111111114</v>
      </c>
      <c r="CC53" s="3">
        <f t="shared" si="6"/>
        <v>3.1944444444444446</v>
      </c>
      <c r="CD53" s="1">
        <f>ROUND(CB53/CB43+CC53/CC50,2)</f>
        <v>1.1100000000000001</v>
      </c>
      <c r="CE53" s="1">
        <f>ROUND(CB53/CB46+CC53/CC50,2)</f>
        <v>1.0900000000000001</v>
      </c>
      <c r="CF53" s="1">
        <f t="shared" si="17"/>
        <v>1.0900000000000001</v>
      </c>
      <c r="CG53" s="1">
        <f>ROUND(CB53/CB43,2)</f>
        <v>0.19</v>
      </c>
      <c r="CH53" s="1">
        <f>ROUND(CB53/CB46,2)</f>
        <v>0.17</v>
      </c>
      <c r="CI53" s="1">
        <f>ROUND(CC53/CC50,2)</f>
        <v>0.92</v>
      </c>
      <c r="CJ53" s="1">
        <f>ROUND((CC53+CB53)/MAX(CC50,CB46),2)</f>
        <v>0.65</v>
      </c>
      <c r="CK53" s="1">
        <f>ROUND(LN((0.9*BZ53)/(0.1*CA53))/(BZ43/CA50),2)</f>
        <v>0.68</v>
      </c>
      <c r="CL53" s="1">
        <f>ROUND(LN((0.9*BZ53)/(0.1*CA53))/(BZ46/CA50),2)</f>
        <v>0.59</v>
      </c>
      <c r="CM53" s="1">
        <f>ROUND(LN((0.1*CA53)/(0.9*BZ53))/(CA50/BZ43),2)</f>
        <v>-1.92</v>
      </c>
      <c r="CN53" s="1">
        <f>ROUND(LN((0.1*CA53)/(0.9*BZ53))/(CA50/BZ46),2)</f>
        <v>-2.19</v>
      </c>
      <c r="CO53" s="1">
        <v>49</v>
      </c>
      <c r="CP53" s="1" t="s">
        <v>71</v>
      </c>
      <c r="CQ53" s="1">
        <v>40.450000000000003</v>
      </c>
      <c r="CR53" s="1">
        <v>141.1</v>
      </c>
      <c r="CS53" s="1">
        <v>41</v>
      </c>
      <c r="CT53" s="1">
        <v>10.7</v>
      </c>
      <c r="CU53" s="1">
        <v>10.1</v>
      </c>
      <c r="CV53">
        <v>68.84</v>
      </c>
      <c r="CW53">
        <v>21.36</v>
      </c>
      <c r="CX53" t="e">
        <f>ROUND(CV53*#REF!/10,1)</f>
        <v>#REF!</v>
      </c>
      <c r="CY53" s="1">
        <v>13.3</v>
      </c>
      <c r="CZ53" t="e">
        <f t="shared" si="18"/>
        <v>#REF!</v>
      </c>
      <c r="DA53">
        <f>ROUND((CY53*CB53*10),0)</f>
        <v>148</v>
      </c>
      <c r="DB53" t="e">
        <f>(CZ53+DA53)/MAX(DA46,CZ50)</f>
        <v>#REF!</v>
      </c>
      <c r="DC53" s="26">
        <v>13.3</v>
      </c>
      <c r="DD53" t="e">
        <f t="shared" si="4"/>
        <v>#REF!</v>
      </c>
      <c r="DE53" t="e">
        <f t="shared" ref="DE53:DE60" si="19">ROUND(MAX((DB53-DF53), 0), 2)</f>
        <v>#REF!</v>
      </c>
      <c r="DF53" t="e">
        <f>ROUND(CZ53/MAX(DA46,CZ50), 2)</f>
        <v>#REF!</v>
      </c>
    </row>
    <row r="54" spans="1:110" x14ac:dyDescent="0.15">
      <c r="A54" s="1">
        <v>2022</v>
      </c>
      <c r="B54" s="1" t="s">
        <v>48</v>
      </c>
      <c r="C54" s="1">
        <v>3</v>
      </c>
      <c r="D54" s="1">
        <v>12</v>
      </c>
      <c r="E54" s="1" t="s">
        <v>50</v>
      </c>
      <c r="F54" s="1" t="s">
        <v>55</v>
      </c>
      <c r="G54" s="1" t="s">
        <v>5</v>
      </c>
      <c r="H54" s="1">
        <v>3</v>
      </c>
      <c r="I54" s="23" t="s">
        <v>62</v>
      </c>
      <c r="J54" s="1" t="s">
        <v>57</v>
      </c>
      <c r="K54" s="24">
        <v>44693</v>
      </c>
      <c r="L54" s="1">
        <f>K54-K46</f>
        <v>-12</v>
      </c>
      <c r="M54" s="1">
        <f>K54-K51</f>
        <v>0</v>
      </c>
      <c r="N54" s="24">
        <v>44708</v>
      </c>
      <c r="O54" s="24">
        <v>44719</v>
      </c>
      <c r="P54" s="24">
        <v>44699</v>
      </c>
      <c r="Q54" s="1">
        <f>P54-P51</f>
        <v>1</v>
      </c>
      <c r="R54" s="1">
        <f>N54-N46</f>
        <v>-4</v>
      </c>
      <c r="S54" s="1">
        <f>O54-O46</f>
        <v>-7</v>
      </c>
      <c r="T54" s="1">
        <f t="shared" ref="T54:T60" si="20">AVERAGE(R54,S54)</f>
        <v>-5.5</v>
      </c>
      <c r="U54" s="1" t="s">
        <v>71</v>
      </c>
      <c r="V54" s="1" t="s">
        <v>71</v>
      </c>
      <c r="W54" s="1">
        <v>-2</v>
      </c>
      <c r="X54" s="1">
        <v>0</v>
      </c>
      <c r="Y54" s="1">
        <v>0</v>
      </c>
      <c r="Z54" s="1" t="s">
        <v>71</v>
      </c>
      <c r="AA54" s="1" t="s">
        <v>71</v>
      </c>
      <c r="AB54" s="1" t="s">
        <v>71</v>
      </c>
      <c r="AC54" s="1" t="s">
        <v>71</v>
      </c>
      <c r="AD54" s="25">
        <v>51</v>
      </c>
      <c r="AE54" s="25">
        <v>43</v>
      </c>
      <c r="AF54" s="25">
        <v>105</v>
      </c>
      <c r="AG54" s="25">
        <v>70</v>
      </c>
      <c r="AH54" s="1">
        <v>120</v>
      </c>
      <c r="AI54" s="1">
        <v>66</v>
      </c>
      <c r="AJ54" s="1">
        <v>1.3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3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1</v>
      </c>
      <c r="BI54" s="1" t="s">
        <v>71</v>
      </c>
      <c r="BJ54" s="1" t="s">
        <v>71</v>
      </c>
      <c r="BK54" s="1">
        <v>1.7999999999999999E-2</v>
      </c>
      <c r="BL54" s="1">
        <f t="shared" si="1"/>
        <v>1.7999999999999998</v>
      </c>
      <c r="BM54" s="1">
        <v>0.6</v>
      </c>
      <c r="BN54" s="1">
        <v>0.03</v>
      </c>
      <c r="BO54" s="1">
        <v>1</v>
      </c>
      <c r="BP54" s="1">
        <v>0</v>
      </c>
      <c r="BQ54" s="1">
        <v>38</v>
      </c>
      <c r="BR54" s="1">
        <v>22</v>
      </c>
      <c r="BS54" s="1">
        <v>0</v>
      </c>
      <c r="BT54" s="1">
        <v>11</v>
      </c>
      <c r="BU54" s="1">
        <v>3</v>
      </c>
      <c r="BV54" s="1">
        <v>7</v>
      </c>
      <c r="BW54" s="1">
        <v>5</v>
      </c>
      <c r="BX54" s="1">
        <v>14.6</v>
      </c>
      <c r="BY54" s="1">
        <v>12.46</v>
      </c>
      <c r="BZ54" s="3">
        <v>1.2</v>
      </c>
      <c r="CA54" s="3">
        <v>2.1</v>
      </c>
      <c r="CB54" s="3">
        <f t="shared" si="9"/>
        <v>1.666666666666667</v>
      </c>
      <c r="CC54" s="3">
        <f t="shared" si="6"/>
        <v>2.916666666666667</v>
      </c>
      <c r="CD54" s="1">
        <f>ROUND(CB54/CB43+CC54/CC51,2)</f>
        <v>1.2</v>
      </c>
      <c r="CE54" s="1">
        <f>ROUND(CB54/CB46+CC54/CC51,2)</f>
        <v>1.1599999999999999</v>
      </c>
      <c r="CF54" s="1">
        <f t="shared" si="17"/>
        <v>1.1599999999999999</v>
      </c>
      <c r="CG54" s="1">
        <f>ROUND(CB54/CB43,2)</f>
        <v>0.28999999999999998</v>
      </c>
      <c r="CH54" s="1">
        <f>ROUND(CB54/CB46,2)</f>
        <v>0.25</v>
      </c>
      <c r="CI54" s="1">
        <f>ROUND(CC54/CC51,2)</f>
        <v>0.91</v>
      </c>
      <c r="CJ54" s="1">
        <f>ROUND((CC54+CB54)/MAX(CC51,CB46),2)</f>
        <v>0.69</v>
      </c>
      <c r="CK54" s="1">
        <f>ROUND(LN((0.9*BZ54)/(0.1*CA54))/(BZ43/CA51),2)</f>
        <v>0.9</v>
      </c>
      <c r="CL54" s="1">
        <f>ROUND(LN((0.9*BZ54)/(0.1*CA54))/(BZ46/CA51),2)</f>
        <v>0.78</v>
      </c>
      <c r="CM54" s="1">
        <f>ROUND(LN((0.1*CA54)/(0.9*BZ54))/(CA51/BZ43),2)</f>
        <v>-2.99</v>
      </c>
      <c r="CN54" s="1">
        <f>ROUND(LN((0.1*CA54)/(0.9*BZ54))/(CA51/BZ46),2)</f>
        <v>-3.42</v>
      </c>
      <c r="CO54" s="1">
        <v>52</v>
      </c>
      <c r="CP54" s="1" t="s">
        <v>71</v>
      </c>
      <c r="CQ54" s="1">
        <v>40.5</v>
      </c>
      <c r="CR54" s="1">
        <v>158.9</v>
      </c>
      <c r="CS54" s="1">
        <v>39</v>
      </c>
      <c r="CT54" s="1">
        <v>10.6</v>
      </c>
      <c r="CU54" s="1">
        <v>9.5</v>
      </c>
      <c r="CV54">
        <v>55.73</v>
      </c>
      <c r="CW54">
        <v>20.46</v>
      </c>
      <c r="CX54" t="e">
        <f>ROUND(CV54*#REF!/10,1)</f>
        <v>#REF!</v>
      </c>
      <c r="CY54" s="1">
        <v>13.3</v>
      </c>
      <c r="CZ54" t="e">
        <f t="shared" si="18"/>
        <v>#REF!</v>
      </c>
      <c r="DA54">
        <f>ROUND((CY54*CB54*10),0)</f>
        <v>222</v>
      </c>
      <c r="DB54" t="e">
        <f>(CZ54+DA54)/MAX(DA46,CZ51)</f>
        <v>#REF!</v>
      </c>
      <c r="DC54" s="26">
        <v>13.3</v>
      </c>
      <c r="DD54" t="e">
        <f t="shared" si="4"/>
        <v>#REF!</v>
      </c>
      <c r="DE54" t="e">
        <f t="shared" si="19"/>
        <v>#REF!</v>
      </c>
      <c r="DF54" t="e">
        <f>ROUND(CZ54/MAX(DA46,CZ51), 2)</f>
        <v>#REF!</v>
      </c>
    </row>
    <row r="55" spans="1:110" x14ac:dyDescent="0.15">
      <c r="A55" s="1">
        <v>2022</v>
      </c>
      <c r="B55" s="1" t="s">
        <v>48</v>
      </c>
      <c r="C55" s="1">
        <v>3</v>
      </c>
      <c r="D55" s="1">
        <v>13</v>
      </c>
      <c r="E55" s="1" t="s">
        <v>51</v>
      </c>
      <c r="F55" s="1" t="s">
        <v>53</v>
      </c>
      <c r="G55" s="1" t="s">
        <v>5</v>
      </c>
      <c r="H55" s="1">
        <v>3</v>
      </c>
      <c r="I55" s="23" t="s">
        <v>63</v>
      </c>
      <c r="J55" s="1" t="s">
        <v>57</v>
      </c>
      <c r="K55" s="24">
        <v>44693</v>
      </c>
      <c r="L55" s="1">
        <f>K55-K47</f>
        <v>-12</v>
      </c>
      <c r="M55" s="1">
        <f>K55-K49</f>
        <v>0</v>
      </c>
      <c r="N55" s="24">
        <v>44716</v>
      </c>
      <c r="O55" s="24">
        <v>44727</v>
      </c>
      <c r="P55" s="24">
        <v>44699</v>
      </c>
      <c r="Q55" s="1">
        <f>P55-P49</f>
        <v>0</v>
      </c>
      <c r="R55" s="1">
        <f>N55-N47</f>
        <v>0</v>
      </c>
      <c r="S55" s="1">
        <f>O55-O47</f>
        <v>6</v>
      </c>
      <c r="T55" s="1">
        <f t="shared" si="20"/>
        <v>3</v>
      </c>
      <c r="U55" s="1" t="s">
        <v>71</v>
      </c>
      <c r="V55" s="1" t="s">
        <v>71</v>
      </c>
      <c r="W55" s="1">
        <v>-2</v>
      </c>
      <c r="X55" s="1">
        <v>0</v>
      </c>
      <c r="Y55" s="1">
        <v>0</v>
      </c>
      <c r="Z55" s="1" t="s">
        <v>71</v>
      </c>
      <c r="AA55" s="1" t="s">
        <v>71</v>
      </c>
      <c r="AB55" s="1" t="s">
        <v>71</v>
      </c>
      <c r="AC55" s="1" t="s">
        <v>71</v>
      </c>
      <c r="AD55" s="25">
        <v>39</v>
      </c>
      <c r="AE55" s="25">
        <v>37</v>
      </c>
      <c r="AF55" s="25">
        <v>101</v>
      </c>
      <c r="AG55" s="25">
        <v>75</v>
      </c>
      <c r="AH55" s="1">
        <v>108</v>
      </c>
      <c r="AI55" s="1">
        <v>64</v>
      </c>
      <c r="AJ55" s="1">
        <v>2.7</v>
      </c>
      <c r="AK55" s="1">
        <v>0</v>
      </c>
      <c r="AL55" s="1">
        <v>0</v>
      </c>
      <c r="AM55" s="1">
        <v>0</v>
      </c>
      <c r="AN55" s="1">
        <v>0.04</v>
      </c>
      <c r="AO55" s="1">
        <v>0.01</v>
      </c>
      <c r="AP55" s="1">
        <v>4.0000000000000002E-4</v>
      </c>
      <c r="AQ55" s="1">
        <v>4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2</v>
      </c>
      <c r="BI55" s="1" t="s">
        <v>71</v>
      </c>
      <c r="BJ55" s="1" t="s">
        <v>71</v>
      </c>
      <c r="BK55" s="1">
        <v>1.8E-3</v>
      </c>
      <c r="BL55" s="1">
        <f t="shared" si="1"/>
        <v>0.18</v>
      </c>
      <c r="BM55" s="1">
        <v>0.6</v>
      </c>
      <c r="BN55" s="1">
        <v>3.0000000000000001E-3</v>
      </c>
      <c r="BO55" s="1">
        <v>1</v>
      </c>
      <c r="BP55" s="1">
        <v>0</v>
      </c>
      <c r="BQ55" s="1">
        <v>24</v>
      </c>
      <c r="BR55" s="1">
        <v>42</v>
      </c>
      <c r="BS55" s="1">
        <v>8</v>
      </c>
      <c r="BT55" s="1">
        <v>12</v>
      </c>
      <c r="BU55" s="1">
        <v>1</v>
      </c>
      <c r="BV55" s="1">
        <v>8</v>
      </c>
      <c r="BW55" s="1">
        <v>4</v>
      </c>
      <c r="BX55" s="1">
        <v>22.8</v>
      </c>
      <c r="BY55" s="1">
        <v>6.17</v>
      </c>
      <c r="BZ55" s="3">
        <v>0.8</v>
      </c>
      <c r="CA55" s="3">
        <v>2.2000000000000002</v>
      </c>
      <c r="CB55" s="3">
        <f t="shared" si="9"/>
        <v>1.1111111111111114</v>
      </c>
      <c r="CC55" s="3">
        <f t="shared" si="6"/>
        <v>3.0555555555555562</v>
      </c>
      <c r="CD55" s="1">
        <f>ROUND(CB55/CB44+CC55/CC49,2)</f>
        <v>1.22</v>
      </c>
      <c r="CE55" s="1">
        <f>ROUND(CB55/CB47+CC55/CC49,2)</f>
        <v>1.17</v>
      </c>
      <c r="CF55" s="1">
        <f t="shared" si="17"/>
        <v>1.17</v>
      </c>
      <c r="CG55" s="1">
        <f>ROUND(CB55/CB44,2)</f>
        <v>0.22</v>
      </c>
      <c r="CH55" s="1">
        <f>ROUND(CB55/CB47,2)</f>
        <v>0.17</v>
      </c>
      <c r="CI55" s="1">
        <f>ROUND(CC55/CC49,2)</f>
        <v>1</v>
      </c>
      <c r="CJ55" s="1">
        <f>ROUND((CC55+CB55)/MAX(CC49,CB47),2)</f>
        <v>0.64</v>
      </c>
      <c r="CK55" s="1">
        <f>ROUND(LN((0.9*BZ55)/(0.1*CA55))/(BZ44/CA49),2)</f>
        <v>0.7</v>
      </c>
      <c r="CL55" s="1">
        <f>ROUND(LN((0.9*BZ55)/(0.1*CA55))/(BZ47/CA49),2)</f>
        <v>0.55000000000000004</v>
      </c>
      <c r="CM55" s="1">
        <f>ROUND(LN((0.1*CA55)/(0.9*BZ55))/(CA49/BZ44),2)</f>
        <v>-1.99</v>
      </c>
      <c r="CN55" s="1">
        <f>ROUND(LN((0.1*CA55)/(0.9*BZ55))/(CA49/BZ47),2)</f>
        <v>-2.5299999999999998</v>
      </c>
      <c r="CO55" s="1">
        <v>49</v>
      </c>
      <c r="CP55" s="1" t="s">
        <v>71</v>
      </c>
      <c r="CQ55" s="1">
        <v>36.349999999999994</v>
      </c>
      <c r="CR55" s="1">
        <v>138.15</v>
      </c>
      <c r="CS55" s="1">
        <v>34</v>
      </c>
      <c r="CT55" s="1">
        <v>10.7</v>
      </c>
      <c r="CU55" s="1">
        <v>9.6999999999999993</v>
      </c>
      <c r="CV55">
        <v>50.1</v>
      </c>
      <c r="CW55">
        <v>19.510000000000002</v>
      </c>
      <c r="CX55" t="e">
        <f>ROUND(CV55*#REF!/10,1)</f>
        <v>#REF!</v>
      </c>
      <c r="CY55" s="1">
        <v>13.3</v>
      </c>
      <c r="CZ55" t="e">
        <f t="shared" si="18"/>
        <v>#REF!</v>
      </c>
      <c r="DA55">
        <f>ROUND((CY55*CB55*10),0)</f>
        <v>148</v>
      </c>
      <c r="DB55" t="e">
        <f>(CZ55+DA55)/MAX(DA47,CZ49)</f>
        <v>#REF!</v>
      </c>
      <c r="DC55" s="26">
        <v>13.3</v>
      </c>
      <c r="DD55" t="e">
        <f t="shared" si="4"/>
        <v>#REF!</v>
      </c>
      <c r="DE55" t="e">
        <f t="shared" si="19"/>
        <v>#REF!</v>
      </c>
      <c r="DF55" t="e">
        <f>ROUND(CZ55/MAX(DA47,CZ49), 2)</f>
        <v>#REF!</v>
      </c>
    </row>
    <row r="56" spans="1:110" x14ac:dyDescent="0.15">
      <c r="A56" s="1">
        <v>2022</v>
      </c>
      <c r="B56" s="1" t="s">
        <v>48</v>
      </c>
      <c r="C56" s="1">
        <v>3</v>
      </c>
      <c r="D56" s="1">
        <v>14</v>
      </c>
      <c r="E56" s="1" t="s">
        <v>51</v>
      </c>
      <c r="F56" s="1" t="s">
        <v>54</v>
      </c>
      <c r="G56" s="1" t="s">
        <v>5</v>
      </c>
      <c r="H56" s="1">
        <v>3</v>
      </c>
      <c r="I56" s="23" t="s">
        <v>64</v>
      </c>
      <c r="J56" s="1" t="s">
        <v>57</v>
      </c>
      <c r="K56" s="24">
        <v>44705</v>
      </c>
      <c r="L56" s="1">
        <f>K56-K47</f>
        <v>0</v>
      </c>
      <c r="M56" s="1">
        <f>K56-K50</f>
        <v>12</v>
      </c>
      <c r="N56" s="24">
        <v>44715</v>
      </c>
      <c r="O56" s="24">
        <v>44727</v>
      </c>
      <c r="P56" s="24">
        <v>44699</v>
      </c>
      <c r="Q56" s="1">
        <f>P56-P50</f>
        <v>-2</v>
      </c>
      <c r="R56" s="1">
        <f>N56-N47</f>
        <v>-1</v>
      </c>
      <c r="S56" s="1">
        <f>O56-O47</f>
        <v>6</v>
      </c>
      <c r="T56" s="1">
        <f t="shared" si="20"/>
        <v>2.5</v>
      </c>
      <c r="U56" s="1" t="s">
        <v>71</v>
      </c>
      <c r="V56" s="1" t="s">
        <v>71</v>
      </c>
      <c r="W56" s="1">
        <v>-2</v>
      </c>
      <c r="X56" s="1">
        <v>40</v>
      </c>
      <c r="Y56" s="1">
        <v>0</v>
      </c>
      <c r="Z56" s="1" t="s">
        <v>71</v>
      </c>
      <c r="AA56" s="1" t="s">
        <v>71</v>
      </c>
      <c r="AB56" s="1" t="s">
        <v>71</v>
      </c>
      <c r="AC56" s="1" t="s">
        <v>71</v>
      </c>
      <c r="AD56" s="25">
        <v>40</v>
      </c>
      <c r="AE56" s="25">
        <v>31</v>
      </c>
      <c r="AF56" s="25">
        <v>101</v>
      </c>
      <c r="AG56" s="25">
        <v>76</v>
      </c>
      <c r="AH56" s="1">
        <v>108</v>
      </c>
      <c r="AI56" s="1">
        <v>40</v>
      </c>
      <c r="AJ56" s="1">
        <v>1.7</v>
      </c>
      <c r="AK56" s="1">
        <v>0</v>
      </c>
      <c r="AL56" s="1">
        <v>0</v>
      </c>
      <c r="AM56" s="1">
        <v>0</v>
      </c>
      <c r="AN56" s="1">
        <v>0.01</v>
      </c>
      <c r="AO56" s="1">
        <v>0.05</v>
      </c>
      <c r="AP56" s="1">
        <v>5.0000000000000001E-4</v>
      </c>
      <c r="AQ56" s="1">
        <v>5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2</v>
      </c>
      <c r="BI56" s="1" t="s">
        <v>71</v>
      </c>
      <c r="BJ56" s="1" t="s">
        <v>71</v>
      </c>
      <c r="BK56" s="1">
        <v>1.8E-3</v>
      </c>
      <c r="BL56" s="1">
        <f t="shared" si="1"/>
        <v>0.18</v>
      </c>
      <c r="BM56" s="1">
        <v>0.6</v>
      </c>
      <c r="BN56" s="1">
        <v>3.0000000000000001E-3</v>
      </c>
      <c r="BO56" s="1">
        <v>2</v>
      </c>
      <c r="BP56" s="1">
        <v>0</v>
      </c>
      <c r="BQ56" s="1">
        <v>82</v>
      </c>
      <c r="BR56" s="1">
        <v>56</v>
      </c>
      <c r="BS56" s="1">
        <v>8</v>
      </c>
      <c r="BT56" s="1">
        <v>6</v>
      </c>
      <c r="BU56" s="1">
        <v>2</v>
      </c>
      <c r="BV56" s="1">
        <v>8</v>
      </c>
      <c r="BW56" s="1">
        <v>8</v>
      </c>
      <c r="BX56" s="1">
        <v>8.34</v>
      </c>
      <c r="BY56" s="1">
        <v>11.51</v>
      </c>
      <c r="BZ56" s="3">
        <v>1.1000000000000001</v>
      </c>
      <c r="CA56" s="3">
        <v>1.9</v>
      </c>
      <c r="CB56" s="3">
        <f t="shared" si="9"/>
        <v>1.5277777777777781</v>
      </c>
      <c r="CC56" s="3">
        <f t="shared" si="6"/>
        <v>2.6388888888888888</v>
      </c>
      <c r="CD56" s="1">
        <f>ROUND(CB56/CB44+CC56/CC50,2)</f>
        <v>1.06</v>
      </c>
      <c r="CE56" s="1">
        <f>ROUND(CB56/CB47+CC56/CC50,2)</f>
        <v>0.99</v>
      </c>
      <c r="CF56" s="1">
        <f t="shared" si="17"/>
        <v>0.99</v>
      </c>
      <c r="CG56" s="1">
        <f>ROUND(CB56/CB44,2)</f>
        <v>0.3</v>
      </c>
      <c r="CH56" s="1">
        <f>ROUND(CB56/CB47,2)</f>
        <v>0.23</v>
      </c>
      <c r="CI56" s="1">
        <f>ROUND(CC56/CC50,2)</f>
        <v>0.76</v>
      </c>
      <c r="CJ56" s="1">
        <f>ROUND((CC56+CB56)/MAX(CC50,CB47),2)</f>
        <v>0.64</v>
      </c>
      <c r="CK56" s="1">
        <f>ROUND(LN((0.9*BZ56)/(0.1*CA56))/(BZ44/CA50),2)</f>
        <v>1.1200000000000001</v>
      </c>
      <c r="CL56" s="1">
        <f>ROUND(LN((0.9*BZ56)/(0.1*CA56))/(BZ47/CA50),2)</f>
        <v>0.88</v>
      </c>
      <c r="CM56" s="1">
        <f>ROUND(LN((0.1*CA56)/(0.9*BZ56))/(CA50/BZ44),2)</f>
        <v>-2.44</v>
      </c>
      <c r="CN56" s="1">
        <f>ROUND(LN((0.1*CA56)/(0.9*BZ56))/(CA50/BZ47),2)</f>
        <v>-3.1</v>
      </c>
      <c r="CO56" s="1">
        <v>51</v>
      </c>
      <c r="CP56" s="1" t="s">
        <v>71</v>
      </c>
      <c r="CQ56" s="1">
        <v>35.85</v>
      </c>
      <c r="CR56" s="1">
        <v>129.80000000000001</v>
      </c>
      <c r="CS56" s="1">
        <v>40</v>
      </c>
      <c r="CT56" s="1">
        <v>10.7</v>
      </c>
      <c r="CU56" s="1">
        <v>10.199999999999999</v>
      </c>
      <c r="CV56">
        <v>67.14</v>
      </c>
      <c r="CW56">
        <v>20.8</v>
      </c>
      <c r="CX56" t="e">
        <f>ROUND(CV56*#REF!/10,1)</f>
        <v>#REF!</v>
      </c>
      <c r="CY56" s="1">
        <v>13.1</v>
      </c>
      <c r="CZ56" t="e">
        <f t="shared" si="18"/>
        <v>#REF!</v>
      </c>
      <c r="DA56">
        <f>ROUND((CY56*CB56*10),0)</f>
        <v>200</v>
      </c>
      <c r="DB56" t="e">
        <f>(CZ56+DA56)/MAX(DA47,CZ50)</f>
        <v>#REF!</v>
      </c>
      <c r="DC56" s="26">
        <v>13.1</v>
      </c>
      <c r="DD56" t="e">
        <f t="shared" si="4"/>
        <v>#REF!</v>
      </c>
      <c r="DE56" t="e">
        <f t="shared" si="19"/>
        <v>#REF!</v>
      </c>
      <c r="DF56" t="e">
        <f>ROUND(CZ56/MAX(DA47,CZ50), 2)</f>
        <v>#REF!</v>
      </c>
    </row>
    <row r="57" spans="1:110" x14ac:dyDescent="0.15">
      <c r="A57" s="1">
        <v>2022</v>
      </c>
      <c r="B57" s="1" t="s">
        <v>48</v>
      </c>
      <c r="C57" s="1">
        <v>3</v>
      </c>
      <c r="D57" s="1">
        <v>15</v>
      </c>
      <c r="E57" s="1" t="s">
        <v>51</v>
      </c>
      <c r="F57" s="1" t="s">
        <v>55</v>
      </c>
      <c r="G57" s="1" t="s">
        <v>5</v>
      </c>
      <c r="H57" s="1">
        <v>3</v>
      </c>
      <c r="I57" s="23" t="s">
        <v>65</v>
      </c>
      <c r="J57" s="1" t="s">
        <v>57</v>
      </c>
      <c r="K57" s="24">
        <v>44693</v>
      </c>
      <c r="L57" s="1">
        <f>K57-K47</f>
        <v>-12</v>
      </c>
      <c r="M57" s="1">
        <f>K57-K51</f>
        <v>0</v>
      </c>
      <c r="N57" s="24">
        <v>44720</v>
      </c>
      <c r="O57" s="24">
        <v>44730</v>
      </c>
      <c r="P57" s="24">
        <v>44699</v>
      </c>
      <c r="Q57" s="1">
        <f>P57-P51</f>
        <v>1</v>
      </c>
      <c r="R57" s="1">
        <f>N57-N47</f>
        <v>4</v>
      </c>
      <c r="S57" s="1">
        <f>O57-O47</f>
        <v>9</v>
      </c>
      <c r="T57" s="1">
        <f t="shared" si="20"/>
        <v>6.5</v>
      </c>
      <c r="U57" s="1" t="s">
        <v>71</v>
      </c>
      <c r="V57" s="1" t="s">
        <v>71</v>
      </c>
      <c r="W57" s="1">
        <v>-2</v>
      </c>
      <c r="X57" s="1">
        <v>0</v>
      </c>
      <c r="Y57" s="1">
        <v>0</v>
      </c>
      <c r="Z57" s="1" t="s">
        <v>71</v>
      </c>
      <c r="AA57" s="1" t="s">
        <v>71</v>
      </c>
      <c r="AB57" s="1" t="s">
        <v>71</v>
      </c>
      <c r="AC57" s="1" t="s">
        <v>71</v>
      </c>
      <c r="AD57" s="25">
        <v>40</v>
      </c>
      <c r="AE57" s="25">
        <v>42</v>
      </c>
      <c r="AF57" s="25">
        <v>99</v>
      </c>
      <c r="AG57" s="25">
        <v>80</v>
      </c>
      <c r="AH57" s="1">
        <v>122</v>
      </c>
      <c r="AI57" s="1">
        <v>77</v>
      </c>
      <c r="AJ57" s="1">
        <v>2</v>
      </c>
      <c r="AK57" s="1">
        <v>0</v>
      </c>
      <c r="AL57" s="1">
        <v>0</v>
      </c>
      <c r="AM57" s="1">
        <v>0</v>
      </c>
      <c r="AN57" s="1">
        <v>0.01</v>
      </c>
      <c r="AO57" s="1">
        <v>0.05</v>
      </c>
      <c r="AP57" s="1">
        <v>5.0000000000000001E-4</v>
      </c>
      <c r="AQ57" s="1">
        <v>5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 t="s">
        <v>71</v>
      </c>
      <c r="BI57" s="1" t="s">
        <v>71</v>
      </c>
      <c r="BJ57" s="1" t="s">
        <v>71</v>
      </c>
      <c r="BK57" s="1">
        <v>6.9999999999999993E-3</v>
      </c>
      <c r="BL57" s="1">
        <f t="shared" si="1"/>
        <v>0.7</v>
      </c>
      <c r="BM57" s="1">
        <v>0.7</v>
      </c>
      <c r="BN57" s="1">
        <v>0.01</v>
      </c>
      <c r="BO57" s="1">
        <v>1</v>
      </c>
      <c r="BP57" s="1">
        <v>0</v>
      </c>
      <c r="BQ57" s="1">
        <v>38</v>
      </c>
      <c r="BR57" s="1">
        <v>34</v>
      </c>
      <c r="BS57" s="1">
        <v>6</v>
      </c>
      <c r="BT57" s="1">
        <v>5</v>
      </c>
      <c r="BU57" s="1">
        <v>2</v>
      </c>
      <c r="BV57" s="1">
        <v>6</v>
      </c>
      <c r="BW57" s="1">
        <v>4</v>
      </c>
      <c r="BX57" s="1">
        <v>8.34</v>
      </c>
      <c r="BY57" s="1">
        <v>5.5</v>
      </c>
      <c r="BZ57" s="3">
        <v>1.2</v>
      </c>
      <c r="CA57" s="3">
        <v>2.1</v>
      </c>
      <c r="CB57" s="3">
        <f t="shared" si="9"/>
        <v>1.666666666666667</v>
      </c>
      <c r="CC57" s="3">
        <f t="shared" si="6"/>
        <v>2.916666666666667</v>
      </c>
      <c r="CD57" s="1">
        <f>ROUND(CB57/CB44+CC57/CC51,2)</f>
        <v>1.24</v>
      </c>
      <c r="CE57" s="1">
        <f>ROUND(CB57/CB47+CC57/CC51,2)</f>
        <v>1.17</v>
      </c>
      <c r="CF57" s="1">
        <f t="shared" si="17"/>
        <v>1.17</v>
      </c>
      <c r="CG57" s="1">
        <f>ROUND(CB57/CB44,2)</f>
        <v>0.32</v>
      </c>
      <c r="CH57" s="1">
        <f>ROUND(CB57/CB47,2)</f>
        <v>0.26</v>
      </c>
      <c r="CI57" s="1">
        <f>ROUND(CC57/CC51,2)</f>
        <v>0.91</v>
      </c>
      <c r="CJ57" s="1">
        <f>ROUND((CC57+CB57)/MAX(CC51,CB47),2)</f>
        <v>0.7</v>
      </c>
      <c r="CK57" s="1">
        <f>ROUND(LN((0.9*BZ57)/(0.1*CA57))/(BZ44/CA51),2)</f>
        <v>1.02</v>
      </c>
      <c r="CL57" s="1">
        <f>ROUND(LN((0.9*BZ57)/(0.1*CA57))/(BZ47/CA51),2)</f>
        <v>0.8</v>
      </c>
      <c r="CM57" s="1">
        <f>ROUND(LN((0.1*CA57)/(0.9*BZ57))/(CA51/BZ44),2)</f>
        <v>-2.63</v>
      </c>
      <c r="CN57" s="1">
        <f>ROUND(LN((0.1*CA57)/(0.9*BZ57))/(CA51/BZ47),2)</f>
        <v>-3.35</v>
      </c>
      <c r="CO57" s="1">
        <v>48</v>
      </c>
      <c r="CP57" s="1" t="s">
        <v>71</v>
      </c>
      <c r="CQ57" s="1">
        <v>33.950000000000003</v>
      </c>
      <c r="CR57" s="1">
        <v>151.5</v>
      </c>
      <c r="CS57" s="1">
        <v>39</v>
      </c>
      <c r="CT57" s="1">
        <v>10.7</v>
      </c>
      <c r="CU57" s="1">
        <v>9.1</v>
      </c>
      <c r="CV57">
        <v>62.47</v>
      </c>
      <c r="CW57">
        <v>20.61</v>
      </c>
      <c r="CX57" t="e">
        <f>ROUND(CV57*#REF!/10,1)</f>
        <v>#REF!</v>
      </c>
      <c r="CY57" s="1">
        <v>13.6</v>
      </c>
      <c r="CZ57" t="e">
        <f t="shared" si="18"/>
        <v>#REF!</v>
      </c>
      <c r="DA57">
        <f>ROUND((CY57*CB57*10),0)</f>
        <v>227</v>
      </c>
      <c r="DB57" t="e">
        <f>(CZ57+DA57)/MAX(DA47,CZ51)</f>
        <v>#REF!</v>
      </c>
      <c r="DC57" s="26">
        <v>13.6</v>
      </c>
      <c r="DD57" t="e">
        <f t="shared" si="4"/>
        <v>#REF!</v>
      </c>
      <c r="DE57" t="e">
        <f t="shared" si="19"/>
        <v>#REF!</v>
      </c>
      <c r="DF57" t="e">
        <f>ROUND(CZ57/MAX(DA47,CZ51), 2)</f>
        <v>#REF!</v>
      </c>
    </row>
    <row r="58" spans="1:110" x14ac:dyDescent="0.15">
      <c r="A58" s="1">
        <v>2022</v>
      </c>
      <c r="B58" s="1" t="s">
        <v>48</v>
      </c>
      <c r="C58" s="1">
        <v>3</v>
      </c>
      <c r="D58" s="1">
        <v>16</v>
      </c>
      <c r="E58" s="1" t="s">
        <v>52</v>
      </c>
      <c r="F58" s="1" t="s">
        <v>53</v>
      </c>
      <c r="G58" s="1" t="s">
        <v>5</v>
      </c>
      <c r="H58" s="1">
        <v>3</v>
      </c>
      <c r="I58" s="23" t="s">
        <v>66</v>
      </c>
      <c r="J58" s="1" t="s">
        <v>57</v>
      </c>
      <c r="K58" s="24">
        <v>44693</v>
      </c>
      <c r="L58" s="1">
        <f>K58-K48</f>
        <v>-20</v>
      </c>
      <c r="M58" s="1">
        <f>K58-K49</f>
        <v>0</v>
      </c>
      <c r="N58" s="24">
        <v>44719</v>
      </c>
      <c r="O58" s="24">
        <v>44732</v>
      </c>
      <c r="P58" s="24">
        <v>44699</v>
      </c>
      <c r="Q58" s="1">
        <f>P58-P49</f>
        <v>0</v>
      </c>
      <c r="R58" s="1">
        <f>N58-N48</f>
        <v>4</v>
      </c>
      <c r="S58" s="1">
        <f>O58-O48</f>
        <v>4</v>
      </c>
      <c r="T58" s="1">
        <f t="shared" si="20"/>
        <v>4</v>
      </c>
      <c r="U58" s="1" t="s">
        <v>71</v>
      </c>
      <c r="V58" s="1" t="s">
        <v>71</v>
      </c>
      <c r="W58" s="1">
        <v>-2</v>
      </c>
      <c r="X58" s="1">
        <v>25</v>
      </c>
      <c r="Y58" s="1">
        <v>0</v>
      </c>
      <c r="Z58" s="1" t="s">
        <v>71</v>
      </c>
      <c r="AA58" s="1" t="s">
        <v>71</v>
      </c>
      <c r="AB58" s="1" t="s">
        <v>71</v>
      </c>
      <c r="AC58" s="1" t="s">
        <v>71</v>
      </c>
      <c r="AD58" s="25">
        <v>35</v>
      </c>
      <c r="AE58" s="25">
        <v>37</v>
      </c>
      <c r="AF58" s="25">
        <v>76</v>
      </c>
      <c r="AG58" s="25">
        <v>69</v>
      </c>
      <c r="AH58" s="1">
        <v>92</v>
      </c>
      <c r="AI58" s="1">
        <v>67</v>
      </c>
      <c r="AJ58" s="1">
        <v>2</v>
      </c>
      <c r="AK58" s="1">
        <v>0</v>
      </c>
      <c r="AL58" s="1">
        <v>0</v>
      </c>
      <c r="AM58" s="1">
        <v>0</v>
      </c>
      <c r="AN58" s="1">
        <v>0.01</v>
      </c>
      <c r="AO58" s="1">
        <v>0.01</v>
      </c>
      <c r="AP58" s="1">
        <v>1E-4</v>
      </c>
      <c r="AQ58" s="1">
        <v>5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2</v>
      </c>
      <c r="BI58" s="1" t="s">
        <v>71</v>
      </c>
      <c r="BJ58" s="1" t="s">
        <v>71</v>
      </c>
      <c r="BK58" s="1">
        <v>2E-3</v>
      </c>
      <c r="BL58" s="1">
        <f t="shared" si="1"/>
        <v>0.2</v>
      </c>
      <c r="BM58" s="1">
        <v>1</v>
      </c>
      <c r="BN58" s="1">
        <v>2E-3</v>
      </c>
      <c r="BO58" s="1">
        <v>1</v>
      </c>
      <c r="BP58" s="1">
        <v>0</v>
      </c>
      <c r="BQ58" s="1">
        <v>131</v>
      </c>
      <c r="BR58" s="1">
        <v>18</v>
      </c>
      <c r="BS58" s="1">
        <v>4</v>
      </c>
      <c r="BT58" s="1">
        <v>9</v>
      </c>
      <c r="BU58" s="1">
        <v>2</v>
      </c>
      <c r="BV58" s="1">
        <v>6</v>
      </c>
      <c r="BW58" s="1">
        <v>6</v>
      </c>
      <c r="BX58" s="1">
        <v>16.260000000000002</v>
      </c>
      <c r="BY58" s="1">
        <v>6.39</v>
      </c>
      <c r="BZ58" s="3">
        <v>0.3</v>
      </c>
      <c r="CA58" s="3">
        <v>2.7</v>
      </c>
      <c r="CB58" s="3">
        <f t="shared" si="9"/>
        <v>0.41666666666666674</v>
      </c>
      <c r="CC58" s="3">
        <f t="shared" si="6"/>
        <v>3.7500000000000004</v>
      </c>
      <c r="CD58" s="1">
        <f>ROUND(CB58/CB45+CC58/CC49,2)</f>
        <v>1.32</v>
      </c>
      <c r="CE58" s="1">
        <f>ROUND(CB58/CB48+CC58/CC49,2)</f>
        <v>1.3</v>
      </c>
      <c r="CF58" s="1">
        <f>ROUND(CB58/(1.2*CB48)+CC58/CC49,2)</f>
        <v>1.29</v>
      </c>
      <c r="CG58" s="1">
        <f>ROUND(CB58/CB45,2)</f>
        <v>0.09</v>
      </c>
      <c r="CH58" s="1">
        <f>ROUND(CB58/CB48,2)</f>
        <v>7.0000000000000007E-2</v>
      </c>
      <c r="CI58" s="1">
        <f>ROUND(CC58/CC49,2)</f>
        <v>1.23</v>
      </c>
      <c r="CJ58" s="1">
        <f>ROUND((CC58+CB58)/MAX(CC49,CB48),2)</f>
        <v>0.71</v>
      </c>
      <c r="CK58" s="1">
        <f>ROUND(LN((0.9*BZ58)/(0.1*CA58))/(BZ45/CA49),2)</f>
        <v>0</v>
      </c>
      <c r="CL58" s="1">
        <f>ROUND(LN((0.9*BZ58)/(0.1*CA58))/(BZ48/CA49),2)</f>
        <v>0</v>
      </c>
      <c r="CM58" s="1">
        <f>ROUND(LN((0.1*CA58)/(0.9*BZ58))/(CA49/BZ45),2)</f>
        <v>0</v>
      </c>
      <c r="CN58" s="1">
        <f>ROUND(LN((0.1*CA58)/(0.9*BZ58))/(CA49/BZ48),2)</f>
        <v>0</v>
      </c>
      <c r="CO58" s="1">
        <v>46</v>
      </c>
      <c r="CP58" s="1" t="s">
        <v>71</v>
      </c>
      <c r="CQ58" s="1">
        <v>32.85</v>
      </c>
      <c r="CR58" s="1">
        <v>146</v>
      </c>
      <c r="CS58" s="1">
        <v>34</v>
      </c>
      <c r="CT58" s="1">
        <v>10.8</v>
      </c>
      <c r="CU58" s="1">
        <v>10</v>
      </c>
      <c r="CV58">
        <v>55.7</v>
      </c>
      <c r="CW58">
        <v>22.8</v>
      </c>
      <c r="CX58" t="e">
        <f>ROUND(CV58*#REF!/10,1)</f>
        <v>#REF!</v>
      </c>
      <c r="CY58" s="1" t="s">
        <v>71</v>
      </c>
      <c r="CZ58" t="e">
        <f t="shared" si="18"/>
        <v>#REF!</v>
      </c>
      <c r="DA58" s="1" t="s">
        <v>71</v>
      </c>
      <c r="DB58" s="1" t="s">
        <v>71</v>
      </c>
      <c r="DC58" s="26" t="s">
        <v>71</v>
      </c>
      <c r="DD58" t="e">
        <f t="shared" si="4"/>
        <v>#REF!</v>
      </c>
      <c r="DE58" t="s">
        <v>71</v>
      </c>
      <c r="DF58" t="e">
        <f>ROUND(CZ58/MAX(DA48,CZ49), 2)</f>
        <v>#REF!</v>
      </c>
    </row>
    <row r="59" spans="1:110" x14ac:dyDescent="0.15">
      <c r="A59" s="1">
        <v>2022</v>
      </c>
      <c r="B59" s="1" t="s">
        <v>48</v>
      </c>
      <c r="C59" s="1">
        <v>3</v>
      </c>
      <c r="D59" s="1">
        <v>17</v>
      </c>
      <c r="E59" s="1" t="s">
        <v>52</v>
      </c>
      <c r="F59" s="1" t="s">
        <v>54</v>
      </c>
      <c r="G59" s="1" t="s">
        <v>5</v>
      </c>
      <c r="H59" s="1">
        <v>3</v>
      </c>
      <c r="I59" s="23" t="s">
        <v>67</v>
      </c>
      <c r="J59" s="1" t="s">
        <v>57</v>
      </c>
      <c r="K59" s="24">
        <v>44705</v>
      </c>
      <c r="L59" s="1">
        <f>K59-K48</f>
        <v>-8</v>
      </c>
      <c r="M59" s="1">
        <f>K59-K50</f>
        <v>12</v>
      </c>
      <c r="N59" s="24">
        <v>44717</v>
      </c>
      <c r="O59" s="24">
        <v>44733</v>
      </c>
      <c r="P59" s="24">
        <v>44699</v>
      </c>
      <c r="Q59" s="1">
        <f>P59-P50</f>
        <v>-2</v>
      </c>
      <c r="R59" s="1">
        <f>N59-N48</f>
        <v>2</v>
      </c>
      <c r="S59" s="1">
        <f>O59-O48</f>
        <v>5</v>
      </c>
      <c r="T59" s="1">
        <f t="shared" si="20"/>
        <v>3.5</v>
      </c>
      <c r="U59" s="1" t="s">
        <v>71</v>
      </c>
      <c r="V59" s="1" t="s">
        <v>71</v>
      </c>
      <c r="W59" s="1">
        <v>-2</v>
      </c>
      <c r="X59" s="1">
        <v>30</v>
      </c>
      <c r="Y59" s="1">
        <v>0</v>
      </c>
      <c r="Z59" s="1" t="s">
        <v>71</v>
      </c>
      <c r="AA59" s="1" t="s">
        <v>71</v>
      </c>
      <c r="AB59" s="1" t="s">
        <v>71</v>
      </c>
      <c r="AC59" s="1" t="s">
        <v>71</v>
      </c>
      <c r="AD59" s="25">
        <v>39</v>
      </c>
      <c r="AE59" s="25">
        <v>30</v>
      </c>
      <c r="AF59" s="25">
        <v>72</v>
      </c>
      <c r="AG59" s="25">
        <v>71</v>
      </c>
      <c r="AH59" s="1">
        <v>90</v>
      </c>
      <c r="AI59" s="1">
        <v>66</v>
      </c>
      <c r="AJ59" s="1">
        <v>2.2999999999999998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2</v>
      </c>
      <c r="BI59" s="1" t="s">
        <v>71</v>
      </c>
      <c r="BJ59" s="1" t="s">
        <v>71</v>
      </c>
      <c r="BK59" s="1">
        <v>0.01</v>
      </c>
      <c r="BL59" s="1">
        <f t="shared" si="1"/>
        <v>1</v>
      </c>
      <c r="BM59" s="1">
        <v>1</v>
      </c>
      <c r="BN59" s="1">
        <v>0.01</v>
      </c>
      <c r="BO59" s="1">
        <v>1</v>
      </c>
      <c r="BP59" s="1">
        <v>0</v>
      </c>
      <c r="BQ59" s="1">
        <v>107</v>
      </c>
      <c r="BR59" s="1">
        <v>58</v>
      </c>
      <c r="BS59" s="1">
        <v>6</v>
      </c>
      <c r="BT59" s="1">
        <v>10</v>
      </c>
      <c r="BU59" s="1">
        <v>2</v>
      </c>
      <c r="BV59" s="1">
        <v>9</v>
      </c>
      <c r="BW59" s="1">
        <v>7</v>
      </c>
      <c r="BX59" s="1">
        <v>13.37</v>
      </c>
      <c r="BY59" s="1">
        <v>3.68</v>
      </c>
      <c r="BZ59" s="3">
        <v>0.7</v>
      </c>
      <c r="CA59" s="3">
        <v>2.4</v>
      </c>
      <c r="CB59" s="3">
        <f t="shared" si="9"/>
        <v>0.97222222222222221</v>
      </c>
      <c r="CC59" s="3">
        <f t="shared" si="6"/>
        <v>3.3333333333333339</v>
      </c>
      <c r="CD59" s="1">
        <f>ROUND(CB59/CB45+CC59/CC50,2)</f>
        <v>1.17</v>
      </c>
      <c r="CE59" s="1">
        <f>ROUND(CB59/CB48+CC59/CC50,2)</f>
        <v>1.1299999999999999</v>
      </c>
      <c r="CF59" s="1">
        <f>ROUND(CB59/(1.2*CB48)+CC59/CC50,2)</f>
        <v>1.1000000000000001</v>
      </c>
      <c r="CG59" s="1">
        <f>ROUND(CB59/CB45,2)</f>
        <v>0.21</v>
      </c>
      <c r="CH59" s="1">
        <f>ROUND(CB59/CB48,2)</f>
        <v>0.17</v>
      </c>
      <c r="CI59" s="1">
        <f>ROUND(CC59/CC50,2)</f>
        <v>0.96</v>
      </c>
      <c r="CJ59" s="1">
        <f>ROUND((CC59+CB59)/MAX(CC50,CB48),2)</f>
        <v>0.74</v>
      </c>
      <c r="CK59" s="1">
        <f>ROUND(LN((0.9*BZ59)/(0.1*CA59))/(BZ45/CA50),2)</f>
        <v>0.73</v>
      </c>
      <c r="CL59" s="1">
        <f>ROUND(LN((0.9*BZ59)/(0.1*CA59))/(BZ48/CA50),2)</f>
        <v>0.56999999999999995</v>
      </c>
      <c r="CM59" s="1">
        <f>ROUND(LN((0.1*CA59)/(0.9*BZ59))/(CA50/BZ45),2)</f>
        <v>-1.27</v>
      </c>
      <c r="CN59" s="1">
        <f>ROUND(LN((0.1*CA59)/(0.9*BZ59))/(CA50/BZ48),2)</f>
        <v>-1.62</v>
      </c>
      <c r="CO59" s="1">
        <v>47</v>
      </c>
      <c r="CP59" s="1" t="s">
        <v>71</v>
      </c>
      <c r="CQ59" s="1">
        <v>30.6</v>
      </c>
      <c r="CR59" s="1">
        <v>132.10000000000002</v>
      </c>
      <c r="CS59" s="1">
        <v>41</v>
      </c>
      <c r="CT59" s="1">
        <v>10.5</v>
      </c>
      <c r="CU59" s="1">
        <v>10</v>
      </c>
      <c r="CV59">
        <v>65.45</v>
      </c>
      <c r="CW59">
        <v>22.63</v>
      </c>
      <c r="CX59" t="e">
        <f>ROUND(CV59*#REF!/10,1)</f>
        <v>#REF!</v>
      </c>
      <c r="CY59" s="1">
        <v>13.7</v>
      </c>
      <c r="CZ59" t="e">
        <f t="shared" si="18"/>
        <v>#REF!</v>
      </c>
      <c r="DA59">
        <f>ROUND((CY59*CB59*10),0)</f>
        <v>133</v>
      </c>
      <c r="DB59" t="e">
        <f>(CZ59+DA59)/MAX(DA48,CZ50)</f>
        <v>#REF!</v>
      </c>
      <c r="DC59" s="26">
        <v>13.7</v>
      </c>
      <c r="DD59" t="e">
        <f t="shared" si="4"/>
        <v>#REF!</v>
      </c>
      <c r="DE59" t="e">
        <f t="shared" si="19"/>
        <v>#REF!</v>
      </c>
      <c r="DF59" t="e">
        <f>ROUND(CZ59/MAX(DA48,CZ50), 2)</f>
        <v>#REF!</v>
      </c>
    </row>
    <row r="60" spans="1:110" x14ac:dyDescent="0.15">
      <c r="A60" s="1">
        <v>2022</v>
      </c>
      <c r="B60" s="1" t="s">
        <v>48</v>
      </c>
      <c r="C60" s="1">
        <v>3</v>
      </c>
      <c r="D60" s="1">
        <v>18</v>
      </c>
      <c r="E60" s="1" t="s">
        <v>52</v>
      </c>
      <c r="F60" s="1" t="s">
        <v>55</v>
      </c>
      <c r="G60" s="1" t="s">
        <v>5</v>
      </c>
      <c r="H60" s="1">
        <v>3</v>
      </c>
      <c r="I60" s="23" t="s">
        <v>68</v>
      </c>
      <c r="J60" s="1" t="s">
        <v>57</v>
      </c>
      <c r="K60" s="24">
        <v>44693</v>
      </c>
      <c r="L60" s="1">
        <f>K60-K48</f>
        <v>-20</v>
      </c>
      <c r="M60" s="1">
        <f>K60-K51</f>
        <v>0</v>
      </c>
      <c r="N60" s="24">
        <v>44720</v>
      </c>
      <c r="O60" s="24">
        <v>44733</v>
      </c>
      <c r="P60" s="24">
        <v>44699</v>
      </c>
      <c r="Q60" s="1">
        <f>P60-P51</f>
        <v>1</v>
      </c>
      <c r="R60" s="1">
        <f>N60-N48</f>
        <v>5</v>
      </c>
      <c r="S60" s="1">
        <f>O60-O48</f>
        <v>5</v>
      </c>
      <c r="T60" s="1">
        <f t="shared" si="20"/>
        <v>5</v>
      </c>
      <c r="U60" s="1" t="s">
        <v>71</v>
      </c>
      <c r="V60" s="1" t="s">
        <v>71</v>
      </c>
      <c r="W60" s="1">
        <v>-2</v>
      </c>
      <c r="X60" s="1">
        <v>0</v>
      </c>
      <c r="Y60" s="1">
        <v>0</v>
      </c>
      <c r="Z60" s="1" t="s">
        <v>71</v>
      </c>
      <c r="AA60" s="1" t="s">
        <v>71</v>
      </c>
      <c r="AB60" s="1" t="s">
        <v>71</v>
      </c>
      <c r="AC60" s="1" t="s">
        <v>71</v>
      </c>
      <c r="AD60" s="25">
        <v>40</v>
      </c>
      <c r="AE60" s="25">
        <v>37</v>
      </c>
      <c r="AF60" s="25">
        <v>76</v>
      </c>
      <c r="AG60" s="25">
        <v>72</v>
      </c>
      <c r="AH60" s="1">
        <v>93</v>
      </c>
      <c r="AI60" s="1">
        <v>74</v>
      </c>
      <c r="AJ60" s="1">
        <v>2.2999999999999998</v>
      </c>
      <c r="AK60" s="1">
        <v>0</v>
      </c>
      <c r="AL60" s="1">
        <v>0</v>
      </c>
      <c r="AM60" s="1">
        <v>0</v>
      </c>
      <c r="AN60" s="1">
        <v>0.05</v>
      </c>
      <c r="AO60" s="1">
        <v>0.02</v>
      </c>
      <c r="AP60" s="1">
        <v>1E-3</v>
      </c>
      <c r="AQ60" s="1">
        <v>10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3</v>
      </c>
      <c r="BI60" s="1" t="s">
        <v>71</v>
      </c>
      <c r="BJ60" s="1" t="s">
        <v>71</v>
      </c>
      <c r="BK60" s="1">
        <v>0.02</v>
      </c>
      <c r="BL60" s="1">
        <f t="shared" si="1"/>
        <v>2</v>
      </c>
      <c r="BM60" s="1">
        <v>1</v>
      </c>
      <c r="BN60" s="1">
        <v>0.02</v>
      </c>
      <c r="BO60" s="1">
        <v>1</v>
      </c>
      <c r="BP60" s="1">
        <v>0</v>
      </c>
      <c r="BQ60" s="1">
        <v>68</v>
      </c>
      <c r="BR60" s="1">
        <v>41</v>
      </c>
      <c r="BS60" s="1">
        <v>1</v>
      </c>
      <c r="BT60" s="1">
        <v>12</v>
      </c>
      <c r="BU60" s="1">
        <v>2</v>
      </c>
      <c r="BV60" s="1">
        <v>7</v>
      </c>
      <c r="BW60" s="1">
        <v>5</v>
      </c>
      <c r="BX60" s="1">
        <v>21.41</v>
      </c>
      <c r="BY60" s="1">
        <v>1.94</v>
      </c>
      <c r="BZ60" s="3">
        <v>0.6</v>
      </c>
      <c r="CA60" s="3">
        <v>2.6</v>
      </c>
      <c r="CB60" s="3">
        <f t="shared" si="9"/>
        <v>0.83333333333333348</v>
      </c>
      <c r="CC60" s="3">
        <f t="shared" si="6"/>
        <v>3.6111111111111116</v>
      </c>
      <c r="CD60" s="1">
        <f>ROUND(CB60/CB45+CC60/CC51,2)</f>
        <v>1.31</v>
      </c>
      <c r="CE60" s="1">
        <f>ROUND(CB60/CB48+CC60/CC51,2)</f>
        <v>1.27</v>
      </c>
      <c r="CF60" s="1">
        <f>ROUND(CB60/(1.2*CB48)+CC60/CC51,2)</f>
        <v>1.25</v>
      </c>
      <c r="CG60" s="1">
        <f>ROUND(CB60/CB45,2)</f>
        <v>0.18</v>
      </c>
      <c r="CH60" s="1">
        <f>ROUND(CB60/CB48,2)</f>
        <v>0.14000000000000001</v>
      </c>
      <c r="CI60" s="1">
        <f>ROUND(CC60/CC51,2)</f>
        <v>1.1299999999999999</v>
      </c>
      <c r="CJ60" s="1">
        <f>ROUND((CC60+CB60)/MAX(CC51,CB48),2)</f>
        <v>0.76</v>
      </c>
      <c r="CK60" s="1">
        <f>ROUND(LN((0.9*BZ60)/(0.1*CA60))/(BZ45/CA51),2)</f>
        <v>0.51</v>
      </c>
      <c r="CL60" s="1">
        <f>ROUND(LN((0.9*BZ60)/(0.1*CA60))/(BZ48/CA51),2)</f>
        <v>0.4</v>
      </c>
      <c r="CM60" s="1">
        <f>ROUND(LN((0.1*CA60)/(0.9*BZ60))/(CA51/BZ45),2)</f>
        <v>-1.05</v>
      </c>
      <c r="CN60" s="1">
        <f>ROUND(LN((0.1*CA60)/(0.9*BZ60))/(CA51/BZ48),2)</f>
        <v>-1.33</v>
      </c>
      <c r="CO60" s="1">
        <v>44</v>
      </c>
      <c r="CP60" s="1" t="s">
        <v>71</v>
      </c>
      <c r="CQ60" s="1">
        <v>31.85</v>
      </c>
      <c r="CR60" s="1">
        <v>154.60000000000002</v>
      </c>
      <c r="CS60" s="1">
        <v>39</v>
      </c>
      <c r="CT60" s="1">
        <v>10.6</v>
      </c>
      <c r="CU60" s="1">
        <v>8.9</v>
      </c>
      <c r="CV60">
        <v>59.51</v>
      </c>
      <c r="CW60">
        <v>23.25</v>
      </c>
      <c r="CX60" t="e">
        <f>ROUND(CV60*#REF!/10,1)</f>
        <v>#REF!</v>
      </c>
      <c r="CY60" s="1">
        <v>13.7</v>
      </c>
      <c r="CZ60" t="e">
        <f t="shared" si="18"/>
        <v>#REF!</v>
      </c>
      <c r="DA60">
        <f>ROUND((CY60*CB60*10),0)</f>
        <v>114</v>
      </c>
      <c r="DB60" t="e">
        <f>(CZ60+DA60)/MAX(DA48,CZ51)</f>
        <v>#REF!</v>
      </c>
      <c r="DC60" s="26">
        <v>13.7</v>
      </c>
      <c r="DD60" t="e">
        <f t="shared" si="4"/>
        <v>#REF!</v>
      </c>
      <c r="DE60" t="e">
        <f t="shared" si="19"/>
        <v>#REF!</v>
      </c>
      <c r="DF60" t="e">
        <f>ROUND(CZ60/MAX(DA48,CZ51), 2)</f>
        <v>#REF!</v>
      </c>
    </row>
    <row r="61" spans="1:110" x14ac:dyDescent="0.15">
      <c r="A61" s="1">
        <v>2022</v>
      </c>
      <c r="B61" s="1" t="s">
        <v>48</v>
      </c>
      <c r="C61" s="1">
        <v>3</v>
      </c>
      <c r="D61" s="1">
        <v>19</v>
      </c>
      <c r="E61" s="1"/>
      <c r="F61" s="1"/>
      <c r="G61" s="1" t="s">
        <v>56</v>
      </c>
      <c r="H61" s="1">
        <v>3</v>
      </c>
      <c r="I61" s="23" t="s">
        <v>69</v>
      </c>
      <c r="J61" s="1" t="s">
        <v>57</v>
      </c>
      <c r="K61" s="24">
        <v>44713</v>
      </c>
      <c r="L61" s="1" t="s">
        <v>71</v>
      </c>
      <c r="M61" s="1" t="s">
        <v>71</v>
      </c>
      <c r="N61" s="1" t="s">
        <v>71</v>
      </c>
      <c r="O61" s="1" t="s">
        <v>71</v>
      </c>
      <c r="P61" s="1" t="s">
        <v>71</v>
      </c>
      <c r="Q61" s="1" t="s">
        <v>71</v>
      </c>
      <c r="R61" s="1" t="s">
        <v>71</v>
      </c>
      <c r="S61" s="1" t="s">
        <v>71</v>
      </c>
      <c r="T61" s="1" t="s">
        <v>71</v>
      </c>
      <c r="U61" s="1" t="s">
        <v>71</v>
      </c>
      <c r="V61" s="1" t="s">
        <v>71</v>
      </c>
      <c r="W61" s="1" t="s">
        <v>71</v>
      </c>
      <c r="X61" s="1">
        <v>0</v>
      </c>
      <c r="Y61" s="1">
        <v>0</v>
      </c>
      <c r="Z61" s="1" t="s">
        <v>71</v>
      </c>
      <c r="AA61" s="1" t="s">
        <v>71</v>
      </c>
      <c r="AB61" s="1" t="s">
        <v>71</v>
      </c>
      <c r="AC61" s="1" t="s">
        <v>71</v>
      </c>
      <c r="AD61" s="25">
        <v>36</v>
      </c>
      <c r="AE61" s="25" t="s">
        <v>71</v>
      </c>
      <c r="AF61" s="25" t="s">
        <v>71</v>
      </c>
      <c r="AG61" s="25" t="s">
        <v>71</v>
      </c>
      <c r="AH61" s="1">
        <v>83</v>
      </c>
      <c r="AI61" s="1" t="s">
        <v>71</v>
      </c>
      <c r="AJ61" s="1">
        <v>1.7</v>
      </c>
      <c r="AK61" s="1" t="s">
        <v>71</v>
      </c>
      <c r="AL61" s="1" t="s">
        <v>71</v>
      </c>
      <c r="AM61" s="1" t="s">
        <v>71</v>
      </c>
      <c r="AN61" s="1">
        <v>0</v>
      </c>
      <c r="AO61" s="1">
        <v>0</v>
      </c>
      <c r="AP61" s="1">
        <v>0</v>
      </c>
      <c r="AQ61" s="1">
        <v>2</v>
      </c>
      <c r="AR61" s="1" t="s">
        <v>71</v>
      </c>
      <c r="AS61" s="1" t="s">
        <v>71</v>
      </c>
      <c r="AT61" s="1" t="s">
        <v>71</v>
      </c>
      <c r="AU61" s="1">
        <v>0</v>
      </c>
      <c r="AV61" s="1">
        <v>0</v>
      </c>
      <c r="AW61" s="1">
        <v>0</v>
      </c>
      <c r="AX61" s="1" t="s">
        <v>71</v>
      </c>
      <c r="AY61" s="1" t="s">
        <v>71</v>
      </c>
      <c r="AZ61" s="1">
        <v>0</v>
      </c>
      <c r="BA61" s="1" t="s">
        <v>71</v>
      </c>
      <c r="BB61" s="1" t="s">
        <v>71</v>
      </c>
      <c r="BC61" s="1" t="s">
        <v>71</v>
      </c>
      <c r="BD61" s="1" t="s">
        <v>71</v>
      </c>
      <c r="BE61" s="1" t="s">
        <v>71</v>
      </c>
      <c r="BF61" s="1" t="s">
        <v>71</v>
      </c>
      <c r="BG61" s="1" t="s">
        <v>71</v>
      </c>
      <c r="BH61" s="1" t="s">
        <v>71</v>
      </c>
      <c r="BI61" s="1" t="s">
        <v>71</v>
      </c>
      <c r="BJ61" s="1" t="s">
        <v>71</v>
      </c>
      <c r="BK61" s="1">
        <v>2.0000000000000004E-2</v>
      </c>
      <c r="BL61" s="1">
        <f t="shared" si="1"/>
        <v>2.0000000000000004</v>
      </c>
      <c r="BM61" s="1">
        <v>0.8</v>
      </c>
      <c r="BN61" s="1">
        <v>2.5000000000000001E-2</v>
      </c>
      <c r="BO61" s="1">
        <v>1</v>
      </c>
      <c r="BP61" s="1">
        <v>0</v>
      </c>
      <c r="BQ61" s="1" t="s">
        <v>71</v>
      </c>
      <c r="BR61" s="1" t="s">
        <v>71</v>
      </c>
      <c r="BS61" s="1" t="s">
        <v>71</v>
      </c>
      <c r="BT61" s="1" t="s">
        <v>71</v>
      </c>
      <c r="BU61" s="1" t="s">
        <v>71</v>
      </c>
      <c r="BV61" s="1" t="s">
        <v>71</v>
      </c>
      <c r="BW61" s="1" t="s">
        <v>71</v>
      </c>
      <c r="BX61" s="1">
        <v>18.55</v>
      </c>
      <c r="BY61" s="1" t="s">
        <v>71</v>
      </c>
      <c r="BZ61" s="3" t="s">
        <v>71</v>
      </c>
      <c r="CA61" s="3" t="s">
        <v>71</v>
      </c>
      <c r="CB61" s="3" t="s">
        <v>71</v>
      </c>
      <c r="CC61" s="3" t="s">
        <v>71</v>
      </c>
      <c r="CD61" s="3" t="s">
        <v>71</v>
      </c>
      <c r="CE61" s="3" t="s">
        <v>71</v>
      </c>
      <c r="CF61" s="1" t="s">
        <v>71</v>
      </c>
      <c r="CG61" s="3" t="s">
        <v>71</v>
      </c>
      <c r="CH61" s="3" t="s">
        <v>71</v>
      </c>
      <c r="CI61" s="3" t="s">
        <v>71</v>
      </c>
      <c r="CJ61" s="3" t="s">
        <v>71</v>
      </c>
      <c r="CK61" s="3" t="s">
        <v>71</v>
      </c>
      <c r="CL61" s="3" t="s">
        <v>71</v>
      </c>
      <c r="CM61" s="3" t="s">
        <v>71</v>
      </c>
      <c r="CN61" s="3" t="s">
        <v>71</v>
      </c>
      <c r="CO61" s="1">
        <v>0</v>
      </c>
      <c r="CP61" s="1" t="s">
        <v>71</v>
      </c>
      <c r="CQ61" s="1">
        <v>43.650000000000006</v>
      </c>
      <c r="CR61" s="1">
        <v>0</v>
      </c>
      <c r="CS61" s="1" t="s">
        <v>71</v>
      </c>
      <c r="CT61" s="1" t="s">
        <v>71</v>
      </c>
      <c r="CU61" s="1" t="s">
        <v>71</v>
      </c>
      <c r="CV61" s="1" t="s">
        <v>71</v>
      </c>
      <c r="CW61" s="1" t="s">
        <v>71</v>
      </c>
      <c r="CX61" t="s">
        <v>71</v>
      </c>
      <c r="CY61" s="1" t="s">
        <v>71</v>
      </c>
      <c r="CZ61" t="s">
        <v>71</v>
      </c>
      <c r="DA61" t="s">
        <v>71</v>
      </c>
      <c r="DB61" t="s">
        <v>71</v>
      </c>
      <c r="DC61" s="26" t="s">
        <v>71</v>
      </c>
      <c r="DD61">
        <f t="shared" si="4"/>
        <v>0</v>
      </c>
      <c r="DE61" t="s">
        <v>71</v>
      </c>
      <c r="DF61" s="26" t="s">
        <v>71</v>
      </c>
    </row>
    <row r="62" spans="1:110" x14ac:dyDescent="0.15">
      <c r="A62" s="1">
        <v>2022</v>
      </c>
      <c r="B62" s="1" t="s">
        <v>48</v>
      </c>
      <c r="C62" s="1">
        <v>3</v>
      </c>
      <c r="D62" s="1">
        <v>20</v>
      </c>
      <c r="E62" s="1"/>
      <c r="F62" s="1"/>
      <c r="G62" s="1" t="s">
        <v>56</v>
      </c>
      <c r="H62" s="1">
        <v>3</v>
      </c>
      <c r="I62" s="23" t="s">
        <v>70</v>
      </c>
      <c r="J62" s="1" t="s">
        <v>57</v>
      </c>
      <c r="K62" s="1" t="s">
        <v>57</v>
      </c>
      <c r="L62" s="1" t="s">
        <v>71</v>
      </c>
      <c r="M62" s="1" t="s">
        <v>71</v>
      </c>
      <c r="N62" s="1" t="s">
        <v>71</v>
      </c>
      <c r="O62" s="1" t="s">
        <v>71</v>
      </c>
      <c r="P62" s="1" t="s">
        <v>71</v>
      </c>
      <c r="Q62" s="1" t="s">
        <v>71</v>
      </c>
      <c r="R62" s="1" t="s">
        <v>71</v>
      </c>
      <c r="S62" s="1" t="s">
        <v>71</v>
      </c>
      <c r="T62" s="1" t="s">
        <v>71</v>
      </c>
      <c r="U62" s="1" t="s">
        <v>71</v>
      </c>
      <c r="V62" s="1" t="s">
        <v>71</v>
      </c>
      <c r="W62" s="1" t="s">
        <v>71</v>
      </c>
      <c r="X62" s="1">
        <v>0</v>
      </c>
      <c r="Y62" s="1">
        <v>0</v>
      </c>
      <c r="Z62" s="1" t="s">
        <v>71</v>
      </c>
      <c r="AA62" s="1" t="s">
        <v>71</v>
      </c>
      <c r="AB62" s="1" t="s">
        <v>71</v>
      </c>
      <c r="AC62" s="1" t="s">
        <v>71</v>
      </c>
      <c r="AD62" s="25" t="s">
        <v>71</v>
      </c>
      <c r="AE62" s="25">
        <v>27</v>
      </c>
      <c r="AF62" s="25" t="s">
        <v>71</v>
      </c>
      <c r="AG62" s="25">
        <v>50</v>
      </c>
      <c r="AH62" s="1" t="s">
        <v>71</v>
      </c>
      <c r="AI62" s="1" t="s">
        <v>71</v>
      </c>
      <c r="AJ62" s="1" t="s">
        <v>71</v>
      </c>
      <c r="AK62" s="1" t="s">
        <v>71</v>
      </c>
      <c r="AL62" s="1" t="s">
        <v>71</v>
      </c>
      <c r="AM62" s="1" t="s">
        <v>71</v>
      </c>
      <c r="AN62" s="1" t="s">
        <v>71</v>
      </c>
      <c r="AO62" s="1" t="s">
        <v>71</v>
      </c>
      <c r="AP62" s="1" t="s">
        <v>71</v>
      </c>
      <c r="AQ62" s="1" t="s">
        <v>71</v>
      </c>
      <c r="AR62" s="1" t="s">
        <v>71</v>
      </c>
      <c r="AS62" s="1" t="s">
        <v>71</v>
      </c>
      <c r="AT62" s="1" t="s">
        <v>71</v>
      </c>
      <c r="AU62" s="1">
        <v>0</v>
      </c>
      <c r="AV62" s="1">
        <v>0</v>
      </c>
      <c r="AW62" s="1">
        <v>0</v>
      </c>
      <c r="AX62" s="1" t="s">
        <v>71</v>
      </c>
      <c r="AY62" s="1" t="s">
        <v>71</v>
      </c>
      <c r="AZ62" s="1">
        <v>0</v>
      </c>
      <c r="BA62" s="1" t="s">
        <v>71</v>
      </c>
      <c r="BB62" s="1" t="s">
        <v>71</v>
      </c>
      <c r="BC62" s="1" t="s">
        <v>71</v>
      </c>
      <c r="BD62" s="1" t="s">
        <v>71</v>
      </c>
      <c r="BE62" s="1" t="s">
        <v>71</v>
      </c>
      <c r="BF62" s="1" t="s">
        <v>71</v>
      </c>
      <c r="BG62" s="1" t="s">
        <v>71</v>
      </c>
      <c r="BH62" s="1" t="s">
        <v>71</v>
      </c>
      <c r="BI62" s="1" t="s">
        <v>71</v>
      </c>
      <c r="BJ62" s="1" t="s">
        <v>71</v>
      </c>
      <c r="BK62" s="1">
        <v>0.44999999999999996</v>
      </c>
      <c r="BL62" s="1">
        <f t="shared" si="1"/>
        <v>44.999999999999993</v>
      </c>
      <c r="BM62" s="1">
        <v>1.5</v>
      </c>
      <c r="BN62" s="1">
        <v>0.3</v>
      </c>
      <c r="BO62" s="1">
        <v>3</v>
      </c>
      <c r="BP62" s="1">
        <v>20</v>
      </c>
      <c r="BQ62" s="1" t="s">
        <v>71</v>
      </c>
      <c r="BR62" s="1" t="s">
        <v>71</v>
      </c>
      <c r="BS62" s="1" t="s">
        <v>71</v>
      </c>
      <c r="BT62" s="1" t="s">
        <v>71</v>
      </c>
      <c r="BU62" s="1" t="s">
        <v>71</v>
      </c>
      <c r="BV62" s="1">
        <v>6</v>
      </c>
      <c r="BW62" s="1">
        <v>6</v>
      </c>
      <c r="BX62" s="1">
        <v>14.56</v>
      </c>
      <c r="BY62" s="1" t="s">
        <v>71</v>
      </c>
      <c r="BZ62" s="3" t="s">
        <v>71</v>
      </c>
      <c r="CA62" s="3" t="s">
        <v>71</v>
      </c>
      <c r="CB62" s="3" t="s">
        <v>71</v>
      </c>
      <c r="CC62" s="3" t="s">
        <v>71</v>
      </c>
      <c r="CD62" s="3" t="s">
        <v>71</v>
      </c>
      <c r="CE62" s="3" t="s">
        <v>71</v>
      </c>
      <c r="CF62" s="1" t="s">
        <v>71</v>
      </c>
      <c r="CG62" s="3" t="s">
        <v>71</v>
      </c>
      <c r="CH62" s="3" t="s">
        <v>71</v>
      </c>
      <c r="CI62" s="3" t="s">
        <v>71</v>
      </c>
      <c r="CJ62" s="3" t="s">
        <v>71</v>
      </c>
      <c r="CK62" s="3" t="s">
        <v>71</v>
      </c>
      <c r="CL62" s="3" t="s">
        <v>71</v>
      </c>
      <c r="CM62" s="3" t="s">
        <v>71</v>
      </c>
      <c r="CN62" s="3" t="s">
        <v>71</v>
      </c>
      <c r="CO62" s="1">
        <v>0</v>
      </c>
      <c r="CP62" s="1" t="s">
        <v>71</v>
      </c>
      <c r="CQ62" s="1">
        <v>0</v>
      </c>
      <c r="CR62" s="1">
        <v>0</v>
      </c>
      <c r="CS62" s="1">
        <v>19</v>
      </c>
      <c r="CT62" s="1" t="s">
        <v>71</v>
      </c>
      <c r="CU62" s="1">
        <v>10.4</v>
      </c>
      <c r="CV62" s="1" t="s">
        <v>71</v>
      </c>
      <c r="CW62" s="1" t="s">
        <v>71</v>
      </c>
      <c r="CX62" t="s">
        <v>71</v>
      </c>
      <c r="CY62" s="1" t="s">
        <v>71</v>
      </c>
      <c r="CZ62" t="s">
        <v>71</v>
      </c>
      <c r="DA62" t="s">
        <v>71</v>
      </c>
      <c r="DB62" t="s">
        <v>71</v>
      </c>
      <c r="DC62" s="26" t="s">
        <v>71</v>
      </c>
      <c r="DD62">
        <f t="shared" si="4"/>
        <v>0</v>
      </c>
      <c r="DE62" t="s">
        <v>71</v>
      </c>
      <c r="DF62" s="26" t="s">
        <v>71</v>
      </c>
    </row>
    <row r="63" spans="1:110" x14ac:dyDescent="0.15">
      <c r="A63" s="1">
        <v>2022</v>
      </c>
      <c r="B63" s="1" t="s">
        <v>48</v>
      </c>
      <c r="C63" s="1">
        <v>4</v>
      </c>
      <c r="D63" s="1">
        <v>1</v>
      </c>
      <c r="E63" s="1" t="s">
        <v>50</v>
      </c>
      <c r="F63" s="1"/>
      <c r="G63" s="1" t="s">
        <v>56</v>
      </c>
      <c r="H63" s="1">
        <v>4</v>
      </c>
      <c r="I63" s="23" t="s">
        <v>50</v>
      </c>
      <c r="J63" s="1" t="s">
        <v>57</v>
      </c>
      <c r="K63" s="24">
        <v>44705</v>
      </c>
      <c r="L63" s="1" t="s">
        <v>71</v>
      </c>
      <c r="M63" s="1" t="s">
        <v>71</v>
      </c>
      <c r="N63" s="24">
        <v>44712</v>
      </c>
      <c r="O63" s="24">
        <v>44721</v>
      </c>
      <c r="P63" s="1" t="s">
        <v>71</v>
      </c>
      <c r="Q63" s="1" t="s">
        <v>71</v>
      </c>
      <c r="R63" s="1" t="s">
        <v>71</v>
      </c>
      <c r="S63" s="1" t="s">
        <v>71</v>
      </c>
      <c r="T63" s="1" t="s">
        <v>71</v>
      </c>
      <c r="U63" s="1" t="s">
        <v>71</v>
      </c>
      <c r="V63" s="1" t="s">
        <v>71</v>
      </c>
      <c r="W63" s="1" t="s">
        <v>71</v>
      </c>
      <c r="X63" s="1" t="s">
        <v>71</v>
      </c>
      <c r="Y63" s="1">
        <v>0</v>
      </c>
      <c r="Z63" s="1" t="s">
        <v>71</v>
      </c>
      <c r="AA63" s="1" t="s">
        <v>71</v>
      </c>
      <c r="AB63" s="1" t="s">
        <v>71</v>
      </c>
      <c r="AC63" s="1" t="s">
        <v>71</v>
      </c>
      <c r="AD63" s="25">
        <v>47</v>
      </c>
      <c r="AE63" s="25" t="s">
        <v>71</v>
      </c>
      <c r="AF63" s="25">
        <v>99</v>
      </c>
      <c r="AG63" s="25" t="s">
        <v>71</v>
      </c>
      <c r="AH63" s="1">
        <v>109</v>
      </c>
      <c r="AI63" s="1" t="s">
        <v>71</v>
      </c>
      <c r="AJ63" s="1">
        <v>2.2999999999999998</v>
      </c>
      <c r="AK63" s="1">
        <v>0</v>
      </c>
      <c r="AL63" s="1">
        <v>0</v>
      </c>
      <c r="AM63" s="1">
        <v>0</v>
      </c>
      <c r="AN63" s="1">
        <v>0.04</v>
      </c>
      <c r="AO63" s="1">
        <v>0.02</v>
      </c>
      <c r="AP63" s="1">
        <v>8.0000000000000004E-4</v>
      </c>
      <c r="AQ63" s="1">
        <v>13</v>
      </c>
      <c r="AR63" s="1">
        <v>0</v>
      </c>
      <c r="AS63" s="1">
        <v>0</v>
      </c>
      <c r="AT63" s="1">
        <v>0</v>
      </c>
      <c r="AU63" s="1" t="s">
        <v>71</v>
      </c>
      <c r="AV63" s="1" t="s">
        <v>71</v>
      </c>
      <c r="AW63" s="1" t="s">
        <v>71</v>
      </c>
      <c r="AX63" s="1">
        <v>0</v>
      </c>
      <c r="AY63" s="1">
        <v>0</v>
      </c>
      <c r="AZ63" s="1" t="s">
        <v>71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 t="s">
        <v>71</v>
      </c>
      <c r="BI63" s="1" t="s">
        <v>71</v>
      </c>
      <c r="BJ63" s="1" t="s">
        <v>71</v>
      </c>
      <c r="BK63" s="1">
        <v>1E-4</v>
      </c>
      <c r="BL63" s="1">
        <f t="shared" si="1"/>
        <v>0.01</v>
      </c>
      <c r="BM63" s="1">
        <v>0.1</v>
      </c>
      <c r="BN63" s="1">
        <v>1E-3</v>
      </c>
      <c r="BO63" s="1">
        <v>1</v>
      </c>
      <c r="BP63" s="1">
        <v>0</v>
      </c>
      <c r="BQ63" s="1" t="s">
        <v>71</v>
      </c>
      <c r="BR63" s="1" t="s">
        <v>71</v>
      </c>
      <c r="BS63" s="1" t="s">
        <v>71</v>
      </c>
      <c r="BT63" s="1" t="s">
        <v>71</v>
      </c>
      <c r="BU63" s="1">
        <v>8</v>
      </c>
      <c r="BV63" s="1" t="s">
        <v>71</v>
      </c>
      <c r="BW63" s="1" t="s">
        <v>71</v>
      </c>
      <c r="BX63" s="1" t="s">
        <v>71</v>
      </c>
      <c r="BY63" s="1">
        <v>27.57</v>
      </c>
      <c r="BZ63" s="3">
        <v>4</v>
      </c>
      <c r="CA63" s="3" t="s">
        <v>71</v>
      </c>
      <c r="CB63" s="3">
        <f t="shared" si="9"/>
        <v>5.5555555555555554</v>
      </c>
      <c r="CC63" s="3" t="s">
        <v>71</v>
      </c>
      <c r="CD63" s="1">
        <v>1</v>
      </c>
      <c r="CE63" s="1">
        <v>1</v>
      </c>
      <c r="CF63" s="1">
        <f>CE63</f>
        <v>1</v>
      </c>
      <c r="CG63" s="3" t="s">
        <v>71</v>
      </c>
      <c r="CH63" s="3" t="s">
        <v>71</v>
      </c>
      <c r="CI63" s="3" t="s">
        <v>71</v>
      </c>
      <c r="CJ63" s="3" t="s">
        <v>71</v>
      </c>
      <c r="CK63" s="3" t="s">
        <v>71</v>
      </c>
      <c r="CL63" s="3" t="s">
        <v>71</v>
      </c>
      <c r="CM63" s="3" t="s">
        <v>71</v>
      </c>
      <c r="CN63" s="3" t="s">
        <v>71</v>
      </c>
      <c r="CO63" s="1">
        <v>46</v>
      </c>
      <c r="CP63" s="1" t="s">
        <v>71</v>
      </c>
      <c r="CQ63" s="1">
        <v>40.15</v>
      </c>
      <c r="CR63" s="1" t="s">
        <v>71</v>
      </c>
      <c r="CS63" s="1" t="s">
        <v>71</v>
      </c>
      <c r="CT63" s="1">
        <v>10.7</v>
      </c>
      <c r="CU63" s="1" t="s">
        <v>71</v>
      </c>
      <c r="CV63" s="1" t="s">
        <v>71</v>
      </c>
      <c r="CW63">
        <v>23.66</v>
      </c>
      <c r="CX63" s="1" t="s">
        <v>71</v>
      </c>
      <c r="CY63" s="1">
        <v>11.2</v>
      </c>
      <c r="CZ63" s="1" t="s">
        <v>71</v>
      </c>
      <c r="DA63">
        <f t="shared" ref="DA63:DA68" si="21">ROUND((CY63*CB63*10),0)</f>
        <v>622</v>
      </c>
      <c r="DB63" s="1" t="s">
        <v>71</v>
      </c>
      <c r="DC63" s="26">
        <v>11.2</v>
      </c>
      <c r="DD63">
        <f t="shared" si="4"/>
        <v>622</v>
      </c>
      <c r="DE63" s="1" t="s">
        <v>71</v>
      </c>
      <c r="DF63" s="1" t="s">
        <v>71</v>
      </c>
    </row>
    <row r="64" spans="1:110" x14ac:dyDescent="0.15">
      <c r="A64" s="1">
        <v>2022</v>
      </c>
      <c r="B64" s="1" t="s">
        <v>48</v>
      </c>
      <c r="C64" s="1">
        <v>4</v>
      </c>
      <c r="D64" s="1">
        <v>2</v>
      </c>
      <c r="E64" s="1" t="s">
        <v>51</v>
      </c>
      <c r="F64" s="1"/>
      <c r="G64" s="1" t="s">
        <v>56</v>
      </c>
      <c r="H64" s="1">
        <v>4</v>
      </c>
      <c r="I64" s="23" t="s">
        <v>51</v>
      </c>
      <c r="J64" s="1" t="s">
        <v>57</v>
      </c>
      <c r="K64" s="24">
        <v>44705</v>
      </c>
      <c r="L64" s="1" t="s">
        <v>71</v>
      </c>
      <c r="M64" s="1" t="s">
        <v>71</v>
      </c>
      <c r="N64" s="24">
        <v>44715</v>
      </c>
      <c r="O64" s="24">
        <v>44724</v>
      </c>
      <c r="P64" s="1" t="s">
        <v>71</v>
      </c>
      <c r="Q64" s="1" t="s">
        <v>71</v>
      </c>
      <c r="R64" s="1" t="s">
        <v>71</v>
      </c>
      <c r="S64" s="1" t="s">
        <v>71</v>
      </c>
      <c r="T64" s="1" t="s">
        <v>71</v>
      </c>
      <c r="U64" s="1" t="s">
        <v>71</v>
      </c>
      <c r="V64" s="1" t="s">
        <v>71</v>
      </c>
      <c r="W64" s="1" t="s">
        <v>71</v>
      </c>
      <c r="X64" s="1" t="s">
        <v>71</v>
      </c>
      <c r="Y64" s="1">
        <v>0</v>
      </c>
      <c r="Z64" s="1" t="s">
        <v>71</v>
      </c>
      <c r="AA64" s="1" t="s">
        <v>71</v>
      </c>
      <c r="AB64" s="1" t="s">
        <v>71</v>
      </c>
      <c r="AC64" s="1" t="s">
        <v>71</v>
      </c>
      <c r="AD64" s="25">
        <v>41</v>
      </c>
      <c r="AE64" s="25" t="s">
        <v>71</v>
      </c>
      <c r="AF64" s="25">
        <v>87</v>
      </c>
      <c r="AG64" s="25" t="s">
        <v>71</v>
      </c>
      <c r="AH64" s="1">
        <v>103</v>
      </c>
      <c r="AI64" s="1" t="s">
        <v>71</v>
      </c>
      <c r="AJ64" s="1">
        <v>2</v>
      </c>
      <c r="AK64" s="1">
        <v>0</v>
      </c>
      <c r="AL64" s="1">
        <v>0</v>
      </c>
      <c r="AM64" s="1">
        <v>0</v>
      </c>
      <c r="AN64" s="1">
        <v>0.05</v>
      </c>
      <c r="AO64" s="1">
        <v>0.05</v>
      </c>
      <c r="AP64" s="1">
        <v>2.5000000000000005E-3</v>
      </c>
      <c r="AQ64" s="1">
        <v>18</v>
      </c>
      <c r="AR64" s="1">
        <v>0</v>
      </c>
      <c r="AS64" s="1">
        <v>0</v>
      </c>
      <c r="AT64" s="1">
        <v>0</v>
      </c>
      <c r="AU64" s="1" t="s">
        <v>71</v>
      </c>
      <c r="AV64" s="1" t="s">
        <v>71</v>
      </c>
      <c r="AW64" s="1" t="s">
        <v>71</v>
      </c>
      <c r="AX64" s="1">
        <v>0</v>
      </c>
      <c r="AY64" s="1">
        <v>0</v>
      </c>
      <c r="AZ64" s="1" t="s">
        <v>71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 t="s">
        <v>71</v>
      </c>
      <c r="BI64" s="1" t="s">
        <v>71</v>
      </c>
      <c r="BJ64" s="1" t="s">
        <v>71</v>
      </c>
      <c r="BK64" s="1">
        <v>2.0000000000000001E-4</v>
      </c>
      <c r="BL64" s="1">
        <f t="shared" si="1"/>
        <v>0.02</v>
      </c>
      <c r="BM64" s="1">
        <v>0.1</v>
      </c>
      <c r="BN64" s="1">
        <v>2E-3</v>
      </c>
      <c r="BO64" s="1">
        <v>1</v>
      </c>
      <c r="BP64" s="1">
        <v>0</v>
      </c>
      <c r="BQ64" s="1" t="s">
        <v>71</v>
      </c>
      <c r="BR64" s="1" t="s">
        <v>71</v>
      </c>
      <c r="BS64" s="1" t="s">
        <v>71</v>
      </c>
      <c r="BT64" s="1" t="s">
        <v>71</v>
      </c>
      <c r="BU64" s="1">
        <v>6</v>
      </c>
      <c r="BV64" s="1" t="s">
        <v>71</v>
      </c>
      <c r="BW64" s="1" t="s">
        <v>71</v>
      </c>
      <c r="BX64" s="1" t="s">
        <v>71</v>
      </c>
      <c r="BY64" s="1">
        <v>12.41</v>
      </c>
      <c r="BZ64" s="3">
        <v>3.9</v>
      </c>
      <c r="CA64" s="3" t="s">
        <v>71</v>
      </c>
      <c r="CB64" s="3">
        <f t="shared" si="9"/>
        <v>5.4166666666666679</v>
      </c>
      <c r="CC64" s="3" t="s">
        <v>71</v>
      </c>
      <c r="CD64" s="1">
        <v>1</v>
      </c>
      <c r="CE64" s="1">
        <v>1</v>
      </c>
      <c r="CF64" s="1">
        <f t="shared" ref="CF64:CF77" si="22">CE64</f>
        <v>1</v>
      </c>
      <c r="CG64" s="3" t="s">
        <v>71</v>
      </c>
      <c r="CH64" s="3" t="s">
        <v>71</v>
      </c>
      <c r="CI64" s="3" t="s">
        <v>71</v>
      </c>
      <c r="CJ64" s="3" t="s">
        <v>71</v>
      </c>
      <c r="CK64" s="3" t="s">
        <v>71</v>
      </c>
      <c r="CL64" s="3" t="s">
        <v>71</v>
      </c>
      <c r="CM64" s="3" t="s">
        <v>71</v>
      </c>
      <c r="CN64" s="3" t="s">
        <v>71</v>
      </c>
      <c r="CO64" s="1">
        <v>45</v>
      </c>
      <c r="CP64" s="1" t="s">
        <v>71</v>
      </c>
      <c r="CQ64" s="1">
        <v>29.25</v>
      </c>
      <c r="CR64" s="1" t="s">
        <v>71</v>
      </c>
      <c r="CS64" s="1" t="s">
        <v>71</v>
      </c>
      <c r="CT64" s="1">
        <v>10.9</v>
      </c>
      <c r="CU64" s="1" t="s">
        <v>71</v>
      </c>
      <c r="CV64" s="1" t="s">
        <v>71</v>
      </c>
      <c r="CW64">
        <v>14.65</v>
      </c>
      <c r="CX64" s="1" t="s">
        <v>71</v>
      </c>
      <c r="CY64" s="1">
        <v>10.199999999999999</v>
      </c>
      <c r="CZ64" s="1" t="s">
        <v>71</v>
      </c>
      <c r="DA64">
        <f t="shared" si="21"/>
        <v>553</v>
      </c>
      <c r="DB64" s="1" t="s">
        <v>71</v>
      </c>
      <c r="DC64" s="26">
        <v>10.199999999999999</v>
      </c>
      <c r="DD64">
        <f t="shared" si="4"/>
        <v>553</v>
      </c>
      <c r="DE64" s="1" t="s">
        <v>71</v>
      </c>
      <c r="DF64" s="1" t="s">
        <v>71</v>
      </c>
    </row>
    <row r="65" spans="1:110" x14ac:dyDescent="0.15">
      <c r="A65" s="1">
        <v>2022</v>
      </c>
      <c r="B65" s="1" t="s">
        <v>48</v>
      </c>
      <c r="C65" s="1">
        <v>4</v>
      </c>
      <c r="D65" s="1">
        <v>3</v>
      </c>
      <c r="E65" s="1" t="s">
        <v>52</v>
      </c>
      <c r="F65" s="1"/>
      <c r="G65" s="1" t="s">
        <v>56</v>
      </c>
      <c r="H65" s="1">
        <v>4</v>
      </c>
      <c r="I65" s="23" t="s">
        <v>52</v>
      </c>
      <c r="J65" s="1" t="s">
        <v>57</v>
      </c>
      <c r="K65" s="24">
        <v>44693</v>
      </c>
      <c r="L65" s="1" t="s">
        <v>71</v>
      </c>
      <c r="M65" s="1" t="s">
        <v>71</v>
      </c>
      <c r="N65" s="24">
        <v>44715</v>
      </c>
      <c r="O65" s="24">
        <v>44732</v>
      </c>
      <c r="P65" s="1" t="s">
        <v>71</v>
      </c>
      <c r="Q65" s="1" t="s">
        <v>71</v>
      </c>
      <c r="R65" s="1" t="s">
        <v>71</v>
      </c>
      <c r="S65" s="1" t="s">
        <v>71</v>
      </c>
      <c r="T65" s="1" t="s">
        <v>71</v>
      </c>
      <c r="U65" s="1" t="s">
        <v>71</v>
      </c>
      <c r="V65" s="1" t="s">
        <v>71</v>
      </c>
      <c r="W65" s="1" t="s">
        <v>71</v>
      </c>
      <c r="X65" s="1" t="s">
        <v>71</v>
      </c>
      <c r="Y65" s="1">
        <v>0</v>
      </c>
      <c r="Z65" s="1" t="s">
        <v>71</v>
      </c>
      <c r="AA65" s="1" t="s">
        <v>71</v>
      </c>
      <c r="AB65" s="1" t="s">
        <v>71</v>
      </c>
      <c r="AC65" s="1" t="s">
        <v>71</v>
      </c>
      <c r="AD65" s="25">
        <v>38</v>
      </c>
      <c r="AE65" s="25" t="s">
        <v>71</v>
      </c>
      <c r="AF65" s="25">
        <v>63</v>
      </c>
      <c r="AG65" s="25" t="s">
        <v>71</v>
      </c>
      <c r="AH65" s="1">
        <v>72</v>
      </c>
      <c r="AI65" s="1" t="s">
        <v>71</v>
      </c>
      <c r="AJ65" s="1">
        <v>1</v>
      </c>
      <c r="AK65" s="1">
        <v>0</v>
      </c>
      <c r="AL65" s="1">
        <v>0</v>
      </c>
      <c r="AM65" s="1">
        <v>0</v>
      </c>
      <c r="AN65" s="1">
        <v>0.06</v>
      </c>
      <c r="AO65" s="1">
        <v>0.05</v>
      </c>
      <c r="AP65" s="1">
        <v>3.0000000000000001E-3</v>
      </c>
      <c r="AQ65" s="1">
        <v>24</v>
      </c>
      <c r="AR65" s="1">
        <v>0</v>
      </c>
      <c r="AS65" s="1">
        <v>0</v>
      </c>
      <c r="AT65" s="1">
        <v>0</v>
      </c>
      <c r="AU65" s="1" t="s">
        <v>71</v>
      </c>
      <c r="AV65" s="1" t="s">
        <v>71</v>
      </c>
      <c r="AW65" s="1" t="s">
        <v>71</v>
      </c>
      <c r="AX65" s="1">
        <v>0</v>
      </c>
      <c r="AY65" s="1">
        <v>0</v>
      </c>
      <c r="AZ65" s="1" t="s">
        <v>71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 t="s">
        <v>71</v>
      </c>
      <c r="BI65" s="1" t="s">
        <v>71</v>
      </c>
      <c r="BJ65" s="1" t="s">
        <v>71</v>
      </c>
      <c r="BK65" s="1">
        <v>1.1999999999999999E-3</v>
      </c>
      <c r="BL65" s="1">
        <f t="shared" si="1"/>
        <v>0.12</v>
      </c>
      <c r="BM65" s="1">
        <v>0.6</v>
      </c>
      <c r="BN65" s="1">
        <v>2E-3</v>
      </c>
      <c r="BO65" s="1">
        <v>1</v>
      </c>
      <c r="BP65" s="1">
        <v>0</v>
      </c>
      <c r="BQ65" s="1" t="s">
        <v>71</v>
      </c>
      <c r="BR65" s="1" t="s">
        <v>71</v>
      </c>
      <c r="BS65" s="1" t="s">
        <v>71</v>
      </c>
      <c r="BT65" s="1" t="s">
        <v>71</v>
      </c>
      <c r="BU65" s="1">
        <v>8</v>
      </c>
      <c r="BV65" s="1" t="s">
        <v>71</v>
      </c>
      <c r="BW65" s="1" t="s">
        <v>71</v>
      </c>
      <c r="BX65" s="1" t="s">
        <v>71</v>
      </c>
      <c r="BY65" s="1">
        <v>15.06</v>
      </c>
      <c r="BZ65" s="3">
        <v>3.9</v>
      </c>
      <c r="CA65" s="3" t="s">
        <v>71</v>
      </c>
      <c r="CB65" s="3">
        <f t="shared" si="9"/>
        <v>5.4166666666666679</v>
      </c>
      <c r="CC65" s="3" t="s">
        <v>71</v>
      </c>
      <c r="CD65" s="1">
        <v>1</v>
      </c>
      <c r="CE65" s="1">
        <v>1</v>
      </c>
      <c r="CF65" s="1">
        <f t="shared" si="22"/>
        <v>1</v>
      </c>
      <c r="CG65" s="3" t="s">
        <v>71</v>
      </c>
      <c r="CH65" s="3" t="s">
        <v>71</v>
      </c>
      <c r="CI65" s="3" t="s">
        <v>71</v>
      </c>
      <c r="CJ65" s="3" t="s">
        <v>71</v>
      </c>
      <c r="CK65" s="3" t="s">
        <v>71</v>
      </c>
      <c r="CL65" s="3" t="s">
        <v>71</v>
      </c>
      <c r="CM65" s="3" t="s">
        <v>71</v>
      </c>
      <c r="CN65" s="3" t="s">
        <v>71</v>
      </c>
      <c r="CO65" s="1">
        <v>44</v>
      </c>
      <c r="CP65" s="1" t="s">
        <v>71</v>
      </c>
      <c r="CQ65" s="1">
        <v>27.95</v>
      </c>
      <c r="CR65" s="1" t="s">
        <v>71</v>
      </c>
      <c r="CS65" s="1" t="s">
        <v>71</v>
      </c>
      <c r="CT65" s="1">
        <v>10.8</v>
      </c>
      <c r="CU65" s="1" t="s">
        <v>71</v>
      </c>
      <c r="CV65" s="1" t="s">
        <v>71</v>
      </c>
      <c r="CW65">
        <v>19.309999999999999</v>
      </c>
      <c r="CX65" s="1" t="s">
        <v>71</v>
      </c>
      <c r="CY65" s="1">
        <v>11.8</v>
      </c>
      <c r="CZ65" s="1" t="s">
        <v>71</v>
      </c>
      <c r="DA65">
        <f t="shared" si="21"/>
        <v>639</v>
      </c>
      <c r="DB65" s="1" t="s">
        <v>71</v>
      </c>
      <c r="DC65" s="26">
        <v>11.8</v>
      </c>
      <c r="DD65">
        <f t="shared" si="4"/>
        <v>639</v>
      </c>
      <c r="DE65" s="1" t="s">
        <v>71</v>
      </c>
      <c r="DF65" s="1" t="s">
        <v>71</v>
      </c>
    </row>
    <row r="66" spans="1:110" x14ac:dyDescent="0.15">
      <c r="A66" s="1">
        <v>2022</v>
      </c>
      <c r="B66" s="1" t="s">
        <v>48</v>
      </c>
      <c r="C66" s="1">
        <v>4</v>
      </c>
      <c r="D66" s="1">
        <v>4</v>
      </c>
      <c r="E66" s="1" t="s">
        <v>50</v>
      </c>
      <c r="F66" s="1"/>
      <c r="G66" s="1" t="s">
        <v>56</v>
      </c>
      <c r="H66" s="1">
        <v>4</v>
      </c>
      <c r="I66" s="23" t="s">
        <v>50</v>
      </c>
      <c r="J66" s="1" t="s">
        <v>58</v>
      </c>
      <c r="K66" s="24">
        <v>44705</v>
      </c>
      <c r="L66" s="1" t="s">
        <v>71</v>
      </c>
      <c r="M66" s="1" t="s">
        <v>71</v>
      </c>
      <c r="N66" s="24">
        <v>44712</v>
      </c>
      <c r="O66" s="24">
        <v>44720</v>
      </c>
      <c r="P66" s="1" t="s">
        <v>71</v>
      </c>
      <c r="Q66" s="1" t="s">
        <v>71</v>
      </c>
      <c r="R66" s="1" t="s">
        <v>71</v>
      </c>
      <c r="S66" s="1" t="s">
        <v>71</v>
      </c>
      <c r="T66" s="1" t="s">
        <v>71</v>
      </c>
      <c r="U66" s="1" t="s">
        <v>71</v>
      </c>
      <c r="V66" s="1" t="s">
        <v>71</v>
      </c>
      <c r="W66" s="1" t="s">
        <v>71</v>
      </c>
      <c r="X66" s="1" t="s">
        <v>71</v>
      </c>
      <c r="Y66" s="1">
        <v>0</v>
      </c>
      <c r="Z66" s="1" t="s">
        <v>71</v>
      </c>
      <c r="AA66" s="1" t="s">
        <v>71</v>
      </c>
      <c r="AB66" s="1" t="s">
        <v>71</v>
      </c>
      <c r="AC66" s="1" t="s">
        <v>71</v>
      </c>
      <c r="AD66" s="25">
        <v>53</v>
      </c>
      <c r="AE66" s="25" t="s">
        <v>71</v>
      </c>
      <c r="AF66" s="25" t="s">
        <v>71</v>
      </c>
      <c r="AG66" s="25">
        <v>110</v>
      </c>
      <c r="AH66" s="1">
        <v>112</v>
      </c>
      <c r="AI66" s="1" t="s">
        <v>71</v>
      </c>
      <c r="AJ66" s="1">
        <v>2.2999999999999998</v>
      </c>
      <c r="AK66" s="1">
        <v>0</v>
      </c>
      <c r="AL66" s="1">
        <v>0</v>
      </c>
      <c r="AM66" s="1">
        <v>0</v>
      </c>
      <c r="AN66" s="1">
        <v>0.03</v>
      </c>
      <c r="AO66" s="1">
        <v>0.03</v>
      </c>
      <c r="AP66" s="1">
        <v>8.9999999999999998E-4</v>
      </c>
      <c r="AQ66" s="1">
        <v>9</v>
      </c>
      <c r="AR66" s="1">
        <v>0</v>
      </c>
      <c r="AS66" s="1">
        <v>0</v>
      </c>
      <c r="AT66" s="1">
        <v>0</v>
      </c>
      <c r="AU66" s="1" t="s">
        <v>71</v>
      </c>
      <c r="AV66" s="1" t="s">
        <v>71</v>
      </c>
      <c r="AW66" s="1" t="s">
        <v>71</v>
      </c>
      <c r="AX66" s="1">
        <v>0</v>
      </c>
      <c r="AY66" s="1">
        <v>0</v>
      </c>
      <c r="AZ66" s="1" t="s">
        <v>71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 t="s">
        <v>71</v>
      </c>
      <c r="BI66" s="1" t="s">
        <v>71</v>
      </c>
      <c r="BJ66" s="1" t="s">
        <v>71</v>
      </c>
      <c r="BK66" s="1">
        <v>2.0000000000000001E-4</v>
      </c>
      <c r="BL66" s="1">
        <f t="shared" si="1"/>
        <v>0.02</v>
      </c>
      <c r="BM66" s="1">
        <v>0.1</v>
      </c>
      <c r="BN66" s="1">
        <v>2E-3</v>
      </c>
      <c r="BO66" s="1">
        <v>1</v>
      </c>
      <c r="BP66" s="1">
        <v>15</v>
      </c>
      <c r="BQ66" s="1" t="s">
        <v>71</v>
      </c>
      <c r="BR66" s="1" t="s">
        <v>71</v>
      </c>
      <c r="BS66" s="1" t="s">
        <v>71</v>
      </c>
      <c r="BT66" s="1" t="s">
        <v>71</v>
      </c>
      <c r="BU66" s="1">
        <v>6</v>
      </c>
      <c r="BV66" s="1" t="s">
        <v>71</v>
      </c>
      <c r="BW66" s="1" t="s">
        <v>71</v>
      </c>
      <c r="BX66" s="1" t="s">
        <v>71</v>
      </c>
      <c r="BY66" s="1">
        <v>17.690000000000001</v>
      </c>
      <c r="BZ66" s="3">
        <v>4.5</v>
      </c>
      <c r="CA66" s="3" t="s">
        <v>71</v>
      </c>
      <c r="CB66" s="3">
        <f t="shared" si="9"/>
        <v>6.2500000000000009</v>
      </c>
      <c r="CC66" s="3" t="s">
        <v>71</v>
      </c>
      <c r="CD66" s="1">
        <v>1</v>
      </c>
      <c r="CE66" s="1">
        <v>1</v>
      </c>
      <c r="CF66" s="1">
        <f t="shared" si="22"/>
        <v>1</v>
      </c>
      <c r="CG66" s="3" t="s">
        <v>71</v>
      </c>
      <c r="CH66" s="3" t="s">
        <v>71</v>
      </c>
      <c r="CI66" s="3" t="s">
        <v>71</v>
      </c>
      <c r="CJ66" s="3" t="s">
        <v>71</v>
      </c>
      <c r="CK66" s="3" t="s">
        <v>71</v>
      </c>
      <c r="CL66" s="3" t="s">
        <v>71</v>
      </c>
      <c r="CM66" s="3" t="s">
        <v>71</v>
      </c>
      <c r="CN66" s="3" t="s">
        <v>71</v>
      </c>
      <c r="CO66" s="1">
        <v>49</v>
      </c>
      <c r="CP66" s="1" t="s">
        <v>71</v>
      </c>
      <c r="CQ66" s="1">
        <v>32.9</v>
      </c>
      <c r="CR66" s="1" t="s">
        <v>71</v>
      </c>
      <c r="CS66" s="1" t="s">
        <v>71</v>
      </c>
      <c r="CT66" s="1">
        <v>10.6</v>
      </c>
      <c r="CU66" s="1" t="s">
        <v>71</v>
      </c>
      <c r="CV66" s="1" t="s">
        <v>71</v>
      </c>
      <c r="CW66">
        <v>17.46</v>
      </c>
      <c r="CX66" s="1" t="s">
        <v>71</v>
      </c>
      <c r="CY66" s="1">
        <v>11.1</v>
      </c>
      <c r="CZ66" s="1" t="s">
        <v>71</v>
      </c>
      <c r="DA66">
        <f t="shared" si="21"/>
        <v>694</v>
      </c>
      <c r="DB66" s="1" t="s">
        <v>71</v>
      </c>
      <c r="DC66" s="26">
        <v>11.1</v>
      </c>
      <c r="DD66">
        <f t="shared" si="4"/>
        <v>694</v>
      </c>
      <c r="DE66" s="1" t="s">
        <v>71</v>
      </c>
      <c r="DF66" s="1" t="s">
        <v>71</v>
      </c>
    </row>
    <row r="67" spans="1:110" x14ac:dyDescent="0.15">
      <c r="A67" s="1">
        <v>2022</v>
      </c>
      <c r="B67" s="1" t="s">
        <v>48</v>
      </c>
      <c r="C67" s="1">
        <v>4</v>
      </c>
      <c r="D67" s="1">
        <v>5</v>
      </c>
      <c r="E67" s="1" t="s">
        <v>51</v>
      </c>
      <c r="F67" s="1"/>
      <c r="G67" s="1" t="s">
        <v>56</v>
      </c>
      <c r="H67" s="1">
        <v>4</v>
      </c>
      <c r="I67" s="23" t="s">
        <v>51</v>
      </c>
      <c r="J67" s="1" t="s">
        <v>58</v>
      </c>
      <c r="K67" s="24">
        <v>44705</v>
      </c>
      <c r="L67" s="1" t="s">
        <v>71</v>
      </c>
      <c r="M67" s="1" t="s">
        <v>71</v>
      </c>
      <c r="N67" s="24">
        <v>44715</v>
      </c>
      <c r="O67" s="24">
        <v>44726</v>
      </c>
      <c r="P67" s="1" t="s">
        <v>71</v>
      </c>
      <c r="Q67" s="1" t="s">
        <v>71</v>
      </c>
      <c r="R67" s="1" t="s">
        <v>71</v>
      </c>
      <c r="S67" s="1" t="s">
        <v>71</v>
      </c>
      <c r="T67" s="1" t="s">
        <v>71</v>
      </c>
      <c r="U67" s="1" t="s">
        <v>71</v>
      </c>
      <c r="V67" s="1" t="s">
        <v>71</v>
      </c>
      <c r="W67" s="1" t="s">
        <v>71</v>
      </c>
      <c r="X67" s="1" t="s">
        <v>71</v>
      </c>
      <c r="Y67" s="1">
        <v>0</v>
      </c>
      <c r="Z67" s="1" t="s">
        <v>71</v>
      </c>
      <c r="AA67" s="1" t="s">
        <v>71</v>
      </c>
      <c r="AB67" s="1" t="s">
        <v>71</v>
      </c>
      <c r="AC67" s="1" t="s">
        <v>71</v>
      </c>
      <c r="AD67" s="25">
        <v>53</v>
      </c>
      <c r="AE67" s="25" t="s">
        <v>71</v>
      </c>
      <c r="AF67" s="25">
        <v>97</v>
      </c>
      <c r="AG67" s="25" t="s">
        <v>71</v>
      </c>
      <c r="AH67" s="1">
        <v>118</v>
      </c>
      <c r="AI67" s="1" t="s">
        <v>71</v>
      </c>
      <c r="AJ67" s="1">
        <v>2.7</v>
      </c>
      <c r="AK67" s="1">
        <v>0</v>
      </c>
      <c r="AL67" s="1">
        <v>0</v>
      </c>
      <c r="AM67" s="1">
        <v>0</v>
      </c>
      <c r="AN67" s="1">
        <v>0.04</v>
      </c>
      <c r="AO67" s="1">
        <v>0.02</v>
      </c>
      <c r="AP67" s="1">
        <v>8.0000000000000004E-4</v>
      </c>
      <c r="AQ67" s="1">
        <v>11</v>
      </c>
      <c r="AR67" s="1">
        <v>0</v>
      </c>
      <c r="AS67" s="1">
        <v>0</v>
      </c>
      <c r="AT67" s="1">
        <v>0</v>
      </c>
      <c r="AU67" s="1" t="s">
        <v>71</v>
      </c>
      <c r="AV67" s="1" t="s">
        <v>71</v>
      </c>
      <c r="AW67" s="1" t="s">
        <v>71</v>
      </c>
      <c r="AX67" s="1">
        <v>0</v>
      </c>
      <c r="AY67" s="1">
        <v>0</v>
      </c>
      <c r="AZ67" s="1" t="s">
        <v>71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 t="s">
        <v>71</v>
      </c>
      <c r="BI67" s="1" t="s">
        <v>71</v>
      </c>
      <c r="BJ67" s="1" t="s">
        <v>71</v>
      </c>
      <c r="BK67" s="1">
        <v>1.6000000000000001E-3</v>
      </c>
      <c r="BL67" s="1">
        <f t="shared" si="1"/>
        <v>0.16</v>
      </c>
      <c r="BM67" s="1">
        <v>0.8</v>
      </c>
      <c r="BN67" s="1">
        <v>2E-3</v>
      </c>
      <c r="BO67" s="1">
        <v>1</v>
      </c>
      <c r="BP67" s="1">
        <v>0</v>
      </c>
      <c r="BQ67" s="1" t="s">
        <v>71</v>
      </c>
      <c r="BR67" s="1" t="s">
        <v>71</v>
      </c>
      <c r="BS67" s="1" t="s">
        <v>71</v>
      </c>
      <c r="BT67" s="1" t="s">
        <v>71</v>
      </c>
      <c r="BU67" s="1">
        <v>9</v>
      </c>
      <c r="BV67" s="1" t="s">
        <v>71</v>
      </c>
      <c r="BW67" s="1" t="s">
        <v>71</v>
      </c>
      <c r="BX67" s="1" t="s">
        <v>71</v>
      </c>
      <c r="BY67" s="1">
        <v>27.56</v>
      </c>
      <c r="BZ67" s="3">
        <v>4.8</v>
      </c>
      <c r="CA67" s="3" t="s">
        <v>71</v>
      </c>
      <c r="CB67" s="3">
        <f t="shared" si="9"/>
        <v>6.6666666666666679</v>
      </c>
      <c r="CC67" s="3" t="s">
        <v>71</v>
      </c>
      <c r="CD67" s="1">
        <v>1</v>
      </c>
      <c r="CE67" s="1">
        <v>1</v>
      </c>
      <c r="CF67" s="1">
        <f t="shared" si="22"/>
        <v>1</v>
      </c>
      <c r="CG67" s="3" t="s">
        <v>71</v>
      </c>
      <c r="CH67" s="3" t="s">
        <v>71</v>
      </c>
      <c r="CI67" s="3" t="s">
        <v>71</v>
      </c>
      <c r="CJ67" s="3" t="s">
        <v>71</v>
      </c>
      <c r="CK67" s="3" t="s">
        <v>71</v>
      </c>
      <c r="CL67" s="3" t="s">
        <v>71</v>
      </c>
      <c r="CM67" s="3" t="s">
        <v>71</v>
      </c>
      <c r="CN67" s="3" t="s">
        <v>71</v>
      </c>
      <c r="CO67" s="1">
        <v>51</v>
      </c>
      <c r="CP67" s="1" t="s">
        <v>71</v>
      </c>
      <c r="CQ67" s="1">
        <v>29.15</v>
      </c>
      <c r="CR67" s="1" t="s">
        <v>71</v>
      </c>
      <c r="CS67" s="1" t="s">
        <v>71</v>
      </c>
      <c r="CT67" s="1">
        <v>10.8</v>
      </c>
      <c r="CU67" s="1" t="s">
        <v>71</v>
      </c>
      <c r="CV67" s="1" t="s">
        <v>71</v>
      </c>
      <c r="CW67">
        <v>17.399999999999999</v>
      </c>
      <c r="CX67" s="1" t="s">
        <v>71</v>
      </c>
      <c r="CY67" s="1">
        <v>10.8</v>
      </c>
      <c r="CZ67" s="1" t="s">
        <v>71</v>
      </c>
      <c r="DA67">
        <f t="shared" si="21"/>
        <v>720</v>
      </c>
      <c r="DB67" s="1" t="s">
        <v>71</v>
      </c>
      <c r="DC67" s="26">
        <v>10.8</v>
      </c>
      <c r="DD67">
        <f t="shared" si="4"/>
        <v>720</v>
      </c>
      <c r="DE67" s="1" t="s">
        <v>71</v>
      </c>
      <c r="DF67" s="1" t="s">
        <v>71</v>
      </c>
    </row>
    <row r="68" spans="1:110" x14ac:dyDescent="0.15">
      <c r="A68" s="1">
        <v>2022</v>
      </c>
      <c r="B68" s="1" t="s">
        <v>48</v>
      </c>
      <c r="C68" s="1">
        <v>4</v>
      </c>
      <c r="D68" s="1">
        <v>6</v>
      </c>
      <c r="E68" s="1" t="s">
        <v>52</v>
      </c>
      <c r="F68" s="1"/>
      <c r="G68" s="1" t="s">
        <v>56</v>
      </c>
      <c r="H68" s="1">
        <v>4</v>
      </c>
      <c r="I68" s="23" t="s">
        <v>52</v>
      </c>
      <c r="J68" s="1" t="s">
        <v>58</v>
      </c>
      <c r="K68" s="24">
        <v>44713</v>
      </c>
      <c r="L68" s="1" t="s">
        <v>71</v>
      </c>
      <c r="M68" s="1" t="s">
        <v>71</v>
      </c>
      <c r="N68" s="24">
        <v>44715</v>
      </c>
      <c r="O68" s="24">
        <v>44731</v>
      </c>
      <c r="P68" s="1" t="s">
        <v>71</v>
      </c>
      <c r="Q68" s="1" t="s">
        <v>71</v>
      </c>
      <c r="R68" s="1" t="s">
        <v>71</v>
      </c>
      <c r="S68" s="1" t="s">
        <v>71</v>
      </c>
      <c r="T68" s="1" t="s">
        <v>71</v>
      </c>
      <c r="U68" s="1" t="s">
        <v>71</v>
      </c>
      <c r="V68" s="1" t="s">
        <v>71</v>
      </c>
      <c r="W68" s="1" t="s">
        <v>71</v>
      </c>
      <c r="X68" s="1" t="s">
        <v>71</v>
      </c>
      <c r="Y68" s="1">
        <v>0</v>
      </c>
      <c r="Z68" s="1" t="s">
        <v>71</v>
      </c>
      <c r="AA68" s="1" t="s">
        <v>71</v>
      </c>
      <c r="AB68" s="1" t="s">
        <v>71</v>
      </c>
      <c r="AC68" s="1" t="s">
        <v>71</v>
      </c>
      <c r="AD68" s="25">
        <v>50</v>
      </c>
      <c r="AE68" s="25" t="s">
        <v>71</v>
      </c>
      <c r="AF68" s="25">
        <v>75</v>
      </c>
      <c r="AG68" s="25" t="s">
        <v>71</v>
      </c>
      <c r="AH68" s="1">
        <v>87</v>
      </c>
      <c r="AI68" s="1" t="s">
        <v>71</v>
      </c>
      <c r="AJ68" s="1">
        <v>1.3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 t="s">
        <v>71</v>
      </c>
      <c r="AV68" s="1" t="s">
        <v>71</v>
      </c>
      <c r="AW68" s="1" t="s">
        <v>71</v>
      </c>
      <c r="AX68" s="1">
        <v>0</v>
      </c>
      <c r="AY68" s="1">
        <v>0</v>
      </c>
      <c r="AZ68" s="1" t="s">
        <v>71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 t="s">
        <v>71</v>
      </c>
      <c r="BI68" s="1" t="s">
        <v>71</v>
      </c>
      <c r="BJ68" s="1" t="s">
        <v>71</v>
      </c>
      <c r="BK68" s="1">
        <v>3.0000000000000001E-3</v>
      </c>
      <c r="BL68" s="1">
        <f t="shared" ref="BL68:BL131" si="23">BK68*100</f>
        <v>0.3</v>
      </c>
      <c r="BM68" s="1">
        <v>1</v>
      </c>
      <c r="BN68" s="1">
        <v>3.0000000000000001E-3</v>
      </c>
      <c r="BO68" s="1">
        <v>1</v>
      </c>
      <c r="BP68" s="1">
        <v>20</v>
      </c>
      <c r="BQ68" s="1" t="s">
        <v>71</v>
      </c>
      <c r="BR68" s="1" t="s">
        <v>71</v>
      </c>
      <c r="BS68" s="1" t="s">
        <v>71</v>
      </c>
      <c r="BT68" s="1" t="s">
        <v>71</v>
      </c>
      <c r="BU68" s="1">
        <v>1</v>
      </c>
      <c r="BV68" s="1" t="s">
        <v>71</v>
      </c>
      <c r="BW68" s="1" t="s">
        <v>71</v>
      </c>
      <c r="BX68" s="1" t="s">
        <v>71</v>
      </c>
      <c r="BY68" s="1">
        <v>17.55</v>
      </c>
      <c r="BZ68" s="3">
        <v>4.4000000000000004</v>
      </c>
      <c r="CA68" s="3" t="s">
        <v>71</v>
      </c>
      <c r="CB68" s="3">
        <f t="shared" ref="CB68:CB128" si="24">BZ68/(1.5*4.8)*10</f>
        <v>6.1111111111111125</v>
      </c>
      <c r="CC68" s="3" t="s">
        <v>71</v>
      </c>
      <c r="CD68" s="1">
        <v>1</v>
      </c>
      <c r="CE68" s="1">
        <v>1</v>
      </c>
      <c r="CF68" s="1">
        <f t="shared" si="22"/>
        <v>1</v>
      </c>
      <c r="CG68" s="3" t="s">
        <v>71</v>
      </c>
      <c r="CH68" s="3" t="s">
        <v>71</v>
      </c>
      <c r="CI68" s="3" t="s">
        <v>71</v>
      </c>
      <c r="CJ68" s="3" t="s">
        <v>71</v>
      </c>
      <c r="CK68" s="3" t="s">
        <v>71</v>
      </c>
      <c r="CL68" s="3" t="s">
        <v>71</v>
      </c>
      <c r="CM68" s="3" t="s">
        <v>71</v>
      </c>
      <c r="CN68" s="3" t="s">
        <v>71</v>
      </c>
      <c r="CO68" s="1">
        <v>47</v>
      </c>
      <c r="CP68" s="1" t="s">
        <v>71</v>
      </c>
      <c r="CQ68" s="1">
        <v>29.5</v>
      </c>
      <c r="CR68" s="1" t="s">
        <v>71</v>
      </c>
      <c r="CS68" s="1" t="s">
        <v>71</v>
      </c>
      <c r="CT68" s="1">
        <v>10.8</v>
      </c>
      <c r="CU68" s="1" t="s">
        <v>71</v>
      </c>
      <c r="CV68" s="1" t="s">
        <v>71</v>
      </c>
      <c r="CW68">
        <v>18.41</v>
      </c>
      <c r="CX68" s="1" t="s">
        <v>71</v>
      </c>
      <c r="CY68" s="1">
        <v>12.1</v>
      </c>
      <c r="CZ68" s="1" t="s">
        <v>71</v>
      </c>
      <c r="DA68">
        <f t="shared" si="21"/>
        <v>739</v>
      </c>
      <c r="DB68" s="1" t="s">
        <v>71</v>
      </c>
      <c r="DC68" s="26">
        <v>12.1</v>
      </c>
      <c r="DD68">
        <f t="shared" ref="DD68:DD131" si="25">SUM(CZ68,DA68)</f>
        <v>739</v>
      </c>
      <c r="DE68" s="1" t="s">
        <v>71</v>
      </c>
      <c r="DF68" s="1" t="s">
        <v>71</v>
      </c>
    </row>
    <row r="69" spans="1:110" x14ac:dyDescent="0.15">
      <c r="A69" s="1">
        <v>2022</v>
      </c>
      <c r="B69" s="1" t="s">
        <v>48</v>
      </c>
      <c r="C69" s="1">
        <v>4</v>
      </c>
      <c r="D69" s="1">
        <v>7</v>
      </c>
      <c r="E69" s="1"/>
      <c r="F69" s="1" t="s">
        <v>53</v>
      </c>
      <c r="G69" s="1" t="s">
        <v>56</v>
      </c>
      <c r="H69" s="1">
        <v>4</v>
      </c>
      <c r="I69" s="23" t="s">
        <v>53</v>
      </c>
      <c r="J69" s="1" t="s">
        <v>57</v>
      </c>
      <c r="K69" s="24">
        <v>44693</v>
      </c>
      <c r="L69" s="1" t="s">
        <v>71</v>
      </c>
      <c r="M69" s="1" t="s">
        <v>71</v>
      </c>
      <c r="N69" s="1" t="s">
        <v>71</v>
      </c>
      <c r="O69" s="1" t="s">
        <v>71</v>
      </c>
      <c r="P69" s="24">
        <v>44699</v>
      </c>
      <c r="Q69" s="1" t="s">
        <v>71</v>
      </c>
      <c r="R69" s="1" t="s">
        <v>71</v>
      </c>
      <c r="S69" s="1" t="s">
        <v>71</v>
      </c>
      <c r="T69" s="1" t="s">
        <v>71</v>
      </c>
      <c r="U69" s="1" t="s">
        <v>71</v>
      </c>
      <c r="V69" s="1" t="s">
        <v>71</v>
      </c>
      <c r="W69" s="1" t="s">
        <v>71</v>
      </c>
      <c r="X69" s="1">
        <v>100</v>
      </c>
      <c r="Y69" s="1" t="s">
        <v>71</v>
      </c>
      <c r="Z69" s="1" t="s">
        <v>71</v>
      </c>
      <c r="AA69" s="1" t="s">
        <v>71</v>
      </c>
      <c r="AB69" s="1" t="s">
        <v>71</v>
      </c>
      <c r="AC69" s="1" t="s">
        <v>71</v>
      </c>
      <c r="AD69" s="25" t="s">
        <v>71</v>
      </c>
      <c r="AE69" s="25">
        <v>37</v>
      </c>
      <c r="AF69" s="25" t="s">
        <v>71</v>
      </c>
      <c r="AG69" s="25">
        <v>76</v>
      </c>
      <c r="AH69" s="1" t="s">
        <v>71</v>
      </c>
      <c r="AI69" s="1">
        <v>42</v>
      </c>
      <c r="AJ69" s="1" t="s">
        <v>71</v>
      </c>
      <c r="AK69" s="1" t="s">
        <v>71</v>
      </c>
      <c r="AL69" s="1" t="s">
        <v>71</v>
      </c>
      <c r="AM69" s="1" t="s">
        <v>71</v>
      </c>
      <c r="AN69" s="1" t="s">
        <v>71</v>
      </c>
      <c r="AO69" s="1" t="s">
        <v>71</v>
      </c>
      <c r="AP69" s="1" t="s">
        <v>71</v>
      </c>
      <c r="AQ69" s="1" t="s">
        <v>71</v>
      </c>
      <c r="AR69" s="1" t="s">
        <v>71</v>
      </c>
      <c r="AS69" s="1" t="s">
        <v>71</v>
      </c>
      <c r="AT69" s="1" t="s">
        <v>71</v>
      </c>
      <c r="AU69" s="1">
        <v>0</v>
      </c>
      <c r="AV69" s="1">
        <v>0</v>
      </c>
      <c r="AW69" s="1">
        <v>0</v>
      </c>
      <c r="AX69" s="1" t="s">
        <v>71</v>
      </c>
      <c r="AY69" s="1" t="s">
        <v>71</v>
      </c>
      <c r="AZ69" s="1">
        <v>0</v>
      </c>
      <c r="BA69" s="1" t="s">
        <v>71</v>
      </c>
      <c r="BB69" s="1" t="s">
        <v>71</v>
      </c>
      <c r="BC69" s="1" t="s">
        <v>71</v>
      </c>
      <c r="BD69" s="1" t="s">
        <v>71</v>
      </c>
      <c r="BE69" s="1" t="s">
        <v>71</v>
      </c>
      <c r="BF69" s="1" t="s">
        <v>71</v>
      </c>
      <c r="BG69" s="1" t="s">
        <v>71</v>
      </c>
      <c r="BH69" s="1">
        <v>3</v>
      </c>
      <c r="BI69" s="1" t="s">
        <v>71</v>
      </c>
      <c r="BJ69" s="1" t="s">
        <v>71</v>
      </c>
      <c r="BK69" s="1">
        <v>1.3000000000000001E-2</v>
      </c>
      <c r="BL69" s="1">
        <f t="shared" si="23"/>
        <v>1.3</v>
      </c>
      <c r="BM69" s="1">
        <v>1.3</v>
      </c>
      <c r="BN69" s="1">
        <v>0.01</v>
      </c>
      <c r="BO69" s="1">
        <v>2</v>
      </c>
      <c r="BP69" s="1">
        <v>0</v>
      </c>
      <c r="BQ69" s="1">
        <v>274</v>
      </c>
      <c r="BR69" s="1">
        <v>4</v>
      </c>
      <c r="BS69" s="1">
        <v>2</v>
      </c>
      <c r="BT69" s="1">
        <v>10</v>
      </c>
      <c r="BU69" s="1" t="s">
        <v>71</v>
      </c>
      <c r="BV69" s="1">
        <v>7</v>
      </c>
      <c r="BW69" s="1">
        <v>4</v>
      </c>
      <c r="BX69" s="1">
        <v>16.87</v>
      </c>
      <c r="BY69" s="1" t="s">
        <v>71</v>
      </c>
      <c r="BZ69" s="3" t="s">
        <v>71</v>
      </c>
      <c r="CA69" s="3">
        <v>2.8</v>
      </c>
      <c r="CB69" s="1" t="s">
        <v>71</v>
      </c>
      <c r="CC69" s="3">
        <f t="shared" si="6"/>
        <v>3.8888888888888888</v>
      </c>
      <c r="CD69" s="1">
        <v>1</v>
      </c>
      <c r="CE69" s="1">
        <v>1</v>
      </c>
      <c r="CF69" s="1">
        <f t="shared" si="22"/>
        <v>1</v>
      </c>
      <c r="CG69" s="1" t="s">
        <v>71</v>
      </c>
      <c r="CH69" s="1" t="s">
        <v>71</v>
      </c>
      <c r="CI69" s="1" t="s">
        <v>71</v>
      </c>
      <c r="CJ69" s="1" t="s">
        <v>71</v>
      </c>
      <c r="CK69" s="3" t="s">
        <v>71</v>
      </c>
      <c r="CL69" s="3" t="s">
        <v>71</v>
      </c>
      <c r="CM69" s="3" t="s">
        <v>71</v>
      </c>
      <c r="CN69" s="3" t="s">
        <v>71</v>
      </c>
      <c r="CO69" s="1" t="s">
        <v>71</v>
      </c>
      <c r="CP69" s="1" t="s">
        <v>71</v>
      </c>
      <c r="CQ69" s="1" t="s">
        <v>71</v>
      </c>
      <c r="CR69" s="1">
        <v>140.80000000000001</v>
      </c>
      <c r="CS69" s="1">
        <v>35</v>
      </c>
      <c r="CT69" s="1" t="s">
        <v>71</v>
      </c>
      <c r="CU69" s="1">
        <v>9.8000000000000007</v>
      </c>
      <c r="CV69">
        <v>51.04</v>
      </c>
      <c r="CW69" t="s">
        <v>71</v>
      </c>
      <c r="CX69" t="e">
        <f>ROUND(CV69*#REF!/10,1)</f>
        <v>#REF!</v>
      </c>
      <c r="CY69" s="1" t="s">
        <v>71</v>
      </c>
      <c r="CZ69" t="e">
        <f t="shared" ref="CZ69:CZ80" si="26">ROUND(CX69/100*CA69, 2)*1000</f>
        <v>#REF!</v>
      </c>
      <c r="DA69" s="1" t="s">
        <v>71</v>
      </c>
      <c r="DB69" s="1" t="s">
        <v>71</v>
      </c>
      <c r="DC69" s="26" t="s">
        <v>71</v>
      </c>
      <c r="DD69" t="e">
        <f t="shared" si="25"/>
        <v>#REF!</v>
      </c>
      <c r="DE69" s="1" t="s">
        <v>71</v>
      </c>
      <c r="DF69" s="1" t="s">
        <v>71</v>
      </c>
    </row>
    <row r="70" spans="1:110" x14ac:dyDescent="0.15">
      <c r="A70" s="1">
        <v>2022</v>
      </c>
      <c r="B70" s="1" t="s">
        <v>48</v>
      </c>
      <c r="C70" s="1">
        <v>4</v>
      </c>
      <c r="D70" s="1">
        <v>8</v>
      </c>
      <c r="E70" s="1"/>
      <c r="F70" s="1" t="s">
        <v>54</v>
      </c>
      <c r="G70" s="1" t="s">
        <v>56</v>
      </c>
      <c r="H70" s="1">
        <v>4</v>
      </c>
      <c r="I70" s="23" t="s">
        <v>54</v>
      </c>
      <c r="J70" s="1" t="s">
        <v>57</v>
      </c>
      <c r="K70" s="24">
        <v>44693</v>
      </c>
      <c r="L70" s="1" t="s">
        <v>71</v>
      </c>
      <c r="M70" s="1" t="s">
        <v>71</v>
      </c>
      <c r="N70" s="1" t="s">
        <v>71</v>
      </c>
      <c r="O70" s="1" t="s">
        <v>71</v>
      </c>
      <c r="P70" s="24">
        <v>44699</v>
      </c>
      <c r="Q70" s="1" t="s">
        <v>71</v>
      </c>
      <c r="R70" s="1" t="s">
        <v>71</v>
      </c>
      <c r="S70" s="1" t="s">
        <v>71</v>
      </c>
      <c r="T70" s="1" t="s">
        <v>71</v>
      </c>
      <c r="U70" s="1" t="s">
        <v>71</v>
      </c>
      <c r="V70" s="1" t="s">
        <v>71</v>
      </c>
      <c r="W70" s="1" t="s">
        <v>71</v>
      </c>
      <c r="X70" s="1">
        <v>100</v>
      </c>
      <c r="Y70" s="1" t="s">
        <v>71</v>
      </c>
      <c r="Z70" s="1" t="s">
        <v>71</v>
      </c>
      <c r="AA70" s="1" t="s">
        <v>71</v>
      </c>
      <c r="AB70" s="1" t="s">
        <v>71</v>
      </c>
      <c r="AC70" s="1" t="s">
        <v>71</v>
      </c>
      <c r="AD70" s="25" t="s">
        <v>71</v>
      </c>
      <c r="AE70" s="25">
        <v>31</v>
      </c>
      <c r="AF70" s="25">
        <v>76</v>
      </c>
      <c r="AG70" s="25" t="s">
        <v>71</v>
      </c>
      <c r="AH70" s="1" t="s">
        <v>71</v>
      </c>
      <c r="AI70" s="1">
        <v>39</v>
      </c>
      <c r="AJ70" s="1" t="s">
        <v>71</v>
      </c>
      <c r="AK70" s="1" t="s">
        <v>71</v>
      </c>
      <c r="AL70" s="1" t="s">
        <v>71</v>
      </c>
      <c r="AM70" s="1" t="s">
        <v>71</v>
      </c>
      <c r="AN70" s="1" t="s">
        <v>71</v>
      </c>
      <c r="AO70" s="1" t="s">
        <v>71</v>
      </c>
      <c r="AP70" s="1" t="s">
        <v>71</v>
      </c>
      <c r="AQ70" s="1" t="s">
        <v>71</v>
      </c>
      <c r="AR70" s="1" t="s">
        <v>71</v>
      </c>
      <c r="AS70" s="1" t="s">
        <v>71</v>
      </c>
      <c r="AT70" s="1" t="s">
        <v>71</v>
      </c>
      <c r="AU70" s="1">
        <v>0</v>
      </c>
      <c r="AV70" s="1">
        <v>0</v>
      </c>
      <c r="AW70" s="1">
        <v>0</v>
      </c>
      <c r="AX70" s="1" t="s">
        <v>71</v>
      </c>
      <c r="AY70" s="1" t="s">
        <v>71</v>
      </c>
      <c r="AZ70" s="1">
        <v>0</v>
      </c>
      <c r="BA70" s="1" t="s">
        <v>71</v>
      </c>
      <c r="BB70" s="1" t="s">
        <v>71</v>
      </c>
      <c r="BC70" s="1" t="s">
        <v>71</v>
      </c>
      <c r="BD70" s="1" t="s">
        <v>71</v>
      </c>
      <c r="BE70" s="1" t="s">
        <v>71</v>
      </c>
      <c r="BF70" s="1" t="s">
        <v>71</v>
      </c>
      <c r="BG70" s="1" t="s">
        <v>71</v>
      </c>
      <c r="BH70" s="1">
        <v>2</v>
      </c>
      <c r="BI70" s="1" t="s">
        <v>71</v>
      </c>
      <c r="BJ70" s="1" t="s">
        <v>71</v>
      </c>
      <c r="BK70" s="1">
        <v>4.0000000000000001E-3</v>
      </c>
      <c r="BL70" s="1">
        <f t="shared" si="23"/>
        <v>0.4</v>
      </c>
      <c r="BM70" s="1">
        <v>1</v>
      </c>
      <c r="BN70" s="1">
        <v>4.0000000000000001E-3</v>
      </c>
      <c r="BO70" s="1">
        <v>2</v>
      </c>
      <c r="BP70" s="1">
        <v>0</v>
      </c>
      <c r="BQ70" s="1">
        <v>115</v>
      </c>
      <c r="BR70" s="1">
        <v>125</v>
      </c>
      <c r="BS70" s="1">
        <v>19</v>
      </c>
      <c r="BT70" s="1">
        <v>9</v>
      </c>
      <c r="BU70" s="1" t="s">
        <v>71</v>
      </c>
      <c r="BV70" s="1">
        <v>7</v>
      </c>
      <c r="BW70" s="1">
        <v>6</v>
      </c>
      <c r="BX70" s="1">
        <v>18.399999999999999</v>
      </c>
      <c r="BY70" s="1" t="s">
        <v>71</v>
      </c>
      <c r="BZ70" s="3" t="s">
        <v>71</v>
      </c>
      <c r="CA70" s="3">
        <v>1.7</v>
      </c>
      <c r="CB70" s="1" t="s">
        <v>71</v>
      </c>
      <c r="CC70" s="3">
        <f t="shared" si="6"/>
        <v>2.3611111111111112</v>
      </c>
      <c r="CD70" s="1">
        <v>1</v>
      </c>
      <c r="CE70" s="1">
        <v>1</v>
      </c>
      <c r="CF70" s="1">
        <f t="shared" si="22"/>
        <v>1</v>
      </c>
      <c r="CG70" s="1" t="s">
        <v>71</v>
      </c>
      <c r="CH70" s="1" t="s">
        <v>71</v>
      </c>
      <c r="CI70" s="1" t="s">
        <v>71</v>
      </c>
      <c r="CJ70" s="1" t="s">
        <v>71</v>
      </c>
      <c r="CK70" s="3" t="s">
        <v>71</v>
      </c>
      <c r="CL70" s="3" t="s">
        <v>71</v>
      </c>
      <c r="CM70" s="3" t="s">
        <v>71</v>
      </c>
      <c r="CN70" s="3" t="s">
        <v>71</v>
      </c>
      <c r="CO70" s="1" t="s">
        <v>71</v>
      </c>
      <c r="CP70" s="1" t="s">
        <v>71</v>
      </c>
      <c r="CQ70" s="1" t="s">
        <v>71</v>
      </c>
      <c r="CR70" s="1">
        <v>129.35</v>
      </c>
      <c r="CS70" s="1">
        <v>41</v>
      </c>
      <c r="CT70" s="1" t="s">
        <v>71</v>
      </c>
      <c r="CU70" s="1">
        <v>10.1</v>
      </c>
      <c r="CV70">
        <v>63.31</v>
      </c>
      <c r="CW70" t="s">
        <v>71</v>
      </c>
      <c r="CX70" t="e">
        <f>ROUND(CV70*#REF!/10,1)</f>
        <v>#REF!</v>
      </c>
      <c r="CY70" s="1" t="s">
        <v>71</v>
      </c>
      <c r="CZ70" t="e">
        <f t="shared" si="26"/>
        <v>#REF!</v>
      </c>
      <c r="DA70" s="1" t="s">
        <v>71</v>
      </c>
      <c r="DB70" s="1" t="s">
        <v>71</v>
      </c>
      <c r="DC70" s="26" t="s">
        <v>71</v>
      </c>
      <c r="DD70" t="e">
        <f t="shared" si="25"/>
        <v>#REF!</v>
      </c>
      <c r="DE70" s="1" t="s">
        <v>71</v>
      </c>
      <c r="DF70" s="1" t="s">
        <v>71</v>
      </c>
    </row>
    <row r="71" spans="1:110" x14ac:dyDescent="0.15">
      <c r="A71" s="1">
        <v>2022</v>
      </c>
      <c r="B71" s="1" t="s">
        <v>48</v>
      </c>
      <c r="C71" s="1">
        <v>4</v>
      </c>
      <c r="D71" s="1">
        <v>9</v>
      </c>
      <c r="E71" s="1"/>
      <c r="F71" s="1" t="s">
        <v>55</v>
      </c>
      <c r="G71" s="1" t="s">
        <v>56</v>
      </c>
      <c r="H71" s="1">
        <v>4</v>
      </c>
      <c r="I71" s="23" t="s">
        <v>55</v>
      </c>
      <c r="J71" s="1" t="s">
        <v>57</v>
      </c>
      <c r="K71" s="24">
        <v>44693</v>
      </c>
      <c r="L71" s="1" t="s">
        <v>71</v>
      </c>
      <c r="M71" s="1" t="s">
        <v>71</v>
      </c>
      <c r="N71" s="1" t="s">
        <v>71</v>
      </c>
      <c r="O71" s="1" t="s">
        <v>71</v>
      </c>
      <c r="P71" s="24">
        <v>44699</v>
      </c>
      <c r="Q71" s="1" t="s">
        <v>71</v>
      </c>
      <c r="R71" s="1" t="s">
        <v>71</v>
      </c>
      <c r="S71" s="1" t="s">
        <v>71</v>
      </c>
      <c r="T71" s="1" t="s">
        <v>71</v>
      </c>
      <c r="U71" s="1" t="s">
        <v>71</v>
      </c>
      <c r="V71" s="1" t="s">
        <v>71</v>
      </c>
      <c r="W71" s="1" t="s">
        <v>71</v>
      </c>
      <c r="X71" s="1">
        <v>0</v>
      </c>
      <c r="Y71" s="1" t="s">
        <v>71</v>
      </c>
      <c r="Z71" s="1" t="s">
        <v>71</v>
      </c>
      <c r="AA71" s="1" t="s">
        <v>71</v>
      </c>
      <c r="AB71" s="1" t="s">
        <v>71</v>
      </c>
      <c r="AC71" s="1" t="s">
        <v>71</v>
      </c>
      <c r="AD71" s="25" t="s">
        <v>71</v>
      </c>
      <c r="AE71" s="25">
        <v>36</v>
      </c>
      <c r="AF71" s="25" t="s">
        <v>71</v>
      </c>
      <c r="AG71" s="25">
        <v>69</v>
      </c>
      <c r="AH71" s="1" t="s">
        <v>71</v>
      </c>
      <c r="AI71" s="1">
        <v>72</v>
      </c>
      <c r="AJ71" s="1" t="s">
        <v>71</v>
      </c>
      <c r="AK71" s="1" t="s">
        <v>71</v>
      </c>
      <c r="AL71" s="1" t="s">
        <v>71</v>
      </c>
      <c r="AM71" s="1" t="s">
        <v>71</v>
      </c>
      <c r="AN71" s="1" t="s">
        <v>71</v>
      </c>
      <c r="AO71" s="1" t="s">
        <v>71</v>
      </c>
      <c r="AP71" s="1" t="s">
        <v>71</v>
      </c>
      <c r="AQ71" s="1" t="s">
        <v>71</v>
      </c>
      <c r="AR71" s="1" t="s">
        <v>71</v>
      </c>
      <c r="AS71" s="1" t="s">
        <v>71</v>
      </c>
      <c r="AT71" s="1" t="s">
        <v>71</v>
      </c>
      <c r="AU71" s="1">
        <v>0</v>
      </c>
      <c r="AV71" s="1">
        <v>0</v>
      </c>
      <c r="AW71" s="1">
        <v>0</v>
      </c>
      <c r="AX71" s="1" t="s">
        <v>71</v>
      </c>
      <c r="AY71" s="1" t="s">
        <v>71</v>
      </c>
      <c r="AZ71" s="1">
        <v>0</v>
      </c>
      <c r="BA71" s="1" t="s">
        <v>71</v>
      </c>
      <c r="BB71" s="1" t="s">
        <v>71</v>
      </c>
      <c r="BC71" s="1" t="s">
        <v>71</v>
      </c>
      <c r="BD71" s="1" t="s">
        <v>71</v>
      </c>
      <c r="BE71" s="1" t="s">
        <v>71</v>
      </c>
      <c r="BF71" s="1" t="s">
        <v>71</v>
      </c>
      <c r="BG71" s="1" t="s">
        <v>71</v>
      </c>
      <c r="BH71" s="1" t="s">
        <v>71</v>
      </c>
      <c r="BI71" s="1" t="s">
        <v>71</v>
      </c>
      <c r="BJ71" s="1" t="s">
        <v>71</v>
      </c>
      <c r="BK71" s="1">
        <v>3.0000000000000001E-3</v>
      </c>
      <c r="BL71" s="1">
        <f t="shared" si="23"/>
        <v>0.3</v>
      </c>
      <c r="BM71" s="1">
        <v>1</v>
      </c>
      <c r="BN71" s="1">
        <v>3.0000000000000001E-3</v>
      </c>
      <c r="BO71" s="1">
        <v>1</v>
      </c>
      <c r="BP71" s="1">
        <v>0</v>
      </c>
      <c r="BQ71" s="1">
        <v>66</v>
      </c>
      <c r="BR71" s="1">
        <v>21</v>
      </c>
      <c r="BS71" s="1">
        <v>4</v>
      </c>
      <c r="BT71" s="1">
        <v>7</v>
      </c>
      <c r="BU71" s="1">
        <v>1</v>
      </c>
      <c r="BV71" s="1">
        <v>6</v>
      </c>
      <c r="BW71" s="1">
        <v>5</v>
      </c>
      <c r="BX71" s="1">
        <v>15.04</v>
      </c>
      <c r="BY71" s="1" t="s">
        <v>71</v>
      </c>
      <c r="BZ71" s="3" t="s">
        <v>71</v>
      </c>
      <c r="CA71" s="3">
        <v>2.6</v>
      </c>
      <c r="CB71" s="1" t="s">
        <v>71</v>
      </c>
      <c r="CC71" s="3">
        <f t="shared" si="6"/>
        <v>3.6111111111111116</v>
      </c>
      <c r="CD71" s="1">
        <v>1</v>
      </c>
      <c r="CE71" s="1">
        <v>1</v>
      </c>
      <c r="CF71" s="1">
        <f t="shared" si="22"/>
        <v>1</v>
      </c>
      <c r="CG71" s="1" t="s">
        <v>71</v>
      </c>
      <c r="CH71" s="1" t="s">
        <v>71</v>
      </c>
      <c r="CI71" s="1" t="s">
        <v>71</v>
      </c>
      <c r="CJ71" s="1" t="s">
        <v>71</v>
      </c>
      <c r="CK71" s="3" t="s">
        <v>71</v>
      </c>
      <c r="CL71" s="3" t="s">
        <v>71</v>
      </c>
      <c r="CM71" s="3" t="s">
        <v>71</v>
      </c>
      <c r="CN71" s="3" t="s">
        <v>71</v>
      </c>
      <c r="CO71" s="1" t="s">
        <v>71</v>
      </c>
      <c r="CP71" s="1" t="s">
        <v>71</v>
      </c>
      <c r="CQ71" s="1" t="s">
        <v>71</v>
      </c>
      <c r="CR71" s="1">
        <v>159.75</v>
      </c>
      <c r="CS71" s="1">
        <v>38</v>
      </c>
      <c r="CT71" s="1" t="s">
        <v>71</v>
      </c>
      <c r="CU71" s="1">
        <v>9.5</v>
      </c>
      <c r="CV71">
        <v>60.33</v>
      </c>
      <c r="CW71" t="s">
        <v>71</v>
      </c>
      <c r="CX71" t="e">
        <f>ROUND(CV71*#REF!/10,1)</f>
        <v>#REF!</v>
      </c>
      <c r="CY71" s="1" t="s">
        <v>71</v>
      </c>
      <c r="CZ71" t="e">
        <f t="shared" si="26"/>
        <v>#REF!</v>
      </c>
      <c r="DA71" s="1" t="s">
        <v>71</v>
      </c>
      <c r="DB71" s="1" t="s">
        <v>71</v>
      </c>
      <c r="DC71" s="26" t="s">
        <v>71</v>
      </c>
      <c r="DD71" t="e">
        <f t="shared" si="25"/>
        <v>#REF!</v>
      </c>
      <c r="DE71" s="1" t="s">
        <v>71</v>
      </c>
      <c r="DF71" s="1" t="s">
        <v>71</v>
      </c>
    </row>
    <row r="72" spans="1:110" x14ac:dyDescent="0.15">
      <c r="A72" s="1">
        <v>2022</v>
      </c>
      <c r="B72" s="1" t="s">
        <v>48</v>
      </c>
      <c r="C72" s="1">
        <v>4</v>
      </c>
      <c r="D72" s="1">
        <v>10</v>
      </c>
      <c r="E72" s="1" t="s">
        <v>50</v>
      </c>
      <c r="F72" s="1" t="s">
        <v>53</v>
      </c>
      <c r="G72" s="1" t="s">
        <v>5</v>
      </c>
      <c r="H72" s="1">
        <v>4</v>
      </c>
      <c r="I72" s="23" t="s">
        <v>60</v>
      </c>
      <c r="J72" s="1" t="s">
        <v>57</v>
      </c>
      <c r="K72" s="24">
        <v>44693</v>
      </c>
      <c r="L72" s="1">
        <f>K72-K66</f>
        <v>-12</v>
      </c>
      <c r="M72" s="1">
        <f>K72-K69</f>
        <v>0</v>
      </c>
      <c r="N72" s="24">
        <v>44713</v>
      </c>
      <c r="O72" s="24">
        <v>44721</v>
      </c>
      <c r="P72" s="24">
        <v>44699</v>
      </c>
      <c r="Q72" s="1">
        <f>P72-P69</f>
        <v>0</v>
      </c>
      <c r="R72" s="1">
        <f>N72-N66</f>
        <v>1</v>
      </c>
      <c r="S72" s="1">
        <f>O72-O66</f>
        <v>1</v>
      </c>
      <c r="T72" s="1">
        <f>AVERAGE(R72,S72)</f>
        <v>1</v>
      </c>
      <c r="U72" s="1" t="s">
        <v>71</v>
      </c>
      <c r="V72" s="1" t="s">
        <v>71</v>
      </c>
      <c r="W72" s="1">
        <v>-2</v>
      </c>
      <c r="X72" s="1">
        <v>80</v>
      </c>
      <c r="Y72" s="1">
        <v>0</v>
      </c>
      <c r="Z72" s="1" t="s">
        <v>71</v>
      </c>
      <c r="AA72" s="1" t="s">
        <v>71</v>
      </c>
      <c r="AB72" s="1" t="s">
        <v>71</v>
      </c>
      <c r="AC72" s="1" t="s">
        <v>71</v>
      </c>
      <c r="AD72" s="25">
        <v>50</v>
      </c>
      <c r="AE72" s="25">
        <v>37</v>
      </c>
      <c r="AF72" s="25">
        <v>109</v>
      </c>
      <c r="AG72" s="25">
        <v>75</v>
      </c>
      <c r="AH72" s="1">
        <v>104</v>
      </c>
      <c r="AI72" s="1">
        <v>43</v>
      </c>
      <c r="AJ72" s="1">
        <v>2.7</v>
      </c>
      <c r="AK72" s="1">
        <v>0</v>
      </c>
      <c r="AL72" s="1">
        <v>0</v>
      </c>
      <c r="AM72" s="1">
        <v>0</v>
      </c>
      <c r="AN72" s="1">
        <v>0.01</v>
      </c>
      <c r="AO72" s="1">
        <v>5.0000000000000001E-3</v>
      </c>
      <c r="AP72" s="1">
        <v>5.0000000000000002E-5</v>
      </c>
      <c r="AQ72" s="1">
        <v>3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1</v>
      </c>
      <c r="BI72" s="1" t="s">
        <v>71</v>
      </c>
      <c r="BJ72" s="1" t="s">
        <v>71</v>
      </c>
      <c r="BK72" s="1">
        <v>5.9999999999999995E-4</v>
      </c>
      <c r="BL72" s="1">
        <f t="shared" si="23"/>
        <v>0.06</v>
      </c>
      <c r="BM72" s="1">
        <v>0.6</v>
      </c>
      <c r="BN72" s="1">
        <v>1E-3</v>
      </c>
      <c r="BO72" s="1">
        <v>2</v>
      </c>
      <c r="BP72" s="1">
        <v>0</v>
      </c>
      <c r="BQ72" s="1">
        <v>131</v>
      </c>
      <c r="BR72" s="1">
        <v>22</v>
      </c>
      <c r="BS72" s="1">
        <v>2</v>
      </c>
      <c r="BT72" s="1">
        <v>4</v>
      </c>
      <c r="BU72" s="1">
        <v>1</v>
      </c>
      <c r="BV72" s="1">
        <v>6</v>
      </c>
      <c r="BW72" s="1">
        <v>4</v>
      </c>
      <c r="BX72" s="1">
        <v>9.4700000000000006</v>
      </c>
      <c r="BY72" s="1">
        <v>13.01</v>
      </c>
      <c r="BZ72" s="3">
        <v>1.1000000000000001</v>
      </c>
      <c r="CA72" s="3">
        <v>2.4</v>
      </c>
      <c r="CB72" s="3">
        <f t="shared" si="24"/>
        <v>1.5277777777777781</v>
      </c>
      <c r="CC72" s="3">
        <f t="shared" si="6"/>
        <v>3.3333333333333339</v>
      </c>
      <c r="CD72" s="1">
        <f>ROUND(CB72/CB63+CC72/CC69,2)</f>
        <v>1.1299999999999999</v>
      </c>
      <c r="CE72" s="1">
        <f>ROUND(CB72/CB66+CC72/CC69,2)</f>
        <v>1.1000000000000001</v>
      </c>
      <c r="CF72" s="1">
        <f t="shared" si="22"/>
        <v>1.1000000000000001</v>
      </c>
      <c r="CG72" s="1">
        <f>ROUND(CB72/CB63,2)</f>
        <v>0.28000000000000003</v>
      </c>
      <c r="CH72" s="1">
        <f>ROUND(CB72/CB66,2)</f>
        <v>0.24</v>
      </c>
      <c r="CI72" s="1">
        <f>ROUND(CC72/CC69,2)</f>
        <v>0.86</v>
      </c>
      <c r="CJ72" s="1">
        <f>ROUND((CC72+CB72)/MAX(CC69,CB66),2)</f>
        <v>0.78</v>
      </c>
      <c r="CK72" s="1">
        <f>ROUND(LN((0.9*BZ72)/(0.1*CA72))/(BZ63/CA69),2)</f>
        <v>0.99</v>
      </c>
      <c r="CL72" s="1">
        <f>ROUND(LN((0.9*BZ72)/(0.1*CA72))/(BZ66/CA69),2)</f>
        <v>0.88</v>
      </c>
      <c r="CM72" s="1">
        <f>ROUND(LN((0.1*CA72)/(0.9*BZ72))/(CA69/BZ63),2)</f>
        <v>-2.02</v>
      </c>
      <c r="CN72" s="1">
        <f>ROUND(LN((0.1*CA72)/(0.9*BZ72))/(CA69/BZ66),2)</f>
        <v>-2.2799999999999998</v>
      </c>
      <c r="CO72" s="1">
        <v>49</v>
      </c>
      <c r="CP72" s="1" t="s">
        <v>71</v>
      </c>
      <c r="CQ72" s="1">
        <v>41.150000000000006</v>
      </c>
      <c r="CR72" s="1">
        <v>149.19999999999999</v>
      </c>
      <c r="CS72" s="1">
        <v>34</v>
      </c>
      <c r="CT72" s="1">
        <v>10.6</v>
      </c>
      <c r="CU72" s="1">
        <v>9.9</v>
      </c>
      <c r="CV72">
        <v>52.64</v>
      </c>
      <c r="CW72">
        <v>20.09</v>
      </c>
      <c r="CX72" t="e">
        <f>ROUND(CV72*#REF!/10,1)</f>
        <v>#REF!</v>
      </c>
      <c r="CY72" s="1">
        <v>12.6</v>
      </c>
      <c r="CZ72" t="e">
        <f t="shared" si="26"/>
        <v>#REF!</v>
      </c>
      <c r="DA72">
        <f t="shared" ref="DA72:DA80" si="27">ROUND((CY72*CB72*10),0)</f>
        <v>193</v>
      </c>
      <c r="DB72" t="e">
        <f>(CZ72+DA72)/MAX(DA66,CZ69)</f>
        <v>#REF!</v>
      </c>
      <c r="DC72" s="26">
        <v>12.6</v>
      </c>
      <c r="DD72" t="e">
        <f t="shared" si="25"/>
        <v>#REF!</v>
      </c>
      <c r="DE72" t="e">
        <f>ROUND(MAX((DB72-DF72), 0), 2)</f>
        <v>#REF!</v>
      </c>
      <c r="DF72" t="e">
        <f>ROUND(CZ72/MAX(DA66,CZ69), 2)</f>
        <v>#REF!</v>
      </c>
    </row>
    <row r="73" spans="1:110" x14ac:dyDescent="0.15">
      <c r="A73" s="1">
        <v>2022</v>
      </c>
      <c r="B73" s="1" t="s">
        <v>48</v>
      </c>
      <c r="C73" s="1">
        <v>4</v>
      </c>
      <c r="D73" s="1">
        <v>11</v>
      </c>
      <c r="E73" s="1" t="s">
        <v>50</v>
      </c>
      <c r="F73" s="1" t="s">
        <v>54</v>
      </c>
      <c r="G73" s="1" t="s">
        <v>5</v>
      </c>
      <c r="H73" s="1">
        <v>4</v>
      </c>
      <c r="I73" s="23" t="s">
        <v>61</v>
      </c>
      <c r="J73" s="1" t="s">
        <v>57</v>
      </c>
      <c r="K73" s="24">
        <v>44705</v>
      </c>
      <c r="L73" s="1">
        <f>K73-K66</f>
        <v>0</v>
      </c>
      <c r="M73" s="1">
        <f>K73-K70</f>
        <v>12</v>
      </c>
      <c r="N73" s="24">
        <v>44713</v>
      </c>
      <c r="O73" s="24">
        <v>44726</v>
      </c>
      <c r="P73" s="24">
        <v>44699</v>
      </c>
      <c r="Q73" s="1">
        <f>P73-P70</f>
        <v>0</v>
      </c>
      <c r="R73" s="1">
        <f>N73-N66</f>
        <v>1</v>
      </c>
      <c r="S73" s="1">
        <f>O73-O66</f>
        <v>6</v>
      </c>
      <c r="T73" s="1">
        <f t="shared" ref="T73:T80" si="28">AVERAGE(R73,S73)</f>
        <v>3.5</v>
      </c>
      <c r="U73" s="1" t="s">
        <v>71</v>
      </c>
      <c r="V73" s="1" t="s">
        <v>71</v>
      </c>
      <c r="W73" s="1">
        <v>-2</v>
      </c>
      <c r="X73" s="1">
        <v>60</v>
      </c>
      <c r="Y73" s="1">
        <v>0</v>
      </c>
      <c r="Z73" s="1" t="s">
        <v>71</v>
      </c>
      <c r="AA73" s="1" t="s">
        <v>71</v>
      </c>
      <c r="AB73" s="1" t="s">
        <v>71</v>
      </c>
      <c r="AC73" s="1" t="s">
        <v>71</v>
      </c>
      <c r="AD73" s="25">
        <v>49</v>
      </c>
      <c r="AE73" s="25">
        <v>31</v>
      </c>
      <c r="AF73" s="25">
        <v>104</v>
      </c>
      <c r="AG73" s="25">
        <v>69</v>
      </c>
      <c r="AH73" s="1">
        <v>96</v>
      </c>
      <c r="AI73" s="1">
        <v>58</v>
      </c>
      <c r="AJ73" s="1">
        <v>2.2999999999999998</v>
      </c>
      <c r="AK73" s="1">
        <v>0</v>
      </c>
      <c r="AL73" s="1">
        <v>0</v>
      </c>
      <c r="AM73" s="1">
        <v>0</v>
      </c>
      <c r="AN73" s="1">
        <v>0.01</v>
      </c>
      <c r="AO73" s="1">
        <v>0.05</v>
      </c>
      <c r="AP73" s="1">
        <v>5.0000000000000001E-4</v>
      </c>
      <c r="AQ73" s="1">
        <v>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 t="s">
        <v>71</v>
      </c>
      <c r="BI73" s="1" t="s">
        <v>71</v>
      </c>
      <c r="BJ73" s="1" t="s">
        <v>71</v>
      </c>
      <c r="BK73" s="1">
        <v>2E-3</v>
      </c>
      <c r="BL73" s="1">
        <f t="shared" si="23"/>
        <v>0.2</v>
      </c>
      <c r="BM73" s="1">
        <v>1</v>
      </c>
      <c r="BN73" s="1">
        <v>2E-3</v>
      </c>
      <c r="BO73" s="1">
        <v>2</v>
      </c>
      <c r="BP73" s="1">
        <v>0</v>
      </c>
      <c r="BQ73" s="1">
        <v>352</v>
      </c>
      <c r="BR73" s="1">
        <v>3</v>
      </c>
      <c r="BS73" s="1">
        <v>0</v>
      </c>
      <c r="BT73" s="1">
        <v>5</v>
      </c>
      <c r="BU73" s="1">
        <v>5</v>
      </c>
      <c r="BV73" s="1">
        <v>9</v>
      </c>
      <c r="BW73" s="1">
        <v>6</v>
      </c>
      <c r="BX73" s="1">
        <v>9.02</v>
      </c>
      <c r="BY73" s="1">
        <v>10.15</v>
      </c>
      <c r="BZ73" s="3">
        <v>0.8</v>
      </c>
      <c r="CA73" s="3">
        <v>2.1</v>
      </c>
      <c r="CB73" s="3">
        <f t="shared" si="24"/>
        <v>1.1111111111111114</v>
      </c>
      <c r="CC73" s="3">
        <f t="shared" si="6"/>
        <v>2.916666666666667</v>
      </c>
      <c r="CD73" s="1">
        <f>ROUND(CB73/CB63+CC73/CC70,2)</f>
        <v>1.44</v>
      </c>
      <c r="CE73" s="1">
        <f>ROUND(CB73/CB66+CC73/CC70,2)</f>
        <v>1.41</v>
      </c>
      <c r="CF73" s="1">
        <f t="shared" si="22"/>
        <v>1.41</v>
      </c>
      <c r="CG73" s="1">
        <f>ROUND(CB73/CB63,2)</f>
        <v>0.2</v>
      </c>
      <c r="CH73" s="1">
        <f>ROUND(CB73/CB66,2)</f>
        <v>0.18</v>
      </c>
      <c r="CI73" s="1">
        <f>ROUND(CC73/CC70,2)</f>
        <v>1.24</v>
      </c>
      <c r="CJ73" s="1">
        <f>ROUND((CC73+CB73)/MAX(CC70,CB66),2)</f>
        <v>0.64</v>
      </c>
      <c r="CK73" s="1">
        <f>ROUND(LN((0.9*BZ73)/(0.1*CA73))/(BZ63/CA70),2)</f>
        <v>0.52</v>
      </c>
      <c r="CL73" s="1">
        <f>ROUND(LN((0.9*BZ73)/(0.1*CA73))/(BZ66/CA70),2)</f>
        <v>0.47</v>
      </c>
      <c r="CM73" s="1">
        <f>ROUND(LN((0.1*CA73)/(0.9*BZ73))/(CA70/BZ63),2)</f>
        <v>-2.9</v>
      </c>
      <c r="CN73" s="1">
        <f>ROUND(LN((0.1*CA73)/(0.9*BZ73))/(CA70/BZ66),2)</f>
        <v>-3.26</v>
      </c>
      <c r="CO73" s="1">
        <v>49</v>
      </c>
      <c r="CP73" s="1" t="s">
        <v>71</v>
      </c>
      <c r="CQ73" s="1">
        <v>38.950000000000003</v>
      </c>
      <c r="CR73" s="1">
        <v>135.95000000000002</v>
      </c>
      <c r="CS73" s="1">
        <v>40</v>
      </c>
      <c r="CT73" s="1">
        <v>10.8</v>
      </c>
      <c r="CU73" s="1">
        <v>10.199999999999999</v>
      </c>
      <c r="CV73">
        <v>61.88</v>
      </c>
      <c r="CW73">
        <v>20.7</v>
      </c>
      <c r="CX73" t="e">
        <f>ROUND(CV73*#REF!/10,1)</f>
        <v>#REF!</v>
      </c>
      <c r="CY73" s="1">
        <v>12.9</v>
      </c>
      <c r="CZ73" t="e">
        <f t="shared" si="26"/>
        <v>#REF!</v>
      </c>
      <c r="DA73">
        <f t="shared" si="27"/>
        <v>143</v>
      </c>
      <c r="DB73" t="e">
        <f>(CZ73+DA73)/MAX(DA66,CZ70)</f>
        <v>#REF!</v>
      </c>
      <c r="DC73" s="26">
        <v>12.9</v>
      </c>
      <c r="DD73" t="e">
        <f t="shared" si="25"/>
        <v>#REF!</v>
      </c>
      <c r="DE73" t="e">
        <f t="shared" ref="DE73:DE80" si="29">ROUND(MAX((DB73-DF73), 0), 2)</f>
        <v>#REF!</v>
      </c>
      <c r="DF73" t="e">
        <f>ROUND(CZ73/MAX(DA66,CZ70), 2)</f>
        <v>#REF!</v>
      </c>
    </row>
    <row r="74" spans="1:110" x14ac:dyDescent="0.15">
      <c r="A74" s="1">
        <v>2022</v>
      </c>
      <c r="B74" s="1" t="s">
        <v>48</v>
      </c>
      <c r="C74" s="1">
        <v>4</v>
      </c>
      <c r="D74" s="1">
        <v>12</v>
      </c>
      <c r="E74" s="1" t="s">
        <v>50</v>
      </c>
      <c r="F74" s="1" t="s">
        <v>55</v>
      </c>
      <c r="G74" s="1" t="s">
        <v>5</v>
      </c>
      <c r="H74" s="1">
        <v>4</v>
      </c>
      <c r="I74" s="23" t="s">
        <v>62</v>
      </c>
      <c r="J74" s="1" t="s">
        <v>57</v>
      </c>
      <c r="K74" s="24">
        <v>44705</v>
      </c>
      <c r="L74" s="1">
        <f>K74-K66</f>
        <v>0</v>
      </c>
      <c r="M74" s="1">
        <f>K74-K71</f>
        <v>12</v>
      </c>
      <c r="N74" s="24">
        <v>44712</v>
      </c>
      <c r="O74" s="24">
        <v>44721</v>
      </c>
      <c r="P74" s="24">
        <v>44699</v>
      </c>
      <c r="Q74" s="1">
        <f>P74-P71</f>
        <v>0</v>
      </c>
      <c r="R74" s="1">
        <f>N74-N66</f>
        <v>0</v>
      </c>
      <c r="S74" s="1">
        <f>O74-O66</f>
        <v>1</v>
      </c>
      <c r="T74" s="1">
        <f t="shared" si="28"/>
        <v>0.5</v>
      </c>
      <c r="U74" s="1" t="s">
        <v>71</v>
      </c>
      <c r="V74" s="1" t="s">
        <v>71</v>
      </c>
      <c r="W74" s="1">
        <v>-2</v>
      </c>
      <c r="X74" s="1">
        <v>0</v>
      </c>
      <c r="Y74" s="1">
        <v>0</v>
      </c>
      <c r="Z74" s="1" t="s">
        <v>71</v>
      </c>
      <c r="AA74" s="1" t="s">
        <v>71</v>
      </c>
      <c r="AB74" s="1" t="s">
        <v>71</v>
      </c>
      <c r="AC74" s="1" t="s">
        <v>71</v>
      </c>
      <c r="AD74" s="25">
        <v>41</v>
      </c>
      <c r="AE74" s="25">
        <v>34</v>
      </c>
      <c r="AF74" s="25">
        <v>105</v>
      </c>
      <c r="AG74" s="25">
        <v>61</v>
      </c>
      <c r="AH74" s="1">
        <v>116</v>
      </c>
      <c r="AI74" s="1">
        <v>58</v>
      </c>
      <c r="AJ74" s="1">
        <v>2.7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9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2</v>
      </c>
      <c r="BI74" s="1" t="s">
        <v>71</v>
      </c>
      <c r="BJ74" s="1" t="s">
        <v>71</v>
      </c>
      <c r="BK74" s="1">
        <v>1.1999999999999999E-3</v>
      </c>
      <c r="BL74" s="1">
        <f t="shared" si="23"/>
        <v>0.12</v>
      </c>
      <c r="BM74" s="1">
        <v>0.6</v>
      </c>
      <c r="BN74" s="1">
        <v>2E-3</v>
      </c>
      <c r="BO74" s="1">
        <v>1</v>
      </c>
      <c r="BP74" s="1">
        <v>5</v>
      </c>
      <c r="BQ74" s="1">
        <v>35</v>
      </c>
      <c r="BR74" s="1">
        <v>33</v>
      </c>
      <c r="BS74" s="1">
        <v>2</v>
      </c>
      <c r="BT74" s="1">
        <v>6</v>
      </c>
      <c r="BU74" s="1">
        <v>2</v>
      </c>
      <c r="BV74" s="1">
        <v>6</v>
      </c>
      <c r="BW74" s="1">
        <v>3</v>
      </c>
      <c r="BX74" s="1">
        <v>4.08</v>
      </c>
      <c r="BY74" s="1">
        <v>6.89</v>
      </c>
      <c r="BZ74" s="3">
        <v>1.1000000000000001</v>
      </c>
      <c r="CA74" s="3">
        <v>2.1</v>
      </c>
      <c r="CB74" s="3">
        <f t="shared" si="24"/>
        <v>1.5277777777777781</v>
      </c>
      <c r="CC74" s="3">
        <f t="shared" ref="CC74:CC137" si="30">CA74/(1.5*4.8)*10</f>
        <v>2.916666666666667</v>
      </c>
      <c r="CD74" s="1">
        <f>ROUND(CB74/CB63+CC74/CC71,2)</f>
        <v>1.08</v>
      </c>
      <c r="CE74" s="1">
        <f>ROUND(CB74/CB66+CC74/CC71,2)</f>
        <v>1.05</v>
      </c>
      <c r="CF74" s="1">
        <f t="shared" si="22"/>
        <v>1.05</v>
      </c>
      <c r="CG74" s="1">
        <f>ROUND(CB74/CB63,2)</f>
        <v>0.28000000000000003</v>
      </c>
      <c r="CH74" s="1">
        <f>ROUND(CB74/CB66,2)</f>
        <v>0.24</v>
      </c>
      <c r="CI74" s="1">
        <f>ROUND(CC74/CC71,2)</f>
        <v>0.81</v>
      </c>
      <c r="CJ74" s="1">
        <f>ROUND((CC74+CB74)/MAX(CC71,CB66),2)</f>
        <v>0.71</v>
      </c>
      <c r="CK74" s="1">
        <f>ROUND(LN((0.9*BZ74)/(0.1*CA74))/(BZ63/CA71),2)</f>
        <v>1.01</v>
      </c>
      <c r="CL74" s="1">
        <f>ROUND(LN((0.9*BZ74)/(0.1*CA74))/(BZ66/CA71),2)</f>
        <v>0.9</v>
      </c>
      <c r="CM74" s="1">
        <f>ROUND(LN((0.1*CA74)/(0.9*BZ74))/(CA71/BZ63),2)</f>
        <v>-2.39</v>
      </c>
      <c r="CN74" s="1">
        <f>ROUND(LN((0.1*CA74)/(0.9*BZ74))/(CA71/BZ66),2)</f>
        <v>-2.68</v>
      </c>
      <c r="CO74" s="1">
        <v>46</v>
      </c>
      <c r="CP74" s="1" t="s">
        <v>71</v>
      </c>
      <c r="CQ74" s="1">
        <v>42.1</v>
      </c>
      <c r="CR74" s="1">
        <v>153.85</v>
      </c>
      <c r="CS74" s="1">
        <v>42</v>
      </c>
      <c r="CT74" s="1">
        <v>10.5</v>
      </c>
      <c r="CU74" s="1">
        <v>8.6</v>
      </c>
      <c r="CV74">
        <v>57.4</v>
      </c>
      <c r="CW74">
        <v>20.23</v>
      </c>
      <c r="CX74" t="e">
        <f>ROUND(CV74*#REF!/10,1)</f>
        <v>#REF!</v>
      </c>
      <c r="CY74" s="1">
        <v>13.2</v>
      </c>
      <c r="CZ74" t="e">
        <f t="shared" si="26"/>
        <v>#REF!</v>
      </c>
      <c r="DA74">
        <f t="shared" si="27"/>
        <v>202</v>
      </c>
      <c r="DB74" t="e">
        <f>(CZ74+DA74)/MAX(DA66,CZ71)</f>
        <v>#REF!</v>
      </c>
      <c r="DC74" s="26">
        <v>13.2</v>
      </c>
      <c r="DD74" t="e">
        <f t="shared" si="25"/>
        <v>#REF!</v>
      </c>
      <c r="DE74" t="e">
        <f t="shared" si="29"/>
        <v>#REF!</v>
      </c>
      <c r="DF74" t="e">
        <f>ROUND(CZ74/MAX(DA66,CZ71), 2)</f>
        <v>#REF!</v>
      </c>
    </row>
    <row r="75" spans="1:110" x14ac:dyDescent="0.15">
      <c r="A75" s="1">
        <v>2022</v>
      </c>
      <c r="B75" s="1" t="s">
        <v>48</v>
      </c>
      <c r="C75" s="1">
        <v>4</v>
      </c>
      <c r="D75" s="1">
        <v>13</v>
      </c>
      <c r="E75" s="1" t="s">
        <v>51</v>
      </c>
      <c r="F75" s="1" t="s">
        <v>53</v>
      </c>
      <c r="G75" s="1" t="s">
        <v>5</v>
      </c>
      <c r="H75" s="1">
        <v>4</v>
      </c>
      <c r="I75" s="23" t="s">
        <v>63</v>
      </c>
      <c r="J75" s="1" t="s">
        <v>57</v>
      </c>
      <c r="K75" s="24">
        <v>44693</v>
      </c>
      <c r="L75" s="1">
        <f>K75-K67</f>
        <v>-12</v>
      </c>
      <c r="M75" s="1">
        <f>K75-K69</f>
        <v>0</v>
      </c>
      <c r="N75" s="24">
        <v>44716</v>
      </c>
      <c r="O75" s="24">
        <v>44727</v>
      </c>
      <c r="P75" s="24">
        <v>44699</v>
      </c>
      <c r="Q75" s="1">
        <f>P75-P69</f>
        <v>0</v>
      </c>
      <c r="R75" s="1">
        <f>N75-N67</f>
        <v>1</v>
      </c>
      <c r="S75" s="1">
        <f>O75-O67</f>
        <v>1</v>
      </c>
      <c r="T75" s="1">
        <f t="shared" si="28"/>
        <v>1</v>
      </c>
      <c r="U75" s="1" t="s">
        <v>71</v>
      </c>
      <c r="V75" s="1" t="s">
        <v>71</v>
      </c>
      <c r="W75" s="1">
        <v>-2</v>
      </c>
      <c r="X75" s="1">
        <v>5</v>
      </c>
      <c r="Y75" s="1">
        <v>0</v>
      </c>
      <c r="Z75" s="1" t="s">
        <v>71</v>
      </c>
      <c r="AA75" s="1" t="s">
        <v>71</v>
      </c>
      <c r="AB75" s="1" t="s">
        <v>71</v>
      </c>
      <c r="AC75" s="1" t="s">
        <v>71</v>
      </c>
      <c r="AD75" s="25">
        <v>48</v>
      </c>
      <c r="AE75" s="25">
        <v>37</v>
      </c>
      <c r="AF75" s="25">
        <v>98</v>
      </c>
      <c r="AG75" s="25">
        <v>69</v>
      </c>
      <c r="AH75" s="1">
        <v>113</v>
      </c>
      <c r="AI75" s="1">
        <v>62</v>
      </c>
      <c r="AJ75" s="1">
        <v>3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3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 t="s">
        <v>71</v>
      </c>
      <c r="BI75" s="1" t="s">
        <v>71</v>
      </c>
      <c r="BJ75" s="1" t="s">
        <v>71</v>
      </c>
      <c r="BK75" s="1">
        <v>8.0000000000000002E-3</v>
      </c>
      <c r="BL75" s="1">
        <f t="shared" si="23"/>
        <v>0.8</v>
      </c>
      <c r="BM75" s="1">
        <v>0.8</v>
      </c>
      <c r="BN75" s="1">
        <v>0.01</v>
      </c>
      <c r="BO75" s="1">
        <v>1</v>
      </c>
      <c r="BP75" s="1">
        <v>0</v>
      </c>
      <c r="BQ75" s="1">
        <v>178</v>
      </c>
      <c r="BR75" s="1">
        <v>39</v>
      </c>
      <c r="BS75" s="1">
        <v>2</v>
      </c>
      <c r="BT75" s="1">
        <v>6</v>
      </c>
      <c r="BU75" s="1">
        <v>1</v>
      </c>
      <c r="BV75" s="1">
        <v>6</v>
      </c>
      <c r="BW75" s="1">
        <v>4</v>
      </c>
      <c r="BX75" s="1">
        <v>12.44</v>
      </c>
      <c r="BY75" s="1">
        <v>6.8</v>
      </c>
      <c r="BZ75" s="3">
        <v>1.2</v>
      </c>
      <c r="CA75" s="3">
        <v>2.2999999999999998</v>
      </c>
      <c r="CB75" s="3">
        <f t="shared" si="24"/>
        <v>1.666666666666667</v>
      </c>
      <c r="CC75" s="3">
        <f t="shared" si="30"/>
        <v>3.1944444444444446</v>
      </c>
      <c r="CD75" s="1">
        <f>ROUND(CB75/CB64+CC75/CC69,2)</f>
        <v>1.1299999999999999</v>
      </c>
      <c r="CE75" s="1">
        <f>ROUND(CB75/CB67+CC75/CC69,2)</f>
        <v>1.07</v>
      </c>
      <c r="CF75" s="1">
        <f t="shared" si="22"/>
        <v>1.07</v>
      </c>
      <c r="CG75" s="1">
        <f>ROUND(CB75/CB64,2)</f>
        <v>0.31</v>
      </c>
      <c r="CH75" s="1">
        <f>ROUND(CB75/CB67,2)</f>
        <v>0.25</v>
      </c>
      <c r="CI75" s="1">
        <f>ROUND(CC75/CC69,2)</f>
        <v>0.82</v>
      </c>
      <c r="CJ75" s="1">
        <f>ROUND((CC75+CB75)/MAX(CC69,CB67),2)</f>
        <v>0.73</v>
      </c>
      <c r="CK75" s="1">
        <f>ROUND(LN((0.9*BZ75)/(0.1*CA75))/(BZ64/CA69),2)</f>
        <v>1.1100000000000001</v>
      </c>
      <c r="CL75" s="1">
        <f>ROUND(LN((0.9*BZ75)/(0.1*CA75))/(BZ67/CA69),2)</f>
        <v>0.9</v>
      </c>
      <c r="CM75" s="1">
        <f>ROUND(LN((0.1*CA75)/(0.9*BZ75))/(CA69/BZ64),2)</f>
        <v>-2.15</v>
      </c>
      <c r="CN75" s="1">
        <f>ROUND(LN((0.1*CA75)/(0.9*BZ75))/(CA69/BZ67),2)</f>
        <v>-2.65</v>
      </c>
      <c r="CO75" s="1">
        <v>51</v>
      </c>
      <c r="CP75" s="1" t="s">
        <v>71</v>
      </c>
      <c r="CQ75" s="1">
        <v>38.4</v>
      </c>
      <c r="CR75" s="1">
        <v>143.94999999999999</v>
      </c>
      <c r="CS75" s="1">
        <v>33</v>
      </c>
      <c r="CT75" s="1">
        <v>10.7</v>
      </c>
      <c r="CU75" s="1">
        <v>10.1</v>
      </c>
      <c r="CV75">
        <v>50.29</v>
      </c>
      <c r="CW75">
        <v>19.32</v>
      </c>
      <c r="CX75" t="e">
        <f>ROUND(CV75*#REF!/10,1)</f>
        <v>#REF!</v>
      </c>
      <c r="CY75" s="1">
        <v>12.3</v>
      </c>
      <c r="CZ75" t="e">
        <f t="shared" si="26"/>
        <v>#REF!</v>
      </c>
      <c r="DA75">
        <f t="shared" si="27"/>
        <v>205</v>
      </c>
      <c r="DB75" t="e">
        <f>(CZ75+DA75)/MAX(DA67,CZ69)</f>
        <v>#REF!</v>
      </c>
      <c r="DC75" s="26">
        <v>12.3</v>
      </c>
      <c r="DD75" t="e">
        <f t="shared" si="25"/>
        <v>#REF!</v>
      </c>
      <c r="DE75" t="e">
        <f t="shared" si="29"/>
        <v>#REF!</v>
      </c>
      <c r="DF75" t="e">
        <f>ROUND(CZ75/MAX(DA67,CZ69), 2)</f>
        <v>#REF!</v>
      </c>
    </row>
    <row r="76" spans="1:110" x14ac:dyDescent="0.15">
      <c r="A76" s="1">
        <v>2022</v>
      </c>
      <c r="B76" s="1" t="s">
        <v>48</v>
      </c>
      <c r="C76" s="1">
        <v>4</v>
      </c>
      <c r="D76" s="1">
        <v>14</v>
      </c>
      <c r="E76" s="1" t="s">
        <v>51</v>
      </c>
      <c r="F76" s="1" t="s">
        <v>54</v>
      </c>
      <c r="G76" s="1" t="s">
        <v>5</v>
      </c>
      <c r="H76" s="1">
        <v>4</v>
      </c>
      <c r="I76" s="23" t="s">
        <v>64</v>
      </c>
      <c r="J76" s="1" t="s">
        <v>57</v>
      </c>
      <c r="K76" s="24">
        <v>44705</v>
      </c>
      <c r="L76" s="1">
        <f>K76-K67</f>
        <v>0</v>
      </c>
      <c r="M76" s="1">
        <f>K76-K70</f>
        <v>12</v>
      </c>
      <c r="N76" s="24">
        <v>44716</v>
      </c>
      <c r="O76" s="24">
        <v>44728</v>
      </c>
      <c r="P76" s="24">
        <v>44699</v>
      </c>
      <c r="Q76" s="1">
        <f>P76-P70</f>
        <v>0</v>
      </c>
      <c r="R76" s="1">
        <f>N76-N67</f>
        <v>1</v>
      </c>
      <c r="S76" s="1">
        <f>O76-O67</f>
        <v>2</v>
      </c>
      <c r="T76" s="1">
        <f t="shared" si="28"/>
        <v>1.5</v>
      </c>
      <c r="U76" s="1" t="s">
        <v>71</v>
      </c>
      <c r="V76" s="1" t="s">
        <v>71</v>
      </c>
      <c r="W76" s="1">
        <v>1</v>
      </c>
      <c r="X76" s="1">
        <v>0</v>
      </c>
      <c r="Y76" s="1">
        <v>0</v>
      </c>
      <c r="Z76" s="1" t="s">
        <v>71</v>
      </c>
      <c r="AA76" s="1" t="s">
        <v>71</v>
      </c>
      <c r="AB76" s="1" t="s">
        <v>71</v>
      </c>
      <c r="AC76" s="1" t="s">
        <v>71</v>
      </c>
      <c r="AD76" s="25">
        <v>35</v>
      </c>
      <c r="AE76" s="25">
        <v>28</v>
      </c>
      <c r="AF76" s="25">
        <v>97</v>
      </c>
      <c r="AG76" s="25">
        <v>67</v>
      </c>
      <c r="AH76" s="1">
        <v>113</v>
      </c>
      <c r="AI76" s="1">
        <v>66</v>
      </c>
      <c r="AJ76" s="1">
        <v>2.2999999999999998</v>
      </c>
      <c r="AK76" s="1">
        <v>0</v>
      </c>
      <c r="AL76" s="1">
        <v>0</v>
      </c>
      <c r="AM76" s="1">
        <v>0</v>
      </c>
      <c r="AN76" s="1">
        <v>0.03</v>
      </c>
      <c r="AO76" s="1">
        <v>0.05</v>
      </c>
      <c r="AP76" s="1">
        <v>1.5E-3</v>
      </c>
      <c r="AQ76" s="1">
        <v>9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 t="s">
        <v>71</v>
      </c>
      <c r="BI76" s="1" t="s">
        <v>71</v>
      </c>
      <c r="BJ76" s="1" t="s">
        <v>71</v>
      </c>
      <c r="BK76" s="1">
        <v>1.8E-3</v>
      </c>
      <c r="BL76" s="1">
        <f t="shared" si="23"/>
        <v>0.18</v>
      </c>
      <c r="BM76" s="1">
        <v>0.6</v>
      </c>
      <c r="BN76" s="1">
        <v>3.0000000000000001E-3</v>
      </c>
      <c r="BO76" s="1">
        <v>1</v>
      </c>
      <c r="BP76" s="1">
        <v>0</v>
      </c>
      <c r="BQ76" s="1">
        <v>110</v>
      </c>
      <c r="BR76" s="1">
        <v>71</v>
      </c>
      <c r="BS76" s="1">
        <v>17</v>
      </c>
      <c r="BT76" s="1">
        <v>6</v>
      </c>
      <c r="BU76" s="1">
        <v>2</v>
      </c>
      <c r="BV76" s="1">
        <v>7</v>
      </c>
      <c r="BW76" s="1">
        <v>4</v>
      </c>
      <c r="BX76" s="1">
        <v>10.81</v>
      </c>
      <c r="BY76" s="1">
        <v>8.75</v>
      </c>
      <c r="BZ76" s="3">
        <v>0.7</v>
      </c>
      <c r="CA76" s="3">
        <v>2.2999999999999998</v>
      </c>
      <c r="CB76" s="3">
        <f t="shared" si="24"/>
        <v>0.97222222222222221</v>
      </c>
      <c r="CC76" s="3">
        <f t="shared" si="30"/>
        <v>3.1944444444444446</v>
      </c>
      <c r="CD76" s="1">
        <f>ROUND(CB76/CB64+CC76/CC70,2)</f>
        <v>1.53</v>
      </c>
      <c r="CE76" s="1">
        <f>ROUND(CB76/CB67+CC76/CC70,2)</f>
        <v>1.5</v>
      </c>
      <c r="CF76" s="1">
        <f t="shared" si="22"/>
        <v>1.5</v>
      </c>
      <c r="CG76" s="1">
        <f>ROUND(CB76/CB64,2)</f>
        <v>0.18</v>
      </c>
      <c r="CH76" s="1">
        <f>ROUND(CB76/CB67,2)</f>
        <v>0.15</v>
      </c>
      <c r="CI76" s="1">
        <f>ROUND(CC76/CC70,2)</f>
        <v>1.35</v>
      </c>
      <c r="CJ76" s="1">
        <f>ROUND((CC76+CB76)/MAX(CC70,CB67),2)</f>
        <v>0.63</v>
      </c>
      <c r="CK76" s="1">
        <f>ROUND(LN((0.9*BZ76)/(0.1*CA76))/(BZ64/CA70),2)</f>
        <v>0.44</v>
      </c>
      <c r="CL76" s="1">
        <f>ROUND(LN((0.9*BZ76)/(0.1*CA76))/(BZ67/CA70),2)</f>
        <v>0.36</v>
      </c>
      <c r="CM76" s="1">
        <f>ROUND(LN((0.1*CA76)/(0.9*BZ76))/(CA70/BZ64),2)</f>
        <v>-2.31</v>
      </c>
      <c r="CN76" s="1">
        <f>ROUND(LN((0.1*CA76)/(0.9*BZ76))/(CA70/BZ67),2)</f>
        <v>-2.85</v>
      </c>
      <c r="CO76" s="1">
        <v>48</v>
      </c>
      <c r="CP76" s="1" t="s">
        <v>71</v>
      </c>
      <c r="CQ76" s="1">
        <v>34.049999999999997</v>
      </c>
      <c r="CR76" s="1">
        <v>133.25</v>
      </c>
      <c r="CS76" s="1">
        <v>41</v>
      </c>
      <c r="CT76" s="1">
        <v>10.8</v>
      </c>
      <c r="CU76" s="1">
        <v>10</v>
      </c>
      <c r="CV76">
        <v>63.43</v>
      </c>
      <c r="CW76">
        <v>21.53</v>
      </c>
      <c r="CX76" t="e">
        <f>ROUND(CV76*#REF!/10,1)</f>
        <v>#REF!</v>
      </c>
      <c r="CY76" s="1">
        <v>13</v>
      </c>
      <c r="CZ76" t="e">
        <f t="shared" si="26"/>
        <v>#REF!</v>
      </c>
      <c r="DA76">
        <f t="shared" si="27"/>
        <v>126</v>
      </c>
      <c r="DB76" t="e">
        <f>(CZ76+DA76)/MAX(DA67,CZ70)</f>
        <v>#REF!</v>
      </c>
      <c r="DC76" s="26">
        <v>13</v>
      </c>
      <c r="DD76" t="e">
        <f t="shared" si="25"/>
        <v>#REF!</v>
      </c>
      <c r="DE76" t="e">
        <f t="shared" si="29"/>
        <v>#REF!</v>
      </c>
      <c r="DF76" t="e">
        <f>ROUND(CZ76/MAX(DA67,CZ70), 2)</f>
        <v>#REF!</v>
      </c>
    </row>
    <row r="77" spans="1:110" x14ac:dyDescent="0.15">
      <c r="A77" s="1">
        <v>2022</v>
      </c>
      <c r="B77" s="1" t="s">
        <v>48</v>
      </c>
      <c r="C77" s="1">
        <v>4</v>
      </c>
      <c r="D77" s="1">
        <v>15</v>
      </c>
      <c r="E77" s="1" t="s">
        <v>51</v>
      </c>
      <c r="F77" s="1" t="s">
        <v>55</v>
      </c>
      <c r="G77" s="1" t="s">
        <v>5</v>
      </c>
      <c r="H77" s="1">
        <v>4</v>
      </c>
      <c r="I77" s="23" t="s">
        <v>65</v>
      </c>
      <c r="J77" s="1" t="s">
        <v>57</v>
      </c>
      <c r="K77" s="24">
        <v>44693</v>
      </c>
      <c r="L77" s="1">
        <f>K77-K67</f>
        <v>-12</v>
      </c>
      <c r="M77" s="1">
        <f>K77-K71</f>
        <v>0</v>
      </c>
      <c r="N77" s="24">
        <v>44707</v>
      </c>
      <c r="O77" s="24">
        <v>44728</v>
      </c>
      <c r="P77" s="24">
        <v>44699</v>
      </c>
      <c r="Q77" s="1">
        <f>P77-P71</f>
        <v>0</v>
      </c>
      <c r="R77" s="1">
        <f>N77-N67</f>
        <v>-8</v>
      </c>
      <c r="S77" s="1">
        <f>O77-O67</f>
        <v>2</v>
      </c>
      <c r="T77" s="1">
        <f t="shared" si="28"/>
        <v>-3</v>
      </c>
      <c r="U77" s="1" t="s">
        <v>71</v>
      </c>
      <c r="V77" s="1" t="s">
        <v>71</v>
      </c>
      <c r="W77" s="1">
        <v>-2</v>
      </c>
      <c r="X77" s="1">
        <v>0</v>
      </c>
      <c r="Y77" s="1">
        <v>0</v>
      </c>
      <c r="Z77" s="1" t="s">
        <v>71</v>
      </c>
      <c r="AA77" s="1" t="s">
        <v>71</v>
      </c>
      <c r="AB77" s="1" t="s">
        <v>71</v>
      </c>
      <c r="AC77" s="1" t="s">
        <v>71</v>
      </c>
      <c r="AD77" s="25">
        <v>45</v>
      </c>
      <c r="AE77" s="25">
        <v>42</v>
      </c>
      <c r="AF77" s="25">
        <v>98</v>
      </c>
      <c r="AG77" s="25">
        <v>76</v>
      </c>
      <c r="AH77" s="1">
        <v>115</v>
      </c>
      <c r="AI77" s="1">
        <v>73</v>
      </c>
      <c r="AJ77" s="1">
        <v>2.7</v>
      </c>
      <c r="AK77" s="1">
        <v>0</v>
      </c>
      <c r="AL77" s="1">
        <v>0</v>
      </c>
      <c r="AM77" s="1">
        <v>0</v>
      </c>
      <c r="AN77" s="1">
        <v>0.01</v>
      </c>
      <c r="AO77" s="1">
        <v>7.0000000000000007E-2</v>
      </c>
      <c r="AP77" s="1">
        <v>7.000000000000001E-4</v>
      </c>
      <c r="AQ77" s="1" t="s">
        <v>71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2</v>
      </c>
      <c r="BI77" s="1" t="s">
        <v>71</v>
      </c>
      <c r="BJ77" s="1" t="s">
        <v>71</v>
      </c>
      <c r="BK77" s="1">
        <v>2.3999999999999998E-3</v>
      </c>
      <c r="BL77" s="1">
        <f t="shared" si="23"/>
        <v>0.24</v>
      </c>
      <c r="BM77" s="1">
        <v>0.6</v>
      </c>
      <c r="BN77" s="1">
        <v>4.0000000000000001E-3</v>
      </c>
      <c r="BO77" s="1">
        <v>1</v>
      </c>
      <c r="BP77" s="1">
        <v>0</v>
      </c>
      <c r="BQ77" s="1">
        <v>37</v>
      </c>
      <c r="BR77" s="1">
        <v>42</v>
      </c>
      <c r="BS77" s="1">
        <v>10</v>
      </c>
      <c r="BT77" s="1">
        <v>6</v>
      </c>
      <c r="BU77" s="1">
        <v>2</v>
      </c>
      <c r="BV77" s="1">
        <v>5</v>
      </c>
      <c r="BW77" s="1">
        <v>5</v>
      </c>
      <c r="BX77" s="1">
        <v>5.45</v>
      </c>
      <c r="BY77" s="1">
        <v>5.86</v>
      </c>
      <c r="BZ77" s="3">
        <v>1.7</v>
      </c>
      <c r="CA77" s="3">
        <v>1.8</v>
      </c>
      <c r="CB77" s="3">
        <f t="shared" si="24"/>
        <v>2.3611111111111112</v>
      </c>
      <c r="CC77" s="3">
        <f t="shared" si="30"/>
        <v>2.5000000000000004</v>
      </c>
      <c r="CD77" s="1">
        <f>ROUND(CB77/CB64+CC77/CC71,2)</f>
        <v>1.1299999999999999</v>
      </c>
      <c r="CE77" s="1">
        <f>ROUND(CB77/CB67+CC77/CC71,2)</f>
        <v>1.05</v>
      </c>
      <c r="CF77" s="1">
        <f t="shared" si="22"/>
        <v>1.05</v>
      </c>
      <c r="CG77" s="1">
        <f>ROUND(CB77/CB64,2)</f>
        <v>0.44</v>
      </c>
      <c r="CH77" s="1">
        <f>ROUND(CB77/CB67,2)</f>
        <v>0.35</v>
      </c>
      <c r="CI77" s="1">
        <f>ROUND(CC77/CC71,2)</f>
        <v>0.69</v>
      </c>
      <c r="CJ77" s="1">
        <f>ROUND((CC77+CB77)/MAX(CC71,CB67),2)</f>
        <v>0.73</v>
      </c>
      <c r="CK77" s="1">
        <f>ROUND(LN((0.9*BZ77)/(0.1*CA77))/(BZ64/CA71),2)</f>
        <v>1.43</v>
      </c>
      <c r="CL77" s="1">
        <f>ROUND(LN((0.9*BZ77)/(0.1*CA77))/(BZ67/CA71),2)</f>
        <v>1.1599999999999999</v>
      </c>
      <c r="CM77" s="1">
        <f>ROUND(LN((0.1*CA77)/(0.9*BZ77))/(CA71/BZ64),2)</f>
        <v>-3.21</v>
      </c>
      <c r="CN77" s="1">
        <f>ROUND(LN((0.1*CA77)/(0.9*BZ77))/(CA71/BZ67),2)</f>
        <v>-3.95</v>
      </c>
      <c r="CO77" s="1">
        <v>48</v>
      </c>
      <c r="CP77" s="1" t="s">
        <v>71</v>
      </c>
      <c r="CQ77" s="1">
        <v>35</v>
      </c>
      <c r="CR77" s="1">
        <v>161.29999999999998</v>
      </c>
      <c r="CS77" s="1">
        <v>40</v>
      </c>
      <c r="CT77" s="1">
        <v>10.5</v>
      </c>
      <c r="CU77" s="1">
        <v>9.1</v>
      </c>
      <c r="CV77">
        <v>59.39</v>
      </c>
      <c r="CW77">
        <v>17.940000000000001</v>
      </c>
      <c r="CX77" t="e">
        <f>ROUND(CV77*#REF!/10,1)</f>
        <v>#REF!</v>
      </c>
      <c r="CY77" s="1">
        <v>12</v>
      </c>
      <c r="CZ77" t="e">
        <f t="shared" si="26"/>
        <v>#REF!</v>
      </c>
      <c r="DA77">
        <f t="shared" si="27"/>
        <v>283</v>
      </c>
      <c r="DB77" t="e">
        <f>(CZ77+DA77)/MAX(DA67,CZ71)</f>
        <v>#REF!</v>
      </c>
      <c r="DC77" s="26">
        <v>12</v>
      </c>
      <c r="DD77" t="e">
        <f t="shared" si="25"/>
        <v>#REF!</v>
      </c>
      <c r="DE77" t="e">
        <f t="shared" si="29"/>
        <v>#REF!</v>
      </c>
      <c r="DF77" t="e">
        <f>ROUND(CZ77/MAX(DA67,CZ71), 2)</f>
        <v>#REF!</v>
      </c>
    </row>
    <row r="78" spans="1:110" x14ac:dyDescent="0.15">
      <c r="A78" s="1">
        <v>2022</v>
      </c>
      <c r="B78" s="1" t="s">
        <v>48</v>
      </c>
      <c r="C78" s="1">
        <v>4</v>
      </c>
      <c r="D78" s="1">
        <v>16</v>
      </c>
      <c r="E78" s="1" t="s">
        <v>52</v>
      </c>
      <c r="F78" s="1" t="s">
        <v>53</v>
      </c>
      <c r="G78" s="1" t="s">
        <v>5</v>
      </c>
      <c r="H78" s="1">
        <v>4</v>
      </c>
      <c r="I78" s="23" t="s">
        <v>66</v>
      </c>
      <c r="J78" s="1" t="s">
        <v>57</v>
      </c>
      <c r="K78" s="24">
        <v>44695</v>
      </c>
      <c r="L78" s="1">
        <f>K78-K68</f>
        <v>-18</v>
      </c>
      <c r="M78" s="1">
        <f>K78-K69</f>
        <v>2</v>
      </c>
      <c r="N78" s="24">
        <v>44721</v>
      </c>
      <c r="O78" s="24">
        <v>44728</v>
      </c>
      <c r="P78" s="24">
        <v>44699</v>
      </c>
      <c r="Q78" s="1">
        <f>P78-P69</f>
        <v>0</v>
      </c>
      <c r="R78" s="1">
        <f>N78-N68</f>
        <v>6</v>
      </c>
      <c r="S78" s="1">
        <f>O78-O68</f>
        <v>-3</v>
      </c>
      <c r="T78" s="1">
        <f t="shared" si="28"/>
        <v>1.5</v>
      </c>
      <c r="U78" s="1" t="s">
        <v>71</v>
      </c>
      <c r="V78" s="1" t="s">
        <v>71</v>
      </c>
      <c r="W78" s="1">
        <v>-2</v>
      </c>
      <c r="X78" s="1">
        <v>100</v>
      </c>
      <c r="Y78" s="1">
        <v>0</v>
      </c>
      <c r="Z78" s="1" t="s">
        <v>71</v>
      </c>
      <c r="AA78" s="1" t="s">
        <v>71</v>
      </c>
      <c r="AB78" s="1" t="s">
        <v>71</v>
      </c>
      <c r="AC78" s="1" t="s">
        <v>71</v>
      </c>
      <c r="AD78" s="25">
        <v>41</v>
      </c>
      <c r="AE78" s="25">
        <v>36</v>
      </c>
      <c r="AF78" s="25">
        <v>82</v>
      </c>
      <c r="AG78" s="25">
        <v>76</v>
      </c>
      <c r="AH78" s="1">
        <v>39</v>
      </c>
      <c r="AI78" s="1">
        <v>27</v>
      </c>
      <c r="AJ78" s="1">
        <v>2.2999999999999998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3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4</v>
      </c>
      <c r="BI78" s="1" t="s">
        <v>71</v>
      </c>
      <c r="BJ78" s="1" t="s">
        <v>71</v>
      </c>
      <c r="BK78" s="1">
        <v>2.4E-2</v>
      </c>
      <c r="BL78" s="1">
        <f t="shared" si="23"/>
        <v>2.4</v>
      </c>
      <c r="BM78" s="1">
        <v>1.2</v>
      </c>
      <c r="BN78" s="1">
        <v>0.02</v>
      </c>
      <c r="BO78" s="1">
        <v>2</v>
      </c>
      <c r="BP78" s="1">
        <v>0</v>
      </c>
      <c r="BQ78" s="1">
        <v>96</v>
      </c>
      <c r="BR78" s="1">
        <v>24</v>
      </c>
      <c r="BS78" s="1">
        <v>3</v>
      </c>
      <c r="BT78" s="1">
        <v>8</v>
      </c>
      <c r="BU78" s="1" t="s">
        <v>71</v>
      </c>
      <c r="BV78" s="1">
        <v>6</v>
      </c>
      <c r="BW78" s="1">
        <v>4</v>
      </c>
      <c r="BX78" s="1">
        <v>15.04</v>
      </c>
      <c r="BY78" s="1">
        <v>0</v>
      </c>
      <c r="BZ78" s="3">
        <v>0.5</v>
      </c>
      <c r="CA78" s="3">
        <v>3</v>
      </c>
      <c r="CB78" s="3">
        <f t="shared" si="24"/>
        <v>0.69444444444444442</v>
      </c>
      <c r="CC78" s="3">
        <f t="shared" si="30"/>
        <v>4.166666666666667</v>
      </c>
      <c r="CD78" s="1">
        <f>ROUND(CB78/CB65+CC78/CC69,2)</f>
        <v>1.2</v>
      </c>
      <c r="CE78" s="1">
        <f>ROUND(CB78/CB68+CC78/CC69,2)</f>
        <v>1.19</v>
      </c>
      <c r="CF78" s="1">
        <f>ROUND(CB78/(1.2*CB68)+CC78/CC69,2)</f>
        <v>1.17</v>
      </c>
      <c r="CG78" s="1">
        <f>ROUND(CB78/CB65,2)</f>
        <v>0.13</v>
      </c>
      <c r="CH78" s="1">
        <f>ROUND(CB78/CB68,2)</f>
        <v>0.11</v>
      </c>
      <c r="CI78" s="1">
        <f>ROUND(CC78/CC69,2)</f>
        <v>1.07</v>
      </c>
      <c r="CJ78" s="1">
        <f>ROUND((CC78+CB78)/MAX(CC69,CB68),2)</f>
        <v>0.8</v>
      </c>
      <c r="CK78" s="1">
        <f>ROUND(LN((0.9*BZ78)/(0.1*CA78))/(BZ65/CA69),2)</f>
        <v>0.28999999999999998</v>
      </c>
      <c r="CL78" s="1">
        <f>ROUND(LN((0.9*BZ78)/(0.1*CA78))/(BZ68/CA69),2)</f>
        <v>0.26</v>
      </c>
      <c r="CM78" s="1">
        <f>ROUND(LN((0.1*CA78)/(0.9*BZ78))/(CA69/BZ65),2)</f>
        <v>-0.56000000000000005</v>
      </c>
      <c r="CN78" s="1">
        <f>ROUND(LN((0.1*CA78)/(0.9*BZ78))/(CA69/BZ68),2)</f>
        <v>-0.64</v>
      </c>
      <c r="CO78" s="1">
        <v>44</v>
      </c>
      <c r="CP78" s="1" t="s">
        <v>71</v>
      </c>
      <c r="CQ78" s="1">
        <v>33.5</v>
      </c>
      <c r="CR78" s="1">
        <v>149</v>
      </c>
      <c r="CS78" s="1">
        <v>34</v>
      </c>
      <c r="CT78" s="1">
        <v>10.7</v>
      </c>
      <c r="CU78" s="1">
        <v>10</v>
      </c>
      <c r="CV78">
        <v>51.21</v>
      </c>
      <c r="CW78">
        <v>22.02</v>
      </c>
      <c r="CX78" t="e">
        <f>ROUND(CV78*#REF!/10,1)</f>
        <v>#REF!</v>
      </c>
      <c r="CY78" s="1">
        <v>13.5</v>
      </c>
      <c r="CZ78" t="e">
        <f t="shared" si="26"/>
        <v>#REF!</v>
      </c>
      <c r="DA78">
        <f t="shared" si="27"/>
        <v>94</v>
      </c>
      <c r="DB78" t="e">
        <f>(CZ78+DA78)/MAX(DA68,CZ69)</f>
        <v>#REF!</v>
      </c>
      <c r="DC78" s="26">
        <v>13.5</v>
      </c>
      <c r="DD78" t="e">
        <f t="shared" si="25"/>
        <v>#REF!</v>
      </c>
      <c r="DE78" t="e">
        <f t="shared" si="29"/>
        <v>#REF!</v>
      </c>
      <c r="DF78" t="e">
        <f>ROUND(CZ78/MAX(DA68,CZ69), 2)</f>
        <v>#REF!</v>
      </c>
    </row>
    <row r="79" spans="1:110" x14ac:dyDescent="0.15">
      <c r="A79" s="1">
        <v>2022</v>
      </c>
      <c r="B79" s="1" t="s">
        <v>48</v>
      </c>
      <c r="C79" s="1">
        <v>4</v>
      </c>
      <c r="D79" s="1">
        <v>17</v>
      </c>
      <c r="E79" s="1" t="s">
        <v>52</v>
      </c>
      <c r="F79" s="1" t="s">
        <v>54</v>
      </c>
      <c r="G79" s="1" t="s">
        <v>5</v>
      </c>
      <c r="H79" s="1">
        <v>4</v>
      </c>
      <c r="I79" s="23" t="s">
        <v>67</v>
      </c>
      <c r="J79" s="1" t="s">
        <v>57</v>
      </c>
      <c r="K79" s="24">
        <v>44695</v>
      </c>
      <c r="L79" s="1">
        <f>K79-K68</f>
        <v>-18</v>
      </c>
      <c r="M79" s="1">
        <f>K79-K70</f>
        <v>2</v>
      </c>
      <c r="N79" s="24">
        <v>44719</v>
      </c>
      <c r="O79" s="24">
        <v>44734</v>
      </c>
      <c r="P79" s="24">
        <v>44703</v>
      </c>
      <c r="Q79" s="1">
        <f>P79-P70</f>
        <v>4</v>
      </c>
      <c r="R79" s="1">
        <f>N79-N68</f>
        <v>4</v>
      </c>
      <c r="S79" s="1">
        <f>O79-O68</f>
        <v>3</v>
      </c>
      <c r="T79" s="1">
        <f t="shared" si="28"/>
        <v>3.5</v>
      </c>
      <c r="U79" s="1" t="s">
        <v>71</v>
      </c>
      <c r="V79" s="1" t="s">
        <v>71</v>
      </c>
      <c r="W79" s="1">
        <v>-2</v>
      </c>
      <c r="X79" s="1">
        <v>90</v>
      </c>
      <c r="Y79" s="1">
        <v>0</v>
      </c>
      <c r="Z79" s="1" t="s">
        <v>71</v>
      </c>
      <c r="AA79" s="1" t="s">
        <v>71</v>
      </c>
      <c r="AB79" s="1" t="s">
        <v>71</v>
      </c>
      <c r="AC79" s="1" t="s">
        <v>71</v>
      </c>
      <c r="AD79" s="25">
        <v>39</v>
      </c>
      <c r="AE79" s="25">
        <v>31</v>
      </c>
      <c r="AF79" s="25">
        <v>79</v>
      </c>
      <c r="AG79" s="25">
        <v>73</v>
      </c>
      <c r="AH79" s="1">
        <v>91</v>
      </c>
      <c r="AI79" s="1">
        <v>40</v>
      </c>
      <c r="AJ79" s="1">
        <v>2.7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4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2</v>
      </c>
      <c r="BI79" s="1" t="s">
        <v>71</v>
      </c>
      <c r="BJ79" s="1" t="s">
        <v>71</v>
      </c>
      <c r="BK79" s="1">
        <v>3.5999999999999997E-2</v>
      </c>
      <c r="BL79" s="1">
        <f t="shared" si="23"/>
        <v>3.5999999999999996</v>
      </c>
      <c r="BM79" s="1">
        <v>1.2</v>
      </c>
      <c r="BN79" s="1">
        <v>0.03</v>
      </c>
      <c r="BO79" s="1">
        <v>2</v>
      </c>
      <c r="BP79" s="1">
        <v>0</v>
      </c>
      <c r="BQ79" s="1">
        <v>282</v>
      </c>
      <c r="BR79" s="1">
        <v>26</v>
      </c>
      <c r="BS79" s="1">
        <v>4</v>
      </c>
      <c r="BT79" s="1">
        <v>9</v>
      </c>
      <c r="BU79" s="1">
        <v>0</v>
      </c>
      <c r="BV79" s="1">
        <v>6</v>
      </c>
      <c r="BW79" s="1">
        <v>5</v>
      </c>
      <c r="BX79" s="1">
        <v>13.84</v>
      </c>
      <c r="BY79" s="1">
        <v>2.1800000000000002</v>
      </c>
      <c r="BZ79" s="3">
        <v>0.4</v>
      </c>
      <c r="CA79" s="3">
        <v>2.1</v>
      </c>
      <c r="CB79" s="3">
        <f t="shared" si="24"/>
        <v>0.55555555555555569</v>
      </c>
      <c r="CC79" s="3">
        <f t="shared" si="30"/>
        <v>2.916666666666667</v>
      </c>
      <c r="CD79" s="1">
        <f>ROUND(CB79/CB65+CC79/CC70,2)</f>
        <v>1.34</v>
      </c>
      <c r="CE79" s="1">
        <f>ROUND(CB79/CB68+CC79/CC70,2)</f>
        <v>1.33</v>
      </c>
      <c r="CF79" s="1">
        <f>ROUND(CB79/(1.2*CB68)+CC79/CC70,2)</f>
        <v>1.31</v>
      </c>
      <c r="CG79" s="1">
        <f>ROUND(CB79/CB65,2)</f>
        <v>0.1</v>
      </c>
      <c r="CH79" s="1">
        <f>ROUND(CB79/CB68,2)</f>
        <v>0.09</v>
      </c>
      <c r="CI79" s="1">
        <f>ROUND(CC79/CC70,2)</f>
        <v>1.24</v>
      </c>
      <c r="CJ79" s="1">
        <f>ROUND((CC79+CB79)/MAX(CC70,CB68),2)</f>
        <v>0.56999999999999995</v>
      </c>
      <c r="CK79" s="1">
        <f>ROUND(LN((0.9*BZ79)/(0.1*CA79))/(BZ65/CA70),2)</f>
        <v>0.23</v>
      </c>
      <c r="CL79" s="1">
        <f>ROUND(LN((0.9*BZ79)/(0.1*CA79))/(BZ68/CA70),2)</f>
        <v>0.21</v>
      </c>
      <c r="CM79" s="1">
        <f>ROUND(LN((0.1*CA79)/(0.9*BZ79))/(CA70/BZ65),2)</f>
        <v>-1.24</v>
      </c>
      <c r="CN79" s="1">
        <f>ROUND(LN((0.1*CA79)/(0.9*BZ79))/(CA70/BZ68),2)</f>
        <v>-1.4</v>
      </c>
      <c r="CO79" s="1">
        <v>45</v>
      </c>
      <c r="CP79" s="1" t="s">
        <v>71</v>
      </c>
      <c r="CQ79" s="1">
        <v>27.5</v>
      </c>
      <c r="CR79" s="1">
        <v>137.65</v>
      </c>
      <c r="CS79" s="1">
        <v>39</v>
      </c>
      <c r="CT79" s="1">
        <v>10.7</v>
      </c>
      <c r="CU79" s="1">
        <v>10.199999999999999</v>
      </c>
      <c r="CV79">
        <v>59.51</v>
      </c>
      <c r="CW79">
        <v>20.98</v>
      </c>
      <c r="CX79" t="e">
        <f>ROUND(CV79*#REF!/10,1)</f>
        <v>#REF!</v>
      </c>
      <c r="CY79" s="1">
        <v>13.4</v>
      </c>
      <c r="CZ79" t="e">
        <f t="shared" si="26"/>
        <v>#REF!</v>
      </c>
      <c r="DA79">
        <f t="shared" si="27"/>
        <v>74</v>
      </c>
      <c r="DB79" t="e">
        <f>(CZ79+DA79)/MAX(DA68,CZ70)</f>
        <v>#REF!</v>
      </c>
      <c r="DC79" s="26">
        <v>13.4</v>
      </c>
      <c r="DD79" t="e">
        <f t="shared" si="25"/>
        <v>#REF!</v>
      </c>
      <c r="DE79" t="e">
        <f t="shared" si="29"/>
        <v>#REF!</v>
      </c>
      <c r="DF79" t="e">
        <f>ROUND(CZ79/MAX(DA68,CZ70), 2)</f>
        <v>#REF!</v>
      </c>
    </row>
    <row r="80" spans="1:110" x14ac:dyDescent="0.15">
      <c r="A80" s="1">
        <v>2022</v>
      </c>
      <c r="B80" s="1" t="s">
        <v>48</v>
      </c>
      <c r="C80" s="1">
        <v>4</v>
      </c>
      <c r="D80" s="1">
        <v>18</v>
      </c>
      <c r="E80" s="1" t="s">
        <v>52</v>
      </c>
      <c r="F80" s="1" t="s">
        <v>55</v>
      </c>
      <c r="G80" s="1" t="s">
        <v>5</v>
      </c>
      <c r="H80" s="1">
        <v>4</v>
      </c>
      <c r="I80" s="23" t="s">
        <v>68</v>
      </c>
      <c r="J80" s="1" t="s">
        <v>57</v>
      </c>
      <c r="K80" s="24">
        <v>44705</v>
      </c>
      <c r="L80" s="1">
        <f>K80-K68</f>
        <v>-8</v>
      </c>
      <c r="M80" s="1">
        <f>K80-K71</f>
        <v>12</v>
      </c>
      <c r="N80" s="24">
        <v>44721</v>
      </c>
      <c r="O80" s="24">
        <v>44738</v>
      </c>
      <c r="P80" s="24">
        <v>44699</v>
      </c>
      <c r="Q80" s="1">
        <f>P80-P71</f>
        <v>0</v>
      </c>
      <c r="R80" s="1">
        <f>N80-N68</f>
        <v>6</v>
      </c>
      <c r="S80" s="1">
        <f>O80-O68</f>
        <v>7</v>
      </c>
      <c r="T80" s="1">
        <f t="shared" si="28"/>
        <v>6.5</v>
      </c>
      <c r="U80" s="1" t="s">
        <v>71</v>
      </c>
      <c r="V80" s="1" t="s">
        <v>71</v>
      </c>
      <c r="W80" s="1">
        <v>2</v>
      </c>
      <c r="X80" s="1">
        <v>0</v>
      </c>
      <c r="Y80" s="1">
        <v>0</v>
      </c>
      <c r="Z80" s="1" t="s">
        <v>71</v>
      </c>
      <c r="AA80" s="1" t="s">
        <v>71</v>
      </c>
      <c r="AB80" s="1" t="s">
        <v>71</v>
      </c>
      <c r="AC80" s="1" t="s">
        <v>71</v>
      </c>
      <c r="AD80" s="25">
        <v>40</v>
      </c>
      <c r="AE80" s="25">
        <v>39</v>
      </c>
      <c r="AF80" s="25">
        <v>72</v>
      </c>
      <c r="AG80" s="25">
        <v>71</v>
      </c>
      <c r="AH80" s="1">
        <v>91</v>
      </c>
      <c r="AI80" s="1">
        <v>74</v>
      </c>
      <c r="AJ80" s="1">
        <v>3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5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 t="s">
        <v>71</v>
      </c>
      <c r="BI80" s="1" t="s">
        <v>71</v>
      </c>
      <c r="BJ80" s="1" t="s">
        <v>71</v>
      </c>
      <c r="BK80" s="1">
        <v>1.8000000000000002E-3</v>
      </c>
      <c r="BL80" s="1">
        <f t="shared" si="23"/>
        <v>0.18000000000000002</v>
      </c>
      <c r="BM80" s="1">
        <v>0.9</v>
      </c>
      <c r="BN80" s="1">
        <v>2E-3</v>
      </c>
      <c r="BO80" s="1">
        <v>1</v>
      </c>
      <c r="BP80" s="1">
        <v>0</v>
      </c>
      <c r="BQ80" s="1">
        <v>59</v>
      </c>
      <c r="BR80" s="1">
        <v>15</v>
      </c>
      <c r="BS80" s="1">
        <v>3</v>
      </c>
      <c r="BT80" s="1">
        <v>6</v>
      </c>
      <c r="BU80" s="1">
        <v>5</v>
      </c>
      <c r="BV80" s="1">
        <v>7</v>
      </c>
      <c r="BW80" s="1">
        <v>5</v>
      </c>
      <c r="BX80" s="1">
        <v>7.4</v>
      </c>
      <c r="BY80" s="1">
        <v>6.71</v>
      </c>
      <c r="BZ80" s="3">
        <v>1</v>
      </c>
      <c r="CA80" s="3">
        <v>2.4</v>
      </c>
      <c r="CB80" s="3">
        <f t="shared" si="24"/>
        <v>1.3888888888888888</v>
      </c>
      <c r="CC80" s="3">
        <f t="shared" si="30"/>
        <v>3.3333333333333339</v>
      </c>
      <c r="CD80" s="1">
        <f>ROUND(CB80/CB65+CC80/CC71,2)</f>
        <v>1.18</v>
      </c>
      <c r="CE80" s="1">
        <f>ROUND(CB80/CB68+CC80/CC71,2)</f>
        <v>1.1499999999999999</v>
      </c>
      <c r="CF80" s="1">
        <f>ROUND(CB80/(1.2*CB68)+CC80/CC71,2)</f>
        <v>1.1100000000000001</v>
      </c>
      <c r="CG80" s="1">
        <f>ROUND(CB80/CB65,2)</f>
        <v>0.26</v>
      </c>
      <c r="CH80" s="1">
        <f>ROUND(CB80/CB68,2)</f>
        <v>0.23</v>
      </c>
      <c r="CI80" s="1">
        <f>ROUND(CC80/CC71,2)</f>
        <v>0.92</v>
      </c>
      <c r="CJ80" s="1">
        <f>ROUND((CC80+CB80)/MAX(CC71,CB68),2)</f>
        <v>0.77</v>
      </c>
      <c r="CK80" s="1">
        <f>ROUND(LN((0.9*BZ80)/(0.1*CA80))/(BZ65/CA71),2)</f>
        <v>0.88</v>
      </c>
      <c r="CL80" s="1">
        <f>ROUND(LN((0.9*BZ80)/(0.1*CA80))/(BZ68/CA71),2)</f>
        <v>0.78</v>
      </c>
      <c r="CM80" s="1">
        <f>ROUND(LN((0.1*CA80)/(0.9*BZ80))/(CA71/BZ65),2)</f>
        <v>-1.98</v>
      </c>
      <c r="CN80" s="1">
        <f>ROUND(LN((0.1*CA80)/(0.9*BZ80))/(CA71/BZ68),2)</f>
        <v>-2.2400000000000002</v>
      </c>
      <c r="CO80" s="1">
        <v>50</v>
      </c>
      <c r="CP80" s="1" t="s">
        <v>71</v>
      </c>
      <c r="CQ80" s="1">
        <v>32.35</v>
      </c>
      <c r="CR80" s="1">
        <v>167.5</v>
      </c>
      <c r="CS80" s="1">
        <v>41</v>
      </c>
      <c r="CT80" s="1">
        <v>10.4</v>
      </c>
      <c r="CU80" s="1">
        <v>8.4</v>
      </c>
      <c r="CV80">
        <v>58.93</v>
      </c>
      <c r="CW80">
        <v>22.18</v>
      </c>
      <c r="CX80" t="e">
        <f>ROUND(CV80*#REF!/10,1)</f>
        <v>#REF!</v>
      </c>
      <c r="CY80" s="1">
        <v>13.5</v>
      </c>
      <c r="CZ80" t="e">
        <f t="shared" si="26"/>
        <v>#REF!</v>
      </c>
      <c r="DA80">
        <f t="shared" si="27"/>
        <v>188</v>
      </c>
      <c r="DB80" t="e">
        <f>(CZ80+DA80)/MAX(DA68,CZ71)</f>
        <v>#REF!</v>
      </c>
      <c r="DC80" s="26">
        <v>13.5</v>
      </c>
      <c r="DD80" t="e">
        <f t="shared" si="25"/>
        <v>#REF!</v>
      </c>
      <c r="DE80" t="e">
        <f t="shared" si="29"/>
        <v>#REF!</v>
      </c>
      <c r="DF80" t="e">
        <f>ROUND(CZ80/MAX(DA68,CZ71), 2)</f>
        <v>#REF!</v>
      </c>
    </row>
    <row r="81" spans="1:110" x14ac:dyDescent="0.15">
      <c r="A81" s="1">
        <v>2022</v>
      </c>
      <c r="B81" s="1" t="s">
        <v>48</v>
      </c>
      <c r="C81" s="1">
        <v>4</v>
      </c>
      <c r="D81" s="1">
        <v>19</v>
      </c>
      <c r="E81" s="1"/>
      <c r="F81" s="1"/>
      <c r="G81" s="1" t="s">
        <v>56</v>
      </c>
      <c r="H81" s="1">
        <v>4</v>
      </c>
      <c r="I81" s="23" t="s">
        <v>69</v>
      </c>
      <c r="J81" s="1" t="s">
        <v>57</v>
      </c>
      <c r="K81" s="24">
        <v>44713</v>
      </c>
      <c r="L81" s="1" t="s">
        <v>71</v>
      </c>
      <c r="M81" s="1" t="s">
        <v>71</v>
      </c>
      <c r="N81" s="1" t="s">
        <v>71</v>
      </c>
      <c r="O81" s="1" t="s">
        <v>71</v>
      </c>
      <c r="P81" s="1" t="s">
        <v>71</v>
      </c>
      <c r="Q81" s="1" t="s">
        <v>71</v>
      </c>
      <c r="R81" s="1" t="s">
        <v>71</v>
      </c>
      <c r="S81" s="1" t="s">
        <v>71</v>
      </c>
      <c r="T81" s="1" t="s">
        <v>71</v>
      </c>
      <c r="U81" s="1" t="s">
        <v>71</v>
      </c>
      <c r="V81" s="1" t="s">
        <v>71</v>
      </c>
      <c r="W81" s="1" t="s">
        <v>71</v>
      </c>
      <c r="X81" s="1">
        <v>0</v>
      </c>
      <c r="Y81" s="1">
        <v>0</v>
      </c>
      <c r="Z81" s="1" t="s">
        <v>71</v>
      </c>
      <c r="AA81" s="1" t="s">
        <v>71</v>
      </c>
      <c r="AB81" s="1" t="s">
        <v>71</v>
      </c>
      <c r="AC81" s="1" t="s">
        <v>71</v>
      </c>
      <c r="AD81" s="25">
        <v>37</v>
      </c>
      <c r="AE81" s="25" t="s">
        <v>71</v>
      </c>
      <c r="AF81" s="25" t="s">
        <v>71</v>
      </c>
      <c r="AG81" s="25" t="s">
        <v>71</v>
      </c>
      <c r="AH81" s="1">
        <v>82</v>
      </c>
      <c r="AI81" s="1" t="s">
        <v>71</v>
      </c>
      <c r="AJ81" s="1">
        <v>1</v>
      </c>
      <c r="AK81" s="1" t="s">
        <v>71</v>
      </c>
      <c r="AL81" s="1" t="s">
        <v>71</v>
      </c>
      <c r="AM81" s="1" t="s">
        <v>71</v>
      </c>
      <c r="AN81" s="1">
        <v>0</v>
      </c>
      <c r="AO81" s="1">
        <v>0</v>
      </c>
      <c r="AP81" s="1">
        <v>0</v>
      </c>
      <c r="AQ81" s="1">
        <v>6</v>
      </c>
      <c r="AR81" s="1" t="s">
        <v>71</v>
      </c>
      <c r="AS81" s="1" t="s">
        <v>71</v>
      </c>
      <c r="AT81" s="1" t="s">
        <v>71</v>
      </c>
      <c r="AU81" s="1">
        <v>0</v>
      </c>
      <c r="AV81" s="1">
        <v>0</v>
      </c>
      <c r="AW81" s="1">
        <v>0</v>
      </c>
      <c r="AX81" s="1" t="s">
        <v>71</v>
      </c>
      <c r="AY81" s="1" t="s">
        <v>71</v>
      </c>
      <c r="AZ81" s="1">
        <v>0</v>
      </c>
      <c r="BA81" s="1" t="s">
        <v>71</v>
      </c>
      <c r="BB81" s="1" t="s">
        <v>71</v>
      </c>
      <c r="BC81" s="1" t="s">
        <v>71</v>
      </c>
      <c r="BD81" s="1" t="s">
        <v>71</v>
      </c>
      <c r="BE81" s="1" t="s">
        <v>71</v>
      </c>
      <c r="BF81" s="1" t="s">
        <v>71</v>
      </c>
      <c r="BG81" s="1" t="s">
        <v>71</v>
      </c>
      <c r="BH81" s="1" t="s">
        <v>71</v>
      </c>
      <c r="BI81" s="1" t="s">
        <v>71</v>
      </c>
      <c r="BJ81" s="1" t="s">
        <v>71</v>
      </c>
      <c r="BK81" s="1">
        <v>1E-3</v>
      </c>
      <c r="BL81" s="1">
        <f t="shared" si="23"/>
        <v>0.1</v>
      </c>
      <c r="BM81" s="1">
        <v>0.2</v>
      </c>
      <c r="BN81" s="1">
        <v>5.0000000000000001E-3</v>
      </c>
      <c r="BO81" s="1">
        <v>1</v>
      </c>
      <c r="BP81" s="1">
        <v>0</v>
      </c>
      <c r="BQ81" s="1" t="s">
        <v>71</v>
      </c>
      <c r="BR81" s="1" t="s">
        <v>71</v>
      </c>
      <c r="BS81" s="1" t="s">
        <v>71</v>
      </c>
      <c r="BT81" s="1" t="s">
        <v>71</v>
      </c>
      <c r="BU81" s="1" t="s">
        <v>71</v>
      </c>
      <c r="BV81" s="1" t="s">
        <v>71</v>
      </c>
      <c r="BW81" s="1" t="s">
        <v>71</v>
      </c>
      <c r="BX81" s="1">
        <v>10.62</v>
      </c>
      <c r="BY81" s="1" t="s">
        <v>71</v>
      </c>
      <c r="BZ81" s="3" t="s">
        <v>71</v>
      </c>
      <c r="CA81" s="3" t="s">
        <v>71</v>
      </c>
      <c r="CB81" s="3" t="s">
        <v>71</v>
      </c>
      <c r="CC81" s="3" t="s">
        <v>71</v>
      </c>
      <c r="CD81" s="1" t="s">
        <v>71</v>
      </c>
      <c r="CE81" s="1" t="s">
        <v>71</v>
      </c>
      <c r="CF81" s="1" t="s">
        <v>71</v>
      </c>
      <c r="CG81" s="1" t="s">
        <v>71</v>
      </c>
      <c r="CH81" s="1" t="s">
        <v>71</v>
      </c>
      <c r="CI81" s="1" t="s">
        <v>71</v>
      </c>
      <c r="CJ81" s="1" t="s">
        <v>71</v>
      </c>
      <c r="CK81" s="1" t="s">
        <v>71</v>
      </c>
      <c r="CL81" s="3" t="s">
        <v>71</v>
      </c>
      <c r="CM81" s="3" t="s">
        <v>71</v>
      </c>
      <c r="CN81" s="3" t="s">
        <v>71</v>
      </c>
      <c r="CO81" s="1">
        <v>0</v>
      </c>
      <c r="CP81" s="1" t="s">
        <v>71</v>
      </c>
      <c r="CQ81" s="1">
        <v>43.05</v>
      </c>
      <c r="CR81" s="1">
        <v>0</v>
      </c>
      <c r="CS81" s="1" t="s">
        <v>71</v>
      </c>
      <c r="CT81" s="1" t="s">
        <v>71</v>
      </c>
      <c r="CU81" s="1" t="s">
        <v>71</v>
      </c>
      <c r="CV81" s="1" t="s">
        <v>71</v>
      </c>
      <c r="CW81" s="1" t="s">
        <v>71</v>
      </c>
      <c r="CX81" t="s">
        <v>71</v>
      </c>
      <c r="CY81" s="1" t="s">
        <v>71</v>
      </c>
      <c r="CZ81" t="s">
        <v>71</v>
      </c>
      <c r="DA81" t="s">
        <v>71</v>
      </c>
      <c r="DB81" t="s">
        <v>71</v>
      </c>
      <c r="DC81" s="26" t="s">
        <v>71</v>
      </c>
      <c r="DD81">
        <f t="shared" si="25"/>
        <v>0</v>
      </c>
      <c r="DE81" t="s">
        <v>71</v>
      </c>
      <c r="DF81" s="26" t="s">
        <v>71</v>
      </c>
    </row>
    <row r="82" spans="1:110" x14ac:dyDescent="0.15">
      <c r="A82" s="1">
        <v>2022</v>
      </c>
      <c r="B82" s="1" t="s">
        <v>48</v>
      </c>
      <c r="C82" s="1">
        <v>4</v>
      </c>
      <c r="D82" s="1">
        <v>20</v>
      </c>
      <c r="E82" s="1"/>
      <c r="F82" s="1"/>
      <c r="G82" s="1" t="s">
        <v>56</v>
      </c>
      <c r="H82" s="1">
        <v>4</v>
      </c>
      <c r="I82" s="23" t="s">
        <v>70</v>
      </c>
      <c r="J82" s="1" t="s">
        <v>57</v>
      </c>
      <c r="K82" s="24">
        <v>44713</v>
      </c>
      <c r="L82" s="1" t="s">
        <v>71</v>
      </c>
      <c r="M82" s="1" t="s">
        <v>71</v>
      </c>
      <c r="N82" s="1" t="s">
        <v>71</v>
      </c>
      <c r="O82" s="1" t="s">
        <v>71</v>
      </c>
      <c r="P82" s="1" t="s">
        <v>71</v>
      </c>
      <c r="Q82" s="1" t="s">
        <v>71</v>
      </c>
      <c r="R82" s="1" t="s">
        <v>71</v>
      </c>
      <c r="S82" s="1" t="s">
        <v>71</v>
      </c>
      <c r="T82" s="1" t="s">
        <v>71</v>
      </c>
      <c r="U82" s="1" t="s">
        <v>71</v>
      </c>
      <c r="V82" s="1" t="s">
        <v>71</v>
      </c>
      <c r="W82" s="1" t="s">
        <v>71</v>
      </c>
      <c r="X82" s="1">
        <v>0</v>
      </c>
      <c r="Y82" s="1">
        <v>0</v>
      </c>
      <c r="Z82" s="1" t="s">
        <v>71</v>
      </c>
      <c r="AA82" s="1" t="s">
        <v>71</v>
      </c>
      <c r="AB82" s="1" t="s">
        <v>71</v>
      </c>
      <c r="AC82" s="1" t="s">
        <v>71</v>
      </c>
      <c r="AD82" s="25" t="s">
        <v>71</v>
      </c>
      <c r="AE82" s="25">
        <v>26</v>
      </c>
      <c r="AF82" s="25" t="s">
        <v>71</v>
      </c>
      <c r="AG82" s="25">
        <v>44</v>
      </c>
      <c r="AH82" s="1" t="s">
        <v>71</v>
      </c>
      <c r="AI82" s="1" t="s">
        <v>71</v>
      </c>
      <c r="AJ82" s="1" t="s">
        <v>71</v>
      </c>
      <c r="AK82" s="1" t="s">
        <v>71</v>
      </c>
      <c r="AL82" s="1" t="s">
        <v>71</v>
      </c>
      <c r="AM82" s="1" t="s">
        <v>71</v>
      </c>
      <c r="AN82" s="1" t="s">
        <v>71</v>
      </c>
      <c r="AO82" s="1" t="s">
        <v>71</v>
      </c>
      <c r="AP82" s="1" t="s">
        <v>71</v>
      </c>
      <c r="AQ82" s="1" t="s">
        <v>71</v>
      </c>
      <c r="AR82" s="1" t="s">
        <v>71</v>
      </c>
      <c r="AS82" s="1" t="s">
        <v>71</v>
      </c>
      <c r="AT82" s="1" t="s">
        <v>71</v>
      </c>
      <c r="AU82" s="1">
        <v>0</v>
      </c>
      <c r="AV82" s="1">
        <v>0</v>
      </c>
      <c r="AW82" s="1">
        <v>0</v>
      </c>
      <c r="AX82" s="1" t="s">
        <v>71</v>
      </c>
      <c r="AY82" s="1" t="s">
        <v>71</v>
      </c>
      <c r="AZ82" s="1">
        <v>0</v>
      </c>
      <c r="BA82" s="1" t="s">
        <v>71</v>
      </c>
      <c r="BB82" s="1" t="s">
        <v>71</v>
      </c>
      <c r="BC82" s="1" t="s">
        <v>71</v>
      </c>
      <c r="BD82" s="1" t="s">
        <v>71</v>
      </c>
      <c r="BE82" s="1" t="s">
        <v>71</v>
      </c>
      <c r="BF82" s="1" t="s">
        <v>71</v>
      </c>
      <c r="BG82" s="1" t="s">
        <v>71</v>
      </c>
      <c r="BH82" s="1" t="s">
        <v>71</v>
      </c>
      <c r="BI82" s="1" t="s">
        <v>71</v>
      </c>
      <c r="BJ82" s="1" t="s">
        <v>71</v>
      </c>
      <c r="BK82" s="1">
        <v>1</v>
      </c>
      <c r="BL82" s="1">
        <f t="shared" si="23"/>
        <v>100</v>
      </c>
      <c r="BM82" s="1">
        <v>2.5</v>
      </c>
      <c r="BN82" s="1">
        <v>0.4</v>
      </c>
      <c r="BO82" s="1">
        <v>3</v>
      </c>
      <c r="BP82" s="1">
        <v>15</v>
      </c>
      <c r="BQ82" s="1" t="s">
        <v>71</v>
      </c>
      <c r="BR82" s="1" t="s">
        <v>71</v>
      </c>
      <c r="BS82" s="1" t="s">
        <v>71</v>
      </c>
      <c r="BT82" s="1">
        <v>3</v>
      </c>
      <c r="BU82" s="1" t="s">
        <v>71</v>
      </c>
      <c r="BV82" s="1" t="s">
        <v>71</v>
      </c>
      <c r="BW82" s="1" t="s">
        <v>71</v>
      </c>
      <c r="BX82" s="1">
        <v>6.91</v>
      </c>
      <c r="BY82" s="1" t="s">
        <v>71</v>
      </c>
      <c r="BZ82" s="3" t="s">
        <v>71</v>
      </c>
      <c r="CA82" s="3" t="s">
        <v>71</v>
      </c>
      <c r="CB82" s="3" t="s">
        <v>71</v>
      </c>
      <c r="CC82" s="3" t="s">
        <v>71</v>
      </c>
      <c r="CD82" s="1" t="s">
        <v>71</v>
      </c>
      <c r="CE82" s="1" t="s">
        <v>71</v>
      </c>
      <c r="CF82" s="1" t="s">
        <v>71</v>
      </c>
      <c r="CG82" s="1" t="s">
        <v>71</v>
      </c>
      <c r="CH82" s="1" t="s">
        <v>71</v>
      </c>
      <c r="CI82" s="1" t="s">
        <v>71</v>
      </c>
      <c r="CJ82" s="1" t="s">
        <v>71</v>
      </c>
      <c r="CK82" s="1" t="s">
        <v>71</v>
      </c>
      <c r="CL82" s="3" t="s">
        <v>71</v>
      </c>
      <c r="CM82" s="3" t="s">
        <v>71</v>
      </c>
      <c r="CN82" s="3" t="s">
        <v>71</v>
      </c>
      <c r="CO82" s="1">
        <v>0</v>
      </c>
      <c r="CP82" s="1" t="s">
        <v>71</v>
      </c>
      <c r="CQ82" s="1">
        <v>0</v>
      </c>
      <c r="CR82" s="1">
        <v>191.6</v>
      </c>
      <c r="CS82" s="1">
        <v>21</v>
      </c>
      <c r="CT82" s="1" t="s">
        <v>71</v>
      </c>
      <c r="CU82" s="1">
        <v>10.5</v>
      </c>
      <c r="CV82" s="1" t="s">
        <v>71</v>
      </c>
      <c r="CW82" s="1" t="s">
        <v>71</v>
      </c>
      <c r="CX82" t="s">
        <v>71</v>
      </c>
      <c r="CY82" s="1" t="s">
        <v>71</v>
      </c>
      <c r="CZ82" t="s">
        <v>71</v>
      </c>
      <c r="DA82" t="s">
        <v>71</v>
      </c>
      <c r="DB82" t="s">
        <v>71</v>
      </c>
      <c r="DC82" s="26" t="s">
        <v>71</v>
      </c>
      <c r="DD82">
        <f t="shared" si="25"/>
        <v>0</v>
      </c>
      <c r="DE82" t="s">
        <v>71</v>
      </c>
      <c r="DF82" s="26" t="s">
        <v>71</v>
      </c>
    </row>
    <row r="83" spans="1:110" x14ac:dyDescent="0.15">
      <c r="A83" s="1">
        <v>2022</v>
      </c>
      <c r="B83" s="1" t="s">
        <v>49</v>
      </c>
      <c r="C83" s="1">
        <v>5</v>
      </c>
      <c r="D83" s="1">
        <v>1</v>
      </c>
      <c r="E83" s="1" t="s">
        <v>50</v>
      </c>
      <c r="F83" s="1"/>
      <c r="G83" s="1" t="s">
        <v>56</v>
      </c>
      <c r="H83" s="1">
        <v>1</v>
      </c>
      <c r="I83" s="23" t="s">
        <v>50</v>
      </c>
      <c r="J83" s="1" t="s">
        <v>57</v>
      </c>
      <c r="K83" s="1" t="s">
        <v>57</v>
      </c>
      <c r="L83" s="1" t="s">
        <v>71</v>
      </c>
      <c r="M83" s="1" t="s">
        <v>71</v>
      </c>
      <c r="N83" s="24">
        <v>44708</v>
      </c>
      <c r="O83" s="24">
        <v>44721</v>
      </c>
      <c r="P83" s="1" t="s">
        <v>71</v>
      </c>
      <c r="Q83" s="1" t="s">
        <v>71</v>
      </c>
      <c r="R83" s="1" t="s">
        <v>71</v>
      </c>
      <c r="S83" s="1" t="s">
        <v>71</v>
      </c>
      <c r="T83" s="1" t="s">
        <v>71</v>
      </c>
      <c r="U83" s="1" t="s">
        <v>71</v>
      </c>
      <c r="V83" s="1" t="s">
        <v>71</v>
      </c>
      <c r="W83" s="1" t="s">
        <v>71</v>
      </c>
      <c r="X83" s="1" t="s">
        <v>71</v>
      </c>
      <c r="Y83" s="1">
        <v>0</v>
      </c>
      <c r="Z83" s="1" t="s">
        <v>71</v>
      </c>
      <c r="AA83" s="1" t="s">
        <v>71</v>
      </c>
      <c r="AB83" s="1" t="s">
        <v>71</v>
      </c>
      <c r="AC83" s="1" t="s">
        <v>71</v>
      </c>
      <c r="AD83" s="25">
        <v>47</v>
      </c>
      <c r="AE83" s="25" t="s">
        <v>71</v>
      </c>
      <c r="AF83" s="25">
        <v>107</v>
      </c>
      <c r="AG83" s="25" t="s">
        <v>71</v>
      </c>
      <c r="AH83" s="1">
        <v>105</v>
      </c>
      <c r="AI83" s="1" t="s">
        <v>71</v>
      </c>
      <c r="AJ83" s="1">
        <v>2.2999999999999998</v>
      </c>
      <c r="AK83" s="1">
        <v>0.01</v>
      </c>
      <c r="AL83" s="1">
        <v>0.01</v>
      </c>
      <c r="AM83" s="1">
        <v>1E-4</v>
      </c>
      <c r="AN83" s="1" t="s">
        <v>71</v>
      </c>
      <c r="AO83" s="1" t="s">
        <v>71</v>
      </c>
      <c r="AP83" s="1" t="s">
        <v>71</v>
      </c>
      <c r="AQ83" s="1">
        <v>12</v>
      </c>
      <c r="AR83" s="1">
        <v>0</v>
      </c>
      <c r="AS83" s="1">
        <v>0</v>
      </c>
      <c r="AT83" s="1">
        <v>0</v>
      </c>
      <c r="AU83" s="1" t="s">
        <v>71</v>
      </c>
      <c r="AV83" s="1" t="s">
        <v>71</v>
      </c>
      <c r="AW83" s="1" t="s">
        <v>71</v>
      </c>
      <c r="AX83" s="1">
        <v>0</v>
      </c>
      <c r="AY83" s="1">
        <v>0</v>
      </c>
      <c r="AZ83" s="1" t="s">
        <v>71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 t="s">
        <v>71</v>
      </c>
      <c r="BI83" s="1" t="s">
        <v>71</v>
      </c>
      <c r="BJ83" s="1" t="s">
        <v>71</v>
      </c>
      <c r="BK83" s="1">
        <v>1.0000000000000002E-4</v>
      </c>
      <c r="BL83" s="1">
        <f t="shared" si="23"/>
        <v>1.0000000000000002E-2</v>
      </c>
      <c r="BM83" s="1">
        <v>0.1</v>
      </c>
      <c r="BN83" s="1" t="s">
        <v>71</v>
      </c>
      <c r="BO83" s="1">
        <v>1</v>
      </c>
      <c r="BP83" s="1">
        <v>0</v>
      </c>
      <c r="BQ83" s="1" t="s">
        <v>71</v>
      </c>
      <c r="BR83" s="1" t="s">
        <v>71</v>
      </c>
      <c r="BS83" s="1" t="s">
        <v>71</v>
      </c>
      <c r="BT83" s="1" t="s">
        <v>71</v>
      </c>
      <c r="BU83" s="1" t="s">
        <v>71</v>
      </c>
      <c r="BV83" s="1" t="s">
        <v>71</v>
      </c>
      <c r="BW83" s="1" t="s">
        <v>71</v>
      </c>
      <c r="BX83" s="1" t="s">
        <v>71</v>
      </c>
      <c r="BY83" s="1" t="s">
        <v>71</v>
      </c>
      <c r="BZ83" s="3">
        <v>2.6</v>
      </c>
      <c r="CA83" s="3" t="s">
        <v>71</v>
      </c>
      <c r="CB83" s="3">
        <f t="shared" si="24"/>
        <v>3.6111111111111116</v>
      </c>
      <c r="CC83" s="1" t="s">
        <v>71</v>
      </c>
      <c r="CD83" s="1">
        <v>1</v>
      </c>
      <c r="CE83" s="1">
        <v>1</v>
      </c>
      <c r="CF83" s="1">
        <f>CE83</f>
        <v>1</v>
      </c>
      <c r="CG83" s="3" t="s">
        <v>71</v>
      </c>
      <c r="CH83" s="3" t="s">
        <v>71</v>
      </c>
      <c r="CI83" s="3" t="s">
        <v>71</v>
      </c>
      <c r="CJ83" s="3" t="s">
        <v>71</v>
      </c>
      <c r="CK83" s="3" t="s">
        <v>71</v>
      </c>
      <c r="CL83" s="3" t="s">
        <v>71</v>
      </c>
      <c r="CM83" s="3" t="s">
        <v>71</v>
      </c>
      <c r="CN83" s="3" t="s">
        <v>71</v>
      </c>
      <c r="CO83" s="1">
        <v>45</v>
      </c>
      <c r="CP83" s="1" t="s">
        <v>71</v>
      </c>
      <c r="CQ83" s="1">
        <v>39</v>
      </c>
      <c r="CR83" s="1" t="s">
        <v>71</v>
      </c>
      <c r="CS83" s="1" t="s">
        <v>71</v>
      </c>
      <c r="CT83" s="1">
        <v>10.199999999999999</v>
      </c>
      <c r="CU83" s="1" t="s">
        <v>71</v>
      </c>
      <c r="CV83" s="1" t="s">
        <v>71</v>
      </c>
      <c r="CW83" s="1" t="s">
        <v>71</v>
      </c>
      <c r="CX83" s="1" t="s">
        <v>71</v>
      </c>
      <c r="CY83" s="1">
        <v>10.6</v>
      </c>
      <c r="CZ83" s="1" t="s">
        <v>71</v>
      </c>
      <c r="DA83">
        <f t="shared" ref="DA83:DA88" si="31">ROUND((CY83*CB83*10),0)</f>
        <v>383</v>
      </c>
      <c r="DB83" s="1" t="s">
        <v>71</v>
      </c>
      <c r="DC83" s="1">
        <v>10.6</v>
      </c>
      <c r="DD83">
        <f t="shared" si="25"/>
        <v>383</v>
      </c>
      <c r="DE83" s="1" t="s">
        <v>71</v>
      </c>
      <c r="DF83" s="1" t="s">
        <v>71</v>
      </c>
    </row>
    <row r="84" spans="1:110" x14ac:dyDescent="0.15">
      <c r="A84" s="1">
        <v>2022</v>
      </c>
      <c r="B84" s="1" t="s">
        <v>49</v>
      </c>
      <c r="C84" s="1">
        <v>5</v>
      </c>
      <c r="D84" s="1">
        <v>2</v>
      </c>
      <c r="E84" s="1" t="s">
        <v>51</v>
      </c>
      <c r="F84" s="1"/>
      <c r="G84" s="1" t="s">
        <v>56</v>
      </c>
      <c r="H84" s="1">
        <v>1</v>
      </c>
      <c r="I84" s="23" t="s">
        <v>51</v>
      </c>
      <c r="J84" s="1" t="s">
        <v>57</v>
      </c>
      <c r="K84" s="1" t="s">
        <v>57</v>
      </c>
      <c r="L84" s="1" t="s">
        <v>71</v>
      </c>
      <c r="M84" s="1" t="s">
        <v>71</v>
      </c>
      <c r="N84" s="24">
        <v>44712</v>
      </c>
      <c r="O84" s="24">
        <v>44721</v>
      </c>
      <c r="P84" s="1" t="s">
        <v>71</v>
      </c>
      <c r="Q84" s="1" t="s">
        <v>71</v>
      </c>
      <c r="R84" s="1" t="s">
        <v>71</v>
      </c>
      <c r="S84" s="1" t="s">
        <v>71</v>
      </c>
      <c r="T84" s="1" t="s">
        <v>71</v>
      </c>
      <c r="U84" s="1" t="s">
        <v>71</v>
      </c>
      <c r="V84" s="1" t="s">
        <v>71</v>
      </c>
      <c r="W84" s="1" t="s">
        <v>71</v>
      </c>
      <c r="X84" s="1" t="s">
        <v>71</v>
      </c>
      <c r="Y84" s="1">
        <v>0</v>
      </c>
      <c r="Z84" s="1" t="s">
        <v>71</v>
      </c>
      <c r="AA84" s="1" t="s">
        <v>71</v>
      </c>
      <c r="AB84" s="1" t="s">
        <v>71</v>
      </c>
      <c r="AC84" s="1" t="s">
        <v>71</v>
      </c>
      <c r="AD84" s="25">
        <v>41</v>
      </c>
      <c r="AE84" s="25" t="s">
        <v>71</v>
      </c>
      <c r="AF84" s="25">
        <v>79</v>
      </c>
      <c r="AG84" s="25" t="s">
        <v>71</v>
      </c>
      <c r="AH84" s="1">
        <v>87</v>
      </c>
      <c r="AI84" s="1" t="s">
        <v>71</v>
      </c>
      <c r="AJ84" s="1">
        <v>1.3</v>
      </c>
      <c r="AK84" s="1">
        <v>0</v>
      </c>
      <c r="AL84" s="1">
        <v>0</v>
      </c>
      <c r="AM84" s="1">
        <v>0</v>
      </c>
      <c r="AN84" s="1" t="s">
        <v>71</v>
      </c>
      <c r="AO84" s="1" t="s">
        <v>71</v>
      </c>
      <c r="AP84" s="1" t="s">
        <v>71</v>
      </c>
      <c r="AQ84" s="1">
        <v>13</v>
      </c>
      <c r="AR84" s="1">
        <v>0</v>
      </c>
      <c r="AS84" s="1">
        <v>0</v>
      </c>
      <c r="AT84" s="1">
        <v>0</v>
      </c>
      <c r="AU84" s="1" t="s">
        <v>71</v>
      </c>
      <c r="AV84" s="1" t="s">
        <v>71</v>
      </c>
      <c r="AW84" s="1" t="s">
        <v>71</v>
      </c>
      <c r="AX84" s="1">
        <v>0</v>
      </c>
      <c r="AY84" s="1">
        <v>0</v>
      </c>
      <c r="AZ84" s="1" t="s">
        <v>71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 t="s">
        <v>71</v>
      </c>
      <c r="BI84" s="1" t="s">
        <v>71</v>
      </c>
      <c r="BJ84" s="1" t="s">
        <v>71</v>
      </c>
      <c r="BK84" s="1">
        <v>1.0000000000000002E-4</v>
      </c>
      <c r="BL84" s="1">
        <f t="shared" si="23"/>
        <v>1.0000000000000002E-2</v>
      </c>
      <c r="BM84" s="1">
        <v>0.1</v>
      </c>
      <c r="BN84" s="1" t="s">
        <v>71</v>
      </c>
      <c r="BO84" s="1">
        <v>1</v>
      </c>
      <c r="BP84" s="1">
        <v>0</v>
      </c>
      <c r="BQ84" s="1" t="s">
        <v>71</v>
      </c>
      <c r="BR84" s="1" t="s">
        <v>71</v>
      </c>
      <c r="BS84" s="1" t="s">
        <v>71</v>
      </c>
      <c r="BT84" s="1" t="s">
        <v>71</v>
      </c>
      <c r="BU84" s="1" t="s">
        <v>71</v>
      </c>
      <c r="BV84" s="1" t="s">
        <v>71</v>
      </c>
      <c r="BW84" s="1" t="s">
        <v>71</v>
      </c>
      <c r="BX84" s="1" t="s">
        <v>71</v>
      </c>
      <c r="BY84" s="1" t="s">
        <v>71</v>
      </c>
      <c r="BZ84" s="3">
        <v>3.1</v>
      </c>
      <c r="CA84" s="3" t="s">
        <v>71</v>
      </c>
      <c r="CB84" s="3">
        <f t="shared" si="24"/>
        <v>4.3055555555555562</v>
      </c>
      <c r="CC84" s="1" t="s">
        <v>71</v>
      </c>
      <c r="CD84" s="1">
        <v>1</v>
      </c>
      <c r="CE84" s="1">
        <v>1</v>
      </c>
      <c r="CF84" s="1">
        <f t="shared" ref="CF84:CF97" si="32">CE84</f>
        <v>1</v>
      </c>
      <c r="CG84" s="3" t="s">
        <v>71</v>
      </c>
      <c r="CH84" s="3" t="s">
        <v>71</v>
      </c>
      <c r="CI84" s="3" t="s">
        <v>71</v>
      </c>
      <c r="CJ84" s="3" t="s">
        <v>71</v>
      </c>
      <c r="CK84" s="3" t="s">
        <v>71</v>
      </c>
      <c r="CL84" s="3" t="s">
        <v>71</v>
      </c>
      <c r="CM84" s="3" t="s">
        <v>71</v>
      </c>
      <c r="CN84" s="3" t="s">
        <v>71</v>
      </c>
      <c r="CO84" s="1">
        <v>48</v>
      </c>
      <c r="CP84" s="1" t="s">
        <v>71</v>
      </c>
      <c r="CQ84" s="1">
        <v>168</v>
      </c>
      <c r="CR84" s="1" t="s">
        <v>71</v>
      </c>
      <c r="CS84" s="1" t="s">
        <v>71</v>
      </c>
      <c r="CT84" s="1">
        <v>10.199999999999999</v>
      </c>
      <c r="CU84" s="1" t="s">
        <v>71</v>
      </c>
      <c r="CV84" s="1" t="s">
        <v>71</v>
      </c>
      <c r="CW84" s="1" t="s">
        <v>71</v>
      </c>
      <c r="CX84" s="1" t="s">
        <v>71</v>
      </c>
      <c r="CY84" s="1">
        <v>10.1</v>
      </c>
      <c r="CZ84" s="1" t="s">
        <v>71</v>
      </c>
      <c r="DA84">
        <f t="shared" si="31"/>
        <v>435</v>
      </c>
      <c r="DB84" s="1" t="s">
        <v>71</v>
      </c>
      <c r="DC84" s="1">
        <v>10.1</v>
      </c>
      <c r="DD84">
        <f t="shared" si="25"/>
        <v>435</v>
      </c>
      <c r="DE84" s="1" t="s">
        <v>71</v>
      </c>
      <c r="DF84" s="1" t="s">
        <v>71</v>
      </c>
    </row>
    <row r="85" spans="1:110" x14ac:dyDescent="0.15">
      <c r="A85" s="1">
        <v>2022</v>
      </c>
      <c r="B85" s="1" t="s">
        <v>49</v>
      </c>
      <c r="C85" s="1">
        <v>5</v>
      </c>
      <c r="D85" s="1">
        <v>3</v>
      </c>
      <c r="E85" s="1" t="s">
        <v>52</v>
      </c>
      <c r="F85" s="1"/>
      <c r="G85" s="1" t="s">
        <v>56</v>
      </c>
      <c r="H85" s="1">
        <v>1</v>
      </c>
      <c r="I85" s="23" t="s">
        <v>52</v>
      </c>
      <c r="J85" s="1" t="s">
        <v>57</v>
      </c>
      <c r="K85" s="1" t="s">
        <v>57</v>
      </c>
      <c r="L85" s="1" t="s">
        <v>71</v>
      </c>
      <c r="M85" s="1" t="s">
        <v>71</v>
      </c>
      <c r="N85" s="24">
        <v>44713</v>
      </c>
      <c r="O85" s="24">
        <v>44726</v>
      </c>
      <c r="P85" s="1" t="s">
        <v>71</v>
      </c>
      <c r="Q85" s="1" t="s">
        <v>71</v>
      </c>
      <c r="R85" s="1" t="s">
        <v>71</v>
      </c>
      <c r="S85" s="1" t="s">
        <v>71</v>
      </c>
      <c r="T85" s="1" t="s">
        <v>71</v>
      </c>
      <c r="U85" s="1" t="s">
        <v>71</v>
      </c>
      <c r="V85" s="1" t="s">
        <v>71</v>
      </c>
      <c r="W85" s="1" t="s">
        <v>71</v>
      </c>
      <c r="X85" s="1" t="s">
        <v>71</v>
      </c>
      <c r="Y85" s="1">
        <v>0</v>
      </c>
      <c r="Z85" s="1" t="s">
        <v>71</v>
      </c>
      <c r="AA85" s="1" t="s">
        <v>71</v>
      </c>
      <c r="AB85" s="1" t="s">
        <v>71</v>
      </c>
      <c r="AC85" s="1" t="s">
        <v>71</v>
      </c>
      <c r="AD85" s="25">
        <v>37</v>
      </c>
      <c r="AE85" s="25" t="s">
        <v>71</v>
      </c>
      <c r="AF85" s="25">
        <v>65</v>
      </c>
      <c r="AG85" s="25" t="s">
        <v>71</v>
      </c>
      <c r="AH85" s="1">
        <v>70</v>
      </c>
      <c r="AI85" s="1" t="s">
        <v>71</v>
      </c>
      <c r="AJ85" s="1">
        <v>1.3</v>
      </c>
      <c r="AK85" s="1">
        <v>0</v>
      </c>
      <c r="AL85" s="1">
        <v>0</v>
      </c>
      <c r="AM85" s="1">
        <v>0</v>
      </c>
      <c r="AN85" s="1" t="s">
        <v>71</v>
      </c>
      <c r="AO85" s="1" t="s">
        <v>71</v>
      </c>
      <c r="AP85" s="1" t="s">
        <v>71</v>
      </c>
      <c r="AQ85" s="1">
        <v>10</v>
      </c>
      <c r="AR85" s="1">
        <v>0</v>
      </c>
      <c r="AS85" s="1">
        <v>0</v>
      </c>
      <c r="AT85" s="1">
        <v>0</v>
      </c>
      <c r="AU85" s="1" t="s">
        <v>71</v>
      </c>
      <c r="AV85" s="1" t="s">
        <v>71</v>
      </c>
      <c r="AW85" s="1" t="s">
        <v>71</v>
      </c>
      <c r="AX85" s="1">
        <v>0</v>
      </c>
      <c r="AY85" s="1">
        <v>0</v>
      </c>
      <c r="AZ85" s="1" t="s">
        <v>71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 t="s">
        <v>71</v>
      </c>
      <c r="BI85" s="1" t="s">
        <v>71</v>
      </c>
      <c r="BJ85" s="1" t="s">
        <v>71</v>
      </c>
      <c r="BK85" s="1">
        <v>1E-3</v>
      </c>
      <c r="BL85" s="1">
        <f t="shared" si="23"/>
        <v>0.1</v>
      </c>
      <c r="BM85" s="1">
        <v>1</v>
      </c>
      <c r="BN85" s="1" t="s">
        <v>71</v>
      </c>
      <c r="BO85" s="1">
        <v>1</v>
      </c>
      <c r="BP85" s="1">
        <v>0</v>
      </c>
      <c r="BQ85" s="1" t="s">
        <v>71</v>
      </c>
      <c r="BR85" s="1" t="s">
        <v>71</v>
      </c>
      <c r="BS85" s="1" t="s">
        <v>71</v>
      </c>
      <c r="BT85" s="1" t="s">
        <v>71</v>
      </c>
      <c r="BU85" s="1" t="s">
        <v>71</v>
      </c>
      <c r="BV85" s="1" t="s">
        <v>71</v>
      </c>
      <c r="BW85" s="1" t="s">
        <v>71</v>
      </c>
      <c r="BX85" s="1" t="s">
        <v>71</v>
      </c>
      <c r="BY85" s="1" t="s">
        <v>71</v>
      </c>
      <c r="BZ85" s="3">
        <v>2.1</v>
      </c>
      <c r="CA85" s="3" t="s">
        <v>71</v>
      </c>
      <c r="CB85" s="3">
        <f t="shared" si="24"/>
        <v>2.916666666666667</v>
      </c>
      <c r="CC85" s="1" t="s">
        <v>71</v>
      </c>
      <c r="CD85" s="1">
        <v>1</v>
      </c>
      <c r="CE85" s="1">
        <v>1</v>
      </c>
      <c r="CF85" s="1">
        <f t="shared" si="32"/>
        <v>1</v>
      </c>
      <c r="CG85" s="3" t="s">
        <v>71</v>
      </c>
      <c r="CH85" s="3" t="s">
        <v>71</v>
      </c>
      <c r="CI85" s="3" t="s">
        <v>71</v>
      </c>
      <c r="CJ85" s="3" t="s">
        <v>71</v>
      </c>
      <c r="CK85" s="3" t="s">
        <v>71</v>
      </c>
      <c r="CL85" s="3" t="s">
        <v>71</v>
      </c>
      <c r="CM85" s="3" t="s">
        <v>71</v>
      </c>
      <c r="CN85" s="3" t="s">
        <v>71</v>
      </c>
      <c r="CO85" s="1">
        <v>45</v>
      </c>
      <c r="CP85" s="1" t="s">
        <v>71</v>
      </c>
      <c r="CQ85" s="1">
        <v>30</v>
      </c>
      <c r="CR85" s="1" t="s">
        <v>71</v>
      </c>
      <c r="CS85" s="1" t="s">
        <v>71</v>
      </c>
      <c r="CT85" s="1">
        <v>10.3</v>
      </c>
      <c r="CU85" s="1" t="s">
        <v>71</v>
      </c>
      <c r="CV85" s="1" t="s">
        <v>71</v>
      </c>
      <c r="CW85" s="1" t="s">
        <v>71</v>
      </c>
      <c r="CX85" s="1" t="s">
        <v>71</v>
      </c>
      <c r="CY85" s="1">
        <v>11.1</v>
      </c>
      <c r="CZ85" s="1" t="s">
        <v>71</v>
      </c>
      <c r="DA85">
        <f t="shared" si="31"/>
        <v>324</v>
      </c>
      <c r="DB85" s="1" t="s">
        <v>71</v>
      </c>
      <c r="DC85" s="1">
        <v>11.1</v>
      </c>
      <c r="DD85">
        <f t="shared" si="25"/>
        <v>324</v>
      </c>
      <c r="DE85" s="1" t="s">
        <v>71</v>
      </c>
      <c r="DF85" s="1" t="s">
        <v>71</v>
      </c>
    </row>
    <row r="86" spans="1:110" x14ac:dyDescent="0.15">
      <c r="A86" s="1">
        <v>2022</v>
      </c>
      <c r="B86" s="1" t="s">
        <v>49</v>
      </c>
      <c r="C86" s="1">
        <v>5</v>
      </c>
      <c r="D86" s="1">
        <v>4</v>
      </c>
      <c r="E86" s="1" t="s">
        <v>50</v>
      </c>
      <c r="F86" s="1"/>
      <c r="G86" s="1" t="s">
        <v>56</v>
      </c>
      <c r="H86" s="1">
        <v>1</v>
      </c>
      <c r="I86" s="23" t="s">
        <v>50</v>
      </c>
      <c r="J86" s="1" t="s">
        <v>58</v>
      </c>
      <c r="K86" s="24">
        <v>44690</v>
      </c>
      <c r="L86" s="1" t="s">
        <v>71</v>
      </c>
      <c r="M86" s="1" t="s">
        <v>71</v>
      </c>
      <c r="N86" s="24">
        <v>44708</v>
      </c>
      <c r="O86" s="24">
        <v>44721</v>
      </c>
      <c r="P86" s="1" t="s">
        <v>71</v>
      </c>
      <c r="Q86" s="1" t="s">
        <v>71</v>
      </c>
      <c r="R86" s="1" t="s">
        <v>71</v>
      </c>
      <c r="S86" s="1" t="s">
        <v>71</v>
      </c>
      <c r="T86" s="1" t="s">
        <v>71</v>
      </c>
      <c r="U86" s="1" t="s">
        <v>71</v>
      </c>
      <c r="V86" s="1" t="s">
        <v>71</v>
      </c>
      <c r="W86" s="1" t="s">
        <v>71</v>
      </c>
      <c r="X86" s="1" t="s">
        <v>71</v>
      </c>
      <c r="Y86" s="1">
        <v>0</v>
      </c>
      <c r="Z86" s="1" t="s">
        <v>71</v>
      </c>
      <c r="AA86" s="1" t="s">
        <v>71</v>
      </c>
      <c r="AB86" s="1" t="s">
        <v>71</v>
      </c>
      <c r="AC86" s="1" t="s">
        <v>71</v>
      </c>
      <c r="AD86" s="25">
        <v>56</v>
      </c>
      <c r="AE86" s="25" t="s">
        <v>71</v>
      </c>
      <c r="AF86" s="25">
        <v>126</v>
      </c>
      <c r="AG86" s="25" t="s">
        <v>71</v>
      </c>
      <c r="AH86" s="1">
        <v>120</v>
      </c>
      <c r="AI86" s="1" t="s">
        <v>71</v>
      </c>
      <c r="AJ86" s="1">
        <v>1.3</v>
      </c>
      <c r="AK86" s="1">
        <v>0</v>
      </c>
      <c r="AL86" s="1">
        <v>0</v>
      </c>
      <c r="AM86" s="1">
        <v>0</v>
      </c>
      <c r="AN86" s="1">
        <v>0.01</v>
      </c>
      <c r="AO86" s="1">
        <v>0.01</v>
      </c>
      <c r="AP86" s="1">
        <v>1E-4</v>
      </c>
      <c r="AQ86" s="1">
        <v>3</v>
      </c>
      <c r="AR86" s="1">
        <v>0</v>
      </c>
      <c r="AS86" s="1">
        <v>0</v>
      </c>
      <c r="AT86" s="1">
        <v>0</v>
      </c>
      <c r="AU86" s="1" t="s">
        <v>71</v>
      </c>
      <c r="AV86" s="1" t="s">
        <v>71</v>
      </c>
      <c r="AW86" s="1" t="s">
        <v>71</v>
      </c>
      <c r="AX86" s="1">
        <v>0</v>
      </c>
      <c r="AY86" s="1">
        <v>0</v>
      </c>
      <c r="AZ86" s="1" t="s">
        <v>71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 t="s">
        <v>71</v>
      </c>
      <c r="BI86" s="1" t="s">
        <v>71</v>
      </c>
      <c r="BJ86" s="1" t="s">
        <v>71</v>
      </c>
      <c r="BK86" s="1">
        <v>0</v>
      </c>
      <c r="BL86" s="1">
        <f t="shared" si="23"/>
        <v>0</v>
      </c>
      <c r="BM86" s="1">
        <v>0</v>
      </c>
      <c r="BN86" s="1" t="s">
        <v>71</v>
      </c>
      <c r="BO86" s="1">
        <v>1</v>
      </c>
      <c r="BP86" s="1">
        <v>0</v>
      </c>
      <c r="BQ86" s="1" t="s">
        <v>71</v>
      </c>
      <c r="BR86" s="1" t="s">
        <v>71</v>
      </c>
      <c r="BS86" s="1" t="s">
        <v>71</v>
      </c>
      <c r="BT86" s="1" t="s">
        <v>71</v>
      </c>
      <c r="BU86" s="1" t="s">
        <v>71</v>
      </c>
      <c r="BV86" s="1" t="s">
        <v>71</v>
      </c>
      <c r="BW86" s="1" t="s">
        <v>71</v>
      </c>
      <c r="BX86" s="1" t="s">
        <v>71</v>
      </c>
      <c r="BY86" s="1" t="s">
        <v>71</v>
      </c>
      <c r="BZ86" s="3">
        <v>3.7</v>
      </c>
      <c r="CA86" s="3" t="s">
        <v>71</v>
      </c>
      <c r="CB86" s="3">
        <f t="shared" si="24"/>
        <v>5.1388888888888893</v>
      </c>
      <c r="CC86" s="1" t="s">
        <v>71</v>
      </c>
      <c r="CD86" s="1">
        <v>1</v>
      </c>
      <c r="CE86" s="1">
        <v>1</v>
      </c>
      <c r="CF86" s="1">
        <f t="shared" si="32"/>
        <v>1</v>
      </c>
      <c r="CG86" s="3" t="s">
        <v>71</v>
      </c>
      <c r="CH86" s="3" t="s">
        <v>71</v>
      </c>
      <c r="CI86" s="3" t="s">
        <v>71</v>
      </c>
      <c r="CJ86" s="3" t="s">
        <v>71</v>
      </c>
      <c r="CK86" s="3" t="s">
        <v>71</v>
      </c>
      <c r="CL86" s="3" t="s">
        <v>71</v>
      </c>
      <c r="CM86" s="3" t="s">
        <v>71</v>
      </c>
      <c r="CN86" s="3" t="s">
        <v>71</v>
      </c>
      <c r="CO86" s="1">
        <v>48</v>
      </c>
      <c r="CP86" s="1" t="s">
        <v>71</v>
      </c>
      <c r="CQ86" s="1">
        <v>38</v>
      </c>
      <c r="CR86" s="1" t="s">
        <v>71</v>
      </c>
      <c r="CS86" s="1" t="s">
        <v>71</v>
      </c>
      <c r="CT86" s="1">
        <v>10</v>
      </c>
      <c r="CU86" s="1" t="s">
        <v>71</v>
      </c>
      <c r="CV86" s="1" t="s">
        <v>71</v>
      </c>
      <c r="CW86" s="1" t="s">
        <v>71</v>
      </c>
      <c r="CX86" s="1" t="s">
        <v>71</v>
      </c>
      <c r="CY86" s="1">
        <v>10.7</v>
      </c>
      <c r="CZ86" s="1" t="s">
        <v>71</v>
      </c>
      <c r="DA86">
        <f t="shared" si="31"/>
        <v>550</v>
      </c>
      <c r="DB86" s="1" t="s">
        <v>71</v>
      </c>
      <c r="DC86" s="1">
        <v>10.7</v>
      </c>
      <c r="DD86">
        <f t="shared" si="25"/>
        <v>550</v>
      </c>
      <c r="DE86" s="1" t="s">
        <v>71</v>
      </c>
      <c r="DF86" s="1" t="s">
        <v>71</v>
      </c>
    </row>
    <row r="87" spans="1:110" x14ac:dyDescent="0.15">
      <c r="A87" s="1">
        <v>2022</v>
      </c>
      <c r="B87" s="1" t="s">
        <v>49</v>
      </c>
      <c r="C87" s="1">
        <v>5</v>
      </c>
      <c r="D87" s="1">
        <v>5</v>
      </c>
      <c r="E87" s="1" t="s">
        <v>51</v>
      </c>
      <c r="F87" s="1"/>
      <c r="G87" s="1" t="s">
        <v>56</v>
      </c>
      <c r="H87" s="1">
        <v>1</v>
      </c>
      <c r="I87" s="23" t="s">
        <v>51</v>
      </c>
      <c r="J87" s="1" t="s">
        <v>58</v>
      </c>
      <c r="K87" s="1" t="s">
        <v>57</v>
      </c>
      <c r="L87" s="1" t="s">
        <v>71</v>
      </c>
      <c r="M87" s="1" t="s">
        <v>71</v>
      </c>
      <c r="N87" s="24">
        <v>44711</v>
      </c>
      <c r="O87" s="24">
        <v>44723</v>
      </c>
      <c r="P87" s="1" t="s">
        <v>71</v>
      </c>
      <c r="Q87" s="1" t="s">
        <v>71</v>
      </c>
      <c r="R87" s="1" t="s">
        <v>71</v>
      </c>
      <c r="S87" s="1" t="s">
        <v>71</v>
      </c>
      <c r="T87" s="1" t="s">
        <v>71</v>
      </c>
      <c r="U87" s="1" t="s">
        <v>71</v>
      </c>
      <c r="V87" s="1" t="s">
        <v>71</v>
      </c>
      <c r="W87" s="1" t="s">
        <v>71</v>
      </c>
      <c r="X87" s="1" t="s">
        <v>71</v>
      </c>
      <c r="Y87" s="1">
        <v>0</v>
      </c>
      <c r="Z87" s="1" t="s">
        <v>71</v>
      </c>
      <c r="AA87" s="1" t="s">
        <v>71</v>
      </c>
      <c r="AB87" s="1" t="s">
        <v>71</v>
      </c>
      <c r="AC87" s="1" t="s">
        <v>71</v>
      </c>
      <c r="AD87" s="25">
        <v>51</v>
      </c>
      <c r="AE87" s="25" t="s">
        <v>71</v>
      </c>
      <c r="AF87" s="25">
        <v>113</v>
      </c>
      <c r="AG87" s="25" t="s">
        <v>71</v>
      </c>
      <c r="AH87" s="1">
        <v>117</v>
      </c>
      <c r="AI87" s="1" t="s">
        <v>71</v>
      </c>
      <c r="AJ87" s="1">
        <v>2.2999999999999998</v>
      </c>
      <c r="AK87" s="1">
        <v>0.03</v>
      </c>
      <c r="AL87" s="1">
        <v>0.01</v>
      </c>
      <c r="AM87" s="1">
        <v>2.9999999999999997E-4</v>
      </c>
      <c r="AN87" s="1">
        <v>0.01</v>
      </c>
      <c r="AO87" s="1">
        <v>0.05</v>
      </c>
      <c r="AP87" s="1">
        <v>5.0000000000000001E-4</v>
      </c>
      <c r="AQ87" s="1">
        <v>7</v>
      </c>
      <c r="AR87" s="1">
        <v>0</v>
      </c>
      <c r="AS87" s="1">
        <v>0</v>
      </c>
      <c r="AT87" s="1">
        <v>0</v>
      </c>
      <c r="AU87" s="1" t="s">
        <v>71</v>
      </c>
      <c r="AV87" s="1" t="s">
        <v>71</v>
      </c>
      <c r="AW87" s="1" t="s">
        <v>71</v>
      </c>
      <c r="AX87" s="1">
        <v>0</v>
      </c>
      <c r="AY87" s="1">
        <v>0</v>
      </c>
      <c r="AZ87" s="1" t="s">
        <v>71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 t="s">
        <v>71</v>
      </c>
      <c r="BI87" s="1" t="s">
        <v>71</v>
      </c>
      <c r="BJ87" s="1" t="s">
        <v>71</v>
      </c>
      <c r="BK87" s="1">
        <v>1.0000000000000002E-4</v>
      </c>
      <c r="BL87" s="1">
        <f t="shared" si="23"/>
        <v>1.0000000000000002E-2</v>
      </c>
      <c r="BM87" s="1">
        <v>0.1</v>
      </c>
      <c r="BN87" s="1" t="s">
        <v>71</v>
      </c>
      <c r="BO87" s="1">
        <v>1</v>
      </c>
      <c r="BP87" s="1">
        <v>5</v>
      </c>
      <c r="BQ87" s="1" t="s">
        <v>71</v>
      </c>
      <c r="BR87" s="1" t="s">
        <v>71</v>
      </c>
      <c r="BS87" s="1" t="s">
        <v>71</v>
      </c>
      <c r="BT87" s="1" t="s">
        <v>71</v>
      </c>
      <c r="BU87" s="1" t="s">
        <v>71</v>
      </c>
      <c r="BV87" s="1" t="s">
        <v>71</v>
      </c>
      <c r="BW87" s="1" t="s">
        <v>71</v>
      </c>
      <c r="BX87" s="1" t="s">
        <v>71</v>
      </c>
      <c r="BY87" s="1" t="s">
        <v>71</v>
      </c>
      <c r="BZ87" s="3">
        <v>2.8</v>
      </c>
      <c r="CA87" s="3" t="s">
        <v>71</v>
      </c>
      <c r="CB87" s="3">
        <f t="shared" si="24"/>
        <v>3.8888888888888888</v>
      </c>
      <c r="CC87" s="1" t="s">
        <v>71</v>
      </c>
      <c r="CD87" s="1">
        <v>1</v>
      </c>
      <c r="CE87" s="1">
        <v>1</v>
      </c>
      <c r="CF87" s="1">
        <f t="shared" si="32"/>
        <v>1</v>
      </c>
      <c r="CG87" s="3" t="s">
        <v>71</v>
      </c>
      <c r="CH87" s="3" t="s">
        <v>71</v>
      </c>
      <c r="CI87" s="3" t="s">
        <v>71</v>
      </c>
      <c r="CJ87" s="3" t="s">
        <v>71</v>
      </c>
      <c r="CK87" s="3" t="s">
        <v>71</v>
      </c>
      <c r="CL87" s="3" t="s">
        <v>71</v>
      </c>
      <c r="CM87" s="3" t="s">
        <v>71</v>
      </c>
      <c r="CN87" s="3" t="s">
        <v>71</v>
      </c>
      <c r="CO87" s="1">
        <v>47</v>
      </c>
      <c r="CP87" s="1" t="s">
        <v>71</v>
      </c>
      <c r="CQ87" s="1">
        <v>30</v>
      </c>
      <c r="CR87" s="1" t="s">
        <v>71</v>
      </c>
      <c r="CS87" s="1" t="s">
        <v>71</v>
      </c>
      <c r="CT87" s="1">
        <v>10</v>
      </c>
      <c r="CU87" s="1" t="s">
        <v>71</v>
      </c>
      <c r="CV87" s="1" t="s">
        <v>71</v>
      </c>
      <c r="CW87" s="1" t="s">
        <v>71</v>
      </c>
      <c r="CX87" s="1" t="s">
        <v>71</v>
      </c>
      <c r="CY87" s="1">
        <v>10.6</v>
      </c>
      <c r="CZ87" s="1" t="s">
        <v>71</v>
      </c>
      <c r="DA87">
        <f t="shared" si="31"/>
        <v>412</v>
      </c>
      <c r="DB87" s="1" t="s">
        <v>71</v>
      </c>
      <c r="DC87" s="1">
        <v>10.6</v>
      </c>
      <c r="DD87">
        <f t="shared" si="25"/>
        <v>412</v>
      </c>
      <c r="DE87" s="1" t="s">
        <v>71</v>
      </c>
      <c r="DF87" s="1" t="s">
        <v>71</v>
      </c>
    </row>
    <row r="88" spans="1:110" x14ac:dyDescent="0.15">
      <c r="A88" s="1">
        <v>2022</v>
      </c>
      <c r="B88" s="1" t="s">
        <v>49</v>
      </c>
      <c r="C88" s="1">
        <v>5</v>
      </c>
      <c r="D88" s="1">
        <v>6</v>
      </c>
      <c r="E88" s="1" t="s">
        <v>52</v>
      </c>
      <c r="F88" s="1"/>
      <c r="G88" s="1" t="s">
        <v>56</v>
      </c>
      <c r="H88" s="1">
        <v>1</v>
      </c>
      <c r="I88" s="23" t="s">
        <v>52</v>
      </c>
      <c r="J88" s="1" t="s">
        <v>58</v>
      </c>
      <c r="K88" s="26" t="s">
        <v>57</v>
      </c>
      <c r="L88" s="1" t="s">
        <v>71</v>
      </c>
      <c r="M88" s="1" t="s">
        <v>71</v>
      </c>
      <c r="N88" s="24">
        <v>44715</v>
      </c>
      <c r="O88" s="24">
        <v>44725</v>
      </c>
      <c r="P88" s="1" t="s">
        <v>71</v>
      </c>
      <c r="Q88" s="1" t="s">
        <v>71</v>
      </c>
      <c r="R88" s="1" t="s">
        <v>71</v>
      </c>
      <c r="S88" s="1" t="s">
        <v>71</v>
      </c>
      <c r="T88" s="1" t="s">
        <v>71</v>
      </c>
      <c r="U88" s="1" t="s">
        <v>71</v>
      </c>
      <c r="V88" s="1" t="s">
        <v>71</v>
      </c>
      <c r="W88" s="1" t="s">
        <v>71</v>
      </c>
      <c r="X88" s="1" t="s">
        <v>71</v>
      </c>
      <c r="Y88" s="1">
        <v>0</v>
      </c>
      <c r="Z88" s="1" t="s">
        <v>71</v>
      </c>
      <c r="AA88" s="1" t="s">
        <v>71</v>
      </c>
      <c r="AB88" s="1" t="s">
        <v>71</v>
      </c>
      <c r="AC88" s="1" t="s">
        <v>71</v>
      </c>
      <c r="AD88" s="25">
        <v>45</v>
      </c>
      <c r="AE88" s="25" t="s">
        <v>71</v>
      </c>
      <c r="AF88" s="25">
        <v>75</v>
      </c>
      <c r="AG88" s="25" t="s">
        <v>71</v>
      </c>
      <c r="AH88" s="1">
        <v>81</v>
      </c>
      <c r="AI88" s="1" t="s">
        <v>71</v>
      </c>
      <c r="AJ88" s="1">
        <v>1</v>
      </c>
      <c r="AK88" s="1">
        <v>0</v>
      </c>
      <c r="AL88" s="1">
        <v>0</v>
      </c>
      <c r="AM88" s="1">
        <v>0</v>
      </c>
      <c r="AN88" s="1">
        <v>0.01</v>
      </c>
      <c r="AO88" s="1">
        <v>0.05</v>
      </c>
      <c r="AP88" s="1">
        <v>5.0000000000000001E-4</v>
      </c>
      <c r="AQ88" s="1">
        <v>10</v>
      </c>
      <c r="AR88" s="1">
        <v>0</v>
      </c>
      <c r="AS88" s="1">
        <v>0</v>
      </c>
      <c r="AT88" s="1">
        <v>0</v>
      </c>
      <c r="AU88" s="1" t="s">
        <v>71</v>
      </c>
      <c r="AV88" s="1" t="s">
        <v>71</v>
      </c>
      <c r="AW88" s="1" t="s">
        <v>71</v>
      </c>
      <c r="AX88" s="1">
        <v>0</v>
      </c>
      <c r="AY88" s="1">
        <v>0</v>
      </c>
      <c r="AZ88" s="1" t="s">
        <v>71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 t="s">
        <v>71</v>
      </c>
      <c r="BI88" s="1" t="s">
        <v>71</v>
      </c>
      <c r="BJ88" s="1" t="s">
        <v>71</v>
      </c>
      <c r="BK88" s="1">
        <v>0</v>
      </c>
      <c r="BL88" s="1">
        <f t="shared" si="23"/>
        <v>0</v>
      </c>
      <c r="BM88" s="1">
        <v>0</v>
      </c>
      <c r="BN88" s="1" t="s">
        <v>71</v>
      </c>
      <c r="BO88" s="1">
        <v>1</v>
      </c>
      <c r="BP88" s="1">
        <v>0</v>
      </c>
      <c r="BQ88" s="1" t="s">
        <v>71</v>
      </c>
      <c r="BR88" s="1" t="s">
        <v>71</v>
      </c>
      <c r="BS88" s="1" t="s">
        <v>71</v>
      </c>
      <c r="BT88" s="1" t="s">
        <v>71</v>
      </c>
      <c r="BU88" s="1" t="s">
        <v>71</v>
      </c>
      <c r="BV88" s="1" t="s">
        <v>71</v>
      </c>
      <c r="BW88" s="1" t="s">
        <v>71</v>
      </c>
      <c r="BX88" s="1" t="s">
        <v>71</v>
      </c>
      <c r="BY88" s="1" t="s">
        <v>71</v>
      </c>
      <c r="BZ88" s="3">
        <v>3.5</v>
      </c>
      <c r="CA88" s="3" t="s">
        <v>71</v>
      </c>
      <c r="CB88" s="3">
        <f t="shared" si="24"/>
        <v>4.8611111111111116</v>
      </c>
      <c r="CC88" s="1" t="s">
        <v>71</v>
      </c>
      <c r="CD88" s="1">
        <v>1</v>
      </c>
      <c r="CE88" s="1">
        <v>1</v>
      </c>
      <c r="CF88" s="1">
        <f t="shared" si="32"/>
        <v>1</v>
      </c>
      <c r="CG88" s="3" t="s">
        <v>71</v>
      </c>
      <c r="CH88" s="3" t="s">
        <v>71</v>
      </c>
      <c r="CI88" s="3" t="s">
        <v>71</v>
      </c>
      <c r="CJ88" s="3" t="s">
        <v>71</v>
      </c>
      <c r="CK88" s="3" t="s">
        <v>71</v>
      </c>
      <c r="CL88" s="3" t="s">
        <v>71</v>
      </c>
      <c r="CM88" s="3" t="s">
        <v>71</v>
      </c>
      <c r="CN88" s="3" t="s">
        <v>71</v>
      </c>
      <c r="CO88" s="1">
        <v>47</v>
      </c>
      <c r="CP88" s="1" t="s">
        <v>71</v>
      </c>
      <c r="CQ88" s="1">
        <v>33</v>
      </c>
      <c r="CR88" s="1" t="s">
        <v>71</v>
      </c>
      <c r="CS88" s="1" t="s">
        <v>71</v>
      </c>
      <c r="CT88" s="1">
        <v>10.3</v>
      </c>
      <c r="CU88" s="1" t="s">
        <v>71</v>
      </c>
      <c r="CV88" s="1" t="s">
        <v>71</v>
      </c>
      <c r="CW88" s="1" t="s">
        <v>71</v>
      </c>
      <c r="CX88" s="1" t="s">
        <v>71</v>
      </c>
      <c r="CY88" s="1">
        <v>10.1</v>
      </c>
      <c r="CZ88" s="1" t="s">
        <v>71</v>
      </c>
      <c r="DA88">
        <f t="shared" si="31"/>
        <v>491</v>
      </c>
      <c r="DB88" s="1" t="s">
        <v>71</v>
      </c>
      <c r="DC88" s="1">
        <v>10.1</v>
      </c>
      <c r="DD88">
        <f t="shared" si="25"/>
        <v>491</v>
      </c>
      <c r="DE88" s="1" t="s">
        <v>71</v>
      </c>
      <c r="DF88" s="1" t="s">
        <v>71</v>
      </c>
    </row>
    <row r="89" spans="1:110" x14ac:dyDescent="0.15">
      <c r="A89" s="1">
        <v>2022</v>
      </c>
      <c r="B89" s="1" t="s">
        <v>49</v>
      </c>
      <c r="C89" s="1">
        <v>5</v>
      </c>
      <c r="D89" s="1">
        <v>7</v>
      </c>
      <c r="E89" s="1"/>
      <c r="F89" s="1" t="s">
        <v>53</v>
      </c>
      <c r="G89" s="1" t="s">
        <v>56</v>
      </c>
      <c r="H89" s="1">
        <v>1</v>
      </c>
      <c r="I89" s="23" t="s">
        <v>53</v>
      </c>
      <c r="J89" s="1" t="s">
        <v>57</v>
      </c>
      <c r="K89" s="24">
        <v>44700</v>
      </c>
      <c r="L89" s="1" t="s">
        <v>71</v>
      </c>
      <c r="M89" s="1" t="s">
        <v>71</v>
      </c>
      <c r="N89" s="1" t="s">
        <v>71</v>
      </c>
      <c r="O89" s="1" t="s">
        <v>71</v>
      </c>
      <c r="P89" s="24">
        <v>44700</v>
      </c>
      <c r="Q89" s="1" t="s">
        <v>71</v>
      </c>
      <c r="R89" s="1" t="s">
        <v>71</v>
      </c>
      <c r="S89" s="1" t="s">
        <v>71</v>
      </c>
      <c r="T89" s="1" t="s">
        <v>71</v>
      </c>
      <c r="U89" s="1" t="s">
        <v>71</v>
      </c>
      <c r="V89" s="1" t="s">
        <v>71</v>
      </c>
      <c r="W89" s="1" t="s">
        <v>71</v>
      </c>
      <c r="X89" s="1">
        <v>0</v>
      </c>
      <c r="Y89" s="1" t="s">
        <v>71</v>
      </c>
      <c r="Z89" s="1" t="s">
        <v>71</v>
      </c>
      <c r="AA89" s="1" t="s">
        <v>71</v>
      </c>
      <c r="AB89" s="1" t="s">
        <v>71</v>
      </c>
      <c r="AC89" s="1" t="s">
        <v>71</v>
      </c>
      <c r="AD89" s="25" t="s">
        <v>71</v>
      </c>
      <c r="AE89" s="25">
        <v>34</v>
      </c>
      <c r="AF89" s="25" t="s">
        <v>71</v>
      </c>
      <c r="AG89" s="25">
        <v>72</v>
      </c>
      <c r="AH89" s="1" t="s">
        <v>71</v>
      </c>
      <c r="AI89" s="1">
        <v>68</v>
      </c>
      <c r="AJ89" s="1" t="s">
        <v>71</v>
      </c>
      <c r="AK89" s="1" t="s">
        <v>71</v>
      </c>
      <c r="AL89" s="1" t="s">
        <v>71</v>
      </c>
      <c r="AM89" s="1" t="s">
        <v>71</v>
      </c>
      <c r="AN89" s="1" t="s">
        <v>71</v>
      </c>
      <c r="AO89" s="1" t="s">
        <v>71</v>
      </c>
      <c r="AP89" s="1" t="s">
        <v>71</v>
      </c>
      <c r="AQ89" s="1" t="s">
        <v>71</v>
      </c>
      <c r="AR89" s="1" t="s">
        <v>71</v>
      </c>
      <c r="AS89" s="1" t="s">
        <v>71</v>
      </c>
      <c r="AT89" s="1" t="s">
        <v>71</v>
      </c>
      <c r="AU89" s="1">
        <v>0</v>
      </c>
      <c r="AV89" s="1">
        <v>0</v>
      </c>
      <c r="AW89" s="1">
        <v>0</v>
      </c>
      <c r="AX89" s="1" t="s">
        <v>71</v>
      </c>
      <c r="AY89" s="1" t="s">
        <v>71</v>
      </c>
      <c r="AZ89" s="1">
        <v>0</v>
      </c>
      <c r="BA89" s="1" t="s">
        <v>71</v>
      </c>
      <c r="BB89" s="1" t="s">
        <v>71</v>
      </c>
      <c r="BC89" s="1" t="s">
        <v>71</v>
      </c>
      <c r="BD89" s="1" t="s">
        <v>71</v>
      </c>
      <c r="BE89" s="1" t="s">
        <v>71</v>
      </c>
      <c r="BF89" s="1" t="s">
        <v>71</v>
      </c>
      <c r="BG89" s="1" t="s">
        <v>71</v>
      </c>
      <c r="BH89" s="1">
        <v>6</v>
      </c>
      <c r="BI89" s="1" t="s">
        <v>71</v>
      </c>
      <c r="BJ89" s="1" t="s">
        <v>71</v>
      </c>
      <c r="BK89" s="1">
        <v>5.0000000000000001E-3</v>
      </c>
      <c r="BL89" s="1">
        <f t="shared" si="23"/>
        <v>0.5</v>
      </c>
      <c r="BM89" s="1">
        <v>1</v>
      </c>
      <c r="BN89" s="1" t="s">
        <v>71</v>
      </c>
      <c r="BO89" s="1">
        <v>1</v>
      </c>
      <c r="BP89" s="1">
        <v>0</v>
      </c>
      <c r="BQ89" s="1" t="s">
        <v>71</v>
      </c>
      <c r="BR89" s="1" t="s">
        <v>71</v>
      </c>
      <c r="BS89" s="1" t="s">
        <v>71</v>
      </c>
      <c r="BT89" s="1" t="s">
        <v>71</v>
      </c>
      <c r="BU89" s="1" t="s">
        <v>71</v>
      </c>
      <c r="BV89" s="1">
        <v>5.3</v>
      </c>
      <c r="BW89" s="1">
        <v>5</v>
      </c>
      <c r="BX89" s="1" t="s">
        <v>71</v>
      </c>
      <c r="BY89" s="1" t="s">
        <v>71</v>
      </c>
      <c r="BZ89" s="3" t="s">
        <v>71</v>
      </c>
      <c r="CA89" s="3">
        <v>2.2999999999999998</v>
      </c>
      <c r="CB89" s="1" t="s">
        <v>71</v>
      </c>
      <c r="CC89" s="3">
        <f t="shared" si="30"/>
        <v>3.1944444444444446</v>
      </c>
      <c r="CD89" s="1">
        <v>1</v>
      </c>
      <c r="CE89" s="1">
        <v>1</v>
      </c>
      <c r="CF89" s="1">
        <f t="shared" si="32"/>
        <v>1</v>
      </c>
      <c r="CG89" s="1" t="s">
        <v>71</v>
      </c>
      <c r="CH89" s="1" t="s">
        <v>71</v>
      </c>
      <c r="CI89" s="1" t="s">
        <v>71</v>
      </c>
      <c r="CJ89" s="1" t="s">
        <v>71</v>
      </c>
      <c r="CK89" s="3" t="s">
        <v>71</v>
      </c>
      <c r="CL89" s="3" t="s">
        <v>71</v>
      </c>
      <c r="CM89" s="3" t="s">
        <v>71</v>
      </c>
      <c r="CN89" s="3" t="s">
        <v>71</v>
      </c>
      <c r="CO89" s="1" t="s">
        <v>71</v>
      </c>
      <c r="CP89" s="1" t="s">
        <v>71</v>
      </c>
      <c r="CQ89" s="1" t="s">
        <v>71</v>
      </c>
      <c r="CR89" s="1">
        <v>177</v>
      </c>
      <c r="CS89" s="1">
        <v>32</v>
      </c>
      <c r="CT89" s="1" t="s">
        <v>71</v>
      </c>
      <c r="CU89" s="1">
        <v>9.8000000000000007</v>
      </c>
      <c r="CV89" s="1" t="s">
        <v>71</v>
      </c>
      <c r="CW89" s="1" t="s">
        <v>71</v>
      </c>
      <c r="CX89" t="e">
        <f>ROUND(CV89*#REF!/10,1)</f>
        <v>#VALUE!</v>
      </c>
      <c r="CY89" s="1" t="s">
        <v>71</v>
      </c>
      <c r="CZ89">
        <f t="shared" ref="CZ89:CZ96" si="33">ROUND((10*CC89*CS89),0)</f>
        <v>1022</v>
      </c>
      <c r="DA89" s="1" t="s">
        <v>71</v>
      </c>
      <c r="DB89" s="1" t="s">
        <v>71</v>
      </c>
      <c r="DC89" s="1" t="s">
        <v>71</v>
      </c>
      <c r="DD89">
        <f t="shared" si="25"/>
        <v>1022</v>
      </c>
      <c r="DE89" s="1" t="s">
        <v>71</v>
      </c>
      <c r="DF89" s="1" t="s">
        <v>71</v>
      </c>
    </row>
    <row r="90" spans="1:110" x14ac:dyDescent="0.15">
      <c r="A90" s="1">
        <v>2022</v>
      </c>
      <c r="B90" s="1" t="s">
        <v>49</v>
      </c>
      <c r="C90" s="1">
        <v>5</v>
      </c>
      <c r="D90" s="1">
        <v>8</v>
      </c>
      <c r="E90" s="1"/>
      <c r="F90" s="1" t="s">
        <v>54</v>
      </c>
      <c r="G90" s="1" t="s">
        <v>56</v>
      </c>
      <c r="H90" s="1">
        <v>1</v>
      </c>
      <c r="I90" s="23" t="s">
        <v>54</v>
      </c>
      <c r="J90" s="1" t="s">
        <v>57</v>
      </c>
      <c r="K90" s="24">
        <v>44700</v>
      </c>
      <c r="L90" s="1" t="s">
        <v>71</v>
      </c>
      <c r="M90" s="1" t="s">
        <v>71</v>
      </c>
      <c r="N90" s="1" t="s">
        <v>71</v>
      </c>
      <c r="O90" s="1" t="s">
        <v>71</v>
      </c>
      <c r="P90" s="24">
        <v>44700</v>
      </c>
      <c r="Q90" s="1" t="s">
        <v>71</v>
      </c>
      <c r="R90" s="1" t="s">
        <v>71</v>
      </c>
      <c r="S90" s="1" t="s">
        <v>71</v>
      </c>
      <c r="T90" s="1" t="s">
        <v>71</v>
      </c>
      <c r="U90" s="1" t="s">
        <v>71</v>
      </c>
      <c r="V90" s="1" t="s">
        <v>71</v>
      </c>
      <c r="W90" s="1" t="s">
        <v>71</v>
      </c>
      <c r="X90" s="1">
        <v>0</v>
      </c>
      <c r="Y90" s="1" t="s">
        <v>71</v>
      </c>
      <c r="Z90" s="1" t="s">
        <v>71</v>
      </c>
      <c r="AA90" s="1" t="s">
        <v>71</v>
      </c>
      <c r="AB90" s="1" t="s">
        <v>71</v>
      </c>
      <c r="AC90" s="1" t="s">
        <v>71</v>
      </c>
      <c r="AD90" s="25" t="s">
        <v>71</v>
      </c>
      <c r="AE90" s="25">
        <v>24</v>
      </c>
      <c r="AF90" s="25" t="s">
        <v>71</v>
      </c>
      <c r="AG90" s="25">
        <v>69</v>
      </c>
      <c r="AH90" s="1" t="s">
        <v>71</v>
      </c>
      <c r="AI90" s="1">
        <v>62</v>
      </c>
      <c r="AJ90" s="1" t="s">
        <v>71</v>
      </c>
      <c r="AK90" s="1" t="s">
        <v>71</v>
      </c>
      <c r="AL90" s="1" t="s">
        <v>71</v>
      </c>
      <c r="AM90" s="1" t="s">
        <v>71</v>
      </c>
      <c r="AN90" s="1" t="s">
        <v>71</v>
      </c>
      <c r="AO90" s="1" t="s">
        <v>71</v>
      </c>
      <c r="AP90" s="1" t="s">
        <v>71</v>
      </c>
      <c r="AQ90" s="1" t="s">
        <v>71</v>
      </c>
      <c r="AR90" s="1" t="s">
        <v>71</v>
      </c>
      <c r="AS90" s="1" t="s">
        <v>71</v>
      </c>
      <c r="AT90" s="1" t="s">
        <v>71</v>
      </c>
      <c r="AU90" s="1">
        <v>0</v>
      </c>
      <c r="AV90" s="1">
        <v>0</v>
      </c>
      <c r="AW90" s="1">
        <v>0</v>
      </c>
      <c r="AX90" s="1" t="s">
        <v>71</v>
      </c>
      <c r="AY90" s="1" t="s">
        <v>71</v>
      </c>
      <c r="AZ90" s="1">
        <v>0</v>
      </c>
      <c r="BA90" s="1" t="s">
        <v>71</v>
      </c>
      <c r="BB90" s="1" t="s">
        <v>71</v>
      </c>
      <c r="BC90" s="1" t="s">
        <v>71</v>
      </c>
      <c r="BD90" s="1" t="s">
        <v>71</v>
      </c>
      <c r="BE90" s="1" t="s">
        <v>71</v>
      </c>
      <c r="BF90" s="1" t="s">
        <v>71</v>
      </c>
      <c r="BG90" s="1" t="s">
        <v>71</v>
      </c>
      <c r="BH90" s="1">
        <v>5</v>
      </c>
      <c r="BI90" s="1" t="s">
        <v>71</v>
      </c>
      <c r="BJ90" s="1" t="s">
        <v>71</v>
      </c>
      <c r="BK90" s="1">
        <v>5.0000000000000001E-3</v>
      </c>
      <c r="BL90" s="1">
        <f t="shared" si="23"/>
        <v>0.5</v>
      </c>
      <c r="BM90" s="1">
        <v>1</v>
      </c>
      <c r="BN90" s="1">
        <v>0.02</v>
      </c>
      <c r="BO90" s="1">
        <v>1</v>
      </c>
      <c r="BP90" s="1">
        <v>5</v>
      </c>
      <c r="BQ90" s="1" t="s">
        <v>71</v>
      </c>
      <c r="BR90" s="1" t="s">
        <v>71</v>
      </c>
      <c r="BS90" s="1" t="s">
        <v>71</v>
      </c>
      <c r="BT90" s="1" t="s">
        <v>71</v>
      </c>
      <c r="BU90" s="1" t="s">
        <v>71</v>
      </c>
      <c r="BV90" s="1">
        <v>5.3</v>
      </c>
      <c r="BW90" s="1">
        <v>3</v>
      </c>
      <c r="BX90" s="1" t="s">
        <v>71</v>
      </c>
      <c r="BY90" s="1" t="s">
        <v>71</v>
      </c>
      <c r="BZ90" s="3" t="s">
        <v>71</v>
      </c>
      <c r="CA90" s="3">
        <v>2.6</v>
      </c>
      <c r="CB90" s="1" t="s">
        <v>71</v>
      </c>
      <c r="CC90" s="3">
        <f t="shared" si="30"/>
        <v>3.6111111111111116</v>
      </c>
      <c r="CD90" s="1">
        <v>1</v>
      </c>
      <c r="CE90" s="1">
        <v>1</v>
      </c>
      <c r="CF90" s="1">
        <f t="shared" si="32"/>
        <v>1</v>
      </c>
      <c r="CG90" s="1" t="s">
        <v>71</v>
      </c>
      <c r="CH90" s="1" t="s">
        <v>71</v>
      </c>
      <c r="CI90" s="1" t="s">
        <v>71</v>
      </c>
      <c r="CJ90" s="1" t="s">
        <v>71</v>
      </c>
      <c r="CK90" s="3" t="s">
        <v>71</v>
      </c>
      <c r="CL90" s="3" t="s">
        <v>71</v>
      </c>
      <c r="CM90" s="3" t="s">
        <v>71</v>
      </c>
      <c r="CN90" s="3" t="s">
        <v>71</v>
      </c>
      <c r="CO90" s="1" t="s">
        <v>71</v>
      </c>
      <c r="CP90" s="1" t="s">
        <v>71</v>
      </c>
      <c r="CQ90" s="1" t="s">
        <v>71</v>
      </c>
      <c r="CR90" s="1">
        <v>135</v>
      </c>
      <c r="CS90" s="1">
        <v>36</v>
      </c>
      <c r="CT90" s="1" t="s">
        <v>71</v>
      </c>
      <c r="CU90" s="1">
        <v>10.1</v>
      </c>
      <c r="CV90" s="1" t="s">
        <v>71</v>
      </c>
      <c r="CW90" s="1" t="s">
        <v>71</v>
      </c>
      <c r="CX90" t="e">
        <f>ROUND(CV90*#REF!/10,1)</f>
        <v>#VALUE!</v>
      </c>
      <c r="CY90" s="1" t="s">
        <v>71</v>
      </c>
      <c r="CZ90">
        <f t="shared" si="33"/>
        <v>1300</v>
      </c>
      <c r="DA90" s="1" t="s">
        <v>71</v>
      </c>
      <c r="DB90" s="1" t="s">
        <v>71</v>
      </c>
      <c r="DC90" s="1" t="s">
        <v>71</v>
      </c>
      <c r="DD90">
        <f t="shared" si="25"/>
        <v>1300</v>
      </c>
      <c r="DE90" s="1" t="s">
        <v>71</v>
      </c>
      <c r="DF90" s="1" t="s">
        <v>71</v>
      </c>
    </row>
    <row r="91" spans="1:110" x14ac:dyDescent="0.15">
      <c r="A91" s="1">
        <v>2022</v>
      </c>
      <c r="B91" s="1" t="s">
        <v>49</v>
      </c>
      <c r="C91" s="1">
        <v>5</v>
      </c>
      <c r="D91" s="1">
        <v>9</v>
      </c>
      <c r="E91" s="1"/>
      <c r="F91" s="1" t="s">
        <v>55</v>
      </c>
      <c r="G91" s="1" t="s">
        <v>56</v>
      </c>
      <c r="H91" s="1">
        <v>1</v>
      </c>
      <c r="I91" s="23" t="s">
        <v>55</v>
      </c>
      <c r="J91" s="1" t="s">
        <v>57</v>
      </c>
      <c r="K91" s="24">
        <v>44690</v>
      </c>
      <c r="L91" s="1" t="s">
        <v>71</v>
      </c>
      <c r="M91" s="1" t="s">
        <v>71</v>
      </c>
      <c r="N91" s="1" t="s">
        <v>71</v>
      </c>
      <c r="O91" s="1" t="s">
        <v>71</v>
      </c>
      <c r="P91" s="24">
        <v>44700</v>
      </c>
      <c r="Q91" s="1" t="s">
        <v>71</v>
      </c>
      <c r="R91" s="1" t="s">
        <v>71</v>
      </c>
      <c r="S91" s="1" t="s">
        <v>71</v>
      </c>
      <c r="T91" s="1" t="s">
        <v>71</v>
      </c>
      <c r="U91" s="1" t="s">
        <v>71</v>
      </c>
      <c r="V91" s="1" t="s">
        <v>71</v>
      </c>
      <c r="W91" s="1" t="s">
        <v>71</v>
      </c>
      <c r="X91" s="1">
        <v>0</v>
      </c>
      <c r="Y91" s="1" t="s">
        <v>71</v>
      </c>
      <c r="Z91" s="1" t="s">
        <v>71</v>
      </c>
      <c r="AA91" s="1" t="s">
        <v>71</v>
      </c>
      <c r="AB91" s="1" t="s">
        <v>71</v>
      </c>
      <c r="AC91" s="1" t="s">
        <v>71</v>
      </c>
      <c r="AD91" s="25" t="s">
        <v>71</v>
      </c>
      <c r="AE91" s="25">
        <v>32</v>
      </c>
      <c r="AF91" s="25" t="s">
        <v>71</v>
      </c>
      <c r="AG91" s="25">
        <v>73</v>
      </c>
      <c r="AH91" s="1" t="s">
        <v>71</v>
      </c>
      <c r="AI91" s="1">
        <v>71</v>
      </c>
      <c r="AJ91" s="1" t="s">
        <v>71</v>
      </c>
      <c r="AK91" s="1" t="s">
        <v>71</v>
      </c>
      <c r="AL91" s="1" t="s">
        <v>71</v>
      </c>
      <c r="AM91" s="1" t="s">
        <v>71</v>
      </c>
      <c r="AN91" s="1" t="s">
        <v>71</v>
      </c>
      <c r="AO91" s="1" t="s">
        <v>71</v>
      </c>
      <c r="AP91" s="1" t="s">
        <v>71</v>
      </c>
      <c r="AQ91" s="1" t="s">
        <v>71</v>
      </c>
      <c r="AR91" s="1" t="s">
        <v>71</v>
      </c>
      <c r="AS91" s="1" t="s">
        <v>71</v>
      </c>
      <c r="AT91" s="1" t="s">
        <v>71</v>
      </c>
      <c r="AU91" s="1">
        <v>0</v>
      </c>
      <c r="AV91" s="1">
        <v>0</v>
      </c>
      <c r="AW91" s="1">
        <v>0</v>
      </c>
      <c r="AX91" s="1" t="s">
        <v>71</v>
      </c>
      <c r="AY91" s="1" t="s">
        <v>71</v>
      </c>
      <c r="AZ91" s="1">
        <v>0</v>
      </c>
      <c r="BA91" s="1" t="s">
        <v>71</v>
      </c>
      <c r="BB91" s="1" t="s">
        <v>71</v>
      </c>
      <c r="BC91" s="1" t="s">
        <v>71</v>
      </c>
      <c r="BD91" s="1" t="s">
        <v>71</v>
      </c>
      <c r="BE91" s="1" t="s">
        <v>71</v>
      </c>
      <c r="BF91" s="1" t="s">
        <v>71</v>
      </c>
      <c r="BG91" s="1" t="s">
        <v>71</v>
      </c>
      <c r="BH91" s="1">
        <v>4</v>
      </c>
      <c r="BI91" s="1" t="s">
        <v>71</v>
      </c>
      <c r="BJ91" s="1" t="s">
        <v>71</v>
      </c>
      <c r="BK91" s="1">
        <v>1.6000000000000003E-3</v>
      </c>
      <c r="BL91" s="1">
        <f t="shared" si="23"/>
        <v>0.16000000000000003</v>
      </c>
      <c r="BM91" s="1">
        <v>0.8</v>
      </c>
      <c r="BN91" s="1">
        <v>0.01</v>
      </c>
      <c r="BO91" s="1">
        <v>1</v>
      </c>
      <c r="BP91" s="1">
        <v>0</v>
      </c>
      <c r="BQ91" s="1" t="s">
        <v>71</v>
      </c>
      <c r="BR91" s="1" t="s">
        <v>71</v>
      </c>
      <c r="BS91" s="1" t="s">
        <v>71</v>
      </c>
      <c r="BT91" s="1" t="s">
        <v>71</v>
      </c>
      <c r="BU91" s="1" t="s">
        <v>71</v>
      </c>
      <c r="BV91" s="1">
        <v>4.3</v>
      </c>
      <c r="BW91" s="1">
        <v>4.3</v>
      </c>
      <c r="BX91" s="1" t="s">
        <v>71</v>
      </c>
      <c r="BY91" s="1" t="s">
        <v>71</v>
      </c>
      <c r="BZ91" s="3" t="s">
        <v>71</v>
      </c>
      <c r="CA91" s="3">
        <v>2.5</v>
      </c>
      <c r="CB91" s="1" t="s">
        <v>71</v>
      </c>
      <c r="CC91" s="3">
        <f t="shared" si="30"/>
        <v>3.4722222222222228</v>
      </c>
      <c r="CD91" s="1">
        <v>1</v>
      </c>
      <c r="CE91" s="1">
        <v>1</v>
      </c>
      <c r="CF91" s="1">
        <f t="shared" si="32"/>
        <v>1</v>
      </c>
      <c r="CG91" s="1" t="s">
        <v>71</v>
      </c>
      <c r="CH91" s="1" t="s">
        <v>71</v>
      </c>
      <c r="CI91" s="1" t="s">
        <v>71</v>
      </c>
      <c r="CJ91" s="1" t="s">
        <v>71</v>
      </c>
      <c r="CK91" s="3" t="s">
        <v>71</v>
      </c>
      <c r="CL91" s="3" t="s">
        <v>71</v>
      </c>
      <c r="CM91" s="3" t="s">
        <v>71</v>
      </c>
      <c r="CN91" s="3" t="s">
        <v>71</v>
      </c>
      <c r="CO91" s="1" t="s">
        <v>71</v>
      </c>
      <c r="CP91" s="1" t="s">
        <v>71</v>
      </c>
      <c r="CQ91" s="1" t="s">
        <v>71</v>
      </c>
      <c r="CR91" s="1">
        <v>158</v>
      </c>
      <c r="CS91" s="1">
        <v>39</v>
      </c>
      <c r="CT91" s="1" t="s">
        <v>71</v>
      </c>
      <c r="CU91" s="1">
        <v>8.6</v>
      </c>
      <c r="CV91" s="1" t="s">
        <v>71</v>
      </c>
      <c r="CW91" s="1" t="s">
        <v>71</v>
      </c>
      <c r="CX91" t="e">
        <f>ROUND(CV91*#REF!/10,1)</f>
        <v>#VALUE!</v>
      </c>
      <c r="CY91" s="1" t="s">
        <v>71</v>
      </c>
      <c r="CZ91">
        <f t="shared" si="33"/>
        <v>1354</v>
      </c>
      <c r="DA91" s="1" t="s">
        <v>71</v>
      </c>
      <c r="DB91" s="1" t="s">
        <v>71</v>
      </c>
      <c r="DC91" s="1" t="s">
        <v>71</v>
      </c>
      <c r="DD91">
        <f t="shared" si="25"/>
        <v>1354</v>
      </c>
      <c r="DE91" s="1" t="s">
        <v>71</v>
      </c>
      <c r="DF91" s="1" t="s">
        <v>71</v>
      </c>
    </row>
    <row r="92" spans="1:110" x14ac:dyDescent="0.15">
      <c r="A92" s="1">
        <v>2022</v>
      </c>
      <c r="B92" s="1" t="s">
        <v>49</v>
      </c>
      <c r="C92" s="1">
        <v>5</v>
      </c>
      <c r="D92" s="1">
        <v>10</v>
      </c>
      <c r="E92" s="1" t="s">
        <v>50</v>
      </c>
      <c r="F92" s="1" t="s">
        <v>53</v>
      </c>
      <c r="G92" s="1" t="s">
        <v>5</v>
      </c>
      <c r="H92" s="1">
        <v>1</v>
      </c>
      <c r="I92" s="23" t="s">
        <v>60</v>
      </c>
      <c r="J92" s="1" t="s">
        <v>57</v>
      </c>
      <c r="K92" s="24">
        <v>44700</v>
      </c>
      <c r="L92" s="1">
        <f>K92-K86</f>
        <v>10</v>
      </c>
      <c r="M92" s="1">
        <f>K92-K89</f>
        <v>0</v>
      </c>
      <c r="N92" s="24">
        <v>44708</v>
      </c>
      <c r="O92" s="24">
        <v>44721</v>
      </c>
      <c r="P92" s="24">
        <v>44700</v>
      </c>
      <c r="Q92" s="1">
        <f>P92-P89</f>
        <v>0</v>
      </c>
      <c r="R92" s="1">
        <f>N92-N86</f>
        <v>0</v>
      </c>
      <c r="S92" s="1">
        <f>O92-O86</f>
        <v>0</v>
      </c>
      <c r="T92" s="1">
        <f>AVERAGE(R92,S92)</f>
        <v>0</v>
      </c>
      <c r="U92" s="1" t="s">
        <v>71</v>
      </c>
      <c r="V92" s="1" t="s">
        <v>71</v>
      </c>
      <c r="W92" s="1">
        <v>-2</v>
      </c>
      <c r="X92" s="1">
        <v>0</v>
      </c>
      <c r="Y92" s="1">
        <v>0</v>
      </c>
      <c r="Z92" s="1" t="s">
        <v>71</v>
      </c>
      <c r="AA92" s="1" t="s">
        <v>71</v>
      </c>
      <c r="AB92" s="1" t="s">
        <v>71</v>
      </c>
      <c r="AC92" s="1" t="s">
        <v>71</v>
      </c>
      <c r="AD92" s="25">
        <v>44</v>
      </c>
      <c r="AE92" s="25">
        <v>30</v>
      </c>
      <c r="AF92" s="25">
        <v>118</v>
      </c>
      <c r="AG92" s="25">
        <v>72</v>
      </c>
      <c r="AH92" s="1">
        <v>125</v>
      </c>
      <c r="AI92" s="1">
        <v>69</v>
      </c>
      <c r="AJ92" s="1">
        <v>2.7</v>
      </c>
      <c r="AK92" s="1">
        <v>0</v>
      </c>
      <c r="AL92" s="1">
        <v>0</v>
      </c>
      <c r="AM92" s="1">
        <v>0</v>
      </c>
      <c r="AN92" s="1">
        <v>0.02</v>
      </c>
      <c r="AO92" s="1">
        <v>0.03</v>
      </c>
      <c r="AP92" s="1">
        <v>5.9999999999999995E-4</v>
      </c>
      <c r="AQ92" s="1">
        <v>2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4</v>
      </c>
      <c r="BI92" s="1" t="s">
        <v>71</v>
      </c>
      <c r="BJ92" s="1" t="s">
        <v>71</v>
      </c>
      <c r="BK92" s="1">
        <v>1E-3</v>
      </c>
      <c r="BL92" s="1">
        <f t="shared" si="23"/>
        <v>0.1</v>
      </c>
      <c r="BM92" s="1">
        <v>1</v>
      </c>
      <c r="BN92" s="1" t="s">
        <v>71</v>
      </c>
      <c r="BO92" s="1">
        <v>1</v>
      </c>
      <c r="BP92" s="1">
        <v>0</v>
      </c>
      <c r="BQ92" s="1" t="s">
        <v>71</v>
      </c>
      <c r="BR92" s="1" t="s">
        <v>71</v>
      </c>
      <c r="BS92" s="1" t="s">
        <v>71</v>
      </c>
      <c r="BT92" s="1" t="s">
        <v>71</v>
      </c>
      <c r="BU92" s="1" t="s">
        <v>71</v>
      </c>
      <c r="BV92" s="1">
        <v>5</v>
      </c>
      <c r="BW92" s="1">
        <v>1.7</v>
      </c>
      <c r="BX92" s="1" t="s">
        <v>71</v>
      </c>
      <c r="BY92" s="1" t="s">
        <v>71</v>
      </c>
      <c r="BZ92" s="3">
        <v>1.3</v>
      </c>
      <c r="CA92" s="3">
        <v>2.2000000000000002</v>
      </c>
      <c r="CB92" s="3">
        <f t="shared" si="24"/>
        <v>1.8055555555555558</v>
      </c>
      <c r="CC92" s="3">
        <f t="shared" si="30"/>
        <v>3.0555555555555562</v>
      </c>
      <c r="CD92" s="1">
        <f>ROUND(CB92/CB83+CC92/CC89,2)</f>
        <v>1.46</v>
      </c>
      <c r="CE92" s="1">
        <f>ROUND(CB92/CB86+CC92/CC89,2)</f>
        <v>1.31</v>
      </c>
      <c r="CF92" s="1">
        <f t="shared" si="32"/>
        <v>1.31</v>
      </c>
      <c r="CG92" s="1">
        <f>ROUND(CB92/CB83,2)</f>
        <v>0.5</v>
      </c>
      <c r="CH92" s="1">
        <f>ROUND(CB92/CB86,2)</f>
        <v>0.35</v>
      </c>
      <c r="CI92" s="1">
        <f>ROUND(CC92/CC89,2)</f>
        <v>0.96</v>
      </c>
      <c r="CJ92" s="1">
        <f>ROUND((CC92+CB92)/MAX(CC89,CB86),2)</f>
        <v>0.95</v>
      </c>
      <c r="CK92" s="1">
        <f>ROUND(LN((0.9*BZ92)/(0.1*CA92))/(BZ83/CA89),2)</f>
        <v>1.48</v>
      </c>
      <c r="CL92" s="1">
        <f>ROUND(LN((0.9*BZ92)/(0.1*CA92))/(BZ86/CA89),2)</f>
        <v>1.04</v>
      </c>
      <c r="CM92" s="1">
        <f>ROUND(LN((0.1*CA92)/(0.9*BZ92))/(CA89/BZ83),2)</f>
        <v>-1.89</v>
      </c>
      <c r="CN92" s="1">
        <f>ROUND(LN((0.1*CA92)/(0.9*BZ92))/(CA89/BZ86),2)</f>
        <v>-2.69</v>
      </c>
      <c r="CO92" s="1">
        <v>51</v>
      </c>
      <c r="CP92" s="1" t="s">
        <v>71</v>
      </c>
      <c r="CQ92" s="1">
        <v>42</v>
      </c>
      <c r="CR92" s="1">
        <v>158</v>
      </c>
      <c r="CS92" s="1">
        <v>32</v>
      </c>
      <c r="CT92" s="1">
        <v>10.6</v>
      </c>
      <c r="CU92" s="1">
        <v>10.3</v>
      </c>
      <c r="CV92" s="1" t="s">
        <v>71</v>
      </c>
      <c r="CW92" s="1" t="s">
        <v>71</v>
      </c>
      <c r="CX92" t="e">
        <f>ROUND(CV92*#REF!/10,1)</f>
        <v>#VALUE!</v>
      </c>
      <c r="CY92" s="1">
        <v>12.6</v>
      </c>
      <c r="CZ92">
        <f t="shared" si="33"/>
        <v>978</v>
      </c>
      <c r="DA92">
        <f t="shared" ref="DA92:DA100" si="34">ROUND((CY92*CB92*10),0)</f>
        <v>228</v>
      </c>
      <c r="DB92">
        <f>(CZ92+DA92)/MAX(DA86,CZ89)</f>
        <v>1.1800391389432485</v>
      </c>
      <c r="DC92" s="1">
        <v>12.6</v>
      </c>
      <c r="DD92">
        <f t="shared" si="25"/>
        <v>1206</v>
      </c>
      <c r="DE92">
        <f>ROUND(MAX((DB92-DF92), 0), 2)</f>
        <v>0.22</v>
      </c>
      <c r="DF92">
        <f>ROUND(CZ92/MAX(DA86,CZ89), 2)</f>
        <v>0.96</v>
      </c>
    </row>
    <row r="93" spans="1:110" x14ac:dyDescent="0.15">
      <c r="A93" s="1">
        <v>2022</v>
      </c>
      <c r="B93" s="1" t="s">
        <v>49</v>
      </c>
      <c r="C93" s="1">
        <v>5</v>
      </c>
      <c r="D93" s="1">
        <v>11</v>
      </c>
      <c r="E93" s="1" t="s">
        <v>50</v>
      </c>
      <c r="F93" s="1" t="s">
        <v>54</v>
      </c>
      <c r="G93" s="1" t="s">
        <v>5</v>
      </c>
      <c r="H93" s="1">
        <v>1</v>
      </c>
      <c r="I93" s="23" t="s">
        <v>61</v>
      </c>
      <c r="J93" s="1" t="s">
        <v>57</v>
      </c>
      <c r="K93" s="24">
        <v>44700</v>
      </c>
      <c r="L93" s="1">
        <f>K93-K86</f>
        <v>10</v>
      </c>
      <c r="M93" s="1">
        <f>K93-K90</f>
        <v>0</v>
      </c>
      <c r="N93" s="24">
        <v>44708</v>
      </c>
      <c r="O93" s="24">
        <v>44725</v>
      </c>
      <c r="P93" s="24">
        <v>44700</v>
      </c>
      <c r="Q93" s="1">
        <f>P93-P90</f>
        <v>0</v>
      </c>
      <c r="R93" s="1">
        <f>N93-N86</f>
        <v>0</v>
      </c>
      <c r="S93" s="1">
        <f>O93-O86</f>
        <v>4</v>
      </c>
      <c r="T93" s="1">
        <f t="shared" ref="T93:T100" si="35">AVERAGE(R93,S93)</f>
        <v>2</v>
      </c>
      <c r="U93" s="1" t="s">
        <v>71</v>
      </c>
      <c r="V93" s="1" t="s">
        <v>71</v>
      </c>
      <c r="W93" s="1">
        <v>-2</v>
      </c>
      <c r="X93" s="1">
        <v>0</v>
      </c>
      <c r="Y93" s="1">
        <v>0</v>
      </c>
      <c r="Z93" s="1" t="s">
        <v>71</v>
      </c>
      <c r="AA93" s="1" t="s">
        <v>71</v>
      </c>
      <c r="AB93" s="1" t="s">
        <v>71</v>
      </c>
      <c r="AC93" s="1" t="s">
        <v>71</v>
      </c>
      <c r="AD93" s="25">
        <v>43</v>
      </c>
      <c r="AE93" s="25">
        <v>29</v>
      </c>
      <c r="AF93" s="25">
        <v>112</v>
      </c>
      <c r="AG93" s="25">
        <v>68</v>
      </c>
      <c r="AH93" s="1">
        <v>117</v>
      </c>
      <c r="AI93" s="1">
        <v>65</v>
      </c>
      <c r="AJ93" s="1">
        <v>2</v>
      </c>
      <c r="AK93" s="1">
        <v>0</v>
      </c>
      <c r="AL93" s="1">
        <v>0</v>
      </c>
      <c r="AM93" s="1">
        <v>0</v>
      </c>
      <c r="AN93" s="1" t="s">
        <v>71</v>
      </c>
      <c r="AO93" s="1" t="s">
        <v>71</v>
      </c>
      <c r="AP93" s="1" t="s">
        <v>71</v>
      </c>
      <c r="AQ93" s="1">
        <v>4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3</v>
      </c>
      <c r="BI93" s="1" t="s">
        <v>71</v>
      </c>
      <c r="BJ93" s="1" t="s">
        <v>71</v>
      </c>
      <c r="BK93" s="1">
        <v>2E-3</v>
      </c>
      <c r="BL93" s="1">
        <f t="shared" si="23"/>
        <v>0.2</v>
      </c>
      <c r="BM93" s="1">
        <v>1</v>
      </c>
      <c r="BN93" s="1">
        <v>0.01</v>
      </c>
      <c r="BO93" s="1">
        <v>1</v>
      </c>
      <c r="BP93" s="1">
        <v>5</v>
      </c>
      <c r="BQ93" s="1" t="s">
        <v>71</v>
      </c>
      <c r="BR93" s="1" t="s">
        <v>71</v>
      </c>
      <c r="BS93" s="1" t="s">
        <v>71</v>
      </c>
      <c r="BT93" s="1" t="s">
        <v>71</v>
      </c>
      <c r="BU93" s="1" t="s">
        <v>71</v>
      </c>
      <c r="BV93" s="1">
        <v>5.3</v>
      </c>
      <c r="BW93" s="1">
        <v>4</v>
      </c>
      <c r="BX93" s="1" t="s">
        <v>71</v>
      </c>
      <c r="BY93" s="1" t="s">
        <v>71</v>
      </c>
      <c r="BZ93" s="3">
        <v>0.9</v>
      </c>
      <c r="CA93" s="3">
        <v>1.7</v>
      </c>
      <c r="CB93" s="3">
        <f t="shared" si="24"/>
        <v>1.2500000000000002</v>
      </c>
      <c r="CC93" s="3">
        <f t="shared" si="30"/>
        <v>2.3611111111111112</v>
      </c>
      <c r="CD93" s="1">
        <f>ROUND(CB93/CB83+CC93/CC90,2)</f>
        <v>1</v>
      </c>
      <c r="CE93" s="1">
        <f>ROUND(CB93/CB86+CC93/CC90,2)</f>
        <v>0.9</v>
      </c>
      <c r="CF93" s="1">
        <f t="shared" si="32"/>
        <v>0.9</v>
      </c>
      <c r="CG93" s="1">
        <f>ROUND(CB93/CB83,2)</f>
        <v>0.35</v>
      </c>
      <c r="CH93" s="1">
        <f>ROUND(CB93/CB86,2)</f>
        <v>0.24</v>
      </c>
      <c r="CI93" s="1">
        <f>ROUND(CC93/CC90,2)</f>
        <v>0.65</v>
      </c>
      <c r="CJ93" s="1">
        <f>ROUND((CC93+CB93)/MAX(CC90,CB86),2)</f>
        <v>0.7</v>
      </c>
      <c r="CK93" s="1">
        <f>ROUND(LN((0.9*BZ93)/(0.1*CA93))/(BZ83/CA90),2)</f>
        <v>1.56</v>
      </c>
      <c r="CL93" s="1">
        <f>ROUND(LN((0.9*BZ93)/(0.1*CA93))/(BZ86/CA90),2)</f>
        <v>1.1000000000000001</v>
      </c>
      <c r="CM93" s="1">
        <f>ROUND(LN((0.1*CA93)/(0.9*BZ93))/(CA90/BZ83),2)</f>
        <v>-1.56</v>
      </c>
      <c r="CN93" s="1">
        <f>ROUND(LN((0.1*CA93)/(0.9*BZ93))/(CA90/BZ86),2)</f>
        <v>-2.2200000000000002</v>
      </c>
      <c r="CO93" s="1">
        <v>48</v>
      </c>
      <c r="CP93" s="1" t="s">
        <v>71</v>
      </c>
      <c r="CQ93" s="1">
        <v>41</v>
      </c>
      <c r="CR93" s="1">
        <v>142</v>
      </c>
      <c r="CS93" s="1">
        <v>37</v>
      </c>
      <c r="CT93" s="1">
        <v>10.199999999999999</v>
      </c>
      <c r="CU93" s="1">
        <v>10.4</v>
      </c>
      <c r="CV93" s="1" t="s">
        <v>71</v>
      </c>
      <c r="CW93" s="1" t="s">
        <v>71</v>
      </c>
      <c r="CX93" t="e">
        <f>ROUND(CV93*#REF!/10,1)</f>
        <v>#VALUE!</v>
      </c>
      <c r="CY93" s="1">
        <v>12.8</v>
      </c>
      <c r="CZ93">
        <f t="shared" si="33"/>
        <v>874</v>
      </c>
      <c r="DA93">
        <f t="shared" si="34"/>
        <v>160</v>
      </c>
      <c r="DB93">
        <f>(CZ93+DA93)/MAX(DA86,CZ90)</f>
        <v>0.79538461538461536</v>
      </c>
      <c r="DC93" s="1">
        <v>12.8</v>
      </c>
      <c r="DD93">
        <f t="shared" si="25"/>
        <v>1034</v>
      </c>
      <c r="DE93">
        <f t="shared" ref="DE93:DE100" si="36">ROUND(MAX((DB93-DF93), 0), 2)</f>
        <v>0.13</v>
      </c>
      <c r="DF93">
        <f>ROUND(CZ93/MAX(DA86,CZ90), 2)</f>
        <v>0.67</v>
      </c>
    </row>
    <row r="94" spans="1:110" x14ac:dyDescent="0.15">
      <c r="A94" s="1">
        <v>2022</v>
      </c>
      <c r="B94" s="1" t="s">
        <v>49</v>
      </c>
      <c r="C94" s="1">
        <v>5</v>
      </c>
      <c r="D94" s="1">
        <v>12</v>
      </c>
      <c r="E94" s="1" t="s">
        <v>50</v>
      </c>
      <c r="F94" s="1" t="s">
        <v>55</v>
      </c>
      <c r="G94" s="1" t="s">
        <v>5</v>
      </c>
      <c r="H94" s="1">
        <v>1</v>
      </c>
      <c r="I94" s="23" t="s">
        <v>62</v>
      </c>
      <c r="J94" s="1" t="s">
        <v>57</v>
      </c>
      <c r="K94" s="24">
        <v>44690</v>
      </c>
      <c r="L94" s="1">
        <f>K94-K86</f>
        <v>0</v>
      </c>
      <c r="M94" s="1">
        <f>K94-K91</f>
        <v>0</v>
      </c>
      <c r="N94" s="24">
        <v>44708</v>
      </c>
      <c r="O94" s="24">
        <v>44725</v>
      </c>
      <c r="P94" s="24">
        <v>44700</v>
      </c>
      <c r="Q94" s="1">
        <f>P94-P91</f>
        <v>0</v>
      </c>
      <c r="R94" s="1">
        <f>N94-N86</f>
        <v>0</v>
      </c>
      <c r="S94" s="1">
        <f>O94-O86</f>
        <v>4</v>
      </c>
      <c r="T94" s="1">
        <f t="shared" si="35"/>
        <v>2</v>
      </c>
      <c r="U94" s="1" t="s">
        <v>71</v>
      </c>
      <c r="V94" s="1" t="s">
        <v>71</v>
      </c>
      <c r="W94" s="1">
        <v>-2</v>
      </c>
      <c r="X94" s="1">
        <v>0</v>
      </c>
      <c r="Y94" s="1">
        <v>0</v>
      </c>
      <c r="Z94" s="1" t="s">
        <v>71</v>
      </c>
      <c r="AA94" s="1" t="s">
        <v>71</v>
      </c>
      <c r="AB94" s="1" t="s">
        <v>71</v>
      </c>
      <c r="AC94" s="1" t="s">
        <v>71</v>
      </c>
      <c r="AD94" s="25">
        <v>47</v>
      </c>
      <c r="AE94" s="25">
        <v>32</v>
      </c>
      <c r="AF94" s="25">
        <v>120</v>
      </c>
      <c r="AG94" s="25">
        <v>71</v>
      </c>
      <c r="AH94" s="1">
        <v>122</v>
      </c>
      <c r="AI94" s="1">
        <v>74</v>
      </c>
      <c r="AJ94" s="1">
        <v>2.7</v>
      </c>
      <c r="AK94" s="1">
        <v>0</v>
      </c>
      <c r="AL94" s="1">
        <v>0</v>
      </c>
      <c r="AM94" s="1">
        <v>0</v>
      </c>
      <c r="AN94" s="1" t="s">
        <v>71</v>
      </c>
      <c r="AO94" s="1" t="s">
        <v>71</v>
      </c>
      <c r="AP94" s="1" t="s">
        <v>71</v>
      </c>
      <c r="AQ94" s="1">
        <v>5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 t="s">
        <v>71</v>
      </c>
      <c r="BJ94" s="1" t="s">
        <v>71</v>
      </c>
      <c r="BK94" s="1">
        <v>2.0000000000000004E-4</v>
      </c>
      <c r="BL94" s="1">
        <f t="shared" si="23"/>
        <v>2.0000000000000004E-2</v>
      </c>
      <c r="BM94" s="1">
        <v>0.2</v>
      </c>
      <c r="BN94" s="1" t="s">
        <v>71</v>
      </c>
      <c r="BO94" s="1">
        <v>1</v>
      </c>
      <c r="BP94" s="1">
        <v>0</v>
      </c>
      <c r="BQ94" s="1" t="s">
        <v>71</v>
      </c>
      <c r="BR94" s="1" t="s">
        <v>71</v>
      </c>
      <c r="BS94" s="1" t="s">
        <v>71</v>
      </c>
      <c r="BT94" s="1" t="s">
        <v>71</v>
      </c>
      <c r="BU94" s="1" t="s">
        <v>71</v>
      </c>
      <c r="BV94" s="1">
        <v>4</v>
      </c>
      <c r="BW94" s="1">
        <v>0.7</v>
      </c>
      <c r="BX94" s="1" t="s">
        <v>71</v>
      </c>
      <c r="BY94" s="1" t="s">
        <v>71</v>
      </c>
      <c r="BZ94" s="3">
        <v>0.7</v>
      </c>
      <c r="CA94" s="3">
        <v>1.3</v>
      </c>
      <c r="CB94" s="3">
        <f t="shared" si="24"/>
        <v>0.97222222222222221</v>
      </c>
      <c r="CC94" s="3">
        <f t="shared" si="30"/>
        <v>1.8055555555555558</v>
      </c>
      <c r="CD94" s="1">
        <f>ROUND(CB94/CB83+CC94/CC91,2)</f>
        <v>0.79</v>
      </c>
      <c r="CE94" s="1">
        <f>ROUND(CB94/CB86+CC94/CC91,2)</f>
        <v>0.71</v>
      </c>
      <c r="CF94" s="1">
        <f t="shared" si="32"/>
        <v>0.71</v>
      </c>
      <c r="CG94" s="1">
        <f>ROUND(CB94/CB83,2)</f>
        <v>0.27</v>
      </c>
      <c r="CH94" s="1">
        <f>ROUND(CB94/CB86,2)</f>
        <v>0.19</v>
      </c>
      <c r="CI94" s="1">
        <f>ROUND(CC94/CC91,2)</f>
        <v>0.52</v>
      </c>
      <c r="CJ94" s="1">
        <f>ROUND((CC94+CB94)/MAX(CC91,CB86),2)</f>
        <v>0.54</v>
      </c>
      <c r="CK94" s="1">
        <f>ROUND(LN((0.9*BZ94)/(0.1*CA94))/(BZ83/CA91),2)</f>
        <v>1.52</v>
      </c>
      <c r="CL94" s="1">
        <f>ROUND(LN((0.9*BZ94)/(0.1*CA94))/(BZ86/CA91),2)</f>
        <v>1.07</v>
      </c>
      <c r="CM94" s="1">
        <f>ROUND(LN((0.1*CA94)/(0.9*BZ94))/(CA91/BZ83),2)</f>
        <v>-1.64</v>
      </c>
      <c r="CN94" s="1">
        <f>ROUND(LN((0.1*CA94)/(0.9*BZ94))/(CA91/BZ86),2)</f>
        <v>-2.34</v>
      </c>
      <c r="CO94" s="1">
        <v>51</v>
      </c>
      <c r="CP94" s="1" t="s">
        <v>71</v>
      </c>
      <c r="CQ94" s="1">
        <v>40</v>
      </c>
      <c r="CR94" s="1">
        <v>165</v>
      </c>
      <c r="CS94" s="1">
        <v>37</v>
      </c>
      <c r="CT94" s="1">
        <v>10.3</v>
      </c>
      <c r="CU94" s="1">
        <v>10.5</v>
      </c>
      <c r="CV94" s="1" t="s">
        <v>71</v>
      </c>
      <c r="CW94" s="1" t="s">
        <v>71</v>
      </c>
      <c r="CX94" t="e">
        <f>ROUND(CV94*#REF!/10,1)</f>
        <v>#VALUE!</v>
      </c>
      <c r="CY94" s="1">
        <v>14.1</v>
      </c>
      <c r="CZ94">
        <f t="shared" si="33"/>
        <v>668</v>
      </c>
      <c r="DA94">
        <f t="shared" si="34"/>
        <v>137</v>
      </c>
      <c r="DB94">
        <f>(CZ94+DA94)/MAX(DA86,CZ91)</f>
        <v>0.59453471196454943</v>
      </c>
      <c r="DC94" s="1">
        <v>14.1</v>
      </c>
      <c r="DD94">
        <f t="shared" si="25"/>
        <v>805</v>
      </c>
      <c r="DE94">
        <f t="shared" si="36"/>
        <v>0.1</v>
      </c>
      <c r="DF94">
        <f>ROUND(CZ94/MAX(DA86,CZ91), 2)</f>
        <v>0.49</v>
      </c>
    </row>
    <row r="95" spans="1:110" x14ac:dyDescent="0.15">
      <c r="A95" s="1">
        <v>2022</v>
      </c>
      <c r="B95" s="1" t="s">
        <v>49</v>
      </c>
      <c r="C95" s="1">
        <v>5</v>
      </c>
      <c r="D95" s="1">
        <v>13</v>
      </c>
      <c r="E95" s="1" t="s">
        <v>51</v>
      </c>
      <c r="F95" s="1" t="s">
        <v>53</v>
      </c>
      <c r="G95" s="1" t="s">
        <v>5</v>
      </c>
      <c r="H95" s="1">
        <v>1</v>
      </c>
      <c r="I95" s="23" t="s">
        <v>63</v>
      </c>
      <c r="J95" s="1" t="s">
        <v>57</v>
      </c>
      <c r="K95" s="24">
        <v>44700</v>
      </c>
      <c r="L95" s="27">
        <v>10000000000</v>
      </c>
      <c r="M95" s="1">
        <f>K95-K89</f>
        <v>0</v>
      </c>
      <c r="N95" s="24">
        <v>44719</v>
      </c>
      <c r="O95" s="24">
        <v>44724</v>
      </c>
      <c r="P95" s="24">
        <v>44704</v>
      </c>
      <c r="Q95" s="1">
        <f>P95-P89</f>
        <v>4</v>
      </c>
      <c r="R95" s="1">
        <f>N95-N87</f>
        <v>8</v>
      </c>
      <c r="S95" s="1">
        <f>O95-O87</f>
        <v>1</v>
      </c>
      <c r="T95" s="1">
        <f t="shared" si="35"/>
        <v>4.5</v>
      </c>
      <c r="U95" s="1" t="s">
        <v>71</v>
      </c>
      <c r="V95" s="1" t="s">
        <v>71</v>
      </c>
      <c r="W95" s="1">
        <v>2</v>
      </c>
      <c r="X95" s="1">
        <v>0</v>
      </c>
      <c r="Y95" s="1">
        <v>0</v>
      </c>
      <c r="Z95" s="1" t="s">
        <v>71</v>
      </c>
      <c r="AA95" s="1" t="s">
        <v>71</v>
      </c>
      <c r="AB95" s="1" t="s">
        <v>71</v>
      </c>
      <c r="AC95" s="1" t="s">
        <v>71</v>
      </c>
      <c r="AD95" s="25">
        <v>40</v>
      </c>
      <c r="AE95" s="25">
        <v>30</v>
      </c>
      <c r="AF95" s="25">
        <v>104</v>
      </c>
      <c r="AG95" s="25">
        <v>69</v>
      </c>
      <c r="AH95" s="1">
        <v>111</v>
      </c>
      <c r="AI95" s="1">
        <v>69</v>
      </c>
      <c r="AJ95" s="1">
        <v>2.7</v>
      </c>
      <c r="AK95" s="1">
        <v>0</v>
      </c>
      <c r="AL95" s="1">
        <v>0</v>
      </c>
      <c r="AM95" s="1">
        <v>0</v>
      </c>
      <c r="AN95" s="1" t="s">
        <v>71</v>
      </c>
      <c r="AO95" s="1" t="s">
        <v>71</v>
      </c>
      <c r="AP95" s="1" t="s">
        <v>71</v>
      </c>
      <c r="AQ95" s="1">
        <v>4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1</v>
      </c>
      <c r="BI95" s="1" t="s">
        <v>71</v>
      </c>
      <c r="BJ95" s="1" t="s">
        <v>71</v>
      </c>
      <c r="BK95" s="1">
        <v>4.0000000000000001E-3</v>
      </c>
      <c r="BL95" s="1">
        <f t="shared" si="23"/>
        <v>0.4</v>
      </c>
      <c r="BM95" s="1">
        <v>0.8</v>
      </c>
      <c r="BN95" s="1">
        <v>0.01</v>
      </c>
      <c r="BO95" s="1">
        <v>1</v>
      </c>
      <c r="BP95" s="1">
        <v>0</v>
      </c>
      <c r="BQ95" s="1" t="s">
        <v>71</v>
      </c>
      <c r="BR95" s="1" t="s">
        <v>71</v>
      </c>
      <c r="BS95" s="1" t="s">
        <v>71</v>
      </c>
      <c r="BT95" s="1" t="s">
        <v>71</v>
      </c>
      <c r="BU95" s="1" t="s">
        <v>71</v>
      </c>
      <c r="BV95" s="1">
        <v>5</v>
      </c>
      <c r="BW95" s="1">
        <v>2</v>
      </c>
      <c r="BX95" s="1" t="s">
        <v>71</v>
      </c>
      <c r="BY95" s="1" t="s">
        <v>71</v>
      </c>
      <c r="BZ95" s="3">
        <v>0.9</v>
      </c>
      <c r="CA95" s="3">
        <v>1.7</v>
      </c>
      <c r="CB95" s="3">
        <f t="shared" si="24"/>
        <v>1.2500000000000002</v>
      </c>
      <c r="CC95" s="3">
        <f t="shared" si="30"/>
        <v>2.3611111111111112</v>
      </c>
      <c r="CD95" s="1">
        <f>ROUND(CB95/CB84+CC95/CC89,2)</f>
        <v>1.03</v>
      </c>
      <c r="CE95" s="1">
        <f>ROUND(CB95/CB87+CC95/CC89,2)</f>
        <v>1.06</v>
      </c>
      <c r="CF95" s="1">
        <f t="shared" si="32"/>
        <v>1.06</v>
      </c>
      <c r="CG95" s="1">
        <f>ROUND(CB95/CB84,2)</f>
        <v>0.28999999999999998</v>
      </c>
      <c r="CH95" s="1">
        <f>ROUND(CB95/CB87,2)</f>
        <v>0.32</v>
      </c>
      <c r="CI95" s="1">
        <f>ROUND(CC95/CC89,2)</f>
        <v>0.74</v>
      </c>
      <c r="CJ95" s="1">
        <f>ROUND((CC95+CB95)/MAX(CC89,CB87),2)</f>
        <v>0.93</v>
      </c>
      <c r="CK95" s="1">
        <f>ROUND(LN((0.9*BZ95)/(0.1*CA95))/(BZ84/CA89),2)</f>
        <v>1.1599999999999999</v>
      </c>
      <c r="CL95" s="1">
        <f>ROUND(LN((0.9*BZ95)/(0.1*CA95))/(BZ87/CA89),2)</f>
        <v>1.28</v>
      </c>
      <c r="CM95" s="1">
        <f>ROUND(LN((0.1*CA95)/(0.9*BZ95))/(CA89/BZ84),2)</f>
        <v>-2.1</v>
      </c>
      <c r="CN95" s="1">
        <f>ROUND(LN((0.1*CA95)/(0.9*BZ95))/(CA89/BZ87),2)</f>
        <v>-1.9</v>
      </c>
      <c r="CO95" s="1">
        <v>52</v>
      </c>
      <c r="CP95" s="1" t="s">
        <v>71</v>
      </c>
      <c r="CQ95" s="1">
        <v>35</v>
      </c>
      <c r="CR95" s="1">
        <v>157</v>
      </c>
      <c r="CS95" s="1">
        <v>31</v>
      </c>
      <c r="CT95" s="1">
        <v>10.5</v>
      </c>
      <c r="CU95" s="1">
        <v>9.9</v>
      </c>
      <c r="CV95" s="1" t="s">
        <v>71</v>
      </c>
      <c r="CW95" s="1" t="s">
        <v>71</v>
      </c>
      <c r="CX95" t="e">
        <f>ROUND(CV95*#REF!/10,1)</f>
        <v>#VALUE!</v>
      </c>
      <c r="CY95" s="1">
        <v>13.2</v>
      </c>
      <c r="CZ95">
        <f t="shared" si="33"/>
        <v>732</v>
      </c>
      <c r="DA95">
        <f t="shared" si="34"/>
        <v>165</v>
      </c>
      <c r="DB95">
        <f>(CZ95+DA95)/MAX(DA87,CZ89)</f>
        <v>0.87769080234833663</v>
      </c>
      <c r="DC95" s="1">
        <v>13.2</v>
      </c>
      <c r="DD95">
        <f t="shared" si="25"/>
        <v>897</v>
      </c>
      <c r="DE95">
        <f t="shared" si="36"/>
        <v>0.16</v>
      </c>
      <c r="DF95">
        <f>ROUND(CZ95/MAX(DA87,CZ89), 2)</f>
        <v>0.72</v>
      </c>
    </row>
    <row r="96" spans="1:110" x14ac:dyDescent="0.15">
      <c r="A96" s="1">
        <v>2022</v>
      </c>
      <c r="B96" s="1" t="s">
        <v>49</v>
      </c>
      <c r="C96" s="1">
        <v>5</v>
      </c>
      <c r="D96" s="1">
        <v>14</v>
      </c>
      <c r="E96" s="1" t="s">
        <v>51</v>
      </c>
      <c r="F96" s="1" t="s">
        <v>54</v>
      </c>
      <c r="G96" s="1" t="s">
        <v>5</v>
      </c>
      <c r="H96" s="1">
        <v>1</v>
      </c>
      <c r="I96" s="23" t="s">
        <v>64</v>
      </c>
      <c r="J96" s="1" t="s">
        <v>57</v>
      </c>
      <c r="K96" s="24">
        <v>44700</v>
      </c>
      <c r="L96" s="27">
        <v>10000000000</v>
      </c>
      <c r="M96" s="1">
        <f>K96-K90</f>
        <v>0</v>
      </c>
      <c r="N96" s="24">
        <v>44713</v>
      </c>
      <c r="O96" s="24">
        <v>44726</v>
      </c>
      <c r="P96" s="24">
        <v>44700</v>
      </c>
      <c r="Q96" s="1">
        <f>P96-P90</f>
        <v>0</v>
      </c>
      <c r="R96" s="1">
        <f>N96-N87</f>
        <v>2</v>
      </c>
      <c r="S96" s="1">
        <f>O96-O87</f>
        <v>3</v>
      </c>
      <c r="T96" s="1">
        <f t="shared" si="35"/>
        <v>2.5</v>
      </c>
      <c r="U96" s="1" t="s">
        <v>71</v>
      </c>
      <c r="V96" s="1" t="s">
        <v>71</v>
      </c>
      <c r="W96" s="1">
        <v>2</v>
      </c>
      <c r="X96" s="1">
        <v>0</v>
      </c>
      <c r="Y96" s="1">
        <v>0</v>
      </c>
      <c r="Z96" s="1" t="s">
        <v>71</v>
      </c>
      <c r="AA96" s="1" t="s">
        <v>71</v>
      </c>
      <c r="AB96" s="1" t="s">
        <v>71</v>
      </c>
      <c r="AC96" s="1" t="s">
        <v>71</v>
      </c>
      <c r="AD96" s="25">
        <v>38</v>
      </c>
      <c r="AE96" s="25">
        <v>28</v>
      </c>
      <c r="AF96" s="25">
        <v>99</v>
      </c>
      <c r="AG96" s="25">
        <v>68</v>
      </c>
      <c r="AH96" s="1">
        <v>111</v>
      </c>
      <c r="AI96" s="1">
        <v>68</v>
      </c>
      <c r="AJ96" s="1">
        <v>2.7</v>
      </c>
      <c r="AK96" s="1">
        <v>0</v>
      </c>
      <c r="AL96" s="1">
        <v>0</v>
      </c>
      <c r="AM96" s="1">
        <v>0</v>
      </c>
      <c r="AN96" s="1">
        <v>0.01</v>
      </c>
      <c r="AO96" s="1">
        <v>0.01</v>
      </c>
      <c r="AP96" s="1">
        <v>1E-4</v>
      </c>
      <c r="AQ96" s="1">
        <v>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2</v>
      </c>
      <c r="BI96" s="1" t="s">
        <v>71</v>
      </c>
      <c r="BJ96" s="1" t="s">
        <v>71</v>
      </c>
      <c r="BK96" s="1">
        <v>0</v>
      </c>
      <c r="BL96" s="1">
        <f t="shared" si="23"/>
        <v>0</v>
      </c>
      <c r="BM96" s="1">
        <v>0</v>
      </c>
      <c r="BN96" s="1">
        <v>0.01</v>
      </c>
      <c r="BO96" s="1">
        <v>2</v>
      </c>
      <c r="BP96" s="1">
        <v>0</v>
      </c>
      <c r="BQ96" s="1" t="s">
        <v>71</v>
      </c>
      <c r="BR96" s="1" t="s">
        <v>71</v>
      </c>
      <c r="BS96" s="1" t="s">
        <v>71</v>
      </c>
      <c r="BT96" s="1" t="s">
        <v>71</v>
      </c>
      <c r="BU96" s="1" t="s">
        <v>71</v>
      </c>
      <c r="BV96" s="1">
        <v>4.7</v>
      </c>
      <c r="BW96" s="1">
        <v>1.7</v>
      </c>
      <c r="BX96" s="1" t="s">
        <v>71</v>
      </c>
      <c r="BY96" s="1" t="s">
        <v>71</v>
      </c>
      <c r="BZ96" s="3">
        <v>1.6</v>
      </c>
      <c r="CA96" s="3">
        <v>1.4</v>
      </c>
      <c r="CB96" s="3">
        <f t="shared" si="24"/>
        <v>2.2222222222222228</v>
      </c>
      <c r="CC96" s="3">
        <f t="shared" si="30"/>
        <v>1.9444444444444444</v>
      </c>
      <c r="CD96" s="1">
        <f>ROUND(CB96/CB84+CC96/CC90,2)</f>
        <v>1.05</v>
      </c>
      <c r="CE96" s="1">
        <f>ROUND(CB96/CB87+CC96/CC90,2)</f>
        <v>1.1100000000000001</v>
      </c>
      <c r="CF96" s="1">
        <f t="shared" si="32"/>
        <v>1.1100000000000001</v>
      </c>
      <c r="CG96" s="1">
        <f>ROUND(CB96/CB84,2)</f>
        <v>0.52</v>
      </c>
      <c r="CH96" s="1">
        <f>ROUND(CB96/CB87,2)</f>
        <v>0.56999999999999995</v>
      </c>
      <c r="CI96" s="1">
        <f>ROUND(CC96/CC90,2)</f>
        <v>0.54</v>
      </c>
      <c r="CJ96" s="1">
        <f>ROUND((CC96+CB96)/MAX(CC90,CB87),2)</f>
        <v>1.07</v>
      </c>
      <c r="CK96" s="1">
        <f>ROUND(LN((0.9*BZ96)/(0.1*CA96))/(BZ84/CA90),2)</f>
        <v>1.95</v>
      </c>
      <c r="CL96" s="1">
        <f>ROUND(LN((0.9*BZ96)/(0.1*CA96))/(BZ87/CA90),2)</f>
        <v>2.16</v>
      </c>
      <c r="CM96" s="1">
        <f>ROUND(LN((0.1*CA96)/(0.9*BZ96))/(CA90/BZ84),2)</f>
        <v>-2.78</v>
      </c>
      <c r="CN96" s="1">
        <f>ROUND(LN((0.1*CA96)/(0.9*BZ96))/(CA90/BZ87),2)</f>
        <v>-2.5099999999999998</v>
      </c>
      <c r="CO96" s="1">
        <v>50</v>
      </c>
      <c r="CP96" s="1" t="s">
        <v>71</v>
      </c>
      <c r="CQ96" s="1">
        <v>34</v>
      </c>
      <c r="CR96" s="1">
        <v>137</v>
      </c>
      <c r="CS96" s="1">
        <v>37</v>
      </c>
      <c r="CT96" s="1">
        <v>10.199999999999999</v>
      </c>
      <c r="CU96" s="1">
        <v>10.199999999999999</v>
      </c>
      <c r="CV96" s="1" t="s">
        <v>71</v>
      </c>
      <c r="CW96" s="1" t="s">
        <v>71</v>
      </c>
      <c r="CX96" t="e">
        <f>ROUND(CV96*#REF!/10,1)</f>
        <v>#VALUE!</v>
      </c>
      <c r="CY96" s="1">
        <v>11.9</v>
      </c>
      <c r="CZ96">
        <f t="shared" si="33"/>
        <v>719</v>
      </c>
      <c r="DA96">
        <f t="shared" si="34"/>
        <v>264</v>
      </c>
      <c r="DB96">
        <f>(CZ96+DA96)/MAX(DA87,CZ90)</f>
        <v>0.75615384615384618</v>
      </c>
      <c r="DC96" s="1">
        <v>11.9</v>
      </c>
      <c r="DD96">
        <f t="shared" si="25"/>
        <v>983</v>
      </c>
      <c r="DE96">
        <f t="shared" si="36"/>
        <v>0.21</v>
      </c>
      <c r="DF96">
        <f>ROUND(CZ96/MAX(DA87,CZ90), 2)</f>
        <v>0.55000000000000004</v>
      </c>
    </row>
    <row r="97" spans="1:110" x14ac:dyDescent="0.15">
      <c r="A97" s="1">
        <v>2022</v>
      </c>
      <c r="B97" s="1" t="s">
        <v>49</v>
      </c>
      <c r="C97" s="1">
        <v>5</v>
      </c>
      <c r="D97" s="1">
        <v>15</v>
      </c>
      <c r="E97" s="1" t="s">
        <v>51</v>
      </c>
      <c r="F97" s="1" t="s">
        <v>55</v>
      </c>
      <c r="G97" s="1" t="s">
        <v>5</v>
      </c>
      <c r="H97" s="1">
        <v>1</v>
      </c>
      <c r="I97" s="23" t="s">
        <v>65</v>
      </c>
      <c r="J97" s="1" t="s">
        <v>57</v>
      </c>
      <c r="K97" s="24">
        <v>44690</v>
      </c>
      <c r="L97" s="27">
        <v>10000000000</v>
      </c>
      <c r="M97" s="1">
        <f>K97-K91</f>
        <v>0</v>
      </c>
      <c r="N97" s="24">
        <v>44710</v>
      </c>
      <c r="O97" s="24">
        <v>44726</v>
      </c>
      <c r="P97" s="24">
        <v>44700</v>
      </c>
      <c r="Q97" s="1">
        <f>P97-P91</f>
        <v>0</v>
      </c>
      <c r="R97" s="1">
        <f>N97-N87</f>
        <v>-1</v>
      </c>
      <c r="S97" s="1">
        <f>O97-O87</f>
        <v>3</v>
      </c>
      <c r="T97" s="1">
        <f t="shared" si="35"/>
        <v>1</v>
      </c>
      <c r="U97" s="1" t="s">
        <v>71</v>
      </c>
      <c r="V97" s="1" t="s">
        <v>71</v>
      </c>
      <c r="W97" s="1">
        <v>-1</v>
      </c>
      <c r="X97" s="1">
        <v>0</v>
      </c>
      <c r="Y97" s="1">
        <v>0</v>
      </c>
      <c r="Z97" s="1" t="s">
        <v>71</v>
      </c>
      <c r="AA97" s="1" t="s">
        <v>71</v>
      </c>
      <c r="AB97" s="1" t="s">
        <v>71</v>
      </c>
      <c r="AC97" s="1" t="s">
        <v>71</v>
      </c>
      <c r="AD97" s="25">
        <v>40</v>
      </c>
      <c r="AE97" s="25">
        <v>30</v>
      </c>
      <c r="AF97" s="25">
        <v>105</v>
      </c>
      <c r="AG97" s="25">
        <v>64</v>
      </c>
      <c r="AH97" s="1">
        <v>113</v>
      </c>
      <c r="AI97" s="1">
        <v>70</v>
      </c>
      <c r="AJ97" s="1">
        <v>6</v>
      </c>
      <c r="AK97" s="1">
        <v>0</v>
      </c>
      <c r="AL97" s="1">
        <v>0</v>
      </c>
      <c r="AM97" s="1">
        <v>0</v>
      </c>
      <c r="AN97" s="1">
        <v>0.02</v>
      </c>
      <c r="AO97" s="1">
        <v>0.05</v>
      </c>
      <c r="AP97" s="1">
        <v>1E-3</v>
      </c>
      <c r="AQ97" s="1">
        <v>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1</v>
      </c>
      <c r="BI97" s="1" t="s">
        <v>71</v>
      </c>
      <c r="BJ97" s="1" t="s">
        <v>71</v>
      </c>
      <c r="BK97" s="1">
        <v>1E-3</v>
      </c>
      <c r="BL97" s="1">
        <f t="shared" si="23"/>
        <v>0.1</v>
      </c>
      <c r="BM97" s="1">
        <v>1</v>
      </c>
      <c r="BN97" s="1">
        <v>0.02</v>
      </c>
      <c r="BO97" s="1">
        <v>1</v>
      </c>
      <c r="BP97" s="1">
        <v>0</v>
      </c>
      <c r="BQ97" s="1" t="s">
        <v>71</v>
      </c>
      <c r="BR97" s="1" t="s">
        <v>71</v>
      </c>
      <c r="BS97" s="1" t="s">
        <v>71</v>
      </c>
      <c r="BT97" s="1" t="s">
        <v>71</v>
      </c>
      <c r="BU97" s="1" t="s">
        <v>71</v>
      </c>
      <c r="BV97" s="1">
        <v>4</v>
      </c>
      <c r="BW97" s="1">
        <v>0.7</v>
      </c>
      <c r="BX97" s="1" t="s">
        <v>71</v>
      </c>
      <c r="BY97" s="1" t="s">
        <v>71</v>
      </c>
      <c r="BZ97" s="3">
        <v>1.7</v>
      </c>
      <c r="CA97" s="3">
        <v>1.5</v>
      </c>
      <c r="CB97" s="3">
        <f t="shared" si="24"/>
        <v>2.3611111111111112</v>
      </c>
      <c r="CC97" s="3">
        <f t="shared" si="30"/>
        <v>2.0833333333333335</v>
      </c>
      <c r="CD97" s="1">
        <f>ROUND(CB97/CB84+CC97/CC91,2)</f>
        <v>1.1499999999999999</v>
      </c>
      <c r="CE97" s="1">
        <f>ROUND(CB97/CB87+CC97/CC91,2)</f>
        <v>1.21</v>
      </c>
      <c r="CF97" s="1">
        <f t="shared" si="32"/>
        <v>1.21</v>
      </c>
      <c r="CG97" s="1">
        <f>ROUND(CB97/CB84,2)</f>
        <v>0.55000000000000004</v>
      </c>
      <c r="CH97" s="1">
        <f>ROUND(CB97/CB87,2)</f>
        <v>0.61</v>
      </c>
      <c r="CI97" s="1">
        <f>ROUND(CC97/CC91,2)</f>
        <v>0.6</v>
      </c>
      <c r="CJ97" s="1">
        <f>ROUND((CC97+CB97)/MAX(CC91,CB87),2)</f>
        <v>1.1399999999999999</v>
      </c>
      <c r="CK97" s="1">
        <f>ROUND(LN((0.9*BZ97)/(0.1*CA97))/(BZ84/CA91),2)</f>
        <v>1.87</v>
      </c>
      <c r="CL97" s="1">
        <f>ROUND(LN((0.9*BZ97)/(0.1*CA97))/(BZ87/CA91),2)</f>
        <v>2.0699999999999998</v>
      </c>
      <c r="CM97" s="1">
        <f>ROUND(LN((0.1*CA97)/(0.9*BZ97))/(CA91/BZ84),2)</f>
        <v>-2.88</v>
      </c>
      <c r="CN97" s="1">
        <f>ROUND(LN((0.1*CA97)/(0.9*BZ97))/(CA91/BZ87),2)</f>
        <v>-2.6</v>
      </c>
      <c r="CO97" s="1">
        <v>51</v>
      </c>
      <c r="CP97" s="1" t="s">
        <v>71</v>
      </c>
      <c r="CQ97" s="1">
        <v>37</v>
      </c>
      <c r="CR97" s="1">
        <v>164</v>
      </c>
      <c r="CS97" s="1" t="s">
        <v>71</v>
      </c>
      <c r="CT97" s="1">
        <v>10.6</v>
      </c>
      <c r="CU97" s="1" t="s">
        <v>71</v>
      </c>
      <c r="CV97" s="1" t="s">
        <v>71</v>
      </c>
      <c r="CW97" s="1" t="s">
        <v>71</v>
      </c>
      <c r="CX97" t="e">
        <f>ROUND(CV97*#REF!/10,1)</f>
        <v>#VALUE!</v>
      </c>
      <c r="CY97" s="1">
        <v>12.2</v>
      </c>
      <c r="CZ97" t="s">
        <v>71</v>
      </c>
      <c r="DA97">
        <f t="shared" si="34"/>
        <v>288</v>
      </c>
      <c r="DB97" t="s">
        <v>71</v>
      </c>
      <c r="DC97" s="1">
        <v>12.2</v>
      </c>
      <c r="DD97">
        <f t="shared" si="25"/>
        <v>288</v>
      </c>
      <c r="DE97" s="1" t="s">
        <v>71</v>
      </c>
      <c r="DF97" s="1" t="s">
        <v>71</v>
      </c>
    </row>
    <row r="98" spans="1:110" x14ac:dyDescent="0.15">
      <c r="A98" s="1">
        <v>2022</v>
      </c>
      <c r="B98" s="1" t="s">
        <v>49</v>
      </c>
      <c r="C98" s="1">
        <v>5</v>
      </c>
      <c r="D98" s="1">
        <v>16</v>
      </c>
      <c r="E98" s="1" t="s">
        <v>52</v>
      </c>
      <c r="F98" s="1" t="s">
        <v>53</v>
      </c>
      <c r="G98" s="1" t="s">
        <v>5</v>
      </c>
      <c r="H98" s="1">
        <v>1</v>
      </c>
      <c r="I98" s="23" t="s">
        <v>66</v>
      </c>
      <c r="J98" s="1" t="s">
        <v>57</v>
      </c>
      <c r="K98" s="24">
        <v>44690</v>
      </c>
      <c r="L98" s="27">
        <v>10000000000</v>
      </c>
      <c r="M98" s="1">
        <f>K98-K89</f>
        <v>-10</v>
      </c>
      <c r="N98" s="24">
        <v>44718</v>
      </c>
      <c r="O98" s="24">
        <v>44732</v>
      </c>
      <c r="P98" s="24">
        <v>44700</v>
      </c>
      <c r="Q98" s="1">
        <f>P98-P89</f>
        <v>0</v>
      </c>
      <c r="R98" s="1">
        <f>N98-N88</f>
        <v>3</v>
      </c>
      <c r="S98" s="1">
        <f>O98-O88</f>
        <v>7</v>
      </c>
      <c r="T98" s="1">
        <f t="shared" si="35"/>
        <v>5</v>
      </c>
      <c r="U98" s="1" t="s">
        <v>71</v>
      </c>
      <c r="V98" s="1" t="s">
        <v>71</v>
      </c>
      <c r="W98" s="1">
        <v>-1</v>
      </c>
      <c r="X98" s="1">
        <v>0</v>
      </c>
      <c r="Y98" s="1">
        <v>0</v>
      </c>
      <c r="Z98" s="1" t="s">
        <v>71</v>
      </c>
      <c r="AA98" s="1" t="s">
        <v>71</v>
      </c>
      <c r="AB98" s="1" t="s">
        <v>71</v>
      </c>
      <c r="AC98" s="1" t="s">
        <v>71</v>
      </c>
      <c r="AD98" s="25">
        <v>40</v>
      </c>
      <c r="AE98" s="25">
        <v>30</v>
      </c>
      <c r="AF98" s="25">
        <v>92</v>
      </c>
      <c r="AG98" s="25">
        <v>72</v>
      </c>
      <c r="AH98" s="1">
        <v>87</v>
      </c>
      <c r="AI98" s="1">
        <v>72</v>
      </c>
      <c r="AJ98" s="1">
        <v>4.3</v>
      </c>
      <c r="AK98" s="1">
        <v>0</v>
      </c>
      <c r="AL98" s="1">
        <v>0</v>
      </c>
      <c r="AM98" s="1">
        <v>0</v>
      </c>
      <c r="AN98" s="1">
        <v>0.01</v>
      </c>
      <c r="AO98" s="1">
        <v>0.01</v>
      </c>
      <c r="AP98" s="1">
        <v>1E-4</v>
      </c>
      <c r="AQ98" s="1">
        <v>3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1</v>
      </c>
      <c r="BI98" s="1" t="s">
        <v>71</v>
      </c>
      <c r="BJ98" s="1" t="s">
        <v>71</v>
      </c>
      <c r="BK98" s="1">
        <v>1E-3</v>
      </c>
      <c r="BL98" s="1">
        <f t="shared" si="23"/>
        <v>0.1</v>
      </c>
      <c r="BM98" s="1">
        <v>1</v>
      </c>
      <c r="BN98" s="1" t="s">
        <v>71</v>
      </c>
      <c r="BO98" s="1">
        <v>1</v>
      </c>
      <c r="BP98" s="1">
        <v>0</v>
      </c>
      <c r="BQ98" s="1" t="s">
        <v>71</v>
      </c>
      <c r="BR98" s="1" t="s">
        <v>71</v>
      </c>
      <c r="BS98" s="1" t="s">
        <v>71</v>
      </c>
      <c r="BT98" s="1" t="s">
        <v>71</v>
      </c>
      <c r="BU98" s="1" t="s">
        <v>71</v>
      </c>
      <c r="BV98" s="1">
        <v>4.3</v>
      </c>
      <c r="BW98" s="1">
        <v>1.7</v>
      </c>
      <c r="BX98" s="1" t="s">
        <v>71</v>
      </c>
      <c r="BY98" s="1" t="s">
        <v>71</v>
      </c>
      <c r="BZ98" s="3">
        <v>0.5</v>
      </c>
      <c r="CA98" s="3">
        <v>2</v>
      </c>
      <c r="CB98" s="3">
        <f t="shared" si="24"/>
        <v>0.69444444444444442</v>
      </c>
      <c r="CC98" s="3">
        <f t="shared" si="30"/>
        <v>2.7777777777777777</v>
      </c>
      <c r="CD98" s="1">
        <f>ROUND(CB98/CB85+CC98/CC89,2)</f>
        <v>1.1100000000000001</v>
      </c>
      <c r="CE98" s="1">
        <f>ROUND(CB98/CB88+CC98/CC89,2)</f>
        <v>1.01</v>
      </c>
      <c r="CF98" s="1">
        <f>ROUND(CB98/(1.2*CB88)+CC98/CC89,2)</f>
        <v>0.99</v>
      </c>
      <c r="CG98" s="1">
        <f>ROUND(CB98/CB85,2)</f>
        <v>0.24</v>
      </c>
      <c r="CH98" s="1">
        <f>ROUND(CB98/CB88,2)</f>
        <v>0.14000000000000001</v>
      </c>
      <c r="CI98" s="1">
        <f>ROUND(CC98/CC89,2)</f>
        <v>0.87</v>
      </c>
      <c r="CJ98" s="1">
        <f>ROUND((CC98+CB98)/MAX(CC89,CB88),2)</f>
        <v>0.71</v>
      </c>
      <c r="CK98" s="1">
        <f>ROUND(LN((0.9*BZ98)/(0.1*CA98))/(BZ85/CA89),2)</f>
        <v>0.89</v>
      </c>
      <c r="CL98" s="1">
        <f>ROUND(LN((0.9*BZ98)/(0.1*CA98))/(BZ88/CA89),2)</f>
        <v>0.53</v>
      </c>
      <c r="CM98" s="1">
        <f>ROUND(LN((0.1*CA98)/(0.9*BZ98))/(CA89/BZ85),2)</f>
        <v>-0.74</v>
      </c>
      <c r="CN98" s="1">
        <f>ROUND(LN((0.1*CA98)/(0.9*BZ98))/(CA89/BZ88),2)</f>
        <v>-1.23</v>
      </c>
      <c r="CO98" s="1">
        <v>48</v>
      </c>
      <c r="CP98" s="1" t="s">
        <v>71</v>
      </c>
      <c r="CQ98" s="1">
        <v>33</v>
      </c>
      <c r="CR98" s="1">
        <v>166</v>
      </c>
      <c r="CS98" s="1">
        <v>31</v>
      </c>
      <c r="CT98" s="1">
        <v>10.4</v>
      </c>
      <c r="CU98" s="1">
        <v>9.9</v>
      </c>
      <c r="CV98" s="1" t="s">
        <v>71</v>
      </c>
      <c r="CW98" s="1" t="s">
        <v>71</v>
      </c>
      <c r="CX98" t="e">
        <f>ROUND(CV98*#REF!/10,1)</f>
        <v>#VALUE!</v>
      </c>
      <c r="CY98" s="1">
        <v>13.4</v>
      </c>
      <c r="CZ98">
        <f>ROUND((10*CC98*CS98),0)</f>
        <v>861</v>
      </c>
      <c r="DA98">
        <f t="shared" si="34"/>
        <v>93</v>
      </c>
      <c r="DB98">
        <f>(CZ98+DA98)/MAX(DA88,CZ89)</f>
        <v>0.93346379647749511</v>
      </c>
      <c r="DC98" s="1">
        <v>13.4</v>
      </c>
      <c r="DD98">
        <f t="shared" si="25"/>
        <v>954</v>
      </c>
      <c r="DE98">
        <f t="shared" si="36"/>
        <v>0.09</v>
      </c>
      <c r="DF98">
        <f>ROUND(CZ98/MAX(DA88,CZ89), 2)</f>
        <v>0.84</v>
      </c>
    </row>
    <row r="99" spans="1:110" x14ac:dyDescent="0.15">
      <c r="A99" s="1">
        <v>2022</v>
      </c>
      <c r="B99" s="1" t="s">
        <v>49</v>
      </c>
      <c r="C99" s="1">
        <v>5</v>
      </c>
      <c r="D99" s="1">
        <v>17</v>
      </c>
      <c r="E99" s="1" t="s">
        <v>52</v>
      </c>
      <c r="F99" s="1" t="s">
        <v>54</v>
      </c>
      <c r="G99" s="1" t="s">
        <v>5</v>
      </c>
      <c r="H99" s="1">
        <v>1</v>
      </c>
      <c r="I99" s="23" t="s">
        <v>67</v>
      </c>
      <c r="J99" s="1" t="s">
        <v>57</v>
      </c>
      <c r="K99" s="24">
        <v>44700</v>
      </c>
      <c r="L99" s="27">
        <v>10000000000</v>
      </c>
      <c r="M99" s="1">
        <f>K99-K90</f>
        <v>0</v>
      </c>
      <c r="N99" s="24">
        <v>44719</v>
      </c>
      <c r="O99" s="24">
        <v>44730</v>
      </c>
      <c r="P99" s="24">
        <v>44700</v>
      </c>
      <c r="Q99" s="1">
        <f>P99-P90</f>
        <v>0</v>
      </c>
      <c r="R99" s="1">
        <f>N99-N88</f>
        <v>4</v>
      </c>
      <c r="S99" s="1">
        <f>O99-O88</f>
        <v>5</v>
      </c>
      <c r="T99" s="1">
        <f t="shared" si="35"/>
        <v>4.5</v>
      </c>
      <c r="U99" s="1" t="s">
        <v>71</v>
      </c>
      <c r="V99" s="1" t="s">
        <v>71</v>
      </c>
      <c r="W99" s="1">
        <v>2</v>
      </c>
      <c r="X99" s="1">
        <v>0</v>
      </c>
      <c r="Y99" s="1">
        <v>0</v>
      </c>
      <c r="Z99" s="1" t="s">
        <v>71</v>
      </c>
      <c r="AA99" s="1" t="s">
        <v>71</v>
      </c>
      <c r="AB99" s="1" t="s">
        <v>71</v>
      </c>
      <c r="AC99" s="1" t="s">
        <v>71</v>
      </c>
      <c r="AD99" s="25">
        <v>34</v>
      </c>
      <c r="AE99" s="25">
        <v>28</v>
      </c>
      <c r="AF99" s="25">
        <v>82</v>
      </c>
      <c r="AG99" s="25">
        <v>69</v>
      </c>
      <c r="AH99" s="1">
        <v>84</v>
      </c>
      <c r="AI99" s="1">
        <v>65</v>
      </c>
      <c r="AJ99" s="1">
        <v>2.7</v>
      </c>
      <c r="AK99" s="1">
        <v>0</v>
      </c>
      <c r="AL99" s="1">
        <v>0</v>
      </c>
      <c r="AM99" s="1">
        <v>0</v>
      </c>
      <c r="AN99" s="1" t="s">
        <v>71</v>
      </c>
      <c r="AO99" s="1" t="s">
        <v>71</v>
      </c>
      <c r="AP99" s="1" t="s">
        <v>71</v>
      </c>
      <c r="AQ99" s="1">
        <v>5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4</v>
      </c>
      <c r="BI99" s="1" t="s">
        <v>71</v>
      </c>
      <c r="BJ99" s="1" t="s">
        <v>71</v>
      </c>
      <c r="BK99" s="1">
        <v>0</v>
      </c>
      <c r="BL99" s="1">
        <f t="shared" si="23"/>
        <v>0</v>
      </c>
      <c r="BM99" s="1">
        <v>0</v>
      </c>
      <c r="BN99" s="1">
        <v>0.01</v>
      </c>
      <c r="BO99" s="1">
        <v>1</v>
      </c>
      <c r="BP99" s="1">
        <v>5</v>
      </c>
      <c r="BQ99" s="1" t="s">
        <v>71</v>
      </c>
      <c r="BR99" s="1" t="s">
        <v>71</v>
      </c>
      <c r="BS99" s="1" t="s">
        <v>71</v>
      </c>
      <c r="BT99" s="1" t="s">
        <v>71</v>
      </c>
      <c r="BU99" s="1" t="s">
        <v>71</v>
      </c>
      <c r="BV99" s="1">
        <v>4.7</v>
      </c>
      <c r="BW99" s="1">
        <v>4.7</v>
      </c>
      <c r="BX99" s="1" t="s">
        <v>71</v>
      </c>
      <c r="BY99" s="1" t="s">
        <v>71</v>
      </c>
      <c r="BZ99" s="3">
        <v>1.1000000000000001</v>
      </c>
      <c r="CA99" s="3">
        <v>2.2000000000000002</v>
      </c>
      <c r="CB99" s="3">
        <f t="shared" si="24"/>
        <v>1.5277777777777781</v>
      </c>
      <c r="CC99" s="3">
        <f t="shared" si="30"/>
        <v>3.0555555555555562</v>
      </c>
      <c r="CD99" s="1">
        <f>ROUND(CB99/CB85+CC99/CC90,2)</f>
        <v>1.37</v>
      </c>
      <c r="CE99" s="1">
        <f>ROUND(CB99/CB88+CC99/CC90,2)</f>
        <v>1.1599999999999999</v>
      </c>
      <c r="CF99" s="1">
        <f>ROUND(CB99/(1.2*CB88)+CC99/CC90,2)</f>
        <v>1.1100000000000001</v>
      </c>
      <c r="CG99" s="1">
        <f>ROUND(CB99/CB85,2)</f>
        <v>0.52</v>
      </c>
      <c r="CH99" s="1">
        <f>ROUND(CB99/CB88,2)</f>
        <v>0.31</v>
      </c>
      <c r="CI99" s="1">
        <f>ROUND(CC99/CC90,2)</f>
        <v>0.85</v>
      </c>
      <c r="CJ99" s="1">
        <f>ROUND((CC99+CB99)/MAX(CC90,CB88),2)</f>
        <v>0.94</v>
      </c>
      <c r="CK99" s="1">
        <f>ROUND(LN((0.9*BZ99)/(0.1*CA99))/(BZ85/CA90),2)</f>
        <v>1.86</v>
      </c>
      <c r="CL99" s="1">
        <f>ROUND(LN((0.9*BZ99)/(0.1*CA99))/(BZ88/CA90),2)</f>
        <v>1.1200000000000001</v>
      </c>
      <c r="CM99" s="1">
        <f>ROUND(LN((0.1*CA99)/(0.9*BZ99))/(CA90/BZ85),2)</f>
        <v>-1.21</v>
      </c>
      <c r="CN99" s="1">
        <f>ROUND(LN((0.1*CA99)/(0.9*BZ99))/(CA90/BZ88),2)</f>
        <v>-2.02</v>
      </c>
      <c r="CO99" s="1">
        <v>48</v>
      </c>
      <c r="CP99" s="1" t="s">
        <v>71</v>
      </c>
      <c r="CQ99" s="1">
        <v>33</v>
      </c>
      <c r="CR99" s="1">
        <v>155</v>
      </c>
      <c r="CS99" s="1">
        <v>36</v>
      </c>
      <c r="CT99" s="1">
        <v>10.3</v>
      </c>
      <c r="CU99" s="1">
        <v>10.199999999999999</v>
      </c>
      <c r="CV99" s="1" t="s">
        <v>71</v>
      </c>
      <c r="CW99" s="1" t="s">
        <v>71</v>
      </c>
      <c r="CX99" t="e">
        <f>ROUND(CV99*#REF!/10,1)</f>
        <v>#VALUE!</v>
      </c>
      <c r="CY99" s="1">
        <v>12.7</v>
      </c>
      <c r="CZ99">
        <f>ROUND((10*CC99*CS99),0)</f>
        <v>1100</v>
      </c>
      <c r="DA99">
        <f t="shared" si="34"/>
        <v>194</v>
      </c>
      <c r="DB99">
        <f>(CZ99+DA99)/MAX(DA88,CZ90)</f>
        <v>0.99538461538461542</v>
      </c>
      <c r="DC99" s="1">
        <v>12.7</v>
      </c>
      <c r="DD99">
        <f t="shared" si="25"/>
        <v>1294</v>
      </c>
      <c r="DE99">
        <f t="shared" si="36"/>
        <v>0.15</v>
      </c>
      <c r="DF99">
        <f>ROUND(CZ99/MAX(DA88,CZ90), 2)</f>
        <v>0.85</v>
      </c>
    </row>
    <row r="100" spans="1:110" x14ac:dyDescent="0.15">
      <c r="A100" s="1">
        <v>2022</v>
      </c>
      <c r="B100" s="1" t="s">
        <v>49</v>
      </c>
      <c r="C100" s="1">
        <v>5</v>
      </c>
      <c r="D100" s="1">
        <v>18</v>
      </c>
      <c r="E100" s="1" t="s">
        <v>52</v>
      </c>
      <c r="F100" s="1" t="s">
        <v>55</v>
      </c>
      <c r="G100" s="1" t="s">
        <v>5</v>
      </c>
      <c r="H100" s="1">
        <v>1</v>
      </c>
      <c r="I100" s="23" t="s">
        <v>68</v>
      </c>
      <c r="J100" s="1" t="s">
        <v>57</v>
      </c>
      <c r="K100" s="24">
        <v>44690</v>
      </c>
      <c r="L100" s="27">
        <v>10000000000</v>
      </c>
      <c r="M100" s="1">
        <f>K100-K91</f>
        <v>0</v>
      </c>
      <c r="N100" s="24">
        <v>44718</v>
      </c>
      <c r="O100" s="24">
        <v>44732</v>
      </c>
      <c r="P100" s="24">
        <v>44700</v>
      </c>
      <c r="Q100" s="1">
        <f>P100-P91</f>
        <v>0</v>
      </c>
      <c r="R100" s="1">
        <f>N100-N88</f>
        <v>3</v>
      </c>
      <c r="S100" s="1">
        <f>O100-O88</f>
        <v>7</v>
      </c>
      <c r="T100" s="1">
        <f t="shared" si="35"/>
        <v>5</v>
      </c>
      <c r="U100" s="1" t="s">
        <v>71</v>
      </c>
      <c r="V100" s="1" t="s">
        <v>71</v>
      </c>
      <c r="W100" s="1">
        <v>-1</v>
      </c>
      <c r="X100" s="1">
        <v>0</v>
      </c>
      <c r="Y100" s="1">
        <v>0</v>
      </c>
      <c r="Z100" s="1" t="s">
        <v>71</v>
      </c>
      <c r="AA100" s="1" t="s">
        <v>71</v>
      </c>
      <c r="AB100" s="1" t="s">
        <v>71</v>
      </c>
      <c r="AC100" s="1" t="s">
        <v>71</v>
      </c>
      <c r="AD100" s="25">
        <v>39</v>
      </c>
      <c r="AE100" s="25">
        <v>32</v>
      </c>
      <c r="AF100" s="25">
        <v>81</v>
      </c>
      <c r="AG100" s="25">
        <v>65</v>
      </c>
      <c r="AH100" s="1">
        <v>88</v>
      </c>
      <c r="AI100" s="1">
        <v>70</v>
      </c>
      <c r="AJ100" s="1">
        <v>2.7</v>
      </c>
      <c r="AK100" s="1">
        <v>0</v>
      </c>
      <c r="AL100" s="1">
        <v>0</v>
      </c>
      <c r="AM100" s="1">
        <v>0</v>
      </c>
      <c r="AN100" s="1" t="s">
        <v>71</v>
      </c>
      <c r="AO100" s="1" t="s">
        <v>71</v>
      </c>
      <c r="AP100" s="1" t="s">
        <v>71</v>
      </c>
      <c r="AQ100" s="1">
        <v>4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2</v>
      </c>
      <c r="BI100" s="1" t="s">
        <v>71</v>
      </c>
      <c r="BJ100" s="1" t="s">
        <v>71</v>
      </c>
      <c r="BK100" s="1">
        <v>1.1000000000000001E-3</v>
      </c>
      <c r="BL100" s="1">
        <f t="shared" si="23"/>
        <v>0.11</v>
      </c>
      <c r="BM100" s="1">
        <v>1.1000000000000001</v>
      </c>
      <c r="BN100" s="1" t="s">
        <v>71</v>
      </c>
      <c r="BO100" s="1">
        <v>1</v>
      </c>
      <c r="BP100" s="1">
        <v>0</v>
      </c>
      <c r="BQ100" s="1" t="s">
        <v>71</v>
      </c>
      <c r="BR100" s="1" t="s">
        <v>71</v>
      </c>
      <c r="BS100" s="1" t="s">
        <v>71</v>
      </c>
      <c r="BT100" s="1" t="s">
        <v>71</v>
      </c>
      <c r="BU100" s="1" t="s">
        <v>71</v>
      </c>
      <c r="BV100" s="1">
        <v>3.7</v>
      </c>
      <c r="BW100" s="1">
        <v>0.7</v>
      </c>
      <c r="BX100" s="1" t="s">
        <v>71</v>
      </c>
      <c r="BY100" s="1" t="s">
        <v>71</v>
      </c>
      <c r="BZ100" s="3">
        <v>0.5</v>
      </c>
      <c r="CA100" s="3">
        <v>1.7</v>
      </c>
      <c r="CB100" s="3">
        <f t="shared" si="24"/>
        <v>0.69444444444444442</v>
      </c>
      <c r="CC100" s="3">
        <f t="shared" si="30"/>
        <v>2.3611111111111112</v>
      </c>
      <c r="CD100" s="1">
        <f>ROUND(CB100/CB85+CC100/CC91,2)</f>
        <v>0.92</v>
      </c>
      <c r="CE100" s="1">
        <f>ROUND(CB100/CB88+CC100/CC91,2)</f>
        <v>0.82</v>
      </c>
      <c r="CF100" s="1">
        <f>ROUND(CB100/(1.2*CB88)+CC100/CC91,2)</f>
        <v>0.8</v>
      </c>
      <c r="CG100" s="1">
        <f>ROUND(CB100/CB85,2)</f>
        <v>0.24</v>
      </c>
      <c r="CH100" s="1">
        <f>ROUND(CB100/CB88,2)</f>
        <v>0.14000000000000001</v>
      </c>
      <c r="CI100" s="1">
        <f>ROUND(CC100/CC91,2)</f>
        <v>0.68</v>
      </c>
      <c r="CJ100" s="1">
        <f>ROUND((CC100+CB100)/MAX(CC91,CB88),2)</f>
        <v>0.63</v>
      </c>
      <c r="CK100" s="1">
        <f>ROUND(LN((0.9*BZ100)/(0.1*CA100))/(BZ85/CA91),2)</f>
        <v>1.1599999999999999</v>
      </c>
      <c r="CL100" s="1">
        <f>ROUND(LN((0.9*BZ100)/(0.1*CA100))/(BZ88/CA91),2)</f>
        <v>0.7</v>
      </c>
      <c r="CM100" s="1">
        <f>ROUND(LN((0.1*CA100)/(0.9*BZ100))/(CA91/BZ85),2)</f>
        <v>-0.82</v>
      </c>
      <c r="CN100" s="1">
        <f>ROUND(LN((0.1*CA100)/(0.9*BZ100))/(CA91/BZ88),2)</f>
        <v>-1.36</v>
      </c>
      <c r="CO100" s="1">
        <v>49</v>
      </c>
      <c r="CP100" s="1" t="s">
        <v>71</v>
      </c>
      <c r="CQ100" s="1">
        <v>34</v>
      </c>
      <c r="CR100" s="1">
        <v>168</v>
      </c>
      <c r="CS100" s="1">
        <v>38</v>
      </c>
      <c r="CT100" s="1">
        <v>10.5</v>
      </c>
      <c r="CU100" s="1">
        <v>9.3000000000000007</v>
      </c>
      <c r="CV100" s="1" t="s">
        <v>71</v>
      </c>
      <c r="CW100" s="1" t="s">
        <v>71</v>
      </c>
      <c r="CX100" t="e">
        <f>ROUND(CV100*#REF!/10,1)</f>
        <v>#VALUE!</v>
      </c>
      <c r="CY100" s="1">
        <v>14.8</v>
      </c>
      <c r="CZ100">
        <f>ROUND((10*CC100*CS100),0)</f>
        <v>897</v>
      </c>
      <c r="DA100">
        <f t="shared" si="34"/>
        <v>103</v>
      </c>
      <c r="DB100">
        <f>(CZ100+DA100)/MAX(DA88,CZ91)</f>
        <v>0.73855243722304287</v>
      </c>
      <c r="DC100" s="1">
        <v>14.8</v>
      </c>
      <c r="DD100">
        <f t="shared" si="25"/>
        <v>1000</v>
      </c>
      <c r="DE100">
        <f t="shared" si="36"/>
        <v>0.08</v>
      </c>
      <c r="DF100">
        <f>ROUND(CZ100/MAX(DA88,CZ91), 2)</f>
        <v>0.66</v>
      </c>
    </row>
    <row r="101" spans="1:110" x14ac:dyDescent="0.15">
      <c r="A101" s="1">
        <v>2022</v>
      </c>
      <c r="B101" s="1" t="s">
        <v>49</v>
      </c>
      <c r="C101" s="1">
        <v>5</v>
      </c>
      <c r="D101" s="1">
        <v>19</v>
      </c>
      <c r="E101" s="1"/>
      <c r="F101" s="1"/>
      <c r="G101" s="1" t="s">
        <v>56</v>
      </c>
      <c r="H101" s="1">
        <v>1</v>
      </c>
      <c r="I101" s="23" t="s">
        <v>69</v>
      </c>
      <c r="J101" s="1" t="s">
        <v>57</v>
      </c>
      <c r="K101" s="26" t="s">
        <v>57</v>
      </c>
      <c r="L101" s="1" t="s">
        <v>71</v>
      </c>
      <c r="M101" s="1" t="s">
        <v>71</v>
      </c>
      <c r="N101" s="24">
        <v>44714</v>
      </c>
      <c r="O101" s="24">
        <v>44728</v>
      </c>
      <c r="P101" s="1" t="s">
        <v>71</v>
      </c>
      <c r="Q101" s="1" t="s">
        <v>71</v>
      </c>
      <c r="R101" s="1" t="s">
        <v>71</v>
      </c>
      <c r="S101" s="1" t="s">
        <v>71</v>
      </c>
      <c r="T101" s="1" t="s">
        <v>71</v>
      </c>
      <c r="U101" s="1" t="s">
        <v>71</v>
      </c>
      <c r="V101" s="1" t="s">
        <v>71</v>
      </c>
      <c r="W101" s="1" t="s">
        <v>71</v>
      </c>
      <c r="X101" s="1">
        <v>0</v>
      </c>
      <c r="Y101" s="1">
        <v>0</v>
      </c>
      <c r="Z101" s="1" t="s">
        <v>71</v>
      </c>
      <c r="AA101" s="1" t="s">
        <v>71</v>
      </c>
      <c r="AB101" s="1" t="s">
        <v>71</v>
      </c>
      <c r="AC101" s="1" t="s">
        <v>71</v>
      </c>
      <c r="AD101" s="25">
        <v>40</v>
      </c>
      <c r="AE101" s="25" t="s">
        <v>71</v>
      </c>
      <c r="AF101" s="25">
        <v>66</v>
      </c>
      <c r="AG101" s="25" t="s">
        <v>71</v>
      </c>
      <c r="AH101" s="1">
        <v>63</v>
      </c>
      <c r="AI101" s="1" t="s">
        <v>71</v>
      </c>
      <c r="AJ101" s="1">
        <v>1.3</v>
      </c>
      <c r="AK101" s="1" t="s">
        <v>71</v>
      </c>
      <c r="AL101" s="1" t="s">
        <v>71</v>
      </c>
      <c r="AM101" s="1" t="s">
        <v>71</v>
      </c>
      <c r="AN101" s="1" t="s">
        <v>71</v>
      </c>
      <c r="AO101" s="1" t="s">
        <v>71</v>
      </c>
      <c r="AP101" s="1" t="s">
        <v>71</v>
      </c>
      <c r="AQ101" s="1">
        <v>9</v>
      </c>
      <c r="AR101" s="1" t="s">
        <v>71</v>
      </c>
      <c r="AS101" s="1" t="s">
        <v>71</v>
      </c>
      <c r="AT101" s="1" t="s">
        <v>71</v>
      </c>
      <c r="AU101" s="1">
        <v>0</v>
      </c>
      <c r="AV101" s="1">
        <v>0</v>
      </c>
      <c r="AW101" s="1">
        <v>0</v>
      </c>
      <c r="AX101" s="1" t="s">
        <v>71</v>
      </c>
      <c r="AY101" s="1" t="s">
        <v>71</v>
      </c>
      <c r="AZ101" s="1">
        <v>0</v>
      </c>
      <c r="BA101" s="1" t="s">
        <v>71</v>
      </c>
      <c r="BB101" s="1" t="s">
        <v>71</v>
      </c>
      <c r="BC101" s="1" t="s">
        <v>71</v>
      </c>
      <c r="BD101" s="1" t="s">
        <v>71</v>
      </c>
      <c r="BE101" s="1" t="s">
        <v>71</v>
      </c>
      <c r="BF101" s="1" t="s">
        <v>71</v>
      </c>
      <c r="BG101" s="1" t="s">
        <v>71</v>
      </c>
      <c r="BH101" s="1" t="s">
        <v>71</v>
      </c>
      <c r="BI101" s="1" t="s">
        <v>71</v>
      </c>
      <c r="BJ101" s="1" t="s">
        <v>71</v>
      </c>
      <c r="BK101" s="1">
        <v>1E-3</v>
      </c>
      <c r="BL101" s="1">
        <f t="shared" si="23"/>
        <v>0.1</v>
      </c>
      <c r="BM101" s="1">
        <v>1</v>
      </c>
      <c r="BN101" s="1" t="s">
        <v>71</v>
      </c>
      <c r="BO101" s="1">
        <v>2</v>
      </c>
      <c r="BP101" s="1">
        <v>0</v>
      </c>
      <c r="BQ101" s="1" t="s">
        <v>71</v>
      </c>
      <c r="BR101" s="1" t="s">
        <v>71</v>
      </c>
      <c r="BS101" s="1" t="s">
        <v>71</v>
      </c>
      <c r="BT101" s="1" t="s">
        <v>71</v>
      </c>
      <c r="BU101" s="1" t="s">
        <v>71</v>
      </c>
      <c r="BV101" s="1" t="s">
        <v>71</v>
      </c>
      <c r="BW101" s="1" t="s">
        <v>71</v>
      </c>
      <c r="BX101" s="1" t="s">
        <v>71</v>
      </c>
      <c r="BY101" s="1" t="s">
        <v>71</v>
      </c>
      <c r="BZ101" s="3" t="s">
        <v>71</v>
      </c>
      <c r="CA101" s="3" t="s">
        <v>71</v>
      </c>
      <c r="CB101" s="3" t="s">
        <v>71</v>
      </c>
      <c r="CC101" s="1" t="s">
        <v>71</v>
      </c>
      <c r="CD101" s="1" t="s">
        <v>71</v>
      </c>
      <c r="CE101" s="1" t="s">
        <v>71</v>
      </c>
      <c r="CF101" s="1" t="s">
        <v>71</v>
      </c>
      <c r="CG101" s="1" t="s">
        <v>71</v>
      </c>
      <c r="CH101" s="1" t="s">
        <v>71</v>
      </c>
      <c r="CI101" s="1" t="s">
        <v>71</v>
      </c>
      <c r="CJ101" s="1" t="s">
        <v>71</v>
      </c>
      <c r="CK101" s="1" t="s">
        <v>71</v>
      </c>
      <c r="CL101" s="3" t="s">
        <v>71</v>
      </c>
      <c r="CM101" s="3" t="s">
        <v>71</v>
      </c>
      <c r="CN101" s="3" t="s">
        <v>71</v>
      </c>
      <c r="CO101" s="1">
        <v>45</v>
      </c>
      <c r="CP101" s="1" t="s">
        <v>71</v>
      </c>
      <c r="CQ101" s="1">
        <v>32</v>
      </c>
      <c r="CR101" s="1">
        <v>0</v>
      </c>
      <c r="CS101" s="1" t="s">
        <v>71</v>
      </c>
      <c r="CT101" s="1">
        <v>9.8000000000000007</v>
      </c>
      <c r="CU101" s="1" t="s">
        <v>71</v>
      </c>
      <c r="CV101" s="1" t="s">
        <v>71</v>
      </c>
      <c r="CW101" s="1" t="s">
        <v>71</v>
      </c>
      <c r="CX101" t="s">
        <v>71</v>
      </c>
      <c r="CY101" s="1">
        <v>10.5</v>
      </c>
      <c r="CZ101" t="s">
        <v>71</v>
      </c>
      <c r="DA101" t="s">
        <v>71</v>
      </c>
      <c r="DB101" t="s">
        <v>71</v>
      </c>
      <c r="DC101" s="1">
        <v>10.5</v>
      </c>
      <c r="DD101">
        <f t="shared" si="25"/>
        <v>0</v>
      </c>
      <c r="DE101" t="s">
        <v>71</v>
      </c>
      <c r="DF101" s="26" t="s">
        <v>71</v>
      </c>
    </row>
    <row r="102" spans="1:110" x14ac:dyDescent="0.15">
      <c r="A102" s="1">
        <v>2022</v>
      </c>
      <c r="B102" s="1" t="s">
        <v>49</v>
      </c>
      <c r="C102" s="1">
        <v>5</v>
      </c>
      <c r="D102" s="1">
        <v>20</v>
      </c>
      <c r="E102" s="1"/>
      <c r="F102" s="1"/>
      <c r="G102" s="1" t="s">
        <v>56</v>
      </c>
      <c r="H102" s="1">
        <v>1</v>
      </c>
      <c r="I102" s="23" t="s">
        <v>70</v>
      </c>
      <c r="J102" s="1" t="s">
        <v>57</v>
      </c>
      <c r="K102" s="1" t="s">
        <v>57</v>
      </c>
      <c r="L102" s="1" t="s">
        <v>71</v>
      </c>
      <c r="M102" s="1" t="s">
        <v>71</v>
      </c>
      <c r="N102" s="1" t="s">
        <v>71</v>
      </c>
      <c r="O102" s="1" t="s">
        <v>71</v>
      </c>
      <c r="P102" s="1" t="s">
        <v>71</v>
      </c>
      <c r="Q102" s="1" t="s">
        <v>71</v>
      </c>
      <c r="R102" s="1" t="s">
        <v>71</v>
      </c>
      <c r="S102" s="1" t="s">
        <v>71</v>
      </c>
      <c r="T102" s="1" t="s">
        <v>71</v>
      </c>
      <c r="U102" s="1" t="s">
        <v>71</v>
      </c>
      <c r="V102" s="1" t="s">
        <v>71</v>
      </c>
      <c r="W102" s="1" t="s">
        <v>71</v>
      </c>
      <c r="X102" s="1">
        <v>0</v>
      </c>
      <c r="Y102" s="1">
        <v>0</v>
      </c>
      <c r="Z102" s="1" t="s">
        <v>71</v>
      </c>
      <c r="AA102" s="1" t="s">
        <v>71</v>
      </c>
      <c r="AB102" s="1" t="s">
        <v>71</v>
      </c>
      <c r="AC102" s="1" t="s">
        <v>71</v>
      </c>
      <c r="AD102" s="25" t="s">
        <v>71</v>
      </c>
      <c r="AE102" s="25" t="s">
        <v>71</v>
      </c>
      <c r="AF102" s="25">
        <v>100</v>
      </c>
      <c r="AG102" s="25" t="s">
        <v>71</v>
      </c>
      <c r="AH102" s="1" t="s">
        <v>71</v>
      </c>
      <c r="AI102" s="1" t="s">
        <v>71</v>
      </c>
      <c r="AJ102" s="1" t="s">
        <v>71</v>
      </c>
      <c r="AK102" s="1" t="s">
        <v>71</v>
      </c>
      <c r="AL102" s="1" t="s">
        <v>71</v>
      </c>
      <c r="AM102" s="1" t="s">
        <v>71</v>
      </c>
      <c r="AN102" s="1" t="s">
        <v>71</v>
      </c>
      <c r="AO102" s="1" t="s">
        <v>71</v>
      </c>
      <c r="AP102" s="1" t="s">
        <v>71</v>
      </c>
      <c r="AQ102" s="1" t="s">
        <v>71</v>
      </c>
      <c r="AR102" s="1" t="s">
        <v>71</v>
      </c>
      <c r="AS102" s="1" t="s">
        <v>71</v>
      </c>
      <c r="AT102" s="1" t="s">
        <v>71</v>
      </c>
      <c r="AU102" s="1">
        <v>0</v>
      </c>
      <c r="AV102" s="1">
        <v>0</v>
      </c>
      <c r="AW102" s="1">
        <v>0</v>
      </c>
      <c r="AX102" s="1" t="s">
        <v>71</v>
      </c>
      <c r="AY102" s="1" t="s">
        <v>71</v>
      </c>
      <c r="AZ102" s="1">
        <v>0</v>
      </c>
      <c r="BA102" s="1" t="s">
        <v>71</v>
      </c>
      <c r="BB102" s="1" t="s">
        <v>71</v>
      </c>
      <c r="BC102" s="1" t="s">
        <v>71</v>
      </c>
      <c r="BD102" s="1" t="s">
        <v>71</v>
      </c>
      <c r="BE102" s="1" t="s">
        <v>71</v>
      </c>
      <c r="BF102" s="1" t="s">
        <v>71</v>
      </c>
      <c r="BG102" s="1" t="s">
        <v>71</v>
      </c>
      <c r="BH102" s="1" t="s">
        <v>71</v>
      </c>
      <c r="BI102" s="1" t="s">
        <v>71</v>
      </c>
      <c r="BJ102" s="1" t="s">
        <v>71</v>
      </c>
      <c r="BK102" s="1">
        <v>0</v>
      </c>
      <c r="BL102" s="1">
        <f t="shared" si="23"/>
        <v>0</v>
      </c>
      <c r="BM102" s="1">
        <v>0</v>
      </c>
      <c r="BN102" s="1" t="s">
        <v>71</v>
      </c>
      <c r="BO102" s="1" t="s">
        <v>71</v>
      </c>
      <c r="BP102" s="1">
        <v>40</v>
      </c>
      <c r="BQ102" s="1" t="s">
        <v>71</v>
      </c>
      <c r="BR102" s="1" t="s">
        <v>71</v>
      </c>
      <c r="BS102" s="1" t="s">
        <v>71</v>
      </c>
      <c r="BT102" s="1" t="s">
        <v>71</v>
      </c>
      <c r="BU102" s="1" t="s">
        <v>71</v>
      </c>
      <c r="BV102" s="1" t="s">
        <v>71</v>
      </c>
      <c r="BW102" s="1" t="s">
        <v>71</v>
      </c>
      <c r="BX102" s="1" t="s">
        <v>71</v>
      </c>
      <c r="BY102" s="1" t="s">
        <v>71</v>
      </c>
      <c r="BZ102" s="3" t="s">
        <v>71</v>
      </c>
      <c r="CA102" s="3" t="s">
        <v>71</v>
      </c>
      <c r="CB102" s="3" t="s">
        <v>71</v>
      </c>
      <c r="CC102" s="1" t="s">
        <v>71</v>
      </c>
      <c r="CD102" s="1" t="s">
        <v>71</v>
      </c>
      <c r="CE102" s="1" t="s">
        <v>71</v>
      </c>
      <c r="CF102" s="1" t="s">
        <v>71</v>
      </c>
      <c r="CG102" s="1" t="s">
        <v>71</v>
      </c>
      <c r="CH102" s="1" t="s">
        <v>71</v>
      </c>
      <c r="CI102" s="1" t="s">
        <v>71</v>
      </c>
      <c r="CJ102" s="1" t="s">
        <v>71</v>
      </c>
      <c r="CK102" s="1" t="s">
        <v>71</v>
      </c>
      <c r="CL102" s="3" t="s">
        <v>71</v>
      </c>
      <c r="CM102" s="3" t="s">
        <v>71</v>
      </c>
      <c r="CN102" s="3" t="s">
        <v>71</v>
      </c>
      <c r="CO102" s="1">
        <v>0</v>
      </c>
      <c r="CP102" s="1" t="s">
        <v>71</v>
      </c>
      <c r="CQ102" s="1">
        <v>0</v>
      </c>
      <c r="CR102" s="1">
        <v>215</v>
      </c>
      <c r="CS102" s="1">
        <v>22</v>
      </c>
      <c r="CT102" s="1" t="s">
        <v>71</v>
      </c>
      <c r="CU102" s="1">
        <v>10.4</v>
      </c>
      <c r="CV102" s="1" t="s">
        <v>71</v>
      </c>
      <c r="CW102" s="1" t="s">
        <v>71</v>
      </c>
      <c r="CX102" t="s">
        <v>71</v>
      </c>
      <c r="CY102" s="1" t="s">
        <v>71</v>
      </c>
      <c r="CZ102" t="s">
        <v>71</v>
      </c>
      <c r="DA102" t="s">
        <v>71</v>
      </c>
      <c r="DB102" t="s">
        <v>71</v>
      </c>
      <c r="DC102" s="1" t="s">
        <v>71</v>
      </c>
      <c r="DD102">
        <f t="shared" si="25"/>
        <v>0</v>
      </c>
      <c r="DE102" t="s">
        <v>71</v>
      </c>
      <c r="DF102" s="26" t="s">
        <v>71</v>
      </c>
    </row>
    <row r="103" spans="1:110" x14ac:dyDescent="0.15">
      <c r="A103" s="1">
        <v>2022</v>
      </c>
      <c r="B103" s="1" t="s">
        <v>49</v>
      </c>
      <c r="C103" s="1">
        <v>6</v>
      </c>
      <c r="D103" s="1">
        <v>1</v>
      </c>
      <c r="E103" s="1" t="s">
        <v>50</v>
      </c>
      <c r="F103" s="1"/>
      <c r="G103" s="1" t="s">
        <v>56</v>
      </c>
      <c r="H103" s="1">
        <v>2</v>
      </c>
      <c r="I103" s="23" t="s">
        <v>50</v>
      </c>
      <c r="J103" s="1" t="s">
        <v>57</v>
      </c>
      <c r="K103" s="1" t="s">
        <v>57</v>
      </c>
      <c r="L103" s="1" t="s">
        <v>71</v>
      </c>
      <c r="M103" s="1" t="s">
        <v>71</v>
      </c>
      <c r="N103" s="24">
        <v>44707</v>
      </c>
      <c r="O103" s="24">
        <v>44721</v>
      </c>
      <c r="P103" s="1" t="s">
        <v>71</v>
      </c>
      <c r="Q103" s="1" t="s">
        <v>71</v>
      </c>
      <c r="R103" s="1" t="s">
        <v>71</v>
      </c>
      <c r="S103" s="1" t="s">
        <v>71</v>
      </c>
      <c r="T103" s="1" t="s">
        <v>71</v>
      </c>
      <c r="U103" s="1" t="s">
        <v>71</v>
      </c>
      <c r="V103" s="1" t="s">
        <v>71</v>
      </c>
      <c r="W103" s="1" t="s">
        <v>71</v>
      </c>
      <c r="X103" s="1" t="s">
        <v>71</v>
      </c>
      <c r="Y103" s="1">
        <v>0</v>
      </c>
      <c r="Z103" s="1" t="s">
        <v>71</v>
      </c>
      <c r="AA103" s="1" t="s">
        <v>71</v>
      </c>
      <c r="AB103" s="1" t="s">
        <v>71</v>
      </c>
      <c r="AC103" s="1" t="s">
        <v>71</v>
      </c>
      <c r="AD103" s="25">
        <v>50</v>
      </c>
      <c r="AE103" s="25" t="s">
        <v>71</v>
      </c>
      <c r="AF103" s="25">
        <v>110</v>
      </c>
      <c r="AG103" s="25" t="s">
        <v>71</v>
      </c>
      <c r="AH103" s="1">
        <v>108</v>
      </c>
      <c r="AI103" s="1" t="s">
        <v>71</v>
      </c>
      <c r="AJ103" s="1">
        <v>1.3</v>
      </c>
      <c r="AK103" s="1">
        <v>0</v>
      </c>
      <c r="AL103" s="1">
        <v>0</v>
      </c>
      <c r="AM103" s="1">
        <v>0</v>
      </c>
      <c r="AN103" s="1" t="s">
        <v>71</v>
      </c>
      <c r="AO103" s="1" t="s">
        <v>71</v>
      </c>
      <c r="AP103" s="1" t="s">
        <v>71</v>
      </c>
      <c r="AQ103" s="1">
        <v>15</v>
      </c>
      <c r="AR103" s="1">
        <v>0</v>
      </c>
      <c r="AS103" s="1">
        <v>0</v>
      </c>
      <c r="AT103" s="1">
        <v>0</v>
      </c>
      <c r="AU103" s="1" t="s">
        <v>71</v>
      </c>
      <c r="AV103" s="1" t="s">
        <v>71</v>
      </c>
      <c r="AW103" s="1" t="s">
        <v>71</v>
      </c>
      <c r="AX103" s="1">
        <v>0</v>
      </c>
      <c r="AY103" s="1">
        <v>0</v>
      </c>
      <c r="AZ103" s="1" t="s">
        <v>71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 t="s">
        <v>71</v>
      </c>
      <c r="BI103" s="1" t="s">
        <v>71</v>
      </c>
      <c r="BJ103" s="1" t="s">
        <v>71</v>
      </c>
      <c r="BK103" s="1">
        <v>0</v>
      </c>
      <c r="BL103" s="1">
        <f t="shared" si="23"/>
        <v>0</v>
      </c>
      <c r="BM103" s="1">
        <v>0</v>
      </c>
      <c r="BN103" s="1" t="s">
        <v>71</v>
      </c>
      <c r="BO103" s="1">
        <v>1</v>
      </c>
      <c r="BP103" s="1">
        <v>0</v>
      </c>
      <c r="BQ103" s="1" t="s">
        <v>71</v>
      </c>
      <c r="BR103" s="1" t="s">
        <v>71</v>
      </c>
      <c r="BS103" s="1" t="s">
        <v>71</v>
      </c>
      <c r="BT103" s="1" t="s">
        <v>71</v>
      </c>
      <c r="BU103" s="1" t="s">
        <v>71</v>
      </c>
      <c r="BV103" s="1" t="s">
        <v>71</v>
      </c>
      <c r="BW103" s="1" t="s">
        <v>71</v>
      </c>
      <c r="BX103" s="1" t="s">
        <v>71</v>
      </c>
      <c r="BY103" s="1" t="s">
        <v>71</v>
      </c>
      <c r="BZ103" s="3">
        <v>2.9</v>
      </c>
      <c r="CA103" s="3" t="s">
        <v>71</v>
      </c>
      <c r="CB103" s="3">
        <f t="shared" si="24"/>
        <v>4.0277777777777777</v>
      </c>
      <c r="CC103" s="1" t="s">
        <v>71</v>
      </c>
      <c r="CD103" s="1">
        <v>1</v>
      </c>
      <c r="CE103" s="1">
        <v>1</v>
      </c>
      <c r="CF103" s="1">
        <f>CE103</f>
        <v>1</v>
      </c>
      <c r="CG103" s="3" t="s">
        <v>71</v>
      </c>
      <c r="CH103" s="3" t="s">
        <v>71</v>
      </c>
      <c r="CI103" s="3" t="s">
        <v>71</v>
      </c>
      <c r="CJ103" s="3" t="s">
        <v>71</v>
      </c>
      <c r="CK103" s="3" t="s">
        <v>71</v>
      </c>
      <c r="CL103" s="3" t="s">
        <v>71</v>
      </c>
      <c r="CM103" s="3" t="s">
        <v>71</v>
      </c>
      <c r="CN103" s="3" t="s">
        <v>71</v>
      </c>
      <c r="CO103" s="1">
        <v>46</v>
      </c>
      <c r="CP103" s="1" t="s">
        <v>71</v>
      </c>
      <c r="CQ103" s="1">
        <v>40</v>
      </c>
      <c r="CR103" s="1" t="s">
        <v>71</v>
      </c>
      <c r="CS103" s="1" t="s">
        <v>71</v>
      </c>
      <c r="CT103" s="1">
        <v>10.1</v>
      </c>
      <c r="CU103" s="1" t="s">
        <v>71</v>
      </c>
      <c r="CV103" s="1" t="s">
        <v>71</v>
      </c>
      <c r="CW103" s="1" t="s">
        <v>71</v>
      </c>
      <c r="CX103" s="1" t="s">
        <v>71</v>
      </c>
      <c r="CY103" s="1">
        <v>10.9</v>
      </c>
      <c r="CZ103" s="1" t="s">
        <v>71</v>
      </c>
      <c r="DA103">
        <f t="shared" ref="DA103:DA108" si="37">ROUND((CY103*CB103*10),0)</f>
        <v>439</v>
      </c>
      <c r="DB103" s="1" t="s">
        <v>71</v>
      </c>
      <c r="DC103" s="1">
        <v>10.9</v>
      </c>
      <c r="DD103">
        <f t="shared" si="25"/>
        <v>439</v>
      </c>
      <c r="DE103" s="1" t="s">
        <v>71</v>
      </c>
      <c r="DF103" s="1" t="s">
        <v>71</v>
      </c>
    </row>
    <row r="104" spans="1:110" x14ac:dyDescent="0.15">
      <c r="A104" s="1">
        <v>2022</v>
      </c>
      <c r="B104" s="1" t="s">
        <v>49</v>
      </c>
      <c r="C104" s="1">
        <v>6</v>
      </c>
      <c r="D104" s="1">
        <v>2</v>
      </c>
      <c r="E104" s="1" t="s">
        <v>51</v>
      </c>
      <c r="F104" s="1"/>
      <c r="G104" s="1" t="s">
        <v>56</v>
      </c>
      <c r="H104" s="1">
        <v>2</v>
      </c>
      <c r="I104" s="23" t="s">
        <v>51</v>
      </c>
      <c r="J104" s="1" t="s">
        <v>57</v>
      </c>
      <c r="K104" s="1" t="s">
        <v>57</v>
      </c>
      <c r="L104" s="1" t="s">
        <v>71</v>
      </c>
      <c r="M104" s="1" t="s">
        <v>71</v>
      </c>
      <c r="N104" s="24">
        <v>44711</v>
      </c>
      <c r="O104" s="24">
        <v>44721</v>
      </c>
      <c r="P104" s="1" t="s">
        <v>71</v>
      </c>
      <c r="Q104" s="1" t="s">
        <v>71</v>
      </c>
      <c r="R104" s="1" t="s">
        <v>71</v>
      </c>
      <c r="S104" s="1" t="s">
        <v>71</v>
      </c>
      <c r="T104" s="1" t="s">
        <v>71</v>
      </c>
      <c r="U104" s="1" t="s">
        <v>71</v>
      </c>
      <c r="V104" s="1" t="s">
        <v>71</v>
      </c>
      <c r="W104" s="1" t="s">
        <v>71</v>
      </c>
      <c r="X104" s="1" t="s">
        <v>71</v>
      </c>
      <c r="Y104" s="1">
        <v>0</v>
      </c>
      <c r="Z104" s="1" t="s">
        <v>71</v>
      </c>
      <c r="AA104" s="1" t="s">
        <v>71</v>
      </c>
      <c r="AB104" s="1" t="s">
        <v>71</v>
      </c>
      <c r="AC104" s="1" t="s">
        <v>71</v>
      </c>
      <c r="AD104" s="25">
        <v>38</v>
      </c>
      <c r="AE104" s="25" t="s">
        <v>71</v>
      </c>
      <c r="AF104" s="25">
        <v>85</v>
      </c>
      <c r="AG104" s="25" t="s">
        <v>71</v>
      </c>
      <c r="AH104" s="1">
        <v>95</v>
      </c>
      <c r="AI104" s="1" t="s">
        <v>71</v>
      </c>
      <c r="AJ104" s="1">
        <v>1.3</v>
      </c>
      <c r="AK104" s="1">
        <v>0</v>
      </c>
      <c r="AL104" s="1">
        <v>0</v>
      </c>
      <c r="AM104" s="1">
        <v>0</v>
      </c>
      <c r="AN104" s="1" t="s">
        <v>71</v>
      </c>
      <c r="AO104" s="1" t="s">
        <v>71</v>
      </c>
      <c r="AP104" s="1" t="s">
        <v>71</v>
      </c>
      <c r="AQ104" s="1">
        <v>2</v>
      </c>
      <c r="AR104" s="1">
        <v>0</v>
      </c>
      <c r="AS104" s="1">
        <v>0</v>
      </c>
      <c r="AT104" s="1">
        <v>0</v>
      </c>
      <c r="AU104" s="1" t="s">
        <v>71</v>
      </c>
      <c r="AV104" s="1" t="s">
        <v>71</v>
      </c>
      <c r="AW104" s="1" t="s">
        <v>71</v>
      </c>
      <c r="AX104" s="1">
        <v>0</v>
      </c>
      <c r="AY104" s="1">
        <v>0</v>
      </c>
      <c r="AZ104" s="1" t="s">
        <v>71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 t="s">
        <v>71</v>
      </c>
      <c r="BI104" s="1" t="s">
        <v>71</v>
      </c>
      <c r="BJ104" s="1" t="s">
        <v>71</v>
      </c>
      <c r="BK104" s="1">
        <v>2.0000000000000004E-4</v>
      </c>
      <c r="BL104" s="1">
        <f t="shared" si="23"/>
        <v>2.0000000000000004E-2</v>
      </c>
      <c r="BM104" s="1">
        <v>0.2</v>
      </c>
      <c r="BN104" s="1">
        <v>0.01</v>
      </c>
      <c r="BO104" s="1">
        <v>1</v>
      </c>
      <c r="BP104" s="1">
        <v>0</v>
      </c>
      <c r="BQ104" s="1" t="s">
        <v>71</v>
      </c>
      <c r="BR104" s="1" t="s">
        <v>71</v>
      </c>
      <c r="BS104" s="1" t="s">
        <v>71</v>
      </c>
      <c r="BT104" s="1" t="s">
        <v>71</v>
      </c>
      <c r="BU104" s="1" t="s">
        <v>71</v>
      </c>
      <c r="BV104" s="1" t="s">
        <v>71</v>
      </c>
      <c r="BW104" s="1" t="s">
        <v>71</v>
      </c>
      <c r="BX104" s="1" t="s">
        <v>71</v>
      </c>
      <c r="BY104" s="1" t="s">
        <v>71</v>
      </c>
      <c r="BZ104" s="3">
        <v>4.3</v>
      </c>
      <c r="CA104" s="3" t="s">
        <v>71</v>
      </c>
      <c r="CB104" s="3">
        <f t="shared" si="24"/>
        <v>5.9722222222222223</v>
      </c>
      <c r="CC104" s="1" t="s">
        <v>71</v>
      </c>
      <c r="CD104" s="1">
        <v>1</v>
      </c>
      <c r="CE104" s="1">
        <v>1</v>
      </c>
      <c r="CF104" s="1">
        <f t="shared" ref="CF104:CF117" si="38">CE104</f>
        <v>1</v>
      </c>
      <c r="CG104" s="3" t="s">
        <v>71</v>
      </c>
      <c r="CH104" s="3" t="s">
        <v>71</v>
      </c>
      <c r="CI104" s="3" t="s">
        <v>71</v>
      </c>
      <c r="CJ104" s="3" t="s">
        <v>71</v>
      </c>
      <c r="CK104" s="3" t="s">
        <v>71</v>
      </c>
      <c r="CL104" s="3" t="s">
        <v>71</v>
      </c>
      <c r="CM104" s="3" t="s">
        <v>71</v>
      </c>
      <c r="CN104" s="3" t="s">
        <v>71</v>
      </c>
      <c r="CO104" s="1">
        <v>48</v>
      </c>
      <c r="CP104" s="1" t="s">
        <v>71</v>
      </c>
      <c r="CQ104" s="1">
        <v>28</v>
      </c>
      <c r="CR104" s="1" t="s">
        <v>71</v>
      </c>
      <c r="CS104" s="1" t="s">
        <v>71</v>
      </c>
      <c r="CT104" s="1">
        <v>10.3</v>
      </c>
      <c r="CU104" s="1" t="s">
        <v>71</v>
      </c>
      <c r="CV104" s="1" t="s">
        <v>71</v>
      </c>
      <c r="CW104" s="1" t="s">
        <v>71</v>
      </c>
      <c r="CX104" s="1" t="s">
        <v>71</v>
      </c>
      <c r="CY104" s="1">
        <v>10.1</v>
      </c>
      <c r="CZ104" s="1" t="s">
        <v>71</v>
      </c>
      <c r="DA104">
        <f t="shared" si="37"/>
        <v>603</v>
      </c>
      <c r="DB104" s="1" t="s">
        <v>71</v>
      </c>
      <c r="DC104" s="1">
        <v>10.1</v>
      </c>
      <c r="DD104">
        <f t="shared" si="25"/>
        <v>603</v>
      </c>
      <c r="DE104" s="1" t="s">
        <v>71</v>
      </c>
      <c r="DF104" s="1" t="s">
        <v>71</v>
      </c>
    </row>
    <row r="105" spans="1:110" x14ac:dyDescent="0.15">
      <c r="A105" s="1">
        <v>2022</v>
      </c>
      <c r="B105" s="1" t="s">
        <v>49</v>
      </c>
      <c r="C105" s="1">
        <v>6</v>
      </c>
      <c r="D105" s="1">
        <v>3</v>
      </c>
      <c r="E105" s="1" t="s">
        <v>52</v>
      </c>
      <c r="F105" s="1"/>
      <c r="G105" s="1" t="s">
        <v>56</v>
      </c>
      <c r="H105" s="1">
        <v>2</v>
      </c>
      <c r="I105" s="23" t="s">
        <v>52</v>
      </c>
      <c r="J105" s="1" t="s">
        <v>57</v>
      </c>
      <c r="K105" s="1" t="s">
        <v>57</v>
      </c>
      <c r="L105" s="1" t="s">
        <v>71</v>
      </c>
      <c r="M105" s="1" t="s">
        <v>71</v>
      </c>
      <c r="N105" s="24">
        <v>44711</v>
      </c>
      <c r="O105" s="24">
        <v>44725</v>
      </c>
      <c r="P105" s="1" t="s">
        <v>71</v>
      </c>
      <c r="Q105" s="1" t="s">
        <v>71</v>
      </c>
      <c r="R105" s="1" t="s">
        <v>71</v>
      </c>
      <c r="S105" s="1" t="s">
        <v>71</v>
      </c>
      <c r="T105" s="1" t="s">
        <v>71</v>
      </c>
      <c r="U105" s="1" t="s">
        <v>71</v>
      </c>
      <c r="V105" s="1" t="s">
        <v>71</v>
      </c>
      <c r="W105" s="1" t="s">
        <v>71</v>
      </c>
      <c r="X105" s="1" t="s">
        <v>71</v>
      </c>
      <c r="Y105" s="1">
        <v>0</v>
      </c>
      <c r="Z105" s="1" t="s">
        <v>71</v>
      </c>
      <c r="AA105" s="1" t="s">
        <v>71</v>
      </c>
      <c r="AB105" s="1" t="s">
        <v>71</v>
      </c>
      <c r="AC105" s="1" t="s">
        <v>71</v>
      </c>
      <c r="AD105" s="25">
        <v>39</v>
      </c>
      <c r="AE105" s="25" t="s">
        <v>71</v>
      </c>
      <c r="AF105" s="25">
        <v>70</v>
      </c>
      <c r="AG105" s="25" t="s">
        <v>71</v>
      </c>
      <c r="AH105" s="1">
        <v>78</v>
      </c>
      <c r="AI105" s="1" t="s">
        <v>71</v>
      </c>
      <c r="AJ105" s="1">
        <v>1.3</v>
      </c>
      <c r="AK105" s="1">
        <v>0</v>
      </c>
      <c r="AL105" s="1">
        <v>0</v>
      </c>
      <c r="AM105" s="1">
        <v>0</v>
      </c>
      <c r="AN105" s="1">
        <v>0.01</v>
      </c>
      <c r="AO105" s="1">
        <v>0.05</v>
      </c>
      <c r="AP105" s="1">
        <v>5.0000000000000001E-4</v>
      </c>
      <c r="AQ105" s="1">
        <v>13</v>
      </c>
      <c r="AR105" s="1">
        <v>0</v>
      </c>
      <c r="AS105" s="1">
        <v>0</v>
      </c>
      <c r="AT105" s="1">
        <v>0</v>
      </c>
      <c r="AU105" s="1" t="s">
        <v>71</v>
      </c>
      <c r="AV105" s="1" t="s">
        <v>71</v>
      </c>
      <c r="AW105" s="1" t="s">
        <v>71</v>
      </c>
      <c r="AX105" s="1">
        <v>0</v>
      </c>
      <c r="AY105" s="1">
        <v>0</v>
      </c>
      <c r="AZ105" s="1" t="s">
        <v>71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 t="s">
        <v>71</v>
      </c>
      <c r="BI105" s="1" t="s">
        <v>71</v>
      </c>
      <c r="BJ105" s="1" t="s">
        <v>71</v>
      </c>
      <c r="BK105" s="1">
        <v>0.02</v>
      </c>
      <c r="BL105" s="1">
        <f t="shared" si="23"/>
        <v>2</v>
      </c>
      <c r="BM105" s="1">
        <v>1</v>
      </c>
      <c r="BN105" s="1">
        <v>0.02</v>
      </c>
      <c r="BO105" s="1">
        <v>1</v>
      </c>
      <c r="BP105" s="1">
        <v>0</v>
      </c>
      <c r="BQ105" s="1" t="s">
        <v>71</v>
      </c>
      <c r="BR105" s="1" t="s">
        <v>71</v>
      </c>
      <c r="BS105" s="1" t="s">
        <v>71</v>
      </c>
      <c r="BT105" s="1" t="s">
        <v>71</v>
      </c>
      <c r="BU105" s="1" t="s">
        <v>71</v>
      </c>
      <c r="BV105" s="1" t="s">
        <v>71</v>
      </c>
      <c r="BW105" s="1" t="s">
        <v>71</v>
      </c>
      <c r="BX105" s="1" t="s">
        <v>71</v>
      </c>
      <c r="BY105" s="1" t="s">
        <v>71</v>
      </c>
      <c r="BZ105" s="3">
        <v>3.9</v>
      </c>
      <c r="CA105" s="3" t="s">
        <v>71</v>
      </c>
      <c r="CB105" s="3">
        <f t="shared" si="24"/>
        <v>5.4166666666666679</v>
      </c>
      <c r="CC105" s="1" t="s">
        <v>71</v>
      </c>
      <c r="CD105" s="1">
        <v>1</v>
      </c>
      <c r="CE105" s="1">
        <v>1</v>
      </c>
      <c r="CF105" s="1">
        <f t="shared" si="38"/>
        <v>1</v>
      </c>
      <c r="CG105" s="3" t="s">
        <v>71</v>
      </c>
      <c r="CH105" s="3" t="s">
        <v>71</v>
      </c>
      <c r="CI105" s="3" t="s">
        <v>71</v>
      </c>
      <c r="CJ105" s="3" t="s">
        <v>71</v>
      </c>
      <c r="CK105" s="3" t="s">
        <v>71</v>
      </c>
      <c r="CL105" s="3" t="s">
        <v>71</v>
      </c>
      <c r="CM105" s="3" t="s">
        <v>71</v>
      </c>
      <c r="CN105" s="3" t="s">
        <v>71</v>
      </c>
      <c r="CO105" s="1">
        <v>46</v>
      </c>
      <c r="CP105" s="1" t="s">
        <v>71</v>
      </c>
      <c r="CQ105" s="1">
        <v>30</v>
      </c>
      <c r="CR105" s="1" t="s">
        <v>71</v>
      </c>
      <c r="CS105" s="1" t="s">
        <v>71</v>
      </c>
      <c r="CT105" s="1">
        <v>10.5</v>
      </c>
      <c r="CU105" s="1" t="s">
        <v>71</v>
      </c>
      <c r="CV105" s="1" t="s">
        <v>71</v>
      </c>
      <c r="CW105" s="1" t="s">
        <v>71</v>
      </c>
      <c r="CX105" s="1" t="s">
        <v>71</v>
      </c>
      <c r="CY105" s="1">
        <v>11.7</v>
      </c>
      <c r="CZ105" s="1" t="s">
        <v>71</v>
      </c>
      <c r="DA105">
        <f t="shared" si="37"/>
        <v>634</v>
      </c>
      <c r="DB105" s="1" t="s">
        <v>71</v>
      </c>
      <c r="DC105" s="1">
        <v>11.7</v>
      </c>
      <c r="DD105">
        <f t="shared" si="25"/>
        <v>634</v>
      </c>
      <c r="DE105" s="1" t="s">
        <v>71</v>
      </c>
      <c r="DF105" s="1" t="s">
        <v>71</v>
      </c>
    </row>
    <row r="106" spans="1:110" x14ac:dyDescent="0.15">
      <c r="A106" s="1">
        <v>2022</v>
      </c>
      <c r="B106" s="1" t="s">
        <v>49</v>
      </c>
      <c r="C106" s="1">
        <v>6</v>
      </c>
      <c r="D106" s="1">
        <v>4</v>
      </c>
      <c r="E106" s="1" t="s">
        <v>50</v>
      </c>
      <c r="F106" s="1"/>
      <c r="G106" s="1" t="s">
        <v>56</v>
      </c>
      <c r="H106" s="1">
        <v>2</v>
      </c>
      <c r="I106" s="23" t="s">
        <v>50</v>
      </c>
      <c r="J106" s="1" t="s">
        <v>58</v>
      </c>
      <c r="K106" s="24">
        <v>44690</v>
      </c>
      <c r="L106" s="1" t="s">
        <v>71</v>
      </c>
      <c r="M106" s="1" t="s">
        <v>71</v>
      </c>
      <c r="N106" s="24">
        <v>44707</v>
      </c>
      <c r="O106" s="24">
        <v>44721</v>
      </c>
      <c r="P106" s="1" t="s">
        <v>71</v>
      </c>
      <c r="Q106" s="1" t="s">
        <v>71</v>
      </c>
      <c r="R106" s="1" t="s">
        <v>71</v>
      </c>
      <c r="S106" s="1" t="s">
        <v>71</v>
      </c>
      <c r="T106" s="1" t="s">
        <v>71</v>
      </c>
      <c r="U106" s="1" t="s">
        <v>71</v>
      </c>
      <c r="V106" s="1" t="s">
        <v>71</v>
      </c>
      <c r="W106" s="1" t="s">
        <v>71</v>
      </c>
      <c r="X106" s="1" t="s">
        <v>71</v>
      </c>
      <c r="Y106" s="1">
        <v>0</v>
      </c>
      <c r="Z106" s="1" t="s">
        <v>71</v>
      </c>
      <c r="AA106" s="1" t="s">
        <v>71</v>
      </c>
      <c r="AB106" s="1" t="s">
        <v>71</v>
      </c>
      <c r="AC106" s="1" t="s">
        <v>71</v>
      </c>
      <c r="AD106" s="25">
        <v>57</v>
      </c>
      <c r="AE106" s="25" t="s">
        <v>71</v>
      </c>
      <c r="AF106" s="25">
        <v>121</v>
      </c>
      <c r="AG106" s="25" t="s">
        <v>71</v>
      </c>
      <c r="AH106" s="1">
        <v>119</v>
      </c>
      <c r="AI106" s="1" t="s">
        <v>71</v>
      </c>
      <c r="AJ106" s="1">
        <v>1.7</v>
      </c>
      <c r="AK106" s="1">
        <v>0</v>
      </c>
      <c r="AL106" s="1">
        <v>0</v>
      </c>
      <c r="AM106" s="1">
        <v>0</v>
      </c>
      <c r="AN106" s="1">
        <v>0.01</v>
      </c>
      <c r="AO106" s="1">
        <v>0.05</v>
      </c>
      <c r="AP106" s="1">
        <v>5.0000000000000001E-4</v>
      </c>
      <c r="AQ106" s="1">
        <v>11</v>
      </c>
      <c r="AR106" s="1">
        <v>0</v>
      </c>
      <c r="AS106" s="1">
        <v>0</v>
      </c>
      <c r="AT106" s="1">
        <v>0</v>
      </c>
      <c r="AU106" s="1" t="s">
        <v>71</v>
      </c>
      <c r="AV106" s="1" t="s">
        <v>71</v>
      </c>
      <c r="AW106" s="1" t="s">
        <v>71</v>
      </c>
      <c r="AX106" s="1">
        <v>0</v>
      </c>
      <c r="AY106" s="1">
        <v>0</v>
      </c>
      <c r="AZ106" s="1" t="s">
        <v>71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1</v>
      </c>
      <c r="BI106" s="1" t="s">
        <v>71</v>
      </c>
      <c r="BJ106" s="1" t="s">
        <v>71</v>
      </c>
      <c r="BK106" s="1">
        <v>1.0000000000000002E-4</v>
      </c>
      <c r="BL106" s="1">
        <f t="shared" si="23"/>
        <v>1.0000000000000002E-2</v>
      </c>
      <c r="BM106" s="1">
        <v>0.1</v>
      </c>
      <c r="BN106" s="1">
        <v>0.05</v>
      </c>
      <c r="BO106" s="1">
        <v>1</v>
      </c>
      <c r="BP106" s="1">
        <v>5</v>
      </c>
      <c r="BQ106" s="1" t="s">
        <v>71</v>
      </c>
      <c r="BR106" s="1" t="s">
        <v>71</v>
      </c>
      <c r="BS106" s="1" t="s">
        <v>71</v>
      </c>
      <c r="BT106" s="1" t="s">
        <v>71</v>
      </c>
      <c r="BU106" s="1" t="s">
        <v>71</v>
      </c>
      <c r="BV106" s="1" t="s">
        <v>71</v>
      </c>
      <c r="BW106" s="1" t="s">
        <v>71</v>
      </c>
      <c r="BX106" s="1" t="s">
        <v>71</v>
      </c>
      <c r="BY106" s="1" t="s">
        <v>71</v>
      </c>
      <c r="BZ106" s="3">
        <v>4.5</v>
      </c>
      <c r="CA106" s="3" t="s">
        <v>71</v>
      </c>
      <c r="CB106" s="3">
        <f t="shared" si="24"/>
        <v>6.2500000000000009</v>
      </c>
      <c r="CC106" s="1" t="s">
        <v>71</v>
      </c>
      <c r="CD106" s="1">
        <v>1</v>
      </c>
      <c r="CE106" s="1">
        <v>1</v>
      </c>
      <c r="CF106" s="1">
        <f t="shared" si="38"/>
        <v>1</v>
      </c>
      <c r="CG106" s="3" t="s">
        <v>71</v>
      </c>
      <c r="CH106" s="3" t="s">
        <v>71</v>
      </c>
      <c r="CI106" s="3" t="s">
        <v>71</v>
      </c>
      <c r="CJ106" s="3" t="s">
        <v>71</v>
      </c>
      <c r="CK106" s="3" t="s">
        <v>71</v>
      </c>
      <c r="CL106" s="3" t="s">
        <v>71</v>
      </c>
      <c r="CM106" s="3" t="s">
        <v>71</v>
      </c>
      <c r="CN106" s="3" t="s">
        <v>71</v>
      </c>
      <c r="CO106" s="1">
        <v>47</v>
      </c>
      <c r="CP106" s="1" t="s">
        <v>71</v>
      </c>
      <c r="CQ106" s="1">
        <v>40</v>
      </c>
      <c r="CR106" s="1" t="s">
        <v>71</v>
      </c>
      <c r="CS106" s="1" t="s">
        <v>71</v>
      </c>
      <c r="CT106" s="1">
        <v>10.199999999999999</v>
      </c>
      <c r="CU106" s="1" t="s">
        <v>71</v>
      </c>
      <c r="CV106" s="1" t="s">
        <v>71</v>
      </c>
      <c r="CW106" s="1" t="s">
        <v>71</v>
      </c>
      <c r="CX106" s="1" t="s">
        <v>71</v>
      </c>
      <c r="CY106" s="1">
        <v>10.4</v>
      </c>
      <c r="CZ106" s="1" t="s">
        <v>71</v>
      </c>
      <c r="DA106">
        <f t="shared" si="37"/>
        <v>650</v>
      </c>
      <c r="DB106" s="1" t="s">
        <v>71</v>
      </c>
      <c r="DC106" s="1">
        <v>10.4</v>
      </c>
      <c r="DD106">
        <f t="shared" si="25"/>
        <v>650</v>
      </c>
      <c r="DE106" s="1" t="s">
        <v>71</v>
      </c>
      <c r="DF106" s="1" t="s">
        <v>71</v>
      </c>
    </row>
    <row r="107" spans="1:110" x14ac:dyDescent="0.15">
      <c r="A107" s="1">
        <v>2022</v>
      </c>
      <c r="B107" s="1" t="s">
        <v>49</v>
      </c>
      <c r="C107" s="1">
        <v>6</v>
      </c>
      <c r="D107" s="1">
        <v>5</v>
      </c>
      <c r="E107" s="1" t="s">
        <v>51</v>
      </c>
      <c r="F107" s="1"/>
      <c r="G107" s="1" t="s">
        <v>56</v>
      </c>
      <c r="H107" s="1">
        <v>2</v>
      </c>
      <c r="I107" s="23" t="s">
        <v>51</v>
      </c>
      <c r="J107" s="1" t="s">
        <v>58</v>
      </c>
      <c r="K107" s="24">
        <v>44690</v>
      </c>
      <c r="L107" s="1" t="s">
        <v>71</v>
      </c>
      <c r="M107" s="1" t="s">
        <v>71</v>
      </c>
      <c r="N107" s="24">
        <v>44713</v>
      </c>
      <c r="O107" s="24">
        <v>44721</v>
      </c>
      <c r="P107" s="1" t="s">
        <v>71</v>
      </c>
      <c r="Q107" s="1" t="s">
        <v>71</v>
      </c>
      <c r="R107" s="1" t="s">
        <v>71</v>
      </c>
      <c r="S107" s="1" t="s">
        <v>71</v>
      </c>
      <c r="T107" s="1" t="s">
        <v>71</v>
      </c>
      <c r="U107" s="1" t="s">
        <v>71</v>
      </c>
      <c r="V107" s="1" t="s">
        <v>71</v>
      </c>
      <c r="W107" s="1" t="s">
        <v>71</v>
      </c>
      <c r="X107" s="1" t="s">
        <v>71</v>
      </c>
      <c r="Y107" s="1">
        <v>0</v>
      </c>
      <c r="Z107" s="1" t="s">
        <v>71</v>
      </c>
      <c r="AA107" s="1" t="s">
        <v>71</v>
      </c>
      <c r="AB107" s="1" t="s">
        <v>71</v>
      </c>
      <c r="AC107" s="1" t="s">
        <v>71</v>
      </c>
      <c r="AD107" s="25">
        <v>44</v>
      </c>
      <c r="AE107" s="25" t="s">
        <v>71</v>
      </c>
      <c r="AF107" s="25">
        <v>102</v>
      </c>
      <c r="AG107" s="25" t="s">
        <v>71</v>
      </c>
      <c r="AH107" s="1">
        <v>106</v>
      </c>
      <c r="AI107" s="1" t="s">
        <v>71</v>
      </c>
      <c r="AJ107" s="1">
        <v>1.7</v>
      </c>
      <c r="AK107" s="1">
        <v>0</v>
      </c>
      <c r="AL107" s="1">
        <v>0</v>
      </c>
      <c r="AM107" s="1">
        <v>0</v>
      </c>
      <c r="AN107" s="1">
        <v>0.01</v>
      </c>
      <c r="AO107" s="1">
        <v>0.05</v>
      </c>
      <c r="AP107" s="1">
        <v>5.0000000000000001E-4</v>
      </c>
      <c r="AQ107" s="1">
        <v>12</v>
      </c>
      <c r="AR107" s="1">
        <v>0</v>
      </c>
      <c r="AS107" s="1">
        <v>0</v>
      </c>
      <c r="AT107" s="1">
        <v>0</v>
      </c>
      <c r="AU107" s="1" t="s">
        <v>71</v>
      </c>
      <c r="AV107" s="1" t="s">
        <v>71</v>
      </c>
      <c r="AW107" s="1" t="s">
        <v>71</v>
      </c>
      <c r="AX107" s="1">
        <v>0</v>
      </c>
      <c r="AY107" s="1">
        <v>0</v>
      </c>
      <c r="AZ107" s="1" t="s">
        <v>71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 t="s">
        <v>71</v>
      </c>
      <c r="BJ107" s="1" t="s">
        <v>71</v>
      </c>
      <c r="BK107" s="1">
        <v>3.0000000000000005E-3</v>
      </c>
      <c r="BL107" s="1">
        <f t="shared" si="23"/>
        <v>0.30000000000000004</v>
      </c>
      <c r="BM107" s="1">
        <v>0.2</v>
      </c>
      <c r="BN107" s="1" t="s">
        <v>71</v>
      </c>
      <c r="BO107" s="1">
        <v>1</v>
      </c>
      <c r="BP107" s="1">
        <v>0</v>
      </c>
      <c r="BQ107" s="1" t="s">
        <v>71</v>
      </c>
      <c r="BR107" s="1" t="s">
        <v>71</v>
      </c>
      <c r="BS107" s="1" t="s">
        <v>71</v>
      </c>
      <c r="BT107" s="1" t="s">
        <v>71</v>
      </c>
      <c r="BU107" s="1" t="s">
        <v>71</v>
      </c>
      <c r="BV107" s="1" t="s">
        <v>71</v>
      </c>
      <c r="BW107" s="1" t="s">
        <v>71</v>
      </c>
      <c r="BX107" s="1" t="s">
        <v>71</v>
      </c>
      <c r="BY107" s="1" t="s">
        <v>71</v>
      </c>
      <c r="BZ107" s="3">
        <v>3.6</v>
      </c>
      <c r="CA107" s="3" t="s">
        <v>71</v>
      </c>
      <c r="CB107" s="3">
        <f t="shared" si="24"/>
        <v>5.0000000000000009</v>
      </c>
      <c r="CC107" s="1" t="s">
        <v>71</v>
      </c>
      <c r="CD107" s="1">
        <v>1</v>
      </c>
      <c r="CE107" s="1">
        <v>1</v>
      </c>
      <c r="CF107" s="1">
        <f t="shared" si="38"/>
        <v>1</v>
      </c>
      <c r="CG107" s="3" t="s">
        <v>71</v>
      </c>
      <c r="CH107" s="3" t="s">
        <v>71</v>
      </c>
      <c r="CI107" s="3" t="s">
        <v>71</v>
      </c>
      <c r="CJ107" s="3" t="s">
        <v>71</v>
      </c>
      <c r="CK107" s="3" t="s">
        <v>71</v>
      </c>
      <c r="CL107" s="3" t="s">
        <v>71</v>
      </c>
      <c r="CM107" s="3" t="s">
        <v>71</v>
      </c>
      <c r="CN107" s="3" t="s">
        <v>71</v>
      </c>
      <c r="CO107" s="1">
        <v>49</v>
      </c>
      <c r="CP107" s="1" t="s">
        <v>71</v>
      </c>
      <c r="CQ107" s="1">
        <v>32</v>
      </c>
      <c r="CR107" s="1" t="s">
        <v>71</v>
      </c>
      <c r="CS107" s="1" t="s">
        <v>71</v>
      </c>
      <c r="CT107" s="1">
        <v>10.199999999999999</v>
      </c>
      <c r="CU107" s="1" t="s">
        <v>71</v>
      </c>
      <c r="CV107" s="1" t="s">
        <v>71</v>
      </c>
      <c r="CW107" s="1" t="s">
        <v>71</v>
      </c>
      <c r="CX107" s="1" t="s">
        <v>71</v>
      </c>
      <c r="CY107" s="1">
        <v>9.9</v>
      </c>
      <c r="CZ107" s="1" t="s">
        <v>71</v>
      </c>
      <c r="DA107">
        <f t="shared" si="37"/>
        <v>495</v>
      </c>
      <c r="DB107" s="1" t="s">
        <v>71</v>
      </c>
      <c r="DC107" s="1">
        <v>9.9</v>
      </c>
      <c r="DD107">
        <f t="shared" si="25"/>
        <v>495</v>
      </c>
      <c r="DE107" s="1" t="s">
        <v>71</v>
      </c>
      <c r="DF107" s="1" t="s">
        <v>71</v>
      </c>
    </row>
    <row r="108" spans="1:110" x14ac:dyDescent="0.15">
      <c r="A108" s="1">
        <v>2022</v>
      </c>
      <c r="B108" s="1" t="s">
        <v>49</v>
      </c>
      <c r="C108" s="1">
        <v>6</v>
      </c>
      <c r="D108" s="1">
        <v>6</v>
      </c>
      <c r="E108" s="1" t="s">
        <v>52</v>
      </c>
      <c r="F108" s="1"/>
      <c r="G108" s="1" t="s">
        <v>56</v>
      </c>
      <c r="H108" s="1">
        <v>2</v>
      </c>
      <c r="I108" s="23" t="s">
        <v>52</v>
      </c>
      <c r="J108" s="1" t="s">
        <v>58</v>
      </c>
      <c r="K108" s="1" t="s">
        <v>57</v>
      </c>
      <c r="L108" s="1" t="s">
        <v>71</v>
      </c>
      <c r="M108" s="1" t="s">
        <v>71</v>
      </c>
      <c r="N108" s="24">
        <v>44710</v>
      </c>
      <c r="O108" s="24">
        <v>44726</v>
      </c>
      <c r="P108" s="1" t="s">
        <v>71</v>
      </c>
      <c r="Q108" s="1" t="s">
        <v>71</v>
      </c>
      <c r="R108" s="1" t="s">
        <v>71</v>
      </c>
      <c r="S108" s="1" t="s">
        <v>71</v>
      </c>
      <c r="T108" s="1" t="s">
        <v>71</v>
      </c>
      <c r="U108" s="1" t="s">
        <v>71</v>
      </c>
      <c r="V108" s="1" t="s">
        <v>71</v>
      </c>
      <c r="W108" s="1" t="s">
        <v>71</v>
      </c>
      <c r="X108" s="1" t="s">
        <v>71</v>
      </c>
      <c r="Y108" s="1">
        <v>0</v>
      </c>
      <c r="Z108" s="1" t="s">
        <v>71</v>
      </c>
      <c r="AA108" s="1" t="s">
        <v>71</v>
      </c>
      <c r="AB108" s="1" t="s">
        <v>71</v>
      </c>
      <c r="AC108" s="1" t="s">
        <v>71</v>
      </c>
      <c r="AD108" s="25">
        <v>46</v>
      </c>
      <c r="AE108" s="25" t="s">
        <v>71</v>
      </c>
      <c r="AF108" s="25">
        <v>79</v>
      </c>
      <c r="AG108" s="25" t="s">
        <v>71</v>
      </c>
      <c r="AH108" s="1">
        <v>86</v>
      </c>
      <c r="AI108" s="1" t="s">
        <v>71</v>
      </c>
      <c r="AJ108" s="1">
        <v>2.7</v>
      </c>
      <c r="AK108" s="1">
        <v>0</v>
      </c>
      <c r="AL108" s="1">
        <v>0</v>
      </c>
      <c r="AM108" s="1">
        <v>0</v>
      </c>
      <c r="AN108" s="1" t="s">
        <v>71</v>
      </c>
      <c r="AO108" s="1" t="s">
        <v>71</v>
      </c>
      <c r="AP108" s="1" t="s">
        <v>71</v>
      </c>
      <c r="AQ108" s="1">
        <v>11</v>
      </c>
      <c r="AR108" s="1">
        <v>0</v>
      </c>
      <c r="AS108" s="1">
        <v>0</v>
      </c>
      <c r="AT108" s="1">
        <v>0</v>
      </c>
      <c r="AU108" s="1" t="s">
        <v>71</v>
      </c>
      <c r="AV108" s="1" t="s">
        <v>71</v>
      </c>
      <c r="AW108" s="1" t="s">
        <v>71</v>
      </c>
      <c r="AX108" s="1">
        <v>0</v>
      </c>
      <c r="AY108" s="1">
        <v>0</v>
      </c>
      <c r="AZ108" s="1" t="s">
        <v>71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 t="s">
        <v>71</v>
      </c>
      <c r="BI108" s="1" t="s">
        <v>71</v>
      </c>
      <c r="BJ108" s="1" t="s">
        <v>71</v>
      </c>
      <c r="BK108" s="1">
        <v>2.0000000000000004E-4</v>
      </c>
      <c r="BL108" s="1">
        <f t="shared" si="23"/>
        <v>2.0000000000000004E-2</v>
      </c>
      <c r="BM108" s="1">
        <v>0.1</v>
      </c>
      <c r="BN108" s="1" t="s">
        <v>71</v>
      </c>
      <c r="BO108" s="1">
        <v>1</v>
      </c>
      <c r="BP108" s="1">
        <v>10</v>
      </c>
      <c r="BQ108" s="1" t="s">
        <v>71</v>
      </c>
      <c r="BR108" s="1" t="s">
        <v>71</v>
      </c>
      <c r="BS108" s="1" t="s">
        <v>71</v>
      </c>
      <c r="BT108" s="1" t="s">
        <v>71</v>
      </c>
      <c r="BU108" s="1" t="s">
        <v>71</v>
      </c>
      <c r="BV108" s="1" t="s">
        <v>71</v>
      </c>
      <c r="BW108" s="1" t="s">
        <v>71</v>
      </c>
      <c r="BX108" s="1" t="s">
        <v>71</v>
      </c>
      <c r="BY108" s="1" t="s">
        <v>71</v>
      </c>
      <c r="BZ108" s="3">
        <v>4.2</v>
      </c>
      <c r="CA108" s="3" t="s">
        <v>71</v>
      </c>
      <c r="CB108" s="3">
        <f t="shared" si="24"/>
        <v>5.8333333333333339</v>
      </c>
      <c r="CC108" s="1" t="s">
        <v>71</v>
      </c>
      <c r="CD108" s="1">
        <v>1</v>
      </c>
      <c r="CE108" s="1">
        <v>1</v>
      </c>
      <c r="CF108" s="1">
        <f t="shared" si="38"/>
        <v>1</v>
      </c>
      <c r="CG108" s="3" t="s">
        <v>71</v>
      </c>
      <c r="CH108" s="3" t="s">
        <v>71</v>
      </c>
      <c r="CI108" s="3" t="s">
        <v>71</v>
      </c>
      <c r="CJ108" s="3" t="s">
        <v>71</v>
      </c>
      <c r="CK108" s="3" t="s">
        <v>71</v>
      </c>
      <c r="CL108" s="3" t="s">
        <v>71</v>
      </c>
      <c r="CM108" s="3" t="s">
        <v>71</v>
      </c>
      <c r="CN108" s="3" t="s">
        <v>71</v>
      </c>
      <c r="CO108" s="1">
        <v>43</v>
      </c>
      <c r="CP108" s="1" t="s">
        <v>71</v>
      </c>
      <c r="CQ108" s="1">
        <v>27</v>
      </c>
      <c r="CR108" s="1" t="s">
        <v>71</v>
      </c>
      <c r="CS108" s="1" t="s">
        <v>71</v>
      </c>
      <c r="CT108" s="1">
        <v>10.1</v>
      </c>
      <c r="CU108" s="1" t="s">
        <v>71</v>
      </c>
      <c r="CV108" s="1" t="s">
        <v>71</v>
      </c>
      <c r="CW108" s="1" t="s">
        <v>71</v>
      </c>
      <c r="CX108" s="1" t="s">
        <v>71</v>
      </c>
      <c r="CY108" s="1">
        <v>11.4</v>
      </c>
      <c r="CZ108" s="1" t="s">
        <v>71</v>
      </c>
      <c r="DA108">
        <f t="shared" si="37"/>
        <v>665</v>
      </c>
      <c r="DB108" s="1" t="s">
        <v>71</v>
      </c>
      <c r="DC108" s="1">
        <v>11.4</v>
      </c>
      <c r="DD108">
        <f t="shared" si="25"/>
        <v>665</v>
      </c>
      <c r="DE108" s="1" t="s">
        <v>71</v>
      </c>
      <c r="DF108" s="1" t="s">
        <v>71</v>
      </c>
    </row>
    <row r="109" spans="1:110" x14ac:dyDescent="0.15">
      <c r="A109" s="1">
        <v>2022</v>
      </c>
      <c r="B109" s="1" t="s">
        <v>49</v>
      </c>
      <c r="C109" s="1">
        <v>6</v>
      </c>
      <c r="D109" s="1">
        <v>7</v>
      </c>
      <c r="E109" s="1"/>
      <c r="F109" s="1" t="s">
        <v>53</v>
      </c>
      <c r="G109" s="1" t="s">
        <v>56</v>
      </c>
      <c r="H109" s="1">
        <v>2</v>
      </c>
      <c r="I109" s="23" t="s">
        <v>53</v>
      </c>
      <c r="J109" s="1" t="s">
        <v>57</v>
      </c>
      <c r="K109" s="24">
        <v>44700</v>
      </c>
      <c r="L109" s="1" t="s">
        <v>71</v>
      </c>
      <c r="M109" s="1" t="s">
        <v>71</v>
      </c>
      <c r="N109" s="1" t="s">
        <v>71</v>
      </c>
      <c r="O109" s="1" t="s">
        <v>71</v>
      </c>
      <c r="P109" s="24">
        <v>44700</v>
      </c>
      <c r="Q109" s="1" t="s">
        <v>71</v>
      </c>
      <c r="R109" s="1" t="s">
        <v>71</v>
      </c>
      <c r="S109" s="1" t="s">
        <v>71</v>
      </c>
      <c r="T109" s="1" t="s">
        <v>71</v>
      </c>
      <c r="U109" s="1" t="s">
        <v>71</v>
      </c>
      <c r="V109" s="1" t="s">
        <v>71</v>
      </c>
      <c r="W109" s="1" t="s">
        <v>71</v>
      </c>
      <c r="X109" s="1">
        <v>0</v>
      </c>
      <c r="Y109" s="1" t="s">
        <v>71</v>
      </c>
      <c r="Z109" s="1" t="s">
        <v>71</v>
      </c>
      <c r="AA109" s="1" t="s">
        <v>71</v>
      </c>
      <c r="AB109" s="1" t="s">
        <v>71</v>
      </c>
      <c r="AC109" s="1" t="s">
        <v>71</v>
      </c>
      <c r="AD109" s="25" t="s">
        <v>71</v>
      </c>
      <c r="AE109" s="25">
        <v>25</v>
      </c>
      <c r="AF109" s="25" t="s">
        <v>71</v>
      </c>
      <c r="AG109" s="25">
        <v>63</v>
      </c>
      <c r="AH109" s="1" t="s">
        <v>71</v>
      </c>
      <c r="AI109" s="1">
        <v>59</v>
      </c>
      <c r="AJ109" s="1" t="s">
        <v>71</v>
      </c>
      <c r="AK109" s="1" t="s">
        <v>71</v>
      </c>
      <c r="AL109" s="1" t="s">
        <v>71</v>
      </c>
      <c r="AM109" s="1" t="s">
        <v>71</v>
      </c>
      <c r="AN109" s="1" t="s">
        <v>71</v>
      </c>
      <c r="AO109" s="1" t="s">
        <v>71</v>
      </c>
      <c r="AP109" s="1" t="s">
        <v>71</v>
      </c>
      <c r="AQ109" s="1" t="s">
        <v>71</v>
      </c>
      <c r="AR109" s="1" t="s">
        <v>71</v>
      </c>
      <c r="AS109" s="1" t="s">
        <v>71</v>
      </c>
      <c r="AT109" s="1" t="s">
        <v>71</v>
      </c>
      <c r="AU109" s="1">
        <v>0</v>
      </c>
      <c r="AV109" s="1">
        <v>0</v>
      </c>
      <c r="AW109" s="1">
        <v>0</v>
      </c>
      <c r="AX109" s="1" t="s">
        <v>71</v>
      </c>
      <c r="AY109" s="1" t="s">
        <v>71</v>
      </c>
      <c r="AZ109" s="1">
        <v>0</v>
      </c>
      <c r="BA109" s="1" t="s">
        <v>71</v>
      </c>
      <c r="BB109" s="1" t="s">
        <v>71</v>
      </c>
      <c r="BC109" s="1" t="s">
        <v>71</v>
      </c>
      <c r="BD109" s="1" t="s">
        <v>71</v>
      </c>
      <c r="BE109" s="1" t="s">
        <v>71</v>
      </c>
      <c r="BF109" s="1" t="s">
        <v>71</v>
      </c>
      <c r="BG109" s="1" t="s">
        <v>71</v>
      </c>
      <c r="BH109" s="1">
        <v>1</v>
      </c>
      <c r="BI109" s="1" t="s">
        <v>71</v>
      </c>
      <c r="BJ109" s="1" t="s">
        <v>71</v>
      </c>
      <c r="BK109" s="1">
        <v>3.7499999999999999E-2</v>
      </c>
      <c r="BL109" s="1">
        <f t="shared" si="23"/>
        <v>3.75</v>
      </c>
      <c r="BM109" s="1">
        <v>1.5</v>
      </c>
      <c r="BN109" s="1">
        <v>0.05</v>
      </c>
      <c r="BO109" s="1">
        <v>2</v>
      </c>
      <c r="BP109" s="1">
        <v>0</v>
      </c>
      <c r="BQ109" s="1" t="s">
        <v>71</v>
      </c>
      <c r="BR109" s="1" t="s">
        <v>71</v>
      </c>
      <c r="BS109" s="1" t="s">
        <v>71</v>
      </c>
      <c r="BT109" s="1" t="s">
        <v>71</v>
      </c>
      <c r="BU109" s="1" t="s">
        <v>71</v>
      </c>
      <c r="BV109" s="1">
        <v>4.7</v>
      </c>
      <c r="BW109" s="1">
        <v>1.7</v>
      </c>
      <c r="BX109" s="1" t="s">
        <v>71</v>
      </c>
      <c r="BY109" s="1" t="s">
        <v>71</v>
      </c>
      <c r="BZ109" s="3" t="s">
        <v>71</v>
      </c>
      <c r="CA109" s="3">
        <v>2.1</v>
      </c>
      <c r="CB109" s="1" t="s">
        <v>71</v>
      </c>
      <c r="CC109" s="3">
        <f t="shared" si="30"/>
        <v>2.916666666666667</v>
      </c>
      <c r="CD109" s="1">
        <v>1</v>
      </c>
      <c r="CE109" s="1">
        <v>1</v>
      </c>
      <c r="CF109" s="1">
        <f t="shared" si="38"/>
        <v>1</v>
      </c>
      <c r="CG109" s="1" t="s">
        <v>71</v>
      </c>
      <c r="CH109" s="1" t="s">
        <v>71</v>
      </c>
      <c r="CI109" s="1" t="s">
        <v>71</v>
      </c>
      <c r="CJ109" s="1" t="s">
        <v>71</v>
      </c>
      <c r="CK109" s="3" t="s">
        <v>71</v>
      </c>
      <c r="CL109" s="3" t="s">
        <v>71</v>
      </c>
      <c r="CM109" s="3" t="s">
        <v>71</v>
      </c>
      <c r="CN109" s="3" t="s">
        <v>71</v>
      </c>
      <c r="CO109" s="1" t="s">
        <v>71</v>
      </c>
      <c r="CP109" s="1" t="s">
        <v>71</v>
      </c>
      <c r="CQ109" s="1" t="s">
        <v>71</v>
      </c>
      <c r="CR109" s="1">
        <v>179</v>
      </c>
      <c r="CS109" s="1">
        <v>31</v>
      </c>
      <c r="CT109" s="1" t="s">
        <v>71</v>
      </c>
      <c r="CU109" s="1">
        <v>9.9</v>
      </c>
      <c r="CV109" s="1" t="s">
        <v>71</v>
      </c>
      <c r="CW109" s="1" t="s">
        <v>71</v>
      </c>
      <c r="CX109" t="e">
        <f>ROUND(CV109*#REF!/10,1)</f>
        <v>#VALUE!</v>
      </c>
      <c r="CY109" s="1" t="s">
        <v>71</v>
      </c>
      <c r="CZ109">
        <f t="shared" ref="CZ109:CZ120" si="39">ROUND((10*CC109*CS109),0)</f>
        <v>904</v>
      </c>
      <c r="DA109" s="1" t="s">
        <v>71</v>
      </c>
      <c r="DB109" s="1" t="s">
        <v>71</v>
      </c>
      <c r="DC109" s="1" t="s">
        <v>71</v>
      </c>
      <c r="DD109">
        <f t="shared" si="25"/>
        <v>904</v>
      </c>
      <c r="DE109" s="1" t="s">
        <v>71</v>
      </c>
      <c r="DF109" s="1" t="s">
        <v>71</v>
      </c>
    </row>
    <row r="110" spans="1:110" x14ac:dyDescent="0.15">
      <c r="A110" s="1">
        <v>2022</v>
      </c>
      <c r="B110" s="1" t="s">
        <v>49</v>
      </c>
      <c r="C110" s="1">
        <v>6</v>
      </c>
      <c r="D110" s="1">
        <v>8</v>
      </c>
      <c r="E110" s="1"/>
      <c r="F110" s="1" t="s">
        <v>54</v>
      </c>
      <c r="G110" s="1" t="s">
        <v>56</v>
      </c>
      <c r="H110" s="1">
        <v>2</v>
      </c>
      <c r="I110" s="23" t="s">
        <v>54</v>
      </c>
      <c r="J110" s="1" t="s">
        <v>57</v>
      </c>
      <c r="K110" s="24">
        <v>44700</v>
      </c>
      <c r="L110" s="1" t="s">
        <v>71</v>
      </c>
      <c r="M110" s="1" t="s">
        <v>71</v>
      </c>
      <c r="N110" s="1" t="s">
        <v>71</v>
      </c>
      <c r="O110" s="1" t="s">
        <v>71</v>
      </c>
      <c r="P110" s="24">
        <v>44700</v>
      </c>
      <c r="Q110" s="1" t="s">
        <v>71</v>
      </c>
      <c r="R110" s="1" t="s">
        <v>71</v>
      </c>
      <c r="S110" s="1" t="s">
        <v>71</v>
      </c>
      <c r="T110" s="1" t="s">
        <v>71</v>
      </c>
      <c r="U110" s="1" t="s">
        <v>71</v>
      </c>
      <c r="V110" s="1" t="s">
        <v>71</v>
      </c>
      <c r="W110" s="1" t="s">
        <v>71</v>
      </c>
      <c r="X110" s="1">
        <v>0</v>
      </c>
      <c r="Y110" s="1" t="s">
        <v>71</v>
      </c>
      <c r="Z110" s="1" t="s">
        <v>71</v>
      </c>
      <c r="AA110" s="1" t="s">
        <v>71</v>
      </c>
      <c r="AB110" s="1" t="s">
        <v>71</v>
      </c>
      <c r="AC110" s="1" t="s">
        <v>71</v>
      </c>
      <c r="AD110" s="25" t="s">
        <v>71</v>
      </c>
      <c r="AE110" s="25">
        <v>25</v>
      </c>
      <c r="AF110" s="25" t="s">
        <v>71</v>
      </c>
      <c r="AG110" s="25">
        <v>63</v>
      </c>
      <c r="AH110" s="1" t="s">
        <v>71</v>
      </c>
      <c r="AI110" s="1">
        <v>62</v>
      </c>
      <c r="AJ110" s="1" t="s">
        <v>71</v>
      </c>
      <c r="AK110" s="1" t="s">
        <v>71</v>
      </c>
      <c r="AL110" s="1" t="s">
        <v>71</v>
      </c>
      <c r="AM110" s="1" t="s">
        <v>71</v>
      </c>
      <c r="AN110" s="1" t="s">
        <v>71</v>
      </c>
      <c r="AO110" s="1" t="s">
        <v>71</v>
      </c>
      <c r="AP110" s="1" t="s">
        <v>71</v>
      </c>
      <c r="AQ110" s="1" t="s">
        <v>71</v>
      </c>
      <c r="AR110" s="1" t="s">
        <v>71</v>
      </c>
      <c r="AS110" s="1" t="s">
        <v>71</v>
      </c>
      <c r="AT110" s="1" t="s">
        <v>71</v>
      </c>
      <c r="AU110" s="1">
        <v>0</v>
      </c>
      <c r="AV110" s="1">
        <v>0</v>
      </c>
      <c r="AW110" s="1">
        <v>0</v>
      </c>
      <c r="AX110" s="1" t="s">
        <v>71</v>
      </c>
      <c r="AY110" s="1" t="s">
        <v>71</v>
      </c>
      <c r="AZ110" s="1">
        <v>0</v>
      </c>
      <c r="BA110" s="1" t="s">
        <v>71</v>
      </c>
      <c r="BB110" s="1" t="s">
        <v>71</v>
      </c>
      <c r="BC110" s="1" t="s">
        <v>71</v>
      </c>
      <c r="BD110" s="1" t="s">
        <v>71</v>
      </c>
      <c r="BE110" s="1" t="s">
        <v>71</v>
      </c>
      <c r="BF110" s="1" t="s">
        <v>71</v>
      </c>
      <c r="BG110" s="1" t="s">
        <v>71</v>
      </c>
      <c r="BH110" s="1">
        <v>6</v>
      </c>
      <c r="BI110" s="1" t="s">
        <v>71</v>
      </c>
      <c r="BJ110" s="1" t="s">
        <v>71</v>
      </c>
      <c r="BK110" s="1">
        <v>0.03</v>
      </c>
      <c r="BL110" s="1">
        <f t="shared" si="23"/>
        <v>3</v>
      </c>
      <c r="BM110" s="1">
        <v>1</v>
      </c>
      <c r="BN110" s="1">
        <v>0.01</v>
      </c>
      <c r="BO110" s="1">
        <v>2</v>
      </c>
      <c r="BP110" s="1">
        <v>5</v>
      </c>
      <c r="BQ110" s="1" t="s">
        <v>71</v>
      </c>
      <c r="BR110" s="1" t="s">
        <v>71</v>
      </c>
      <c r="BS110" s="1" t="s">
        <v>71</v>
      </c>
      <c r="BT110" s="1" t="s">
        <v>71</v>
      </c>
      <c r="BU110" s="1" t="s">
        <v>71</v>
      </c>
      <c r="BV110" s="1">
        <v>4.7</v>
      </c>
      <c r="BW110" s="1">
        <v>3</v>
      </c>
      <c r="BX110" s="1" t="s">
        <v>71</v>
      </c>
      <c r="BY110" s="1" t="s">
        <v>71</v>
      </c>
      <c r="BZ110" s="3" t="s">
        <v>71</v>
      </c>
      <c r="CA110" s="3">
        <v>2.6</v>
      </c>
      <c r="CB110" s="1" t="s">
        <v>71</v>
      </c>
      <c r="CC110" s="3">
        <f t="shared" si="30"/>
        <v>3.6111111111111116</v>
      </c>
      <c r="CD110" s="1">
        <v>1</v>
      </c>
      <c r="CE110" s="1">
        <v>1</v>
      </c>
      <c r="CF110" s="1">
        <f t="shared" si="38"/>
        <v>1</v>
      </c>
      <c r="CG110" s="1" t="s">
        <v>71</v>
      </c>
      <c r="CH110" s="1" t="s">
        <v>71</v>
      </c>
      <c r="CI110" s="1" t="s">
        <v>71</v>
      </c>
      <c r="CJ110" s="1" t="s">
        <v>71</v>
      </c>
      <c r="CK110" s="3" t="s">
        <v>71</v>
      </c>
      <c r="CL110" s="3" t="s">
        <v>71</v>
      </c>
      <c r="CM110" s="3" t="s">
        <v>71</v>
      </c>
      <c r="CN110" s="3" t="s">
        <v>71</v>
      </c>
      <c r="CO110" s="1" t="s">
        <v>71</v>
      </c>
      <c r="CP110" s="1" t="s">
        <v>71</v>
      </c>
      <c r="CQ110" s="1" t="s">
        <v>71</v>
      </c>
      <c r="CR110" s="1">
        <v>156</v>
      </c>
      <c r="CS110" s="1">
        <v>36</v>
      </c>
      <c r="CT110" s="1" t="s">
        <v>71</v>
      </c>
      <c r="CU110" s="1">
        <v>10.199999999999999</v>
      </c>
      <c r="CV110" s="1" t="s">
        <v>71</v>
      </c>
      <c r="CW110" s="1" t="s">
        <v>71</v>
      </c>
      <c r="CX110" t="e">
        <f>ROUND(CV110*#REF!/10,1)</f>
        <v>#VALUE!</v>
      </c>
      <c r="CY110" s="1" t="s">
        <v>71</v>
      </c>
      <c r="CZ110">
        <f t="shared" si="39"/>
        <v>1300</v>
      </c>
      <c r="DA110" s="1" t="s">
        <v>71</v>
      </c>
      <c r="DB110" s="1" t="s">
        <v>71</v>
      </c>
      <c r="DC110" s="1" t="s">
        <v>71</v>
      </c>
      <c r="DD110">
        <f t="shared" si="25"/>
        <v>1300</v>
      </c>
      <c r="DE110" s="1" t="s">
        <v>71</v>
      </c>
      <c r="DF110" s="1" t="s">
        <v>71</v>
      </c>
    </row>
    <row r="111" spans="1:110" x14ac:dyDescent="0.15">
      <c r="A111" s="1">
        <v>2022</v>
      </c>
      <c r="B111" s="1" t="s">
        <v>49</v>
      </c>
      <c r="C111" s="1">
        <v>6</v>
      </c>
      <c r="D111" s="1">
        <v>9</v>
      </c>
      <c r="E111" s="1"/>
      <c r="F111" s="1" t="s">
        <v>55</v>
      </c>
      <c r="G111" s="1" t="s">
        <v>56</v>
      </c>
      <c r="H111" s="1">
        <v>2</v>
      </c>
      <c r="I111" s="23" t="s">
        <v>55</v>
      </c>
      <c r="J111" s="1" t="s">
        <v>57</v>
      </c>
      <c r="K111" s="24">
        <v>44700</v>
      </c>
      <c r="L111" s="1" t="s">
        <v>71</v>
      </c>
      <c r="M111" s="1" t="s">
        <v>71</v>
      </c>
      <c r="N111" s="1" t="s">
        <v>71</v>
      </c>
      <c r="O111" s="1" t="s">
        <v>71</v>
      </c>
      <c r="P111" s="24">
        <v>44700</v>
      </c>
      <c r="Q111" s="1" t="s">
        <v>71</v>
      </c>
      <c r="R111" s="1" t="s">
        <v>71</v>
      </c>
      <c r="S111" s="1" t="s">
        <v>71</v>
      </c>
      <c r="T111" s="1" t="s">
        <v>71</v>
      </c>
      <c r="U111" s="1" t="s">
        <v>71</v>
      </c>
      <c r="V111" s="1" t="s">
        <v>71</v>
      </c>
      <c r="W111" s="1" t="s">
        <v>71</v>
      </c>
      <c r="X111" s="1">
        <v>0</v>
      </c>
      <c r="Y111" s="1" t="s">
        <v>71</v>
      </c>
      <c r="Z111" s="1" t="s">
        <v>71</v>
      </c>
      <c r="AA111" s="1" t="s">
        <v>71</v>
      </c>
      <c r="AB111" s="1" t="s">
        <v>71</v>
      </c>
      <c r="AC111" s="1" t="s">
        <v>71</v>
      </c>
      <c r="AD111" s="25" t="s">
        <v>71</v>
      </c>
      <c r="AE111" s="25">
        <v>32</v>
      </c>
      <c r="AF111" s="25" t="s">
        <v>71</v>
      </c>
      <c r="AG111" s="25">
        <v>70</v>
      </c>
      <c r="AH111" s="1" t="s">
        <v>71</v>
      </c>
      <c r="AI111" s="1">
        <v>72</v>
      </c>
      <c r="AJ111" s="1" t="s">
        <v>71</v>
      </c>
      <c r="AK111" s="1" t="s">
        <v>71</v>
      </c>
      <c r="AL111" s="1" t="s">
        <v>71</v>
      </c>
      <c r="AM111" s="1" t="s">
        <v>71</v>
      </c>
      <c r="AN111" s="1" t="s">
        <v>71</v>
      </c>
      <c r="AO111" s="1" t="s">
        <v>71</v>
      </c>
      <c r="AP111" s="1" t="s">
        <v>71</v>
      </c>
      <c r="AQ111" s="1" t="s">
        <v>71</v>
      </c>
      <c r="AR111" s="1" t="s">
        <v>71</v>
      </c>
      <c r="AS111" s="1" t="s">
        <v>71</v>
      </c>
      <c r="AT111" s="1" t="s">
        <v>71</v>
      </c>
      <c r="AU111" s="1">
        <v>0</v>
      </c>
      <c r="AV111" s="1">
        <v>0</v>
      </c>
      <c r="AW111" s="1">
        <v>0</v>
      </c>
      <c r="AX111" s="1" t="s">
        <v>71</v>
      </c>
      <c r="AY111" s="1" t="s">
        <v>71</v>
      </c>
      <c r="AZ111" s="1">
        <v>0</v>
      </c>
      <c r="BA111" s="1" t="s">
        <v>71</v>
      </c>
      <c r="BB111" s="1" t="s">
        <v>71</v>
      </c>
      <c r="BC111" s="1" t="s">
        <v>71</v>
      </c>
      <c r="BD111" s="1" t="s">
        <v>71</v>
      </c>
      <c r="BE111" s="1" t="s">
        <v>71</v>
      </c>
      <c r="BF111" s="1" t="s">
        <v>71</v>
      </c>
      <c r="BG111" s="1" t="s">
        <v>71</v>
      </c>
      <c r="BH111" s="1">
        <v>3</v>
      </c>
      <c r="BI111" s="1" t="s">
        <v>71</v>
      </c>
      <c r="BJ111" s="1" t="s">
        <v>71</v>
      </c>
      <c r="BK111" s="1">
        <v>3.7499999999999999E-2</v>
      </c>
      <c r="BL111" s="1">
        <f t="shared" si="23"/>
        <v>3.75</v>
      </c>
      <c r="BM111" s="1">
        <v>1.5</v>
      </c>
      <c r="BN111" s="1">
        <v>0.01</v>
      </c>
      <c r="BO111" s="1">
        <v>1</v>
      </c>
      <c r="BP111" s="1">
        <v>5</v>
      </c>
      <c r="BQ111" s="1" t="s">
        <v>71</v>
      </c>
      <c r="BR111" s="1" t="s">
        <v>71</v>
      </c>
      <c r="BS111" s="1" t="s">
        <v>71</v>
      </c>
      <c r="BT111" s="1" t="s">
        <v>71</v>
      </c>
      <c r="BU111" s="1" t="s">
        <v>71</v>
      </c>
      <c r="BV111" s="1">
        <v>4</v>
      </c>
      <c r="BW111" s="1">
        <v>4</v>
      </c>
      <c r="BX111" s="1" t="s">
        <v>71</v>
      </c>
      <c r="BY111" s="1" t="s">
        <v>71</v>
      </c>
      <c r="BZ111" s="3" t="s">
        <v>71</v>
      </c>
      <c r="CA111" s="3">
        <v>1.8</v>
      </c>
      <c r="CB111" s="1" t="s">
        <v>71</v>
      </c>
      <c r="CC111" s="3">
        <f t="shared" si="30"/>
        <v>2.5000000000000004</v>
      </c>
      <c r="CD111" s="1">
        <v>1</v>
      </c>
      <c r="CE111" s="1">
        <v>1</v>
      </c>
      <c r="CF111" s="1">
        <f t="shared" si="38"/>
        <v>1</v>
      </c>
      <c r="CG111" s="1" t="s">
        <v>71</v>
      </c>
      <c r="CH111" s="1" t="s">
        <v>71</v>
      </c>
      <c r="CI111" s="1" t="s">
        <v>71</v>
      </c>
      <c r="CJ111" s="1" t="s">
        <v>71</v>
      </c>
      <c r="CK111" s="3" t="s">
        <v>71</v>
      </c>
      <c r="CL111" s="3" t="s">
        <v>71</v>
      </c>
      <c r="CM111" s="3" t="s">
        <v>71</v>
      </c>
      <c r="CN111" s="3" t="s">
        <v>71</v>
      </c>
      <c r="CO111" s="1" t="s">
        <v>71</v>
      </c>
      <c r="CP111" s="1" t="s">
        <v>71</v>
      </c>
      <c r="CQ111" s="1" t="s">
        <v>71</v>
      </c>
      <c r="CR111" s="1">
        <v>162</v>
      </c>
      <c r="CS111" s="1">
        <v>38</v>
      </c>
      <c r="CT111" s="1" t="s">
        <v>71</v>
      </c>
      <c r="CU111" s="1">
        <v>9.6</v>
      </c>
      <c r="CV111" s="1" t="s">
        <v>71</v>
      </c>
      <c r="CW111" s="1" t="s">
        <v>71</v>
      </c>
      <c r="CX111" t="e">
        <f>ROUND(CV111*#REF!/10,1)</f>
        <v>#VALUE!</v>
      </c>
      <c r="CY111" s="1" t="s">
        <v>71</v>
      </c>
      <c r="CZ111">
        <f t="shared" si="39"/>
        <v>950</v>
      </c>
      <c r="DA111" s="1" t="s">
        <v>71</v>
      </c>
      <c r="DB111" s="1" t="s">
        <v>71</v>
      </c>
      <c r="DC111" s="1" t="s">
        <v>71</v>
      </c>
      <c r="DD111">
        <f t="shared" si="25"/>
        <v>950</v>
      </c>
      <c r="DE111" s="1" t="s">
        <v>71</v>
      </c>
      <c r="DF111" s="1" t="s">
        <v>71</v>
      </c>
    </row>
    <row r="112" spans="1:110" x14ac:dyDescent="0.15">
      <c r="A112" s="1">
        <v>2022</v>
      </c>
      <c r="B112" s="1" t="s">
        <v>49</v>
      </c>
      <c r="C112" s="1">
        <v>6</v>
      </c>
      <c r="D112" s="1">
        <v>10</v>
      </c>
      <c r="E112" s="1" t="s">
        <v>50</v>
      </c>
      <c r="F112" s="1" t="s">
        <v>53</v>
      </c>
      <c r="G112" s="1" t="s">
        <v>5</v>
      </c>
      <c r="H112" s="1">
        <v>2</v>
      </c>
      <c r="I112" s="23" t="s">
        <v>60</v>
      </c>
      <c r="J112" s="1" t="s">
        <v>57</v>
      </c>
      <c r="K112" s="24">
        <v>44700</v>
      </c>
      <c r="L112" s="1">
        <f>K112-K106</f>
        <v>10</v>
      </c>
      <c r="M112" s="1">
        <f>K112-K109</f>
        <v>0</v>
      </c>
      <c r="N112" s="24">
        <v>44707</v>
      </c>
      <c r="O112" s="24">
        <v>44719</v>
      </c>
      <c r="P112" s="24">
        <v>44700</v>
      </c>
      <c r="Q112" s="1">
        <f>P112-P109</f>
        <v>0</v>
      </c>
      <c r="R112" s="1">
        <f>N112-N106</f>
        <v>0</v>
      </c>
      <c r="S112" s="1">
        <f>O112-O106</f>
        <v>-2</v>
      </c>
      <c r="T112" s="1">
        <f>AVERAGE(R112,S112)</f>
        <v>-1</v>
      </c>
      <c r="U112" s="1" t="s">
        <v>71</v>
      </c>
      <c r="V112" s="1" t="s">
        <v>71</v>
      </c>
      <c r="W112" s="1">
        <v>-1</v>
      </c>
      <c r="X112" s="1">
        <v>0</v>
      </c>
      <c r="Y112" s="1">
        <v>0</v>
      </c>
      <c r="Z112" s="1" t="s">
        <v>71</v>
      </c>
      <c r="AA112" s="1" t="s">
        <v>71</v>
      </c>
      <c r="AB112" s="1" t="s">
        <v>71</v>
      </c>
      <c r="AC112" s="1" t="s">
        <v>71</v>
      </c>
      <c r="AD112" s="25">
        <v>47</v>
      </c>
      <c r="AE112" s="25">
        <v>29</v>
      </c>
      <c r="AF112" s="25">
        <v>117</v>
      </c>
      <c r="AG112" s="25">
        <v>68</v>
      </c>
      <c r="AH112" s="1">
        <v>120</v>
      </c>
      <c r="AI112" s="1">
        <v>62</v>
      </c>
      <c r="AJ112" s="1">
        <v>3.3</v>
      </c>
      <c r="AK112" s="1">
        <v>0</v>
      </c>
      <c r="AL112" s="1">
        <v>0</v>
      </c>
      <c r="AM112" s="1">
        <v>0</v>
      </c>
      <c r="AN112" s="1" t="s">
        <v>71</v>
      </c>
      <c r="AO112" s="1" t="s">
        <v>71</v>
      </c>
      <c r="AP112" s="1" t="s">
        <v>71</v>
      </c>
      <c r="AQ112" s="1">
        <v>4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3</v>
      </c>
      <c r="BI112" s="1" t="s">
        <v>71</v>
      </c>
      <c r="BJ112" s="1" t="s">
        <v>71</v>
      </c>
      <c r="BK112" s="1">
        <v>1.0000000000000002E-4</v>
      </c>
      <c r="BL112" s="1">
        <f t="shared" si="23"/>
        <v>1.0000000000000002E-2</v>
      </c>
      <c r="BM112" s="1">
        <v>0.1</v>
      </c>
      <c r="BN112" s="1">
        <v>0.1</v>
      </c>
      <c r="BO112" s="1">
        <v>1</v>
      </c>
      <c r="BP112" s="1">
        <v>0</v>
      </c>
      <c r="BQ112" s="1" t="s">
        <v>71</v>
      </c>
      <c r="BR112" s="1" t="s">
        <v>71</v>
      </c>
      <c r="BS112" s="1" t="s">
        <v>71</v>
      </c>
      <c r="BT112" s="1" t="s">
        <v>71</v>
      </c>
      <c r="BU112" s="1" t="s">
        <v>71</v>
      </c>
      <c r="BV112" s="1">
        <v>4.3</v>
      </c>
      <c r="BW112" s="1">
        <v>1.7</v>
      </c>
      <c r="BX112" s="1" t="s">
        <v>71</v>
      </c>
      <c r="BY112" s="1" t="s">
        <v>71</v>
      </c>
      <c r="BZ112" s="3">
        <v>0.9</v>
      </c>
      <c r="CA112" s="3">
        <v>2.5</v>
      </c>
      <c r="CB112" s="3">
        <f t="shared" si="24"/>
        <v>1.2500000000000002</v>
      </c>
      <c r="CC112" s="3">
        <f t="shared" si="30"/>
        <v>3.4722222222222228</v>
      </c>
      <c r="CD112" s="1">
        <f>ROUND(CB112/CB103+CC112/CC109,2)</f>
        <v>1.5</v>
      </c>
      <c r="CE112" s="1">
        <f>ROUND(CB112/CB106+CC112/CC109,2)</f>
        <v>1.39</v>
      </c>
      <c r="CF112" s="1">
        <f t="shared" si="38"/>
        <v>1.39</v>
      </c>
      <c r="CG112" s="1">
        <f>ROUND(CB112/CB103,2)</f>
        <v>0.31</v>
      </c>
      <c r="CH112" s="1">
        <f>ROUND(CB112/CB106,2)</f>
        <v>0.2</v>
      </c>
      <c r="CI112" s="1">
        <f>ROUND(CC112/CC109,2)</f>
        <v>1.19</v>
      </c>
      <c r="CJ112" s="1">
        <f>ROUND((CC112+CB112)/MAX(CC109,CB106),2)</f>
        <v>0.76</v>
      </c>
      <c r="CK112" s="1">
        <f>ROUND(LN((0.9*BZ112)/(0.1*CA112))/(BZ103/CA109),2)</f>
        <v>0.85</v>
      </c>
      <c r="CL112" s="1">
        <f>ROUND(LN((0.9*BZ112)/(0.1*CA112))/(BZ106/CA109),2)</f>
        <v>0.55000000000000004</v>
      </c>
      <c r="CM112" s="1">
        <f>ROUND(LN((0.1*CA112)/(0.9*BZ112))/(CA109/BZ103),2)</f>
        <v>-1.62</v>
      </c>
      <c r="CN112" s="1">
        <f>ROUND(LN((0.1*CA112)/(0.9*BZ112))/(CA109/BZ106),2)</f>
        <v>-2.52</v>
      </c>
      <c r="CO112" s="1">
        <v>49</v>
      </c>
      <c r="CP112" s="1" t="s">
        <v>71</v>
      </c>
      <c r="CQ112" s="1">
        <v>41</v>
      </c>
      <c r="CR112" s="1">
        <v>152</v>
      </c>
      <c r="CS112" s="1">
        <v>32</v>
      </c>
      <c r="CT112" s="1">
        <v>10.199999999999999</v>
      </c>
      <c r="CU112" s="1">
        <v>10</v>
      </c>
      <c r="CV112" s="1" t="s">
        <v>71</v>
      </c>
      <c r="CW112" s="1" t="s">
        <v>71</v>
      </c>
      <c r="CX112" t="e">
        <f>ROUND(CV112*#REF!/10,1)</f>
        <v>#VALUE!</v>
      </c>
      <c r="CY112" s="1">
        <v>13.1</v>
      </c>
      <c r="CZ112">
        <f t="shared" si="39"/>
        <v>1111</v>
      </c>
      <c r="DA112">
        <f t="shared" ref="DA112:DA120" si="40">ROUND((CY112*CB112*10),0)</f>
        <v>164</v>
      </c>
      <c r="DB112">
        <f>(CZ112+DA112)/MAX(DA106,CZ109)</f>
        <v>1.4103982300884956</v>
      </c>
      <c r="DC112" s="1">
        <v>13.1</v>
      </c>
      <c r="DD112">
        <f t="shared" si="25"/>
        <v>1275</v>
      </c>
      <c r="DE112">
        <f>ROUND(MAX((DB112-DF112), 0), 2)</f>
        <v>0.18</v>
      </c>
      <c r="DF112">
        <f>ROUND(CZ112/MAX(DA106,CZ109), 2)</f>
        <v>1.23</v>
      </c>
    </row>
    <row r="113" spans="1:110" x14ac:dyDescent="0.15">
      <c r="A113" s="1">
        <v>2022</v>
      </c>
      <c r="B113" s="1" t="s">
        <v>49</v>
      </c>
      <c r="C113" s="1">
        <v>6</v>
      </c>
      <c r="D113" s="1">
        <v>11</v>
      </c>
      <c r="E113" s="1" t="s">
        <v>50</v>
      </c>
      <c r="F113" s="1" t="s">
        <v>54</v>
      </c>
      <c r="G113" s="1" t="s">
        <v>5</v>
      </c>
      <c r="H113" s="1">
        <v>2</v>
      </c>
      <c r="I113" s="23" t="s">
        <v>61</v>
      </c>
      <c r="J113" s="1" t="s">
        <v>57</v>
      </c>
      <c r="K113" s="24">
        <v>44700</v>
      </c>
      <c r="L113" s="1">
        <f>K113-K106</f>
        <v>10</v>
      </c>
      <c r="M113" s="1">
        <f>K113-K110</f>
        <v>0</v>
      </c>
      <c r="N113" s="24">
        <v>44707</v>
      </c>
      <c r="O113" s="24">
        <v>44721</v>
      </c>
      <c r="P113" s="24">
        <v>44700</v>
      </c>
      <c r="Q113" s="1">
        <f>P113-P110</f>
        <v>0</v>
      </c>
      <c r="R113" s="1">
        <f>N113-N106</f>
        <v>0</v>
      </c>
      <c r="S113" s="1">
        <f>O113-O106</f>
        <v>0</v>
      </c>
      <c r="T113" s="1">
        <f t="shared" ref="T113:T120" si="41">AVERAGE(R113,S113)</f>
        <v>0</v>
      </c>
      <c r="U113" s="1" t="s">
        <v>71</v>
      </c>
      <c r="V113" s="1" t="s">
        <v>71</v>
      </c>
      <c r="W113" s="1">
        <v>-1</v>
      </c>
      <c r="X113" s="1">
        <v>0</v>
      </c>
      <c r="Y113" s="1">
        <v>0</v>
      </c>
      <c r="Z113" s="1" t="s">
        <v>71</v>
      </c>
      <c r="AA113" s="1" t="s">
        <v>71</v>
      </c>
      <c r="AB113" s="1" t="s">
        <v>71</v>
      </c>
      <c r="AC113" s="1" t="s">
        <v>71</v>
      </c>
      <c r="AD113" s="25">
        <v>49</v>
      </c>
      <c r="AE113" s="25">
        <v>26</v>
      </c>
      <c r="AF113" s="25">
        <v>120</v>
      </c>
      <c r="AG113" s="25">
        <v>66</v>
      </c>
      <c r="AH113" s="1">
        <v>122</v>
      </c>
      <c r="AI113" s="1">
        <v>65</v>
      </c>
      <c r="AJ113" s="1">
        <v>3</v>
      </c>
      <c r="AK113" s="1">
        <v>0</v>
      </c>
      <c r="AL113" s="1">
        <v>0</v>
      </c>
      <c r="AM113" s="1">
        <v>0</v>
      </c>
      <c r="AN113" s="1">
        <v>0.01</v>
      </c>
      <c r="AO113" s="1">
        <v>0.05</v>
      </c>
      <c r="AP113" s="1">
        <v>5.0000000000000001E-4</v>
      </c>
      <c r="AQ113" s="1">
        <v>4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4</v>
      </c>
      <c r="BI113" s="1" t="s">
        <v>71</v>
      </c>
      <c r="BJ113" s="1" t="s">
        <v>71</v>
      </c>
      <c r="BK113" s="1">
        <v>2.7000000000000001E-3</v>
      </c>
      <c r="BL113" s="1">
        <f t="shared" si="23"/>
        <v>0.27</v>
      </c>
      <c r="BM113" s="1">
        <v>0.9</v>
      </c>
      <c r="BN113" s="1" t="s">
        <v>71</v>
      </c>
      <c r="BO113" s="1">
        <v>1</v>
      </c>
      <c r="BP113" s="1">
        <v>0</v>
      </c>
      <c r="BQ113" s="1" t="s">
        <v>71</v>
      </c>
      <c r="BR113" s="1" t="s">
        <v>71</v>
      </c>
      <c r="BS113" s="1" t="s">
        <v>71</v>
      </c>
      <c r="BT113" s="1" t="s">
        <v>71</v>
      </c>
      <c r="BU113" s="1" t="s">
        <v>71</v>
      </c>
      <c r="BV113" s="1">
        <v>5</v>
      </c>
      <c r="BW113" s="1">
        <v>2.2999999999999998</v>
      </c>
      <c r="BX113" s="1" t="s">
        <v>71</v>
      </c>
      <c r="BY113" s="1" t="s">
        <v>71</v>
      </c>
      <c r="BZ113" s="3">
        <v>0.9</v>
      </c>
      <c r="CA113" s="3">
        <v>2</v>
      </c>
      <c r="CB113" s="3">
        <f t="shared" si="24"/>
        <v>1.2500000000000002</v>
      </c>
      <c r="CC113" s="3">
        <f t="shared" si="30"/>
        <v>2.7777777777777777</v>
      </c>
      <c r="CD113" s="1">
        <f>ROUND(CB113/CB103+CC113/CC110,2)</f>
        <v>1.08</v>
      </c>
      <c r="CE113" s="1">
        <f>ROUND(CB113/CB106+CC113/CC110,2)</f>
        <v>0.97</v>
      </c>
      <c r="CF113" s="1">
        <f t="shared" si="38"/>
        <v>0.97</v>
      </c>
      <c r="CG113" s="1">
        <f>ROUND(CB113/CB103,2)</f>
        <v>0.31</v>
      </c>
      <c r="CH113" s="1">
        <f>ROUND(CB113/CB106,2)</f>
        <v>0.2</v>
      </c>
      <c r="CI113" s="1">
        <f>ROUND(CC113/CC110,2)</f>
        <v>0.77</v>
      </c>
      <c r="CJ113" s="1">
        <f>ROUND((CC113+CB113)/MAX(CC110,CB106),2)</f>
        <v>0.64</v>
      </c>
      <c r="CK113" s="1">
        <f>ROUND(LN((0.9*BZ113)/(0.1*CA113))/(BZ103/CA110),2)</f>
        <v>1.25</v>
      </c>
      <c r="CL113" s="1">
        <f>ROUND(LN((0.9*BZ113)/(0.1*CA113))/(BZ106/CA110),2)</f>
        <v>0.81</v>
      </c>
      <c r="CM113" s="1">
        <f>ROUND(LN((0.1*CA113)/(0.9*BZ113))/(CA110/BZ103),2)</f>
        <v>-1.56</v>
      </c>
      <c r="CN113" s="1">
        <f>ROUND(LN((0.1*CA113)/(0.9*BZ113))/(CA110/BZ106),2)</f>
        <v>-2.42</v>
      </c>
      <c r="CO113" s="1">
        <v>49</v>
      </c>
      <c r="CP113" s="1" t="s">
        <v>71</v>
      </c>
      <c r="CQ113" s="1">
        <v>45</v>
      </c>
      <c r="CR113" s="1">
        <v>135</v>
      </c>
      <c r="CS113" s="1">
        <v>36</v>
      </c>
      <c r="CT113" s="1">
        <v>10.1</v>
      </c>
      <c r="CU113" s="1">
        <v>10.3</v>
      </c>
      <c r="CV113" s="1" t="s">
        <v>71</v>
      </c>
      <c r="CW113" s="1" t="s">
        <v>71</v>
      </c>
      <c r="CX113" t="e">
        <f>ROUND(CV113*#REF!/10,1)</f>
        <v>#VALUE!</v>
      </c>
      <c r="CY113" s="1">
        <v>12.7</v>
      </c>
      <c r="CZ113">
        <f t="shared" si="39"/>
        <v>1000</v>
      </c>
      <c r="DA113">
        <f t="shared" si="40"/>
        <v>159</v>
      </c>
      <c r="DB113">
        <f>(CZ113+DA113)/MAX(DA106,CZ110)</f>
        <v>0.8915384615384615</v>
      </c>
      <c r="DC113" s="1">
        <v>12.7</v>
      </c>
      <c r="DD113">
        <f t="shared" si="25"/>
        <v>1159</v>
      </c>
      <c r="DE113">
        <f t="shared" ref="DE113:DE120" si="42">ROUND(MAX((DB113-DF113), 0), 2)</f>
        <v>0.12</v>
      </c>
      <c r="DF113">
        <f>ROUND(CZ113/MAX(DA106,CZ110), 2)</f>
        <v>0.77</v>
      </c>
    </row>
    <row r="114" spans="1:110" x14ac:dyDescent="0.15">
      <c r="A114" s="1">
        <v>2022</v>
      </c>
      <c r="B114" s="1" t="s">
        <v>49</v>
      </c>
      <c r="C114" s="1">
        <v>6</v>
      </c>
      <c r="D114" s="1">
        <v>12</v>
      </c>
      <c r="E114" s="1" t="s">
        <v>50</v>
      </c>
      <c r="F114" s="1" t="s">
        <v>55</v>
      </c>
      <c r="G114" s="1" t="s">
        <v>5</v>
      </c>
      <c r="H114" s="1">
        <v>2</v>
      </c>
      <c r="I114" s="23" t="s">
        <v>62</v>
      </c>
      <c r="J114" s="1" t="s">
        <v>57</v>
      </c>
      <c r="K114" s="24">
        <v>44700</v>
      </c>
      <c r="L114" s="1">
        <f>K114-K106</f>
        <v>10</v>
      </c>
      <c r="M114" s="1">
        <f>K114-K111</f>
        <v>0</v>
      </c>
      <c r="N114" s="24">
        <v>44709</v>
      </c>
      <c r="O114" s="24">
        <v>44722</v>
      </c>
      <c r="P114" s="24">
        <v>44700</v>
      </c>
      <c r="Q114" s="1">
        <f>P114-P111</f>
        <v>0</v>
      </c>
      <c r="R114" s="1">
        <f>N114-N106</f>
        <v>2</v>
      </c>
      <c r="S114" s="1">
        <f>O114-O106</f>
        <v>1</v>
      </c>
      <c r="T114" s="1">
        <f t="shared" si="41"/>
        <v>1.5</v>
      </c>
      <c r="U114" s="1" t="s">
        <v>71</v>
      </c>
      <c r="V114" s="1" t="s">
        <v>71</v>
      </c>
      <c r="W114" s="1">
        <v>-1</v>
      </c>
      <c r="X114" s="1">
        <v>0</v>
      </c>
      <c r="Y114" s="1">
        <v>0</v>
      </c>
      <c r="Z114" s="1" t="s">
        <v>71</v>
      </c>
      <c r="AA114" s="1" t="s">
        <v>71</v>
      </c>
      <c r="AB114" s="1" t="s">
        <v>71</v>
      </c>
      <c r="AC114" s="1" t="s">
        <v>71</v>
      </c>
      <c r="AD114" s="25">
        <v>44</v>
      </c>
      <c r="AE114" s="25">
        <v>32</v>
      </c>
      <c r="AF114" s="25">
        <v>115</v>
      </c>
      <c r="AG114" s="25">
        <v>65</v>
      </c>
      <c r="AH114" s="1">
        <v>117</v>
      </c>
      <c r="AI114" s="1">
        <v>60</v>
      </c>
      <c r="AJ114" s="1">
        <v>3.3</v>
      </c>
      <c r="AK114" s="1">
        <v>0</v>
      </c>
      <c r="AL114" s="1">
        <v>0</v>
      </c>
      <c r="AM114" s="1">
        <v>0</v>
      </c>
      <c r="AN114" s="1" t="s">
        <v>71</v>
      </c>
      <c r="AO114" s="1" t="s">
        <v>71</v>
      </c>
      <c r="AP114" s="1" t="s">
        <v>71</v>
      </c>
      <c r="AQ114" s="1">
        <v>5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 t="s">
        <v>71</v>
      </c>
      <c r="BJ114" s="1" t="s">
        <v>71</v>
      </c>
      <c r="BK114" s="1">
        <v>3.2000000000000006E-3</v>
      </c>
      <c r="BL114" s="1">
        <f t="shared" si="23"/>
        <v>0.32000000000000006</v>
      </c>
      <c r="BM114" s="1">
        <v>0.8</v>
      </c>
      <c r="BN114" s="1">
        <v>0.02</v>
      </c>
      <c r="BO114" s="1">
        <v>1</v>
      </c>
      <c r="BP114" s="1">
        <v>10</v>
      </c>
      <c r="BQ114" s="1" t="s">
        <v>71</v>
      </c>
      <c r="BR114" s="1" t="s">
        <v>71</v>
      </c>
      <c r="BS114" s="1" t="s">
        <v>71</v>
      </c>
      <c r="BT114" s="1" t="s">
        <v>71</v>
      </c>
      <c r="BU114" s="1" t="s">
        <v>71</v>
      </c>
      <c r="BV114" s="1">
        <v>4.7</v>
      </c>
      <c r="BW114" s="1">
        <v>0</v>
      </c>
      <c r="BX114" s="1" t="s">
        <v>71</v>
      </c>
      <c r="BY114" s="1" t="s">
        <v>71</v>
      </c>
      <c r="BZ114" s="3">
        <v>1.5</v>
      </c>
      <c r="CA114" s="3">
        <v>1</v>
      </c>
      <c r="CB114" s="3">
        <f t="shared" si="24"/>
        <v>2.0833333333333335</v>
      </c>
      <c r="CC114" s="3">
        <f t="shared" si="30"/>
        <v>1.3888888888888888</v>
      </c>
      <c r="CD114" s="1">
        <f>ROUND(CB114/CB103+CC114/CC111,2)</f>
        <v>1.07</v>
      </c>
      <c r="CE114" s="1">
        <f>ROUND(CB114/CB106+CC114/CC111,2)</f>
        <v>0.89</v>
      </c>
      <c r="CF114" s="1">
        <f t="shared" si="38"/>
        <v>0.89</v>
      </c>
      <c r="CG114" s="1">
        <f>ROUND(CB114/CB103,2)</f>
        <v>0.52</v>
      </c>
      <c r="CH114" s="1">
        <f>ROUND(CB114/CB106,2)</f>
        <v>0.33</v>
      </c>
      <c r="CI114" s="1">
        <f>ROUND(CC114/CC111,2)</f>
        <v>0.56000000000000005</v>
      </c>
      <c r="CJ114" s="1">
        <f>ROUND((CC114+CB114)/MAX(CC111,CB106),2)</f>
        <v>0.56000000000000005</v>
      </c>
      <c r="CK114" s="1">
        <f>ROUND(LN((0.9*BZ114)/(0.1*CA114))/(BZ103/CA111),2)</f>
        <v>1.62</v>
      </c>
      <c r="CL114" s="1">
        <f>ROUND(LN((0.9*BZ114)/(0.1*CA114))/(BZ106/CA111),2)</f>
        <v>1.04</v>
      </c>
      <c r="CM114" s="1">
        <f>ROUND(LN((0.1*CA114)/(0.9*BZ114))/(CA111/BZ103),2)</f>
        <v>-4.1900000000000004</v>
      </c>
      <c r="CN114" s="1">
        <f>ROUND(LN((0.1*CA114)/(0.9*BZ114))/(CA111/BZ106),2)</f>
        <v>-6.51</v>
      </c>
      <c r="CO114" s="1">
        <v>49</v>
      </c>
      <c r="CP114" s="1" t="s">
        <v>71</v>
      </c>
      <c r="CQ114" s="1">
        <v>42</v>
      </c>
      <c r="CR114" s="1">
        <v>147</v>
      </c>
      <c r="CS114" s="1">
        <v>40</v>
      </c>
      <c r="CT114" s="1">
        <v>10.199999999999999</v>
      </c>
      <c r="CU114" s="1">
        <v>8.8000000000000007</v>
      </c>
      <c r="CV114" s="1" t="s">
        <v>71</v>
      </c>
      <c r="CW114" s="1" t="s">
        <v>71</v>
      </c>
      <c r="CX114" t="e">
        <f>ROUND(CV114*#REF!/10,1)</f>
        <v>#VALUE!</v>
      </c>
      <c r="CY114" s="1">
        <v>12.9</v>
      </c>
      <c r="CZ114">
        <f t="shared" si="39"/>
        <v>556</v>
      </c>
      <c r="DA114">
        <f t="shared" si="40"/>
        <v>269</v>
      </c>
      <c r="DB114">
        <f>(CZ114+DA114)/MAX(DA106,CZ111)</f>
        <v>0.86842105263157898</v>
      </c>
      <c r="DC114" s="1">
        <v>12.9</v>
      </c>
      <c r="DD114">
        <f t="shared" si="25"/>
        <v>825</v>
      </c>
      <c r="DE114">
        <f t="shared" si="42"/>
        <v>0.28000000000000003</v>
      </c>
      <c r="DF114">
        <f>ROUND(CZ114/MAX(DA106,CZ111), 2)</f>
        <v>0.59</v>
      </c>
    </row>
    <row r="115" spans="1:110" x14ac:dyDescent="0.15">
      <c r="A115" s="1">
        <v>2022</v>
      </c>
      <c r="B115" s="1" t="s">
        <v>49</v>
      </c>
      <c r="C115" s="1">
        <v>6</v>
      </c>
      <c r="D115" s="1">
        <v>13</v>
      </c>
      <c r="E115" s="1" t="s">
        <v>51</v>
      </c>
      <c r="F115" s="1" t="s">
        <v>53</v>
      </c>
      <c r="G115" s="1" t="s">
        <v>5</v>
      </c>
      <c r="H115" s="1">
        <v>2</v>
      </c>
      <c r="I115" s="23" t="s">
        <v>63</v>
      </c>
      <c r="J115" s="1" t="s">
        <v>57</v>
      </c>
      <c r="K115" s="24">
        <v>44700</v>
      </c>
      <c r="L115" s="1">
        <f>K115-K107</f>
        <v>10</v>
      </c>
      <c r="M115" s="1">
        <f>K115-K109</f>
        <v>0</v>
      </c>
      <c r="N115" s="24">
        <v>44711</v>
      </c>
      <c r="O115" s="24">
        <v>44722</v>
      </c>
      <c r="P115" s="24">
        <v>44700</v>
      </c>
      <c r="Q115" s="1">
        <f>P115-P109</f>
        <v>0</v>
      </c>
      <c r="R115" s="1">
        <f>N115-N107</f>
        <v>-2</v>
      </c>
      <c r="S115" s="1">
        <f>O115-O107</f>
        <v>1</v>
      </c>
      <c r="T115" s="1">
        <f t="shared" si="41"/>
        <v>-0.5</v>
      </c>
      <c r="U115" s="1" t="s">
        <v>71</v>
      </c>
      <c r="V115" s="1" t="s">
        <v>71</v>
      </c>
      <c r="W115" s="1">
        <v>-1</v>
      </c>
      <c r="X115" s="1">
        <v>0</v>
      </c>
      <c r="Y115" s="1">
        <v>0</v>
      </c>
      <c r="Z115" s="1" t="s">
        <v>71</v>
      </c>
      <c r="AA115" s="1" t="s">
        <v>71</v>
      </c>
      <c r="AB115" s="1" t="s">
        <v>71</v>
      </c>
      <c r="AC115" s="1" t="s">
        <v>71</v>
      </c>
      <c r="AD115" s="25">
        <v>36</v>
      </c>
      <c r="AE115" s="25">
        <v>30</v>
      </c>
      <c r="AF115" s="25">
        <v>103</v>
      </c>
      <c r="AG115" s="25">
        <v>68</v>
      </c>
      <c r="AH115" s="1">
        <v>108</v>
      </c>
      <c r="AI115" s="1">
        <v>61</v>
      </c>
      <c r="AJ115" s="1">
        <v>2.2999999999999998</v>
      </c>
      <c r="AK115" s="1">
        <v>0</v>
      </c>
      <c r="AL115" s="1">
        <v>0</v>
      </c>
      <c r="AM115" s="1">
        <v>0</v>
      </c>
      <c r="AN115" s="1" t="s">
        <v>71</v>
      </c>
      <c r="AO115" s="1" t="s">
        <v>71</v>
      </c>
      <c r="AP115" s="1" t="s">
        <v>71</v>
      </c>
      <c r="AQ115" s="1">
        <v>4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1</v>
      </c>
      <c r="BI115" s="1" t="s">
        <v>71</v>
      </c>
      <c r="BJ115" s="1" t="s">
        <v>71</v>
      </c>
      <c r="BK115" s="1">
        <v>1.1999999999999999E-3</v>
      </c>
      <c r="BL115" s="1">
        <f t="shared" si="23"/>
        <v>0.12</v>
      </c>
      <c r="BM115" s="1">
        <v>1.2</v>
      </c>
      <c r="BN115" s="1">
        <v>0.1</v>
      </c>
      <c r="BO115" s="1">
        <v>1</v>
      </c>
      <c r="BP115" s="1">
        <v>0</v>
      </c>
      <c r="BQ115" s="1" t="s">
        <v>71</v>
      </c>
      <c r="BR115" s="1" t="s">
        <v>71</v>
      </c>
      <c r="BS115" s="1" t="s">
        <v>71</v>
      </c>
      <c r="BT115" s="1" t="s">
        <v>71</v>
      </c>
      <c r="BU115" s="1" t="s">
        <v>71</v>
      </c>
      <c r="BV115" s="1">
        <v>4</v>
      </c>
      <c r="BW115" s="1">
        <v>2</v>
      </c>
      <c r="BX115" s="1" t="s">
        <v>71</v>
      </c>
      <c r="BY115" s="1" t="s">
        <v>71</v>
      </c>
      <c r="BZ115" s="3">
        <v>0.7</v>
      </c>
      <c r="CA115" s="3">
        <v>2</v>
      </c>
      <c r="CB115" s="3">
        <f t="shared" si="24"/>
        <v>0.97222222222222221</v>
      </c>
      <c r="CC115" s="3">
        <f t="shared" si="30"/>
        <v>2.7777777777777777</v>
      </c>
      <c r="CD115" s="1">
        <f>ROUND(CB115/CB104+CC115/CC109,2)</f>
        <v>1.1200000000000001</v>
      </c>
      <c r="CE115" s="1">
        <f>ROUND(CB115/CB107+CC115/CC109,2)</f>
        <v>1.1499999999999999</v>
      </c>
      <c r="CF115" s="1">
        <f t="shared" si="38"/>
        <v>1.1499999999999999</v>
      </c>
      <c r="CG115" s="1">
        <f>ROUND(CB115/CB104,2)</f>
        <v>0.16</v>
      </c>
      <c r="CH115" s="1">
        <f>ROUND(CB115/CB107,2)</f>
        <v>0.19</v>
      </c>
      <c r="CI115" s="1">
        <f>ROUND(CC115/CC109,2)</f>
        <v>0.95</v>
      </c>
      <c r="CJ115" s="1">
        <f>ROUND((CC115+CB115)/MAX(CC109,CB107),2)</f>
        <v>0.75</v>
      </c>
      <c r="CK115" s="1">
        <f>ROUND(LN((0.9*BZ115)/(0.1*CA115))/(BZ104/CA109),2)</f>
        <v>0.56000000000000005</v>
      </c>
      <c r="CL115" s="1">
        <f>ROUND(LN((0.9*BZ115)/(0.1*CA115))/(BZ107/CA109),2)</f>
        <v>0.67</v>
      </c>
      <c r="CM115" s="1">
        <f>ROUND(LN((0.1*CA115)/(0.9*BZ115))/(CA109/BZ104),2)</f>
        <v>-2.35</v>
      </c>
      <c r="CN115" s="1">
        <f>ROUND(LN((0.1*CA115)/(0.9*BZ115))/(CA109/BZ107),2)</f>
        <v>-1.97</v>
      </c>
      <c r="CO115" s="1">
        <v>51</v>
      </c>
      <c r="CP115" s="1" t="s">
        <v>71</v>
      </c>
      <c r="CQ115" s="1">
        <v>36</v>
      </c>
      <c r="CR115" s="1">
        <v>156</v>
      </c>
      <c r="CS115" s="1">
        <v>31</v>
      </c>
      <c r="CT115" s="1">
        <v>10.3</v>
      </c>
      <c r="CU115" s="1">
        <v>9.6999999999999993</v>
      </c>
      <c r="CV115" s="1" t="s">
        <v>71</v>
      </c>
      <c r="CW115" s="1" t="s">
        <v>71</v>
      </c>
      <c r="CX115" t="e">
        <f>ROUND(CV115*#REF!/10,1)</f>
        <v>#VALUE!</v>
      </c>
      <c r="CY115" s="1">
        <v>13.2</v>
      </c>
      <c r="CZ115">
        <f t="shared" si="39"/>
        <v>861</v>
      </c>
      <c r="DA115">
        <f t="shared" si="40"/>
        <v>128</v>
      </c>
      <c r="DB115">
        <f>(CZ115+DA115)/MAX(DA107,CZ109)</f>
        <v>1.0940265486725664</v>
      </c>
      <c r="DC115" s="1">
        <v>13.2</v>
      </c>
      <c r="DD115">
        <f t="shared" si="25"/>
        <v>989</v>
      </c>
      <c r="DE115">
        <f t="shared" si="42"/>
        <v>0.14000000000000001</v>
      </c>
      <c r="DF115">
        <f>ROUND(CZ115/MAX(DA107,CZ109), 2)</f>
        <v>0.95</v>
      </c>
    </row>
    <row r="116" spans="1:110" x14ac:dyDescent="0.15">
      <c r="A116" s="1">
        <v>2022</v>
      </c>
      <c r="B116" s="1" t="s">
        <v>49</v>
      </c>
      <c r="C116" s="1">
        <v>6</v>
      </c>
      <c r="D116" s="1">
        <v>14</v>
      </c>
      <c r="E116" s="1" t="s">
        <v>51</v>
      </c>
      <c r="F116" s="1" t="s">
        <v>54</v>
      </c>
      <c r="G116" s="1" t="s">
        <v>5</v>
      </c>
      <c r="H116" s="1">
        <v>2</v>
      </c>
      <c r="I116" s="23" t="s">
        <v>64</v>
      </c>
      <c r="J116" s="1" t="s">
        <v>57</v>
      </c>
      <c r="K116" s="24">
        <v>44700</v>
      </c>
      <c r="L116" s="1">
        <f>K116-K107</f>
        <v>10</v>
      </c>
      <c r="M116" s="1">
        <f>K116-K110</f>
        <v>0</v>
      </c>
      <c r="N116" s="24">
        <v>44712</v>
      </c>
      <c r="O116" s="24">
        <v>44724</v>
      </c>
      <c r="P116" s="24">
        <v>44701</v>
      </c>
      <c r="Q116" s="1">
        <f>P116-P110</f>
        <v>1</v>
      </c>
      <c r="R116" s="1">
        <f>N116-N107</f>
        <v>-1</v>
      </c>
      <c r="S116" s="1">
        <f>O116-O107</f>
        <v>3</v>
      </c>
      <c r="T116" s="1">
        <f t="shared" si="41"/>
        <v>1</v>
      </c>
      <c r="U116" s="1" t="s">
        <v>71</v>
      </c>
      <c r="V116" s="1" t="s">
        <v>71</v>
      </c>
      <c r="W116" s="1">
        <v>2</v>
      </c>
      <c r="X116" s="1">
        <v>0</v>
      </c>
      <c r="Y116" s="1">
        <v>0</v>
      </c>
      <c r="Z116" s="1" t="s">
        <v>71</v>
      </c>
      <c r="AA116" s="1" t="s">
        <v>71</v>
      </c>
      <c r="AB116" s="1" t="s">
        <v>71</v>
      </c>
      <c r="AC116" s="1" t="s">
        <v>71</v>
      </c>
      <c r="AD116" s="25">
        <v>37</v>
      </c>
      <c r="AE116" s="25">
        <v>26</v>
      </c>
      <c r="AF116" s="25">
        <v>100</v>
      </c>
      <c r="AG116" s="25">
        <v>63</v>
      </c>
      <c r="AH116" s="1">
        <v>109</v>
      </c>
      <c r="AI116" s="1">
        <v>61</v>
      </c>
      <c r="AJ116" s="1">
        <v>4.3</v>
      </c>
      <c r="AK116" s="1">
        <v>0</v>
      </c>
      <c r="AL116" s="1">
        <v>0</v>
      </c>
      <c r="AM116" s="1">
        <v>0</v>
      </c>
      <c r="AN116" s="1" t="s">
        <v>71</v>
      </c>
      <c r="AO116" s="1" t="s">
        <v>71</v>
      </c>
      <c r="AP116" s="1" t="s">
        <v>71</v>
      </c>
      <c r="AQ116" s="1">
        <v>3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 t="s">
        <v>71</v>
      </c>
      <c r="BI116" s="1" t="s">
        <v>71</v>
      </c>
      <c r="BJ116" s="1" t="s">
        <v>71</v>
      </c>
      <c r="BK116" s="1">
        <v>5.0000000000000001E-4</v>
      </c>
      <c r="BL116" s="1">
        <f t="shared" si="23"/>
        <v>0.05</v>
      </c>
      <c r="BM116" s="1">
        <v>0.5</v>
      </c>
      <c r="BN116" s="1">
        <v>0.02</v>
      </c>
      <c r="BO116" s="1">
        <v>1</v>
      </c>
      <c r="BP116" s="1">
        <v>5</v>
      </c>
      <c r="BQ116" s="1" t="s">
        <v>71</v>
      </c>
      <c r="BR116" s="1" t="s">
        <v>71</v>
      </c>
      <c r="BS116" s="1" t="s">
        <v>71</v>
      </c>
      <c r="BT116" s="1" t="s">
        <v>71</v>
      </c>
      <c r="BU116" s="1" t="s">
        <v>71</v>
      </c>
      <c r="BV116" s="1">
        <v>4.3</v>
      </c>
      <c r="BW116" s="1">
        <v>3.7</v>
      </c>
      <c r="BX116" s="1" t="s">
        <v>71</v>
      </c>
      <c r="BY116" s="1" t="s">
        <v>71</v>
      </c>
      <c r="BZ116" s="3">
        <v>1.6</v>
      </c>
      <c r="CA116" s="3">
        <v>1.2</v>
      </c>
      <c r="CB116" s="3">
        <f t="shared" si="24"/>
        <v>2.2222222222222228</v>
      </c>
      <c r="CC116" s="3">
        <f t="shared" si="30"/>
        <v>1.666666666666667</v>
      </c>
      <c r="CD116" s="1">
        <f>ROUND(CB116/CB104+CC116/CC110,2)</f>
        <v>0.83</v>
      </c>
      <c r="CE116" s="1">
        <f>ROUND(CB116/CB107+CC116/CC110,2)</f>
        <v>0.91</v>
      </c>
      <c r="CF116" s="1">
        <f t="shared" si="38"/>
        <v>0.91</v>
      </c>
      <c r="CG116" s="1">
        <f>ROUND(CB116/CB104,2)</f>
        <v>0.37</v>
      </c>
      <c r="CH116" s="1">
        <f>ROUND(CB116/CB107,2)</f>
        <v>0.44</v>
      </c>
      <c r="CI116" s="1">
        <f>ROUND(CC116/CC110,2)</f>
        <v>0.46</v>
      </c>
      <c r="CJ116" s="1">
        <f>ROUND((CC116+CB116)/MAX(CC110,CB107),2)</f>
        <v>0.78</v>
      </c>
      <c r="CK116" s="1">
        <f>ROUND(LN((0.9*BZ116)/(0.1*CA116))/(BZ104/CA110),2)</f>
        <v>1.5</v>
      </c>
      <c r="CL116" s="1">
        <f>ROUND(LN((0.9*BZ116)/(0.1*CA116))/(BZ107/CA110),2)</f>
        <v>1.79</v>
      </c>
      <c r="CM116" s="1">
        <f>ROUND(LN((0.1*CA116)/(0.9*BZ116))/(CA110/BZ104),2)</f>
        <v>-4.1100000000000003</v>
      </c>
      <c r="CN116" s="1">
        <f>ROUND(LN((0.1*CA116)/(0.9*BZ116))/(CA110/BZ107),2)</f>
        <v>-3.44</v>
      </c>
      <c r="CO116" s="1">
        <v>50</v>
      </c>
      <c r="CP116" s="1" t="s">
        <v>71</v>
      </c>
      <c r="CQ116" s="1">
        <v>34</v>
      </c>
      <c r="CR116" s="1">
        <v>140</v>
      </c>
      <c r="CS116" s="1">
        <v>37</v>
      </c>
      <c r="CT116" s="1">
        <v>10.3</v>
      </c>
      <c r="CU116" s="1">
        <v>10.3</v>
      </c>
      <c r="CV116" s="1" t="s">
        <v>71</v>
      </c>
      <c r="CW116" s="1" t="s">
        <v>71</v>
      </c>
      <c r="CX116" t="e">
        <f>ROUND(CV116*#REF!/10,1)</f>
        <v>#VALUE!</v>
      </c>
      <c r="CY116" s="1">
        <v>11.8</v>
      </c>
      <c r="CZ116">
        <f t="shared" si="39"/>
        <v>617</v>
      </c>
      <c r="DA116">
        <f t="shared" si="40"/>
        <v>262</v>
      </c>
      <c r="DB116">
        <f>(CZ116+DA116)/MAX(DA107,CZ110)</f>
        <v>0.67615384615384611</v>
      </c>
      <c r="DC116" s="1">
        <v>11.8</v>
      </c>
      <c r="DD116">
        <f t="shared" si="25"/>
        <v>879</v>
      </c>
      <c r="DE116">
        <f t="shared" si="42"/>
        <v>0.21</v>
      </c>
      <c r="DF116">
        <f>ROUND(CZ116/MAX(DA107,CZ110), 2)</f>
        <v>0.47</v>
      </c>
    </row>
    <row r="117" spans="1:110" x14ac:dyDescent="0.15">
      <c r="A117" s="1">
        <v>2022</v>
      </c>
      <c r="B117" s="1" t="s">
        <v>49</v>
      </c>
      <c r="C117" s="1">
        <v>6</v>
      </c>
      <c r="D117" s="1">
        <v>15</v>
      </c>
      <c r="E117" s="1" t="s">
        <v>51</v>
      </c>
      <c r="F117" s="1" t="s">
        <v>55</v>
      </c>
      <c r="G117" s="1" t="s">
        <v>5</v>
      </c>
      <c r="H117" s="1">
        <v>2</v>
      </c>
      <c r="I117" s="23" t="s">
        <v>65</v>
      </c>
      <c r="J117" s="1" t="s">
        <v>57</v>
      </c>
      <c r="K117" s="1" t="s">
        <v>57</v>
      </c>
      <c r="L117" s="27">
        <v>10000000000</v>
      </c>
      <c r="M117" s="27">
        <v>10000000000</v>
      </c>
      <c r="N117" s="24">
        <v>44712</v>
      </c>
      <c r="O117" s="24">
        <v>44726</v>
      </c>
      <c r="P117" s="24">
        <v>44700</v>
      </c>
      <c r="Q117" s="1">
        <f>P117-P111</f>
        <v>0</v>
      </c>
      <c r="R117" s="1">
        <f>N117-N107</f>
        <v>-1</v>
      </c>
      <c r="S117" s="1">
        <f>O117-O107</f>
        <v>5</v>
      </c>
      <c r="T117" s="1">
        <f t="shared" si="41"/>
        <v>2</v>
      </c>
      <c r="U117" s="1" t="s">
        <v>71</v>
      </c>
      <c r="V117" s="1" t="s">
        <v>71</v>
      </c>
      <c r="W117" s="1">
        <v>-2</v>
      </c>
      <c r="X117" s="1">
        <v>0</v>
      </c>
      <c r="Y117" s="1">
        <v>0</v>
      </c>
      <c r="Z117" s="1" t="s">
        <v>71</v>
      </c>
      <c r="AA117" s="1" t="s">
        <v>71</v>
      </c>
      <c r="AB117" s="1" t="s">
        <v>71</v>
      </c>
      <c r="AC117" s="1" t="s">
        <v>71</v>
      </c>
      <c r="AD117" s="25">
        <v>39</v>
      </c>
      <c r="AE117" s="25">
        <v>31</v>
      </c>
      <c r="AF117" s="25">
        <v>101</v>
      </c>
      <c r="AG117" s="25">
        <v>66</v>
      </c>
      <c r="AH117" s="1">
        <v>110</v>
      </c>
      <c r="AI117" s="1">
        <v>65</v>
      </c>
      <c r="AJ117" s="1">
        <v>4.7</v>
      </c>
      <c r="AK117" s="1">
        <v>0</v>
      </c>
      <c r="AL117" s="1">
        <v>0</v>
      </c>
      <c r="AM117" s="1">
        <v>0</v>
      </c>
      <c r="AN117" s="1">
        <v>0.02</v>
      </c>
      <c r="AO117" s="1">
        <v>0.05</v>
      </c>
      <c r="AP117" s="1">
        <v>1E-3</v>
      </c>
      <c r="AQ117" s="1">
        <v>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2</v>
      </c>
      <c r="BI117" s="1" t="s">
        <v>71</v>
      </c>
      <c r="BJ117" s="1" t="s">
        <v>71</v>
      </c>
      <c r="BK117" s="1">
        <v>6.000000000000001E-3</v>
      </c>
      <c r="BL117" s="1">
        <f t="shared" si="23"/>
        <v>0.60000000000000009</v>
      </c>
      <c r="BM117" s="1">
        <v>0.2</v>
      </c>
      <c r="BN117" s="1" t="s">
        <v>71</v>
      </c>
      <c r="BO117" s="1">
        <v>1</v>
      </c>
      <c r="BP117" s="1">
        <v>0</v>
      </c>
      <c r="BQ117" s="1" t="s">
        <v>71</v>
      </c>
      <c r="BR117" s="1" t="s">
        <v>71</v>
      </c>
      <c r="BS117" s="1" t="s">
        <v>71</v>
      </c>
      <c r="BT117" s="1" t="s">
        <v>71</v>
      </c>
      <c r="BU117" s="1" t="s">
        <v>71</v>
      </c>
      <c r="BV117" s="1">
        <v>4.3</v>
      </c>
      <c r="BW117" s="1">
        <v>2</v>
      </c>
      <c r="BX117" s="1" t="s">
        <v>71</v>
      </c>
      <c r="BY117" s="1" t="s">
        <v>71</v>
      </c>
      <c r="BZ117" s="3">
        <v>1.1000000000000001</v>
      </c>
      <c r="CA117" s="3">
        <v>1.8</v>
      </c>
      <c r="CB117" s="3">
        <f t="shared" si="24"/>
        <v>1.5277777777777781</v>
      </c>
      <c r="CC117" s="3">
        <f t="shared" si="30"/>
        <v>2.5000000000000004</v>
      </c>
      <c r="CD117" s="1">
        <f>ROUND(CB117/CB104+CC117/CC111,2)</f>
        <v>1.26</v>
      </c>
      <c r="CE117" s="1">
        <f>ROUND(CB117/CB107+CC117/CC111,2)</f>
        <v>1.31</v>
      </c>
      <c r="CF117" s="1">
        <f t="shared" si="38"/>
        <v>1.31</v>
      </c>
      <c r="CG117" s="1">
        <f>ROUND(CB117/CB104,2)</f>
        <v>0.26</v>
      </c>
      <c r="CH117" s="1">
        <f>ROUND(CB117/CB107,2)</f>
        <v>0.31</v>
      </c>
      <c r="CI117" s="1">
        <f>ROUND(CC117/CC111,2)</f>
        <v>1</v>
      </c>
      <c r="CJ117" s="1">
        <f>ROUND((CC117+CB117)/MAX(CC111,CB107),2)</f>
        <v>0.81</v>
      </c>
      <c r="CK117" s="1">
        <f>ROUND(LN((0.9*BZ117)/(0.1*CA117))/(BZ104/CA111),2)</f>
        <v>0.71</v>
      </c>
      <c r="CL117" s="1">
        <f>ROUND(LN((0.9*BZ117)/(0.1*CA117))/(BZ107/CA111),2)</f>
        <v>0.85</v>
      </c>
      <c r="CM117" s="1">
        <f>ROUND(LN((0.1*CA117)/(0.9*BZ117))/(CA111/BZ104),2)</f>
        <v>-4.07</v>
      </c>
      <c r="CN117" s="1">
        <f>ROUND(LN((0.1*CA117)/(0.9*BZ117))/(CA111/BZ107),2)</f>
        <v>-3.41</v>
      </c>
      <c r="CO117" s="1">
        <v>48</v>
      </c>
      <c r="CP117" s="1" t="s">
        <v>71</v>
      </c>
      <c r="CQ117" s="1">
        <v>34</v>
      </c>
      <c r="CR117" s="1">
        <v>160</v>
      </c>
      <c r="CS117" s="1">
        <v>39</v>
      </c>
      <c r="CT117" s="1">
        <v>10.3</v>
      </c>
      <c r="CU117" s="1">
        <v>8.8000000000000007</v>
      </c>
      <c r="CV117" s="1" t="s">
        <v>71</v>
      </c>
      <c r="CW117" s="1" t="s">
        <v>71</v>
      </c>
      <c r="CX117" t="e">
        <f>ROUND(CV117*#REF!/10,1)</f>
        <v>#VALUE!</v>
      </c>
      <c r="CY117" s="1">
        <v>12.4</v>
      </c>
      <c r="CZ117">
        <f t="shared" si="39"/>
        <v>975</v>
      </c>
      <c r="DA117">
        <f t="shared" si="40"/>
        <v>189</v>
      </c>
      <c r="DB117">
        <f>(CZ117+DA117)/MAX(DA107,CZ111)</f>
        <v>1.2252631578947368</v>
      </c>
      <c r="DC117" s="1">
        <v>12.4</v>
      </c>
      <c r="DD117">
        <f t="shared" si="25"/>
        <v>1164</v>
      </c>
      <c r="DE117">
        <f t="shared" si="42"/>
        <v>0.2</v>
      </c>
      <c r="DF117">
        <f>ROUND(CZ117/MAX(DA107,CZ111), 2)</f>
        <v>1.03</v>
      </c>
    </row>
    <row r="118" spans="1:110" x14ac:dyDescent="0.15">
      <c r="A118" s="1">
        <v>2022</v>
      </c>
      <c r="B118" s="1" t="s">
        <v>49</v>
      </c>
      <c r="C118" s="1">
        <v>6</v>
      </c>
      <c r="D118" s="1">
        <v>16</v>
      </c>
      <c r="E118" s="1" t="s">
        <v>52</v>
      </c>
      <c r="F118" s="1" t="s">
        <v>53</v>
      </c>
      <c r="G118" s="1" t="s">
        <v>5</v>
      </c>
      <c r="H118" s="1">
        <v>2</v>
      </c>
      <c r="I118" s="23" t="s">
        <v>66</v>
      </c>
      <c r="J118" s="1" t="s">
        <v>57</v>
      </c>
      <c r="K118" s="24">
        <v>44700</v>
      </c>
      <c r="L118" s="27">
        <v>10000000000</v>
      </c>
      <c r="M118" s="1">
        <f>K118-K109</f>
        <v>0</v>
      </c>
      <c r="N118" s="24">
        <v>44713</v>
      </c>
      <c r="O118" s="24">
        <v>44730</v>
      </c>
      <c r="P118" s="24">
        <v>44700</v>
      </c>
      <c r="Q118" s="1">
        <f>P118-P109</f>
        <v>0</v>
      </c>
      <c r="R118" s="1">
        <f>N118-N108</f>
        <v>3</v>
      </c>
      <c r="S118" s="1">
        <f>O118-O108</f>
        <v>4</v>
      </c>
      <c r="T118" s="1">
        <f t="shared" si="41"/>
        <v>3.5</v>
      </c>
      <c r="U118" s="1" t="s">
        <v>71</v>
      </c>
      <c r="V118" s="1" t="s">
        <v>71</v>
      </c>
      <c r="W118" s="1">
        <v>2</v>
      </c>
      <c r="X118" s="1">
        <v>0</v>
      </c>
      <c r="Y118" s="1">
        <v>0</v>
      </c>
      <c r="Z118" s="1" t="s">
        <v>71</v>
      </c>
      <c r="AA118" s="1" t="s">
        <v>71</v>
      </c>
      <c r="AB118" s="1" t="s">
        <v>71</v>
      </c>
      <c r="AC118" s="1" t="s">
        <v>71</v>
      </c>
      <c r="AD118" s="25">
        <v>37</v>
      </c>
      <c r="AE118" s="25">
        <v>28</v>
      </c>
      <c r="AF118" s="25">
        <v>80</v>
      </c>
      <c r="AG118" s="25">
        <v>65</v>
      </c>
      <c r="AH118" s="1">
        <v>89</v>
      </c>
      <c r="AI118" s="1">
        <v>68</v>
      </c>
      <c r="AJ118" s="1">
        <v>2.7</v>
      </c>
      <c r="AK118" s="1">
        <v>0</v>
      </c>
      <c r="AL118" s="1">
        <v>0</v>
      </c>
      <c r="AM118" s="1">
        <v>0</v>
      </c>
      <c r="AN118" s="1" t="s">
        <v>71</v>
      </c>
      <c r="AO118" s="1" t="s">
        <v>71</v>
      </c>
      <c r="AP118" s="1" t="s">
        <v>71</v>
      </c>
      <c r="AQ118" s="1">
        <v>4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 t="s">
        <v>71</v>
      </c>
      <c r="BI118" s="1" t="s">
        <v>71</v>
      </c>
      <c r="BJ118" s="1" t="s">
        <v>71</v>
      </c>
      <c r="BK118" s="1">
        <v>0.01</v>
      </c>
      <c r="BL118" s="1">
        <f t="shared" si="23"/>
        <v>1</v>
      </c>
      <c r="BM118" s="1">
        <v>1</v>
      </c>
      <c r="BN118" s="1">
        <v>0.2</v>
      </c>
      <c r="BO118" s="1">
        <v>1</v>
      </c>
      <c r="BP118" s="1">
        <v>5</v>
      </c>
      <c r="BQ118" s="1" t="s">
        <v>71</v>
      </c>
      <c r="BR118" s="1" t="s">
        <v>71</v>
      </c>
      <c r="BS118" s="1" t="s">
        <v>71</v>
      </c>
      <c r="BT118" s="1" t="s">
        <v>71</v>
      </c>
      <c r="BU118" s="1" t="s">
        <v>71</v>
      </c>
      <c r="BV118" s="1">
        <v>5</v>
      </c>
      <c r="BW118" s="1">
        <v>3</v>
      </c>
      <c r="BX118" s="1" t="s">
        <v>71</v>
      </c>
      <c r="BY118" s="1" t="s">
        <v>71</v>
      </c>
      <c r="BZ118" s="3">
        <v>1</v>
      </c>
      <c r="CA118" s="3">
        <v>2.2000000000000002</v>
      </c>
      <c r="CB118" s="3">
        <f t="shared" si="24"/>
        <v>1.3888888888888888</v>
      </c>
      <c r="CC118" s="3">
        <f t="shared" si="30"/>
        <v>3.0555555555555562</v>
      </c>
      <c r="CD118" s="1">
        <f>ROUND(CB118/CB105+CC118/CC109,2)</f>
        <v>1.3</v>
      </c>
      <c r="CE118" s="1">
        <f>ROUND(CB118/CB108+CC118/CC109,2)</f>
        <v>1.29</v>
      </c>
      <c r="CF118" s="1">
        <f>ROUND(CB118/(1.2*CB108)+CC118/CC109,2)</f>
        <v>1.25</v>
      </c>
      <c r="CG118" s="1">
        <f>ROUND(CB118/CB105,2)</f>
        <v>0.26</v>
      </c>
      <c r="CH118" s="1">
        <f>ROUND(CB118/CB108,2)</f>
        <v>0.24</v>
      </c>
      <c r="CI118" s="1">
        <f>ROUND(CC118/CC109,2)</f>
        <v>1.05</v>
      </c>
      <c r="CJ118" s="1">
        <f>ROUND((CC118+CB118)/MAX(CC109,CB108),2)</f>
        <v>0.76</v>
      </c>
      <c r="CK118" s="1">
        <f>ROUND(LN((0.9*BZ118)/(0.1*CA118))/(BZ105/CA109),2)</f>
        <v>0.76</v>
      </c>
      <c r="CL118" s="1">
        <f>ROUND(LN((0.9*BZ118)/(0.1*CA118))/(BZ108/CA109),2)</f>
        <v>0.7</v>
      </c>
      <c r="CM118" s="1">
        <f>ROUND(LN((0.1*CA118)/(0.9*BZ118))/(CA109/BZ105),2)</f>
        <v>-2.62</v>
      </c>
      <c r="CN118" s="1">
        <f>ROUND(LN((0.1*CA118)/(0.9*BZ118))/(CA109/BZ108),2)</f>
        <v>-2.82</v>
      </c>
      <c r="CO118" s="1">
        <v>46</v>
      </c>
      <c r="CP118" s="1" t="s">
        <v>71</v>
      </c>
      <c r="CQ118" s="1">
        <v>30</v>
      </c>
      <c r="CR118" s="1">
        <v>153</v>
      </c>
      <c r="CS118" s="1">
        <v>32</v>
      </c>
      <c r="CT118" s="1">
        <v>10.1</v>
      </c>
      <c r="CU118" s="1">
        <v>10.4</v>
      </c>
      <c r="CV118" s="1" t="s">
        <v>71</v>
      </c>
      <c r="CW118" s="1" t="s">
        <v>71</v>
      </c>
      <c r="CX118" t="e">
        <f>ROUND(CV118*#REF!/10,1)</f>
        <v>#VALUE!</v>
      </c>
      <c r="CY118" s="1">
        <v>13</v>
      </c>
      <c r="CZ118">
        <f t="shared" si="39"/>
        <v>978</v>
      </c>
      <c r="DA118">
        <f t="shared" si="40"/>
        <v>181</v>
      </c>
      <c r="DB118">
        <f>(CZ118+DA118)/MAX(DA108,CZ109)</f>
        <v>1.2820796460176991</v>
      </c>
      <c r="DC118" s="1">
        <v>13</v>
      </c>
      <c r="DD118">
        <f t="shared" si="25"/>
        <v>1159</v>
      </c>
      <c r="DE118">
        <f t="shared" si="42"/>
        <v>0.2</v>
      </c>
      <c r="DF118">
        <f>ROUND(CZ118/MAX(DA108,CZ109), 2)</f>
        <v>1.08</v>
      </c>
    </row>
    <row r="119" spans="1:110" x14ac:dyDescent="0.15">
      <c r="A119" s="1">
        <v>2022</v>
      </c>
      <c r="B119" s="1" t="s">
        <v>49</v>
      </c>
      <c r="C119" s="1">
        <v>6</v>
      </c>
      <c r="D119" s="1">
        <v>17</v>
      </c>
      <c r="E119" s="1" t="s">
        <v>52</v>
      </c>
      <c r="F119" s="1" t="s">
        <v>54</v>
      </c>
      <c r="G119" s="1" t="s">
        <v>5</v>
      </c>
      <c r="H119" s="1">
        <v>2</v>
      </c>
      <c r="I119" s="23" t="s">
        <v>67</v>
      </c>
      <c r="J119" s="1" t="s">
        <v>57</v>
      </c>
      <c r="K119" s="24">
        <v>44700</v>
      </c>
      <c r="L119" s="27">
        <v>10000000000</v>
      </c>
      <c r="M119" s="1">
        <f>K119-K110</f>
        <v>0</v>
      </c>
      <c r="N119" s="24">
        <v>44718</v>
      </c>
      <c r="O119" s="24">
        <v>44698</v>
      </c>
      <c r="P119" s="24">
        <v>44700</v>
      </c>
      <c r="Q119" s="1">
        <f>P119-P110</f>
        <v>0</v>
      </c>
      <c r="R119" s="1">
        <f>N119-N108</f>
        <v>8</v>
      </c>
      <c r="S119" s="1">
        <f>O119-O108</f>
        <v>-28</v>
      </c>
      <c r="T119" s="1">
        <f t="shared" si="41"/>
        <v>-10</v>
      </c>
      <c r="U119" s="1" t="s">
        <v>71</v>
      </c>
      <c r="V119" s="1" t="s">
        <v>71</v>
      </c>
      <c r="W119" s="1">
        <v>2</v>
      </c>
      <c r="X119" s="1">
        <v>0</v>
      </c>
      <c r="Y119" s="1">
        <v>0</v>
      </c>
      <c r="Z119" s="1" t="s">
        <v>71</v>
      </c>
      <c r="AA119" s="1" t="s">
        <v>71</v>
      </c>
      <c r="AB119" s="1" t="s">
        <v>71</v>
      </c>
      <c r="AC119" s="1" t="s">
        <v>71</v>
      </c>
      <c r="AD119" s="25">
        <v>35</v>
      </c>
      <c r="AE119" s="25">
        <v>28</v>
      </c>
      <c r="AF119" s="25">
        <v>83</v>
      </c>
      <c r="AG119" s="25">
        <v>69</v>
      </c>
      <c r="AH119" s="1">
        <v>89</v>
      </c>
      <c r="AI119" s="1">
        <v>68</v>
      </c>
      <c r="AJ119" s="1">
        <v>2.7</v>
      </c>
      <c r="AK119" s="1">
        <v>0</v>
      </c>
      <c r="AL119" s="1">
        <v>0</v>
      </c>
      <c r="AM119" s="1">
        <v>0</v>
      </c>
      <c r="AN119" s="1">
        <v>0.02</v>
      </c>
      <c r="AO119" s="1">
        <v>0.01</v>
      </c>
      <c r="AP119" s="1">
        <v>2.0000000000000001E-4</v>
      </c>
      <c r="AQ119" s="1">
        <v>5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3</v>
      </c>
      <c r="BI119" s="1" t="s">
        <v>71</v>
      </c>
      <c r="BJ119" s="1" t="s">
        <v>71</v>
      </c>
      <c r="BK119" s="1">
        <v>0.02</v>
      </c>
      <c r="BL119" s="1">
        <f t="shared" si="23"/>
        <v>2</v>
      </c>
      <c r="BM119" s="1">
        <v>1</v>
      </c>
      <c r="BN119" s="1">
        <v>0.01</v>
      </c>
      <c r="BO119" s="1">
        <v>2</v>
      </c>
      <c r="BP119" s="1">
        <v>0</v>
      </c>
      <c r="BQ119" s="1" t="s">
        <v>71</v>
      </c>
      <c r="BR119" s="1" t="s">
        <v>71</v>
      </c>
      <c r="BS119" s="1" t="s">
        <v>71</v>
      </c>
      <c r="BT119" s="1" t="s">
        <v>71</v>
      </c>
      <c r="BU119" s="1" t="s">
        <v>71</v>
      </c>
      <c r="BV119" s="1">
        <v>5</v>
      </c>
      <c r="BW119" s="1">
        <v>3.3</v>
      </c>
      <c r="BX119" s="1" t="s">
        <v>71</v>
      </c>
      <c r="BY119" s="1" t="s">
        <v>71</v>
      </c>
      <c r="BZ119" s="3">
        <v>0.9</v>
      </c>
      <c r="CA119" s="3">
        <v>2.2000000000000002</v>
      </c>
      <c r="CB119" s="3">
        <f t="shared" si="24"/>
        <v>1.2500000000000002</v>
      </c>
      <c r="CC119" s="3">
        <f t="shared" si="30"/>
        <v>3.0555555555555562</v>
      </c>
      <c r="CD119" s="1">
        <f>ROUND(CB119/CB105+CC119/CC110,2)</f>
        <v>1.08</v>
      </c>
      <c r="CE119" s="1">
        <f>ROUND(CB119/CB108+CC119/CC110,2)</f>
        <v>1.06</v>
      </c>
      <c r="CF119" s="1">
        <f>ROUND(CB119/(1.2*CB108)+CC119/CC110,2)</f>
        <v>1.02</v>
      </c>
      <c r="CG119" s="1">
        <f>ROUND(CB119/CB105,2)</f>
        <v>0.23</v>
      </c>
      <c r="CH119" s="1">
        <f>ROUND(CB119/CB108,2)</f>
        <v>0.21</v>
      </c>
      <c r="CI119" s="1">
        <f>ROUND(CC119/CC110,2)</f>
        <v>0.85</v>
      </c>
      <c r="CJ119" s="1">
        <f>ROUND((CC119+CB119)/MAX(CC110,CB108),2)</f>
        <v>0.74</v>
      </c>
      <c r="CK119" s="1">
        <f>ROUND(LN((0.9*BZ119)/(0.1*CA119))/(BZ105/CA110),2)</f>
        <v>0.87</v>
      </c>
      <c r="CL119" s="1">
        <f>ROUND(LN((0.9*BZ119)/(0.1*CA119))/(BZ108/CA110),2)</f>
        <v>0.81</v>
      </c>
      <c r="CM119" s="1">
        <f>ROUND(LN((0.1*CA119)/(0.9*BZ119))/(CA110/BZ105),2)</f>
        <v>-1.96</v>
      </c>
      <c r="CN119" s="1">
        <f>ROUND(LN((0.1*CA119)/(0.9*BZ119))/(CA110/BZ108),2)</f>
        <v>-2.11</v>
      </c>
      <c r="CO119" s="1">
        <v>50</v>
      </c>
      <c r="CP119" s="1" t="s">
        <v>71</v>
      </c>
      <c r="CQ119" s="1">
        <v>32</v>
      </c>
      <c r="CR119" s="1">
        <v>134</v>
      </c>
      <c r="CS119" s="1">
        <v>37</v>
      </c>
      <c r="CT119" s="1">
        <v>10.3</v>
      </c>
      <c r="CU119" s="1">
        <v>10.4</v>
      </c>
      <c r="CV119" s="1" t="s">
        <v>71</v>
      </c>
      <c r="CW119" s="1" t="s">
        <v>71</v>
      </c>
      <c r="CX119" t="e">
        <f>ROUND(CV119*#REF!/10,1)</f>
        <v>#VALUE!</v>
      </c>
      <c r="CY119" s="1">
        <v>13.2</v>
      </c>
      <c r="CZ119">
        <f t="shared" si="39"/>
        <v>1131</v>
      </c>
      <c r="DA119">
        <f t="shared" si="40"/>
        <v>165</v>
      </c>
      <c r="DB119">
        <f>(CZ119+DA119)/MAX(DA108,CZ110)</f>
        <v>0.99692307692307691</v>
      </c>
      <c r="DC119" s="1">
        <v>13.2</v>
      </c>
      <c r="DD119">
        <f t="shared" si="25"/>
        <v>1296</v>
      </c>
      <c r="DE119">
        <f t="shared" si="42"/>
        <v>0.13</v>
      </c>
      <c r="DF119">
        <f>ROUND(CZ119/MAX(DA108,CZ110), 2)</f>
        <v>0.87</v>
      </c>
    </row>
    <row r="120" spans="1:110" x14ac:dyDescent="0.15">
      <c r="A120" s="1">
        <v>2022</v>
      </c>
      <c r="B120" s="1" t="s">
        <v>49</v>
      </c>
      <c r="C120" s="1">
        <v>6</v>
      </c>
      <c r="D120" s="1">
        <v>18</v>
      </c>
      <c r="E120" s="1" t="s">
        <v>52</v>
      </c>
      <c r="F120" s="1" t="s">
        <v>55</v>
      </c>
      <c r="G120" s="1" t="s">
        <v>5</v>
      </c>
      <c r="H120" s="1">
        <v>2</v>
      </c>
      <c r="I120" s="23" t="s">
        <v>68</v>
      </c>
      <c r="J120" s="1" t="s">
        <v>57</v>
      </c>
      <c r="K120" s="1" t="s">
        <v>57</v>
      </c>
      <c r="L120" s="27">
        <v>10000000000</v>
      </c>
      <c r="M120" s="27">
        <v>10000000000</v>
      </c>
      <c r="N120" s="24">
        <v>44719</v>
      </c>
      <c r="O120" s="24">
        <v>44698</v>
      </c>
      <c r="P120" s="24">
        <v>44700</v>
      </c>
      <c r="Q120" s="1">
        <f>P120-P111</f>
        <v>0</v>
      </c>
      <c r="R120" s="1">
        <f>N120-N108</f>
        <v>9</v>
      </c>
      <c r="S120" s="1">
        <f>O120-O108</f>
        <v>-28</v>
      </c>
      <c r="T120" s="1">
        <f t="shared" si="41"/>
        <v>-9.5</v>
      </c>
      <c r="U120" s="1" t="s">
        <v>71</v>
      </c>
      <c r="V120" s="1" t="s">
        <v>71</v>
      </c>
      <c r="W120" s="1">
        <v>-1</v>
      </c>
      <c r="X120" s="1">
        <v>0</v>
      </c>
      <c r="Y120" s="1">
        <v>0</v>
      </c>
      <c r="Z120" s="1" t="s">
        <v>71</v>
      </c>
      <c r="AA120" s="1" t="s">
        <v>71</v>
      </c>
      <c r="AB120" s="1" t="s">
        <v>71</v>
      </c>
      <c r="AC120" s="1" t="s">
        <v>71</v>
      </c>
      <c r="AD120" s="25">
        <v>35</v>
      </c>
      <c r="AE120" s="25">
        <v>29</v>
      </c>
      <c r="AF120" s="25">
        <v>72</v>
      </c>
      <c r="AG120" s="25">
        <v>56</v>
      </c>
      <c r="AH120" s="1">
        <v>82</v>
      </c>
      <c r="AI120" s="1">
        <v>70</v>
      </c>
      <c r="AJ120" s="1">
        <v>3</v>
      </c>
      <c r="AK120" s="1">
        <v>0.02</v>
      </c>
      <c r="AL120" s="1">
        <v>0.05</v>
      </c>
      <c r="AM120" s="1">
        <v>1E-3</v>
      </c>
      <c r="AN120" s="1" t="s">
        <v>71</v>
      </c>
      <c r="AO120" s="1" t="s">
        <v>71</v>
      </c>
      <c r="AP120" s="1" t="s">
        <v>71</v>
      </c>
      <c r="AQ120" s="1">
        <v>4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3</v>
      </c>
      <c r="BI120" s="1" t="s">
        <v>71</v>
      </c>
      <c r="BJ120" s="1" t="s">
        <v>71</v>
      </c>
      <c r="BK120" s="1">
        <v>5.0000000000000001E-3</v>
      </c>
      <c r="BL120" s="1">
        <f t="shared" si="23"/>
        <v>0.5</v>
      </c>
      <c r="BM120" s="1">
        <v>1</v>
      </c>
      <c r="BN120" s="1">
        <v>0.03</v>
      </c>
      <c r="BO120" s="1">
        <v>1</v>
      </c>
      <c r="BP120" s="1">
        <v>5</v>
      </c>
      <c r="BQ120" s="1" t="s">
        <v>71</v>
      </c>
      <c r="BR120" s="1" t="s">
        <v>71</v>
      </c>
      <c r="BS120" s="1" t="s">
        <v>71</v>
      </c>
      <c r="BT120" s="1" t="s">
        <v>71</v>
      </c>
      <c r="BU120" s="1" t="s">
        <v>71</v>
      </c>
      <c r="BV120" s="1">
        <v>3.3</v>
      </c>
      <c r="BW120" s="1">
        <v>0.7</v>
      </c>
      <c r="BX120" s="1" t="s">
        <v>71</v>
      </c>
      <c r="BY120" s="1" t="s">
        <v>71</v>
      </c>
      <c r="BZ120" s="3">
        <v>1.1000000000000001</v>
      </c>
      <c r="CA120" s="3">
        <v>2.1</v>
      </c>
      <c r="CB120" s="3">
        <f t="shared" si="24"/>
        <v>1.5277777777777781</v>
      </c>
      <c r="CC120" s="3">
        <f t="shared" si="30"/>
        <v>2.916666666666667</v>
      </c>
      <c r="CD120" s="1">
        <f>ROUND(CB120/CB105+CC120/CC111,2)</f>
        <v>1.45</v>
      </c>
      <c r="CE120" s="1">
        <f>ROUND(CB120/CB108+CC120/CC111,2)</f>
        <v>1.43</v>
      </c>
      <c r="CF120" s="1">
        <f>ROUND(CB120/(1.2*CB108)+CC120/CC111,2)</f>
        <v>1.38</v>
      </c>
      <c r="CG120" s="1">
        <f>ROUND(CB120/CB105,2)</f>
        <v>0.28000000000000003</v>
      </c>
      <c r="CH120" s="1">
        <f>ROUND(CB120/CB108,2)</f>
        <v>0.26</v>
      </c>
      <c r="CI120" s="1">
        <f>ROUND(CC120/CC111,2)</f>
        <v>1.17</v>
      </c>
      <c r="CJ120" s="1">
        <f>ROUND((CC120+CB120)/MAX(CC111,CB108),2)</f>
        <v>0.76</v>
      </c>
      <c r="CK120" s="1">
        <f>ROUND(LN((0.9*BZ120)/(0.1*CA120))/(BZ105/CA111),2)</f>
        <v>0.72</v>
      </c>
      <c r="CL120" s="1">
        <f>ROUND(LN((0.9*BZ120)/(0.1*CA120))/(BZ108/CA111),2)</f>
        <v>0.66</v>
      </c>
      <c r="CM120" s="1">
        <f>ROUND(LN((0.1*CA120)/(0.9*BZ120))/(CA111/BZ105),2)</f>
        <v>-3.36</v>
      </c>
      <c r="CN120" s="1">
        <f>ROUND(LN((0.1*CA120)/(0.9*BZ120))/(CA111/BZ108),2)</f>
        <v>-3.62</v>
      </c>
      <c r="CO120" s="1">
        <v>51</v>
      </c>
      <c r="CP120" s="1" t="s">
        <v>71</v>
      </c>
      <c r="CQ120" s="1">
        <v>35</v>
      </c>
      <c r="CR120" s="1">
        <v>168</v>
      </c>
      <c r="CS120" s="1">
        <v>38</v>
      </c>
      <c r="CT120" s="1">
        <v>10.3</v>
      </c>
      <c r="CU120" s="1">
        <v>9.6</v>
      </c>
      <c r="CV120" s="1" t="s">
        <v>71</v>
      </c>
      <c r="CW120" s="1" t="s">
        <v>71</v>
      </c>
      <c r="CX120" t="e">
        <f>ROUND(CV120*#REF!/10,1)</f>
        <v>#VALUE!</v>
      </c>
      <c r="CY120" s="1">
        <v>15.6</v>
      </c>
      <c r="CZ120">
        <f t="shared" si="39"/>
        <v>1108</v>
      </c>
      <c r="DA120">
        <f t="shared" si="40"/>
        <v>238</v>
      </c>
      <c r="DB120">
        <f>(CZ120+DA120)/MAX(DA108,CZ111)</f>
        <v>1.4168421052631579</v>
      </c>
      <c r="DC120" s="1">
        <v>15.6</v>
      </c>
      <c r="DD120">
        <f t="shared" si="25"/>
        <v>1346</v>
      </c>
      <c r="DE120">
        <f t="shared" si="42"/>
        <v>0.25</v>
      </c>
      <c r="DF120">
        <f>ROUND(CZ120/MAX(DA108,CZ111), 2)</f>
        <v>1.17</v>
      </c>
    </row>
    <row r="121" spans="1:110" x14ac:dyDescent="0.15">
      <c r="A121" s="1">
        <v>2022</v>
      </c>
      <c r="B121" s="1" t="s">
        <v>49</v>
      </c>
      <c r="C121" s="1">
        <v>6</v>
      </c>
      <c r="D121" s="1">
        <v>19</v>
      </c>
      <c r="E121" s="1"/>
      <c r="F121" s="1"/>
      <c r="G121" s="1" t="s">
        <v>56</v>
      </c>
      <c r="H121" s="1">
        <v>2</v>
      </c>
      <c r="I121" s="23" t="s">
        <v>69</v>
      </c>
      <c r="J121" s="1" t="s">
        <v>57</v>
      </c>
      <c r="K121" s="1" t="s">
        <v>57</v>
      </c>
      <c r="L121" s="1" t="s">
        <v>71</v>
      </c>
      <c r="M121" s="1" t="s">
        <v>71</v>
      </c>
      <c r="N121" s="24">
        <v>44711</v>
      </c>
      <c r="O121" s="24">
        <v>44727</v>
      </c>
      <c r="P121" s="1" t="s">
        <v>71</v>
      </c>
      <c r="Q121" s="1" t="s">
        <v>71</v>
      </c>
      <c r="R121" s="1" t="s">
        <v>71</v>
      </c>
      <c r="S121" s="1" t="s">
        <v>71</v>
      </c>
      <c r="T121" s="1" t="s">
        <v>71</v>
      </c>
      <c r="U121" s="1" t="s">
        <v>71</v>
      </c>
      <c r="V121" s="1" t="s">
        <v>71</v>
      </c>
      <c r="W121" s="1" t="s">
        <v>71</v>
      </c>
      <c r="X121" s="1">
        <v>0</v>
      </c>
      <c r="Y121" s="1">
        <v>0</v>
      </c>
      <c r="Z121" s="1" t="s">
        <v>71</v>
      </c>
      <c r="AA121" s="1" t="s">
        <v>71</v>
      </c>
      <c r="AB121" s="1" t="s">
        <v>71</v>
      </c>
      <c r="AC121" s="1" t="s">
        <v>71</v>
      </c>
      <c r="AD121" s="25">
        <v>43</v>
      </c>
      <c r="AE121" s="25" t="s">
        <v>71</v>
      </c>
      <c r="AF121" s="25">
        <v>69</v>
      </c>
      <c r="AG121" s="25" t="s">
        <v>71</v>
      </c>
      <c r="AH121" s="1">
        <v>65</v>
      </c>
      <c r="AI121" s="1" t="s">
        <v>71</v>
      </c>
      <c r="AJ121" s="1">
        <v>1.7</v>
      </c>
      <c r="AK121" s="1" t="s">
        <v>71</v>
      </c>
      <c r="AL121" s="1" t="s">
        <v>71</v>
      </c>
      <c r="AM121" s="1" t="s">
        <v>71</v>
      </c>
      <c r="AN121" s="1">
        <v>0.01</v>
      </c>
      <c r="AO121" s="1">
        <v>0.05</v>
      </c>
      <c r="AP121" s="1">
        <v>5.0000000000000001E-4</v>
      </c>
      <c r="AQ121" s="1">
        <v>8</v>
      </c>
      <c r="AR121" s="1" t="s">
        <v>71</v>
      </c>
      <c r="AS121" s="1" t="s">
        <v>71</v>
      </c>
      <c r="AT121" s="1" t="s">
        <v>71</v>
      </c>
      <c r="AU121" s="1">
        <v>0</v>
      </c>
      <c r="AV121" s="1">
        <v>0</v>
      </c>
      <c r="AW121" s="1">
        <v>0</v>
      </c>
      <c r="AX121" s="1" t="s">
        <v>71</v>
      </c>
      <c r="AY121" s="1" t="s">
        <v>71</v>
      </c>
      <c r="AZ121" s="1">
        <v>0</v>
      </c>
      <c r="BA121" s="1" t="s">
        <v>71</v>
      </c>
      <c r="BB121" s="1" t="s">
        <v>71</v>
      </c>
      <c r="BC121" s="1" t="s">
        <v>71</v>
      </c>
      <c r="BD121" s="1" t="s">
        <v>71</v>
      </c>
      <c r="BE121" s="1" t="s">
        <v>71</v>
      </c>
      <c r="BF121" s="1" t="s">
        <v>71</v>
      </c>
      <c r="BG121" s="1" t="s">
        <v>71</v>
      </c>
      <c r="BH121" s="1" t="s">
        <v>71</v>
      </c>
      <c r="BI121" s="1" t="s">
        <v>71</v>
      </c>
      <c r="BJ121" s="1" t="s">
        <v>71</v>
      </c>
      <c r="BK121" s="1">
        <v>5.0000000000000001E-4</v>
      </c>
      <c r="BL121" s="1">
        <f t="shared" si="23"/>
        <v>0.05</v>
      </c>
      <c r="BM121" s="1">
        <v>0.1</v>
      </c>
      <c r="BN121" s="1">
        <v>0.01</v>
      </c>
      <c r="BO121" s="1">
        <v>2</v>
      </c>
      <c r="BP121" s="1">
        <v>0</v>
      </c>
      <c r="BQ121" s="1" t="s">
        <v>71</v>
      </c>
      <c r="BR121" s="1" t="s">
        <v>71</v>
      </c>
      <c r="BS121" s="1" t="s">
        <v>71</v>
      </c>
      <c r="BT121" s="1" t="s">
        <v>71</v>
      </c>
      <c r="BU121" s="1" t="s">
        <v>71</v>
      </c>
      <c r="BV121" s="1" t="s">
        <v>71</v>
      </c>
      <c r="BW121" s="1" t="s">
        <v>71</v>
      </c>
      <c r="BX121" s="1" t="s">
        <v>71</v>
      </c>
      <c r="BY121" s="1" t="s">
        <v>71</v>
      </c>
      <c r="BZ121" s="3" t="s">
        <v>71</v>
      </c>
      <c r="CA121" s="3" t="s">
        <v>71</v>
      </c>
      <c r="CB121" s="3" t="s">
        <v>71</v>
      </c>
      <c r="CC121" s="3" t="s">
        <v>71</v>
      </c>
      <c r="CD121" s="1" t="s">
        <v>71</v>
      </c>
      <c r="CE121" s="1" t="s">
        <v>71</v>
      </c>
      <c r="CF121" s="1" t="s">
        <v>71</v>
      </c>
      <c r="CG121" s="1" t="s">
        <v>71</v>
      </c>
      <c r="CH121" s="1" t="s">
        <v>71</v>
      </c>
      <c r="CI121" s="1" t="s">
        <v>71</v>
      </c>
      <c r="CJ121" s="1" t="s">
        <v>71</v>
      </c>
      <c r="CK121" s="1" t="s">
        <v>71</v>
      </c>
      <c r="CL121" s="3" t="s">
        <v>71</v>
      </c>
      <c r="CM121" s="3" t="s">
        <v>71</v>
      </c>
      <c r="CN121" s="3" t="s">
        <v>71</v>
      </c>
      <c r="CO121" s="1">
        <v>41</v>
      </c>
      <c r="CP121" s="1" t="s">
        <v>71</v>
      </c>
      <c r="CQ121" s="1">
        <v>31</v>
      </c>
      <c r="CR121" s="1">
        <v>0</v>
      </c>
      <c r="CS121" s="1" t="s">
        <v>71</v>
      </c>
      <c r="CT121" s="1">
        <v>9.8000000000000007</v>
      </c>
      <c r="CU121" s="1" t="s">
        <v>71</v>
      </c>
      <c r="CV121" s="1" t="s">
        <v>71</v>
      </c>
      <c r="CW121" s="1" t="s">
        <v>71</v>
      </c>
      <c r="CX121" t="s">
        <v>71</v>
      </c>
      <c r="CY121" s="1">
        <v>10.4</v>
      </c>
      <c r="CZ121" t="s">
        <v>71</v>
      </c>
      <c r="DA121" t="s">
        <v>71</v>
      </c>
      <c r="DB121" t="s">
        <v>71</v>
      </c>
      <c r="DC121" s="1">
        <v>10.4</v>
      </c>
      <c r="DD121">
        <f t="shared" si="25"/>
        <v>0</v>
      </c>
      <c r="DE121" t="s">
        <v>71</v>
      </c>
      <c r="DF121" s="26" t="s">
        <v>71</v>
      </c>
    </row>
    <row r="122" spans="1:110" x14ac:dyDescent="0.15">
      <c r="A122" s="1">
        <v>2022</v>
      </c>
      <c r="B122" s="1" t="s">
        <v>49</v>
      </c>
      <c r="C122" s="1">
        <v>6</v>
      </c>
      <c r="D122" s="1">
        <v>20</v>
      </c>
      <c r="E122" s="1"/>
      <c r="F122" s="1"/>
      <c r="G122" s="1" t="s">
        <v>56</v>
      </c>
      <c r="H122" s="1">
        <v>2</v>
      </c>
      <c r="I122" s="23" t="s">
        <v>70</v>
      </c>
      <c r="J122" s="1" t="s">
        <v>57</v>
      </c>
      <c r="K122" s="1" t="s">
        <v>57</v>
      </c>
      <c r="L122" s="1" t="s">
        <v>71</v>
      </c>
      <c r="M122" s="1" t="s">
        <v>71</v>
      </c>
      <c r="N122" s="24">
        <v>44712</v>
      </c>
      <c r="O122" s="24">
        <v>44724</v>
      </c>
      <c r="P122" s="1" t="s">
        <v>71</v>
      </c>
      <c r="Q122" s="1" t="s">
        <v>71</v>
      </c>
      <c r="R122" s="1" t="s">
        <v>71</v>
      </c>
      <c r="S122" s="1" t="s">
        <v>71</v>
      </c>
      <c r="T122" s="1" t="s">
        <v>71</v>
      </c>
      <c r="U122" s="1" t="s">
        <v>71</v>
      </c>
      <c r="V122" s="1" t="s">
        <v>71</v>
      </c>
      <c r="W122" s="1" t="s">
        <v>71</v>
      </c>
      <c r="X122" s="1">
        <v>0</v>
      </c>
      <c r="Y122" s="1">
        <v>0</v>
      </c>
      <c r="Z122" s="1" t="s">
        <v>71</v>
      </c>
      <c r="AA122" s="1" t="s">
        <v>71</v>
      </c>
      <c r="AB122" s="1" t="s">
        <v>71</v>
      </c>
      <c r="AC122" s="1" t="s">
        <v>71</v>
      </c>
      <c r="AD122" s="25" t="s">
        <v>71</v>
      </c>
      <c r="AE122" s="25" t="s">
        <v>71</v>
      </c>
      <c r="AF122" s="25" t="s">
        <v>71</v>
      </c>
      <c r="AG122" s="25">
        <v>95</v>
      </c>
      <c r="AH122" s="1" t="s">
        <v>71</v>
      </c>
      <c r="AI122" s="1" t="s">
        <v>71</v>
      </c>
      <c r="AJ122" s="1" t="s">
        <v>71</v>
      </c>
      <c r="AK122" s="1" t="s">
        <v>71</v>
      </c>
      <c r="AL122" s="1" t="s">
        <v>71</v>
      </c>
      <c r="AM122" s="1" t="s">
        <v>71</v>
      </c>
      <c r="AN122" s="1" t="s">
        <v>71</v>
      </c>
      <c r="AO122" s="1" t="s">
        <v>71</v>
      </c>
      <c r="AP122" s="1" t="s">
        <v>71</v>
      </c>
      <c r="AQ122" s="1" t="s">
        <v>71</v>
      </c>
      <c r="AR122" s="1" t="s">
        <v>71</v>
      </c>
      <c r="AS122" s="1" t="s">
        <v>71</v>
      </c>
      <c r="AT122" s="1" t="s">
        <v>71</v>
      </c>
      <c r="AU122" s="1">
        <v>0</v>
      </c>
      <c r="AV122" s="1">
        <v>0</v>
      </c>
      <c r="AW122" s="1">
        <v>0</v>
      </c>
      <c r="AX122" s="1" t="s">
        <v>71</v>
      </c>
      <c r="AY122" s="1" t="s">
        <v>71</v>
      </c>
      <c r="AZ122" s="1">
        <v>0</v>
      </c>
      <c r="BA122" s="1" t="s">
        <v>71</v>
      </c>
      <c r="BB122" s="1" t="s">
        <v>71</v>
      </c>
      <c r="BC122" s="1" t="s">
        <v>71</v>
      </c>
      <c r="BD122" s="1" t="s">
        <v>71</v>
      </c>
      <c r="BE122" s="1" t="s">
        <v>71</v>
      </c>
      <c r="BF122" s="1" t="s">
        <v>71</v>
      </c>
      <c r="BG122" s="1" t="s">
        <v>71</v>
      </c>
      <c r="BH122" s="1">
        <v>0</v>
      </c>
      <c r="BI122" s="1" t="s">
        <v>71</v>
      </c>
      <c r="BJ122" s="1" t="s">
        <v>71</v>
      </c>
      <c r="BK122" s="1" t="s">
        <v>71</v>
      </c>
      <c r="BL122" s="1" t="s">
        <v>71</v>
      </c>
      <c r="BM122" s="1" t="s">
        <v>71</v>
      </c>
      <c r="BN122" s="1">
        <v>0.02</v>
      </c>
      <c r="BO122" s="1" t="s">
        <v>71</v>
      </c>
      <c r="BP122" s="1">
        <v>10</v>
      </c>
      <c r="BQ122" s="1" t="s">
        <v>71</v>
      </c>
      <c r="BR122" s="1" t="s">
        <v>71</v>
      </c>
      <c r="BS122" s="1" t="s">
        <v>71</v>
      </c>
      <c r="BT122" s="1" t="s">
        <v>71</v>
      </c>
      <c r="BU122" s="1" t="s">
        <v>71</v>
      </c>
      <c r="BV122" s="1" t="s">
        <v>71</v>
      </c>
      <c r="BW122" s="1" t="s">
        <v>71</v>
      </c>
      <c r="BX122" s="1" t="s">
        <v>71</v>
      </c>
      <c r="BY122" s="1" t="s">
        <v>71</v>
      </c>
      <c r="BZ122" s="3" t="s">
        <v>71</v>
      </c>
      <c r="CA122" s="3" t="s">
        <v>71</v>
      </c>
      <c r="CB122" s="3" t="s">
        <v>71</v>
      </c>
      <c r="CC122" s="3" t="s">
        <v>71</v>
      </c>
      <c r="CD122" s="1" t="s">
        <v>71</v>
      </c>
      <c r="CE122" s="1" t="s">
        <v>71</v>
      </c>
      <c r="CF122" s="1" t="s">
        <v>71</v>
      </c>
      <c r="CG122" s="1" t="s">
        <v>71</v>
      </c>
      <c r="CH122" s="1" t="s">
        <v>71</v>
      </c>
      <c r="CI122" s="1" t="s">
        <v>71</v>
      </c>
      <c r="CJ122" s="1" t="s">
        <v>71</v>
      </c>
      <c r="CK122" s="1" t="s">
        <v>71</v>
      </c>
      <c r="CL122" s="3" t="s">
        <v>71</v>
      </c>
      <c r="CM122" s="3" t="s">
        <v>71</v>
      </c>
      <c r="CN122" s="3" t="s">
        <v>71</v>
      </c>
      <c r="CO122" s="1">
        <v>0</v>
      </c>
      <c r="CP122" s="1" t="s">
        <v>71</v>
      </c>
      <c r="CQ122" s="1">
        <v>65</v>
      </c>
      <c r="CR122" s="1">
        <v>216</v>
      </c>
      <c r="CS122" s="1">
        <v>23</v>
      </c>
      <c r="CT122" s="1" t="s">
        <v>71</v>
      </c>
      <c r="CU122" s="1">
        <v>10.4</v>
      </c>
      <c r="CV122" s="1" t="s">
        <v>71</v>
      </c>
      <c r="CW122" s="1" t="s">
        <v>71</v>
      </c>
      <c r="CX122" t="s">
        <v>71</v>
      </c>
      <c r="CY122" s="1" t="s">
        <v>71</v>
      </c>
      <c r="CZ122" t="s">
        <v>71</v>
      </c>
      <c r="DA122" t="s">
        <v>71</v>
      </c>
      <c r="DB122" t="s">
        <v>71</v>
      </c>
      <c r="DC122" s="1" t="s">
        <v>71</v>
      </c>
      <c r="DD122">
        <f t="shared" si="25"/>
        <v>0</v>
      </c>
      <c r="DE122" t="s">
        <v>71</v>
      </c>
      <c r="DF122" s="26" t="s">
        <v>71</v>
      </c>
    </row>
    <row r="123" spans="1:110" x14ac:dyDescent="0.15">
      <c r="A123" s="1">
        <v>2022</v>
      </c>
      <c r="B123" s="1" t="s">
        <v>49</v>
      </c>
      <c r="C123" s="1">
        <v>7</v>
      </c>
      <c r="D123" s="1">
        <v>1</v>
      </c>
      <c r="E123" s="1" t="s">
        <v>50</v>
      </c>
      <c r="F123" s="1"/>
      <c r="G123" s="1" t="s">
        <v>56</v>
      </c>
      <c r="H123" s="1">
        <v>3</v>
      </c>
      <c r="I123" s="23" t="s">
        <v>50</v>
      </c>
      <c r="J123" s="1" t="s">
        <v>57</v>
      </c>
      <c r="K123" s="1" t="s">
        <v>57</v>
      </c>
      <c r="L123" s="1" t="s">
        <v>71</v>
      </c>
      <c r="M123" s="1" t="s">
        <v>71</v>
      </c>
      <c r="N123" s="24">
        <v>44708</v>
      </c>
      <c r="O123" s="24">
        <v>44721</v>
      </c>
      <c r="P123" s="1" t="s">
        <v>71</v>
      </c>
      <c r="Q123" s="1" t="s">
        <v>71</v>
      </c>
      <c r="R123" s="1" t="s">
        <v>71</v>
      </c>
      <c r="S123" s="1" t="s">
        <v>71</v>
      </c>
      <c r="T123" s="1" t="s">
        <v>71</v>
      </c>
      <c r="U123" s="1" t="s">
        <v>71</v>
      </c>
      <c r="V123" s="1" t="s">
        <v>71</v>
      </c>
      <c r="W123" s="1" t="s">
        <v>71</v>
      </c>
      <c r="X123" s="1" t="s">
        <v>71</v>
      </c>
      <c r="Y123" s="1">
        <v>0</v>
      </c>
      <c r="Z123" s="1" t="s">
        <v>71</v>
      </c>
      <c r="AA123" s="1" t="s">
        <v>71</v>
      </c>
      <c r="AB123" s="1" t="s">
        <v>71</v>
      </c>
      <c r="AC123" s="1" t="s">
        <v>71</v>
      </c>
      <c r="AD123" s="25">
        <v>40</v>
      </c>
      <c r="AE123" s="25" t="s">
        <v>71</v>
      </c>
      <c r="AF123" s="25">
        <v>105</v>
      </c>
      <c r="AG123" s="25" t="s">
        <v>71</v>
      </c>
      <c r="AH123" s="1">
        <v>105</v>
      </c>
      <c r="AI123" s="1" t="s">
        <v>71</v>
      </c>
      <c r="AJ123" s="1">
        <v>0.7</v>
      </c>
      <c r="AK123" s="1">
        <v>0</v>
      </c>
      <c r="AL123" s="1">
        <v>0</v>
      </c>
      <c r="AM123" s="1">
        <v>0</v>
      </c>
      <c r="AN123" s="1">
        <v>0.01</v>
      </c>
      <c r="AO123" s="1">
        <v>0.01</v>
      </c>
      <c r="AP123" s="1">
        <v>1E-4</v>
      </c>
      <c r="AQ123" s="1">
        <v>5</v>
      </c>
      <c r="AR123" s="1">
        <v>0</v>
      </c>
      <c r="AS123" s="1">
        <v>0</v>
      </c>
      <c r="AT123" s="1">
        <v>0</v>
      </c>
      <c r="AU123" s="1" t="s">
        <v>71</v>
      </c>
      <c r="AV123" s="1" t="s">
        <v>71</v>
      </c>
      <c r="AW123" s="1" t="s">
        <v>71</v>
      </c>
      <c r="AX123" s="1">
        <v>0</v>
      </c>
      <c r="AY123" s="1">
        <v>0</v>
      </c>
      <c r="AZ123" s="1" t="s">
        <v>71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 t="s">
        <v>71</v>
      </c>
      <c r="BI123" s="1" t="s">
        <v>71</v>
      </c>
      <c r="BJ123" s="1" t="s">
        <v>71</v>
      </c>
      <c r="BK123" s="1">
        <v>2.0000000000000004E-4</v>
      </c>
      <c r="BL123" s="1">
        <f t="shared" si="23"/>
        <v>2.0000000000000004E-2</v>
      </c>
      <c r="BM123" s="1">
        <v>0.2</v>
      </c>
      <c r="BN123" s="1" t="s">
        <v>71</v>
      </c>
      <c r="BO123" s="1">
        <v>1</v>
      </c>
      <c r="BP123" s="1">
        <v>0</v>
      </c>
      <c r="BQ123" s="1" t="s">
        <v>71</v>
      </c>
      <c r="BR123" s="1" t="s">
        <v>71</v>
      </c>
      <c r="BS123" s="1" t="s">
        <v>71</v>
      </c>
      <c r="BT123" s="1" t="s">
        <v>71</v>
      </c>
      <c r="BU123" s="1" t="s">
        <v>71</v>
      </c>
      <c r="BV123" s="1" t="s">
        <v>71</v>
      </c>
      <c r="BW123" s="1" t="s">
        <v>71</v>
      </c>
      <c r="BX123" s="1" t="s">
        <v>71</v>
      </c>
      <c r="BY123" s="1" t="s">
        <v>71</v>
      </c>
      <c r="BZ123" s="3">
        <v>4.0999999999999996</v>
      </c>
      <c r="CA123" s="3" t="s">
        <v>71</v>
      </c>
      <c r="CB123" s="3">
        <f t="shared" si="24"/>
        <v>5.6944444444444446</v>
      </c>
      <c r="CC123" s="1" t="s">
        <v>71</v>
      </c>
      <c r="CD123" s="1">
        <v>1</v>
      </c>
      <c r="CE123" s="1">
        <v>1</v>
      </c>
      <c r="CF123" s="1">
        <f>CE123</f>
        <v>1</v>
      </c>
      <c r="CG123" s="3" t="s">
        <v>71</v>
      </c>
      <c r="CH123" s="3" t="s">
        <v>71</v>
      </c>
      <c r="CI123" s="3" t="s">
        <v>71</v>
      </c>
      <c r="CJ123" s="3" t="s">
        <v>71</v>
      </c>
      <c r="CK123" s="3" t="s">
        <v>71</v>
      </c>
      <c r="CL123" s="3" t="s">
        <v>71</v>
      </c>
      <c r="CM123" s="3" t="s">
        <v>71</v>
      </c>
      <c r="CN123" s="3" t="s">
        <v>71</v>
      </c>
      <c r="CO123" s="1">
        <v>47</v>
      </c>
      <c r="CP123" s="1" t="s">
        <v>71</v>
      </c>
      <c r="CQ123" s="1">
        <v>39</v>
      </c>
      <c r="CR123" s="1" t="s">
        <v>71</v>
      </c>
      <c r="CS123" s="1" t="s">
        <v>71</v>
      </c>
      <c r="CT123" s="1">
        <v>10.199999999999999</v>
      </c>
      <c r="CU123" s="1" t="s">
        <v>71</v>
      </c>
      <c r="CV123" s="1" t="s">
        <v>71</v>
      </c>
      <c r="CW123" s="1" t="s">
        <v>71</v>
      </c>
      <c r="CX123" s="1" t="s">
        <v>71</v>
      </c>
      <c r="CY123" s="1">
        <v>10.4</v>
      </c>
      <c r="CZ123" s="1" t="s">
        <v>71</v>
      </c>
      <c r="DA123">
        <f t="shared" ref="DA123:DA128" si="43">ROUND((CY123*CB123*10),0)</f>
        <v>592</v>
      </c>
      <c r="DB123" s="1" t="s">
        <v>71</v>
      </c>
      <c r="DC123" s="1">
        <v>10.4</v>
      </c>
      <c r="DD123">
        <f t="shared" si="25"/>
        <v>592</v>
      </c>
      <c r="DE123" s="1" t="s">
        <v>71</v>
      </c>
      <c r="DF123" s="1" t="s">
        <v>71</v>
      </c>
    </row>
    <row r="124" spans="1:110" x14ac:dyDescent="0.15">
      <c r="A124" s="1">
        <v>2022</v>
      </c>
      <c r="B124" s="1" t="s">
        <v>49</v>
      </c>
      <c r="C124" s="1">
        <v>7</v>
      </c>
      <c r="D124" s="1">
        <v>2</v>
      </c>
      <c r="E124" s="1" t="s">
        <v>51</v>
      </c>
      <c r="F124" s="1"/>
      <c r="G124" s="1" t="s">
        <v>56</v>
      </c>
      <c r="H124" s="1">
        <v>3</v>
      </c>
      <c r="I124" s="23" t="s">
        <v>51</v>
      </c>
      <c r="J124" s="1" t="s">
        <v>57</v>
      </c>
      <c r="K124" s="24">
        <v>44690</v>
      </c>
      <c r="L124" s="1" t="s">
        <v>71</v>
      </c>
      <c r="M124" s="1" t="s">
        <v>71</v>
      </c>
      <c r="N124" s="24">
        <v>44709</v>
      </c>
      <c r="O124" s="24">
        <v>44721</v>
      </c>
      <c r="P124" s="1" t="s">
        <v>71</v>
      </c>
      <c r="Q124" s="1" t="s">
        <v>71</v>
      </c>
      <c r="R124" s="1" t="s">
        <v>71</v>
      </c>
      <c r="S124" s="1" t="s">
        <v>71</v>
      </c>
      <c r="T124" s="1" t="s">
        <v>71</v>
      </c>
      <c r="U124" s="1" t="s">
        <v>71</v>
      </c>
      <c r="V124" s="1" t="s">
        <v>71</v>
      </c>
      <c r="W124" s="1" t="s">
        <v>71</v>
      </c>
      <c r="X124" s="1" t="s">
        <v>71</v>
      </c>
      <c r="Y124" s="1">
        <v>0</v>
      </c>
      <c r="Z124" s="1" t="s">
        <v>71</v>
      </c>
      <c r="AA124" s="1" t="s">
        <v>71</v>
      </c>
      <c r="AB124" s="1" t="s">
        <v>71</v>
      </c>
      <c r="AC124" s="1" t="s">
        <v>71</v>
      </c>
      <c r="AD124" s="25">
        <v>39</v>
      </c>
      <c r="AE124" s="25" t="s">
        <v>71</v>
      </c>
      <c r="AF124" s="25">
        <v>96</v>
      </c>
      <c r="AG124" s="25" t="s">
        <v>71</v>
      </c>
      <c r="AH124" s="1">
        <v>98</v>
      </c>
      <c r="AI124" s="1" t="s">
        <v>71</v>
      </c>
      <c r="AJ124" s="1">
        <v>1</v>
      </c>
      <c r="AK124" s="1">
        <v>0</v>
      </c>
      <c r="AL124" s="1">
        <v>0</v>
      </c>
      <c r="AM124" s="1">
        <v>0</v>
      </c>
      <c r="AN124" s="1">
        <v>0.02</v>
      </c>
      <c r="AO124" s="1">
        <v>0.05</v>
      </c>
      <c r="AP124" s="1">
        <v>1E-3</v>
      </c>
      <c r="AQ124" s="1">
        <v>4</v>
      </c>
      <c r="AR124" s="1">
        <v>0</v>
      </c>
      <c r="AS124" s="1">
        <v>0</v>
      </c>
      <c r="AT124" s="1">
        <v>0</v>
      </c>
      <c r="AU124" s="1" t="s">
        <v>71</v>
      </c>
      <c r="AV124" s="1" t="s">
        <v>71</v>
      </c>
      <c r="AW124" s="1" t="s">
        <v>71</v>
      </c>
      <c r="AX124" s="1">
        <v>0</v>
      </c>
      <c r="AY124" s="1">
        <v>0</v>
      </c>
      <c r="AZ124" s="1" t="s">
        <v>71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 t="s">
        <v>71</v>
      </c>
      <c r="BI124" s="1" t="s">
        <v>71</v>
      </c>
      <c r="BJ124" s="1" t="s">
        <v>71</v>
      </c>
      <c r="BK124" s="1">
        <v>1.0000000000000002E-4</v>
      </c>
      <c r="BL124" s="1">
        <f t="shared" si="23"/>
        <v>1.0000000000000002E-2</v>
      </c>
      <c r="BM124" s="1">
        <v>0.1</v>
      </c>
      <c r="BN124" s="1" t="s">
        <v>71</v>
      </c>
      <c r="BO124" s="1">
        <v>1</v>
      </c>
      <c r="BP124" s="1">
        <v>0</v>
      </c>
      <c r="BQ124" s="1" t="s">
        <v>71</v>
      </c>
      <c r="BR124" s="1" t="s">
        <v>71</v>
      </c>
      <c r="BS124" s="1" t="s">
        <v>71</v>
      </c>
      <c r="BT124" s="1" t="s">
        <v>71</v>
      </c>
      <c r="BU124" s="1" t="s">
        <v>71</v>
      </c>
      <c r="BV124" s="1" t="s">
        <v>71</v>
      </c>
      <c r="BW124" s="1" t="s">
        <v>71</v>
      </c>
      <c r="BX124" s="1" t="s">
        <v>71</v>
      </c>
      <c r="BY124" s="1" t="s">
        <v>71</v>
      </c>
      <c r="BZ124" s="3">
        <v>3.6</v>
      </c>
      <c r="CA124" s="3" t="s">
        <v>71</v>
      </c>
      <c r="CB124" s="3">
        <f t="shared" si="24"/>
        <v>5.0000000000000009</v>
      </c>
      <c r="CC124" s="1" t="s">
        <v>71</v>
      </c>
      <c r="CD124" s="1">
        <v>1</v>
      </c>
      <c r="CE124" s="1">
        <v>1</v>
      </c>
      <c r="CF124" s="1">
        <f t="shared" ref="CF124:CF137" si="44">CE124</f>
        <v>1</v>
      </c>
      <c r="CG124" s="3" t="s">
        <v>71</v>
      </c>
      <c r="CH124" s="3" t="s">
        <v>71</v>
      </c>
      <c r="CI124" s="3" t="s">
        <v>71</v>
      </c>
      <c r="CJ124" s="3" t="s">
        <v>71</v>
      </c>
      <c r="CK124" s="3" t="s">
        <v>71</v>
      </c>
      <c r="CL124" s="3" t="s">
        <v>71</v>
      </c>
      <c r="CM124" s="3" t="s">
        <v>71</v>
      </c>
      <c r="CN124" s="3" t="s">
        <v>71</v>
      </c>
      <c r="CO124" s="1">
        <v>44</v>
      </c>
      <c r="CP124" s="1" t="s">
        <v>71</v>
      </c>
      <c r="CQ124" s="1">
        <v>28</v>
      </c>
      <c r="CR124" s="1" t="s">
        <v>71</v>
      </c>
      <c r="CS124" s="1" t="s">
        <v>71</v>
      </c>
      <c r="CT124" s="1">
        <v>10.1</v>
      </c>
      <c r="CU124" s="1" t="s">
        <v>71</v>
      </c>
      <c r="CV124" s="1" t="s">
        <v>71</v>
      </c>
      <c r="CW124" s="1" t="s">
        <v>71</v>
      </c>
      <c r="CX124" s="1" t="s">
        <v>71</v>
      </c>
      <c r="CY124" s="1">
        <v>9.6999999999999993</v>
      </c>
      <c r="CZ124" s="1" t="s">
        <v>71</v>
      </c>
      <c r="DA124">
        <f t="shared" si="43"/>
        <v>485</v>
      </c>
      <c r="DB124" s="1" t="s">
        <v>71</v>
      </c>
      <c r="DC124" s="1">
        <v>9.6999999999999993</v>
      </c>
      <c r="DD124">
        <f t="shared" si="25"/>
        <v>485</v>
      </c>
      <c r="DE124" s="1" t="s">
        <v>71</v>
      </c>
      <c r="DF124" s="1" t="s">
        <v>71</v>
      </c>
    </row>
    <row r="125" spans="1:110" x14ac:dyDescent="0.15">
      <c r="A125" s="1">
        <v>2022</v>
      </c>
      <c r="B125" s="1" t="s">
        <v>49</v>
      </c>
      <c r="C125" s="1">
        <v>7</v>
      </c>
      <c r="D125" s="1">
        <v>3</v>
      </c>
      <c r="E125" s="1" t="s">
        <v>52</v>
      </c>
      <c r="F125" s="1"/>
      <c r="G125" s="1" t="s">
        <v>56</v>
      </c>
      <c r="H125" s="1">
        <v>3</v>
      </c>
      <c r="I125" s="23" t="s">
        <v>52</v>
      </c>
      <c r="J125" s="1" t="s">
        <v>57</v>
      </c>
      <c r="K125" s="1" t="s">
        <v>57</v>
      </c>
      <c r="L125" s="1" t="s">
        <v>71</v>
      </c>
      <c r="M125" s="1" t="s">
        <v>71</v>
      </c>
      <c r="N125" s="24">
        <v>44713</v>
      </c>
      <c r="O125" s="24">
        <v>44727</v>
      </c>
      <c r="P125" s="1" t="s">
        <v>71</v>
      </c>
      <c r="Q125" s="1" t="s">
        <v>71</v>
      </c>
      <c r="R125" s="1" t="s">
        <v>71</v>
      </c>
      <c r="S125" s="1" t="s">
        <v>71</v>
      </c>
      <c r="T125" s="1" t="s">
        <v>71</v>
      </c>
      <c r="U125" s="1" t="s">
        <v>71</v>
      </c>
      <c r="V125" s="1" t="s">
        <v>71</v>
      </c>
      <c r="W125" s="1" t="s">
        <v>71</v>
      </c>
      <c r="X125" s="1" t="s">
        <v>71</v>
      </c>
      <c r="Y125" s="1">
        <v>0</v>
      </c>
      <c r="Z125" s="1" t="s">
        <v>71</v>
      </c>
      <c r="AA125" s="1" t="s">
        <v>71</v>
      </c>
      <c r="AB125" s="1" t="s">
        <v>71</v>
      </c>
      <c r="AC125" s="1" t="s">
        <v>71</v>
      </c>
      <c r="AD125" s="25">
        <v>44</v>
      </c>
      <c r="AE125" s="25" t="s">
        <v>71</v>
      </c>
      <c r="AF125" s="25">
        <v>70</v>
      </c>
      <c r="AG125" s="25" t="s">
        <v>71</v>
      </c>
      <c r="AH125" s="1">
        <v>76</v>
      </c>
      <c r="AI125" s="1" t="s">
        <v>71</v>
      </c>
      <c r="AJ125" s="1">
        <v>1</v>
      </c>
      <c r="AK125" s="1">
        <v>0</v>
      </c>
      <c r="AL125" s="1">
        <v>0</v>
      </c>
      <c r="AM125" s="1">
        <v>0</v>
      </c>
      <c r="AN125" s="1" t="s">
        <v>71</v>
      </c>
      <c r="AO125" s="1" t="s">
        <v>71</v>
      </c>
      <c r="AP125" s="1" t="s">
        <v>71</v>
      </c>
      <c r="AQ125" s="1">
        <v>29</v>
      </c>
      <c r="AR125" s="1">
        <v>0</v>
      </c>
      <c r="AS125" s="1">
        <v>0</v>
      </c>
      <c r="AT125" s="1">
        <v>0</v>
      </c>
      <c r="AU125" s="1" t="s">
        <v>71</v>
      </c>
      <c r="AV125" s="1" t="s">
        <v>71</v>
      </c>
      <c r="AW125" s="1" t="s">
        <v>71</v>
      </c>
      <c r="AX125" s="1">
        <v>0</v>
      </c>
      <c r="AY125" s="1">
        <v>0</v>
      </c>
      <c r="AZ125" s="1" t="s">
        <v>71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 t="s">
        <v>71</v>
      </c>
      <c r="BI125" s="1" t="s">
        <v>71</v>
      </c>
      <c r="BJ125" s="1" t="s">
        <v>71</v>
      </c>
      <c r="BK125" s="1">
        <v>1.0000000000000002E-4</v>
      </c>
      <c r="BL125" s="1">
        <f t="shared" si="23"/>
        <v>1.0000000000000002E-2</v>
      </c>
      <c r="BM125" s="1">
        <v>0.1</v>
      </c>
      <c r="BN125" s="1" t="s">
        <v>71</v>
      </c>
      <c r="BO125" s="1">
        <v>2</v>
      </c>
      <c r="BP125" s="1">
        <v>0</v>
      </c>
      <c r="BQ125" s="1" t="s">
        <v>71</v>
      </c>
      <c r="BR125" s="1" t="s">
        <v>71</v>
      </c>
      <c r="BS125" s="1" t="s">
        <v>71</v>
      </c>
      <c r="BT125" s="1" t="s">
        <v>71</v>
      </c>
      <c r="BU125" s="1" t="s">
        <v>71</v>
      </c>
      <c r="BV125" s="1" t="s">
        <v>71</v>
      </c>
      <c r="BW125" s="1" t="s">
        <v>71</v>
      </c>
      <c r="BX125" s="1" t="s">
        <v>71</v>
      </c>
      <c r="BY125" s="1" t="s">
        <v>71</v>
      </c>
      <c r="BZ125" s="3">
        <v>2.8</v>
      </c>
      <c r="CA125" s="3" t="s">
        <v>71</v>
      </c>
      <c r="CB125" s="3">
        <f t="shared" si="24"/>
        <v>3.8888888888888888</v>
      </c>
      <c r="CC125" s="1" t="s">
        <v>71</v>
      </c>
      <c r="CD125" s="1">
        <v>1</v>
      </c>
      <c r="CE125" s="1">
        <v>1</v>
      </c>
      <c r="CF125" s="1">
        <f t="shared" si="44"/>
        <v>1</v>
      </c>
      <c r="CG125" s="3" t="s">
        <v>71</v>
      </c>
      <c r="CH125" s="3" t="s">
        <v>71</v>
      </c>
      <c r="CI125" s="3" t="s">
        <v>71</v>
      </c>
      <c r="CJ125" s="3" t="s">
        <v>71</v>
      </c>
      <c r="CK125" s="3" t="s">
        <v>71</v>
      </c>
      <c r="CL125" s="3" t="s">
        <v>71</v>
      </c>
      <c r="CM125" s="3" t="s">
        <v>71</v>
      </c>
      <c r="CN125" s="3" t="s">
        <v>71</v>
      </c>
      <c r="CO125" s="1">
        <v>45</v>
      </c>
      <c r="CP125" s="1" t="s">
        <v>71</v>
      </c>
      <c r="CQ125" s="1">
        <v>32</v>
      </c>
      <c r="CR125" s="1" t="s">
        <v>71</v>
      </c>
      <c r="CS125" s="1" t="s">
        <v>71</v>
      </c>
      <c r="CT125" s="1">
        <v>10.199999999999999</v>
      </c>
      <c r="CU125" s="1" t="s">
        <v>71</v>
      </c>
      <c r="CV125" s="1" t="s">
        <v>71</v>
      </c>
      <c r="CW125" s="1" t="s">
        <v>71</v>
      </c>
      <c r="CX125" s="1" t="s">
        <v>71</v>
      </c>
      <c r="CY125" s="1">
        <v>10.6</v>
      </c>
      <c r="CZ125" s="1" t="s">
        <v>71</v>
      </c>
      <c r="DA125">
        <f t="shared" si="43"/>
        <v>412</v>
      </c>
      <c r="DB125" s="1" t="s">
        <v>71</v>
      </c>
      <c r="DC125" s="1">
        <v>10.6</v>
      </c>
      <c r="DD125">
        <f t="shared" si="25"/>
        <v>412</v>
      </c>
      <c r="DE125" s="1" t="s">
        <v>71</v>
      </c>
      <c r="DF125" s="1" t="s">
        <v>71</v>
      </c>
    </row>
    <row r="126" spans="1:110" x14ac:dyDescent="0.15">
      <c r="A126" s="1">
        <v>2022</v>
      </c>
      <c r="B126" s="1" t="s">
        <v>49</v>
      </c>
      <c r="C126" s="1">
        <v>7</v>
      </c>
      <c r="D126" s="1">
        <v>4</v>
      </c>
      <c r="E126" s="1" t="s">
        <v>50</v>
      </c>
      <c r="F126" s="1"/>
      <c r="G126" s="1" t="s">
        <v>56</v>
      </c>
      <c r="H126" s="1">
        <v>3</v>
      </c>
      <c r="I126" s="23" t="s">
        <v>50</v>
      </c>
      <c r="J126" s="1" t="s">
        <v>58</v>
      </c>
      <c r="K126" s="24">
        <v>44690</v>
      </c>
      <c r="L126" s="1" t="s">
        <v>71</v>
      </c>
      <c r="M126" s="1" t="s">
        <v>71</v>
      </c>
      <c r="N126" s="24">
        <v>44705</v>
      </c>
      <c r="O126" s="24">
        <v>44721</v>
      </c>
      <c r="P126" s="1" t="s">
        <v>71</v>
      </c>
      <c r="Q126" s="1" t="s">
        <v>71</v>
      </c>
      <c r="R126" s="1" t="s">
        <v>71</v>
      </c>
      <c r="S126" s="1" t="s">
        <v>71</v>
      </c>
      <c r="T126" s="1" t="s">
        <v>71</v>
      </c>
      <c r="U126" s="1" t="s">
        <v>71</v>
      </c>
      <c r="V126" s="1" t="s">
        <v>71</v>
      </c>
      <c r="W126" s="1" t="s">
        <v>71</v>
      </c>
      <c r="X126" s="1" t="s">
        <v>71</v>
      </c>
      <c r="Y126" s="1">
        <v>0</v>
      </c>
      <c r="Z126" s="1" t="s">
        <v>71</v>
      </c>
      <c r="AA126" s="1" t="s">
        <v>71</v>
      </c>
      <c r="AB126" s="1" t="s">
        <v>71</v>
      </c>
      <c r="AC126" s="1" t="s">
        <v>71</v>
      </c>
      <c r="AD126" s="25">
        <v>55</v>
      </c>
      <c r="AE126" s="25" t="s">
        <v>71</v>
      </c>
      <c r="AF126" s="25">
        <v>120</v>
      </c>
      <c r="AG126" s="25" t="s">
        <v>71</v>
      </c>
      <c r="AH126" s="1">
        <v>123</v>
      </c>
      <c r="AI126" s="1" t="s">
        <v>71</v>
      </c>
      <c r="AJ126" s="1">
        <v>2</v>
      </c>
      <c r="AK126" s="1">
        <v>0</v>
      </c>
      <c r="AL126" s="1">
        <v>0</v>
      </c>
      <c r="AM126" s="1">
        <v>0</v>
      </c>
      <c r="AN126" s="1" t="s">
        <v>71</v>
      </c>
      <c r="AO126" s="1" t="s">
        <v>71</v>
      </c>
      <c r="AP126" s="1" t="s">
        <v>71</v>
      </c>
      <c r="AQ126" s="1">
        <v>19</v>
      </c>
      <c r="AR126" s="1">
        <v>0</v>
      </c>
      <c r="AS126" s="1">
        <v>0</v>
      </c>
      <c r="AT126" s="1">
        <v>0</v>
      </c>
      <c r="AU126" s="1" t="s">
        <v>71</v>
      </c>
      <c r="AV126" s="1" t="s">
        <v>71</v>
      </c>
      <c r="AW126" s="1" t="s">
        <v>71</v>
      </c>
      <c r="AX126" s="1">
        <v>0</v>
      </c>
      <c r="AY126" s="1">
        <v>0</v>
      </c>
      <c r="AZ126" s="1" t="s">
        <v>71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 t="s">
        <v>71</v>
      </c>
      <c r="BI126" s="1" t="s">
        <v>71</v>
      </c>
      <c r="BJ126" s="1" t="s">
        <v>71</v>
      </c>
      <c r="BK126" s="1">
        <v>0</v>
      </c>
      <c r="BL126" s="1">
        <f t="shared" si="23"/>
        <v>0</v>
      </c>
      <c r="BM126" s="1">
        <v>0</v>
      </c>
      <c r="BN126" s="1" t="s">
        <v>71</v>
      </c>
      <c r="BO126" s="1">
        <v>1</v>
      </c>
      <c r="BP126" s="1">
        <v>0</v>
      </c>
      <c r="BQ126" s="1" t="s">
        <v>71</v>
      </c>
      <c r="BR126" s="1" t="s">
        <v>71</v>
      </c>
      <c r="BS126" s="1" t="s">
        <v>71</v>
      </c>
      <c r="BT126" s="1" t="s">
        <v>71</v>
      </c>
      <c r="BU126" s="1" t="s">
        <v>71</v>
      </c>
      <c r="BV126" s="1" t="s">
        <v>71</v>
      </c>
      <c r="BW126" s="1" t="s">
        <v>71</v>
      </c>
      <c r="BX126" s="1" t="s">
        <v>71</v>
      </c>
      <c r="BY126" s="1" t="s">
        <v>71</v>
      </c>
      <c r="BZ126" s="3">
        <v>3.4</v>
      </c>
      <c r="CA126" s="3" t="s">
        <v>71</v>
      </c>
      <c r="CB126" s="3">
        <f t="shared" si="24"/>
        <v>4.7222222222222223</v>
      </c>
      <c r="CC126" s="1" t="s">
        <v>71</v>
      </c>
      <c r="CD126" s="1">
        <v>1</v>
      </c>
      <c r="CE126" s="1">
        <v>1</v>
      </c>
      <c r="CF126" s="1">
        <f t="shared" si="44"/>
        <v>1</v>
      </c>
      <c r="CG126" s="3" t="s">
        <v>71</v>
      </c>
      <c r="CH126" s="3" t="s">
        <v>71</v>
      </c>
      <c r="CI126" s="3" t="s">
        <v>71</v>
      </c>
      <c r="CJ126" s="3" t="s">
        <v>71</v>
      </c>
      <c r="CK126" s="3" t="s">
        <v>71</v>
      </c>
      <c r="CL126" s="3" t="s">
        <v>71</v>
      </c>
      <c r="CM126" s="3" t="s">
        <v>71</v>
      </c>
      <c r="CN126" s="3" t="s">
        <v>71</v>
      </c>
      <c r="CO126" s="1">
        <v>46</v>
      </c>
      <c r="CP126" s="1" t="s">
        <v>71</v>
      </c>
      <c r="CQ126" s="1">
        <v>37</v>
      </c>
      <c r="CR126" s="1" t="s">
        <v>71</v>
      </c>
      <c r="CS126" s="1" t="s">
        <v>71</v>
      </c>
      <c r="CT126" s="1">
        <v>10.199999999999999</v>
      </c>
      <c r="CU126" s="1" t="s">
        <v>71</v>
      </c>
      <c r="CV126" s="1" t="s">
        <v>71</v>
      </c>
      <c r="CW126" s="1" t="s">
        <v>71</v>
      </c>
      <c r="CX126" s="1" t="s">
        <v>71</v>
      </c>
      <c r="CY126" s="1">
        <v>10.7</v>
      </c>
      <c r="CZ126" s="1" t="s">
        <v>71</v>
      </c>
      <c r="DA126">
        <f t="shared" si="43"/>
        <v>505</v>
      </c>
      <c r="DB126" s="1" t="s">
        <v>71</v>
      </c>
      <c r="DC126" s="1">
        <v>10.7</v>
      </c>
      <c r="DD126">
        <f t="shared" si="25"/>
        <v>505</v>
      </c>
      <c r="DE126" s="1" t="s">
        <v>71</v>
      </c>
      <c r="DF126" s="1" t="s">
        <v>71</v>
      </c>
    </row>
    <row r="127" spans="1:110" x14ac:dyDescent="0.15">
      <c r="A127" s="1">
        <v>2022</v>
      </c>
      <c r="B127" s="1" t="s">
        <v>49</v>
      </c>
      <c r="C127" s="1">
        <v>7</v>
      </c>
      <c r="D127" s="1">
        <v>5</v>
      </c>
      <c r="E127" s="1" t="s">
        <v>51</v>
      </c>
      <c r="F127" s="1"/>
      <c r="G127" s="1" t="s">
        <v>56</v>
      </c>
      <c r="H127" s="1">
        <v>3</v>
      </c>
      <c r="I127" s="23" t="s">
        <v>51</v>
      </c>
      <c r="J127" s="1" t="s">
        <v>58</v>
      </c>
      <c r="K127" s="1" t="s">
        <v>57</v>
      </c>
      <c r="L127" s="1" t="s">
        <v>71</v>
      </c>
      <c r="M127" s="1" t="s">
        <v>71</v>
      </c>
      <c r="N127" s="24">
        <v>44710</v>
      </c>
      <c r="O127" s="24">
        <v>44726</v>
      </c>
      <c r="P127" s="1" t="s">
        <v>71</v>
      </c>
      <c r="Q127" s="1" t="s">
        <v>71</v>
      </c>
      <c r="R127" s="1" t="s">
        <v>71</v>
      </c>
      <c r="S127" s="1" t="s">
        <v>71</v>
      </c>
      <c r="T127" s="1" t="s">
        <v>71</v>
      </c>
      <c r="U127" s="1" t="s">
        <v>71</v>
      </c>
      <c r="V127" s="1" t="s">
        <v>71</v>
      </c>
      <c r="W127" s="1" t="s">
        <v>71</v>
      </c>
      <c r="X127" s="1" t="s">
        <v>71</v>
      </c>
      <c r="Y127" s="1">
        <v>0</v>
      </c>
      <c r="Z127" s="1" t="s">
        <v>71</v>
      </c>
      <c r="AA127" s="1" t="s">
        <v>71</v>
      </c>
      <c r="AB127" s="1" t="s">
        <v>71</v>
      </c>
      <c r="AC127" s="1" t="s">
        <v>71</v>
      </c>
      <c r="AD127" s="25">
        <v>46</v>
      </c>
      <c r="AE127" s="25" t="s">
        <v>71</v>
      </c>
      <c r="AF127" s="25">
        <v>92</v>
      </c>
      <c r="AG127" s="25" t="s">
        <v>71</v>
      </c>
      <c r="AH127" s="1">
        <v>104</v>
      </c>
      <c r="AI127" s="1" t="s">
        <v>71</v>
      </c>
      <c r="AJ127" s="1">
        <v>2.2999999999999998</v>
      </c>
      <c r="AK127" s="1">
        <v>0</v>
      </c>
      <c r="AL127" s="1">
        <v>0</v>
      </c>
      <c r="AM127" s="1">
        <v>0</v>
      </c>
      <c r="AN127" s="1">
        <v>0.03</v>
      </c>
      <c r="AO127" s="1">
        <v>0.05</v>
      </c>
      <c r="AP127" s="1">
        <v>1.5E-3</v>
      </c>
      <c r="AQ127" s="1">
        <v>3</v>
      </c>
      <c r="AR127" s="1">
        <v>0</v>
      </c>
      <c r="AS127" s="1">
        <v>0</v>
      </c>
      <c r="AT127" s="1">
        <v>0</v>
      </c>
      <c r="AU127" s="1" t="s">
        <v>71</v>
      </c>
      <c r="AV127" s="1" t="s">
        <v>71</v>
      </c>
      <c r="AW127" s="1" t="s">
        <v>71</v>
      </c>
      <c r="AX127" s="1">
        <v>0</v>
      </c>
      <c r="AY127" s="1">
        <v>0</v>
      </c>
      <c r="AZ127" s="1" t="s">
        <v>71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 t="s">
        <v>71</v>
      </c>
      <c r="BI127" s="1" t="s">
        <v>71</v>
      </c>
      <c r="BJ127" s="1" t="s">
        <v>71</v>
      </c>
      <c r="BK127" s="1">
        <v>1.7999999999999999E-2</v>
      </c>
      <c r="BL127" s="1">
        <f t="shared" si="23"/>
        <v>1.7999999999999998</v>
      </c>
      <c r="BM127" s="1">
        <v>1.2</v>
      </c>
      <c r="BN127" s="1">
        <v>0.15</v>
      </c>
      <c r="BO127" s="1">
        <v>1</v>
      </c>
      <c r="BP127" s="1">
        <v>10</v>
      </c>
      <c r="BQ127" s="1" t="s">
        <v>71</v>
      </c>
      <c r="BR127" s="1" t="s">
        <v>71</v>
      </c>
      <c r="BS127" s="1" t="s">
        <v>71</v>
      </c>
      <c r="BT127" s="1" t="s">
        <v>71</v>
      </c>
      <c r="BU127" s="1" t="s">
        <v>71</v>
      </c>
      <c r="BV127" s="1" t="s">
        <v>71</v>
      </c>
      <c r="BW127" s="1" t="s">
        <v>71</v>
      </c>
      <c r="BX127" s="1" t="s">
        <v>71</v>
      </c>
      <c r="BY127" s="1" t="s">
        <v>71</v>
      </c>
      <c r="BZ127" s="3">
        <v>3.7</v>
      </c>
      <c r="CA127" s="3" t="s">
        <v>71</v>
      </c>
      <c r="CB127" s="3">
        <f t="shared" si="24"/>
        <v>5.1388888888888893</v>
      </c>
      <c r="CC127" s="1" t="s">
        <v>71</v>
      </c>
      <c r="CD127" s="1">
        <v>1</v>
      </c>
      <c r="CE127" s="1">
        <v>1</v>
      </c>
      <c r="CF127" s="1">
        <f t="shared" si="44"/>
        <v>1</v>
      </c>
      <c r="CG127" s="3" t="s">
        <v>71</v>
      </c>
      <c r="CH127" s="3" t="s">
        <v>71</v>
      </c>
      <c r="CI127" s="3" t="s">
        <v>71</v>
      </c>
      <c r="CJ127" s="3" t="s">
        <v>71</v>
      </c>
      <c r="CK127" s="3" t="s">
        <v>71</v>
      </c>
      <c r="CL127" s="3" t="s">
        <v>71</v>
      </c>
      <c r="CM127" s="3" t="s">
        <v>71</v>
      </c>
      <c r="CN127" s="3" t="s">
        <v>71</v>
      </c>
      <c r="CO127" s="1">
        <v>44</v>
      </c>
      <c r="CP127" s="1" t="s">
        <v>71</v>
      </c>
      <c r="CQ127" s="1">
        <v>28</v>
      </c>
      <c r="CR127" s="1" t="s">
        <v>71</v>
      </c>
      <c r="CS127" s="1" t="s">
        <v>71</v>
      </c>
      <c r="CT127" s="1">
        <v>10.1</v>
      </c>
      <c r="CU127" s="1" t="s">
        <v>71</v>
      </c>
      <c r="CV127" s="1" t="s">
        <v>71</v>
      </c>
      <c r="CW127" s="1" t="s">
        <v>71</v>
      </c>
      <c r="CX127" s="1" t="s">
        <v>71</v>
      </c>
      <c r="CY127" s="1">
        <v>11.1</v>
      </c>
      <c r="CZ127" s="1" t="s">
        <v>71</v>
      </c>
      <c r="DA127">
        <f t="shared" si="43"/>
        <v>570</v>
      </c>
      <c r="DB127" s="1" t="s">
        <v>71</v>
      </c>
      <c r="DC127" s="1">
        <v>11.1</v>
      </c>
      <c r="DD127">
        <f t="shared" si="25"/>
        <v>570</v>
      </c>
      <c r="DE127" s="1" t="s">
        <v>71</v>
      </c>
      <c r="DF127" s="1" t="s">
        <v>71</v>
      </c>
    </row>
    <row r="128" spans="1:110" x14ac:dyDescent="0.15">
      <c r="A128" s="1">
        <v>2022</v>
      </c>
      <c r="B128" s="1" t="s">
        <v>49</v>
      </c>
      <c r="C128" s="1">
        <v>7</v>
      </c>
      <c r="D128" s="1">
        <v>6</v>
      </c>
      <c r="E128" s="1" t="s">
        <v>52</v>
      </c>
      <c r="F128" s="1"/>
      <c r="G128" s="1" t="s">
        <v>56</v>
      </c>
      <c r="H128" s="1">
        <v>3</v>
      </c>
      <c r="I128" s="23" t="s">
        <v>52</v>
      </c>
      <c r="J128" s="1" t="s">
        <v>58</v>
      </c>
      <c r="K128" s="24">
        <v>44690</v>
      </c>
      <c r="L128" s="1" t="s">
        <v>71</v>
      </c>
      <c r="M128" s="1" t="s">
        <v>71</v>
      </c>
      <c r="N128" s="24">
        <v>44712</v>
      </c>
      <c r="O128" s="24">
        <v>44726</v>
      </c>
      <c r="P128" s="1" t="s">
        <v>71</v>
      </c>
      <c r="Q128" s="1" t="s">
        <v>71</v>
      </c>
      <c r="R128" s="1" t="s">
        <v>71</v>
      </c>
      <c r="S128" s="1" t="s">
        <v>71</v>
      </c>
      <c r="T128" s="1" t="s">
        <v>71</v>
      </c>
      <c r="U128" s="1" t="s">
        <v>71</v>
      </c>
      <c r="V128" s="1" t="s">
        <v>71</v>
      </c>
      <c r="W128" s="1" t="s">
        <v>71</v>
      </c>
      <c r="X128" s="1" t="s">
        <v>71</v>
      </c>
      <c r="Y128" s="1">
        <v>0</v>
      </c>
      <c r="Z128" s="1" t="s">
        <v>71</v>
      </c>
      <c r="AA128" s="1" t="s">
        <v>71</v>
      </c>
      <c r="AB128" s="1" t="s">
        <v>71</v>
      </c>
      <c r="AC128" s="1" t="s">
        <v>71</v>
      </c>
      <c r="AD128" s="25">
        <v>46</v>
      </c>
      <c r="AE128" s="25" t="s">
        <v>71</v>
      </c>
      <c r="AF128" s="25">
        <v>78</v>
      </c>
      <c r="AG128" s="25" t="s">
        <v>71</v>
      </c>
      <c r="AH128" s="1">
        <v>80</v>
      </c>
      <c r="AI128" s="1" t="s">
        <v>71</v>
      </c>
      <c r="AJ128" s="1">
        <v>1.3</v>
      </c>
      <c r="AK128" s="1">
        <v>0</v>
      </c>
      <c r="AL128" s="1">
        <v>0</v>
      </c>
      <c r="AM128" s="1">
        <v>0</v>
      </c>
      <c r="AN128" s="1">
        <v>0.01</v>
      </c>
      <c r="AO128" s="1">
        <v>0.01</v>
      </c>
      <c r="AP128" s="1">
        <v>1E-4</v>
      </c>
      <c r="AQ128" s="1">
        <v>31</v>
      </c>
      <c r="AR128" s="1">
        <v>0</v>
      </c>
      <c r="AS128" s="1">
        <v>0</v>
      </c>
      <c r="AT128" s="1">
        <v>0</v>
      </c>
      <c r="AU128" s="1" t="s">
        <v>71</v>
      </c>
      <c r="AV128" s="1" t="s">
        <v>71</v>
      </c>
      <c r="AW128" s="1" t="s">
        <v>71</v>
      </c>
      <c r="AX128" s="1">
        <v>0</v>
      </c>
      <c r="AY128" s="1">
        <v>0</v>
      </c>
      <c r="AZ128" s="1" t="s">
        <v>71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 t="s">
        <v>71</v>
      </c>
      <c r="BI128" s="1" t="s">
        <v>71</v>
      </c>
      <c r="BJ128" s="1" t="s">
        <v>71</v>
      </c>
      <c r="BK128" s="1">
        <v>0</v>
      </c>
      <c r="BL128" s="1">
        <f t="shared" si="23"/>
        <v>0</v>
      </c>
      <c r="BM128" s="1">
        <v>0</v>
      </c>
      <c r="BN128" s="1" t="s">
        <v>71</v>
      </c>
      <c r="BO128" s="1">
        <v>1</v>
      </c>
      <c r="BP128" s="1">
        <v>5</v>
      </c>
      <c r="BQ128" s="1" t="s">
        <v>71</v>
      </c>
      <c r="BR128" s="1" t="s">
        <v>71</v>
      </c>
      <c r="BS128" s="1" t="s">
        <v>71</v>
      </c>
      <c r="BT128" s="1" t="s">
        <v>71</v>
      </c>
      <c r="BU128" s="1" t="s">
        <v>71</v>
      </c>
      <c r="BV128" s="1" t="s">
        <v>71</v>
      </c>
      <c r="BW128" s="1" t="s">
        <v>71</v>
      </c>
      <c r="BX128" s="1" t="s">
        <v>71</v>
      </c>
      <c r="BY128" s="1" t="s">
        <v>71</v>
      </c>
      <c r="BZ128" s="3">
        <v>3.8</v>
      </c>
      <c r="CA128" s="3" t="s">
        <v>71</v>
      </c>
      <c r="CB128" s="3">
        <f t="shared" si="24"/>
        <v>5.2777777777777777</v>
      </c>
      <c r="CC128" s="1" t="s">
        <v>71</v>
      </c>
      <c r="CD128" s="1">
        <v>1</v>
      </c>
      <c r="CE128" s="1">
        <v>1</v>
      </c>
      <c r="CF128" s="1">
        <f t="shared" si="44"/>
        <v>1</v>
      </c>
      <c r="CG128" s="3" t="s">
        <v>71</v>
      </c>
      <c r="CH128" s="3" t="s">
        <v>71</v>
      </c>
      <c r="CI128" s="3" t="s">
        <v>71</v>
      </c>
      <c r="CJ128" s="3" t="s">
        <v>71</v>
      </c>
      <c r="CK128" s="3" t="s">
        <v>71</v>
      </c>
      <c r="CL128" s="3" t="s">
        <v>71</v>
      </c>
      <c r="CM128" s="3" t="s">
        <v>71</v>
      </c>
      <c r="CN128" s="3" t="s">
        <v>71</v>
      </c>
      <c r="CO128" s="1">
        <v>43</v>
      </c>
      <c r="CP128" s="1" t="s">
        <v>71</v>
      </c>
      <c r="CQ128" s="1">
        <v>30</v>
      </c>
      <c r="CR128" s="1" t="s">
        <v>71</v>
      </c>
      <c r="CS128" s="1" t="s">
        <v>71</v>
      </c>
      <c r="CT128" s="1">
        <v>10.4</v>
      </c>
      <c r="CU128" s="1" t="s">
        <v>71</v>
      </c>
      <c r="CV128" s="1" t="s">
        <v>71</v>
      </c>
      <c r="CW128" s="1" t="s">
        <v>71</v>
      </c>
      <c r="CX128" s="1" t="s">
        <v>71</v>
      </c>
      <c r="CY128" s="1">
        <v>10.9</v>
      </c>
      <c r="CZ128" s="1" t="s">
        <v>71</v>
      </c>
      <c r="DA128">
        <f t="shared" si="43"/>
        <v>575</v>
      </c>
      <c r="DB128" s="1" t="s">
        <v>71</v>
      </c>
      <c r="DC128" s="1">
        <v>10.9</v>
      </c>
      <c r="DD128">
        <f t="shared" si="25"/>
        <v>575</v>
      </c>
      <c r="DE128" s="1" t="s">
        <v>71</v>
      </c>
      <c r="DF128" s="1" t="s">
        <v>71</v>
      </c>
    </row>
    <row r="129" spans="1:110" x14ac:dyDescent="0.15">
      <c r="A129" s="1">
        <v>2022</v>
      </c>
      <c r="B129" s="1" t="s">
        <v>49</v>
      </c>
      <c r="C129" s="1">
        <v>7</v>
      </c>
      <c r="D129" s="1">
        <v>7</v>
      </c>
      <c r="E129" s="1"/>
      <c r="F129" s="1" t="s">
        <v>53</v>
      </c>
      <c r="G129" s="1" t="s">
        <v>56</v>
      </c>
      <c r="H129" s="1">
        <v>3</v>
      </c>
      <c r="I129" s="23" t="s">
        <v>53</v>
      </c>
      <c r="J129" s="1" t="s">
        <v>57</v>
      </c>
      <c r="K129" s="24">
        <v>44700</v>
      </c>
      <c r="L129" s="1" t="s">
        <v>71</v>
      </c>
      <c r="M129" s="1" t="s">
        <v>71</v>
      </c>
      <c r="N129" s="1" t="s">
        <v>71</v>
      </c>
      <c r="O129" s="1" t="s">
        <v>71</v>
      </c>
      <c r="P129" s="24">
        <v>44700</v>
      </c>
      <c r="Q129" s="1" t="s">
        <v>71</v>
      </c>
      <c r="R129" s="1" t="s">
        <v>71</v>
      </c>
      <c r="S129" s="1" t="s">
        <v>71</v>
      </c>
      <c r="T129" s="1" t="s">
        <v>71</v>
      </c>
      <c r="U129" s="1" t="s">
        <v>71</v>
      </c>
      <c r="V129" s="1" t="s">
        <v>71</v>
      </c>
      <c r="W129" s="1" t="s">
        <v>71</v>
      </c>
      <c r="X129" s="1">
        <v>0</v>
      </c>
      <c r="Y129" s="1" t="s">
        <v>71</v>
      </c>
      <c r="Z129" s="1" t="s">
        <v>71</v>
      </c>
      <c r="AA129" s="1" t="s">
        <v>71</v>
      </c>
      <c r="AB129" s="1" t="s">
        <v>71</v>
      </c>
      <c r="AC129" s="1" t="s">
        <v>71</v>
      </c>
      <c r="AD129" s="25" t="s">
        <v>71</v>
      </c>
      <c r="AE129" s="25">
        <v>29</v>
      </c>
      <c r="AF129" s="25" t="s">
        <v>71</v>
      </c>
      <c r="AG129" s="25">
        <v>67</v>
      </c>
      <c r="AH129" s="1" t="s">
        <v>71</v>
      </c>
      <c r="AI129" s="1">
        <v>62</v>
      </c>
      <c r="AJ129" s="1" t="s">
        <v>71</v>
      </c>
      <c r="AK129" s="1" t="s">
        <v>71</v>
      </c>
      <c r="AL129" s="1" t="s">
        <v>71</v>
      </c>
      <c r="AM129" s="1" t="s">
        <v>71</v>
      </c>
      <c r="AN129" s="1" t="s">
        <v>71</v>
      </c>
      <c r="AO129" s="1" t="s">
        <v>71</v>
      </c>
      <c r="AP129" s="1" t="s">
        <v>71</v>
      </c>
      <c r="AQ129" s="1" t="s">
        <v>71</v>
      </c>
      <c r="AR129" s="1" t="s">
        <v>71</v>
      </c>
      <c r="AS129" s="1" t="s">
        <v>71</v>
      </c>
      <c r="AT129" s="1" t="s">
        <v>71</v>
      </c>
      <c r="AU129" s="1">
        <v>0</v>
      </c>
      <c r="AV129" s="1">
        <v>0</v>
      </c>
      <c r="AW129" s="1">
        <v>0</v>
      </c>
      <c r="AX129" s="1" t="s">
        <v>71</v>
      </c>
      <c r="AY129" s="1" t="s">
        <v>71</v>
      </c>
      <c r="AZ129" s="1">
        <v>0</v>
      </c>
      <c r="BA129" s="1" t="s">
        <v>71</v>
      </c>
      <c r="BB129" s="1" t="s">
        <v>71</v>
      </c>
      <c r="BC129" s="1" t="s">
        <v>71</v>
      </c>
      <c r="BD129" s="1" t="s">
        <v>71</v>
      </c>
      <c r="BE129" s="1" t="s">
        <v>71</v>
      </c>
      <c r="BF129" s="1" t="s">
        <v>71</v>
      </c>
      <c r="BG129" s="1" t="s">
        <v>71</v>
      </c>
      <c r="BH129" s="1">
        <v>3</v>
      </c>
      <c r="BI129" s="1" t="s">
        <v>71</v>
      </c>
      <c r="BJ129" s="1" t="s">
        <v>71</v>
      </c>
      <c r="BK129" s="1">
        <v>2E-3</v>
      </c>
      <c r="BL129" s="1">
        <f t="shared" si="23"/>
        <v>0.2</v>
      </c>
      <c r="BM129" s="1">
        <v>1</v>
      </c>
      <c r="BN129" s="1">
        <v>0.5</v>
      </c>
      <c r="BO129" s="1">
        <v>1</v>
      </c>
      <c r="BP129" s="1">
        <v>8</v>
      </c>
      <c r="BQ129" s="1" t="s">
        <v>71</v>
      </c>
      <c r="BR129" s="1" t="s">
        <v>71</v>
      </c>
      <c r="BS129" s="1" t="s">
        <v>71</v>
      </c>
      <c r="BT129" s="1" t="s">
        <v>71</v>
      </c>
      <c r="BU129" s="1" t="s">
        <v>71</v>
      </c>
      <c r="BV129" s="1">
        <v>4.3</v>
      </c>
      <c r="BW129" s="1">
        <v>1.7</v>
      </c>
      <c r="BX129" s="1" t="s">
        <v>71</v>
      </c>
      <c r="BY129" s="1" t="s">
        <v>71</v>
      </c>
      <c r="BZ129" s="3" t="s">
        <v>71</v>
      </c>
      <c r="CA129" s="3">
        <v>2.2000000000000002</v>
      </c>
      <c r="CB129" s="1" t="s">
        <v>71</v>
      </c>
      <c r="CC129" s="3">
        <f t="shared" si="30"/>
        <v>3.0555555555555562</v>
      </c>
      <c r="CD129" s="1">
        <v>1</v>
      </c>
      <c r="CE129" s="1">
        <v>1</v>
      </c>
      <c r="CF129" s="1">
        <f t="shared" si="44"/>
        <v>1</v>
      </c>
      <c r="CG129" s="1" t="s">
        <v>71</v>
      </c>
      <c r="CH129" s="1" t="s">
        <v>71</v>
      </c>
      <c r="CI129" s="1" t="s">
        <v>71</v>
      </c>
      <c r="CJ129" s="1" t="s">
        <v>71</v>
      </c>
      <c r="CK129" s="3" t="s">
        <v>71</v>
      </c>
      <c r="CL129" s="3" t="s">
        <v>71</v>
      </c>
      <c r="CM129" s="3" t="s">
        <v>71</v>
      </c>
      <c r="CN129" s="3" t="s">
        <v>71</v>
      </c>
      <c r="CO129" s="1" t="s">
        <v>71</v>
      </c>
      <c r="CP129" s="1" t="s">
        <v>71</v>
      </c>
      <c r="CQ129" s="1" t="s">
        <v>71</v>
      </c>
      <c r="CR129" s="1">
        <v>167</v>
      </c>
      <c r="CS129" s="1">
        <v>32</v>
      </c>
      <c r="CT129" s="1" t="s">
        <v>71</v>
      </c>
      <c r="CU129" s="1">
        <v>10</v>
      </c>
      <c r="CV129" s="1" t="s">
        <v>71</v>
      </c>
      <c r="CW129" s="1" t="s">
        <v>71</v>
      </c>
      <c r="CX129" t="e">
        <f>ROUND(CV129*#REF!/10,1)</f>
        <v>#VALUE!</v>
      </c>
      <c r="CY129" s="1" t="s">
        <v>71</v>
      </c>
      <c r="CZ129">
        <f t="shared" ref="CZ129:CZ140" si="45">ROUND((10*CC129*CS129),0)</f>
        <v>978</v>
      </c>
      <c r="DA129" s="1" t="s">
        <v>71</v>
      </c>
      <c r="DB129" s="1" t="s">
        <v>71</v>
      </c>
      <c r="DC129" s="1" t="s">
        <v>71</v>
      </c>
      <c r="DD129">
        <f t="shared" si="25"/>
        <v>978</v>
      </c>
      <c r="DE129" s="1" t="s">
        <v>71</v>
      </c>
      <c r="DF129" s="1" t="s">
        <v>71</v>
      </c>
    </row>
    <row r="130" spans="1:110" x14ac:dyDescent="0.15">
      <c r="A130" s="1">
        <v>2022</v>
      </c>
      <c r="B130" s="1" t="s">
        <v>49</v>
      </c>
      <c r="C130" s="1">
        <v>7</v>
      </c>
      <c r="D130" s="1">
        <v>8</v>
      </c>
      <c r="E130" s="1"/>
      <c r="F130" s="1" t="s">
        <v>54</v>
      </c>
      <c r="G130" s="1" t="s">
        <v>56</v>
      </c>
      <c r="H130" s="1">
        <v>3</v>
      </c>
      <c r="I130" s="23" t="s">
        <v>54</v>
      </c>
      <c r="J130" s="1" t="s">
        <v>57</v>
      </c>
      <c r="K130" s="24">
        <v>44700</v>
      </c>
      <c r="L130" s="1" t="s">
        <v>71</v>
      </c>
      <c r="M130" s="1" t="s">
        <v>71</v>
      </c>
      <c r="N130" s="1" t="s">
        <v>71</v>
      </c>
      <c r="O130" s="1" t="s">
        <v>71</v>
      </c>
      <c r="P130" s="24">
        <v>44700</v>
      </c>
      <c r="Q130" s="1" t="s">
        <v>71</v>
      </c>
      <c r="R130" s="1" t="s">
        <v>71</v>
      </c>
      <c r="S130" s="1" t="s">
        <v>71</v>
      </c>
      <c r="T130" s="1" t="s">
        <v>71</v>
      </c>
      <c r="U130" s="1" t="s">
        <v>71</v>
      </c>
      <c r="V130" s="1" t="s">
        <v>71</v>
      </c>
      <c r="W130" s="1" t="s">
        <v>71</v>
      </c>
      <c r="X130" s="1">
        <v>0</v>
      </c>
      <c r="Y130" s="1" t="s">
        <v>71</v>
      </c>
      <c r="Z130" s="1" t="s">
        <v>71</v>
      </c>
      <c r="AA130" s="1" t="s">
        <v>71</v>
      </c>
      <c r="AB130" s="1" t="s">
        <v>71</v>
      </c>
      <c r="AC130" s="1" t="s">
        <v>71</v>
      </c>
      <c r="AD130" s="25" t="s">
        <v>71</v>
      </c>
      <c r="AE130" s="25">
        <v>25</v>
      </c>
      <c r="AF130" s="25" t="s">
        <v>71</v>
      </c>
      <c r="AG130" s="25">
        <v>66</v>
      </c>
      <c r="AH130" s="1" t="s">
        <v>71</v>
      </c>
      <c r="AI130" s="1">
        <v>64</v>
      </c>
      <c r="AJ130" s="1" t="s">
        <v>71</v>
      </c>
      <c r="AK130" s="1" t="s">
        <v>71</v>
      </c>
      <c r="AL130" s="1" t="s">
        <v>71</v>
      </c>
      <c r="AM130" s="1" t="s">
        <v>71</v>
      </c>
      <c r="AN130" s="1" t="s">
        <v>71</v>
      </c>
      <c r="AO130" s="1" t="s">
        <v>71</v>
      </c>
      <c r="AP130" s="1" t="s">
        <v>71</v>
      </c>
      <c r="AQ130" s="1" t="s">
        <v>71</v>
      </c>
      <c r="AR130" s="1" t="s">
        <v>71</v>
      </c>
      <c r="AS130" s="1" t="s">
        <v>71</v>
      </c>
      <c r="AT130" s="1" t="s">
        <v>71</v>
      </c>
      <c r="AU130" s="1">
        <v>0</v>
      </c>
      <c r="AV130" s="1">
        <v>0</v>
      </c>
      <c r="AW130" s="1">
        <v>0</v>
      </c>
      <c r="AX130" s="1" t="s">
        <v>71</v>
      </c>
      <c r="AY130" s="1" t="s">
        <v>71</v>
      </c>
      <c r="AZ130" s="1">
        <v>0</v>
      </c>
      <c r="BA130" s="1" t="s">
        <v>71</v>
      </c>
      <c r="BB130" s="1" t="s">
        <v>71</v>
      </c>
      <c r="BC130" s="1" t="s">
        <v>71</v>
      </c>
      <c r="BD130" s="1" t="s">
        <v>71</v>
      </c>
      <c r="BE130" s="1" t="s">
        <v>71</v>
      </c>
      <c r="BF130" s="1" t="s">
        <v>71</v>
      </c>
      <c r="BG130" s="1" t="s">
        <v>71</v>
      </c>
      <c r="BH130" s="1" t="s">
        <v>71</v>
      </c>
      <c r="BI130" s="1" t="s">
        <v>71</v>
      </c>
      <c r="BJ130" s="1" t="s">
        <v>71</v>
      </c>
      <c r="BK130" s="1">
        <v>2.5000000000000001E-3</v>
      </c>
      <c r="BL130" s="1">
        <f t="shared" si="23"/>
        <v>0.25</v>
      </c>
      <c r="BM130" s="1">
        <v>0.5</v>
      </c>
      <c r="BN130" s="1">
        <v>0.2</v>
      </c>
      <c r="BO130" s="1">
        <v>1</v>
      </c>
      <c r="BP130" s="1">
        <v>8</v>
      </c>
      <c r="BQ130" s="1" t="s">
        <v>71</v>
      </c>
      <c r="BR130" s="1" t="s">
        <v>71</v>
      </c>
      <c r="BS130" s="1" t="s">
        <v>71</v>
      </c>
      <c r="BT130" s="1" t="s">
        <v>71</v>
      </c>
      <c r="BU130" s="1" t="s">
        <v>71</v>
      </c>
      <c r="BV130" s="1">
        <v>4.3</v>
      </c>
      <c r="BW130" s="1">
        <v>1.3</v>
      </c>
      <c r="BX130" s="1" t="s">
        <v>71</v>
      </c>
      <c r="BY130" s="1" t="s">
        <v>71</v>
      </c>
      <c r="BZ130" s="3" t="s">
        <v>71</v>
      </c>
      <c r="CA130" s="3">
        <v>2.8</v>
      </c>
      <c r="CB130" s="1" t="s">
        <v>71</v>
      </c>
      <c r="CC130" s="3">
        <f t="shared" si="30"/>
        <v>3.8888888888888888</v>
      </c>
      <c r="CD130" s="1">
        <v>1</v>
      </c>
      <c r="CE130" s="1">
        <v>1</v>
      </c>
      <c r="CF130" s="1">
        <f t="shared" si="44"/>
        <v>1</v>
      </c>
      <c r="CG130" s="1" t="s">
        <v>71</v>
      </c>
      <c r="CH130" s="1" t="s">
        <v>71</v>
      </c>
      <c r="CI130" s="1" t="s">
        <v>71</v>
      </c>
      <c r="CJ130" s="1" t="s">
        <v>71</v>
      </c>
      <c r="CK130" s="3" t="s">
        <v>71</v>
      </c>
      <c r="CL130" s="3" t="s">
        <v>71</v>
      </c>
      <c r="CM130" s="3" t="s">
        <v>71</v>
      </c>
      <c r="CN130" s="3" t="s">
        <v>71</v>
      </c>
      <c r="CO130" s="1" t="s">
        <v>71</v>
      </c>
      <c r="CP130" s="1" t="s">
        <v>71</v>
      </c>
      <c r="CQ130" s="1" t="s">
        <v>71</v>
      </c>
      <c r="CR130" s="1">
        <v>148</v>
      </c>
      <c r="CS130" s="1">
        <v>37</v>
      </c>
      <c r="CT130" s="1" t="s">
        <v>71</v>
      </c>
      <c r="CU130" s="1">
        <v>10.199999999999999</v>
      </c>
      <c r="CV130" s="1" t="s">
        <v>71</v>
      </c>
      <c r="CW130" s="1" t="s">
        <v>71</v>
      </c>
      <c r="CX130" t="e">
        <f>ROUND(CV130*#REF!/10,1)</f>
        <v>#VALUE!</v>
      </c>
      <c r="CY130" s="1" t="s">
        <v>71</v>
      </c>
      <c r="CZ130">
        <f t="shared" si="45"/>
        <v>1439</v>
      </c>
      <c r="DA130" s="1" t="s">
        <v>71</v>
      </c>
      <c r="DB130" s="1" t="s">
        <v>71</v>
      </c>
      <c r="DC130" s="1" t="s">
        <v>71</v>
      </c>
      <c r="DD130">
        <f t="shared" si="25"/>
        <v>1439</v>
      </c>
      <c r="DE130" s="1" t="s">
        <v>71</v>
      </c>
      <c r="DF130" s="1" t="s">
        <v>71</v>
      </c>
    </row>
    <row r="131" spans="1:110" x14ac:dyDescent="0.15">
      <c r="A131" s="1">
        <v>2022</v>
      </c>
      <c r="B131" s="1" t="s">
        <v>49</v>
      </c>
      <c r="C131" s="1">
        <v>7</v>
      </c>
      <c r="D131" s="1">
        <v>9</v>
      </c>
      <c r="E131" s="1"/>
      <c r="F131" s="1" t="s">
        <v>55</v>
      </c>
      <c r="G131" s="1" t="s">
        <v>56</v>
      </c>
      <c r="H131" s="1">
        <v>3</v>
      </c>
      <c r="I131" s="23" t="s">
        <v>55</v>
      </c>
      <c r="J131" s="1" t="s">
        <v>57</v>
      </c>
      <c r="K131" s="24">
        <v>44700</v>
      </c>
      <c r="L131" s="1" t="s">
        <v>71</v>
      </c>
      <c r="M131" s="1" t="s">
        <v>71</v>
      </c>
      <c r="N131" s="1" t="s">
        <v>71</v>
      </c>
      <c r="O131" s="1" t="s">
        <v>71</v>
      </c>
      <c r="P131" s="24">
        <v>44700</v>
      </c>
      <c r="Q131" s="1" t="s">
        <v>71</v>
      </c>
      <c r="R131" s="1" t="s">
        <v>71</v>
      </c>
      <c r="S131" s="1" t="s">
        <v>71</v>
      </c>
      <c r="T131" s="1" t="s">
        <v>71</v>
      </c>
      <c r="U131" s="1" t="s">
        <v>71</v>
      </c>
      <c r="V131" s="1" t="s">
        <v>71</v>
      </c>
      <c r="W131" s="1" t="s">
        <v>71</v>
      </c>
      <c r="X131" s="1">
        <v>0</v>
      </c>
      <c r="Y131" s="1" t="s">
        <v>71</v>
      </c>
      <c r="Z131" s="1" t="s">
        <v>71</v>
      </c>
      <c r="AA131" s="1" t="s">
        <v>71</v>
      </c>
      <c r="AB131" s="1" t="s">
        <v>71</v>
      </c>
      <c r="AC131" s="1" t="s">
        <v>71</v>
      </c>
      <c r="AD131" s="25" t="s">
        <v>71</v>
      </c>
      <c r="AE131" s="25">
        <v>30</v>
      </c>
      <c r="AF131" s="25" t="s">
        <v>71</v>
      </c>
      <c r="AG131" s="25">
        <v>56</v>
      </c>
      <c r="AH131" s="1" t="s">
        <v>71</v>
      </c>
      <c r="AI131" s="1">
        <v>58</v>
      </c>
      <c r="AJ131" s="1" t="s">
        <v>71</v>
      </c>
      <c r="AK131" s="1" t="s">
        <v>71</v>
      </c>
      <c r="AL131" s="1" t="s">
        <v>71</v>
      </c>
      <c r="AM131" s="1" t="s">
        <v>71</v>
      </c>
      <c r="AN131" s="1" t="s">
        <v>71</v>
      </c>
      <c r="AO131" s="1" t="s">
        <v>71</v>
      </c>
      <c r="AP131" s="1" t="s">
        <v>71</v>
      </c>
      <c r="AQ131" s="1" t="s">
        <v>71</v>
      </c>
      <c r="AR131" s="1" t="s">
        <v>71</v>
      </c>
      <c r="AS131" s="1" t="s">
        <v>71</v>
      </c>
      <c r="AT131" s="1" t="s">
        <v>71</v>
      </c>
      <c r="AU131" s="1">
        <v>0</v>
      </c>
      <c r="AV131" s="1">
        <v>0</v>
      </c>
      <c r="AW131" s="1">
        <v>0</v>
      </c>
      <c r="AX131" s="1" t="s">
        <v>71</v>
      </c>
      <c r="AY131" s="1" t="s">
        <v>71</v>
      </c>
      <c r="AZ131" s="1">
        <v>0</v>
      </c>
      <c r="BA131" s="1" t="s">
        <v>71</v>
      </c>
      <c r="BB131" s="1" t="s">
        <v>71</v>
      </c>
      <c r="BC131" s="1" t="s">
        <v>71</v>
      </c>
      <c r="BD131" s="1" t="s">
        <v>71</v>
      </c>
      <c r="BE131" s="1" t="s">
        <v>71</v>
      </c>
      <c r="BF131" s="1" t="s">
        <v>71</v>
      </c>
      <c r="BG131" s="1" t="s">
        <v>71</v>
      </c>
      <c r="BH131" s="1">
        <v>2</v>
      </c>
      <c r="BI131" s="1" t="s">
        <v>71</v>
      </c>
      <c r="BJ131" s="1" t="s">
        <v>71</v>
      </c>
      <c r="BK131" s="1">
        <v>2.5000000000000001E-3</v>
      </c>
      <c r="BL131" s="1">
        <f t="shared" si="23"/>
        <v>0.25</v>
      </c>
      <c r="BM131" s="1">
        <v>0.5</v>
      </c>
      <c r="BN131" s="1">
        <v>0.01</v>
      </c>
      <c r="BO131" s="1">
        <v>2</v>
      </c>
      <c r="BP131" s="1">
        <v>5</v>
      </c>
      <c r="BQ131" s="1" t="s">
        <v>71</v>
      </c>
      <c r="BR131" s="1" t="s">
        <v>71</v>
      </c>
      <c r="BS131" s="1" t="s">
        <v>71</v>
      </c>
      <c r="BT131" s="1" t="s">
        <v>71</v>
      </c>
      <c r="BU131" s="1" t="s">
        <v>71</v>
      </c>
      <c r="BV131" s="1">
        <v>5</v>
      </c>
      <c r="BW131" s="1">
        <v>2</v>
      </c>
      <c r="BX131" s="1" t="s">
        <v>71</v>
      </c>
      <c r="BY131" s="1" t="s">
        <v>71</v>
      </c>
      <c r="BZ131" s="3" t="s">
        <v>71</v>
      </c>
      <c r="CA131" s="3">
        <v>2.2999999999999998</v>
      </c>
      <c r="CB131" s="1" t="s">
        <v>71</v>
      </c>
      <c r="CC131" s="3">
        <f t="shared" si="30"/>
        <v>3.1944444444444446</v>
      </c>
      <c r="CD131" s="1">
        <v>1</v>
      </c>
      <c r="CE131" s="1">
        <v>1</v>
      </c>
      <c r="CF131" s="1">
        <f t="shared" si="44"/>
        <v>1</v>
      </c>
      <c r="CG131" s="1" t="s">
        <v>71</v>
      </c>
      <c r="CH131" s="1" t="s">
        <v>71</v>
      </c>
      <c r="CI131" s="1" t="s">
        <v>71</v>
      </c>
      <c r="CJ131" s="1" t="s">
        <v>71</v>
      </c>
      <c r="CK131" s="3" t="s">
        <v>71</v>
      </c>
      <c r="CL131" s="3" t="s">
        <v>71</v>
      </c>
      <c r="CM131" s="3" t="s">
        <v>71</v>
      </c>
      <c r="CN131" s="3" t="s">
        <v>71</v>
      </c>
      <c r="CO131" s="1" t="s">
        <v>71</v>
      </c>
      <c r="CP131" s="1" t="s">
        <v>71</v>
      </c>
      <c r="CQ131" s="1" t="s">
        <v>71</v>
      </c>
      <c r="CR131" s="1">
        <v>165</v>
      </c>
      <c r="CS131" s="1">
        <v>37</v>
      </c>
      <c r="CT131" s="1" t="s">
        <v>71</v>
      </c>
      <c r="CU131" s="1">
        <v>9.8000000000000007</v>
      </c>
      <c r="CV131" s="1" t="s">
        <v>71</v>
      </c>
      <c r="CW131" s="1" t="s">
        <v>71</v>
      </c>
      <c r="CX131" t="e">
        <f>ROUND(CV131*#REF!/10,1)</f>
        <v>#VALUE!</v>
      </c>
      <c r="CY131" s="1" t="s">
        <v>71</v>
      </c>
      <c r="CZ131">
        <f t="shared" si="45"/>
        <v>1182</v>
      </c>
      <c r="DA131" s="1" t="s">
        <v>71</v>
      </c>
      <c r="DB131" s="1" t="s">
        <v>71</v>
      </c>
      <c r="DC131" s="1" t="s">
        <v>71</v>
      </c>
      <c r="DD131">
        <f t="shared" si="25"/>
        <v>1182</v>
      </c>
      <c r="DE131" s="1" t="s">
        <v>71</v>
      </c>
      <c r="DF131" s="1" t="s">
        <v>71</v>
      </c>
    </row>
    <row r="132" spans="1:110" x14ac:dyDescent="0.15">
      <c r="A132" s="1">
        <v>2022</v>
      </c>
      <c r="B132" s="1" t="s">
        <v>49</v>
      </c>
      <c r="C132" s="1">
        <v>7</v>
      </c>
      <c r="D132" s="1">
        <v>10</v>
      </c>
      <c r="E132" s="1" t="s">
        <v>50</v>
      </c>
      <c r="F132" s="1" t="s">
        <v>53</v>
      </c>
      <c r="G132" s="1" t="s">
        <v>5</v>
      </c>
      <c r="H132" s="1">
        <v>3</v>
      </c>
      <c r="I132" s="23" t="s">
        <v>60</v>
      </c>
      <c r="J132" s="1" t="s">
        <v>57</v>
      </c>
      <c r="K132" s="24">
        <v>44700</v>
      </c>
      <c r="L132" s="1">
        <f>K132-K126</f>
        <v>10</v>
      </c>
      <c r="M132" s="1">
        <f>K132-K129</f>
        <v>0</v>
      </c>
      <c r="N132" s="24">
        <v>44709</v>
      </c>
      <c r="O132" s="24">
        <v>44721</v>
      </c>
      <c r="P132" s="24">
        <v>44700</v>
      </c>
      <c r="Q132" s="1">
        <f>P132-P129</f>
        <v>0</v>
      </c>
      <c r="R132" s="1">
        <f>N132-N126</f>
        <v>4</v>
      </c>
      <c r="S132" s="1">
        <f>O132-O126</f>
        <v>0</v>
      </c>
      <c r="T132" s="1">
        <f>AVERAGE(R132,S132)</f>
        <v>2</v>
      </c>
      <c r="U132" s="1" t="s">
        <v>71</v>
      </c>
      <c r="V132" s="1" t="s">
        <v>71</v>
      </c>
      <c r="W132" s="1">
        <v>-1</v>
      </c>
      <c r="X132" s="1">
        <v>0</v>
      </c>
      <c r="Y132" s="1">
        <v>0</v>
      </c>
      <c r="Z132" s="1" t="s">
        <v>71</v>
      </c>
      <c r="AA132" s="1" t="s">
        <v>71</v>
      </c>
      <c r="AB132" s="1" t="s">
        <v>71</v>
      </c>
      <c r="AC132" s="1" t="s">
        <v>71</v>
      </c>
      <c r="AD132" s="25">
        <v>43</v>
      </c>
      <c r="AE132" s="25">
        <v>33</v>
      </c>
      <c r="AF132" s="25">
        <v>123</v>
      </c>
      <c r="AG132" s="25">
        <v>71</v>
      </c>
      <c r="AH132" s="1">
        <v>126</v>
      </c>
      <c r="AI132" s="1">
        <v>73</v>
      </c>
      <c r="AJ132" s="1">
        <v>1.7</v>
      </c>
      <c r="AK132" s="1">
        <v>0</v>
      </c>
      <c r="AL132" s="1">
        <v>0</v>
      </c>
      <c r="AM132" s="1">
        <v>0</v>
      </c>
      <c r="AN132" s="1">
        <v>0.02</v>
      </c>
      <c r="AO132" s="1">
        <v>0.05</v>
      </c>
      <c r="AP132" s="1">
        <v>1E-3</v>
      </c>
      <c r="AQ132" s="1">
        <v>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2</v>
      </c>
      <c r="BI132" s="1" t="s">
        <v>71</v>
      </c>
      <c r="BJ132" s="1" t="s">
        <v>71</v>
      </c>
      <c r="BK132" s="1">
        <v>1.0000000000000001E-5</v>
      </c>
      <c r="BL132" s="1">
        <f t="shared" ref="BL132:BL195" si="46">BK132*100</f>
        <v>1E-3</v>
      </c>
      <c r="BM132" s="1">
        <v>0.1</v>
      </c>
      <c r="BN132" s="1" t="s">
        <v>71</v>
      </c>
      <c r="BO132" s="1">
        <v>1</v>
      </c>
      <c r="BP132" s="1">
        <v>0</v>
      </c>
      <c r="BQ132" s="1" t="s">
        <v>71</v>
      </c>
      <c r="BR132" s="1" t="s">
        <v>71</v>
      </c>
      <c r="BS132" s="1" t="s">
        <v>71</v>
      </c>
      <c r="BT132" s="1" t="s">
        <v>71</v>
      </c>
      <c r="BU132" s="1" t="s">
        <v>71</v>
      </c>
      <c r="BV132" s="1">
        <v>4.7</v>
      </c>
      <c r="BW132" s="1">
        <v>4</v>
      </c>
      <c r="BX132" s="1" t="s">
        <v>71</v>
      </c>
      <c r="BY132" s="1" t="s">
        <v>71</v>
      </c>
      <c r="BZ132" s="3">
        <v>1.3</v>
      </c>
      <c r="CA132" s="3">
        <v>2.1</v>
      </c>
      <c r="CB132" s="3">
        <f t="shared" ref="CB132:CB195" si="47">BZ132/(1.5*4.8)*10</f>
        <v>1.8055555555555558</v>
      </c>
      <c r="CC132" s="3">
        <f t="shared" si="30"/>
        <v>2.916666666666667</v>
      </c>
      <c r="CD132" s="1">
        <f>ROUND(CB132/CB123+CC132/CC129,2)</f>
        <v>1.27</v>
      </c>
      <c r="CE132" s="1">
        <f>ROUND(CB132/CB126+CC132/CC129,2)</f>
        <v>1.34</v>
      </c>
      <c r="CF132" s="1">
        <f t="shared" si="44"/>
        <v>1.34</v>
      </c>
      <c r="CG132" s="1">
        <f>ROUND(CB132/CB123,2)</f>
        <v>0.32</v>
      </c>
      <c r="CH132" s="1">
        <f>ROUND(CB132/CB126,2)</f>
        <v>0.38</v>
      </c>
      <c r="CI132" s="1">
        <f>ROUND(CC132/CC129,2)</f>
        <v>0.95</v>
      </c>
      <c r="CJ132" s="1">
        <f>ROUND((CC132+CB132)/MAX(CC129,CB126),2)</f>
        <v>1</v>
      </c>
      <c r="CK132" s="1">
        <f>ROUND(LN((0.9*BZ132)/(0.1*CA132))/(BZ123/CA129),2)</f>
        <v>0.92</v>
      </c>
      <c r="CL132" s="1">
        <f>ROUND(LN((0.9*BZ132)/(0.1*CA132))/(BZ126/CA129),2)</f>
        <v>1.1100000000000001</v>
      </c>
      <c r="CM132" s="1">
        <f>ROUND(LN((0.1*CA132)/(0.9*BZ132))/(CA129/BZ123),2)</f>
        <v>-3.2</v>
      </c>
      <c r="CN132" s="1">
        <f>ROUND(LN((0.1*CA132)/(0.9*BZ132))/(CA129/BZ126),2)</f>
        <v>-2.65</v>
      </c>
      <c r="CO132" s="1">
        <v>50</v>
      </c>
      <c r="CP132" s="1" t="s">
        <v>71</v>
      </c>
      <c r="CQ132" s="1">
        <v>43</v>
      </c>
      <c r="CR132" s="1">
        <v>161</v>
      </c>
      <c r="CS132" s="1">
        <v>32</v>
      </c>
      <c r="CT132" s="1">
        <v>10.1</v>
      </c>
      <c r="CU132" s="1">
        <v>10.4</v>
      </c>
      <c r="CV132" s="1" t="s">
        <v>71</v>
      </c>
      <c r="CW132" s="1" t="s">
        <v>71</v>
      </c>
      <c r="CX132" t="e">
        <f>ROUND(CV132*#REF!/10,1)</f>
        <v>#VALUE!</v>
      </c>
      <c r="CY132" s="1">
        <v>12.7</v>
      </c>
      <c r="CZ132">
        <f t="shared" si="45"/>
        <v>933</v>
      </c>
      <c r="DA132">
        <f t="shared" ref="DA132:DA140" si="48">ROUND((CY132*CB132*10),0)</f>
        <v>229</v>
      </c>
      <c r="DB132">
        <f>(CZ132+DA132)/MAX(DA126,CZ129)</f>
        <v>1.1881390593047034</v>
      </c>
      <c r="DC132" s="1">
        <v>12.7</v>
      </c>
      <c r="DD132">
        <f t="shared" ref="DD132:DD195" si="49">SUM(CZ132,DA132)</f>
        <v>1162</v>
      </c>
      <c r="DE132">
        <f>ROUND(MAX((DB132-DF132), 0), 2)</f>
        <v>0.24</v>
      </c>
      <c r="DF132">
        <f>ROUND(CZ132/MAX(DA126,CZ129), 2)</f>
        <v>0.95</v>
      </c>
    </row>
    <row r="133" spans="1:110" x14ac:dyDescent="0.15">
      <c r="A133" s="1">
        <v>2022</v>
      </c>
      <c r="B133" s="1" t="s">
        <v>49</v>
      </c>
      <c r="C133" s="1">
        <v>7</v>
      </c>
      <c r="D133" s="1">
        <v>11</v>
      </c>
      <c r="E133" s="1" t="s">
        <v>50</v>
      </c>
      <c r="F133" s="1" t="s">
        <v>54</v>
      </c>
      <c r="G133" s="1" t="s">
        <v>5</v>
      </c>
      <c r="H133" s="1">
        <v>3</v>
      </c>
      <c r="I133" s="23" t="s">
        <v>61</v>
      </c>
      <c r="J133" s="1" t="s">
        <v>57</v>
      </c>
      <c r="K133" s="1" t="s">
        <v>57</v>
      </c>
      <c r="L133" s="27">
        <v>10000000000</v>
      </c>
      <c r="M133" s="27">
        <v>10000000000</v>
      </c>
      <c r="N133" s="24">
        <v>44708</v>
      </c>
      <c r="O133" s="24">
        <v>44721</v>
      </c>
      <c r="P133" s="24">
        <v>44700</v>
      </c>
      <c r="Q133" s="1">
        <f>P133-P130</f>
        <v>0</v>
      </c>
      <c r="R133" s="1">
        <f>N133-N126</f>
        <v>3</v>
      </c>
      <c r="S133" s="1">
        <f>O133-O126</f>
        <v>0</v>
      </c>
      <c r="T133" s="1">
        <f t="shared" ref="T133:T140" si="50">AVERAGE(R133,S133)</f>
        <v>1.5</v>
      </c>
      <c r="U133" s="1" t="s">
        <v>71</v>
      </c>
      <c r="V133" s="1" t="s">
        <v>71</v>
      </c>
      <c r="W133" s="1">
        <v>-2</v>
      </c>
      <c r="X133" s="1">
        <v>0</v>
      </c>
      <c r="Y133" s="1">
        <v>0</v>
      </c>
      <c r="Z133" s="1" t="s">
        <v>71</v>
      </c>
      <c r="AA133" s="1" t="s">
        <v>71</v>
      </c>
      <c r="AB133" s="1" t="s">
        <v>71</v>
      </c>
      <c r="AC133" s="1" t="s">
        <v>71</v>
      </c>
      <c r="AD133" s="25">
        <v>44</v>
      </c>
      <c r="AE133" s="25">
        <v>27</v>
      </c>
      <c r="AF133" s="25">
        <v>113</v>
      </c>
      <c r="AG133" s="25">
        <v>66</v>
      </c>
      <c r="AH133" s="1">
        <v>114</v>
      </c>
      <c r="AI133" s="1">
        <v>68</v>
      </c>
      <c r="AJ133" s="1">
        <v>4</v>
      </c>
      <c r="AK133" s="1">
        <v>0</v>
      </c>
      <c r="AL133" s="1">
        <v>0</v>
      </c>
      <c r="AM133" s="1">
        <v>0</v>
      </c>
      <c r="AN133" s="1">
        <v>0.02</v>
      </c>
      <c r="AO133" s="1">
        <v>0.05</v>
      </c>
      <c r="AP133" s="1">
        <v>1E-3</v>
      </c>
      <c r="AQ133" s="1">
        <v>6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 t="s">
        <v>71</v>
      </c>
      <c r="BJ133" s="1" t="s">
        <v>71</v>
      </c>
      <c r="BK133" s="1">
        <v>1.0000000000000002E-4</v>
      </c>
      <c r="BL133" s="1">
        <f t="shared" si="46"/>
        <v>1.0000000000000002E-2</v>
      </c>
      <c r="BM133" s="1">
        <v>0.1</v>
      </c>
      <c r="BN133" s="1" t="s">
        <v>71</v>
      </c>
      <c r="BO133" s="1">
        <v>1</v>
      </c>
      <c r="BP133" s="1">
        <v>0</v>
      </c>
      <c r="BQ133" s="1" t="s">
        <v>71</v>
      </c>
      <c r="BR133" s="1" t="s">
        <v>71</v>
      </c>
      <c r="BS133" s="1" t="s">
        <v>71</v>
      </c>
      <c r="BT133" s="1" t="s">
        <v>71</v>
      </c>
      <c r="BU133" s="1" t="s">
        <v>71</v>
      </c>
      <c r="BV133" s="1">
        <v>5.3</v>
      </c>
      <c r="BW133" s="1">
        <v>1.3</v>
      </c>
      <c r="BX133" s="1" t="s">
        <v>71</v>
      </c>
      <c r="BY133" s="1" t="s">
        <v>71</v>
      </c>
      <c r="BZ133" s="3">
        <v>0.8</v>
      </c>
      <c r="CA133" s="3">
        <v>1.4</v>
      </c>
      <c r="CB133" s="3">
        <f t="shared" si="47"/>
        <v>1.1111111111111114</v>
      </c>
      <c r="CC133" s="3">
        <f t="shared" si="30"/>
        <v>1.9444444444444444</v>
      </c>
      <c r="CD133" s="1">
        <f>ROUND(CB133/CB123+CC133/CC130,2)</f>
        <v>0.7</v>
      </c>
      <c r="CE133" s="1">
        <f>ROUND(CB133/CB126+CC133/CC130,2)</f>
        <v>0.74</v>
      </c>
      <c r="CF133" s="1">
        <f t="shared" si="44"/>
        <v>0.74</v>
      </c>
      <c r="CG133" s="1">
        <f>ROUND(CB133/CB123,2)</f>
        <v>0.2</v>
      </c>
      <c r="CH133" s="1">
        <f>ROUND(CB133/CB126,2)</f>
        <v>0.24</v>
      </c>
      <c r="CI133" s="1">
        <f>ROUND(CC133/CC130,2)</f>
        <v>0.5</v>
      </c>
      <c r="CJ133" s="1">
        <f>ROUND((CC133+CB133)/MAX(CC130,CB126),2)</f>
        <v>0.65</v>
      </c>
      <c r="CK133" s="1">
        <f>ROUND(LN((0.9*BZ133)/(0.1*CA133))/(BZ123/CA130),2)</f>
        <v>1.1200000000000001</v>
      </c>
      <c r="CL133" s="1">
        <f>ROUND(LN((0.9*BZ133)/(0.1*CA133))/(BZ126/CA130),2)</f>
        <v>1.35</v>
      </c>
      <c r="CM133" s="1">
        <f>ROUND(LN((0.1*CA133)/(0.9*BZ133))/(CA130/BZ123),2)</f>
        <v>-2.4</v>
      </c>
      <c r="CN133" s="1">
        <f>ROUND(LN((0.1*CA133)/(0.9*BZ133))/(CA130/BZ126),2)</f>
        <v>-1.99</v>
      </c>
      <c r="CO133" s="1">
        <v>47</v>
      </c>
      <c r="CP133" s="1" t="s">
        <v>71</v>
      </c>
      <c r="CQ133" s="1">
        <v>38</v>
      </c>
      <c r="CR133" s="1">
        <v>128</v>
      </c>
      <c r="CS133" s="1">
        <v>37</v>
      </c>
      <c r="CT133" s="1">
        <v>10.199999999999999</v>
      </c>
      <c r="CU133" s="1">
        <v>11.1</v>
      </c>
      <c r="CV133" s="1" t="s">
        <v>71</v>
      </c>
      <c r="CW133" s="1" t="s">
        <v>71</v>
      </c>
      <c r="CX133" t="e">
        <f>ROUND(CV133*#REF!/10,1)</f>
        <v>#VALUE!</v>
      </c>
      <c r="CY133" s="1">
        <v>12.7</v>
      </c>
      <c r="CZ133">
        <f t="shared" si="45"/>
        <v>719</v>
      </c>
      <c r="DA133">
        <f t="shared" si="48"/>
        <v>141</v>
      </c>
      <c r="DB133">
        <f>(CZ133+DA133)/MAX(DA126,CZ130)</f>
        <v>0.59763724808895069</v>
      </c>
      <c r="DC133" s="1">
        <v>12.7</v>
      </c>
      <c r="DD133">
        <f t="shared" si="49"/>
        <v>860</v>
      </c>
      <c r="DE133">
        <f t="shared" ref="DE133:DE140" si="51">ROUND(MAX((DB133-DF133), 0), 2)</f>
        <v>0.1</v>
      </c>
      <c r="DF133">
        <f>ROUND(CZ133/MAX(DA126,CZ130), 2)</f>
        <v>0.5</v>
      </c>
    </row>
    <row r="134" spans="1:110" x14ac:dyDescent="0.15">
      <c r="A134" s="1">
        <v>2022</v>
      </c>
      <c r="B134" s="1" t="s">
        <v>49</v>
      </c>
      <c r="C134" s="1">
        <v>7</v>
      </c>
      <c r="D134" s="1">
        <v>12</v>
      </c>
      <c r="E134" s="1" t="s">
        <v>50</v>
      </c>
      <c r="F134" s="1" t="s">
        <v>55</v>
      </c>
      <c r="G134" s="1" t="s">
        <v>5</v>
      </c>
      <c r="H134" s="1">
        <v>3</v>
      </c>
      <c r="I134" s="23" t="s">
        <v>62</v>
      </c>
      <c r="J134" s="1" t="s">
        <v>57</v>
      </c>
      <c r="K134" s="24">
        <v>44700</v>
      </c>
      <c r="L134" s="1">
        <f>K134-K126</f>
        <v>10</v>
      </c>
      <c r="M134" s="1">
        <f>K134-K131</f>
        <v>0</v>
      </c>
      <c r="N134" s="24">
        <v>44705</v>
      </c>
      <c r="O134" s="24">
        <v>44721</v>
      </c>
      <c r="P134" s="24">
        <v>44700</v>
      </c>
      <c r="Q134" s="1">
        <f>P134-P131</f>
        <v>0</v>
      </c>
      <c r="R134" s="1">
        <f>N134-N126</f>
        <v>0</v>
      </c>
      <c r="S134" s="1">
        <f>O134-O126</f>
        <v>0</v>
      </c>
      <c r="T134" s="1">
        <f t="shared" si="50"/>
        <v>0</v>
      </c>
      <c r="U134" s="1" t="s">
        <v>71</v>
      </c>
      <c r="V134" s="1" t="s">
        <v>71</v>
      </c>
      <c r="W134" s="1">
        <v>-1</v>
      </c>
      <c r="X134" s="1">
        <v>0</v>
      </c>
      <c r="Y134" s="1">
        <v>0</v>
      </c>
      <c r="Z134" s="1" t="s">
        <v>71</v>
      </c>
      <c r="AA134" s="1" t="s">
        <v>71</v>
      </c>
      <c r="AB134" s="1" t="s">
        <v>71</v>
      </c>
      <c r="AC134" s="1" t="s">
        <v>71</v>
      </c>
      <c r="AD134" s="25">
        <v>49</v>
      </c>
      <c r="AE134" s="25">
        <v>34</v>
      </c>
      <c r="AF134" s="25">
        <v>116</v>
      </c>
      <c r="AG134" s="25">
        <v>55</v>
      </c>
      <c r="AH134" s="1">
        <v>122</v>
      </c>
      <c r="AI134" s="1">
        <v>60</v>
      </c>
      <c r="AJ134" s="1">
        <v>3.7</v>
      </c>
      <c r="AK134" s="1">
        <v>0</v>
      </c>
      <c r="AL134" s="1">
        <v>0</v>
      </c>
      <c r="AM134" s="1">
        <v>0</v>
      </c>
      <c r="AN134" s="1">
        <v>0.02</v>
      </c>
      <c r="AO134" s="1">
        <v>0.15</v>
      </c>
      <c r="AP134" s="1">
        <v>3.0000000000000001E-3</v>
      </c>
      <c r="AQ134" s="1">
        <v>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2</v>
      </c>
      <c r="BI134" s="1" t="s">
        <v>71</v>
      </c>
      <c r="BJ134" s="1" t="s">
        <v>71</v>
      </c>
      <c r="BK134" s="1">
        <v>4.0000000000000001E-3</v>
      </c>
      <c r="BL134" s="1">
        <f t="shared" si="46"/>
        <v>0.4</v>
      </c>
      <c r="BM134" s="1">
        <v>0.4</v>
      </c>
      <c r="BN134" s="1">
        <v>0.15</v>
      </c>
      <c r="BO134" s="1">
        <v>2</v>
      </c>
      <c r="BP134" s="1">
        <v>10</v>
      </c>
      <c r="BQ134" s="1" t="s">
        <v>71</v>
      </c>
      <c r="BR134" s="1" t="s">
        <v>71</v>
      </c>
      <c r="BS134" s="1" t="s">
        <v>71</v>
      </c>
      <c r="BT134" s="1" t="s">
        <v>71</v>
      </c>
      <c r="BU134" s="1" t="s">
        <v>71</v>
      </c>
      <c r="BV134" s="1">
        <v>4.3</v>
      </c>
      <c r="BW134" s="1">
        <v>0</v>
      </c>
      <c r="BX134" s="1" t="s">
        <v>71</v>
      </c>
      <c r="BY134" s="1" t="s">
        <v>71</v>
      </c>
      <c r="BZ134" s="3">
        <v>1.4</v>
      </c>
      <c r="CA134" s="3">
        <v>1.3</v>
      </c>
      <c r="CB134" s="3">
        <f t="shared" si="47"/>
        <v>1.9444444444444444</v>
      </c>
      <c r="CC134" s="3">
        <f t="shared" si="30"/>
        <v>1.8055555555555558</v>
      </c>
      <c r="CD134" s="1">
        <f>ROUND(CB134/CB123+CC134/CC131,2)</f>
        <v>0.91</v>
      </c>
      <c r="CE134" s="1">
        <f>ROUND(CB134/CB126+CC134/CC131,2)</f>
        <v>0.98</v>
      </c>
      <c r="CF134" s="1">
        <f t="shared" si="44"/>
        <v>0.98</v>
      </c>
      <c r="CG134" s="1">
        <f>ROUND(CB134/CB123,2)</f>
        <v>0.34</v>
      </c>
      <c r="CH134" s="1">
        <f>ROUND(CB134/CB126,2)</f>
        <v>0.41</v>
      </c>
      <c r="CI134" s="1">
        <f>ROUND(CC134/CC131,2)</f>
        <v>0.56999999999999995</v>
      </c>
      <c r="CJ134" s="1">
        <f>ROUND((CC134+CB134)/MAX(CC131,CB126),2)</f>
        <v>0.79</v>
      </c>
      <c r="CK134" s="1">
        <f>ROUND(LN((0.9*BZ134)/(0.1*CA134))/(BZ123/CA131),2)</f>
        <v>1.27</v>
      </c>
      <c r="CL134" s="1">
        <f>ROUND(LN((0.9*BZ134)/(0.1*CA134))/(BZ126/CA131),2)</f>
        <v>1.54</v>
      </c>
      <c r="CM134" s="1">
        <f>ROUND(LN((0.1*CA134)/(0.9*BZ134))/(CA131/BZ123),2)</f>
        <v>-4.05</v>
      </c>
      <c r="CN134" s="1">
        <f>ROUND(LN((0.1*CA134)/(0.9*BZ134))/(CA131/BZ126),2)</f>
        <v>-3.36</v>
      </c>
      <c r="CO134" s="1">
        <v>50</v>
      </c>
      <c r="CP134" s="1" t="s">
        <v>71</v>
      </c>
      <c r="CQ134" s="1">
        <v>44</v>
      </c>
      <c r="CR134" s="1">
        <v>153</v>
      </c>
      <c r="CS134" s="1">
        <v>38</v>
      </c>
      <c r="CT134" s="1">
        <v>10.1</v>
      </c>
      <c r="CU134" s="1">
        <v>8.8000000000000007</v>
      </c>
      <c r="CV134" s="1" t="s">
        <v>71</v>
      </c>
      <c r="CW134" s="1" t="s">
        <v>71</v>
      </c>
      <c r="CX134" t="e">
        <f>ROUND(CV134*#REF!/10,1)</f>
        <v>#VALUE!</v>
      </c>
      <c r="CY134" s="1">
        <v>12.3</v>
      </c>
      <c r="CZ134">
        <f t="shared" si="45"/>
        <v>686</v>
      </c>
      <c r="DA134">
        <f t="shared" si="48"/>
        <v>239</v>
      </c>
      <c r="DB134">
        <f>(CZ134+DA134)/MAX(DA126,CZ131)</f>
        <v>0.78257191201353637</v>
      </c>
      <c r="DC134" s="1">
        <v>12.3</v>
      </c>
      <c r="DD134">
        <f t="shared" si="49"/>
        <v>925</v>
      </c>
      <c r="DE134">
        <f t="shared" si="51"/>
        <v>0.2</v>
      </c>
      <c r="DF134">
        <f>ROUND(CZ134/MAX(DA126,CZ131), 2)</f>
        <v>0.57999999999999996</v>
      </c>
    </row>
    <row r="135" spans="1:110" x14ac:dyDescent="0.15">
      <c r="A135" s="1">
        <v>2022</v>
      </c>
      <c r="B135" s="1" t="s">
        <v>49</v>
      </c>
      <c r="C135" s="1">
        <v>7</v>
      </c>
      <c r="D135" s="1">
        <v>13</v>
      </c>
      <c r="E135" s="1" t="s">
        <v>51</v>
      </c>
      <c r="F135" s="1" t="s">
        <v>53</v>
      </c>
      <c r="G135" s="1" t="s">
        <v>5</v>
      </c>
      <c r="H135" s="1">
        <v>3</v>
      </c>
      <c r="I135" s="23" t="s">
        <v>63</v>
      </c>
      <c r="J135" s="1" t="s">
        <v>57</v>
      </c>
      <c r="K135" s="24">
        <v>44700</v>
      </c>
      <c r="L135" s="27">
        <v>10000000000</v>
      </c>
      <c r="M135" s="1">
        <f>K135-K129</f>
        <v>0</v>
      </c>
      <c r="N135" s="24">
        <v>44715</v>
      </c>
      <c r="O135" s="24">
        <v>44723</v>
      </c>
      <c r="P135" s="24">
        <v>44700</v>
      </c>
      <c r="Q135" s="1">
        <f>P135-P129</f>
        <v>0</v>
      </c>
      <c r="R135" s="1">
        <f>N135-N127</f>
        <v>5</v>
      </c>
      <c r="S135" s="1">
        <f>O135-O127</f>
        <v>-3</v>
      </c>
      <c r="T135" s="1">
        <f t="shared" si="50"/>
        <v>1</v>
      </c>
      <c r="U135" s="1" t="s">
        <v>71</v>
      </c>
      <c r="V135" s="1" t="s">
        <v>71</v>
      </c>
      <c r="W135" s="1">
        <v>-1</v>
      </c>
      <c r="X135" s="1">
        <v>0</v>
      </c>
      <c r="Y135" s="1">
        <v>0</v>
      </c>
      <c r="Z135" s="1" t="s">
        <v>71</v>
      </c>
      <c r="AA135" s="1" t="s">
        <v>71</v>
      </c>
      <c r="AB135" s="1" t="s">
        <v>71</v>
      </c>
      <c r="AC135" s="1" t="s">
        <v>71</v>
      </c>
      <c r="AD135" s="25">
        <v>37</v>
      </c>
      <c r="AE135" s="25">
        <v>28</v>
      </c>
      <c r="AF135" s="25">
        <v>103</v>
      </c>
      <c r="AG135" s="25">
        <v>65</v>
      </c>
      <c r="AH135" s="1">
        <v>113</v>
      </c>
      <c r="AI135" s="1">
        <v>64</v>
      </c>
      <c r="AJ135" s="1">
        <v>1.3</v>
      </c>
      <c r="AK135" s="1">
        <v>0</v>
      </c>
      <c r="AL135" s="1">
        <v>0</v>
      </c>
      <c r="AM135" s="1">
        <v>0</v>
      </c>
      <c r="AN135" s="1">
        <v>0.01</v>
      </c>
      <c r="AO135" s="1">
        <v>0.05</v>
      </c>
      <c r="AP135" s="1">
        <v>5.0000000000000001E-4</v>
      </c>
      <c r="AQ135" s="1" t="s">
        <v>71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2</v>
      </c>
      <c r="BI135" s="1" t="s">
        <v>71</v>
      </c>
      <c r="BJ135" s="1" t="s">
        <v>71</v>
      </c>
      <c r="BK135" s="1">
        <v>8.0000000000000015E-4</v>
      </c>
      <c r="BL135" s="1">
        <f t="shared" si="46"/>
        <v>8.0000000000000016E-2</v>
      </c>
      <c r="BM135" s="1">
        <v>0.8</v>
      </c>
      <c r="BN135" s="1">
        <v>0.4</v>
      </c>
      <c r="BO135" s="1">
        <v>1</v>
      </c>
      <c r="BP135" s="1">
        <v>0</v>
      </c>
      <c r="BQ135" s="1" t="s">
        <v>71</v>
      </c>
      <c r="BR135" s="1" t="s">
        <v>71</v>
      </c>
      <c r="BS135" s="1" t="s">
        <v>71</v>
      </c>
      <c r="BT135" s="1" t="s">
        <v>71</v>
      </c>
      <c r="BU135" s="1" t="s">
        <v>71</v>
      </c>
      <c r="BV135" s="1">
        <v>4</v>
      </c>
      <c r="BW135" s="1">
        <v>2.7</v>
      </c>
      <c r="BX135" s="1" t="s">
        <v>71</v>
      </c>
      <c r="BY135" s="1" t="s">
        <v>71</v>
      </c>
      <c r="BZ135" s="3">
        <v>1.3</v>
      </c>
      <c r="CA135" s="3">
        <v>2.1</v>
      </c>
      <c r="CB135" s="3">
        <f t="shared" si="47"/>
        <v>1.8055555555555558</v>
      </c>
      <c r="CC135" s="3">
        <f t="shared" si="30"/>
        <v>2.916666666666667</v>
      </c>
      <c r="CD135" s="1">
        <f>ROUND(CB135/CB124+CC135/CC129,2)</f>
        <v>1.32</v>
      </c>
      <c r="CE135" s="1">
        <f>ROUND(CB135/CB127+CC135/CC129,2)</f>
        <v>1.31</v>
      </c>
      <c r="CF135" s="1">
        <f t="shared" si="44"/>
        <v>1.31</v>
      </c>
      <c r="CG135" s="1">
        <f>ROUND(CB135/CB124,2)</f>
        <v>0.36</v>
      </c>
      <c r="CH135" s="1">
        <f>ROUND(CB135/CB127,2)</f>
        <v>0.35</v>
      </c>
      <c r="CI135" s="1">
        <f>ROUND(CC135/CC129,2)</f>
        <v>0.95</v>
      </c>
      <c r="CJ135" s="1">
        <f>ROUND((CC135+CB135)/MAX(CC129,CB127),2)</f>
        <v>0.92</v>
      </c>
      <c r="CK135" s="1">
        <f>ROUND(LN((0.9*BZ135)/(0.1*CA135))/(BZ124/CA129),2)</f>
        <v>1.05</v>
      </c>
      <c r="CL135" s="1">
        <f>ROUND(LN((0.9*BZ135)/(0.1*CA135))/(BZ127/CA129),2)</f>
        <v>1.02</v>
      </c>
      <c r="CM135" s="1">
        <f>ROUND(LN((0.1*CA135)/(0.9*BZ135))/(CA129/BZ124),2)</f>
        <v>-2.81</v>
      </c>
      <c r="CN135" s="1">
        <f>ROUND(LN((0.1*CA135)/(0.9*BZ135))/(CA129/BZ127),2)</f>
        <v>-2.89</v>
      </c>
      <c r="CO135" s="1">
        <v>51</v>
      </c>
      <c r="CP135" s="1" t="s">
        <v>71</v>
      </c>
      <c r="CQ135" s="1">
        <v>37</v>
      </c>
      <c r="CR135" s="1">
        <v>156</v>
      </c>
      <c r="CS135" s="1">
        <v>33</v>
      </c>
      <c r="CT135" s="1">
        <v>10.1</v>
      </c>
      <c r="CU135" s="1">
        <v>10.4</v>
      </c>
      <c r="CV135" s="1" t="s">
        <v>71</v>
      </c>
      <c r="CW135" s="1" t="s">
        <v>71</v>
      </c>
      <c r="CX135" t="e">
        <f>ROUND(CV135*#REF!/10,1)</f>
        <v>#VALUE!</v>
      </c>
      <c r="CY135" s="1">
        <v>12.1</v>
      </c>
      <c r="CZ135">
        <f t="shared" si="45"/>
        <v>963</v>
      </c>
      <c r="DA135">
        <f t="shared" si="48"/>
        <v>218</v>
      </c>
      <c r="DB135">
        <f>(CZ135+DA135)/MAX(DA127,CZ129)</f>
        <v>1.2075664621676891</v>
      </c>
      <c r="DC135" s="1">
        <v>12.1</v>
      </c>
      <c r="DD135">
        <f t="shared" si="49"/>
        <v>1181</v>
      </c>
      <c r="DE135">
        <f t="shared" si="51"/>
        <v>0.23</v>
      </c>
      <c r="DF135">
        <f>ROUND(CZ135/MAX(DA127,CZ129), 2)</f>
        <v>0.98</v>
      </c>
    </row>
    <row r="136" spans="1:110" x14ac:dyDescent="0.15">
      <c r="A136" s="1">
        <v>2022</v>
      </c>
      <c r="B136" s="1" t="s">
        <v>49</v>
      </c>
      <c r="C136" s="1">
        <v>7</v>
      </c>
      <c r="D136" s="1">
        <v>14</v>
      </c>
      <c r="E136" s="1" t="s">
        <v>51</v>
      </c>
      <c r="F136" s="1" t="s">
        <v>54</v>
      </c>
      <c r="G136" s="1" t="s">
        <v>5</v>
      </c>
      <c r="H136" s="1">
        <v>3</v>
      </c>
      <c r="I136" s="23" t="s">
        <v>64</v>
      </c>
      <c r="J136" s="1" t="s">
        <v>57</v>
      </c>
      <c r="K136" s="24">
        <v>44700</v>
      </c>
      <c r="L136" s="27">
        <v>10000000000</v>
      </c>
      <c r="M136" s="1">
        <f>K136-K130</f>
        <v>0</v>
      </c>
      <c r="N136" s="24">
        <v>44711</v>
      </c>
      <c r="O136" s="24">
        <v>44724</v>
      </c>
      <c r="P136" s="24">
        <v>44700</v>
      </c>
      <c r="Q136" s="1">
        <f>P136-P130</f>
        <v>0</v>
      </c>
      <c r="R136" s="1">
        <f>N136-N127</f>
        <v>1</v>
      </c>
      <c r="S136" s="1">
        <f>O136-O127</f>
        <v>-2</v>
      </c>
      <c r="T136" s="1">
        <f t="shared" si="50"/>
        <v>-0.5</v>
      </c>
      <c r="U136" s="1" t="s">
        <v>71</v>
      </c>
      <c r="V136" s="1" t="s">
        <v>71</v>
      </c>
      <c r="W136" s="1">
        <v>2</v>
      </c>
      <c r="X136" s="1">
        <v>0</v>
      </c>
      <c r="Y136" s="1">
        <v>0</v>
      </c>
      <c r="Z136" s="1" t="s">
        <v>71</v>
      </c>
      <c r="AA136" s="1" t="s">
        <v>71</v>
      </c>
      <c r="AB136" s="1" t="s">
        <v>71</v>
      </c>
      <c r="AC136" s="1" t="s">
        <v>71</v>
      </c>
      <c r="AD136" s="25">
        <v>34</v>
      </c>
      <c r="AE136" s="25">
        <v>26</v>
      </c>
      <c r="AF136" s="25">
        <v>104</v>
      </c>
      <c r="AG136" s="25">
        <v>65</v>
      </c>
      <c r="AH136" s="1">
        <v>112</v>
      </c>
      <c r="AI136" s="1">
        <v>61</v>
      </c>
      <c r="AJ136" s="1">
        <v>3.3</v>
      </c>
      <c r="AK136" s="1">
        <v>0</v>
      </c>
      <c r="AL136" s="1">
        <v>0</v>
      </c>
      <c r="AM136" s="1">
        <v>0</v>
      </c>
      <c r="AN136" s="1">
        <v>0.04</v>
      </c>
      <c r="AO136" s="1">
        <v>0.01</v>
      </c>
      <c r="AP136" s="1">
        <v>4.0000000000000002E-4</v>
      </c>
      <c r="AQ136" s="1">
        <v>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2</v>
      </c>
      <c r="BI136" s="1" t="s">
        <v>71</v>
      </c>
      <c r="BJ136" s="1" t="s">
        <v>71</v>
      </c>
      <c r="BK136" s="1">
        <v>5.0000000000000001E-3</v>
      </c>
      <c r="BL136" s="1">
        <f t="shared" si="46"/>
        <v>0.5</v>
      </c>
      <c r="BM136" s="1">
        <v>0.5</v>
      </c>
      <c r="BN136" s="1">
        <v>0.1</v>
      </c>
      <c r="BO136" s="1">
        <v>1</v>
      </c>
      <c r="BP136" s="1">
        <v>10</v>
      </c>
      <c r="BQ136" s="1" t="s">
        <v>71</v>
      </c>
      <c r="BR136" s="1" t="s">
        <v>71</v>
      </c>
      <c r="BS136" s="1" t="s">
        <v>71</v>
      </c>
      <c r="BT136" s="1" t="s">
        <v>71</v>
      </c>
      <c r="BU136" s="1" t="s">
        <v>71</v>
      </c>
      <c r="BV136" s="1">
        <v>5.3</v>
      </c>
      <c r="BW136" s="1">
        <v>1.3</v>
      </c>
      <c r="BX136" s="1" t="s">
        <v>71</v>
      </c>
      <c r="BY136" s="1" t="s">
        <v>71</v>
      </c>
      <c r="BZ136" s="3">
        <v>1.4</v>
      </c>
      <c r="CA136" s="3">
        <v>1.8</v>
      </c>
      <c r="CB136" s="3">
        <f t="shared" si="47"/>
        <v>1.9444444444444444</v>
      </c>
      <c r="CC136" s="3">
        <f t="shared" si="30"/>
        <v>2.5000000000000004</v>
      </c>
      <c r="CD136" s="1">
        <f>ROUND(CB136/CB124+CC136/CC130,2)</f>
        <v>1.03</v>
      </c>
      <c r="CE136" s="1">
        <f>ROUND(CB136/CB127+CC136/CC130,2)</f>
        <v>1.02</v>
      </c>
      <c r="CF136" s="1">
        <f t="shared" si="44"/>
        <v>1.02</v>
      </c>
      <c r="CG136" s="1">
        <f>ROUND(CB136/CB124,2)</f>
        <v>0.39</v>
      </c>
      <c r="CH136" s="1">
        <f>ROUND(CB136/CB127,2)</f>
        <v>0.38</v>
      </c>
      <c r="CI136" s="1">
        <f>ROUND(CC136/CC130,2)</f>
        <v>0.64</v>
      </c>
      <c r="CJ136" s="1">
        <f>ROUND((CC136+CB136)/MAX(CC130,CB127),2)</f>
        <v>0.86</v>
      </c>
      <c r="CK136" s="1">
        <f>ROUND(LN((0.9*BZ136)/(0.1*CA136))/(BZ124/CA130),2)</f>
        <v>1.51</v>
      </c>
      <c r="CL136" s="1">
        <f>ROUND(LN((0.9*BZ136)/(0.1*CA136))/(BZ127/CA130),2)</f>
        <v>1.47</v>
      </c>
      <c r="CM136" s="1">
        <f>ROUND(LN((0.1*CA136)/(0.9*BZ136))/(CA130/BZ124),2)</f>
        <v>-2.5</v>
      </c>
      <c r="CN136" s="1">
        <f>ROUND(LN((0.1*CA136)/(0.9*BZ136))/(CA130/BZ127),2)</f>
        <v>-2.57</v>
      </c>
      <c r="CO136" s="1">
        <v>49</v>
      </c>
      <c r="CP136" s="1" t="s">
        <v>71</v>
      </c>
      <c r="CQ136" s="1">
        <v>36</v>
      </c>
      <c r="CR136" s="1">
        <v>145</v>
      </c>
      <c r="CS136" s="1">
        <v>37</v>
      </c>
      <c r="CT136" s="1">
        <v>10.199999999999999</v>
      </c>
      <c r="CU136" s="1">
        <v>10.5</v>
      </c>
      <c r="CV136" s="1" t="s">
        <v>71</v>
      </c>
      <c r="CW136" s="1" t="s">
        <v>71</v>
      </c>
      <c r="CX136" t="e">
        <f>ROUND(CV136*#REF!/10,1)</f>
        <v>#VALUE!</v>
      </c>
      <c r="CY136" s="1">
        <v>12.2</v>
      </c>
      <c r="CZ136">
        <f t="shared" si="45"/>
        <v>925</v>
      </c>
      <c r="DA136">
        <f t="shared" si="48"/>
        <v>237</v>
      </c>
      <c r="DB136">
        <f>(CZ136+DA136)/MAX(DA127,CZ130)</f>
        <v>0.80750521195274494</v>
      </c>
      <c r="DC136" s="1">
        <v>12.2</v>
      </c>
      <c r="DD136">
        <f t="shared" si="49"/>
        <v>1162</v>
      </c>
      <c r="DE136">
        <f t="shared" si="51"/>
        <v>0.17</v>
      </c>
      <c r="DF136">
        <f>ROUND(CZ136/MAX(DA127,CZ130), 2)</f>
        <v>0.64</v>
      </c>
    </row>
    <row r="137" spans="1:110" x14ac:dyDescent="0.15">
      <c r="A137" s="1">
        <v>2022</v>
      </c>
      <c r="B137" s="1" t="s">
        <v>49</v>
      </c>
      <c r="C137" s="1">
        <v>7</v>
      </c>
      <c r="D137" s="1">
        <v>15</v>
      </c>
      <c r="E137" s="1" t="s">
        <v>51</v>
      </c>
      <c r="F137" s="1" t="s">
        <v>55</v>
      </c>
      <c r="G137" s="1" t="s">
        <v>5</v>
      </c>
      <c r="H137" s="1">
        <v>3</v>
      </c>
      <c r="I137" s="23" t="s">
        <v>65</v>
      </c>
      <c r="J137" s="1" t="s">
        <v>57</v>
      </c>
      <c r="K137" s="24">
        <v>44700</v>
      </c>
      <c r="L137" s="27">
        <v>10000000000</v>
      </c>
      <c r="M137" s="1">
        <f>K137-K131</f>
        <v>0</v>
      </c>
      <c r="N137" s="24">
        <v>44711</v>
      </c>
      <c r="O137" s="24">
        <v>44723</v>
      </c>
      <c r="P137" s="24">
        <v>44700</v>
      </c>
      <c r="Q137" s="1">
        <f>P137-P131</f>
        <v>0</v>
      </c>
      <c r="R137" s="1">
        <f>N137-N127</f>
        <v>1</v>
      </c>
      <c r="S137" s="1">
        <f>O137-O127</f>
        <v>-3</v>
      </c>
      <c r="T137" s="1">
        <f t="shared" si="50"/>
        <v>-1</v>
      </c>
      <c r="U137" s="1" t="s">
        <v>71</v>
      </c>
      <c r="V137" s="1" t="s">
        <v>71</v>
      </c>
      <c r="W137" s="1">
        <v>-1</v>
      </c>
      <c r="X137" s="1">
        <v>0</v>
      </c>
      <c r="Y137" s="1">
        <v>0</v>
      </c>
      <c r="Z137" s="1" t="s">
        <v>71</v>
      </c>
      <c r="AA137" s="1" t="s">
        <v>71</v>
      </c>
      <c r="AB137" s="1" t="s">
        <v>71</v>
      </c>
      <c r="AC137" s="1" t="s">
        <v>71</v>
      </c>
      <c r="AD137" s="25">
        <v>35</v>
      </c>
      <c r="AE137" s="25">
        <v>30</v>
      </c>
      <c r="AF137" s="25">
        <v>89</v>
      </c>
      <c r="AG137" s="25">
        <v>63</v>
      </c>
      <c r="AH137" s="1">
        <v>111</v>
      </c>
      <c r="AI137" s="1">
        <v>64</v>
      </c>
      <c r="AJ137" s="1">
        <v>1.7</v>
      </c>
      <c r="AK137" s="1">
        <v>0.05</v>
      </c>
      <c r="AL137" s="1">
        <v>0.01</v>
      </c>
      <c r="AM137" s="1">
        <v>5.0000000000000001E-4</v>
      </c>
      <c r="AN137" s="1">
        <v>0.01</v>
      </c>
      <c r="AO137" s="1">
        <v>0.01</v>
      </c>
      <c r="AP137" s="1">
        <v>1E-4</v>
      </c>
      <c r="AQ137" s="1">
        <v>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1</v>
      </c>
      <c r="BI137" s="1" t="s">
        <v>71</v>
      </c>
      <c r="BJ137" s="1" t="s">
        <v>71</v>
      </c>
      <c r="BK137" s="1">
        <v>5.9999999999999995E-4</v>
      </c>
      <c r="BL137" s="1">
        <f t="shared" si="46"/>
        <v>0.06</v>
      </c>
      <c r="BM137" s="1">
        <v>0.2</v>
      </c>
      <c r="BN137" s="1">
        <v>0.4</v>
      </c>
      <c r="BO137" s="1">
        <v>1</v>
      </c>
      <c r="BP137" s="1">
        <v>0</v>
      </c>
      <c r="BQ137" s="1" t="s">
        <v>71</v>
      </c>
      <c r="BR137" s="1" t="s">
        <v>71</v>
      </c>
      <c r="BS137" s="1" t="s">
        <v>71</v>
      </c>
      <c r="BT137" s="1" t="s">
        <v>71</v>
      </c>
      <c r="BU137" s="1" t="s">
        <v>71</v>
      </c>
      <c r="BV137" s="1">
        <v>5</v>
      </c>
      <c r="BW137" s="1">
        <v>1.3</v>
      </c>
      <c r="BX137" s="1" t="s">
        <v>71</v>
      </c>
      <c r="BY137" s="1" t="s">
        <v>71</v>
      </c>
      <c r="BZ137" s="3">
        <v>1.2</v>
      </c>
      <c r="CA137" s="3">
        <v>1.1000000000000001</v>
      </c>
      <c r="CB137" s="3">
        <f t="shared" si="47"/>
        <v>1.666666666666667</v>
      </c>
      <c r="CC137" s="3">
        <f t="shared" si="30"/>
        <v>1.5277777777777781</v>
      </c>
      <c r="CD137" s="1">
        <f>ROUND(CB137/CB124+CC137/CC131,2)</f>
        <v>0.81</v>
      </c>
      <c r="CE137" s="1">
        <f>ROUND(CB137/CB127+CC137/CC131,2)</f>
        <v>0.8</v>
      </c>
      <c r="CF137" s="1">
        <f t="shared" si="44"/>
        <v>0.8</v>
      </c>
      <c r="CG137" s="1">
        <f>ROUND(CB137/CB124,2)</f>
        <v>0.33</v>
      </c>
      <c r="CH137" s="1">
        <f>ROUND(CB137/CB127,2)</f>
        <v>0.32</v>
      </c>
      <c r="CI137" s="1">
        <f>ROUND(CC137/CC131,2)</f>
        <v>0.48</v>
      </c>
      <c r="CJ137" s="1">
        <f>ROUND((CC137+CB137)/MAX(CC131,CB127),2)</f>
        <v>0.62</v>
      </c>
      <c r="CK137" s="1">
        <f>ROUND(LN((0.9*BZ137)/(0.1*CA137))/(BZ124/CA131),2)</f>
        <v>1.46</v>
      </c>
      <c r="CL137" s="1">
        <f>ROUND(LN((0.9*BZ137)/(0.1*CA137))/(BZ127/CA131),2)</f>
        <v>1.42</v>
      </c>
      <c r="CM137" s="1">
        <f>ROUND(LN((0.1*CA137)/(0.9*BZ137))/(CA131/BZ124),2)</f>
        <v>-3.58</v>
      </c>
      <c r="CN137" s="1">
        <f>ROUND(LN((0.1*CA137)/(0.9*BZ137))/(CA131/BZ127),2)</f>
        <v>-3.67</v>
      </c>
      <c r="CO137" s="1">
        <v>49</v>
      </c>
      <c r="CP137" s="1" t="s">
        <v>71</v>
      </c>
      <c r="CQ137" s="1">
        <v>32</v>
      </c>
      <c r="CR137" s="1">
        <v>149</v>
      </c>
      <c r="CS137" s="1">
        <v>40</v>
      </c>
      <c r="CT137" s="1">
        <v>10.199999999999999</v>
      </c>
      <c r="CU137" s="1">
        <v>8.6</v>
      </c>
      <c r="CV137" s="1" t="s">
        <v>71</v>
      </c>
      <c r="CW137" s="1" t="s">
        <v>71</v>
      </c>
      <c r="CX137" t="e">
        <f>ROUND(CV137*#REF!/10,1)</f>
        <v>#VALUE!</v>
      </c>
      <c r="CY137" s="1">
        <v>11.6</v>
      </c>
      <c r="CZ137">
        <f t="shared" si="45"/>
        <v>611</v>
      </c>
      <c r="DA137">
        <f t="shared" si="48"/>
        <v>193</v>
      </c>
      <c r="DB137">
        <f>(CZ137+DA137)/MAX(DA127,CZ131)</f>
        <v>0.68020304568527923</v>
      </c>
      <c r="DC137" s="1">
        <v>11.6</v>
      </c>
      <c r="DD137">
        <f t="shared" si="49"/>
        <v>804</v>
      </c>
      <c r="DE137">
        <f t="shared" si="51"/>
        <v>0.16</v>
      </c>
      <c r="DF137">
        <f>ROUND(CZ137/MAX(DA127,CZ131), 2)</f>
        <v>0.52</v>
      </c>
    </row>
    <row r="138" spans="1:110" x14ac:dyDescent="0.15">
      <c r="A138" s="1">
        <v>2022</v>
      </c>
      <c r="B138" s="1" t="s">
        <v>49</v>
      </c>
      <c r="C138" s="1">
        <v>7</v>
      </c>
      <c r="D138" s="1">
        <v>16</v>
      </c>
      <c r="E138" s="1" t="s">
        <v>52</v>
      </c>
      <c r="F138" s="1" t="s">
        <v>53</v>
      </c>
      <c r="G138" s="1" t="s">
        <v>5</v>
      </c>
      <c r="H138" s="1">
        <v>3</v>
      </c>
      <c r="I138" s="23" t="s">
        <v>66</v>
      </c>
      <c r="J138" s="1" t="s">
        <v>57</v>
      </c>
      <c r="K138" s="24">
        <v>44700</v>
      </c>
      <c r="L138" s="1">
        <f>K138-K128</f>
        <v>10</v>
      </c>
      <c r="M138" s="1">
        <f>K138-K129</f>
        <v>0</v>
      </c>
      <c r="N138" s="24">
        <v>44717</v>
      </c>
      <c r="O138" s="24">
        <v>44727</v>
      </c>
      <c r="P138" s="24">
        <v>44700</v>
      </c>
      <c r="Q138" s="1">
        <f>P138-P129</f>
        <v>0</v>
      </c>
      <c r="R138" s="1">
        <f>N138-N128</f>
        <v>5</v>
      </c>
      <c r="S138" s="1">
        <f>O138-O128</f>
        <v>1</v>
      </c>
      <c r="T138" s="1">
        <f t="shared" si="50"/>
        <v>3</v>
      </c>
      <c r="U138" s="1" t="s">
        <v>71</v>
      </c>
      <c r="V138" s="1" t="s">
        <v>71</v>
      </c>
      <c r="W138" s="1">
        <v>2</v>
      </c>
      <c r="X138" s="1">
        <v>0</v>
      </c>
      <c r="Y138" s="1">
        <v>0</v>
      </c>
      <c r="Z138" s="1" t="s">
        <v>71</v>
      </c>
      <c r="AA138" s="1" t="s">
        <v>71</v>
      </c>
      <c r="AB138" s="1" t="s">
        <v>71</v>
      </c>
      <c r="AC138" s="1" t="s">
        <v>71</v>
      </c>
      <c r="AD138" s="25">
        <v>37</v>
      </c>
      <c r="AE138" s="25">
        <v>29</v>
      </c>
      <c r="AF138" s="25">
        <v>77</v>
      </c>
      <c r="AG138" s="25">
        <v>65</v>
      </c>
      <c r="AH138" s="1">
        <v>83</v>
      </c>
      <c r="AI138" s="1">
        <v>63</v>
      </c>
      <c r="AJ138" s="1">
        <v>3.3</v>
      </c>
      <c r="AK138" s="1">
        <v>0</v>
      </c>
      <c r="AL138" s="1">
        <v>0</v>
      </c>
      <c r="AM138" s="1">
        <v>0</v>
      </c>
      <c r="AN138" s="1" t="s">
        <v>71</v>
      </c>
      <c r="AO138" s="1" t="s">
        <v>71</v>
      </c>
      <c r="AP138" s="1" t="s">
        <v>71</v>
      </c>
      <c r="AQ138" s="1">
        <v>5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1</v>
      </c>
      <c r="BI138" s="1" t="s">
        <v>71</v>
      </c>
      <c r="BJ138" s="1" t="s">
        <v>71</v>
      </c>
      <c r="BK138" s="1">
        <v>0.01</v>
      </c>
      <c r="BL138" s="1">
        <f t="shared" si="46"/>
        <v>1</v>
      </c>
      <c r="BM138" s="1">
        <v>1</v>
      </c>
      <c r="BN138" s="1">
        <v>0.01</v>
      </c>
      <c r="BO138" s="1">
        <v>1</v>
      </c>
      <c r="BP138" s="1">
        <v>0</v>
      </c>
      <c r="BQ138" s="1" t="s">
        <v>71</v>
      </c>
      <c r="BR138" s="1" t="s">
        <v>71</v>
      </c>
      <c r="BS138" s="1" t="s">
        <v>71</v>
      </c>
      <c r="BT138" s="1" t="s">
        <v>71</v>
      </c>
      <c r="BU138" s="1" t="s">
        <v>71</v>
      </c>
      <c r="BV138" s="1">
        <v>5</v>
      </c>
      <c r="BW138" s="1">
        <v>1</v>
      </c>
      <c r="BX138" s="1" t="s">
        <v>71</v>
      </c>
      <c r="BY138" s="1" t="s">
        <v>71</v>
      </c>
      <c r="BZ138" s="3">
        <v>1.2</v>
      </c>
      <c r="CA138" s="3">
        <v>2.1</v>
      </c>
      <c r="CB138" s="3">
        <f t="shared" si="47"/>
        <v>1.666666666666667</v>
      </c>
      <c r="CC138" s="3">
        <f t="shared" ref="CC138:CC200" si="52">CA138/(1.5*4.8)*10</f>
        <v>2.916666666666667</v>
      </c>
      <c r="CD138" s="1">
        <f>ROUND(CB138/CB125+CC138/CC129,2)</f>
        <v>1.38</v>
      </c>
      <c r="CE138" s="1">
        <f>ROUND(CB138/CB128+CC138/CC129,2)</f>
        <v>1.27</v>
      </c>
      <c r="CF138" s="1">
        <f>ROUND(CB138/(1.2*CB128)+CC138/CC129,2)</f>
        <v>1.22</v>
      </c>
      <c r="CG138" s="1">
        <f>ROUND(CB138/CB125,2)</f>
        <v>0.43</v>
      </c>
      <c r="CH138" s="1">
        <f>ROUND(CB138/CB128,2)</f>
        <v>0.32</v>
      </c>
      <c r="CI138" s="1">
        <f>ROUND(CC138/CC129,2)</f>
        <v>0.95</v>
      </c>
      <c r="CJ138" s="1">
        <f>ROUND((CC138+CB138)/MAX(CC129,CB128),2)</f>
        <v>0.87</v>
      </c>
      <c r="CK138" s="1">
        <f>ROUND(LN((0.9*BZ138)/(0.1*CA138))/(BZ125/CA129),2)</f>
        <v>1.29</v>
      </c>
      <c r="CL138" s="1">
        <f>ROUND(LN((0.9*BZ138)/(0.1*CA138))/(BZ128/CA129),2)</f>
        <v>0.95</v>
      </c>
      <c r="CM138" s="1">
        <f>ROUND(LN((0.1*CA138)/(0.9*BZ138))/(CA129/BZ125),2)</f>
        <v>-2.08</v>
      </c>
      <c r="CN138" s="1">
        <f>ROUND(LN((0.1*CA138)/(0.9*BZ138))/(CA129/BZ128),2)</f>
        <v>-2.83</v>
      </c>
      <c r="CO138" s="1">
        <v>48</v>
      </c>
      <c r="CP138" s="1" t="s">
        <v>71</v>
      </c>
      <c r="CQ138" s="1">
        <v>31</v>
      </c>
      <c r="CR138" s="1">
        <v>160</v>
      </c>
      <c r="CS138" s="1">
        <v>32</v>
      </c>
      <c r="CT138" s="1">
        <v>10.199999999999999</v>
      </c>
      <c r="CU138" s="1">
        <v>10.1</v>
      </c>
      <c r="CV138" s="1" t="s">
        <v>71</v>
      </c>
      <c r="CW138" s="1" t="s">
        <v>71</v>
      </c>
      <c r="CX138" t="e">
        <f>ROUND(CV138*#REF!/10,1)</f>
        <v>#VALUE!</v>
      </c>
      <c r="CY138" s="1">
        <v>13</v>
      </c>
      <c r="CZ138">
        <f t="shared" si="45"/>
        <v>933</v>
      </c>
      <c r="DA138">
        <f t="shared" si="48"/>
        <v>217</v>
      </c>
      <c r="DB138">
        <f>(CZ138+DA138)/MAX(DA128,CZ129)</f>
        <v>1.1758691206543967</v>
      </c>
      <c r="DC138" s="1">
        <v>13</v>
      </c>
      <c r="DD138">
        <f t="shared" si="49"/>
        <v>1150</v>
      </c>
      <c r="DE138">
        <f t="shared" si="51"/>
        <v>0.23</v>
      </c>
      <c r="DF138">
        <f>ROUND(CZ138/MAX(DA128,CZ129), 2)</f>
        <v>0.95</v>
      </c>
    </row>
    <row r="139" spans="1:110" x14ac:dyDescent="0.15">
      <c r="A139" s="1">
        <v>2022</v>
      </c>
      <c r="B139" s="1" t="s">
        <v>49</v>
      </c>
      <c r="C139" s="1">
        <v>7</v>
      </c>
      <c r="D139" s="1">
        <v>17</v>
      </c>
      <c r="E139" s="1" t="s">
        <v>52</v>
      </c>
      <c r="F139" s="1" t="s">
        <v>54</v>
      </c>
      <c r="G139" s="1" t="s">
        <v>5</v>
      </c>
      <c r="H139" s="1">
        <v>3</v>
      </c>
      <c r="I139" s="23" t="s">
        <v>67</v>
      </c>
      <c r="J139" s="1" t="s">
        <v>57</v>
      </c>
      <c r="K139" s="24">
        <v>44700</v>
      </c>
      <c r="L139" s="1">
        <f>K139-K128</f>
        <v>10</v>
      </c>
      <c r="M139" s="1">
        <f>K139-K130</f>
        <v>0</v>
      </c>
      <c r="N139" s="24">
        <v>44718</v>
      </c>
      <c r="O139" s="24">
        <v>44728</v>
      </c>
      <c r="P139" s="24">
        <v>44701</v>
      </c>
      <c r="Q139" s="1">
        <f>P139-P130</f>
        <v>1</v>
      </c>
      <c r="R139" s="1">
        <f>N139-N128</f>
        <v>6</v>
      </c>
      <c r="S139" s="1">
        <f>O139-O128</f>
        <v>2</v>
      </c>
      <c r="T139" s="1">
        <f t="shared" si="50"/>
        <v>4</v>
      </c>
      <c r="U139" s="1" t="s">
        <v>71</v>
      </c>
      <c r="V139" s="1" t="s">
        <v>71</v>
      </c>
      <c r="W139" s="1">
        <v>2</v>
      </c>
      <c r="X139" s="1">
        <v>0</v>
      </c>
      <c r="Y139" s="1">
        <v>0</v>
      </c>
      <c r="Z139" s="1" t="s">
        <v>71</v>
      </c>
      <c r="AA139" s="1" t="s">
        <v>71</v>
      </c>
      <c r="AB139" s="1" t="s">
        <v>71</v>
      </c>
      <c r="AC139" s="1" t="s">
        <v>71</v>
      </c>
      <c r="AD139" s="25">
        <v>34</v>
      </c>
      <c r="AE139" s="25">
        <v>24</v>
      </c>
      <c r="AF139" s="25">
        <v>84</v>
      </c>
      <c r="AG139" s="25">
        <v>68</v>
      </c>
      <c r="AH139" s="1">
        <v>89</v>
      </c>
      <c r="AI139" s="1">
        <v>68</v>
      </c>
      <c r="AJ139" s="1">
        <v>3.7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9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1</v>
      </c>
      <c r="BI139" s="1" t="s">
        <v>71</v>
      </c>
      <c r="BJ139" s="1" t="s">
        <v>71</v>
      </c>
      <c r="BK139" s="1">
        <v>7.2000000000000007E-3</v>
      </c>
      <c r="BL139" s="1">
        <f t="shared" si="46"/>
        <v>0.72000000000000008</v>
      </c>
      <c r="BM139" s="1">
        <v>0.9</v>
      </c>
      <c r="BN139" s="1" t="s">
        <v>71</v>
      </c>
      <c r="BO139" s="1">
        <v>1</v>
      </c>
      <c r="BP139" s="1">
        <v>5</v>
      </c>
      <c r="BQ139" s="1" t="s">
        <v>71</v>
      </c>
      <c r="BR139" s="1" t="s">
        <v>71</v>
      </c>
      <c r="BS139" s="1" t="s">
        <v>71</v>
      </c>
      <c r="BT139" s="1" t="s">
        <v>71</v>
      </c>
      <c r="BU139" s="1" t="s">
        <v>71</v>
      </c>
      <c r="BV139" s="1">
        <v>4.7</v>
      </c>
      <c r="BW139" s="1">
        <v>0.7</v>
      </c>
      <c r="BX139" s="1" t="s">
        <v>71</v>
      </c>
      <c r="BY139" s="1" t="s">
        <v>71</v>
      </c>
      <c r="BZ139" s="3">
        <v>1.1000000000000001</v>
      </c>
      <c r="CA139" s="3">
        <v>2</v>
      </c>
      <c r="CB139" s="3">
        <f t="shared" si="47"/>
        <v>1.5277777777777781</v>
      </c>
      <c r="CC139" s="3">
        <f t="shared" si="52"/>
        <v>2.7777777777777777</v>
      </c>
      <c r="CD139" s="1">
        <f>ROUND(CB139/CB125+CC139/CC130,2)</f>
        <v>1.1100000000000001</v>
      </c>
      <c r="CE139" s="1">
        <f>ROUND(CB139/CB128+CC139/CC130,2)</f>
        <v>1</v>
      </c>
      <c r="CF139" s="1">
        <f>ROUND(CB139/(1.2*CB128)+CC139/CC130,2)</f>
        <v>0.96</v>
      </c>
      <c r="CG139" s="1">
        <f>ROUND(CB139/CB125,2)</f>
        <v>0.39</v>
      </c>
      <c r="CH139" s="1">
        <f>ROUND(CB139/CB128,2)</f>
        <v>0.28999999999999998</v>
      </c>
      <c r="CI139" s="1">
        <f>ROUND(CC139/CC130,2)</f>
        <v>0.71</v>
      </c>
      <c r="CJ139" s="1">
        <f>ROUND((CC139+CB139)/MAX(CC130,CB128),2)</f>
        <v>0.82</v>
      </c>
      <c r="CK139" s="1">
        <f>ROUND(LN((0.9*BZ139)/(0.1*CA139))/(BZ125/CA130),2)</f>
        <v>1.6</v>
      </c>
      <c r="CL139" s="1">
        <f>ROUND(LN((0.9*BZ139)/(0.1*CA139))/(BZ128/CA130),2)</f>
        <v>1.18</v>
      </c>
      <c r="CM139" s="1">
        <f>ROUND(LN((0.1*CA139)/(0.9*BZ139))/(CA130/BZ125),2)</f>
        <v>-1.6</v>
      </c>
      <c r="CN139" s="1">
        <f>ROUND(LN((0.1*CA139)/(0.9*BZ139))/(CA130/BZ128),2)</f>
        <v>-2.17</v>
      </c>
      <c r="CO139" s="1">
        <v>47</v>
      </c>
      <c r="CP139" s="1" t="s">
        <v>71</v>
      </c>
      <c r="CQ139" s="1">
        <v>33</v>
      </c>
      <c r="CR139" s="1">
        <v>142</v>
      </c>
      <c r="CS139" s="1">
        <v>36</v>
      </c>
      <c r="CT139" s="1">
        <v>10.3</v>
      </c>
      <c r="CU139" s="1">
        <v>10</v>
      </c>
      <c r="CV139" s="1" t="s">
        <v>71</v>
      </c>
      <c r="CW139" s="1" t="s">
        <v>71</v>
      </c>
      <c r="CX139" t="e">
        <f>ROUND(CV139*#REF!/10,1)</f>
        <v>#VALUE!</v>
      </c>
      <c r="CY139" s="1">
        <v>13.1</v>
      </c>
      <c r="CZ139">
        <f t="shared" si="45"/>
        <v>1000</v>
      </c>
      <c r="DA139">
        <f t="shared" si="48"/>
        <v>200</v>
      </c>
      <c r="DB139">
        <f>(CZ139+DA139)/MAX(DA128,CZ130)</f>
        <v>0.83391243919388469</v>
      </c>
      <c r="DC139" s="1">
        <v>13.1</v>
      </c>
      <c r="DD139">
        <f t="shared" si="49"/>
        <v>1200</v>
      </c>
      <c r="DE139">
        <f t="shared" si="51"/>
        <v>0.14000000000000001</v>
      </c>
      <c r="DF139">
        <f>ROUND(CZ139/MAX(DA128,CZ130), 2)</f>
        <v>0.69</v>
      </c>
    </row>
    <row r="140" spans="1:110" x14ac:dyDescent="0.15">
      <c r="A140" s="1">
        <v>2022</v>
      </c>
      <c r="B140" s="1" t="s">
        <v>49</v>
      </c>
      <c r="C140" s="1">
        <v>7</v>
      </c>
      <c r="D140" s="1">
        <v>18</v>
      </c>
      <c r="E140" s="1" t="s">
        <v>52</v>
      </c>
      <c r="F140" s="1" t="s">
        <v>55</v>
      </c>
      <c r="G140" s="1" t="s">
        <v>5</v>
      </c>
      <c r="H140" s="1">
        <v>3</v>
      </c>
      <c r="I140" s="23" t="s">
        <v>68</v>
      </c>
      <c r="J140" s="1" t="s">
        <v>57</v>
      </c>
      <c r="K140" s="24">
        <v>44700</v>
      </c>
      <c r="L140" s="1">
        <f>K140-K128</f>
        <v>10</v>
      </c>
      <c r="M140" s="1">
        <f>K140-K131</f>
        <v>0</v>
      </c>
      <c r="N140" s="24">
        <v>44715</v>
      </c>
      <c r="O140" s="24">
        <v>44698</v>
      </c>
      <c r="P140" s="24">
        <v>44700</v>
      </c>
      <c r="Q140" s="1">
        <f>P140-P131</f>
        <v>0</v>
      </c>
      <c r="R140" s="1">
        <f>N140-N128</f>
        <v>3</v>
      </c>
      <c r="S140" s="1">
        <f>O140-O128</f>
        <v>-28</v>
      </c>
      <c r="T140" s="1">
        <f t="shared" si="50"/>
        <v>-12.5</v>
      </c>
      <c r="U140" s="1" t="s">
        <v>71</v>
      </c>
      <c r="V140" s="1" t="s">
        <v>71</v>
      </c>
      <c r="W140" s="1">
        <v>-1</v>
      </c>
      <c r="X140" s="1">
        <v>0</v>
      </c>
      <c r="Y140" s="1">
        <v>0</v>
      </c>
      <c r="Z140" s="1" t="s">
        <v>71</v>
      </c>
      <c r="AA140" s="1" t="s">
        <v>71</v>
      </c>
      <c r="AB140" s="1" t="s">
        <v>71</v>
      </c>
      <c r="AC140" s="1" t="s">
        <v>71</v>
      </c>
      <c r="AD140" s="25">
        <v>38</v>
      </c>
      <c r="AE140" s="25">
        <v>30</v>
      </c>
      <c r="AF140" s="25">
        <v>86</v>
      </c>
      <c r="AG140" s="25">
        <v>69</v>
      </c>
      <c r="AH140" s="1">
        <v>86</v>
      </c>
      <c r="AI140" s="1">
        <v>81</v>
      </c>
      <c r="AJ140" s="1">
        <v>3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 t="s">
        <v>71</v>
      </c>
      <c r="BI140" s="1" t="s">
        <v>71</v>
      </c>
      <c r="BJ140" s="1" t="s">
        <v>71</v>
      </c>
      <c r="BK140" s="1">
        <v>1.0000000000000002E-4</v>
      </c>
      <c r="BL140" s="1">
        <f t="shared" si="46"/>
        <v>1.0000000000000002E-2</v>
      </c>
      <c r="BM140" s="1">
        <v>0.1</v>
      </c>
      <c r="BN140" s="1" t="s">
        <v>71</v>
      </c>
      <c r="BO140" s="1">
        <v>1</v>
      </c>
      <c r="BP140" s="1">
        <v>0</v>
      </c>
      <c r="BQ140" s="1" t="s">
        <v>71</v>
      </c>
      <c r="BR140" s="1" t="s">
        <v>71</v>
      </c>
      <c r="BS140" s="1" t="s">
        <v>71</v>
      </c>
      <c r="BT140" s="1" t="s">
        <v>71</v>
      </c>
      <c r="BU140" s="1" t="s">
        <v>71</v>
      </c>
      <c r="BV140" s="1">
        <v>5</v>
      </c>
      <c r="BW140" s="1">
        <v>1.7</v>
      </c>
      <c r="BX140" s="1" t="s">
        <v>71</v>
      </c>
      <c r="BY140" s="1" t="s">
        <v>71</v>
      </c>
      <c r="BZ140" s="3">
        <v>1.5</v>
      </c>
      <c r="CA140" s="3">
        <v>1.2</v>
      </c>
      <c r="CB140" s="3">
        <f t="shared" si="47"/>
        <v>2.0833333333333335</v>
      </c>
      <c r="CC140" s="3">
        <f t="shared" si="52"/>
        <v>1.666666666666667</v>
      </c>
      <c r="CD140" s="1">
        <f>ROUND(CB140/CB125+CC140/CC131,2)</f>
        <v>1.06</v>
      </c>
      <c r="CE140" s="1">
        <f>ROUND(CB140/CB128+CC140/CC131,2)</f>
        <v>0.92</v>
      </c>
      <c r="CF140" s="1">
        <f>ROUND(CB140/(1.2*CB128)+CC140/CC131,2)</f>
        <v>0.85</v>
      </c>
      <c r="CG140" s="1">
        <f>ROUND(CB140/CB125,2)</f>
        <v>0.54</v>
      </c>
      <c r="CH140" s="1">
        <f>ROUND(CB140/CB128,2)</f>
        <v>0.39</v>
      </c>
      <c r="CI140" s="1">
        <f>ROUND(CC140/CC131,2)</f>
        <v>0.52</v>
      </c>
      <c r="CJ140" s="1">
        <f>ROUND((CC140+CB140)/MAX(CC131,CB128),2)</f>
        <v>0.71</v>
      </c>
      <c r="CK140" s="1">
        <f>ROUND(LN((0.9*BZ140)/(0.1*CA140))/(BZ125/CA131),2)</f>
        <v>1.99</v>
      </c>
      <c r="CL140" s="1">
        <f>ROUND(LN((0.9*BZ140)/(0.1*CA140))/(BZ128/CA131),2)</f>
        <v>1.46</v>
      </c>
      <c r="CM140" s="1">
        <f>ROUND(LN((0.1*CA140)/(0.9*BZ140))/(CA131/BZ125),2)</f>
        <v>-2.95</v>
      </c>
      <c r="CN140" s="1">
        <f>ROUND(LN((0.1*CA140)/(0.9*BZ140))/(CA131/BZ128),2)</f>
        <v>-4</v>
      </c>
      <c r="CO140" s="1">
        <v>45</v>
      </c>
      <c r="CP140" s="1" t="s">
        <v>71</v>
      </c>
      <c r="CQ140" s="1">
        <v>36</v>
      </c>
      <c r="CR140" s="1">
        <v>166</v>
      </c>
      <c r="CS140" s="1">
        <v>40</v>
      </c>
      <c r="CT140" s="1">
        <v>10.3</v>
      </c>
      <c r="CU140" s="1">
        <v>9.5</v>
      </c>
      <c r="CV140" s="1" t="s">
        <v>71</v>
      </c>
      <c r="CW140" s="1" t="s">
        <v>71</v>
      </c>
      <c r="CX140" t="e">
        <f>ROUND(CV140*#REF!/10,1)</f>
        <v>#VALUE!</v>
      </c>
      <c r="CY140" s="1">
        <v>12.4</v>
      </c>
      <c r="CZ140">
        <f t="shared" si="45"/>
        <v>667</v>
      </c>
      <c r="DA140">
        <f t="shared" si="48"/>
        <v>258</v>
      </c>
      <c r="DB140">
        <f>(CZ140+DA140)/MAX(DA128,CZ131)</f>
        <v>0.78257191201353637</v>
      </c>
      <c r="DC140" s="1">
        <v>12.4</v>
      </c>
      <c r="DD140">
        <f t="shared" si="49"/>
        <v>925</v>
      </c>
      <c r="DE140">
        <f t="shared" si="51"/>
        <v>0.22</v>
      </c>
      <c r="DF140">
        <f>ROUND(CZ140/MAX(DA128,CZ131), 2)</f>
        <v>0.56000000000000005</v>
      </c>
    </row>
    <row r="141" spans="1:110" x14ac:dyDescent="0.15">
      <c r="A141" s="1">
        <v>2022</v>
      </c>
      <c r="B141" s="1" t="s">
        <v>49</v>
      </c>
      <c r="C141" s="1">
        <v>7</v>
      </c>
      <c r="D141" s="1">
        <v>19</v>
      </c>
      <c r="E141" s="1"/>
      <c r="F141" s="1"/>
      <c r="G141" s="1" t="s">
        <v>56</v>
      </c>
      <c r="H141" s="1">
        <v>3</v>
      </c>
      <c r="I141" s="23" t="s">
        <v>69</v>
      </c>
      <c r="J141" s="1" t="s">
        <v>57</v>
      </c>
      <c r="K141" s="1" t="s">
        <v>57</v>
      </c>
      <c r="L141" s="1" t="s">
        <v>71</v>
      </c>
      <c r="M141" s="1" t="s">
        <v>71</v>
      </c>
      <c r="N141" s="24">
        <v>44715</v>
      </c>
      <c r="O141" s="24">
        <v>44730</v>
      </c>
      <c r="P141" s="1" t="s">
        <v>71</v>
      </c>
      <c r="Q141" s="1" t="s">
        <v>71</v>
      </c>
      <c r="R141" s="1" t="s">
        <v>71</v>
      </c>
      <c r="S141" s="1" t="s">
        <v>71</v>
      </c>
      <c r="T141" s="1" t="s">
        <v>71</v>
      </c>
      <c r="U141" s="1" t="s">
        <v>71</v>
      </c>
      <c r="V141" s="1" t="s">
        <v>71</v>
      </c>
      <c r="W141" s="1" t="s">
        <v>71</v>
      </c>
      <c r="X141" s="1">
        <v>0</v>
      </c>
      <c r="Y141" s="1">
        <v>0</v>
      </c>
      <c r="Z141" s="1" t="s">
        <v>71</v>
      </c>
      <c r="AA141" s="1" t="s">
        <v>71</v>
      </c>
      <c r="AB141" s="1" t="s">
        <v>71</v>
      </c>
      <c r="AC141" s="1" t="s">
        <v>71</v>
      </c>
      <c r="AD141" s="25">
        <v>37</v>
      </c>
      <c r="AE141" s="25" t="s">
        <v>71</v>
      </c>
      <c r="AF141" s="25">
        <v>62</v>
      </c>
      <c r="AG141" s="25" t="s">
        <v>71</v>
      </c>
      <c r="AH141" s="1">
        <v>63</v>
      </c>
      <c r="AI141" s="1" t="s">
        <v>71</v>
      </c>
      <c r="AJ141" s="1">
        <v>2</v>
      </c>
      <c r="AK141" s="1" t="s">
        <v>71</v>
      </c>
      <c r="AL141" s="1" t="s">
        <v>71</v>
      </c>
      <c r="AM141" s="1" t="s">
        <v>71</v>
      </c>
      <c r="AN141" s="1">
        <v>0.01</v>
      </c>
      <c r="AO141" s="1">
        <v>0.05</v>
      </c>
      <c r="AP141" s="1">
        <v>5.0000000000000001E-4</v>
      </c>
      <c r="AQ141" s="1">
        <v>9</v>
      </c>
      <c r="AR141" s="1" t="s">
        <v>71</v>
      </c>
      <c r="AS141" s="1" t="s">
        <v>71</v>
      </c>
      <c r="AT141" s="1" t="s">
        <v>71</v>
      </c>
      <c r="AU141" s="1">
        <v>0</v>
      </c>
      <c r="AV141" s="1">
        <v>0</v>
      </c>
      <c r="AW141" s="1">
        <v>0</v>
      </c>
      <c r="AX141" s="1" t="s">
        <v>71</v>
      </c>
      <c r="AY141" s="1" t="s">
        <v>71</v>
      </c>
      <c r="AZ141" s="1">
        <v>0</v>
      </c>
      <c r="BA141" s="1" t="s">
        <v>71</v>
      </c>
      <c r="BB141" s="1" t="s">
        <v>71</v>
      </c>
      <c r="BC141" s="1" t="s">
        <v>71</v>
      </c>
      <c r="BD141" s="1" t="s">
        <v>71</v>
      </c>
      <c r="BE141" s="1" t="s">
        <v>71</v>
      </c>
      <c r="BF141" s="1" t="s">
        <v>71</v>
      </c>
      <c r="BG141" s="1" t="s">
        <v>71</v>
      </c>
      <c r="BH141" s="1" t="s">
        <v>71</v>
      </c>
      <c r="BI141" s="1" t="s">
        <v>71</v>
      </c>
      <c r="BJ141" s="1" t="s">
        <v>71</v>
      </c>
      <c r="BK141" s="1">
        <v>8.0000000000000015E-4</v>
      </c>
      <c r="BL141" s="1">
        <f t="shared" si="46"/>
        <v>8.0000000000000016E-2</v>
      </c>
      <c r="BM141" s="1">
        <v>0.1</v>
      </c>
      <c r="BN141" s="1" t="s">
        <v>71</v>
      </c>
      <c r="BO141" s="1">
        <v>1</v>
      </c>
      <c r="BP141" s="1">
        <v>0</v>
      </c>
      <c r="BQ141" s="1" t="s">
        <v>71</v>
      </c>
      <c r="BR141" s="1" t="s">
        <v>71</v>
      </c>
      <c r="BS141" s="1" t="s">
        <v>71</v>
      </c>
      <c r="BT141" s="1" t="s">
        <v>71</v>
      </c>
      <c r="BU141" s="1" t="s">
        <v>71</v>
      </c>
      <c r="BV141" s="1" t="s">
        <v>71</v>
      </c>
      <c r="BW141" s="1" t="s">
        <v>71</v>
      </c>
      <c r="BX141" s="1" t="s">
        <v>71</v>
      </c>
      <c r="BY141" s="1" t="s">
        <v>71</v>
      </c>
      <c r="BZ141" s="3" t="s">
        <v>71</v>
      </c>
      <c r="CA141" s="3" t="s">
        <v>71</v>
      </c>
      <c r="CB141" s="3" t="s">
        <v>71</v>
      </c>
      <c r="CC141" s="3" t="s">
        <v>71</v>
      </c>
      <c r="CD141" s="1" t="s">
        <v>71</v>
      </c>
      <c r="CE141" s="1" t="s">
        <v>71</v>
      </c>
      <c r="CF141" s="1" t="s">
        <v>71</v>
      </c>
      <c r="CG141" s="1" t="s">
        <v>71</v>
      </c>
      <c r="CH141" s="1" t="s">
        <v>71</v>
      </c>
      <c r="CI141" s="1" t="s">
        <v>71</v>
      </c>
      <c r="CJ141" s="1" t="s">
        <v>71</v>
      </c>
      <c r="CK141" s="1" t="s">
        <v>71</v>
      </c>
      <c r="CL141" s="3" t="s">
        <v>71</v>
      </c>
      <c r="CM141" s="3" t="s">
        <v>71</v>
      </c>
      <c r="CN141" s="3" t="s">
        <v>71</v>
      </c>
      <c r="CO141" s="1">
        <v>42</v>
      </c>
      <c r="CP141" s="1" t="s">
        <v>71</v>
      </c>
      <c r="CQ141" s="1">
        <v>29</v>
      </c>
      <c r="CR141" s="1">
        <v>0</v>
      </c>
      <c r="CS141" s="1" t="s">
        <v>71</v>
      </c>
      <c r="CT141" s="1">
        <v>9.4</v>
      </c>
      <c r="CU141" s="1" t="s">
        <v>71</v>
      </c>
      <c r="CV141" s="1" t="s">
        <v>71</v>
      </c>
      <c r="CW141" s="1" t="s">
        <v>71</v>
      </c>
      <c r="CX141" t="s">
        <v>71</v>
      </c>
      <c r="CY141" s="1">
        <v>10.5</v>
      </c>
      <c r="CZ141" t="s">
        <v>71</v>
      </c>
      <c r="DA141" t="s">
        <v>71</v>
      </c>
      <c r="DB141" t="s">
        <v>71</v>
      </c>
      <c r="DC141" s="1">
        <v>10.5</v>
      </c>
      <c r="DD141">
        <f t="shared" si="49"/>
        <v>0</v>
      </c>
      <c r="DE141" t="s">
        <v>71</v>
      </c>
      <c r="DF141" s="26" t="s">
        <v>71</v>
      </c>
    </row>
    <row r="142" spans="1:110" x14ac:dyDescent="0.15">
      <c r="A142" s="1">
        <v>2022</v>
      </c>
      <c r="B142" s="1" t="s">
        <v>49</v>
      </c>
      <c r="C142" s="1">
        <v>7</v>
      </c>
      <c r="D142" s="1">
        <v>20</v>
      </c>
      <c r="E142" s="1"/>
      <c r="F142" s="1"/>
      <c r="G142" s="1" t="s">
        <v>56</v>
      </c>
      <c r="H142" s="1">
        <v>3</v>
      </c>
      <c r="I142" s="23" t="s">
        <v>70</v>
      </c>
      <c r="J142" s="1" t="s">
        <v>57</v>
      </c>
      <c r="K142" s="1" t="s">
        <v>57</v>
      </c>
      <c r="L142" s="1" t="s">
        <v>71</v>
      </c>
      <c r="M142" s="1" t="s">
        <v>71</v>
      </c>
      <c r="N142" s="1" t="s">
        <v>71</v>
      </c>
      <c r="O142" s="1" t="s">
        <v>71</v>
      </c>
      <c r="P142" s="1" t="s">
        <v>71</v>
      </c>
      <c r="Q142" s="1" t="s">
        <v>71</v>
      </c>
      <c r="R142" s="1" t="s">
        <v>71</v>
      </c>
      <c r="S142" s="1" t="s">
        <v>71</v>
      </c>
      <c r="T142" s="1" t="s">
        <v>71</v>
      </c>
      <c r="U142" s="1" t="s">
        <v>71</v>
      </c>
      <c r="V142" s="1" t="s">
        <v>71</v>
      </c>
      <c r="W142" s="1" t="s">
        <v>71</v>
      </c>
      <c r="X142" s="1">
        <v>0</v>
      </c>
      <c r="Y142" s="1">
        <v>0</v>
      </c>
      <c r="Z142" s="1" t="s">
        <v>71</v>
      </c>
      <c r="AA142" s="1" t="s">
        <v>71</v>
      </c>
      <c r="AB142" s="1" t="s">
        <v>71</v>
      </c>
      <c r="AC142" s="1" t="s">
        <v>71</v>
      </c>
      <c r="AD142" s="25">
        <v>30</v>
      </c>
      <c r="AE142" s="25" t="s">
        <v>71</v>
      </c>
      <c r="AF142" s="25" t="s">
        <v>71</v>
      </c>
      <c r="AG142" s="25">
        <v>84</v>
      </c>
      <c r="AH142" s="1" t="s">
        <v>71</v>
      </c>
      <c r="AI142" s="1" t="s">
        <v>71</v>
      </c>
      <c r="AJ142" s="1" t="s">
        <v>71</v>
      </c>
      <c r="AK142" s="1" t="s">
        <v>71</v>
      </c>
      <c r="AL142" s="1" t="s">
        <v>71</v>
      </c>
      <c r="AM142" s="1" t="s">
        <v>71</v>
      </c>
      <c r="AN142" s="1" t="s">
        <v>71</v>
      </c>
      <c r="AO142" s="1" t="s">
        <v>71</v>
      </c>
      <c r="AP142" s="1" t="s">
        <v>71</v>
      </c>
      <c r="AQ142" s="1" t="s">
        <v>71</v>
      </c>
      <c r="AR142" s="1" t="s">
        <v>71</v>
      </c>
      <c r="AS142" s="1" t="s">
        <v>71</v>
      </c>
      <c r="AT142" s="1" t="s">
        <v>71</v>
      </c>
      <c r="AU142" s="1">
        <v>0</v>
      </c>
      <c r="AV142" s="1">
        <v>0</v>
      </c>
      <c r="AW142" s="1">
        <v>0</v>
      </c>
      <c r="AX142" s="1" t="s">
        <v>71</v>
      </c>
      <c r="AY142" s="1" t="s">
        <v>71</v>
      </c>
      <c r="AZ142" s="1">
        <v>0</v>
      </c>
      <c r="BA142" s="1" t="s">
        <v>71</v>
      </c>
      <c r="BB142" s="1" t="s">
        <v>71</v>
      </c>
      <c r="BC142" s="1" t="s">
        <v>71</v>
      </c>
      <c r="BD142" s="1" t="s">
        <v>71</v>
      </c>
      <c r="BE142" s="1" t="s">
        <v>71</v>
      </c>
      <c r="BF142" s="1" t="s">
        <v>71</v>
      </c>
      <c r="BG142" s="1" t="s">
        <v>71</v>
      </c>
      <c r="BH142" s="1" t="s">
        <v>71</v>
      </c>
      <c r="BI142" s="1" t="s">
        <v>71</v>
      </c>
      <c r="BJ142" s="1" t="s">
        <v>71</v>
      </c>
      <c r="BK142" s="1">
        <v>0</v>
      </c>
      <c r="BL142" s="1">
        <f t="shared" si="46"/>
        <v>0</v>
      </c>
      <c r="BM142" s="1">
        <v>0</v>
      </c>
      <c r="BN142" s="1">
        <v>0.5</v>
      </c>
      <c r="BO142" s="1" t="s">
        <v>71</v>
      </c>
      <c r="BP142" s="1">
        <v>15</v>
      </c>
      <c r="BQ142" s="1" t="s">
        <v>71</v>
      </c>
      <c r="BR142" s="1" t="s">
        <v>71</v>
      </c>
      <c r="BS142" s="1" t="s">
        <v>71</v>
      </c>
      <c r="BT142" s="1" t="s">
        <v>71</v>
      </c>
      <c r="BU142" s="1" t="s">
        <v>71</v>
      </c>
      <c r="BV142" s="1" t="s">
        <v>71</v>
      </c>
      <c r="BW142" s="1" t="s">
        <v>71</v>
      </c>
      <c r="BX142" s="1" t="s">
        <v>71</v>
      </c>
      <c r="BY142" s="1" t="s">
        <v>71</v>
      </c>
      <c r="BZ142" s="3" t="s">
        <v>71</v>
      </c>
      <c r="CA142" s="3" t="s">
        <v>71</v>
      </c>
      <c r="CB142" s="3" t="s">
        <v>71</v>
      </c>
      <c r="CC142" s="3" t="s">
        <v>71</v>
      </c>
      <c r="CD142" s="1" t="s">
        <v>71</v>
      </c>
      <c r="CE142" s="1" t="s">
        <v>71</v>
      </c>
      <c r="CF142" s="1" t="s">
        <v>71</v>
      </c>
      <c r="CG142" s="1" t="s">
        <v>71</v>
      </c>
      <c r="CH142" s="1" t="s">
        <v>71</v>
      </c>
      <c r="CI142" s="1" t="s">
        <v>71</v>
      </c>
      <c r="CJ142" s="1" t="s">
        <v>71</v>
      </c>
      <c r="CK142" s="1" t="s">
        <v>71</v>
      </c>
      <c r="CL142" s="3" t="s">
        <v>71</v>
      </c>
      <c r="CM142" s="3" t="s">
        <v>71</v>
      </c>
      <c r="CN142" s="3" t="s">
        <v>71</v>
      </c>
      <c r="CO142" s="1">
        <v>0</v>
      </c>
      <c r="CP142" s="1" t="s">
        <v>71</v>
      </c>
      <c r="CQ142" s="1">
        <v>67</v>
      </c>
      <c r="CR142" s="1">
        <v>217</v>
      </c>
      <c r="CS142" s="1">
        <v>22</v>
      </c>
      <c r="CT142" s="1" t="s">
        <v>71</v>
      </c>
      <c r="CU142" s="1">
        <v>10.6</v>
      </c>
      <c r="CV142" s="1" t="s">
        <v>71</v>
      </c>
      <c r="CW142" s="1" t="s">
        <v>71</v>
      </c>
      <c r="CX142" t="s">
        <v>71</v>
      </c>
      <c r="CY142" s="1" t="s">
        <v>71</v>
      </c>
      <c r="CZ142" t="s">
        <v>71</v>
      </c>
      <c r="DA142" t="s">
        <v>71</v>
      </c>
      <c r="DB142" t="s">
        <v>71</v>
      </c>
      <c r="DC142" s="1" t="s">
        <v>71</v>
      </c>
      <c r="DD142">
        <f t="shared" si="49"/>
        <v>0</v>
      </c>
      <c r="DE142" t="s">
        <v>71</v>
      </c>
      <c r="DF142" s="26" t="s">
        <v>71</v>
      </c>
    </row>
    <row r="143" spans="1:110" x14ac:dyDescent="0.15">
      <c r="A143" s="1">
        <v>2022</v>
      </c>
      <c r="B143" s="1" t="s">
        <v>49</v>
      </c>
      <c r="C143" s="1">
        <v>8</v>
      </c>
      <c r="D143" s="1">
        <v>1</v>
      </c>
      <c r="E143" s="1" t="s">
        <v>50</v>
      </c>
      <c r="F143" s="1"/>
      <c r="G143" s="1" t="s">
        <v>56</v>
      </c>
      <c r="H143" s="1">
        <v>4</v>
      </c>
      <c r="I143" s="23" t="s">
        <v>50</v>
      </c>
      <c r="J143" s="1" t="s">
        <v>57</v>
      </c>
      <c r="K143" s="1" t="s">
        <v>57</v>
      </c>
      <c r="L143" s="1" t="s">
        <v>71</v>
      </c>
      <c r="M143" s="1" t="s">
        <v>71</v>
      </c>
      <c r="N143" s="24">
        <v>44708</v>
      </c>
      <c r="O143" s="24">
        <v>44721</v>
      </c>
      <c r="P143" s="1" t="s">
        <v>71</v>
      </c>
      <c r="Q143" s="1" t="s">
        <v>71</v>
      </c>
      <c r="R143" s="1" t="s">
        <v>71</v>
      </c>
      <c r="S143" s="1" t="s">
        <v>71</v>
      </c>
      <c r="T143" s="1" t="s">
        <v>71</v>
      </c>
      <c r="U143" s="1" t="s">
        <v>71</v>
      </c>
      <c r="V143" s="1" t="s">
        <v>71</v>
      </c>
      <c r="W143" s="1" t="s">
        <v>71</v>
      </c>
      <c r="X143" s="1" t="s">
        <v>71</v>
      </c>
      <c r="Y143" s="1">
        <v>0</v>
      </c>
      <c r="Z143" s="1" t="s">
        <v>71</v>
      </c>
      <c r="AA143" s="1" t="s">
        <v>71</v>
      </c>
      <c r="AB143" s="1" t="s">
        <v>71</v>
      </c>
      <c r="AC143" s="1" t="s">
        <v>71</v>
      </c>
      <c r="AD143" s="25">
        <v>33</v>
      </c>
      <c r="AE143" s="25" t="s">
        <v>71</v>
      </c>
      <c r="AF143" s="25">
        <v>107</v>
      </c>
      <c r="AG143" s="25" t="s">
        <v>71</v>
      </c>
      <c r="AH143" s="1">
        <v>103</v>
      </c>
      <c r="AI143" s="1" t="s">
        <v>71</v>
      </c>
      <c r="AJ143" s="1">
        <v>1</v>
      </c>
      <c r="AK143" s="1">
        <v>0</v>
      </c>
      <c r="AL143" s="1">
        <v>0</v>
      </c>
      <c r="AM143" s="1">
        <v>0</v>
      </c>
      <c r="AN143" s="1">
        <v>0.01</v>
      </c>
      <c r="AO143" s="1">
        <v>0.01</v>
      </c>
      <c r="AP143" s="1">
        <v>1E-4</v>
      </c>
      <c r="AQ143" s="1">
        <v>5</v>
      </c>
      <c r="AR143" s="1">
        <v>0</v>
      </c>
      <c r="AS143" s="1">
        <v>0</v>
      </c>
      <c r="AT143" s="1">
        <v>0</v>
      </c>
      <c r="AU143" s="1" t="s">
        <v>71</v>
      </c>
      <c r="AV143" s="1" t="s">
        <v>71</v>
      </c>
      <c r="AW143" s="1" t="s">
        <v>71</v>
      </c>
      <c r="AX143" s="1">
        <v>0</v>
      </c>
      <c r="AY143" s="1">
        <v>0</v>
      </c>
      <c r="AZ143" s="1" t="s">
        <v>71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 t="s">
        <v>71</v>
      </c>
      <c r="BI143" s="1" t="s">
        <v>71</v>
      </c>
      <c r="BJ143" s="1" t="s">
        <v>71</v>
      </c>
      <c r="BK143" s="1">
        <v>2E-3</v>
      </c>
      <c r="BL143" s="1">
        <f t="shared" si="46"/>
        <v>0.2</v>
      </c>
      <c r="BM143" s="1">
        <v>0.2</v>
      </c>
      <c r="BN143" s="1">
        <v>0.01</v>
      </c>
      <c r="BO143" s="1">
        <v>1</v>
      </c>
      <c r="BP143" s="1">
        <v>15</v>
      </c>
      <c r="BQ143" s="1" t="s">
        <v>71</v>
      </c>
      <c r="BR143" s="1" t="s">
        <v>71</v>
      </c>
      <c r="BS143" s="1" t="s">
        <v>71</v>
      </c>
      <c r="BT143" s="1" t="s">
        <v>71</v>
      </c>
      <c r="BU143" s="1" t="s">
        <v>71</v>
      </c>
      <c r="BV143" s="1" t="s">
        <v>71</v>
      </c>
      <c r="BW143" s="1" t="s">
        <v>71</v>
      </c>
      <c r="BX143" s="1" t="s">
        <v>71</v>
      </c>
      <c r="BY143" s="1" t="s">
        <v>71</v>
      </c>
      <c r="BZ143" s="3">
        <v>3.6</v>
      </c>
      <c r="CA143" s="3" t="s">
        <v>71</v>
      </c>
      <c r="CB143" s="3">
        <f t="shared" si="47"/>
        <v>5.0000000000000009</v>
      </c>
      <c r="CC143" s="1" t="s">
        <v>71</v>
      </c>
      <c r="CD143" s="1">
        <v>1</v>
      </c>
      <c r="CE143" s="1">
        <v>1</v>
      </c>
      <c r="CF143" s="1">
        <f>CE143</f>
        <v>1</v>
      </c>
      <c r="CG143" s="3" t="s">
        <v>71</v>
      </c>
      <c r="CH143" s="3" t="s">
        <v>71</v>
      </c>
      <c r="CI143" s="3" t="s">
        <v>71</v>
      </c>
      <c r="CJ143" s="3" t="s">
        <v>71</v>
      </c>
      <c r="CK143" s="3" t="s">
        <v>71</v>
      </c>
      <c r="CL143" s="3" t="s">
        <v>71</v>
      </c>
      <c r="CM143" s="3" t="s">
        <v>71</v>
      </c>
      <c r="CN143" s="3" t="s">
        <v>71</v>
      </c>
      <c r="CO143" s="1">
        <v>47</v>
      </c>
      <c r="CP143" s="1" t="s">
        <v>71</v>
      </c>
      <c r="CQ143" s="1">
        <v>38</v>
      </c>
      <c r="CR143" s="1" t="s">
        <v>71</v>
      </c>
      <c r="CS143" s="1" t="s">
        <v>71</v>
      </c>
      <c r="CT143" s="1">
        <v>10.3</v>
      </c>
      <c r="CU143" s="1" t="s">
        <v>71</v>
      </c>
      <c r="CV143" s="1" t="s">
        <v>71</v>
      </c>
      <c r="CW143" s="1" t="s">
        <v>71</v>
      </c>
      <c r="CX143" s="1" t="s">
        <v>71</v>
      </c>
      <c r="CY143" s="1">
        <v>10.4</v>
      </c>
      <c r="CZ143" s="1" t="s">
        <v>71</v>
      </c>
      <c r="DA143">
        <f t="shared" ref="DA143:DA148" si="53">ROUND((CY143*CB143*10),0)</f>
        <v>520</v>
      </c>
      <c r="DB143" s="1" t="s">
        <v>71</v>
      </c>
      <c r="DC143" s="1">
        <v>10.4</v>
      </c>
      <c r="DD143">
        <f t="shared" si="49"/>
        <v>520</v>
      </c>
      <c r="DE143" s="1" t="s">
        <v>71</v>
      </c>
      <c r="DF143" s="1" t="s">
        <v>71</v>
      </c>
    </row>
    <row r="144" spans="1:110" x14ac:dyDescent="0.15">
      <c r="A144" s="1">
        <v>2022</v>
      </c>
      <c r="B144" s="1" t="s">
        <v>49</v>
      </c>
      <c r="C144" s="1">
        <v>8</v>
      </c>
      <c r="D144" s="1">
        <v>2</v>
      </c>
      <c r="E144" s="1" t="s">
        <v>51</v>
      </c>
      <c r="F144" s="1"/>
      <c r="G144" s="1" t="s">
        <v>56</v>
      </c>
      <c r="H144" s="1">
        <v>4</v>
      </c>
      <c r="I144" s="23" t="s">
        <v>51</v>
      </c>
      <c r="J144" s="1" t="s">
        <v>57</v>
      </c>
      <c r="K144" s="26" t="s">
        <v>57</v>
      </c>
      <c r="L144" s="1" t="s">
        <v>71</v>
      </c>
      <c r="M144" s="1" t="s">
        <v>71</v>
      </c>
      <c r="N144" s="24">
        <v>44710</v>
      </c>
      <c r="O144" s="24">
        <v>44721</v>
      </c>
      <c r="P144" s="1" t="s">
        <v>71</v>
      </c>
      <c r="Q144" s="1" t="s">
        <v>71</v>
      </c>
      <c r="R144" s="1" t="s">
        <v>71</v>
      </c>
      <c r="S144" s="1" t="s">
        <v>71</v>
      </c>
      <c r="T144" s="1" t="s">
        <v>71</v>
      </c>
      <c r="U144" s="1" t="s">
        <v>71</v>
      </c>
      <c r="V144" s="1" t="s">
        <v>71</v>
      </c>
      <c r="W144" s="1" t="s">
        <v>71</v>
      </c>
      <c r="X144" s="1" t="s">
        <v>71</v>
      </c>
      <c r="Y144" s="1">
        <v>0</v>
      </c>
      <c r="Z144" s="1" t="s">
        <v>71</v>
      </c>
      <c r="AA144" s="1" t="s">
        <v>71</v>
      </c>
      <c r="AB144" s="1" t="s">
        <v>71</v>
      </c>
      <c r="AC144" s="1" t="s">
        <v>71</v>
      </c>
      <c r="AD144" s="25">
        <v>42</v>
      </c>
      <c r="AE144" s="25" t="s">
        <v>71</v>
      </c>
      <c r="AF144" s="25">
        <v>85</v>
      </c>
      <c r="AG144" s="25" t="s">
        <v>71</v>
      </c>
      <c r="AH144" s="1">
        <v>97</v>
      </c>
      <c r="AI144" s="1" t="s">
        <v>71</v>
      </c>
      <c r="AJ144" s="1">
        <v>1.7</v>
      </c>
      <c r="AK144" s="1">
        <v>0.01</v>
      </c>
      <c r="AL144" s="1">
        <v>0.1</v>
      </c>
      <c r="AM144" s="1">
        <v>1E-3</v>
      </c>
      <c r="AN144" s="1" t="s">
        <v>71</v>
      </c>
      <c r="AO144" s="1" t="s">
        <v>71</v>
      </c>
      <c r="AP144" s="1" t="s">
        <v>71</v>
      </c>
      <c r="AQ144" s="1">
        <v>3</v>
      </c>
      <c r="AR144" s="1">
        <v>0</v>
      </c>
      <c r="AS144" s="1">
        <v>0</v>
      </c>
      <c r="AT144" s="1">
        <v>0</v>
      </c>
      <c r="AU144" s="1" t="s">
        <v>71</v>
      </c>
      <c r="AV144" s="1" t="s">
        <v>71</v>
      </c>
      <c r="AW144" s="1" t="s">
        <v>71</v>
      </c>
      <c r="AX144" s="1">
        <v>0</v>
      </c>
      <c r="AY144" s="1">
        <v>0</v>
      </c>
      <c r="AZ144" s="1" t="s">
        <v>71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 t="s">
        <v>71</v>
      </c>
      <c r="BI144" s="1" t="s">
        <v>71</v>
      </c>
      <c r="BJ144" s="1" t="s">
        <v>71</v>
      </c>
      <c r="BK144" s="1">
        <v>5.0000000000000001E-4</v>
      </c>
      <c r="BL144" s="1">
        <f t="shared" si="46"/>
        <v>0.05</v>
      </c>
      <c r="BM144" s="1">
        <v>0.1</v>
      </c>
      <c r="BN144" s="1">
        <v>0.02</v>
      </c>
      <c r="BO144" s="1">
        <v>1</v>
      </c>
      <c r="BP144" s="1">
        <v>0</v>
      </c>
      <c r="BQ144" s="1" t="s">
        <v>71</v>
      </c>
      <c r="BR144" s="1" t="s">
        <v>71</v>
      </c>
      <c r="BS144" s="1" t="s">
        <v>71</v>
      </c>
      <c r="BT144" s="1" t="s">
        <v>71</v>
      </c>
      <c r="BU144" s="1" t="s">
        <v>71</v>
      </c>
      <c r="BV144" s="1" t="s">
        <v>71</v>
      </c>
      <c r="BW144" s="1" t="s">
        <v>71</v>
      </c>
      <c r="BX144" s="1" t="s">
        <v>71</v>
      </c>
      <c r="BY144" s="1" t="s">
        <v>71</v>
      </c>
      <c r="BZ144" s="3">
        <v>3.5</v>
      </c>
      <c r="CA144" s="3" t="s">
        <v>71</v>
      </c>
      <c r="CB144" s="3">
        <f t="shared" si="47"/>
        <v>4.8611111111111116</v>
      </c>
      <c r="CC144" s="1" t="s">
        <v>71</v>
      </c>
      <c r="CD144" s="1">
        <v>1</v>
      </c>
      <c r="CE144" s="1">
        <v>1</v>
      </c>
      <c r="CF144" s="1">
        <f t="shared" ref="CF144:CF157" si="54">CE144</f>
        <v>1</v>
      </c>
      <c r="CG144" s="3" t="s">
        <v>71</v>
      </c>
      <c r="CH144" s="3" t="s">
        <v>71</v>
      </c>
      <c r="CI144" s="3" t="s">
        <v>71</v>
      </c>
      <c r="CJ144" s="3" t="s">
        <v>71</v>
      </c>
      <c r="CK144" s="3" t="s">
        <v>71</v>
      </c>
      <c r="CL144" s="3" t="s">
        <v>71</v>
      </c>
      <c r="CM144" s="3" t="s">
        <v>71</v>
      </c>
      <c r="CN144" s="3" t="s">
        <v>71</v>
      </c>
      <c r="CO144" s="1">
        <v>46</v>
      </c>
      <c r="CP144" s="1" t="s">
        <v>71</v>
      </c>
      <c r="CQ144" s="1">
        <v>27</v>
      </c>
      <c r="CR144" s="1" t="s">
        <v>71</v>
      </c>
      <c r="CS144" s="1" t="s">
        <v>71</v>
      </c>
      <c r="CT144" s="1">
        <v>10</v>
      </c>
      <c r="CU144" s="1" t="s">
        <v>71</v>
      </c>
      <c r="CV144" s="1" t="s">
        <v>71</v>
      </c>
      <c r="CW144" s="1" t="s">
        <v>71</v>
      </c>
      <c r="CX144" s="1" t="s">
        <v>71</v>
      </c>
      <c r="CY144" s="1">
        <v>10.1</v>
      </c>
      <c r="CZ144" s="1" t="s">
        <v>71</v>
      </c>
      <c r="DA144">
        <f t="shared" si="53"/>
        <v>491</v>
      </c>
      <c r="DB144" s="1" t="s">
        <v>71</v>
      </c>
      <c r="DC144" s="1">
        <v>10.1</v>
      </c>
      <c r="DD144">
        <f t="shared" si="49"/>
        <v>491</v>
      </c>
      <c r="DE144" s="1" t="s">
        <v>71</v>
      </c>
      <c r="DF144" s="1" t="s">
        <v>71</v>
      </c>
    </row>
    <row r="145" spans="1:110" x14ac:dyDescent="0.15">
      <c r="A145" s="1">
        <v>2022</v>
      </c>
      <c r="B145" s="1" t="s">
        <v>49</v>
      </c>
      <c r="C145" s="1">
        <v>8</v>
      </c>
      <c r="D145" s="1">
        <v>3</v>
      </c>
      <c r="E145" s="1" t="s">
        <v>52</v>
      </c>
      <c r="F145" s="1"/>
      <c r="G145" s="1" t="s">
        <v>56</v>
      </c>
      <c r="H145" s="1">
        <v>4</v>
      </c>
      <c r="I145" s="23" t="s">
        <v>52</v>
      </c>
      <c r="J145" s="1" t="s">
        <v>57</v>
      </c>
      <c r="K145" s="1" t="s">
        <v>57</v>
      </c>
      <c r="L145" s="1" t="s">
        <v>71</v>
      </c>
      <c r="M145" s="1" t="s">
        <v>71</v>
      </c>
      <c r="N145" s="24">
        <v>44718</v>
      </c>
      <c r="O145" s="24">
        <v>44727</v>
      </c>
      <c r="P145" s="1" t="s">
        <v>71</v>
      </c>
      <c r="Q145" s="1" t="s">
        <v>71</v>
      </c>
      <c r="R145" s="1" t="s">
        <v>71</v>
      </c>
      <c r="S145" s="1" t="s">
        <v>71</v>
      </c>
      <c r="T145" s="1" t="s">
        <v>71</v>
      </c>
      <c r="U145" s="1" t="s">
        <v>71</v>
      </c>
      <c r="V145" s="1" t="s">
        <v>71</v>
      </c>
      <c r="W145" s="1" t="s">
        <v>71</v>
      </c>
      <c r="X145" s="1" t="s">
        <v>71</v>
      </c>
      <c r="Y145" s="1">
        <v>0</v>
      </c>
      <c r="Z145" s="1" t="s">
        <v>71</v>
      </c>
      <c r="AA145" s="1" t="s">
        <v>71</v>
      </c>
      <c r="AB145" s="1" t="s">
        <v>71</v>
      </c>
      <c r="AC145" s="1" t="s">
        <v>71</v>
      </c>
      <c r="AD145" s="25">
        <v>31</v>
      </c>
      <c r="AE145" s="25" t="s">
        <v>71</v>
      </c>
      <c r="AF145" s="25">
        <v>63</v>
      </c>
      <c r="AG145" s="25" t="s">
        <v>71</v>
      </c>
      <c r="AH145" s="1">
        <v>70</v>
      </c>
      <c r="AI145" s="1" t="s">
        <v>71</v>
      </c>
      <c r="AJ145" s="1">
        <v>1</v>
      </c>
      <c r="AK145" s="1">
        <v>0</v>
      </c>
      <c r="AL145" s="1">
        <v>0</v>
      </c>
      <c r="AM145" s="1">
        <v>0</v>
      </c>
      <c r="AN145" s="1" t="s">
        <v>71</v>
      </c>
      <c r="AO145" s="1" t="s">
        <v>71</v>
      </c>
      <c r="AP145" s="1" t="s">
        <v>71</v>
      </c>
      <c r="AQ145" s="1">
        <v>4</v>
      </c>
      <c r="AR145" s="1">
        <v>0</v>
      </c>
      <c r="AS145" s="1">
        <v>0</v>
      </c>
      <c r="AT145" s="1">
        <v>0</v>
      </c>
      <c r="AU145" s="1" t="s">
        <v>71</v>
      </c>
      <c r="AV145" s="1" t="s">
        <v>71</v>
      </c>
      <c r="AW145" s="1" t="s">
        <v>71</v>
      </c>
      <c r="AX145" s="1">
        <v>0</v>
      </c>
      <c r="AY145" s="1">
        <v>0</v>
      </c>
      <c r="AZ145" s="1" t="s">
        <v>71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 t="s">
        <v>71</v>
      </c>
      <c r="BI145" s="1" t="s">
        <v>71</v>
      </c>
      <c r="BJ145" s="1" t="s">
        <v>71</v>
      </c>
      <c r="BK145" s="1">
        <v>3.4999999999999996E-3</v>
      </c>
      <c r="BL145" s="1">
        <f t="shared" si="46"/>
        <v>0.35</v>
      </c>
      <c r="BM145" s="1">
        <v>0.5</v>
      </c>
      <c r="BN145" s="1">
        <v>0.03</v>
      </c>
      <c r="BO145" s="1">
        <v>2</v>
      </c>
      <c r="BP145" s="1">
        <v>0</v>
      </c>
      <c r="BQ145" s="1" t="s">
        <v>71</v>
      </c>
      <c r="BR145" s="1" t="s">
        <v>71</v>
      </c>
      <c r="BS145" s="1" t="s">
        <v>71</v>
      </c>
      <c r="BT145" s="1" t="s">
        <v>71</v>
      </c>
      <c r="BU145" s="1" t="s">
        <v>71</v>
      </c>
      <c r="BV145" s="1" t="s">
        <v>71</v>
      </c>
      <c r="BW145" s="1" t="s">
        <v>71</v>
      </c>
      <c r="BX145" s="1" t="s">
        <v>71</v>
      </c>
      <c r="BY145" s="1" t="s">
        <v>71</v>
      </c>
      <c r="BZ145" s="3">
        <v>2.7</v>
      </c>
      <c r="CA145" s="3" t="s">
        <v>71</v>
      </c>
      <c r="CB145" s="3">
        <f t="shared" si="47"/>
        <v>3.7500000000000004</v>
      </c>
      <c r="CC145" s="1" t="s">
        <v>71</v>
      </c>
      <c r="CD145" s="1">
        <v>1</v>
      </c>
      <c r="CE145" s="1">
        <v>1</v>
      </c>
      <c r="CF145" s="1">
        <f t="shared" si="54"/>
        <v>1</v>
      </c>
      <c r="CG145" s="3" t="s">
        <v>71</v>
      </c>
      <c r="CH145" s="3" t="s">
        <v>71</v>
      </c>
      <c r="CI145" s="3" t="s">
        <v>71</v>
      </c>
      <c r="CJ145" s="3" t="s">
        <v>71</v>
      </c>
      <c r="CK145" s="3" t="s">
        <v>71</v>
      </c>
      <c r="CL145" s="3" t="s">
        <v>71</v>
      </c>
      <c r="CM145" s="3" t="s">
        <v>71</v>
      </c>
      <c r="CN145" s="3" t="s">
        <v>71</v>
      </c>
      <c r="CO145" s="1">
        <v>43</v>
      </c>
      <c r="CP145" s="1" t="s">
        <v>71</v>
      </c>
      <c r="CQ145" s="1">
        <v>31</v>
      </c>
      <c r="CR145" s="1" t="s">
        <v>71</v>
      </c>
      <c r="CS145" s="1" t="s">
        <v>71</v>
      </c>
      <c r="CT145" s="1">
        <v>10.5</v>
      </c>
      <c r="CU145" s="1" t="s">
        <v>71</v>
      </c>
      <c r="CV145" s="1" t="s">
        <v>71</v>
      </c>
      <c r="CW145" s="1" t="s">
        <v>71</v>
      </c>
      <c r="CX145" s="1" t="s">
        <v>71</v>
      </c>
      <c r="CY145" s="1">
        <v>10.7</v>
      </c>
      <c r="CZ145" s="1" t="s">
        <v>71</v>
      </c>
      <c r="DA145">
        <f t="shared" si="53"/>
        <v>401</v>
      </c>
      <c r="DB145" s="1" t="s">
        <v>71</v>
      </c>
      <c r="DC145" s="1">
        <v>10.7</v>
      </c>
      <c r="DD145">
        <f t="shared" si="49"/>
        <v>401</v>
      </c>
      <c r="DE145" s="1" t="s">
        <v>71</v>
      </c>
      <c r="DF145" s="1" t="s">
        <v>71</v>
      </c>
    </row>
    <row r="146" spans="1:110" x14ac:dyDescent="0.15">
      <c r="A146" s="1">
        <v>2022</v>
      </c>
      <c r="B146" s="1" t="s">
        <v>49</v>
      </c>
      <c r="C146" s="1">
        <v>8</v>
      </c>
      <c r="D146" s="1">
        <v>4</v>
      </c>
      <c r="E146" s="1" t="s">
        <v>50</v>
      </c>
      <c r="F146" s="1"/>
      <c r="G146" s="1" t="s">
        <v>56</v>
      </c>
      <c r="H146" s="1">
        <v>4</v>
      </c>
      <c r="I146" s="23" t="s">
        <v>50</v>
      </c>
      <c r="J146" s="1" t="s">
        <v>58</v>
      </c>
      <c r="K146" s="26" t="s">
        <v>57</v>
      </c>
      <c r="L146" s="1" t="s">
        <v>71</v>
      </c>
      <c r="M146" s="1" t="s">
        <v>71</v>
      </c>
      <c r="N146" s="24">
        <v>44708</v>
      </c>
      <c r="O146" s="24">
        <v>44721</v>
      </c>
      <c r="P146" s="1" t="s">
        <v>71</v>
      </c>
      <c r="Q146" s="1" t="s">
        <v>71</v>
      </c>
      <c r="R146" s="1" t="s">
        <v>71</v>
      </c>
      <c r="S146" s="1" t="s">
        <v>71</v>
      </c>
      <c r="T146" s="1" t="s">
        <v>71</v>
      </c>
      <c r="U146" s="1" t="s">
        <v>71</v>
      </c>
      <c r="V146" s="1" t="s">
        <v>71</v>
      </c>
      <c r="W146" s="1" t="s">
        <v>71</v>
      </c>
      <c r="X146" s="1" t="s">
        <v>71</v>
      </c>
      <c r="Y146" s="1">
        <v>0</v>
      </c>
      <c r="Z146" s="1" t="s">
        <v>71</v>
      </c>
      <c r="AA146" s="1" t="s">
        <v>71</v>
      </c>
      <c r="AB146" s="1" t="s">
        <v>71</v>
      </c>
      <c r="AC146" s="1" t="s">
        <v>71</v>
      </c>
      <c r="AD146" s="25">
        <v>53</v>
      </c>
      <c r="AE146" s="25" t="s">
        <v>71</v>
      </c>
      <c r="AF146" s="25">
        <v>117</v>
      </c>
      <c r="AG146" s="25" t="s">
        <v>71</v>
      </c>
      <c r="AH146" s="1">
        <v>117</v>
      </c>
      <c r="AI146" s="1" t="s">
        <v>71</v>
      </c>
      <c r="AJ146" s="1">
        <v>1.7</v>
      </c>
      <c r="AK146" s="1">
        <v>0</v>
      </c>
      <c r="AL146" s="1">
        <v>0</v>
      </c>
      <c r="AM146" s="1">
        <v>0</v>
      </c>
      <c r="AN146" s="1">
        <v>0.01</v>
      </c>
      <c r="AO146" s="1">
        <v>0.1</v>
      </c>
      <c r="AP146" s="1">
        <v>1E-3</v>
      </c>
      <c r="AQ146" s="1">
        <v>1</v>
      </c>
      <c r="AR146" s="1">
        <v>0</v>
      </c>
      <c r="AS146" s="1">
        <v>0</v>
      </c>
      <c r="AT146" s="1">
        <v>0</v>
      </c>
      <c r="AU146" s="1" t="s">
        <v>71</v>
      </c>
      <c r="AV146" s="1" t="s">
        <v>71</v>
      </c>
      <c r="AW146" s="1" t="s">
        <v>71</v>
      </c>
      <c r="AX146" s="1">
        <v>0</v>
      </c>
      <c r="AY146" s="1">
        <v>0</v>
      </c>
      <c r="AZ146" s="1" t="s">
        <v>71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 t="s">
        <v>71</v>
      </c>
      <c r="BI146" s="1" t="s">
        <v>71</v>
      </c>
      <c r="BJ146" s="1" t="s">
        <v>71</v>
      </c>
      <c r="BK146" s="1">
        <v>4.0000000000000007E-4</v>
      </c>
      <c r="BL146" s="1">
        <f t="shared" si="46"/>
        <v>4.0000000000000008E-2</v>
      </c>
      <c r="BM146" s="1">
        <v>0.1</v>
      </c>
      <c r="BN146" s="1">
        <v>0.1</v>
      </c>
      <c r="BO146" s="1">
        <v>1</v>
      </c>
      <c r="BP146" s="1">
        <v>20</v>
      </c>
      <c r="BQ146" s="1" t="s">
        <v>71</v>
      </c>
      <c r="BR146" s="1" t="s">
        <v>71</v>
      </c>
      <c r="BS146" s="1" t="s">
        <v>71</v>
      </c>
      <c r="BT146" s="1" t="s">
        <v>71</v>
      </c>
      <c r="BU146" s="1" t="s">
        <v>71</v>
      </c>
      <c r="BV146" s="1" t="s">
        <v>71</v>
      </c>
      <c r="BW146" s="1" t="s">
        <v>71</v>
      </c>
      <c r="BX146" s="1" t="s">
        <v>71</v>
      </c>
      <c r="BY146" s="1" t="s">
        <v>71</v>
      </c>
      <c r="BZ146" s="3">
        <v>3.3</v>
      </c>
      <c r="CA146" s="3" t="s">
        <v>71</v>
      </c>
      <c r="CB146" s="3">
        <f t="shared" si="47"/>
        <v>4.5833333333333339</v>
      </c>
      <c r="CC146" s="1" t="s">
        <v>71</v>
      </c>
      <c r="CD146" s="1">
        <v>1</v>
      </c>
      <c r="CE146" s="1">
        <v>1</v>
      </c>
      <c r="CF146" s="1">
        <f t="shared" si="54"/>
        <v>1</v>
      </c>
      <c r="CG146" s="3" t="s">
        <v>71</v>
      </c>
      <c r="CH146" s="3" t="s">
        <v>71</v>
      </c>
      <c r="CI146" s="3" t="s">
        <v>71</v>
      </c>
      <c r="CJ146" s="3" t="s">
        <v>71</v>
      </c>
      <c r="CK146" s="3" t="s">
        <v>71</v>
      </c>
      <c r="CL146" s="3" t="s">
        <v>71</v>
      </c>
      <c r="CM146" s="3" t="s">
        <v>71</v>
      </c>
      <c r="CN146" s="3" t="s">
        <v>71</v>
      </c>
      <c r="CO146" s="1">
        <v>48</v>
      </c>
      <c r="CP146" s="1" t="s">
        <v>71</v>
      </c>
      <c r="CQ146" s="1">
        <v>37</v>
      </c>
      <c r="CR146" s="1" t="s">
        <v>71</v>
      </c>
      <c r="CS146" s="1" t="s">
        <v>71</v>
      </c>
      <c r="CT146" s="1">
        <v>10</v>
      </c>
      <c r="CU146" s="1" t="s">
        <v>71</v>
      </c>
      <c r="CV146" s="1" t="s">
        <v>71</v>
      </c>
      <c r="CW146" s="1" t="s">
        <v>71</v>
      </c>
      <c r="CX146" s="1" t="s">
        <v>71</v>
      </c>
      <c r="CY146" s="1">
        <v>10.8</v>
      </c>
      <c r="CZ146" s="1" t="s">
        <v>71</v>
      </c>
      <c r="DA146">
        <f t="shared" si="53"/>
        <v>495</v>
      </c>
      <c r="DB146" s="1" t="s">
        <v>71</v>
      </c>
      <c r="DC146" s="1">
        <v>10.8</v>
      </c>
      <c r="DD146">
        <f t="shared" si="49"/>
        <v>495</v>
      </c>
      <c r="DE146" s="1" t="s">
        <v>71</v>
      </c>
      <c r="DF146" s="1" t="s">
        <v>71</v>
      </c>
    </row>
    <row r="147" spans="1:110" x14ac:dyDescent="0.15">
      <c r="A147" s="1">
        <v>2022</v>
      </c>
      <c r="B147" s="1" t="s">
        <v>49</v>
      </c>
      <c r="C147" s="1">
        <v>8</v>
      </c>
      <c r="D147" s="1">
        <v>5</v>
      </c>
      <c r="E147" s="1" t="s">
        <v>51</v>
      </c>
      <c r="F147" s="1"/>
      <c r="G147" s="1" t="s">
        <v>56</v>
      </c>
      <c r="H147" s="1">
        <v>4</v>
      </c>
      <c r="I147" s="23" t="s">
        <v>51</v>
      </c>
      <c r="J147" s="1" t="s">
        <v>58</v>
      </c>
      <c r="K147" s="1" t="s">
        <v>57</v>
      </c>
      <c r="L147" s="1" t="s">
        <v>71</v>
      </c>
      <c r="M147" s="1" t="s">
        <v>71</v>
      </c>
      <c r="N147" s="24">
        <v>44713</v>
      </c>
      <c r="O147" s="24">
        <v>44721</v>
      </c>
      <c r="P147" s="1" t="s">
        <v>71</v>
      </c>
      <c r="Q147" s="1" t="s">
        <v>71</v>
      </c>
      <c r="R147" s="1" t="s">
        <v>71</v>
      </c>
      <c r="S147" s="1" t="s">
        <v>71</v>
      </c>
      <c r="T147" s="1" t="s">
        <v>71</v>
      </c>
      <c r="U147" s="1" t="s">
        <v>71</v>
      </c>
      <c r="V147" s="1" t="s">
        <v>71</v>
      </c>
      <c r="W147" s="1" t="s">
        <v>71</v>
      </c>
      <c r="X147" s="1" t="s">
        <v>71</v>
      </c>
      <c r="Y147" s="1">
        <v>0</v>
      </c>
      <c r="Z147" s="1" t="s">
        <v>71</v>
      </c>
      <c r="AA147" s="1" t="s">
        <v>71</v>
      </c>
      <c r="AB147" s="1" t="s">
        <v>71</v>
      </c>
      <c r="AC147" s="1" t="s">
        <v>71</v>
      </c>
      <c r="AD147" s="25">
        <v>43</v>
      </c>
      <c r="AE147" s="25" t="s">
        <v>71</v>
      </c>
      <c r="AF147" s="25">
        <v>94</v>
      </c>
      <c r="AG147" s="25" t="s">
        <v>71</v>
      </c>
      <c r="AH147" s="1">
        <v>100</v>
      </c>
      <c r="AI147" s="1" t="s">
        <v>71</v>
      </c>
      <c r="AJ147" s="1">
        <v>1.3</v>
      </c>
      <c r="AK147" s="1">
        <v>0</v>
      </c>
      <c r="AL147" s="1">
        <v>0</v>
      </c>
      <c r="AM147" s="1">
        <v>0</v>
      </c>
      <c r="AN147" s="1">
        <v>0.02</v>
      </c>
      <c r="AO147" s="1">
        <v>0.05</v>
      </c>
      <c r="AP147" s="1">
        <v>1E-3</v>
      </c>
      <c r="AQ147" s="1">
        <v>5</v>
      </c>
      <c r="AR147" s="1">
        <v>0</v>
      </c>
      <c r="AS147" s="1">
        <v>0</v>
      </c>
      <c r="AT147" s="1">
        <v>0</v>
      </c>
      <c r="AU147" s="1" t="s">
        <v>71</v>
      </c>
      <c r="AV147" s="1" t="s">
        <v>71</v>
      </c>
      <c r="AW147" s="1" t="s">
        <v>71</v>
      </c>
      <c r="AX147" s="1">
        <v>0</v>
      </c>
      <c r="AY147" s="1">
        <v>0</v>
      </c>
      <c r="AZ147" s="1" t="s">
        <v>71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 t="s">
        <v>71</v>
      </c>
      <c r="BI147" s="1" t="s">
        <v>71</v>
      </c>
      <c r="BJ147" s="1" t="s">
        <v>71</v>
      </c>
      <c r="BK147" s="1">
        <v>8.0000000000000015E-4</v>
      </c>
      <c r="BL147" s="1">
        <f t="shared" si="46"/>
        <v>8.0000000000000016E-2</v>
      </c>
      <c r="BM147" s="1">
        <v>0.4</v>
      </c>
      <c r="BN147" s="1">
        <v>0.3</v>
      </c>
      <c r="BO147" s="1">
        <v>1</v>
      </c>
      <c r="BP147" s="1">
        <v>15</v>
      </c>
      <c r="BQ147" s="1" t="s">
        <v>71</v>
      </c>
      <c r="BR147" s="1" t="s">
        <v>71</v>
      </c>
      <c r="BS147" s="1" t="s">
        <v>71</v>
      </c>
      <c r="BT147" s="1" t="s">
        <v>71</v>
      </c>
      <c r="BU147" s="1" t="s">
        <v>71</v>
      </c>
      <c r="BV147" s="1">
        <v>4.3</v>
      </c>
      <c r="BW147" s="1">
        <v>1</v>
      </c>
      <c r="BX147" s="1" t="s">
        <v>71</v>
      </c>
      <c r="BY147" s="1" t="s">
        <v>71</v>
      </c>
      <c r="BZ147" s="3">
        <v>4.5999999999999996</v>
      </c>
      <c r="CA147" s="3" t="s">
        <v>71</v>
      </c>
      <c r="CB147" s="3">
        <f t="shared" si="47"/>
        <v>6.3888888888888893</v>
      </c>
      <c r="CC147" s="1" t="s">
        <v>71</v>
      </c>
      <c r="CD147" s="1">
        <v>1</v>
      </c>
      <c r="CE147" s="1">
        <v>1</v>
      </c>
      <c r="CF147" s="1">
        <f t="shared" si="54"/>
        <v>1</v>
      </c>
      <c r="CG147" s="3" t="s">
        <v>71</v>
      </c>
      <c r="CH147" s="3" t="s">
        <v>71</v>
      </c>
      <c r="CI147" s="3" t="s">
        <v>71</v>
      </c>
      <c r="CJ147" s="3" t="s">
        <v>71</v>
      </c>
      <c r="CK147" s="3" t="s">
        <v>71</v>
      </c>
      <c r="CL147" s="3" t="s">
        <v>71</v>
      </c>
      <c r="CM147" s="3" t="s">
        <v>71</v>
      </c>
      <c r="CN147" s="3" t="s">
        <v>71</v>
      </c>
      <c r="CO147" s="1">
        <v>48</v>
      </c>
      <c r="CP147" s="1" t="s">
        <v>71</v>
      </c>
      <c r="CQ147" s="1">
        <v>33</v>
      </c>
      <c r="CR147" s="1" t="s">
        <v>71</v>
      </c>
      <c r="CS147" s="1" t="s">
        <v>71</v>
      </c>
      <c r="CT147" s="1">
        <v>9.9</v>
      </c>
      <c r="CU147" s="1" t="s">
        <v>71</v>
      </c>
      <c r="CV147" s="1" t="s">
        <v>71</v>
      </c>
      <c r="CW147" s="1" t="s">
        <v>71</v>
      </c>
      <c r="CX147" s="1" t="s">
        <v>71</v>
      </c>
      <c r="CY147" s="1">
        <v>10.5</v>
      </c>
      <c r="CZ147" s="1" t="s">
        <v>71</v>
      </c>
      <c r="DA147">
        <f t="shared" si="53"/>
        <v>671</v>
      </c>
      <c r="DB147" s="1" t="s">
        <v>71</v>
      </c>
      <c r="DC147" s="1">
        <v>10.5</v>
      </c>
      <c r="DD147">
        <f t="shared" si="49"/>
        <v>671</v>
      </c>
      <c r="DE147" s="1" t="s">
        <v>71</v>
      </c>
      <c r="DF147" s="1" t="s">
        <v>71</v>
      </c>
    </row>
    <row r="148" spans="1:110" x14ac:dyDescent="0.15">
      <c r="A148" s="1">
        <v>2022</v>
      </c>
      <c r="B148" s="1" t="s">
        <v>49</v>
      </c>
      <c r="C148" s="1">
        <v>8</v>
      </c>
      <c r="D148" s="1">
        <v>6</v>
      </c>
      <c r="E148" s="1" t="s">
        <v>52</v>
      </c>
      <c r="F148" s="1"/>
      <c r="G148" s="1" t="s">
        <v>56</v>
      </c>
      <c r="H148" s="1">
        <v>4</v>
      </c>
      <c r="I148" s="23" t="s">
        <v>52</v>
      </c>
      <c r="J148" s="1" t="s">
        <v>58</v>
      </c>
      <c r="K148" s="1" t="s">
        <v>57</v>
      </c>
      <c r="L148" s="1" t="s">
        <v>71</v>
      </c>
      <c r="M148" s="1" t="s">
        <v>71</v>
      </c>
      <c r="N148" s="24">
        <v>44710</v>
      </c>
      <c r="O148" s="24">
        <v>44725</v>
      </c>
      <c r="P148" s="1" t="s">
        <v>71</v>
      </c>
      <c r="Q148" s="1" t="s">
        <v>71</v>
      </c>
      <c r="R148" s="1" t="s">
        <v>71</v>
      </c>
      <c r="S148" s="1" t="s">
        <v>71</v>
      </c>
      <c r="T148" s="1" t="s">
        <v>71</v>
      </c>
      <c r="U148" s="1" t="s">
        <v>71</v>
      </c>
      <c r="V148" s="1" t="s">
        <v>71</v>
      </c>
      <c r="W148" s="1" t="s">
        <v>71</v>
      </c>
      <c r="X148" s="1" t="s">
        <v>71</v>
      </c>
      <c r="Y148" s="1">
        <v>0</v>
      </c>
      <c r="Z148" s="1" t="s">
        <v>71</v>
      </c>
      <c r="AA148" s="1" t="s">
        <v>71</v>
      </c>
      <c r="AB148" s="1" t="s">
        <v>71</v>
      </c>
      <c r="AC148" s="1" t="s">
        <v>71</v>
      </c>
      <c r="AD148" s="25">
        <v>40</v>
      </c>
      <c r="AE148" s="25" t="s">
        <v>71</v>
      </c>
      <c r="AF148" s="25">
        <v>69</v>
      </c>
      <c r="AG148" s="25" t="s">
        <v>71</v>
      </c>
      <c r="AH148" s="1">
        <v>71</v>
      </c>
      <c r="AI148" s="1" t="s">
        <v>71</v>
      </c>
      <c r="AJ148" s="1">
        <v>0.7</v>
      </c>
      <c r="AK148" s="1">
        <v>0</v>
      </c>
      <c r="AL148" s="1">
        <v>0</v>
      </c>
      <c r="AM148" s="1">
        <v>0</v>
      </c>
      <c r="AN148" s="1">
        <v>0.02</v>
      </c>
      <c r="AO148" s="1">
        <v>0.03</v>
      </c>
      <c r="AP148" s="1">
        <v>5.9999999999999995E-4</v>
      </c>
      <c r="AQ148" s="1">
        <v>15</v>
      </c>
      <c r="AR148" s="1">
        <v>0</v>
      </c>
      <c r="AS148" s="1">
        <v>0</v>
      </c>
      <c r="AT148" s="1">
        <v>0</v>
      </c>
      <c r="AU148" s="1" t="s">
        <v>71</v>
      </c>
      <c r="AV148" s="1" t="s">
        <v>71</v>
      </c>
      <c r="AW148" s="1" t="s">
        <v>71</v>
      </c>
      <c r="AX148" s="1">
        <v>0</v>
      </c>
      <c r="AY148" s="1">
        <v>0</v>
      </c>
      <c r="AZ148" s="1" t="s">
        <v>71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 t="s">
        <v>71</v>
      </c>
      <c r="BI148" s="1" t="s">
        <v>71</v>
      </c>
      <c r="BJ148" s="1" t="s">
        <v>71</v>
      </c>
      <c r="BK148" s="1">
        <v>1.0000000000000002E-4</v>
      </c>
      <c r="BL148" s="1">
        <f t="shared" si="46"/>
        <v>1.0000000000000002E-2</v>
      </c>
      <c r="BM148" s="1">
        <v>0.1</v>
      </c>
      <c r="BN148" s="1" t="s">
        <v>71</v>
      </c>
      <c r="BO148" s="1">
        <v>1</v>
      </c>
      <c r="BP148" s="1">
        <v>5</v>
      </c>
      <c r="BQ148" s="1" t="s">
        <v>71</v>
      </c>
      <c r="BR148" s="1" t="s">
        <v>71</v>
      </c>
      <c r="BS148" s="1" t="s">
        <v>71</v>
      </c>
      <c r="BT148" s="1" t="s">
        <v>71</v>
      </c>
      <c r="BU148" s="1" t="s">
        <v>71</v>
      </c>
      <c r="BV148" s="1" t="s">
        <v>71</v>
      </c>
      <c r="BW148" s="1" t="s">
        <v>71</v>
      </c>
      <c r="BX148" s="1" t="s">
        <v>71</v>
      </c>
      <c r="BY148" s="1" t="s">
        <v>71</v>
      </c>
      <c r="BZ148" s="3">
        <v>4</v>
      </c>
      <c r="CA148" s="3" t="s">
        <v>71</v>
      </c>
      <c r="CB148" s="3">
        <f t="shared" si="47"/>
        <v>5.5555555555555554</v>
      </c>
      <c r="CC148" s="1" t="s">
        <v>71</v>
      </c>
      <c r="CD148" s="1">
        <v>1</v>
      </c>
      <c r="CE148" s="1">
        <v>1</v>
      </c>
      <c r="CF148" s="1">
        <f t="shared" si="54"/>
        <v>1</v>
      </c>
      <c r="CG148" s="3" t="s">
        <v>71</v>
      </c>
      <c r="CH148" s="3" t="s">
        <v>71</v>
      </c>
      <c r="CI148" s="3" t="s">
        <v>71</v>
      </c>
      <c r="CJ148" s="3" t="s">
        <v>71</v>
      </c>
      <c r="CK148" s="3" t="s">
        <v>71</v>
      </c>
      <c r="CL148" s="3" t="s">
        <v>71</v>
      </c>
      <c r="CM148" s="3" t="s">
        <v>71</v>
      </c>
      <c r="CN148" s="3" t="s">
        <v>71</v>
      </c>
      <c r="CO148" s="1">
        <v>46</v>
      </c>
      <c r="CP148" s="1" t="s">
        <v>71</v>
      </c>
      <c r="CQ148" s="1">
        <v>27</v>
      </c>
      <c r="CR148" s="1" t="s">
        <v>71</v>
      </c>
      <c r="CS148" s="1" t="s">
        <v>71</v>
      </c>
      <c r="CT148" s="1">
        <v>10.1</v>
      </c>
      <c r="CU148" s="1" t="s">
        <v>71</v>
      </c>
      <c r="CV148" s="1" t="s">
        <v>71</v>
      </c>
      <c r="CW148" s="1" t="s">
        <v>71</v>
      </c>
      <c r="CX148" s="1" t="s">
        <v>71</v>
      </c>
      <c r="CY148" s="1">
        <v>10.7</v>
      </c>
      <c r="CZ148" s="1" t="s">
        <v>71</v>
      </c>
      <c r="DA148">
        <f t="shared" si="53"/>
        <v>594</v>
      </c>
      <c r="DB148" s="1" t="s">
        <v>71</v>
      </c>
      <c r="DC148" s="1">
        <v>10.7</v>
      </c>
      <c r="DD148">
        <f t="shared" si="49"/>
        <v>594</v>
      </c>
      <c r="DE148" s="1" t="s">
        <v>71</v>
      </c>
      <c r="DF148" s="1" t="s">
        <v>71</v>
      </c>
    </row>
    <row r="149" spans="1:110" x14ac:dyDescent="0.15">
      <c r="A149" s="1">
        <v>2022</v>
      </c>
      <c r="B149" s="1" t="s">
        <v>49</v>
      </c>
      <c r="C149" s="1">
        <v>8</v>
      </c>
      <c r="D149" s="1">
        <v>7</v>
      </c>
      <c r="E149" s="1"/>
      <c r="F149" s="1" t="s">
        <v>53</v>
      </c>
      <c r="G149" s="1" t="s">
        <v>56</v>
      </c>
      <c r="H149" s="1">
        <v>4</v>
      </c>
      <c r="I149" s="23" t="s">
        <v>53</v>
      </c>
      <c r="J149" s="1" t="s">
        <v>57</v>
      </c>
      <c r="K149" s="24">
        <v>44700</v>
      </c>
      <c r="L149" s="1" t="s">
        <v>71</v>
      </c>
      <c r="M149" s="1" t="s">
        <v>71</v>
      </c>
      <c r="N149" s="1" t="s">
        <v>71</v>
      </c>
      <c r="O149" s="1" t="s">
        <v>71</v>
      </c>
      <c r="P149" s="24">
        <v>44700</v>
      </c>
      <c r="Q149" s="1" t="s">
        <v>71</v>
      </c>
      <c r="R149" s="1" t="s">
        <v>71</v>
      </c>
      <c r="S149" s="1" t="s">
        <v>71</v>
      </c>
      <c r="T149" s="1" t="s">
        <v>71</v>
      </c>
      <c r="U149" s="1" t="s">
        <v>71</v>
      </c>
      <c r="V149" s="1" t="s">
        <v>71</v>
      </c>
      <c r="W149" s="1" t="s">
        <v>71</v>
      </c>
      <c r="X149" s="1">
        <v>0</v>
      </c>
      <c r="Y149" s="1" t="s">
        <v>71</v>
      </c>
      <c r="Z149" s="1" t="s">
        <v>71</v>
      </c>
      <c r="AA149" s="1" t="s">
        <v>71</v>
      </c>
      <c r="AB149" s="1" t="s">
        <v>71</v>
      </c>
      <c r="AC149" s="1" t="s">
        <v>71</v>
      </c>
      <c r="AD149" s="25" t="s">
        <v>71</v>
      </c>
      <c r="AE149" s="25">
        <v>26</v>
      </c>
      <c r="AF149" s="25" t="s">
        <v>71</v>
      </c>
      <c r="AG149" s="25">
        <v>62</v>
      </c>
      <c r="AH149" s="1" t="s">
        <v>71</v>
      </c>
      <c r="AI149" s="1">
        <v>62</v>
      </c>
      <c r="AJ149" s="1" t="s">
        <v>71</v>
      </c>
      <c r="AK149" s="1" t="s">
        <v>71</v>
      </c>
      <c r="AL149" s="1" t="s">
        <v>71</v>
      </c>
      <c r="AM149" s="1" t="s">
        <v>71</v>
      </c>
      <c r="AN149" s="1" t="s">
        <v>71</v>
      </c>
      <c r="AO149" s="1" t="s">
        <v>71</v>
      </c>
      <c r="AP149" s="1" t="s">
        <v>71</v>
      </c>
      <c r="AQ149" s="1" t="s">
        <v>71</v>
      </c>
      <c r="AR149" s="1" t="s">
        <v>71</v>
      </c>
      <c r="AS149" s="1" t="s">
        <v>71</v>
      </c>
      <c r="AT149" s="1" t="s">
        <v>71</v>
      </c>
      <c r="AU149" s="1">
        <v>0</v>
      </c>
      <c r="AV149" s="1">
        <v>0</v>
      </c>
      <c r="AW149" s="1">
        <v>0</v>
      </c>
      <c r="AX149" s="1" t="s">
        <v>71</v>
      </c>
      <c r="AY149" s="1" t="s">
        <v>71</v>
      </c>
      <c r="AZ149" s="1">
        <v>0</v>
      </c>
      <c r="BA149" s="1" t="s">
        <v>71</v>
      </c>
      <c r="BB149" s="1" t="s">
        <v>71</v>
      </c>
      <c r="BC149" s="1" t="s">
        <v>71</v>
      </c>
      <c r="BD149" s="1" t="s">
        <v>71</v>
      </c>
      <c r="BE149" s="1" t="s">
        <v>71</v>
      </c>
      <c r="BF149" s="1" t="s">
        <v>71</v>
      </c>
      <c r="BG149" s="1" t="s">
        <v>71</v>
      </c>
      <c r="BH149" s="1">
        <v>3</v>
      </c>
      <c r="BI149" s="1" t="s">
        <v>71</v>
      </c>
      <c r="BJ149" s="1" t="s">
        <v>71</v>
      </c>
      <c r="BK149" s="1">
        <v>4.0000000000000007E-4</v>
      </c>
      <c r="BL149" s="1">
        <f t="shared" si="46"/>
        <v>4.0000000000000008E-2</v>
      </c>
      <c r="BM149" s="1">
        <v>0.2</v>
      </c>
      <c r="BN149" s="1">
        <v>0.5</v>
      </c>
      <c r="BO149" s="1">
        <v>1</v>
      </c>
      <c r="BP149" s="1">
        <v>5</v>
      </c>
      <c r="BQ149" s="1" t="s">
        <v>71</v>
      </c>
      <c r="BR149" s="1" t="s">
        <v>71</v>
      </c>
      <c r="BS149" s="1" t="s">
        <v>71</v>
      </c>
      <c r="BT149" s="1" t="s">
        <v>71</v>
      </c>
      <c r="BU149" s="1" t="s">
        <v>71</v>
      </c>
      <c r="BV149" s="1">
        <v>4</v>
      </c>
      <c r="BW149" s="1">
        <v>4</v>
      </c>
      <c r="BX149" s="1" t="s">
        <v>71</v>
      </c>
      <c r="BY149" s="1" t="s">
        <v>71</v>
      </c>
      <c r="BZ149" s="3" t="s">
        <v>71</v>
      </c>
      <c r="CA149" s="3">
        <v>3</v>
      </c>
      <c r="CB149" s="1" t="s">
        <v>71</v>
      </c>
      <c r="CC149" s="3">
        <f t="shared" si="52"/>
        <v>4.166666666666667</v>
      </c>
      <c r="CD149" s="1">
        <v>1</v>
      </c>
      <c r="CE149" s="1">
        <v>1</v>
      </c>
      <c r="CF149" s="1">
        <f t="shared" si="54"/>
        <v>1</v>
      </c>
      <c r="CG149" s="1" t="s">
        <v>71</v>
      </c>
      <c r="CH149" s="1" t="s">
        <v>71</v>
      </c>
      <c r="CI149" s="1" t="s">
        <v>71</v>
      </c>
      <c r="CJ149" s="1" t="s">
        <v>71</v>
      </c>
      <c r="CK149" s="3" t="s">
        <v>71</v>
      </c>
      <c r="CL149" s="3" t="s">
        <v>71</v>
      </c>
      <c r="CM149" s="3" t="s">
        <v>71</v>
      </c>
      <c r="CN149" s="3" t="s">
        <v>71</v>
      </c>
      <c r="CO149" s="1" t="s">
        <v>71</v>
      </c>
      <c r="CP149" s="1" t="s">
        <v>71</v>
      </c>
      <c r="CQ149" s="1" t="s">
        <v>71</v>
      </c>
      <c r="CR149" s="1">
        <v>156</v>
      </c>
      <c r="CS149" s="1">
        <v>31</v>
      </c>
      <c r="CT149" s="1" t="s">
        <v>71</v>
      </c>
      <c r="CU149" s="1">
        <v>9.9</v>
      </c>
      <c r="CV149" s="1" t="s">
        <v>71</v>
      </c>
      <c r="CW149" s="1" t="s">
        <v>71</v>
      </c>
      <c r="CX149" t="e">
        <f>ROUND(CV149*#REF!/10,1)</f>
        <v>#VALUE!</v>
      </c>
      <c r="CY149" s="1" t="s">
        <v>71</v>
      </c>
      <c r="CZ149">
        <f t="shared" ref="CZ149:CZ160" si="55">ROUND((10*CC149*CS149),0)</f>
        <v>1292</v>
      </c>
      <c r="DA149" s="1" t="s">
        <v>71</v>
      </c>
      <c r="DB149" s="1" t="s">
        <v>71</v>
      </c>
      <c r="DC149" s="1" t="s">
        <v>71</v>
      </c>
      <c r="DD149">
        <f t="shared" si="49"/>
        <v>1292</v>
      </c>
      <c r="DE149" s="1" t="s">
        <v>71</v>
      </c>
      <c r="DF149" s="1" t="s">
        <v>71</v>
      </c>
    </row>
    <row r="150" spans="1:110" x14ac:dyDescent="0.15">
      <c r="A150" s="1">
        <v>2022</v>
      </c>
      <c r="B150" s="1" t="s">
        <v>49</v>
      </c>
      <c r="C150" s="1">
        <v>8</v>
      </c>
      <c r="D150" s="1">
        <v>8</v>
      </c>
      <c r="E150" s="1"/>
      <c r="F150" s="1" t="s">
        <v>54</v>
      </c>
      <c r="G150" s="1" t="s">
        <v>56</v>
      </c>
      <c r="H150" s="1">
        <v>4</v>
      </c>
      <c r="I150" s="23" t="s">
        <v>54</v>
      </c>
      <c r="J150" s="1" t="s">
        <v>57</v>
      </c>
      <c r="K150" s="24">
        <v>44700</v>
      </c>
      <c r="L150" s="1" t="s">
        <v>71</v>
      </c>
      <c r="M150" s="1" t="s">
        <v>71</v>
      </c>
      <c r="N150" s="1" t="s">
        <v>71</v>
      </c>
      <c r="O150" s="1" t="s">
        <v>71</v>
      </c>
      <c r="P150" s="24">
        <v>44700</v>
      </c>
      <c r="Q150" s="1" t="s">
        <v>71</v>
      </c>
      <c r="R150" s="1" t="s">
        <v>71</v>
      </c>
      <c r="S150" s="1" t="s">
        <v>71</v>
      </c>
      <c r="T150" s="1" t="s">
        <v>71</v>
      </c>
      <c r="U150" s="1" t="s">
        <v>71</v>
      </c>
      <c r="V150" s="1" t="s">
        <v>71</v>
      </c>
      <c r="W150" s="1" t="s">
        <v>71</v>
      </c>
      <c r="X150" s="1">
        <v>0</v>
      </c>
      <c r="Y150" s="1" t="s">
        <v>71</v>
      </c>
      <c r="Z150" s="1" t="s">
        <v>71</v>
      </c>
      <c r="AA150" s="1" t="s">
        <v>71</v>
      </c>
      <c r="AB150" s="1" t="s">
        <v>71</v>
      </c>
      <c r="AC150" s="1" t="s">
        <v>71</v>
      </c>
      <c r="AD150" s="25" t="s">
        <v>71</v>
      </c>
      <c r="AE150" s="25">
        <v>28</v>
      </c>
      <c r="AF150" s="25" t="s">
        <v>71</v>
      </c>
      <c r="AG150" s="25">
        <v>70</v>
      </c>
      <c r="AH150" s="1" t="s">
        <v>71</v>
      </c>
      <c r="AI150" s="1">
        <v>75</v>
      </c>
      <c r="AJ150" s="1" t="s">
        <v>71</v>
      </c>
      <c r="AK150" s="1" t="s">
        <v>71</v>
      </c>
      <c r="AL150" s="1" t="s">
        <v>71</v>
      </c>
      <c r="AM150" s="1" t="s">
        <v>71</v>
      </c>
      <c r="AN150" s="1" t="s">
        <v>71</v>
      </c>
      <c r="AO150" s="1" t="s">
        <v>71</v>
      </c>
      <c r="AP150" s="1" t="s">
        <v>71</v>
      </c>
      <c r="AQ150" s="1" t="s">
        <v>71</v>
      </c>
      <c r="AR150" s="1" t="s">
        <v>71</v>
      </c>
      <c r="AS150" s="1" t="s">
        <v>71</v>
      </c>
      <c r="AT150" s="1" t="s">
        <v>71</v>
      </c>
      <c r="AU150" s="1">
        <v>0</v>
      </c>
      <c r="AV150" s="1">
        <v>0</v>
      </c>
      <c r="AW150" s="1">
        <v>0</v>
      </c>
      <c r="AX150" s="1" t="s">
        <v>71</v>
      </c>
      <c r="AY150" s="1" t="s">
        <v>71</v>
      </c>
      <c r="AZ150" s="1">
        <v>0</v>
      </c>
      <c r="BA150" s="1" t="s">
        <v>71</v>
      </c>
      <c r="BB150" s="1" t="s">
        <v>71</v>
      </c>
      <c r="BC150" s="1" t="s">
        <v>71</v>
      </c>
      <c r="BD150" s="1" t="s">
        <v>71</v>
      </c>
      <c r="BE150" s="1" t="s">
        <v>71</v>
      </c>
      <c r="BF150" s="1" t="s">
        <v>71</v>
      </c>
      <c r="BG150" s="1" t="s">
        <v>71</v>
      </c>
      <c r="BH150" s="1">
        <v>3</v>
      </c>
      <c r="BI150" s="1" t="s">
        <v>71</v>
      </c>
      <c r="BJ150" s="1" t="s">
        <v>71</v>
      </c>
      <c r="BK150" s="1">
        <v>0.03</v>
      </c>
      <c r="BL150" s="1">
        <f t="shared" si="46"/>
        <v>3</v>
      </c>
      <c r="BM150" s="1">
        <v>1.2</v>
      </c>
      <c r="BN150" s="1">
        <v>0.03</v>
      </c>
      <c r="BO150" s="1">
        <v>1</v>
      </c>
      <c r="BP150" s="1">
        <v>5</v>
      </c>
      <c r="BQ150" s="1" t="s">
        <v>71</v>
      </c>
      <c r="BR150" s="1" t="s">
        <v>71</v>
      </c>
      <c r="BS150" s="1" t="s">
        <v>71</v>
      </c>
      <c r="BT150" s="1" t="s">
        <v>71</v>
      </c>
      <c r="BU150" s="1" t="s">
        <v>71</v>
      </c>
      <c r="BV150" s="1">
        <v>5</v>
      </c>
      <c r="BW150" s="1">
        <v>3.7</v>
      </c>
      <c r="BX150" s="1" t="s">
        <v>71</v>
      </c>
      <c r="BY150" s="1" t="s">
        <v>71</v>
      </c>
      <c r="BZ150" s="3" t="s">
        <v>71</v>
      </c>
      <c r="CA150" s="3">
        <v>2.6</v>
      </c>
      <c r="CB150" s="1" t="s">
        <v>71</v>
      </c>
      <c r="CC150" s="3">
        <f t="shared" si="52"/>
        <v>3.6111111111111116</v>
      </c>
      <c r="CD150" s="1">
        <v>1</v>
      </c>
      <c r="CE150" s="1">
        <v>1</v>
      </c>
      <c r="CF150" s="1">
        <f t="shared" si="54"/>
        <v>1</v>
      </c>
      <c r="CG150" s="1" t="s">
        <v>71</v>
      </c>
      <c r="CH150" s="1" t="s">
        <v>71</v>
      </c>
      <c r="CI150" s="1" t="s">
        <v>71</v>
      </c>
      <c r="CJ150" s="1" t="s">
        <v>71</v>
      </c>
      <c r="CK150" s="3" t="s">
        <v>71</v>
      </c>
      <c r="CL150" s="3" t="s">
        <v>71</v>
      </c>
      <c r="CM150" s="3" t="s">
        <v>71</v>
      </c>
      <c r="CN150" s="3" t="s">
        <v>71</v>
      </c>
      <c r="CO150" s="1" t="s">
        <v>71</v>
      </c>
      <c r="CP150" s="1" t="s">
        <v>71</v>
      </c>
      <c r="CQ150" s="1" t="s">
        <v>71</v>
      </c>
      <c r="CR150" s="1">
        <v>143</v>
      </c>
      <c r="CS150" s="1">
        <v>36</v>
      </c>
      <c r="CT150" s="1" t="s">
        <v>71</v>
      </c>
      <c r="CU150" s="1">
        <v>10.3</v>
      </c>
      <c r="CV150" s="1" t="s">
        <v>71</v>
      </c>
      <c r="CW150" s="1" t="s">
        <v>71</v>
      </c>
      <c r="CX150" t="e">
        <f>ROUND(CV150*#REF!/10,1)</f>
        <v>#VALUE!</v>
      </c>
      <c r="CY150" s="1" t="s">
        <v>71</v>
      </c>
      <c r="CZ150">
        <f t="shared" si="55"/>
        <v>1300</v>
      </c>
      <c r="DA150" s="1" t="s">
        <v>71</v>
      </c>
      <c r="DB150" s="1" t="s">
        <v>71</v>
      </c>
      <c r="DC150" s="1" t="s">
        <v>71</v>
      </c>
      <c r="DD150">
        <f t="shared" si="49"/>
        <v>1300</v>
      </c>
      <c r="DE150" s="1" t="s">
        <v>71</v>
      </c>
      <c r="DF150" s="1" t="s">
        <v>71</v>
      </c>
    </row>
    <row r="151" spans="1:110" x14ac:dyDescent="0.15">
      <c r="A151" s="1">
        <v>2022</v>
      </c>
      <c r="B151" s="1" t="s">
        <v>49</v>
      </c>
      <c r="C151" s="1">
        <v>8</v>
      </c>
      <c r="D151" s="1">
        <v>9</v>
      </c>
      <c r="E151" s="1"/>
      <c r="F151" s="1" t="s">
        <v>55</v>
      </c>
      <c r="G151" s="1" t="s">
        <v>56</v>
      </c>
      <c r="H151" s="1">
        <v>4</v>
      </c>
      <c r="I151" s="23" t="s">
        <v>55</v>
      </c>
      <c r="J151" s="1" t="s">
        <v>57</v>
      </c>
      <c r="K151" s="24">
        <v>44690</v>
      </c>
      <c r="L151" s="1" t="s">
        <v>71</v>
      </c>
      <c r="M151" s="1" t="s">
        <v>71</v>
      </c>
      <c r="N151" s="1" t="s">
        <v>71</v>
      </c>
      <c r="O151" s="1" t="s">
        <v>71</v>
      </c>
      <c r="P151" s="24">
        <v>44700</v>
      </c>
      <c r="Q151" s="1" t="s">
        <v>71</v>
      </c>
      <c r="R151" s="1" t="s">
        <v>71</v>
      </c>
      <c r="S151" s="1" t="s">
        <v>71</v>
      </c>
      <c r="T151" s="1" t="s">
        <v>71</v>
      </c>
      <c r="U151" s="1" t="s">
        <v>71</v>
      </c>
      <c r="V151" s="1" t="s">
        <v>71</v>
      </c>
      <c r="W151" s="1" t="s">
        <v>71</v>
      </c>
      <c r="X151" s="1">
        <v>0</v>
      </c>
      <c r="Y151" s="1" t="s">
        <v>71</v>
      </c>
      <c r="Z151" s="1" t="s">
        <v>71</v>
      </c>
      <c r="AA151" s="1" t="s">
        <v>71</v>
      </c>
      <c r="AB151" s="1" t="s">
        <v>71</v>
      </c>
      <c r="AC151" s="1" t="s">
        <v>71</v>
      </c>
      <c r="AD151" s="25" t="s">
        <v>71</v>
      </c>
      <c r="AE151" s="25">
        <v>33</v>
      </c>
      <c r="AF151" s="25" t="s">
        <v>71</v>
      </c>
      <c r="AG151" s="25">
        <v>69</v>
      </c>
      <c r="AH151" s="1" t="s">
        <v>71</v>
      </c>
      <c r="AI151" s="1">
        <v>66</v>
      </c>
      <c r="AJ151" s="1" t="s">
        <v>71</v>
      </c>
      <c r="AK151" s="1" t="s">
        <v>71</v>
      </c>
      <c r="AL151" s="1" t="s">
        <v>71</v>
      </c>
      <c r="AM151" s="1" t="s">
        <v>71</v>
      </c>
      <c r="AN151" s="1" t="s">
        <v>71</v>
      </c>
      <c r="AO151" s="1" t="s">
        <v>71</v>
      </c>
      <c r="AP151" s="1" t="s">
        <v>71</v>
      </c>
      <c r="AQ151" s="1" t="s">
        <v>71</v>
      </c>
      <c r="AR151" s="1" t="s">
        <v>71</v>
      </c>
      <c r="AS151" s="1" t="s">
        <v>71</v>
      </c>
      <c r="AT151" s="1" t="s">
        <v>71</v>
      </c>
      <c r="AU151" s="1">
        <v>0</v>
      </c>
      <c r="AV151" s="1">
        <v>0</v>
      </c>
      <c r="AW151" s="1">
        <v>0</v>
      </c>
      <c r="AX151" s="1" t="s">
        <v>71</v>
      </c>
      <c r="AY151" s="1" t="s">
        <v>71</v>
      </c>
      <c r="AZ151" s="1">
        <v>0</v>
      </c>
      <c r="BA151" s="1" t="s">
        <v>71</v>
      </c>
      <c r="BB151" s="1" t="s">
        <v>71</v>
      </c>
      <c r="BC151" s="1" t="s">
        <v>71</v>
      </c>
      <c r="BD151" s="1" t="s">
        <v>71</v>
      </c>
      <c r="BE151" s="1" t="s">
        <v>71</v>
      </c>
      <c r="BF151" s="1" t="s">
        <v>71</v>
      </c>
      <c r="BG151" s="1" t="s">
        <v>71</v>
      </c>
      <c r="BH151" s="1">
        <v>4</v>
      </c>
      <c r="BI151" s="1" t="s">
        <v>71</v>
      </c>
      <c r="BJ151" s="1" t="s">
        <v>71</v>
      </c>
      <c r="BK151" s="1">
        <v>1.3500000000000002E-2</v>
      </c>
      <c r="BL151" s="1">
        <f t="shared" si="46"/>
        <v>1.35</v>
      </c>
      <c r="BM151" s="1">
        <v>0.9</v>
      </c>
      <c r="BN151" s="1">
        <v>0.04</v>
      </c>
      <c r="BO151" s="1">
        <v>1</v>
      </c>
      <c r="BP151" s="1">
        <v>0</v>
      </c>
      <c r="BQ151" s="1" t="s">
        <v>71</v>
      </c>
      <c r="BR151" s="1" t="s">
        <v>71</v>
      </c>
      <c r="BS151" s="1" t="s">
        <v>71</v>
      </c>
      <c r="BT151" s="1" t="s">
        <v>71</v>
      </c>
      <c r="BU151" s="1" t="s">
        <v>71</v>
      </c>
      <c r="BV151" s="1">
        <v>3.7</v>
      </c>
      <c r="BW151" s="1">
        <v>0.3</v>
      </c>
      <c r="BX151" s="1" t="s">
        <v>71</v>
      </c>
      <c r="BY151" s="1" t="s">
        <v>71</v>
      </c>
      <c r="BZ151" s="3" t="s">
        <v>71</v>
      </c>
      <c r="CA151" s="3">
        <v>2.4</v>
      </c>
      <c r="CB151" s="1" t="s">
        <v>71</v>
      </c>
      <c r="CC151" s="3">
        <f t="shared" si="52"/>
        <v>3.3333333333333339</v>
      </c>
      <c r="CD151" s="1">
        <v>1</v>
      </c>
      <c r="CE151" s="1">
        <v>1</v>
      </c>
      <c r="CF151" s="1">
        <f t="shared" si="54"/>
        <v>1</v>
      </c>
      <c r="CG151" s="1" t="s">
        <v>71</v>
      </c>
      <c r="CH151" s="1" t="s">
        <v>71</v>
      </c>
      <c r="CI151" s="1" t="s">
        <v>71</v>
      </c>
      <c r="CJ151" s="1" t="s">
        <v>71</v>
      </c>
      <c r="CK151" s="3" t="s">
        <v>71</v>
      </c>
      <c r="CL151" s="3" t="s">
        <v>71</v>
      </c>
      <c r="CM151" s="3" t="s">
        <v>71</v>
      </c>
      <c r="CN151" s="3" t="s">
        <v>71</v>
      </c>
      <c r="CO151" s="1" t="s">
        <v>71</v>
      </c>
      <c r="CP151" s="1" t="s">
        <v>71</v>
      </c>
      <c r="CQ151" s="1" t="s">
        <v>71</v>
      </c>
      <c r="CR151" s="1">
        <v>161</v>
      </c>
      <c r="CS151" s="1">
        <v>39</v>
      </c>
      <c r="CT151" s="1" t="s">
        <v>71</v>
      </c>
      <c r="CU151" s="1">
        <v>8.9</v>
      </c>
      <c r="CV151" s="1" t="s">
        <v>71</v>
      </c>
      <c r="CW151" s="1" t="s">
        <v>71</v>
      </c>
      <c r="CX151" t="e">
        <f>ROUND(CV151*#REF!/10,1)</f>
        <v>#VALUE!</v>
      </c>
      <c r="CY151" s="1" t="s">
        <v>71</v>
      </c>
      <c r="CZ151">
        <f t="shared" si="55"/>
        <v>1300</v>
      </c>
      <c r="DA151" s="1" t="s">
        <v>71</v>
      </c>
      <c r="DB151" s="1" t="s">
        <v>71</v>
      </c>
      <c r="DC151" s="1" t="s">
        <v>71</v>
      </c>
      <c r="DD151">
        <f t="shared" si="49"/>
        <v>1300</v>
      </c>
      <c r="DE151" s="1" t="s">
        <v>71</v>
      </c>
      <c r="DF151" s="1" t="s">
        <v>71</v>
      </c>
    </row>
    <row r="152" spans="1:110" x14ac:dyDescent="0.15">
      <c r="A152" s="1">
        <v>2022</v>
      </c>
      <c r="B152" s="1" t="s">
        <v>49</v>
      </c>
      <c r="C152" s="1">
        <v>8</v>
      </c>
      <c r="D152" s="1">
        <v>10</v>
      </c>
      <c r="E152" s="1" t="s">
        <v>50</v>
      </c>
      <c r="F152" s="1" t="s">
        <v>53</v>
      </c>
      <c r="G152" s="1" t="s">
        <v>5</v>
      </c>
      <c r="H152" s="1">
        <v>4</v>
      </c>
      <c r="I152" s="23" t="s">
        <v>60</v>
      </c>
      <c r="J152" s="1" t="s">
        <v>57</v>
      </c>
      <c r="K152" s="24">
        <v>44700</v>
      </c>
      <c r="L152" s="27">
        <v>10000000000</v>
      </c>
      <c r="M152" s="1">
        <f>K152-K149</f>
        <v>0</v>
      </c>
      <c r="N152" s="24">
        <v>44709</v>
      </c>
      <c r="O152" s="24">
        <v>44721</v>
      </c>
      <c r="P152" s="24">
        <v>44700</v>
      </c>
      <c r="Q152" s="1">
        <f>P152-P149</f>
        <v>0</v>
      </c>
      <c r="R152" s="1">
        <f>N152-N146</f>
        <v>1</v>
      </c>
      <c r="S152" s="1">
        <f>O152-O146</f>
        <v>0</v>
      </c>
      <c r="T152" s="1">
        <f>AVERAGE(R152,S152)</f>
        <v>0.5</v>
      </c>
      <c r="U152" s="1" t="s">
        <v>71</v>
      </c>
      <c r="V152" s="1" t="s">
        <v>71</v>
      </c>
      <c r="W152" s="1">
        <v>-1</v>
      </c>
      <c r="X152" s="1">
        <v>0</v>
      </c>
      <c r="Y152" s="1">
        <v>0</v>
      </c>
      <c r="Z152" s="1" t="s">
        <v>71</v>
      </c>
      <c r="AA152" s="1" t="s">
        <v>71</v>
      </c>
      <c r="AB152" s="1" t="s">
        <v>71</v>
      </c>
      <c r="AC152" s="1" t="s">
        <v>71</v>
      </c>
      <c r="AD152" s="25">
        <v>40</v>
      </c>
      <c r="AE152" s="25">
        <v>28</v>
      </c>
      <c r="AF152" s="25">
        <v>116</v>
      </c>
      <c r="AG152" s="25">
        <v>62</v>
      </c>
      <c r="AH152" s="1">
        <v>118</v>
      </c>
      <c r="AI152" s="1">
        <v>62</v>
      </c>
      <c r="AJ152" s="1">
        <v>3.3</v>
      </c>
      <c r="AK152" s="1">
        <v>0</v>
      </c>
      <c r="AL152" s="1">
        <v>0</v>
      </c>
      <c r="AM152" s="1">
        <v>0</v>
      </c>
      <c r="AN152" s="1" t="s">
        <v>71</v>
      </c>
      <c r="AO152" s="1" t="s">
        <v>71</v>
      </c>
      <c r="AP152" s="1" t="s">
        <v>71</v>
      </c>
      <c r="AQ152" s="1">
        <v>2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8</v>
      </c>
      <c r="BI152" s="1" t="s">
        <v>71</v>
      </c>
      <c r="BJ152" s="1" t="s">
        <v>71</v>
      </c>
      <c r="BK152" s="1">
        <v>0</v>
      </c>
      <c r="BL152" s="1">
        <f t="shared" si="46"/>
        <v>0</v>
      </c>
      <c r="BM152" s="1">
        <v>0</v>
      </c>
      <c r="BN152" s="1" t="s">
        <v>71</v>
      </c>
      <c r="BO152" s="1">
        <v>1</v>
      </c>
      <c r="BP152" s="1">
        <v>0</v>
      </c>
      <c r="BQ152" s="1" t="s">
        <v>71</v>
      </c>
      <c r="BR152" s="1" t="s">
        <v>71</v>
      </c>
      <c r="BS152" s="1" t="s">
        <v>71</v>
      </c>
      <c r="BT152" s="1" t="s">
        <v>71</v>
      </c>
      <c r="BU152" s="1" t="s">
        <v>71</v>
      </c>
      <c r="BV152" s="1">
        <v>4.7</v>
      </c>
      <c r="BW152" s="1">
        <v>2</v>
      </c>
      <c r="BX152" s="1" t="s">
        <v>71</v>
      </c>
      <c r="BY152" s="1" t="s">
        <v>71</v>
      </c>
      <c r="BZ152" s="3">
        <v>1.2</v>
      </c>
      <c r="CA152" s="3">
        <v>1.9</v>
      </c>
      <c r="CB152" s="3">
        <f t="shared" si="47"/>
        <v>1.666666666666667</v>
      </c>
      <c r="CC152" s="3">
        <f t="shared" si="52"/>
        <v>2.6388888888888888</v>
      </c>
      <c r="CD152" s="1">
        <f>ROUND(CB152/CB143+CC152/CC149,2)</f>
        <v>0.97</v>
      </c>
      <c r="CE152" s="1">
        <f>ROUND(CB152/CB146+CC152/CC149,2)</f>
        <v>1</v>
      </c>
      <c r="CF152" s="1">
        <f t="shared" si="54"/>
        <v>1</v>
      </c>
      <c r="CG152" s="1">
        <f>ROUND(CB152/CB143,2)</f>
        <v>0.33</v>
      </c>
      <c r="CH152" s="1">
        <f>ROUND(CB152/CB146,2)</f>
        <v>0.36</v>
      </c>
      <c r="CI152" s="1">
        <f>ROUND(CC152/CC149,2)</f>
        <v>0.63</v>
      </c>
      <c r="CJ152" s="1">
        <f>ROUND((CC152+CB152)/MAX(CC149,CB146),2)</f>
        <v>0.94</v>
      </c>
      <c r="CK152" s="1">
        <f>ROUND(LN((0.9*BZ152)/(0.1*CA152))/(BZ143/CA149),2)</f>
        <v>1.45</v>
      </c>
      <c r="CL152" s="1">
        <f>ROUND(LN((0.9*BZ152)/(0.1*CA152))/(BZ146/CA149),2)</f>
        <v>1.58</v>
      </c>
      <c r="CM152" s="1">
        <f>ROUND(LN((0.1*CA152)/(0.9*BZ152))/(CA149/BZ143),2)</f>
        <v>-2.09</v>
      </c>
      <c r="CN152" s="1">
        <f>ROUND(LN((0.1*CA152)/(0.9*BZ152))/(CA149/BZ146),2)</f>
        <v>-1.91</v>
      </c>
      <c r="CO152" s="1">
        <v>50</v>
      </c>
      <c r="CP152" s="1" t="s">
        <v>71</v>
      </c>
      <c r="CQ152" s="1">
        <v>42</v>
      </c>
      <c r="CR152" s="1">
        <v>144</v>
      </c>
      <c r="CS152" s="1">
        <v>32</v>
      </c>
      <c r="CT152" s="1">
        <v>10.3</v>
      </c>
      <c r="CU152" s="1">
        <v>10.3</v>
      </c>
      <c r="CV152" s="1" t="s">
        <v>71</v>
      </c>
      <c r="CW152" s="1" t="s">
        <v>71</v>
      </c>
      <c r="CX152" t="e">
        <f>ROUND(CV152*#REF!/10,1)</f>
        <v>#VALUE!</v>
      </c>
      <c r="CY152" s="1">
        <v>12.5</v>
      </c>
      <c r="CZ152">
        <f t="shared" si="55"/>
        <v>844</v>
      </c>
      <c r="DA152">
        <f t="shared" ref="DA152:DA160" si="56">ROUND((CY152*CB152*10),0)</f>
        <v>208</v>
      </c>
      <c r="DB152">
        <f>(CZ152+DA152)/MAX(DA146,CZ149)</f>
        <v>0.81424148606811142</v>
      </c>
      <c r="DC152" s="1">
        <v>12.5</v>
      </c>
      <c r="DD152">
        <f t="shared" si="49"/>
        <v>1052</v>
      </c>
      <c r="DE152">
        <f>ROUND(MAX((DB152-DF152), 0), 2)</f>
        <v>0.16</v>
      </c>
      <c r="DF152">
        <f>ROUND(CZ152/MAX(DA146,CZ149), 2)</f>
        <v>0.65</v>
      </c>
    </row>
    <row r="153" spans="1:110" x14ac:dyDescent="0.15">
      <c r="A153" s="1">
        <v>2022</v>
      </c>
      <c r="B153" s="1" t="s">
        <v>49</v>
      </c>
      <c r="C153" s="1">
        <v>8</v>
      </c>
      <c r="D153" s="1">
        <v>11</v>
      </c>
      <c r="E153" s="1" t="s">
        <v>50</v>
      </c>
      <c r="F153" s="1" t="s">
        <v>54</v>
      </c>
      <c r="G153" s="1" t="s">
        <v>5</v>
      </c>
      <c r="H153" s="1">
        <v>4</v>
      </c>
      <c r="I153" s="23" t="s">
        <v>61</v>
      </c>
      <c r="J153" s="1" t="s">
        <v>57</v>
      </c>
      <c r="K153" s="1" t="s">
        <v>57</v>
      </c>
      <c r="L153" s="27">
        <v>10000000000</v>
      </c>
      <c r="M153" s="27">
        <v>10000000000</v>
      </c>
      <c r="N153" s="24">
        <v>44709</v>
      </c>
      <c r="O153" s="24">
        <v>44721</v>
      </c>
      <c r="P153" s="24">
        <v>44700</v>
      </c>
      <c r="Q153" s="1">
        <f>P153-P150</f>
        <v>0</v>
      </c>
      <c r="R153" s="1">
        <f>N153-N146</f>
        <v>1</v>
      </c>
      <c r="S153" s="1">
        <f>O153-O146</f>
        <v>0</v>
      </c>
      <c r="T153" s="1">
        <f t="shared" ref="T153:T160" si="57">AVERAGE(R153,S153)</f>
        <v>0.5</v>
      </c>
      <c r="U153" s="1" t="s">
        <v>71</v>
      </c>
      <c r="V153" s="1" t="s">
        <v>71</v>
      </c>
      <c r="W153" s="1">
        <v>2</v>
      </c>
      <c r="X153" s="1">
        <v>0</v>
      </c>
      <c r="Y153" s="1">
        <v>0</v>
      </c>
      <c r="Z153" s="1" t="s">
        <v>71</v>
      </c>
      <c r="AA153" s="1" t="s">
        <v>71</v>
      </c>
      <c r="AB153" s="1" t="s">
        <v>71</v>
      </c>
      <c r="AC153" s="1" t="s">
        <v>71</v>
      </c>
      <c r="AD153" s="25">
        <v>43</v>
      </c>
      <c r="AE153" s="25">
        <v>25</v>
      </c>
      <c r="AF153" s="25">
        <v>126</v>
      </c>
      <c r="AG153" s="25">
        <v>69</v>
      </c>
      <c r="AH153" s="1">
        <v>123</v>
      </c>
      <c r="AI153" s="1">
        <v>64</v>
      </c>
      <c r="AJ153" s="1">
        <v>3.3</v>
      </c>
      <c r="AK153" s="1">
        <v>0</v>
      </c>
      <c r="AL153" s="1">
        <v>0</v>
      </c>
      <c r="AM153" s="1">
        <v>0</v>
      </c>
      <c r="AN153" s="1">
        <v>0.01</v>
      </c>
      <c r="AO153" s="1">
        <v>0.05</v>
      </c>
      <c r="AP153" s="1">
        <v>5.0000000000000001E-4</v>
      </c>
      <c r="AQ153" s="1">
        <v>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 t="s">
        <v>71</v>
      </c>
      <c r="BI153" s="1" t="s">
        <v>71</v>
      </c>
      <c r="BJ153" s="1" t="s">
        <v>71</v>
      </c>
      <c r="BK153" s="1">
        <v>2.5000000000000001E-3</v>
      </c>
      <c r="BL153" s="1">
        <f t="shared" si="46"/>
        <v>0.25</v>
      </c>
      <c r="BM153" s="1">
        <v>0.5</v>
      </c>
      <c r="BN153" s="1">
        <v>0.2</v>
      </c>
      <c r="BO153" s="1">
        <v>1</v>
      </c>
      <c r="BP153" s="1">
        <v>5</v>
      </c>
      <c r="BQ153" s="1" t="s">
        <v>71</v>
      </c>
      <c r="BR153" s="1" t="s">
        <v>71</v>
      </c>
      <c r="BS153" s="1" t="s">
        <v>71</v>
      </c>
      <c r="BT153" s="1" t="s">
        <v>71</v>
      </c>
      <c r="BU153" s="1" t="s">
        <v>71</v>
      </c>
      <c r="BV153" s="1">
        <v>4.7</v>
      </c>
      <c r="BW153" s="1">
        <v>3.7</v>
      </c>
      <c r="BX153" s="1" t="s">
        <v>71</v>
      </c>
      <c r="BY153" s="1" t="s">
        <v>71</v>
      </c>
      <c r="BZ153" s="3">
        <v>1.2</v>
      </c>
      <c r="CA153" s="3">
        <v>1.9</v>
      </c>
      <c r="CB153" s="3">
        <f t="shared" si="47"/>
        <v>1.666666666666667</v>
      </c>
      <c r="CC153" s="3">
        <f t="shared" si="52"/>
        <v>2.6388888888888888</v>
      </c>
      <c r="CD153" s="1">
        <f>ROUND(CB153/CB143+CC153/CC150,2)</f>
        <v>1.06</v>
      </c>
      <c r="CE153" s="1">
        <f>ROUND(CB153/CB146+CC153/CC150,2)</f>
        <v>1.0900000000000001</v>
      </c>
      <c r="CF153" s="1">
        <f t="shared" si="54"/>
        <v>1.0900000000000001</v>
      </c>
      <c r="CG153" s="1">
        <f>ROUND(CB153/CB143,2)</f>
        <v>0.33</v>
      </c>
      <c r="CH153" s="1">
        <f>ROUND(CB153/CB146,2)</f>
        <v>0.36</v>
      </c>
      <c r="CI153" s="1">
        <f>ROUND(CC153/CC150,2)</f>
        <v>0.73</v>
      </c>
      <c r="CJ153" s="1">
        <f>ROUND((CC153+CB153)/MAX(CC150,CB146),2)</f>
        <v>0.94</v>
      </c>
      <c r="CK153" s="1">
        <f>ROUND(LN((0.9*BZ153)/(0.1*CA153))/(BZ143/CA150),2)</f>
        <v>1.25</v>
      </c>
      <c r="CL153" s="1">
        <f>ROUND(LN((0.9*BZ153)/(0.1*CA153))/(BZ146/CA150),2)</f>
        <v>1.37</v>
      </c>
      <c r="CM153" s="1">
        <f>ROUND(LN((0.1*CA153)/(0.9*BZ153))/(CA150/BZ143),2)</f>
        <v>-2.41</v>
      </c>
      <c r="CN153" s="1">
        <f>ROUND(LN((0.1*CA153)/(0.9*BZ153))/(CA150/BZ146),2)</f>
        <v>-2.21</v>
      </c>
      <c r="CO153" s="1">
        <v>50</v>
      </c>
      <c r="CP153" s="1" t="s">
        <v>71</v>
      </c>
      <c r="CQ153" s="1">
        <v>42</v>
      </c>
      <c r="CR153" s="1">
        <v>135</v>
      </c>
      <c r="CS153" s="1">
        <v>36</v>
      </c>
      <c r="CT153" s="1">
        <v>10.199999999999999</v>
      </c>
      <c r="CU153" s="1">
        <v>10.199999999999999</v>
      </c>
      <c r="CV153" s="1" t="s">
        <v>71</v>
      </c>
      <c r="CW153" s="1" t="s">
        <v>71</v>
      </c>
      <c r="CX153" t="e">
        <f>ROUND(CV153*#REF!/10,1)</f>
        <v>#VALUE!</v>
      </c>
      <c r="CY153" s="1">
        <v>12.6</v>
      </c>
      <c r="CZ153">
        <f t="shared" si="55"/>
        <v>950</v>
      </c>
      <c r="DA153">
        <f t="shared" si="56"/>
        <v>210</v>
      </c>
      <c r="DB153">
        <f>(CZ153+DA153)/MAX(DA146,CZ150)</f>
        <v>0.89230769230769236</v>
      </c>
      <c r="DC153" s="1">
        <v>12.6</v>
      </c>
      <c r="DD153">
        <f t="shared" si="49"/>
        <v>1160</v>
      </c>
      <c r="DE153">
        <f t="shared" ref="DE153:DE160" si="58">ROUND(MAX((DB153-DF153), 0), 2)</f>
        <v>0.16</v>
      </c>
      <c r="DF153">
        <f>ROUND(CZ153/MAX(DA146,CZ150), 2)</f>
        <v>0.73</v>
      </c>
    </row>
    <row r="154" spans="1:110" x14ac:dyDescent="0.15">
      <c r="A154" s="1">
        <v>2022</v>
      </c>
      <c r="B154" s="1" t="s">
        <v>49</v>
      </c>
      <c r="C154" s="1">
        <v>8</v>
      </c>
      <c r="D154" s="1">
        <v>12</v>
      </c>
      <c r="E154" s="1" t="s">
        <v>50</v>
      </c>
      <c r="F154" s="1" t="s">
        <v>55</v>
      </c>
      <c r="G154" s="1" t="s">
        <v>5</v>
      </c>
      <c r="H154" s="1">
        <v>4</v>
      </c>
      <c r="I154" s="23" t="s">
        <v>62</v>
      </c>
      <c r="J154" s="1" t="s">
        <v>57</v>
      </c>
      <c r="K154" s="24">
        <v>44700</v>
      </c>
      <c r="L154" s="27">
        <v>10000000000</v>
      </c>
      <c r="M154" s="1">
        <f>K154-K151</f>
        <v>10</v>
      </c>
      <c r="N154" s="24">
        <v>44709</v>
      </c>
      <c r="O154" s="24">
        <v>44720</v>
      </c>
      <c r="P154" s="24">
        <v>44700</v>
      </c>
      <c r="Q154" s="1">
        <f>P154-P151</f>
        <v>0</v>
      </c>
      <c r="R154" s="1">
        <f>N154-N146</f>
        <v>1</v>
      </c>
      <c r="S154" s="1">
        <f>O154-O146</f>
        <v>-1</v>
      </c>
      <c r="T154" s="1">
        <f t="shared" si="57"/>
        <v>0</v>
      </c>
      <c r="U154" s="1" t="s">
        <v>71</v>
      </c>
      <c r="V154" s="1" t="s">
        <v>71</v>
      </c>
      <c r="W154" s="1">
        <v>-1</v>
      </c>
      <c r="X154" s="1">
        <v>0</v>
      </c>
      <c r="Y154" s="1">
        <v>0</v>
      </c>
      <c r="Z154" s="1" t="s">
        <v>71</v>
      </c>
      <c r="AA154" s="1" t="s">
        <v>71</v>
      </c>
      <c r="AB154" s="1" t="s">
        <v>71</v>
      </c>
      <c r="AC154" s="1" t="s">
        <v>71</v>
      </c>
      <c r="AD154" s="25">
        <v>41</v>
      </c>
      <c r="AE154" s="25">
        <v>26</v>
      </c>
      <c r="AF154" s="25">
        <v>118</v>
      </c>
      <c r="AG154" s="25">
        <v>62</v>
      </c>
      <c r="AH154" s="1">
        <v>111</v>
      </c>
      <c r="AI154" s="1">
        <v>61</v>
      </c>
      <c r="AJ154" s="1">
        <v>1.7</v>
      </c>
      <c r="AK154" s="1">
        <v>0.02</v>
      </c>
      <c r="AL154" s="1">
        <v>0.01</v>
      </c>
      <c r="AM154" s="1">
        <v>2.0000000000000001E-4</v>
      </c>
      <c r="AN154" s="1">
        <v>0.01</v>
      </c>
      <c r="AO154" s="1">
        <v>0.01</v>
      </c>
      <c r="AP154" s="1">
        <v>1E-4</v>
      </c>
      <c r="AQ154" s="1">
        <v>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3</v>
      </c>
      <c r="BI154" s="1" t="s">
        <v>71</v>
      </c>
      <c r="BJ154" s="1" t="s">
        <v>71</v>
      </c>
      <c r="BK154" s="1">
        <v>5.9999999999999995E-4</v>
      </c>
      <c r="BL154" s="1">
        <f t="shared" si="46"/>
        <v>0.06</v>
      </c>
      <c r="BM154" s="1">
        <v>0.2</v>
      </c>
      <c r="BN154" s="1">
        <v>0.5</v>
      </c>
      <c r="BO154" s="1">
        <v>1</v>
      </c>
      <c r="BP154" s="1">
        <v>15</v>
      </c>
      <c r="BQ154" s="1" t="s">
        <v>71</v>
      </c>
      <c r="BR154" s="1" t="s">
        <v>71</v>
      </c>
      <c r="BS154" s="1" t="s">
        <v>71</v>
      </c>
      <c r="BT154" s="1" t="s">
        <v>71</v>
      </c>
      <c r="BU154" s="1" t="s">
        <v>71</v>
      </c>
      <c r="BV154" s="1" t="s">
        <v>71</v>
      </c>
      <c r="BW154" s="1" t="s">
        <v>71</v>
      </c>
      <c r="BX154" s="1" t="s">
        <v>71</v>
      </c>
      <c r="BY154" s="1" t="s">
        <v>71</v>
      </c>
      <c r="BZ154" s="3">
        <v>1.1000000000000001</v>
      </c>
      <c r="CA154" s="3">
        <v>1.6</v>
      </c>
      <c r="CB154" s="3">
        <f t="shared" si="47"/>
        <v>1.5277777777777781</v>
      </c>
      <c r="CC154" s="3">
        <f t="shared" si="52"/>
        <v>2.2222222222222228</v>
      </c>
      <c r="CD154" s="1">
        <f>ROUND(CB154/CB143+CC154/CC151,2)</f>
        <v>0.97</v>
      </c>
      <c r="CE154" s="1">
        <f>ROUND(CB154/CB146+CC154/CC151,2)</f>
        <v>1</v>
      </c>
      <c r="CF154" s="1">
        <f t="shared" si="54"/>
        <v>1</v>
      </c>
      <c r="CG154" s="1">
        <f>ROUND(CB154/CB143,2)</f>
        <v>0.31</v>
      </c>
      <c r="CH154" s="1">
        <f>ROUND(CB154/CB146,2)</f>
        <v>0.33</v>
      </c>
      <c r="CI154" s="1">
        <f>ROUND(CC154/CC151,2)</f>
        <v>0.67</v>
      </c>
      <c r="CJ154" s="1">
        <f>ROUND((CC154+CB154)/MAX(CC151,CB146),2)</f>
        <v>0.82</v>
      </c>
      <c r="CK154" s="1">
        <f>ROUND(LN((0.9*BZ154)/(0.1*CA154))/(BZ143/CA151),2)</f>
        <v>1.22</v>
      </c>
      <c r="CL154" s="1">
        <f>ROUND(LN((0.9*BZ154)/(0.1*CA154))/(BZ146/CA151),2)</f>
        <v>1.33</v>
      </c>
      <c r="CM154" s="1">
        <f>ROUND(LN((0.1*CA154)/(0.9*BZ154))/(CA151/BZ143),2)</f>
        <v>-2.73</v>
      </c>
      <c r="CN154" s="1">
        <f>ROUND(LN((0.1*CA154)/(0.9*BZ154))/(CA151/BZ146),2)</f>
        <v>-2.5099999999999998</v>
      </c>
      <c r="CO154" s="1">
        <v>49</v>
      </c>
      <c r="CP154" s="1" t="s">
        <v>71</v>
      </c>
      <c r="CQ154" s="1">
        <v>43</v>
      </c>
      <c r="CR154" s="1">
        <v>156</v>
      </c>
      <c r="CS154" s="1">
        <v>39</v>
      </c>
      <c r="CT154" s="1">
        <v>10.199999999999999</v>
      </c>
      <c r="CU154" s="1">
        <v>9.3000000000000007</v>
      </c>
      <c r="CV154" s="1" t="s">
        <v>71</v>
      </c>
      <c r="CW154" s="1" t="s">
        <v>71</v>
      </c>
      <c r="CX154" t="e">
        <f>ROUND(CV154*#REF!/10,1)</f>
        <v>#VALUE!</v>
      </c>
      <c r="CY154" s="1">
        <v>13.3</v>
      </c>
      <c r="CZ154">
        <f t="shared" si="55"/>
        <v>867</v>
      </c>
      <c r="DA154">
        <f t="shared" si="56"/>
        <v>203</v>
      </c>
      <c r="DB154">
        <f>(CZ154+DA154)/MAX(DA146,CZ151)</f>
        <v>0.82307692307692304</v>
      </c>
      <c r="DC154" s="1">
        <v>13.3</v>
      </c>
      <c r="DD154">
        <f t="shared" si="49"/>
        <v>1070</v>
      </c>
      <c r="DE154">
        <f t="shared" si="58"/>
        <v>0.15</v>
      </c>
      <c r="DF154">
        <f>ROUND(CZ154/MAX(DA146,CZ151), 2)</f>
        <v>0.67</v>
      </c>
    </row>
    <row r="155" spans="1:110" x14ac:dyDescent="0.15">
      <c r="A155" s="1">
        <v>2022</v>
      </c>
      <c r="B155" s="1" t="s">
        <v>49</v>
      </c>
      <c r="C155" s="1">
        <v>8</v>
      </c>
      <c r="D155" s="1">
        <v>13</v>
      </c>
      <c r="E155" s="1" t="s">
        <v>51</v>
      </c>
      <c r="F155" s="1" t="s">
        <v>53</v>
      </c>
      <c r="G155" s="1" t="s">
        <v>5</v>
      </c>
      <c r="H155" s="1">
        <v>4</v>
      </c>
      <c r="I155" s="23" t="s">
        <v>63</v>
      </c>
      <c r="J155" s="1" t="s">
        <v>57</v>
      </c>
      <c r="K155" s="24">
        <v>44700</v>
      </c>
      <c r="L155" s="27">
        <v>10000000000</v>
      </c>
      <c r="M155" s="1">
        <f>K155-K149</f>
        <v>0</v>
      </c>
      <c r="N155" s="24">
        <v>44716</v>
      </c>
      <c r="O155" s="24">
        <v>44727</v>
      </c>
      <c r="P155" s="24">
        <v>44700</v>
      </c>
      <c r="Q155" s="1">
        <f>P155-P149</f>
        <v>0</v>
      </c>
      <c r="R155" s="1">
        <f>N155-N147</f>
        <v>3</v>
      </c>
      <c r="S155" s="1">
        <f>O155-O147</f>
        <v>6</v>
      </c>
      <c r="T155" s="1">
        <f t="shared" si="57"/>
        <v>4.5</v>
      </c>
      <c r="U155" s="1" t="s">
        <v>71</v>
      </c>
      <c r="V155" s="1" t="s">
        <v>71</v>
      </c>
      <c r="W155" s="1">
        <v>2</v>
      </c>
      <c r="X155" s="1">
        <v>0</v>
      </c>
      <c r="Y155" s="1">
        <v>0</v>
      </c>
      <c r="Z155" s="1" t="s">
        <v>71</v>
      </c>
      <c r="AA155" s="1" t="s">
        <v>71</v>
      </c>
      <c r="AB155" s="1" t="s">
        <v>71</v>
      </c>
      <c r="AC155" s="1" t="s">
        <v>71</v>
      </c>
      <c r="AD155" s="25">
        <v>36</v>
      </c>
      <c r="AE155" s="25">
        <v>32</v>
      </c>
      <c r="AF155" s="25">
        <v>101</v>
      </c>
      <c r="AG155" s="25">
        <v>70</v>
      </c>
      <c r="AH155" s="1">
        <v>110</v>
      </c>
      <c r="AI155" s="1">
        <v>72</v>
      </c>
      <c r="AJ155" s="1">
        <v>3.7</v>
      </c>
      <c r="AK155" s="1">
        <v>0</v>
      </c>
      <c r="AL155" s="1">
        <v>0</v>
      </c>
      <c r="AM155" s="1">
        <v>0</v>
      </c>
      <c r="AN155" s="1" t="s">
        <v>71</v>
      </c>
      <c r="AO155" s="1" t="s">
        <v>71</v>
      </c>
      <c r="AP155" s="1" t="s">
        <v>71</v>
      </c>
      <c r="AQ155" s="1">
        <v>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2</v>
      </c>
      <c r="BI155" s="1" t="s">
        <v>71</v>
      </c>
      <c r="BJ155" s="1" t="s">
        <v>71</v>
      </c>
      <c r="BK155" s="1">
        <v>0</v>
      </c>
      <c r="BL155" s="1">
        <f t="shared" si="46"/>
        <v>0</v>
      </c>
      <c r="BM155" s="1">
        <v>0</v>
      </c>
      <c r="BN155" s="1">
        <v>0.4</v>
      </c>
      <c r="BO155" s="1">
        <v>1</v>
      </c>
      <c r="BP155" s="1">
        <v>0</v>
      </c>
      <c r="BQ155" s="1" t="s">
        <v>71</v>
      </c>
      <c r="BR155" s="1" t="s">
        <v>71</v>
      </c>
      <c r="BS155" s="1" t="s">
        <v>71</v>
      </c>
      <c r="BT155" s="1" t="s">
        <v>71</v>
      </c>
      <c r="BU155" s="1" t="s">
        <v>71</v>
      </c>
      <c r="BV155" s="1">
        <v>5</v>
      </c>
      <c r="BW155" s="1">
        <v>2.2999999999999998</v>
      </c>
      <c r="BX155" s="1" t="s">
        <v>71</v>
      </c>
      <c r="BY155" s="1" t="s">
        <v>71</v>
      </c>
      <c r="BZ155" s="3">
        <v>1.5</v>
      </c>
      <c r="CA155" s="3">
        <v>1.6</v>
      </c>
      <c r="CB155" s="3">
        <f t="shared" si="47"/>
        <v>2.0833333333333335</v>
      </c>
      <c r="CC155" s="3">
        <f t="shared" si="52"/>
        <v>2.2222222222222228</v>
      </c>
      <c r="CD155" s="1">
        <f>ROUND(CB155/CB144+CC155/CC149,2)</f>
        <v>0.96</v>
      </c>
      <c r="CE155" s="1">
        <f>ROUND(CB155/CB147+CC155/CC149,2)</f>
        <v>0.86</v>
      </c>
      <c r="CF155" s="1">
        <f t="shared" si="54"/>
        <v>0.86</v>
      </c>
      <c r="CG155" s="1">
        <f>ROUND(CB155/CB144,2)</f>
        <v>0.43</v>
      </c>
      <c r="CH155" s="1">
        <f>ROUND(CB155/CB147,2)</f>
        <v>0.33</v>
      </c>
      <c r="CI155" s="1">
        <f>ROUND(CC155/CC149,2)</f>
        <v>0.53</v>
      </c>
      <c r="CJ155" s="1">
        <f>ROUND((CC155+CB155)/MAX(CC149,CB147),2)</f>
        <v>0.67</v>
      </c>
      <c r="CK155" s="1">
        <f>ROUND(LN((0.9*BZ155)/(0.1*CA155))/(BZ144/CA149),2)</f>
        <v>1.83</v>
      </c>
      <c r="CL155" s="1">
        <f>ROUND(LN((0.9*BZ155)/(0.1*CA155))/(BZ147/CA149),2)</f>
        <v>1.39</v>
      </c>
      <c r="CM155" s="1">
        <f>ROUND(LN((0.1*CA155)/(0.9*BZ155))/(CA149/BZ144),2)</f>
        <v>-2.4900000000000002</v>
      </c>
      <c r="CN155" s="1">
        <f>ROUND(LN((0.1*CA155)/(0.9*BZ155))/(CA149/BZ147),2)</f>
        <v>-3.27</v>
      </c>
      <c r="CO155" s="1">
        <v>51</v>
      </c>
      <c r="CP155" s="1" t="s">
        <v>71</v>
      </c>
      <c r="CQ155" s="1">
        <v>35</v>
      </c>
      <c r="CR155" s="1">
        <v>139</v>
      </c>
      <c r="CS155" s="1">
        <v>31</v>
      </c>
      <c r="CT155" s="1">
        <v>10.4</v>
      </c>
      <c r="CU155" s="1">
        <v>10</v>
      </c>
      <c r="CV155" s="1" t="s">
        <v>71</v>
      </c>
      <c r="CW155" s="1" t="s">
        <v>71</v>
      </c>
      <c r="CX155" t="e">
        <f>ROUND(CV155*#REF!/10,1)</f>
        <v>#VALUE!</v>
      </c>
      <c r="CY155" s="1">
        <v>12.1</v>
      </c>
      <c r="CZ155">
        <f t="shared" si="55"/>
        <v>689</v>
      </c>
      <c r="DA155">
        <f t="shared" si="56"/>
        <v>252</v>
      </c>
      <c r="DB155">
        <f>(CZ155+DA155)/MAX(DA147,CZ149)</f>
        <v>0.72832817337461297</v>
      </c>
      <c r="DC155" s="1">
        <v>12.1</v>
      </c>
      <c r="DD155">
        <f t="shared" si="49"/>
        <v>941</v>
      </c>
      <c r="DE155">
        <f t="shared" si="58"/>
        <v>0.2</v>
      </c>
      <c r="DF155">
        <f>ROUND(CZ155/MAX(DA147,CZ149), 2)</f>
        <v>0.53</v>
      </c>
    </row>
    <row r="156" spans="1:110" x14ac:dyDescent="0.15">
      <c r="A156" s="1">
        <v>2022</v>
      </c>
      <c r="B156" s="1" t="s">
        <v>49</v>
      </c>
      <c r="C156" s="1">
        <v>8</v>
      </c>
      <c r="D156" s="1">
        <v>14</v>
      </c>
      <c r="E156" s="1" t="s">
        <v>51</v>
      </c>
      <c r="F156" s="1" t="s">
        <v>54</v>
      </c>
      <c r="G156" s="1" t="s">
        <v>5</v>
      </c>
      <c r="H156" s="1">
        <v>4</v>
      </c>
      <c r="I156" s="23" t="s">
        <v>64</v>
      </c>
      <c r="J156" s="1" t="s">
        <v>57</v>
      </c>
      <c r="K156" s="24">
        <v>44700</v>
      </c>
      <c r="L156" s="27">
        <v>10000000000</v>
      </c>
      <c r="M156" s="1">
        <f>K156-K150</f>
        <v>0</v>
      </c>
      <c r="N156" s="24">
        <v>44716</v>
      </c>
      <c r="O156" s="24">
        <v>44725</v>
      </c>
      <c r="P156" s="24">
        <v>44700</v>
      </c>
      <c r="Q156" s="1">
        <f>P156-P150</f>
        <v>0</v>
      </c>
      <c r="R156" s="1">
        <f>N156-N147</f>
        <v>3</v>
      </c>
      <c r="S156" s="1">
        <f>O156-O147</f>
        <v>4</v>
      </c>
      <c r="T156" s="1">
        <f t="shared" si="57"/>
        <v>3.5</v>
      </c>
      <c r="U156" s="1" t="s">
        <v>71</v>
      </c>
      <c r="V156" s="1" t="s">
        <v>71</v>
      </c>
      <c r="W156" s="1">
        <v>-2</v>
      </c>
      <c r="X156" s="1">
        <v>0</v>
      </c>
      <c r="Y156" s="1">
        <v>0</v>
      </c>
      <c r="Z156" s="1" t="s">
        <v>71</v>
      </c>
      <c r="AA156" s="1" t="s">
        <v>71</v>
      </c>
      <c r="AB156" s="1" t="s">
        <v>71</v>
      </c>
      <c r="AC156" s="1" t="s">
        <v>71</v>
      </c>
      <c r="AD156" s="25">
        <v>34</v>
      </c>
      <c r="AE156" s="25">
        <v>28</v>
      </c>
      <c r="AF156" s="25">
        <v>106</v>
      </c>
      <c r="AG156" s="25">
        <v>69</v>
      </c>
      <c r="AH156" s="1">
        <v>124</v>
      </c>
      <c r="AI156" s="1">
        <v>67</v>
      </c>
      <c r="AJ156" s="1">
        <v>2</v>
      </c>
      <c r="AK156" s="1">
        <v>0</v>
      </c>
      <c r="AL156" s="1">
        <v>0</v>
      </c>
      <c r="AM156" s="1">
        <v>0</v>
      </c>
      <c r="AN156" s="1">
        <v>0.04</v>
      </c>
      <c r="AO156" s="1">
        <v>0.1</v>
      </c>
      <c r="AP156" s="1">
        <v>4.0000000000000001E-3</v>
      </c>
      <c r="AQ156" s="1">
        <v>3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1</v>
      </c>
      <c r="BI156" s="1" t="s">
        <v>71</v>
      </c>
      <c r="BJ156" s="1" t="s">
        <v>71</v>
      </c>
      <c r="BK156" s="1">
        <v>1.8E-3</v>
      </c>
      <c r="BL156" s="1">
        <f t="shared" si="46"/>
        <v>0.18</v>
      </c>
      <c r="BM156" s="1">
        <v>0.6</v>
      </c>
      <c r="BN156" s="1">
        <v>0.1</v>
      </c>
      <c r="BO156" s="1">
        <v>1</v>
      </c>
      <c r="BP156" s="1">
        <v>5</v>
      </c>
      <c r="BQ156" s="1" t="s">
        <v>71</v>
      </c>
      <c r="BR156" s="1" t="s">
        <v>71</v>
      </c>
      <c r="BS156" s="1" t="s">
        <v>71</v>
      </c>
      <c r="BT156" s="1" t="s">
        <v>71</v>
      </c>
      <c r="BU156" s="1" t="s">
        <v>71</v>
      </c>
      <c r="BV156" s="1">
        <v>5.7</v>
      </c>
      <c r="BW156" s="1">
        <v>3.3</v>
      </c>
      <c r="BX156" s="1" t="s">
        <v>71</v>
      </c>
      <c r="BY156" s="1" t="s">
        <v>71</v>
      </c>
      <c r="BZ156" s="3">
        <v>1.5</v>
      </c>
      <c r="CA156" s="3">
        <v>1.5</v>
      </c>
      <c r="CB156" s="3">
        <f t="shared" si="47"/>
        <v>2.0833333333333335</v>
      </c>
      <c r="CC156" s="3">
        <f t="shared" si="52"/>
        <v>2.0833333333333335</v>
      </c>
      <c r="CD156" s="1">
        <f>ROUND(CB156/CB144+CC156/CC150,2)</f>
        <v>1.01</v>
      </c>
      <c r="CE156" s="1">
        <f>ROUND(CB156/CB147+CC156/CC150,2)</f>
        <v>0.9</v>
      </c>
      <c r="CF156" s="1">
        <f t="shared" si="54"/>
        <v>0.9</v>
      </c>
      <c r="CG156" s="1">
        <f>ROUND(CB156/CB144,2)</f>
        <v>0.43</v>
      </c>
      <c r="CH156" s="1">
        <f>ROUND(CB156/CB147,2)</f>
        <v>0.33</v>
      </c>
      <c r="CI156" s="1">
        <f>ROUND(CC156/CC150,2)</f>
        <v>0.57999999999999996</v>
      </c>
      <c r="CJ156" s="1">
        <f>ROUND((CC156+CB156)/MAX(CC150,CB147),2)</f>
        <v>0.65</v>
      </c>
      <c r="CK156" s="1">
        <f>ROUND(LN((0.9*BZ156)/(0.1*CA156))/(BZ144/CA150),2)</f>
        <v>1.63</v>
      </c>
      <c r="CL156" s="1">
        <f>ROUND(LN((0.9*BZ156)/(0.1*CA156))/(BZ147/CA150),2)</f>
        <v>1.24</v>
      </c>
      <c r="CM156" s="1">
        <f>ROUND(LN((0.1*CA156)/(0.9*BZ156))/(CA150/BZ144),2)</f>
        <v>-2.96</v>
      </c>
      <c r="CN156" s="1">
        <f>ROUND(LN((0.1*CA156)/(0.9*BZ156))/(CA150/BZ147),2)</f>
        <v>-3.89</v>
      </c>
      <c r="CO156" s="1">
        <v>50</v>
      </c>
      <c r="CP156" s="1" t="s">
        <v>71</v>
      </c>
      <c r="CQ156" s="1">
        <v>34</v>
      </c>
      <c r="CR156" s="1">
        <v>134</v>
      </c>
      <c r="CS156" s="1">
        <v>35</v>
      </c>
      <c r="CT156" s="1">
        <v>10.4</v>
      </c>
      <c r="CU156" s="1">
        <v>10.199999999999999</v>
      </c>
      <c r="CV156" s="1" t="s">
        <v>71</v>
      </c>
      <c r="CW156" s="1" t="s">
        <v>71</v>
      </c>
      <c r="CX156" t="e">
        <f>ROUND(CV156*#REF!/10,1)</f>
        <v>#VALUE!</v>
      </c>
      <c r="CY156" s="1">
        <v>12</v>
      </c>
      <c r="CZ156">
        <f t="shared" si="55"/>
        <v>729</v>
      </c>
      <c r="DA156">
        <f t="shared" si="56"/>
        <v>250</v>
      </c>
      <c r="DB156">
        <f>(CZ156+DA156)/MAX(DA147,CZ150)</f>
        <v>0.75307692307692309</v>
      </c>
      <c r="DC156" s="1">
        <v>12</v>
      </c>
      <c r="DD156">
        <f t="shared" si="49"/>
        <v>979</v>
      </c>
      <c r="DE156">
        <f t="shared" si="58"/>
        <v>0.19</v>
      </c>
      <c r="DF156">
        <f>ROUND(CZ156/MAX(DA147,CZ150), 2)</f>
        <v>0.56000000000000005</v>
      </c>
    </row>
    <row r="157" spans="1:110" x14ac:dyDescent="0.15">
      <c r="A157" s="1">
        <v>2022</v>
      </c>
      <c r="B157" s="1" t="s">
        <v>49</v>
      </c>
      <c r="C157" s="1">
        <v>8</v>
      </c>
      <c r="D157" s="1">
        <v>15</v>
      </c>
      <c r="E157" s="1" t="s">
        <v>51</v>
      </c>
      <c r="F157" s="1" t="s">
        <v>55</v>
      </c>
      <c r="G157" s="1" t="s">
        <v>5</v>
      </c>
      <c r="H157" s="1">
        <v>4</v>
      </c>
      <c r="I157" s="23" t="s">
        <v>65</v>
      </c>
      <c r="J157" s="1" t="s">
        <v>57</v>
      </c>
      <c r="K157" s="24">
        <v>44690</v>
      </c>
      <c r="L157" s="27">
        <v>10000000000</v>
      </c>
      <c r="M157" s="1">
        <f>K157-K151</f>
        <v>0</v>
      </c>
      <c r="N157" s="24">
        <v>44711</v>
      </c>
      <c r="O157" s="24">
        <v>44726</v>
      </c>
      <c r="P157" s="24">
        <v>44700</v>
      </c>
      <c r="Q157" s="1">
        <f>P157-P151</f>
        <v>0</v>
      </c>
      <c r="R157" s="1">
        <f>N157-N147</f>
        <v>-2</v>
      </c>
      <c r="S157" s="1">
        <f>O157-O147</f>
        <v>5</v>
      </c>
      <c r="T157" s="1">
        <f t="shared" si="57"/>
        <v>1.5</v>
      </c>
      <c r="U157" s="1" t="s">
        <v>71</v>
      </c>
      <c r="V157" s="1" t="s">
        <v>71</v>
      </c>
      <c r="W157" s="1">
        <v>-1</v>
      </c>
      <c r="X157" s="1">
        <v>0</v>
      </c>
      <c r="Y157" s="1">
        <v>0</v>
      </c>
      <c r="Z157" s="1" t="s">
        <v>71</v>
      </c>
      <c r="AA157" s="1" t="s">
        <v>71</v>
      </c>
      <c r="AB157" s="1" t="s">
        <v>71</v>
      </c>
      <c r="AC157" s="1" t="s">
        <v>71</v>
      </c>
      <c r="AD157" s="25">
        <v>36</v>
      </c>
      <c r="AE157" s="25">
        <v>29</v>
      </c>
      <c r="AF157" s="25">
        <v>98</v>
      </c>
      <c r="AG157" s="25">
        <v>61</v>
      </c>
      <c r="AH157" s="1">
        <v>105</v>
      </c>
      <c r="AI157" s="1">
        <v>68</v>
      </c>
      <c r="AJ157" s="1">
        <v>2.2999999999999998</v>
      </c>
      <c r="AK157" s="1">
        <v>0</v>
      </c>
      <c r="AL157" s="1">
        <v>0</v>
      </c>
      <c r="AM157" s="1">
        <v>0</v>
      </c>
      <c r="AN157" s="1" t="s">
        <v>71</v>
      </c>
      <c r="AO157" s="1" t="s">
        <v>71</v>
      </c>
      <c r="AP157" s="1" t="s">
        <v>71</v>
      </c>
      <c r="AQ157" s="1">
        <v>4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 t="s">
        <v>71</v>
      </c>
      <c r="BI157" s="1" t="s">
        <v>71</v>
      </c>
      <c r="BJ157" s="1" t="s">
        <v>71</v>
      </c>
      <c r="BK157" s="1">
        <v>0</v>
      </c>
      <c r="BL157" s="1">
        <f t="shared" si="46"/>
        <v>0</v>
      </c>
      <c r="BM157" s="1">
        <v>0</v>
      </c>
      <c r="BN157" s="1">
        <v>0.01</v>
      </c>
      <c r="BO157" s="1">
        <v>1</v>
      </c>
      <c r="BP157" s="1">
        <v>0</v>
      </c>
      <c r="BQ157" s="1" t="s">
        <v>71</v>
      </c>
      <c r="BR157" s="1" t="s">
        <v>71</v>
      </c>
      <c r="BS157" s="1" t="s">
        <v>71</v>
      </c>
      <c r="BT157" s="1" t="s">
        <v>71</v>
      </c>
      <c r="BU157" s="1" t="s">
        <v>71</v>
      </c>
      <c r="BV157" s="1">
        <v>4</v>
      </c>
      <c r="BW157" s="1">
        <v>3.7</v>
      </c>
      <c r="BX157" s="1" t="s">
        <v>71</v>
      </c>
      <c r="BY157" s="1" t="s">
        <v>71</v>
      </c>
      <c r="BZ157" s="3">
        <v>1.8</v>
      </c>
      <c r="CA157" s="3">
        <v>1.4</v>
      </c>
      <c r="CB157" s="3">
        <f t="shared" si="47"/>
        <v>2.5000000000000004</v>
      </c>
      <c r="CC157" s="3">
        <f t="shared" si="52"/>
        <v>1.9444444444444444</v>
      </c>
      <c r="CD157" s="1">
        <f>ROUND(CB157/CB144+CC157/CC151,2)</f>
        <v>1.1000000000000001</v>
      </c>
      <c r="CE157" s="1">
        <f>ROUND(CB157/CB147+CC157/CC151,2)</f>
        <v>0.97</v>
      </c>
      <c r="CF157" s="1">
        <f t="shared" si="54"/>
        <v>0.97</v>
      </c>
      <c r="CG157" s="1">
        <f>ROUND(CB157/CB144,2)</f>
        <v>0.51</v>
      </c>
      <c r="CH157" s="1">
        <f>ROUND(CB157/CB147,2)</f>
        <v>0.39</v>
      </c>
      <c r="CI157" s="1">
        <f>ROUND(CC157/CC151,2)</f>
        <v>0.57999999999999996</v>
      </c>
      <c r="CJ157" s="1">
        <f>ROUND((CC157+CB157)/MAX(CC151,CB147),2)</f>
        <v>0.7</v>
      </c>
      <c r="CK157" s="1">
        <f>ROUND(LN((0.9*BZ157)/(0.1*CA157))/(BZ144/CA151),2)</f>
        <v>1.68</v>
      </c>
      <c r="CL157" s="1">
        <f>ROUND(LN((0.9*BZ157)/(0.1*CA157))/(BZ147/CA151),2)</f>
        <v>1.28</v>
      </c>
      <c r="CM157" s="1">
        <f>ROUND(LN((0.1*CA157)/(0.9*BZ157))/(CA151/BZ144),2)</f>
        <v>-3.57</v>
      </c>
      <c r="CN157" s="1">
        <f>ROUND(LN((0.1*CA157)/(0.9*BZ157))/(CA151/BZ147),2)</f>
        <v>-4.6900000000000004</v>
      </c>
      <c r="CO157" s="1">
        <v>49</v>
      </c>
      <c r="CP157" s="1" t="s">
        <v>71</v>
      </c>
      <c r="CQ157" s="1">
        <v>37</v>
      </c>
      <c r="CR157" s="1">
        <v>158</v>
      </c>
      <c r="CS157" s="1">
        <v>40</v>
      </c>
      <c r="CT157" s="1">
        <v>10.199999999999999</v>
      </c>
      <c r="CU157" s="1">
        <v>9.6999999999999993</v>
      </c>
      <c r="CV157" s="1" t="s">
        <v>71</v>
      </c>
      <c r="CW157" s="1" t="s">
        <v>71</v>
      </c>
      <c r="CX157" t="e">
        <f>ROUND(CV157*#REF!/10,1)</f>
        <v>#VALUE!</v>
      </c>
      <c r="CY157" s="1">
        <v>12.3</v>
      </c>
      <c r="CZ157">
        <f t="shared" si="55"/>
        <v>778</v>
      </c>
      <c r="DA157">
        <f t="shared" si="56"/>
        <v>308</v>
      </c>
      <c r="DB157">
        <f>(CZ157+DA157)/MAX(DA147,CZ151)</f>
        <v>0.83538461538461539</v>
      </c>
      <c r="DC157" s="1">
        <v>12.3</v>
      </c>
      <c r="DD157">
        <f t="shared" si="49"/>
        <v>1086</v>
      </c>
      <c r="DE157">
        <f t="shared" si="58"/>
        <v>0.24</v>
      </c>
      <c r="DF157">
        <f>ROUND(CZ157/MAX(DA147,CZ151), 2)</f>
        <v>0.6</v>
      </c>
    </row>
    <row r="158" spans="1:110" x14ac:dyDescent="0.15">
      <c r="A158" s="1">
        <v>2022</v>
      </c>
      <c r="B158" s="1" t="s">
        <v>49</v>
      </c>
      <c r="C158" s="1">
        <v>8</v>
      </c>
      <c r="D158" s="1">
        <v>16</v>
      </c>
      <c r="E158" s="1" t="s">
        <v>52</v>
      </c>
      <c r="F158" s="1" t="s">
        <v>53</v>
      </c>
      <c r="G158" s="1" t="s">
        <v>5</v>
      </c>
      <c r="H158" s="1">
        <v>4</v>
      </c>
      <c r="I158" s="23" t="s">
        <v>66</v>
      </c>
      <c r="J158" s="1" t="s">
        <v>57</v>
      </c>
      <c r="K158" s="24">
        <v>44700</v>
      </c>
      <c r="L158" s="27">
        <v>10000000000</v>
      </c>
      <c r="M158" s="1">
        <f>K158-K149</f>
        <v>0</v>
      </c>
      <c r="N158" s="24">
        <v>44717</v>
      </c>
      <c r="O158" s="24">
        <v>44728</v>
      </c>
      <c r="P158" s="24">
        <v>44700</v>
      </c>
      <c r="Q158" s="1">
        <f>P158-P149</f>
        <v>0</v>
      </c>
      <c r="R158" s="1">
        <f>N158-N148</f>
        <v>7</v>
      </c>
      <c r="S158" s="1">
        <f>O158-O148</f>
        <v>3</v>
      </c>
      <c r="T158" s="1">
        <f t="shared" si="57"/>
        <v>5</v>
      </c>
      <c r="U158" s="1" t="s">
        <v>71</v>
      </c>
      <c r="V158" s="1" t="s">
        <v>71</v>
      </c>
      <c r="W158" s="1" t="s">
        <v>71</v>
      </c>
      <c r="X158" s="1">
        <v>0</v>
      </c>
      <c r="Y158" s="1">
        <v>0</v>
      </c>
      <c r="Z158" s="1" t="s">
        <v>71</v>
      </c>
      <c r="AA158" s="1" t="s">
        <v>71</v>
      </c>
      <c r="AB158" s="1" t="s">
        <v>71</v>
      </c>
      <c r="AC158" s="1" t="s">
        <v>71</v>
      </c>
      <c r="AD158" s="25">
        <v>38</v>
      </c>
      <c r="AE158" s="25">
        <v>31</v>
      </c>
      <c r="AF158" s="25">
        <v>77</v>
      </c>
      <c r="AG158" s="25">
        <v>67</v>
      </c>
      <c r="AH158" s="1">
        <v>85</v>
      </c>
      <c r="AI158" s="1">
        <v>63</v>
      </c>
      <c r="AJ158" s="1">
        <v>3.3</v>
      </c>
      <c r="AK158" s="1">
        <v>0</v>
      </c>
      <c r="AL158" s="1">
        <v>0</v>
      </c>
      <c r="AM158" s="1">
        <v>0</v>
      </c>
      <c r="AN158" s="1" t="s">
        <v>71</v>
      </c>
      <c r="AO158" s="1" t="s">
        <v>71</v>
      </c>
      <c r="AP158" s="1" t="s">
        <v>71</v>
      </c>
      <c r="AQ158" s="1">
        <v>2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1</v>
      </c>
      <c r="BI158" s="1" t="s">
        <v>71</v>
      </c>
      <c r="BJ158" s="1" t="s">
        <v>71</v>
      </c>
      <c r="BK158" s="1">
        <v>8.0000000000000015E-4</v>
      </c>
      <c r="BL158" s="1">
        <f t="shared" si="46"/>
        <v>8.0000000000000016E-2</v>
      </c>
      <c r="BM158" s="1">
        <v>0.8</v>
      </c>
      <c r="BN158" s="1">
        <v>0.45</v>
      </c>
      <c r="BO158" s="1">
        <v>1</v>
      </c>
      <c r="BP158" s="1">
        <v>5</v>
      </c>
      <c r="BQ158" s="1" t="s">
        <v>71</v>
      </c>
      <c r="BR158" s="1" t="s">
        <v>71</v>
      </c>
      <c r="BS158" s="1" t="s">
        <v>71</v>
      </c>
      <c r="BT158" s="1" t="s">
        <v>71</v>
      </c>
      <c r="BU158" s="1" t="s">
        <v>71</v>
      </c>
      <c r="BV158" s="1">
        <v>5</v>
      </c>
      <c r="BW158" s="1">
        <v>4.7</v>
      </c>
      <c r="BX158" s="1" t="s">
        <v>71</v>
      </c>
      <c r="BY158" s="1" t="s">
        <v>71</v>
      </c>
      <c r="BZ158" s="3">
        <v>1</v>
      </c>
      <c r="CA158" s="3">
        <v>2.2999999999999998</v>
      </c>
      <c r="CB158" s="3">
        <f t="shared" si="47"/>
        <v>1.3888888888888888</v>
      </c>
      <c r="CC158" s="3">
        <f t="shared" si="52"/>
        <v>3.1944444444444446</v>
      </c>
      <c r="CD158" s="1">
        <f>ROUND(CB158/CB145+CC158/CC149,2)</f>
        <v>1.1399999999999999</v>
      </c>
      <c r="CE158" s="1">
        <f>ROUND(CB158/CB148+CC158/CC149,2)</f>
        <v>1.02</v>
      </c>
      <c r="CF158" s="1">
        <f>ROUND(CB158/(1.2*CB148)+CC158/CC149,2)</f>
        <v>0.98</v>
      </c>
      <c r="CG158" s="1">
        <f>ROUND(CB158/CB145,2)</f>
        <v>0.37</v>
      </c>
      <c r="CH158" s="1">
        <f>ROUND(CB158/CB148,2)</f>
        <v>0.25</v>
      </c>
      <c r="CI158" s="1">
        <f>ROUND(CC158/CC149,2)</f>
        <v>0.77</v>
      </c>
      <c r="CJ158" s="1">
        <f>ROUND((CC158+CB158)/MAX(CC149,CB148),2)</f>
        <v>0.83</v>
      </c>
      <c r="CK158" s="1">
        <f>ROUND(LN((0.9*BZ158)/(0.1*CA158))/(BZ145/CA149),2)</f>
        <v>1.52</v>
      </c>
      <c r="CL158" s="1">
        <f>ROUND(LN((0.9*BZ158)/(0.1*CA158))/(BZ148/CA149),2)</f>
        <v>1.02</v>
      </c>
      <c r="CM158" s="1">
        <f>ROUND(LN((0.1*CA158)/(0.9*BZ158))/(CA149/BZ145),2)</f>
        <v>-1.23</v>
      </c>
      <c r="CN158" s="1">
        <f>ROUND(LN((0.1*CA158)/(0.9*BZ158))/(CA149/BZ148),2)</f>
        <v>-1.82</v>
      </c>
      <c r="CO158" s="1">
        <v>48</v>
      </c>
      <c r="CP158" s="1" t="s">
        <v>71</v>
      </c>
      <c r="CQ158" s="1">
        <v>33</v>
      </c>
      <c r="CR158" s="1">
        <v>148</v>
      </c>
      <c r="CS158" s="1">
        <v>32</v>
      </c>
      <c r="CT158" s="1">
        <v>10.4</v>
      </c>
      <c r="CU158" s="1">
        <v>10.1</v>
      </c>
      <c r="CV158" s="1" t="s">
        <v>71</v>
      </c>
      <c r="CW158" s="1" t="s">
        <v>71</v>
      </c>
      <c r="CX158" t="e">
        <f>ROUND(CV158*#REF!/10,1)</f>
        <v>#VALUE!</v>
      </c>
      <c r="CY158" s="1">
        <v>13.6</v>
      </c>
      <c r="CZ158">
        <f t="shared" si="55"/>
        <v>1022</v>
      </c>
      <c r="DA158">
        <f t="shared" si="56"/>
        <v>189</v>
      </c>
      <c r="DB158">
        <f>(CZ158+DA158)/MAX(DA148,CZ149)</f>
        <v>0.93730650154798767</v>
      </c>
      <c r="DC158" s="1">
        <v>13.6</v>
      </c>
      <c r="DD158">
        <f t="shared" si="49"/>
        <v>1211</v>
      </c>
      <c r="DE158">
        <f t="shared" si="58"/>
        <v>0.15</v>
      </c>
      <c r="DF158">
        <f>ROUND(CZ158/MAX(DA148,CZ149), 2)</f>
        <v>0.79</v>
      </c>
    </row>
    <row r="159" spans="1:110" x14ac:dyDescent="0.15">
      <c r="A159" s="1">
        <v>2022</v>
      </c>
      <c r="B159" s="1" t="s">
        <v>49</v>
      </c>
      <c r="C159" s="1">
        <v>8</v>
      </c>
      <c r="D159" s="1">
        <v>17</v>
      </c>
      <c r="E159" s="1" t="s">
        <v>52</v>
      </c>
      <c r="F159" s="1" t="s">
        <v>54</v>
      </c>
      <c r="G159" s="1" t="s">
        <v>5</v>
      </c>
      <c r="H159" s="1">
        <v>4</v>
      </c>
      <c r="I159" s="23" t="s">
        <v>67</v>
      </c>
      <c r="J159" s="1" t="s">
        <v>57</v>
      </c>
      <c r="K159" s="1" t="s">
        <v>57</v>
      </c>
      <c r="L159" s="27">
        <v>10000000000</v>
      </c>
      <c r="M159" s="27">
        <v>10000000000</v>
      </c>
      <c r="N159" s="24">
        <v>44712</v>
      </c>
      <c r="O159" s="24">
        <v>44698</v>
      </c>
      <c r="P159" s="24">
        <v>44701</v>
      </c>
      <c r="Q159" s="1">
        <f>P159-P150</f>
        <v>1</v>
      </c>
      <c r="R159" s="1">
        <f>N159-N148</f>
        <v>2</v>
      </c>
      <c r="S159" s="1">
        <f>O159-O148</f>
        <v>-27</v>
      </c>
      <c r="T159" s="1">
        <f t="shared" si="57"/>
        <v>-12.5</v>
      </c>
      <c r="U159" s="1" t="s">
        <v>71</v>
      </c>
      <c r="V159" s="1" t="s">
        <v>71</v>
      </c>
      <c r="W159" s="1">
        <v>2</v>
      </c>
      <c r="X159" s="1">
        <v>0</v>
      </c>
      <c r="Y159" s="1">
        <v>0</v>
      </c>
      <c r="Z159" s="1" t="s">
        <v>71</v>
      </c>
      <c r="AA159" s="1" t="s">
        <v>71</v>
      </c>
      <c r="AB159" s="1" t="s">
        <v>71</v>
      </c>
      <c r="AC159" s="1" t="s">
        <v>71</v>
      </c>
      <c r="AD159" s="25">
        <v>32</v>
      </c>
      <c r="AE159" s="25">
        <v>28</v>
      </c>
      <c r="AF159" s="25">
        <v>73</v>
      </c>
      <c r="AG159" s="25">
        <v>59</v>
      </c>
      <c r="AH159" s="1">
        <v>79</v>
      </c>
      <c r="AI159" s="1">
        <v>61</v>
      </c>
      <c r="AJ159" s="1">
        <v>4</v>
      </c>
      <c r="AK159" s="1">
        <v>0</v>
      </c>
      <c r="AL159" s="1">
        <v>0</v>
      </c>
      <c r="AM159" s="1">
        <v>0</v>
      </c>
      <c r="AN159" s="1">
        <v>0.02</v>
      </c>
      <c r="AO159" s="1">
        <v>0.05</v>
      </c>
      <c r="AP159" s="1">
        <v>1E-3</v>
      </c>
      <c r="AQ159" s="1">
        <v>4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2</v>
      </c>
      <c r="BI159" s="1" t="s">
        <v>71</v>
      </c>
      <c r="BJ159" s="1" t="s">
        <v>71</v>
      </c>
      <c r="BK159" s="1">
        <v>4.0000000000000007E-4</v>
      </c>
      <c r="BL159" s="1">
        <f t="shared" si="46"/>
        <v>4.0000000000000008E-2</v>
      </c>
      <c r="BM159" s="1">
        <v>0.2</v>
      </c>
      <c r="BN159" s="1">
        <v>0.01</v>
      </c>
      <c r="BO159" s="1">
        <v>1</v>
      </c>
      <c r="BP159" s="1">
        <v>5</v>
      </c>
      <c r="BQ159" s="1" t="s">
        <v>71</v>
      </c>
      <c r="BR159" s="1" t="s">
        <v>71</v>
      </c>
      <c r="BS159" s="1" t="s">
        <v>71</v>
      </c>
      <c r="BT159" s="1" t="s">
        <v>71</v>
      </c>
      <c r="BU159" s="1" t="s">
        <v>71</v>
      </c>
      <c r="BV159" s="1">
        <v>4.7</v>
      </c>
      <c r="BW159" s="1">
        <v>3</v>
      </c>
      <c r="BX159" s="1" t="s">
        <v>71</v>
      </c>
      <c r="BY159" s="1" t="s">
        <v>71</v>
      </c>
      <c r="BZ159" s="3">
        <v>1.1000000000000001</v>
      </c>
      <c r="CA159" s="3">
        <v>1.8</v>
      </c>
      <c r="CB159" s="3">
        <f t="shared" si="47"/>
        <v>1.5277777777777781</v>
      </c>
      <c r="CC159" s="3">
        <f t="shared" si="52"/>
        <v>2.5000000000000004</v>
      </c>
      <c r="CD159" s="1">
        <f>ROUND(CB159/CB145+CC159/CC150,2)</f>
        <v>1.1000000000000001</v>
      </c>
      <c r="CE159" s="1">
        <f>ROUND(CB159/CB148+CC159/CC150,2)</f>
        <v>0.97</v>
      </c>
      <c r="CF159" s="1">
        <f>ROUND(CB159/(1.2*CB148)+CC159/CC150,2)</f>
        <v>0.92</v>
      </c>
      <c r="CG159" s="1">
        <f>ROUND(CB159/CB145,2)</f>
        <v>0.41</v>
      </c>
      <c r="CH159" s="1">
        <f>ROUND(CB159/CB148,2)</f>
        <v>0.28000000000000003</v>
      </c>
      <c r="CI159" s="1">
        <f>ROUND(CC159/CC150,2)</f>
        <v>0.69</v>
      </c>
      <c r="CJ159" s="1">
        <f>ROUND((CC159+CB159)/MAX(CC150,CB148),2)</f>
        <v>0.73</v>
      </c>
      <c r="CK159" s="1">
        <f>ROUND(LN((0.9*BZ159)/(0.1*CA159))/(BZ145/CA150),2)</f>
        <v>1.64</v>
      </c>
      <c r="CL159" s="1">
        <f>ROUND(LN((0.9*BZ159)/(0.1*CA159))/(BZ148/CA150),2)</f>
        <v>1.1100000000000001</v>
      </c>
      <c r="CM159" s="1">
        <f>ROUND(LN((0.1*CA159)/(0.9*BZ159))/(CA150/BZ145),2)</f>
        <v>-1.77</v>
      </c>
      <c r="CN159" s="1">
        <f>ROUND(LN((0.1*CA159)/(0.9*BZ159))/(CA150/BZ148),2)</f>
        <v>-2.62</v>
      </c>
      <c r="CO159" s="1">
        <v>48</v>
      </c>
      <c r="CP159" s="1" t="s">
        <v>71</v>
      </c>
      <c r="CQ159" s="1">
        <v>31</v>
      </c>
      <c r="CR159" s="1">
        <v>142</v>
      </c>
      <c r="CS159" s="1">
        <v>38</v>
      </c>
      <c r="CT159" s="1">
        <v>10.3</v>
      </c>
      <c r="CU159" s="1">
        <v>12.5</v>
      </c>
      <c r="CV159" s="1" t="s">
        <v>71</v>
      </c>
      <c r="CW159" s="1" t="s">
        <v>71</v>
      </c>
      <c r="CX159" t="e">
        <f>ROUND(CV159*#REF!/10,1)</f>
        <v>#VALUE!</v>
      </c>
      <c r="CY159" s="1">
        <v>12.9</v>
      </c>
      <c r="CZ159">
        <f t="shared" si="55"/>
        <v>950</v>
      </c>
      <c r="DA159">
        <f t="shared" si="56"/>
        <v>197</v>
      </c>
      <c r="DB159">
        <f>(CZ159+DA159)/MAX(DA148,CZ150)</f>
        <v>0.88230769230769235</v>
      </c>
      <c r="DC159" s="1">
        <v>12.9</v>
      </c>
      <c r="DD159">
        <f t="shared" si="49"/>
        <v>1147</v>
      </c>
      <c r="DE159">
        <f t="shared" si="58"/>
        <v>0.15</v>
      </c>
      <c r="DF159">
        <f>ROUND(CZ159/MAX(DA148,CZ150), 2)</f>
        <v>0.73</v>
      </c>
    </row>
    <row r="160" spans="1:110" x14ac:dyDescent="0.15">
      <c r="A160" s="1">
        <v>2022</v>
      </c>
      <c r="B160" s="1" t="s">
        <v>49</v>
      </c>
      <c r="C160" s="1">
        <v>8</v>
      </c>
      <c r="D160" s="1">
        <v>18</v>
      </c>
      <c r="E160" s="1" t="s">
        <v>52</v>
      </c>
      <c r="F160" s="1" t="s">
        <v>55</v>
      </c>
      <c r="G160" s="1" t="s">
        <v>5</v>
      </c>
      <c r="H160" s="1">
        <v>4</v>
      </c>
      <c r="I160" s="23" t="s">
        <v>68</v>
      </c>
      <c r="J160" s="1" t="s">
        <v>57</v>
      </c>
      <c r="K160" s="24">
        <v>44700</v>
      </c>
      <c r="L160" s="27">
        <v>10000000000</v>
      </c>
      <c r="M160" s="1">
        <f>K160-K151</f>
        <v>10</v>
      </c>
      <c r="N160" s="24">
        <v>44716</v>
      </c>
      <c r="O160" s="24">
        <v>44727</v>
      </c>
      <c r="P160" s="24">
        <v>44700</v>
      </c>
      <c r="Q160" s="1">
        <f>P160-P151</f>
        <v>0</v>
      </c>
      <c r="R160" s="1">
        <f>N160-N148</f>
        <v>6</v>
      </c>
      <c r="S160" s="1">
        <f>O160-O148</f>
        <v>2</v>
      </c>
      <c r="T160" s="1">
        <f t="shared" si="57"/>
        <v>4</v>
      </c>
      <c r="U160" s="1" t="s">
        <v>71</v>
      </c>
      <c r="V160" s="1" t="s">
        <v>71</v>
      </c>
      <c r="W160" s="1">
        <v>-1</v>
      </c>
      <c r="X160" s="1">
        <v>0</v>
      </c>
      <c r="Y160" s="1">
        <v>0</v>
      </c>
      <c r="Z160" s="1" t="s">
        <v>71</v>
      </c>
      <c r="AA160" s="1" t="s">
        <v>71</v>
      </c>
      <c r="AB160" s="1" t="s">
        <v>71</v>
      </c>
      <c r="AC160" s="1" t="s">
        <v>71</v>
      </c>
      <c r="AD160" s="25">
        <v>35</v>
      </c>
      <c r="AE160" s="25">
        <v>30</v>
      </c>
      <c r="AF160" s="25">
        <v>75</v>
      </c>
      <c r="AG160" s="25">
        <v>62</v>
      </c>
      <c r="AH160" s="1">
        <v>82</v>
      </c>
      <c r="AI160" s="1">
        <v>67</v>
      </c>
      <c r="AJ160" s="1">
        <v>1.7</v>
      </c>
      <c r="AK160" s="1">
        <v>0</v>
      </c>
      <c r="AL160" s="1">
        <v>0</v>
      </c>
      <c r="AM160" s="1">
        <v>0</v>
      </c>
      <c r="AN160" s="1">
        <v>0.01</v>
      </c>
      <c r="AO160" s="1">
        <v>0.05</v>
      </c>
      <c r="AP160" s="1">
        <v>5.0000000000000001E-4</v>
      </c>
      <c r="AQ160" s="1">
        <v>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4</v>
      </c>
      <c r="BI160" s="1" t="s">
        <v>71</v>
      </c>
      <c r="BJ160" s="1" t="s">
        <v>71</v>
      </c>
      <c r="BK160" s="1">
        <v>1.0000000000000002E-4</v>
      </c>
      <c r="BL160" s="1">
        <f t="shared" si="46"/>
        <v>1.0000000000000002E-2</v>
      </c>
      <c r="BM160" s="1">
        <v>0.1</v>
      </c>
      <c r="BN160" s="1">
        <v>0.5</v>
      </c>
      <c r="BO160" s="1">
        <v>1</v>
      </c>
      <c r="BP160" s="1">
        <v>0</v>
      </c>
      <c r="BQ160" s="1" t="s">
        <v>71</v>
      </c>
      <c r="BR160" s="1" t="s">
        <v>71</v>
      </c>
      <c r="BS160" s="1" t="s">
        <v>71</v>
      </c>
      <c r="BT160" s="1" t="s">
        <v>71</v>
      </c>
      <c r="BU160" s="1" t="s">
        <v>71</v>
      </c>
      <c r="BV160" s="1">
        <v>4.7</v>
      </c>
      <c r="BW160" s="1">
        <v>2.2999999999999998</v>
      </c>
      <c r="BX160" s="1" t="s">
        <v>71</v>
      </c>
      <c r="BY160" s="1" t="s">
        <v>71</v>
      </c>
      <c r="BZ160" s="3">
        <v>0.9</v>
      </c>
      <c r="CA160" s="3">
        <v>1.7</v>
      </c>
      <c r="CB160" s="3">
        <f t="shared" si="47"/>
        <v>1.2500000000000002</v>
      </c>
      <c r="CC160" s="3">
        <f t="shared" si="52"/>
        <v>2.3611111111111112</v>
      </c>
      <c r="CD160" s="1">
        <f>ROUND(CB160/CB145+CC160/CC151,2)</f>
        <v>1.04</v>
      </c>
      <c r="CE160" s="1">
        <f>ROUND(CB160/CB148+CC160/CC151,2)</f>
        <v>0.93</v>
      </c>
      <c r="CF160" s="1">
        <f>ROUND(CB160/(1.2*CB148)+CC160/CC151,2)</f>
        <v>0.9</v>
      </c>
      <c r="CG160" s="1">
        <f>ROUND(CB160/CB145,2)</f>
        <v>0.33</v>
      </c>
      <c r="CH160" s="1">
        <f>ROUND(CB160/CB148,2)</f>
        <v>0.23</v>
      </c>
      <c r="CI160" s="1">
        <f>ROUND(CC160/CC151,2)</f>
        <v>0.71</v>
      </c>
      <c r="CJ160" s="1">
        <f>ROUND((CC160+CB160)/MAX(CC151,CB148),2)</f>
        <v>0.65</v>
      </c>
      <c r="CK160" s="1">
        <f>ROUND(LN((0.9*BZ160)/(0.1*CA160))/(BZ145/CA151),2)</f>
        <v>1.39</v>
      </c>
      <c r="CL160" s="1">
        <f>ROUND(LN((0.9*BZ160)/(0.1*CA160))/(BZ148/CA151),2)</f>
        <v>0.94</v>
      </c>
      <c r="CM160" s="1">
        <f>ROUND(LN((0.1*CA160)/(0.9*BZ160))/(CA151/BZ145),2)</f>
        <v>-1.76</v>
      </c>
      <c r="CN160" s="1">
        <f>ROUND(LN((0.1*CA160)/(0.9*BZ160))/(CA151/BZ148),2)</f>
        <v>-2.6</v>
      </c>
      <c r="CO160" s="1">
        <v>52</v>
      </c>
      <c r="CP160" s="1" t="s">
        <v>71</v>
      </c>
      <c r="CQ160" s="1">
        <v>35</v>
      </c>
      <c r="CR160" s="1">
        <v>152</v>
      </c>
      <c r="CS160" s="1">
        <v>41</v>
      </c>
      <c r="CT160" s="1">
        <v>10.1</v>
      </c>
      <c r="CU160" s="1">
        <v>8.6</v>
      </c>
      <c r="CV160" s="1" t="s">
        <v>71</v>
      </c>
      <c r="CW160" s="1" t="s">
        <v>71</v>
      </c>
      <c r="CX160" t="e">
        <f>ROUND(CV160*#REF!/10,1)</f>
        <v>#VALUE!</v>
      </c>
      <c r="CY160" s="1">
        <v>15</v>
      </c>
      <c r="CZ160">
        <f t="shared" si="55"/>
        <v>968</v>
      </c>
      <c r="DA160">
        <f t="shared" si="56"/>
        <v>188</v>
      </c>
      <c r="DB160">
        <f>(CZ160+DA160)/MAX(DA148,CZ151)</f>
        <v>0.88923076923076927</v>
      </c>
      <c r="DC160" s="1">
        <v>15</v>
      </c>
      <c r="DD160">
        <f t="shared" si="49"/>
        <v>1156</v>
      </c>
      <c r="DE160">
        <f t="shared" si="58"/>
        <v>0.15</v>
      </c>
      <c r="DF160">
        <f>ROUND(CZ160/MAX(DA148,CZ151), 2)</f>
        <v>0.74</v>
      </c>
    </row>
    <row r="161" spans="1:110" x14ac:dyDescent="0.15">
      <c r="A161" s="1">
        <v>2022</v>
      </c>
      <c r="B161" s="1" t="s">
        <v>49</v>
      </c>
      <c r="C161" s="1">
        <v>8</v>
      </c>
      <c r="D161" s="1">
        <v>19</v>
      </c>
      <c r="E161" s="1"/>
      <c r="F161" s="1"/>
      <c r="G161" s="1" t="s">
        <v>56</v>
      </c>
      <c r="H161" s="1">
        <v>4</v>
      </c>
      <c r="I161" s="23" t="s">
        <v>69</v>
      </c>
      <c r="J161" s="1" t="s">
        <v>57</v>
      </c>
      <c r="K161" s="1" t="s">
        <v>57</v>
      </c>
      <c r="L161" s="1" t="s">
        <v>71</v>
      </c>
      <c r="M161" s="1" t="s">
        <v>71</v>
      </c>
      <c r="N161" s="24">
        <v>44714</v>
      </c>
      <c r="O161" s="24">
        <v>44728</v>
      </c>
      <c r="P161" s="1" t="s">
        <v>71</v>
      </c>
      <c r="Q161" s="1" t="s">
        <v>71</v>
      </c>
      <c r="R161" s="1" t="s">
        <v>71</v>
      </c>
      <c r="S161" s="1" t="s">
        <v>71</v>
      </c>
      <c r="T161" s="1" t="s">
        <v>71</v>
      </c>
      <c r="U161" s="1" t="s">
        <v>71</v>
      </c>
      <c r="V161" s="1" t="s">
        <v>71</v>
      </c>
      <c r="W161" s="1" t="s">
        <v>71</v>
      </c>
      <c r="X161" s="1">
        <v>0</v>
      </c>
      <c r="Y161" s="1">
        <v>0</v>
      </c>
      <c r="Z161" s="1" t="s">
        <v>71</v>
      </c>
      <c r="AA161" s="1" t="s">
        <v>71</v>
      </c>
      <c r="AB161" s="1" t="s">
        <v>71</v>
      </c>
      <c r="AC161" s="1" t="s">
        <v>71</v>
      </c>
      <c r="AD161" s="25">
        <v>35</v>
      </c>
      <c r="AE161" s="25" t="s">
        <v>71</v>
      </c>
      <c r="AF161" s="25">
        <v>56</v>
      </c>
      <c r="AG161" s="25" t="s">
        <v>71</v>
      </c>
      <c r="AH161" s="1">
        <v>55</v>
      </c>
      <c r="AI161" s="1" t="s">
        <v>71</v>
      </c>
      <c r="AJ161" s="1">
        <v>1</v>
      </c>
      <c r="AK161" s="1" t="s">
        <v>71</v>
      </c>
      <c r="AL161" s="1" t="s">
        <v>71</v>
      </c>
      <c r="AM161" s="1" t="s">
        <v>71</v>
      </c>
      <c r="AN161" s="1">
        <v>0.01</v>
      </c>
      <c r="AO161" s="1">
        <v>0.01</v>
      </c>
      <c r="AP161" s="1">
        <v>1E-4</v>
      </c>
      <c r="AQ161" s="1">
        <v>6</v>
      </c>
      <c r="AR161" s="1" t="s">
        <v>71</v>
      </c>
      <c r="AS161" s="1" t="s">
        <v>71</v>
      </c>
      <c r="AT161" s="1" t="s">
        <v>71</v>
      </c>
      <c r="AU161" s="1">
        <v>0</v>
      </c>
      <c r="AV161" s="1">
        <v>0</v>
      </c>
      <c r="AW161" s="1">
        <v>0</v>
      </c>
      <c r="AX161" s="1" t="s">
        <v>71</v>
      </c>
      <c r="AY161" s="1" t="s">
        <v>71</v>
      </c>
      <c r="AZ161" s="1">
        <v>0</v>
      </c>
      <c r="BA161" s="1" t="s">
        <v>71</v>
      </c>
      <c r="BB161" s="1" t="s">
        <v>71</v>
      </c>
      <c r="BC161" s="1" t="s">
        <v>71</v>
      </c>
      <c r="BD161" s="1" t="s">
        <v>71</v>
      </c>
      <c r="BE161" s="1" t="s">
        <v>71</v>
      </c>
      <c r="BF161" s="1" t="s">
        <v>71</v>
      </c>
      <c r="BG161" s="1" t="s">
        <v>71</v>
      </c>
      <c r="BH161" s="1" t="s">
        <v>71</v>
      </c>
      <c r="BI161" s="1" t="s">
        <v>71</v>
      </c>
      <c r="BJ161" s="1" t="s">
        <v>71</v>
      </c>
      <c r="BK161" s="1">
        <v>0</v>
      </c>
      <c r="BL161" s="1">
        <f t="shared" si="46"/>
        <v>0</v>
      </c>
      <c r="BM161" s="1">
        <v>0</v>
      </c>
      <c r="BN161" s="1" t="s">
        <v>71</v>
      </c>
      <c r="BO161" s="1">
        <v>2</v>
      </c>
      <c r="BP161" s="1">
        <v>0</v>
      </c>
      <c r="BQ161" s="1" t="s">
        <v>71</v>
      </c>
      <c r="BR161" s="1" t="s">
        <v>71</v>
      </c>
      <c r="BS161" s="1" t="s">
        <v>71</v>
      </c>
      <c r="BT161" s="1" t="s">
        <v>71</v>
      </c>
      <c r="BU161" s="1" t="s">
        <v>71</v>
      </c>
      <c r="BV161" s="1" t="s">
        <v>71</v>
      </c>
      <c r="BW161" s="1" t="s">
        <v>71</v>
      </c>
      <c r="BX161" s="1" t="s">
        <v>71</v>
      </c>
      <c r="BY161" s="1" t="s">
        <v>71</v>
      </c>
      <c r="BZ161" s="3" t="s">
        <v>71</v>
      </c>
      <c r="CA161" s="3" t="s">
        <v>71</v>
      </c>
      <c r="CB161" s="3" t="s">
        <v>71</v>
      </c>
      <c r="CC161" s="3" t="s">
        <v>71</v>
      </c>
      <c r="CD161" s="1" t="s">
        <v>71</v>
      </c>
      <c r="CE161" s="1" t="s">
        <v>71</v>
      </c>
      <c r="CF161" s="1" t="s">
        <v>71</v>
      </c>
      <c r="CG161" s="1" t="s">
        <v>71</v>
      </c>
      <c r="CH161" s="1" t="s">
        <v>71</v>
      </c>
      <c r="CI161" s="1" t="s">
        <v>71</v>
      </c>
      <c r="CJ161" s="1" t="s">
        <v>71</v>
      </c>
      <c r="CK161" s="1" t="s">
        <v>71</v>
      </c>
      <c r="CL161" s="3" t="s">
        <v>71</v>
      </c>
      <c r="CM161" s="3" t="s">
        <v>71</v>
      </c>
      <c r="CN161" s="3" t="s">
        <v>71</v>
      </c>
      <c r="CO161" s="1">
        <v>42</v>
      </c>
      <c r="CP161" s="1" t="s">
        <v>71</v>
      </c>
      <c r="CQ161" s="1">
        <v>31</v>
      </c>
      <c r="CR161" s="1">
        <v>0</v>
      </c>
      <c r="CS161" s="1" t="s">
        <v>71</v>
      </c>
      <c r="CT161" s="1">
        <v>10</v>
      </c>
      <c r="CU161" s="1" t="s">
        <v>71</v>
      </c>
      <c r="CV161" s="1" t="s">
        <v>71</v>
      </c>
      <c r="CW161" s="1" t="s">
        <v>71</v>
      </c>
      <c r="CX161" t="s">
        <v>71</v>
      </c>
      <c r="CY161" s="1"/>
      <c r="CZ161" t="s">
        <v>71</v>
      </c>
      <c r="DA161" t="s">
        <v>71</v>
      </c>
      <c r="DB161" t="s">
        <v>71</v>
      </c>
      <c r="DC161" s="1">
        <v>10.3</v>
      </c>
      <c r="DD161">
        <f t="shared" si="49"/>
        <v>0</v>
      </c>
      <c r="DE161" t="s">
        <v>71</v>
      </c>
      <c r="DF161" s="26" t="s">
        <v>71</v>
      </c>
    </row>
    <row r="162" spans="1:110" x14ac:dyDescent="0.15">
      <c r="A162" s="1">
        <v>2022</v>
      </c>
      <c r="B162" s="1" t="s">
        <v>49</v>
      </c>
      <c r="C162" s="1">
        <v>8</v>
      </c>
      <c r="D162" s="1">
        <v>20</v>
      </c>
      <c r="E162" s="1"/>
      <c r="F162" s="1"/>
      <c r="G162" s="1" t="s">
        <v>56</v>
      </c>
      <c r="H162" s="1">
        <v>4</v>
      </c>
      <c r="I162" s="23" t="s">
        <v>70</v>
      </c>
      <c r="J162" s="1" t="s">
        <v>57</v>
      </c>
      <c r="K162" s="1" t="s">
        <v>57</v>
      </c>
      <c r="L162" s="1" t="s">
        <v>71</v>
      </c>
      <c r="M162" s="1" t="s">
        <v>71</v>
      </c>
      <c r="N162" s="24">
        <v>44717</v>
      </c>
      <c r="O162" s="24">
        <v>44729</v>
      </c>
      <c r="P162" s="24">
        <v>44701</v>
      </c>
      <c r="Q162" s="1" t="s">
        <v>71</v>
      </c>
      <c r="R162" s="1" t="s">
        <v>71</v>
      </c>
      <c r="S162" s="1" t="s">
        <v>71</v>
      </c>
      <c r="T162" s="1" t="s">
        <v>71</v>
      </c>
      <c r="U162" s="1" t="s">
        <v>71</v>
      </c>
      <c r="V162" s="1" t="s">
        <v>71</v>
      </c>
      <c r="W162" s="1" t="s">
        <v>71</v>
      </c>
      <c r="X162" s="1">
        <v>0</v>
      </c>
      <c r="Y162" s="1">
        <v>0</v>
      </c>
      <c r="Z162" s="1" t="s">
        <v>71</v>
      </c>
      <c r="AA162" s="1" t="s">
        <v>71</v>
      </c>
      <c r="AB162" s="1" t="s">
        <v>71</v>
      </c>
      <c r="AC162" s="1" t="s">
        <v>71</v>
      </c>
      <c r="AD162" s="25" t="s">
        <v>71</v>
      </c>
      <c r="AE162" s="25" t="s">
        <v>71</v>
      </c>
      <c r="AF162" s="25" t="s">
        <v>71</v>
      </c>
      <c r="AG162" s="25">
        <v>78</v>
      </c>
      <c r="AH162" s="1" t="s">
        <v>71</v>
      </c>
      <c r="AI162" s="1" t="s">
        <v>71</v>
      </c>
      <c r="AJ162" s="1" t="s">
        <v>71</v>
      </c>
      <c r="AK162" s="1" t="s">
        <v>71</v>
      </c>
      <c r="AL162" s="1" t="s">
        <v>71</v>
      </c>
      <c r="AM162" s="1" t="s">
        <v>71</v>
      </c>
      <c r="AN162" s="1" t="s">
        <v>71</v>
      </c>
      <c r="AO162" s="1" t="s">
        <v>71</v>
      </c>
      <c r="AP162" s="1" t="s">
        <v>71</v>
      </c>
      <c r="AQ162" s="1" t="s">
        <v>71</v>
      </c>
      <c r="AR162" s="1" t="s">
        <v>71</v>
      </c>
      <c r="AS162" s="1" t="s">
        <v>71</v>
      </c>
      <c r="AT162" s="1" t="s">
        <v>71</v>
      </c>
      <c r="AU162" s="1">
        <v>0</v>
      </c>
      <c r="AV162" s="1">
        <v>0</v>
      </c>
      <c r="AW162" s="1">
        <v>0</v>
      </c>
      <c r="AX162" s="1" t="s">
        <v>71</v>
      </c>
      <c r="AY162" s="1" t="s">
        <v>71</v>
      </c>
      <c r="AZ162" s="1">
        <v>0</v>
      </c>
      <c r="BA162" s="1" t="s">
        <v>71</v>
      </c>
      <c r="BB162" s="1" t="s">
        <v>71</v>
      </c>
      <c r="BC162" s="1" t="s">
        <v>71</v>
      </c>
      <c r="BD162" s="1" t="s">
        <v>71</v>
      </c>
      <c r="BE162" s="1" t="s">
        <v>71</v>
      </c>
      <c r="BF162" s="1" t="s">
        <v>71</v>
      </c>
      <c r="BG162" s="1" t="s">
        <v>71</v>
      </c>
      <c r="BH162" s="1" t="s">
        <v>71</v>
      </c>
      <c r="BI162" s="1" t="s">
        <v>71</v>
      </c>
      <c r="BJ162" s="1" t="s">
        <v>71</v>
      </c>
      <c r="BK162" s="1">
        <v>0</v>
      </c>
      <c r="BL162" s="1">
        <f t="shared" si="46"/>
        <v>0</v>
      </c>
      <c r="BM162" s="1">
        <v>0</v>
      </c>
      <c r="BN162" s="1">
        <v>0.8</v>
      </c>
      <c r="BO162" s="1" t="s">
        <v>71</v>
      </c>
      <c r="BP162" s="1">
        <v>10</v>
      </c>
      <c r="BQ162" s="1" t="s">
        <v>71</v>
      </c>
      <c r="BR162" s="1" t="s">
        <v>71</v>
      </c>
      <c r="BS162" s="1" t="s">
        <v>71</v>
      </c>
      <c r="BT162" s="1" t="s">
        <v>71</v>
      </c>
      <c r="BU162" s="1" t="s">
        <v>71</v>
      </c>
      <c r="BV162" s="1" t="s">
        <v>71</v>
      </c>
      <c r="BW162" s="1" t="s">
        <v>71</v>
      </c>
      <c r="BX162" s="1" t="s">
        <v>71</v>
      </c>
      <c r="BY162" s="1" t="s">
        <v>71</v>
      </c>
      <c r="BZ162" s="3" t="s">
        <v>71</v>
      </c>
      <c r="CA162" s="3" t="s">
        <v>71</v>
      </c>
      <c r="CB162" s="3" t="s">
        <v>71</v>
      </c>
      <c r="CC162" s="3" t="s">
        <v>71</v>
      </c>
      <c r="CD162" s="1" t="s">
        <v>71</v>
      </c>
      <c r="CE162" s="1" t="s">
        <v>71</v>
      </c>
      <c r="CF162" s="1" t="s">
        <v>71</v>
      </c>
      <c r="CG162" s="1" t="s">
        <v>71</v>
      </c>
      <c r="CH162" s="1" t="s">
        <v>71</v>
      </c>
      <c r="CI162" s="1" t="s">
        <v>71</v>
      </c>
      <c r="CJ162" s="1" t="s">
        <v>71</v>
      </c>
      <c r="CK162" s="1" t="s">
        <v>71</v>
      </c>
      <c r="CL162" s="3" t="s">
        <v>71</v>
      </c>
      <c r="CM162" s="3" t="s">
        <v>71</v>
      </c>
      <c r="CN162" s="3" t="s">
        <v>71</v>
      </c>
      <c r="CO162" s="1">
        <v>0</v>
      </c>
      <c r="CP162" s="1" t="s">
        <v>71</v>
      </c>
      <c r="CQ162" s="1">
        <v>70</v>
      </c>
      <c r="CR162" s="1">
        <v>220</v>
      </c>
      <c r="CS162" s="1">
        <v>23</v>
      </c>
      <c r="CT162" s="1" t="s">
        <v>71</v>
      </c>
      <c r="CU162" s="1">
        <v>10.8</v>
      </c>
      <c r="CV162" s="1" t="s">
        <v>71</v>
      </c>
      <c r="CW162" s="1" t="s">
        <v>71</v>
      </c>
      <c r="CX162" t="s">
        <v>71</v>
      </c>
      <c r="CY162" s="1"/>
      <c r="CZ162" t="s">
        <v>71</v>
      </c>
      <c r="DA162" t="s">
        <v>71</v>
      </c>
      <c r="DB162" t="s">
        <v>71</v>
      </c>
      <c r="DC162" s="1" t="s">
        <v>71</v>
      </c>
      <c r="DD162">
        <f t="shared" si="49"/>
        <v>0</v>
      </c>
      <c r="DE162" t="s">
        <v>71</v>
      </c>
      <c r="DF162" s="26" t="s">
        <v>71</v>
      </c>
    </row>
    <row r="163" spans="1:110" ht="15" x14ac:dyDescent="0.15">
      <c r="A163" s="23">
        <v>2023</v>
      </c>
      <c r="B163" s="23" t="s">
        <v>48</v>
      </c>
      <c r="C163" s="23">
        <v>9</v>
      </c>
      <c r="D163" s="23">
        <v>1</v>
      </c>
      <c r="E163" s="23" t="s">
        <v>50</v>
      </c>
      <c r="F163" s="23"/>
      <c r="G163" s="23" t="s">
        <v>56</v>
      </c>
      <c r="H163" s="23">
        <v>1</v>
      </c>
      <c r="I163" s="23" t="s">
        <v>50</v>
      </c>
      <c r="J163" s="23" t="s">
        <v>57</v>
      </c>
      <c r="K163" s="1" t="s">
        <v>57</v>
      </c>
      <c r="L163" s="1" t="s">
        <v>71</v>
      </c>
      <c r="M163" s="1" t="s">
        <v>71</v>
      </c>
      <c r="N163" s="24">
        <v>45081</v>
      </c>
      <c r="O163" s="24">
        <v>45087</v>
      </c>
      <c r="P163" s="1" t="s">
        <v>71</v>
      </c>
      <c r="Q163" s="1" t="s">
        <v>71</v>
      </c>
      <c r="R163" s="1" t="s">
        <v>71</v>
      </c>
      <c r="S163" s="1" t="s">
        <v>71</v>
      </c>
      <c r="T163" s="1" t="s">
        <v>71</v>
      </c>
      <c r="U163" s="1">
        <v>87</v>
      </c>
      <c r="V163" s="1" t="s">
        <v>71</v>
      </c>
      <c r="W163" s="1" t="s">
        <v>71</v>
      </c>
      <c r="X163" s="1" t="s">
        <v>71</v>
      </c>
      <c r="Y163" s="1">
        <v>0</v>
      </c>
      <c r="Z163" s="1" t="s">
        <v>71</v>
      </c>
      <c r="AA163" s="1">
        <v>0</v>
      </c>
      <c r="AB163" s="1" t="s">
        <v>71</v>
      </c>
      <c r="AC163" s="1">
        <v>0</v>
      </c>
      <c r="AD163" s="25">
        <v>33</v>
      </c>
      <c r="AE163" s="25" t="s">
        <v>71</v>
      </c>
      <c r="AF163" s="25">
        <v>71</v>
      </c>
      <c r="AG163" s="25" t="s">
        <v>71</v>
      </c>
      <c r="AH163" s="1" t="s">
        <v>71</v>
      </c>
      <c r="AI163" s="1" t="s">
        <v>71</v>
      </c>
      <c r="AJ163" s="1">
        <v>0.7</v>
      </c>
      <c r="AK163" s="1">
        <v>0</v>
      </c>
      <c r="AL163" s="1">
        <v>0</v>
      </c>
      <c r="AM163" s="1">
        <v>0</v>
      </c>
      <c r="AN163" s="1">
        <v>0.02</v>
      </c>
      <c r="AO163" s="1">
        <v>0.02</v>
      </c>
      <c r="AP163" s="1">
        <v>4.0000000000000002E-4</v>
      </c>
      <c r="AQ163" s="1">
        <v>18</v>
      </c>
      <c r="AR163" s="1">
        <v>0.1</v>
      </c>
      <c r="AS163" s="1">
        <v>8</v>
      </c>
      <c r="AT163" s="1">
        <v>0.8</v>
      </c>
      <c r="AU163" s="1" t="s">
        <v>71</v>
      </c>
      <c r="AV163" s="1" t="s">
        <v>71</v>
      </c>
      <c r="AW163" s="1" t="s">
        <v>71</v>
      </c>
      <c r="AX163" s="1">
        <v>0</v>
      </c>
      <c r="AY163" s="1">
        <v>0</v>
      </c>
      <c r="AZ163" s="1" t="s">
        <v>71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 t="s">
        <v>71</v>
      </c>
      <c r="BI163" s="1" t="s">
        <v>71</v>
      </c>
      <c r="BJ163" s="1" t="s">
        <v>71</v>
      </c>
      <c r="BK163" s="1">
        <v>2E-3</v>
      </c>
      <c r="BL163" s="1">
        <f t="shared" si="46"/>
        <v>0.2</v>
      </c>
      <c r="BM163" s="1">
        <v>0.1</v>
      </c>
      <c r="BN163" s="1">
        <v>0.02</v>
      </c>
      <c r="BO163" s="1">
        <v>2</v>
      </c>
      <c r="BP163" s="1">
        <v>0</v>
      </c>
      <c r="BQ163" s="1" t="s">
        <v>71</v>
      </c>
      <c r="BR163" s="1" t="s">
        <v>71</v>
      </c>
      <c r="BS163" s="1" t="s">
        <v>71</v>
      </c>
      <c r="BT163" s="1" t="s">
        <v>71</v>
      </c>
      <c r="BU163" s="1">
        <v>27</v>
      </c>
      <c r="BV163" s="1" t="s">
        <v>71</v>
      </c>
      <c r="BW163" s="1" t="s">
        <v>71</v>
      </c>
      <c r="BX163" s="1" t="s">
        <v>71</v>
      </c>
      <c r="BY163" s="1" t="s">
        <v>71</v>
      </c>
      <c r="BZ163" s="3">
        <v>2.4</v>
      </c>
      <c r="CA163" s="3" t="s">
        <v>71</v>
      </c>
      <c r="CB163" s="3">
        <f t="shared" si="47"/>
        <v>3.3333333333333339</v>
      </c>
      <c r="CC163" s="1" t="s">
        <v>71</v>
      </c>
      <c r="CD163" s="1">
        <v>1</v>
      </c>
      <c r="CE163" s="1">
        <v>1</v>
      </c>
      <c r="CF163" s="1">
        <f>CE163</f>
        <v>1</v>
      </c>
      <c r="CG163" s="3" t="s">
        <v>71</v>
      </c>
      <c r="CH163" s="3" t="s">
        <v>71</v>
      </c>
      <c r="CI163" s="3" t="s">
        <v>71</v>
      </c>
      <c r="CJ163" s="3" t="s">
        <v>71</v>
      </c>
      <c r="CK163" s="3" t="s">
        <v>71</v>
      </c>
      <c r="CL163" s="3" t="s">
        <v>71</v>
      </c>
      <c r="CM163" s="3" t="s">
        <v>71</v>
      </c>
      <c r="CN163" s="3" t="s">
        <v>71</v>
      </c>
      <c r="CO163" s="5">
        <v>51</v>
      </c>
      <c r="CP163" s="5" t="s">
        <v>71</v>
      </c>
      <c r="CQ163" s="1">
        <v>41</v>
      </c>
      <c r="CR163" s="1" t="s">
        <v>71</v>
      </c>
      <c r="CS163" s="5" t="s">
        <v>71</v>
      </c>
      <c r="CT163" s="5">
        <v>8.9</v>
      </c>
      <c r="CU163" s="5" t="s">
        <v>71</v>
      </c>
      <c r="CV163" s="1" t="s">
        <v>71</v>
      </c>
      <c r="CW163" s="1" t="s">
        <v>71</v>
      </c>
      <c r="CX163" s="1" t="s">
        <v>71</v>
      </c>
      <c r="CY163" s="1">
        <v>10.3</v>
      </c>
      <c r="CZ163" s="1" t="s">
        <v>71</v>
      </c>
      <c r="DA163">
        <f t="shared" ref="DA163:DA168" si="59">ROUND((CY163*CB163*10),0)</f>
        <v>343</v>
      </c>
      <c r="DB163" s="1" t="s">
        <v>71</v>
      </c>
      <c r="DC163" s="26">
        <v>10.3</v>
      </c>
      <c r="DD163">
        <f t="shared" si="49"/>
        <v>343</v>
      </c>
      <c r="DE163" s="1" t="s">
        <v>71</v>
      </c>
      <c r="DF163" s="1" t="s">
        <v>71</v>
      </c>
    </row>
    <row r="164" spans="1:110" ht="15" x14ac:dyDescent="0.15">
      <c r="A164" s="23">
        <v>2023</v>
      </c>
      <c r="B164" s="23" t="s">
        <v>48</v>
      </c>
      <c r="C164" s="23">
        <v>9</v>
      </c>
      <c r="D164" s="23">
        <v>2</v>
      </c>
      <c r="E164" s="23" t="s">
        <v>51</v>
      </c>
      <c r="F164" s="23"/>
      <c r="G164" s="23" t="s">
        <v>56</v>
      </c>
      <c r="H164" s="23">
        <v>1</v>
      </c>
      <c r="I164" s="23" t="s">
        <v>51</v>
      </c>
      <c r="J164" s="23" t="s">
        <v>57</v>
      </c>
      <c r="K164" s="1" t="s">
        <v>57</v>
      </c>
      <c r="L164" s="1" t="s">
        <v>71</v>
      </c>
      <c r="M164" s="1" t="s">
        <v>71</v>
      </c>
      <c r="N164" s="24">
        <v>45084</v>
      </c>
      <c r="O164" s="24">
        <v>45090</v>
      </c>
      <c r="P164" s="1" t="s">
        <v>71</v>
      </c>
      <c r="Q164" s="1" t="s">
        <v>71</v>
      </c>
      <c r="R164" s="1" t="s">
        <v>71</v>
      </c>
      <c r="S164" s="1" t="s">
        <v>71</v>
      </c>
      <c r="T164" s="1" t="s">
        <v>71</v>
      </c>
      <c r="U164" s="1">
        <v>79</v>
      </c>
      <c r="V164" s="1" t="s">
        <v>71</v>
      </c>
      <c r="W164" s="1" t="s">
        <v>71</v>
      </c>
      <c r="X164" s="1" t="s">
        <v>71</v>
      </c>
      <c r="Y164" s="1">
        <v>0</v>
      </c>
      <c r="Z164" s="1" t="s">
        <v>71</v>
      </c>
      <c r="AA164" s="1">
        <v>0</v>
      </c>
      <c r="AB164" s="1" t="s">
        <v>71</v>
      </c>
      <c r="AC164" s="1">
        <v>0</v>
      </c>
      <c r="AD164" s="25">
        <v>30.666666666666668</v>
      </c>
      <c r="AE164" s="25" t="s">
        <v>71</v>
      </c>
      <c r="AF164" s="25">
        <v>60</v>
      </c>
      <c r="AG164" s="25" t="s">
        <v>71</v>
      </c>
      <c r="AH164" s="1" t="s">
        <v>71</v>
      </c>
      <c r="AI164" s="1" t="s">
        <v>71</v>
      </c>
      <c r="AJ164" s="1">
        <v>0.7</v>
      </c>
      <c r="AK164" s="1">
        <v>0</v>
      </c>
      <c r="AL164" s="1">
        <v>0</v>
      </c>
      <c r="AM164" s="1">
        <v>0</v>
      </c>
      <c r="AN164" s="1">
        <v>0.03</v>
      </c>
      <c r="AO164" s="1">
        <v>0.03</v>
      </c>
      <c r="AP164" s="1">
        <v>8.9999999999999998E-4</v>
      </c>
      <c r="AQ164" s="1">
        <v>10</v>
      </c>
      <c r="AR164" s="1">
        <v>1E-3</v>
      </c>
      <c r="AS164" s="1">
        <v>4</v>
      </c>
      <c r="AT164" s="1">
        <v>4.0000000000000001E-3</v>
      </c>
      <c r="AU164" s="1" t="s">
        <v>71</v>
      </c>
      <c r="AV164" s="1" t="s">
        <v>71</v>
      </c>
      <c r="AW164" s="1" t="s">
        <v>71</v>
      </c>
      <c r="AX164" s="1">
        <v>0</v>
      </c>
      <c r="AY164" s="1">
        <v>0</v>
      </c>
      <c r="AZ164" s="1" t="s">
        <v>71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 t="s">
        <v>71</v>
      </c>
      <c r="BI164" s="1" t="s">
        <v>71</v>
      </c>
      <c r="BJ164" s="1" t="s">
        <v>71</v>
      </c>
      <c r="BK164" s="1">
        <v>2E-3</v>
      </c>
      <c r="BL164" s="1">
        <f t="shared" si="46"/>
        <v>0.2</v>
      </c>
      <c r="BM164" s="1">
        <v>0.1</v>
      </c>
      <c r="BN164" s="1">
        <v>0.02</v>
      </c>
      <c r="BO164" s="1">
        <v>2</v>
      </c>
      <c r="BP164" s="1">
        <v>0</v>
      </c>
      <c r="BQ164" s="1" t="s">
        <v>71</v>
      </c>
      <c r="BR164" s="1" t="s">
        <v>71</v>
      </c>
      <c r="BS164" s="1" t="s">
        <v>71</v>
      </c>
      <c r="BT164" s="1" t="s">
        <v>71</v>
      </c>
      <c r="BU164" s="1">
        <v>30</v>
      </c>
      <c r="BV164" s="1" t="s">
        <v>71</v>
      </c>
      <c r="BW164" s="1" t="s">
        <v>71</v>
      </c>
      <c r="BX164" s="1" t="s">
        <v>71</v>
      </c>
      <c r="BY164" s="1" t="s">
        <v>71</v>
      </c>
      <c r="BZ164" s="3">
        <v>2.2999999999999998</v>
      </c>
      <c r="CA164" s="3" t="s">
        <v>71</v>
      </c>
      <c r="CB164" s="3">
        <f t="shared" si="47"/>
        <v>3.1944444444444446</v>
      </c>
      <c r="CC164" s="1" t="s">
        <v>71</v>
      </c>
      <c r="CD164" s="1">
        <v>1</v>
      </c>
      <c r="CE164" s="1">
        <v>1</v>
      </c>
      <c r="CF164" s="1">
        <f t="shared" ref="CF164:CF177" si="60">CE164</f>
        <v>1</v>
      </c>
      <c r="CG164" s="3" t="s">
        <v>71</v>
      </c>
      <c r="CH164" s="3" t="s">
        <v>71</v>
      </c>
      <c r="CI164" s="3" t="s">
        <v>71</v>
      </c>
      <c r="CJ164" s="3" t="s">
        <v>71</v>
      </c>
      <c r="CK164" s="3" t="s">
        <v>71</v>
      </c>
      <c r="CL164" s="3" t="s">
        <v>71</v>
      </c>
      <c r="CM164" s="3" t="s">
        <v>71</v>
      </c>
      <c r="CN164" s="3" t="s">
        <v>71</v>
      </c>
      <c r="CO164" s="5">
        <v>49</v>
      </c>
      <c r="CP164" s="5" t="s">
        <v>71</v>
      </c>
      <c r="CQ164" s="1">
        <v>33</v>
      </c>
      <c r="CR164" s="1" t="s">
        <v>71</v>
      </c>
      <c r="CS164" s="5" t="s">
        <v>71</v>
      </c>
      <c r="CT164" s="5">
        <v>8.4</v>
      </c>
      <c r="CU164" s="5" t="s">
        <v>71</v>
      </c>
      <c r="CV164" s="1" t="s">
        <v>71</v>
      </c>
      <c r="CW164" s="1" t="s">
        <v>71</v>
      </c>
      <c r="CX164" s="1" t="s">
        <v>71</v>
      </c>
      <c r="CY164" s="1">
        <v>10</v>
      </c>
      <c r="CZ164" s="1" t="s">
        <v>71</v>
      </c>
      <c r="DA164">
        <f t="shared" si="59"/>
        <v>319</v>
      </c>
      <c r="DB164" s="1" t="s">
        <v>71</v>
      </c>
      <c r="DC164" s="26">
        <v>10</v>
      </c>
      <c r="DD164">
        <f t="shared" si="49"/>
        <v>319</v>
      </c>
      <c r="DE164" s="1" t="s">
        <v>71</v>
      </c>
      <c r="DF164" s="1" t="s">
        <v>71</v>
      </c>
    </row>
    <row r="165" spans="1:110" ht="15" x14ac:dyDescent="0.15">
      <c r="A165" s="23">
        <v>2023</v>
      </c>
      <c r="B165" s="23" t="s">
        <v>48</v>
      </c>
      <c r="C165" s="23">
        <v>9</v>
      </c>
      <c r="D165" s="23">
        <v>3</v>
      </c>
      <c r="E165" s="23" t="s">
        <v>52</v>
      </c>
      <c r="F165" s="23"/>
      <c r="G165" s="23" t="s">
        <v>56</v>
      </c>
      <c r="H165" s="23">
        <v>1</v>
      </c>
      <c r="I165" s="23" t="s">
        <v>52</v>
      </c>
      <c r="J165" s="23" t="s">
        <v>57</v>
      </c>
      <c r="K165" s="1" t="s">
        <v>57</v>
      </c>
      <c r="L165" s="1" t="s">
        <v>71</v>
      </c>
      <c r="M165" s="1" t="s">
        <v>71</v>
      </c>
      <c r="N165" s="24">
        <v>45086</v>
      </c>
      <c r="O165" s="24">
        <v>45098</v>
      </c>
      <c r="P165" s="1" t="s">
        <v>71</v>
      </c>
      <c r="Q165" s="1" t="s">
        <v>71</v>
      </c>
      <c r="R165" s="1" t="s">
        <v>71</v>
      </c>
      <c r="S165" s="1" t="s">
        <v>71</v>
      </c>
      <c r="T165" s="1" t="s">
        <v>71</v>
      </c>
      <c r="U165" s="1">
        <v>85</v>
      </c>
      <c r="V165" s="1" t="s">
        <v>71</v>
      </c>
      <c r="W165" s="1" t="s">
        <v>71</v>
      </c>
      <c r="X165" s="1" t="s">
        <v>71</v>
      </c>
      <c r="Y165" s="1">
        <v>0</v>
      </c>
      <c r="Z165" s="1" t="s">
        <v>71</v>
      </c>
      <c r="AA165" s="1">
        <v>0</v>
      </c>
      <c r="AB165" s="1" t="s">
        <v>71</v>
      </c>
      <c r="AC165" s="1">
        <v>0</v>
      </c>
      <c r="AD165" s="25">
        <v>30.333333333333332</v>
      </c>
      <c r="AE165" s="25" t="s">
        <v>71</v>
      </c>
      <c r="AF165" s="25">
        <v>53</v>
      </c>
      <c r="AG165" s="25" t="s">
        <v>71</v>
      </c>
      <c r="AH165" s="1" t="s">
        <v>71</v>
      </c>
      <c r="AI165" s="1" t="s">
        <v>71</v>
      </c>
      <c r="AJ165" s="1">
        <v>1</v>
      </c>
      <c r="AK165" s="1">
        <v>0</v>
      </c>
      <c r="AL165" s="1">
        <v>0</v>
      </c>
      <c r="AM165" s="1">
        <v>0</v>
      </c>
      <c r="AN165" s="1">
        <v>0.08</v>
      </c>
      <c r="AO165" s="1">
        <v>0.04</v>
      </c>
      <c r="AP165" s="1">
        <v>3.2000000000000002E-3</v>
      </c>
      <c r="AQ165" s="1">
        <v>21</v>
      </c>
      <c r="AR165" s="1">
        <v>0</v>
      </c>
      <c r="AS165" s="1">
        <v>0</v>
      </c>
      <c r="AT165" s="1">
        <v>0</v>
      </c>
      <c r="AU165" s="1" t="s">
        <v>71</v>
      </c>
      <c r="AV165" s="1" t="s">
        <v>71</v>
      </c>
      <c r="AW165" s="1" t="s">
        <v>71</v>
      </c>
      <c r="AX165" s="1">
        <v>0</v>
      </c>
      <c r="AY165" s="1">
        <v>0</v>
      </c>
      <c r="AZ165" s="1" t="s">
        <v>71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 t="s">
        <v>71</v>
      </c>
      <c r="BI165" s="1" t="s">
        <v>71</v>
      </c>
      <c r="BJ165" s="1" t="s">
        <v>71</v>
      </c>
      <c r="BK165" s="1">
        <v>2.5000000000000005E-3</v>
      </c>
      <c r="BL165" s="1">
        <f t="shared" si="46"/>
        <v>0.25000000000000006</v>
      </c>
      <c r="BM165" s="1">
        <v>0.05</v>
      </c>
      <c r="BN165" s="1">
        <v>0.05</v>
      </c>
      <c r="BO165" s="1">
        <v>2</v>
      </c>
      <c r="BP165" s="1">
        <v>0</v>
      </c>
      <c r="BQ165" s="1" t="s">
        <v>71</v>
      </c>
      <c r="BR165" s="1" t="s">
        <v>71</v>
      </c>
      <c r="BS165" s="1" t="s">
        <v>71</v>
      </c>
      <c r="BT165" s="1" t="s">
        <v>71</v>
      </c>
      <c r="BU165" s="1">
        <v>21</v>
      </c>
      <c r="BV165" s="1" t="s">
        <v>71</v>
      </c>
      <c r="BW165" s="1" t="s">
        <v>71</v>
      </c>
      <c r="BX165" s="1" t="s">
        <v>71</v>
      </c>
      <c r="BY165" s="1" t="s">
        <v>71</v>
      </c>
      <c r="BZ165" s="3">
        <v>2</v>
      </c>
      <c r="CA165" s="3" t="s">
        <v>71</v>
      </c>
      <c r="CB165" s="3">
        <f t="shared" si="47"/>
        <v>2.7777777777777777</v>
      </c>
      <c r="CC165" s="1" t="s">
        <v>71</v>
      </c>
      <c r="CD165" s="1">
        <v>1</v>
      </c>
      <c r="CE165" s="1">
        <v>1</v>
      </c>
      <c r="CF165" s="1">
        <f t="shared" si="60"/>
        <v>1</v>
      </c>
      <c r="CG165" s="3" t="s">
        <v>71</v>
      </c>
      <c r="CH165" s="3" t="s">
        <v>71</v>
      </c>
      <c r="CI165" s="3" t="s">
        <v>71</v>
      </c>
      <c r="CJ165" s="3" t="s">
        <v>71</v>
      </c>
      <c r="CK165" s="3" t="s">
        <v>71</v>
      </c>
      <c r="CL165" s="3" t="s">
        <v>71</v>
      </c>
      <c r="CM165" s="3" t="s">
        <v>71</v>
      </c>
      <c r="CN165" s="3" t="s">
        <v>71</v>
      </c>
      <c r="CO165" s="5">
        <v>48</v>
      </c>
      <c r="CP165" s="5" t="s">
        <v>71</v>
      </c>
      <c r="CQ165" s="1">
        <v>33</v>
      </c>
      <c r="CR165" s="1" t="s">
        <v>71</v>
      </c>
      <c r="CS165" s="5" t="s">
        <v>71</v>
      </c>
      <c r="CT165" s="5">
        <v>8.8000000000000007</v>
      </c>
      <c r="CU165" s="5" t="s">
        <v>71</v>
      </c>
      <c r="CV165" s="1" t="s">
        <v>71</v>
      </c>
      <c r="CW165" s="1" t="s">
        <v>71</v>
      </c>
      <c r="CX165" s="1" t="s">
        <v>71</v>
      </c>
      <c r="CY165" s="1">
        <v>10.8</v>
      </c>
      <c r="CZ165" s="1" t="s">
        <v>71</v>
      </c>
      <c r="DA165">
        <f t="shared" si="59"/>
        <v>300</v>
      </c>
      <c r="DB165" s="1" t="s">
        <v>71</v>
      </c>
      <c r="DC165" s="26">
        <v>10.8</v>
      </c>
      <c r="DD165">
        <f t="shared" si="49"/>
        <v>300</v>
      </c>
      <c r="DE165" s="1" t="s">
        <v>71</v>
      </c>
      <c r="DF165" s="1" t="s">
        <v>71</v>
      </c>
    </row>
    <row r="166" spans="1:110" ht="15" x14ac:dyDescent="0.15">
      <c r="A166" s="23">
        <v>2023</v>
      </c>
      <c r="B166" s="23" t="s">
        <v>48</v>
      </c>
      <c r="C166" s="23">
        <v>9</v>
      </c>
      <c r="D166" s="23">
        <v>4</v>
      </c>
      <c r="E166" s="23" t="s">
        <v>50</v>
      </c>
      <c r="F166" s="23"/>
      <c r="G166" s="23" t="s">
        <v>56</v>
      </c>
      <c r="H166" s="23">
        <v>1</v>
      </c>
      <c r="I166" s="23" t="s">
        <v>50</v>
      </c>
      <c r="J166" s="23" t="s">
        <v>58</v>
      </c>
      <c r="K166" s="1" t="s">
        <v>57</v>
      </c>
      <c r="L166" s="1" t="s">
        <v>71</v>
      </c>
      <c r="M166" s="1" t="s">
        <v>71</v>
      </c>
      <c r="N166" s="24">
        <v>45080</v>
      </c>
      <c r="O166" s="24">
        <v>45087</v>
      </c>
      <c r="P166" s="1" t="s">
        <v>71</v>
      </c>
      <c r="Q166" s="1" t="s">
        <v>71</v>
      </c>
      <c r="R166" s="1" t="s">
        <v>71</v>
      </c>
      <c r="S166" s="1" t="s">
        <v>71</v>
      </c>
      <c r="T166" s="1" t="s">
        <v>71</v>
      </c>
      <c r="U166" s="1">
        <v>87</v>
      </c>
      <c r="V166" s="1" t="s">
        <v>71</v>
      </c>
      <c r="W166" s="1" t="s">
        <v>71</v>
      </c>
      <c r="X166" s="1" t="s">
        <v>71</v>
      </c>
      <c r="Y166" s="1">
        <v>0</v>
      </c>
      <c r="Z166" s="1" t="s">
        <v>71</v>
      </c>
      <c r="AA166" s="1">
        <v>0</v>
      </c>
      <c r="AB166" s="1" t="s">
        <v>71</v>
      </c>
      <c r="AC166" s="1">
        <v>0</v>
      </c>
      <c r="AD166" s="25">
        <v>46.333333333333336</v>
      </c>
      <c r="AE166" s="25" t="s">
        <v>71</v>
      </c>
      <c r="AF166" s="25">
        <v>84</v>
      </c>
      <c r="AG166" s="25" t="s">
        <v>71</v>
      </c>
      <c r="AH166" s="1" t="s">
        <v>71</v>
      </c>
      <c r="AI166" s="1" t="s">
        <v>71</v>
      </c>
      <c r="AJ166" s="1">
        <v>1.7</v>
      </c>
      <c r="AK166" s="1">
        <v>0</v>
      </c>
      <c r="AL166" s="1">
        <v>0</v>
      </c>
      <c r="AM166" s="1">
        <v>0</v>
      </c>
      <c r="AN166" s="1">
        <v>0.04</v>
      </c>
      <c r="AO166" s="1">
        <v>0.03</v>
      </c>
      <c r="AP166" s="1">
        <v>1.1999999999999999E-3</v>
      </c>
      <c r="AQ166" s="1">
        <v>13</v>
      </c>
      <c r="AR166" s="1">
        <v>0.02</v>
      </c>
      <c r="AS166" s="1">
        <v>5</v>
      </c>
      <c r="AT166" s="1">
        <v>0.1</v>
      </c>
      <c r="AU166" s="1" t="s">
        <v>71</v>
      </c>
      <c r="AV166" s="1" t="s">
        <v>71</v>
      </c>
      <c r="AW166" s="1" t="s">
        <v>71</v>
      </c>
      <c r="AX166" s="1">
        <v>0</v>
      </c>
      <c r="AY166" s="1">
        <v>0</v>
      </c>
      <c r="AZ166" s="1" t="s">
        <v>71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 t="s">
        <v>71</v>
      </c>
      <c r="BI166" s="1" t="s">
        <v>71</v>
      </c>
      <c r="BJ166" s="1" t="s">
        <v>71</v>
      </c>
      <c r="BK166" s="1">
        <v>1.1999999999999999E-3</v>
      </c>
      <c r="BL166" s="1">
        <f t="shared" si="46"/>
        <v>0.12</v>
      </c>
      <c r="BM166" s="1">
        <v>0.03</v>
      </c>
      <c r="BN166" s="1">
        <v>0.04</v>
      </c>
      <c r="BO166" s="1">
        <v>1</v>
      </c>
      <c r="BP166" s="1">
        <v>0</v>
      </c>
      <c r="BQ166" s="1" t="s">
        <v>71</v>
      </c>
      <c r="BR166" s="1" t="s">
        <v>71</v>
      </c>
      <c r="BS166" s="1" t="s">
        <v>71</v>
      </c>
      <c r="BT166" s="1" t="s">
        <v>71</v>
      </c>
      <c r="BU166" s="1">
        <v>23</v>
      </c>
      <c r="BV166" s="1" t="s">
        <v>71</v>
      </c>
      <c r="BW166" s="1" t="s">
        <v>71</v>
      </c>
      <c r="BX166" s="1" t="s">
        <v>71</v>
      </c>
      <c r="BY166" s="1" t="s">
        <v>71</v>
      </c>
      <c r="BZ166" s="3">
        <v>2.8</v>
      </c>
      <c r="CA166" s="3" t="s">
        <v>71</v>
      </c>
      <c r="CB166" s="3">
        <f t="shared" si="47"/>
        <v>3.8888888888888888</v>
      </c>
      <c r="CC166" s="1" t="s">
        <v>71</v>
      </c>
      <c r="CD166" s="1">
        <v>1</v>
      </c>
      <c r="CE166" s="1">
        <v>1</v>
      </c>
      <c r="CF166" s="1">
        <f t="shared" si="60"/>
        <v>1</v>
      </c>
      <c r="CG166" s="3" t="s">
        <v>71</v>
      </c>
      <c r="CH166" s="3" t="s">
        <v>71</v>
      </c>
      <c r="CI166" s="3" t="s">
        <v>71</v>
      </c>
      <c r="CJ166" s="3" t="s">
        <v>71</v>
      </c>
      <c r="CK166" s="3" t="s">
        <v>71</v>
      </c>
      <c r="CL166" s="3" t="s">
        <v>71</v>
      </c>
      <c r="CM166" s="3" t="s">
        <v>71</v>
      </c>
      <c r="CN166" s="3" t="s">
        <v>71</v>
      </c>
      <c r="CO166" s="5">
        <v>48</v>
      </c>
      <c r="CP166" s="5" t="s">
        <v>71</v>
      </c>
      <c r="CQ166" s="1">
        <v>35</v>
      </c>
      <c r="CR166" s="1" t="s">
        <v>71</v>
      </c>
      <c r="CS166" s="5" t="s">
        <v>71</v>
      </c>
      <c r="CT166" s="5">
        <v>8.3000000000000007</v>
      </c>
      <c r="CU166" s="5" t="s">
        <v>71</v>
      </c>
      <c r="CV166" s="1" t="s">
        <v>71</v>
      </c>
      <c r="CW166" s="1" t="s">
        <v>71</v>
      </c>
      <c r="CX166" s="1" t="s">
        <v>71</v>
      </c>
      <c r="CY166" s="1">
        <v>10.1</v>
      </c>
      <c r="CZ166" s="1" t="s">
        <v>71</v>
      </c>
      <c r="DA166">
        <f t="shared" si="59"/>
        <v>393</v>
      </c>
      <c r="DB166" s="1" t="s">
        <v>71</v>
      </c>
      <c r="DC166" s="26">
        <v>10.1</v>
      </c>
      <c r="DD166">
        <f t="shared" si="49"/>
        <v>393</v>
      </c>
      <c r="DE166" s="1" t="s">
        <v>71</v>
      </c>
      <c r="DF166" s="1" t="s">
        <v>71</v>
      </c>
    </row>
    <row r="167" spans="1:110" ht="15" x14ac:dyDescent="0.15">
      <c r="A167" s="23">
        <v>2023</v>
      </c>
      <c r="B167" s="23" t="s">
        <v>48</v>
      </c>
      <c r="C167" s="23">
        <v>9</v>
      </c>
      <c r="D167" s="23">
        <v>5</v>
      </c>
      <c r="E167" s="23" t="s">
        <v>51</v>
      </c>
      <c r="F167" s="23"/>
      <c r="G167" s="23" t="s">
        <v>56</v>
      </c>
      <c r="H167" s="23">
        <v>1</v>
      </c>
      <c r="I167" s="23" t="s">
        <v>51</v>
      </c>
      <c r="J167" s="23" t="s">
        <v>58</v>
      </c>
      <c r="K167" s="1" t="s">
        <v>57</v>
      </c>
      <c r="L167" s="1" t="s">
        <v>71</v>
      </c>
      <c r="M167" s="1" t="s">
        <v>71</v>
      </c>
      <c r="N167" s="24">
        <v>45085</v>
      </c>
      <c r="O167" s="24">
        <v>45090</v>
      </c>
      <c r="P167" s="1" t="s">
        <v>71</v>
      </c>
      <c r="Q167" s="1" t="s">
        <v>71</v>
      </c>
      <c r="R167" s="1" t="s">
        <v>71</v>
      </c>
      <c r="S167" s="1" t="s">
        <v>71</v>
      </c>
      <c r="T167" s="1" t="s">
        <v>71</v>
      </c>
      <c r="U167" s="1">
        <v>83</v>
      </c>
      <c r="V167" s="1" t="s">
        <v>71</v>
      </c>
      <c r="W167" s="1" t="s">
        <v>71</v>
      </c>
      <c r="X167" s="1" t="s">
        <v>71</v>
      </c>
      <c r="Y167" s="1">
        <v>0</v>
      </c>
      <c r="Z167" s="1" t="s">
        <v>71</v>
      </c>
      <c r="AA167" s="1">
        <v>0</v>
      </c>
      <c r="AB167" s="1" t="s">
        <v>71</v>
      </c>
      <c r="AC167" s="1">
        <v>0</v>
      </c>
      <c r="AD167" s="25">
        <v>38</v>
      </c>
      <c r="AE167" s="25" t="s">
        <v>71</v>
      </c>
      <c r="AF167" s="25">
        <v>87</v>
      </c>
      <c r="AG167" s="25" t="s">
        <v>71</v>
      </c>
      <c r="AH167" s="1" t="s">
        <v>71</v>
      </c>
      <c r="AI167" s="1" t="s">
        <v>71</v>
      </c>
      <c r="AJ167" s="1">
        <v>2</v>
      </c>
      <c r="AK167" s="1">
        <v>0</v>
      </c>
      <c r="AL167" s="1">
        <v>0</v>
      </c>
      <c r="AM167" s="1">
        <v>0</v>
      </c>
      <c r="AN167" s="1">
        <v>0.04</v>
      </c>
      <c r="AO167" s="1">
        <v>0.03</v>
      </c>
      <c r="AP167" s="1">
        <v>1.1999999999999999E-3</v>
      </c>
      <c r="AQ167" s="1">
        <v>19</v>
      </c>
      <c r="AR167" s="1">
        <v>0</v>
      </c>
      <c r="AS167" s="1">
        <v>0</v>
      </c>
      <c r="AT167" s="1">
        <v>0</v>
      </c>
      <c r="AU167" s="1" t="s">
        <v>71</v>
      </c>
      <c r="AV167" s="1" t="s">
        <v>71</v>
      </c>
      <c r="AW167" s="1" t="s">
        <v>71</v>
      </c>
      <c r="AX167" s="1">
        <v>0</v>
      </c>
      <c r="AY167" s="1">
        <v>0</v>
      </c>
      <c r="AZ167" s="1" t="s">
        <v>71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 t="s">
        <v>71</v>
      </c>
      <c r="BI167" s="1" t="s">
        <v>71</v>
      </c>
      <c r="BJ167" s="1" t="s">
        <v>71</v>
      </c>
      <c r="BK167" s="1">
        <v>4.0000000000000002E-4</v>
      </c>
      <c r="BL167" s="1">
        <f t="shared" si="46"/>
        <v>0.04</v>
      </c>
      <c r="BM167" s="1">
        <v>0.05</v>
      </c>
      <c r="BN167" s="1">
        <v>8.0000000000000002E-3</v>
      </c>
      <c r="BO167" s="1">
        <v>2</v>
      </c>
      <c r="BP167" s="1">
        <v>0</v>
      </c>
      <c r="BQ167" s="1" t="s">
        <v>71</v>
      </c>
      <c r="BR167" s="1" t="s">
        <v>71</v>
      </c>
      <c r="BS167" s="1" t="s">
        <v>71</v>
      </c>
      <c r="BT167" s="1" t="s">
        <v>71</v>
      </c>
      <c r="BU167" s="1">
        <v>39</v>
      </c>
      <c r="BV167" s="1" t="s">
        <v>71</v>
      </c>
      <c r="BW167" s="1" t="s">
        <v>71</v>
      </c>
      <c r="BX167" s="1" t="s">
        <v>71</v>
      </c>
      <c r="BY167" s="1" t="s">
        <v>71</v>
      </c>
      <c r="BZ167" s="3">
        <v>3</v>
      </c>
      <c r="CA167" s="3" t="s">
        <v>71</v>
      </c>
      <c r="CB167" s="3">
        <f t="shared" si="47"/>
        <v>4.166666666666667</v>
      </c>
      <c r="CC167" s="1" t="s">
        <v>71</v>
      </c>
      <c r="CD167" s="1">
        <v>1</v>
      </c>
      <c r="CE167" s="1">
        <v>1</v>
      </c>
      <c r="CF167" s="1">
        <f t="shared" si="60"/>
        <v>1</v>
      </c>
      <c r="CG167" s="3" t="s">
        <v>71</v>
      </c>
      <c r="CH167" s="3" t="s">
        <v>71</v>
      </c>
      <c r="CI167" s="3" t="s">
        <v>71</v>
      </c>
      <c r="CJ167" s="3" t="s">
        <v>71</v>
      </c>
      <c r="CK167" s="3" t="s">
        <v>71</v>
      </c>
      <c r="CL167" s="3" t="s">
        <v>71</v>
      </c>
      <c r="CM167" s="3" t="s">
        <v>71</v>
      </c>
      <c r="CN167" s="3" t="s">
        <v>71</v>
      </c>
      <c r="CO167" s="5">
        <v>48</v>
      </c>
      <c r="CP167" s="5" t="s">
        <v>71</v>
      </c>
      <c r="CQ167" s="1">
        <v>32</v>
      </c>
      <c r="CR167" s="1" t="s">
        <v>71</v>
      </c>
      <c r="CS167" s="5" t="s">
        <v>71</v>
      </c>
      <c r="CT167" s="5">
        <v>8.8000000000000007</v>
      </c>
      <c r="CU167" s="5" t="s">
        <v>71</v>
      </c>
      <c r="CV167" s="1" t="s">
        <v>71</v>
      </c>
      <c r="CW167" s="1" t="s">
        <v>71</v>
      </c>
      <c r="CX167" s="1" t="s">
        <v>71</v>
      </c>
      <c r="CY167" s="1">
        <v>9.5</v>
      </c>
      <c r="CZ167" s="1" t="s">
        <v>71</v>
      </c>
      <c r="DA167">
        <f t="shared" si="59"/>
        <v>396</v>
      </c>
      <c r="DB167" s="1" t="s">
        <v>71</v>
      </c>
      <c r="DC167" s="26">
        <v>9.5</v>
      </c>
      <c r="DD167">
        <f t="shared" si="49"/>
        <v>396</v>
      </c>
      <c r="DE167" s="1" t="s">
        <v>71</v>
      </c>
      <c r="DF167" s="1" t="s">
        <v>71</v>
      </c>
    </row>
    <row r="168" spans="1:110" ht="15" x14ac:dyDescent="0.15">
      <c r="A168" s="23">
        <v>2023</v>
      </c>
      <c r="B168" s="23" t="s">
        <v>48</v>
      </c>
      <c r="C168" s="23">
        <v>9</v>
      </c>
      <c r="D168" s="23">
        <v>6</v>
      </c>
      <c r="E168" s="23" t="s">
        <v>52</v>
      </c>
      <c r="F168" s="23"/>
      <c r="G168" s="23" t="s">
        <v>56</v>
      </c>
      <c r="H168" s="23">
        <v>1</v>
      </c>
      <c r="I168" s="23" t="s">
        <v>52</v>
      </c>
      <c r="J168" s="23" t="s">
        <v>58</v>
      </c>
      <c r="K168" s="1" t="s">
        <v>57</v>
      </c>
      <c r="L168" s="1" t="s">
        <v>71</v>
      </c>
      <c r="M168" s="1" t="s">
        <v>71</v>
      </c>
      <c r="N168" s="24">
        <v>45085</v>
      </c>
      <c r="O168" s="24">
        <v>45097</v>
      </c>
      <c r="P168" s="1" t="s">
        <v>71</v>
      </c>
      <c r="Q168" s="1" t="s">
        <v>71</v>
      </c>
      <c r="R168" s="1" t="s">
        <v>71</v>
      </c>
      <c r="S168" s="1" t="s">
        <v>71</v>
      </c>
      <c r="T168" s="1" t="s">
        <v>71</v>
      </c>
      <c r="U168" s="1">
        <v>79</v>
      </c>
      <c r="V168" s="1" t="s">
        <v>71</v>
      </c>
      <c r="W168" s="1" t="s">
        <v>71</v>
      </c>
      <c r="X168" s="1" t="s">
        <v>71</v>
      </c>
      <c r="Y168" s="1">
        <v>0</v>
      </c>
      <c r="Z168" s="1" t="s">
        <v>71</v>
      </c>
      <c r="AA168" s="1">
        <v>0</v>
      </c>
      <c r="AB168" s="1" t="s">
        <v>71</v>
      </c>
      <c r="AC168" s="1">
        <v>0</v>
      </c>
      <c r="AD168" s="25">
        <v>34</v>
      </c>
      <c r="AE168" s="25" t="s">
        <v>71</v>
      </c>
      <c r="AF168" s="25">
        <v>73</v>
      </c>
      <c r="AG168" s="25" t="s">
        <v>71</v>
      </c>
      <c r="AH168" s="1" t="s">
        <v>71</v>
      </c>
      <c r="AI168" s="1" t="s">
        <v>71</v>
      </c>
      <c r="AJ168" s="1">
        <v>2.2999999999999998</v>
      </c>
      <c r="AK168" s="1">
        <v>0</v>
      </c>
      <c r="AL168" s="1">
        <v>0</v>
      </c>
      <c r="AM168" s="1">
        <v>0</v>
      </c>
      <c r="AN168" s="1">
        <v>7.0000000000000007E-2</v>
      </c>
      <c r="AO168" s="1">
        <v>0.05</v>
      </c>
      <c r="AP168" s="1">
        <v>3.5000000000000005E-3</v>
      </c>
      <c r="AQ168" s="1">
        <v>11</v>
      </c>
      <c r="AR168" s="1">
        <v>0.01</v>
      </c>
      <c r="AS168" s="1">
        <v>5</v>
      </c>
      <c r="AT168" s="1">
        <v>0.05</v>
      </c>
      <c r="AU168" s="1" t="s">
        <v>71</v>
      </c>
      <c r="AV168" s="1" t="s">
        <v>71</v>
      </c>
      <c r="AW168" s="1" t="s">
        <v>71</v>
      </c>
      <c r="AX168" s="1">
        <v>0</v>
      </c>
      <c r="AY168" s="1">
        <v>0</v>
      </c>
      <c r="AZ168" s="1" t="s">
        <v>71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 t="s">
        <v>71</v>
      </c>
      <c r="BI168" s="1" t="s">
        <v>71</v>
      </c>
      <c r="BJ168" s="1" t="s">
        <v>71</v>
      </c>
      <c r="BK168" s="1">
        <v>4.4999999999999997E-3</v>
      </c>
      <c r="BL168" s="1">
        <f t="shared" si="46"/>
        <v>0.44999999999999996</v>
      </c>
      <c r="BM168" s="1">
        <v>0.15</v>
      </c>
      <c r="BN168" s="1">
        <v>0.03</v>
      </c>
      <c r="BO168" s="1">
        <v>2</v>
      </c>
      <c r="BP168" s="1">
        <v>0</v>
      </c>
      <c r="BQ168" s="1" t="s">
        <v>71</v>
      </c>
      <c r="BR168" s="1" t="s">
        <v>71</v>
      </c>
      <c r="BS168" s="1" t="s">
        <v>71</v>
      </c>
      <c r="BT168" s="1" t="s">
        <v>71</v>
      </c>
      <c r="BU168" s="1">
        <v>29</v>
      </c>
      <c r="BV168" s="1" t="s">
        <v>71</v>
      </c>
      <c r="BW168" s="1" t="s">
        <v>71</v>
      </c>
      <c r="BX168" s="1" t="s">
        <v>71</v>
      </c>
      <c r="BY168" s="1" t="s">
        <v>71</v>
      </c>
      <c r="BZ168" s="3">
        <v>2.9</v>
      </c>
      <c r="CA168" s="3" t="s">
        <v>71</v>
      </c>
      <c r="CB168" s="3">
        <f t="shared" si="47"/>
        <v>4.0277777777777777</v>
      </c>
      <c r="CC168" s="1" t="s">
        <v>71</v>
      </c>
      <c r="CD168" s="1">
        <v>1</v>
      </c>
      <c r="CE168" s="1">
        <v>1</v>
      </c>
      <c r="CF168" s="1">
        <f t="shared" si="60"/>
        <v>1</v>
      </c>
      <c r="CG168" s="3" t="s">
        <v>71</v>
      </c>
      <c r="CH168" s="3" t="s">
        <v>71</v>
      </c>
      <c r="CI168" s="3" t="s">
        <v>71</v>
      </c>
      <c r="CJ168" s="3" t="s">
        <v>71</v>
      </c>
      <c r="CK168" s="3" t="s">
        <v>71</v>
      </c>
      <c r="CL168" s="3" t="s">
        <v>71</v>
      </c>
      <c r="CM168" s="3" t="s">
        <v>71</v>
      </c>
      <c r="CN168" s="3" t="s">
        <v>71</v>
      </c>
      <c r="CO168" s="5">
        <v>47</v>
      </c>
      <c r="CP168" s="5" t="s">
        <v>71</v>
      </c>
      <c r="CQ168" s="1">
        <v>30</v>
      </c>
      <c r="CR168" s="1" t="s">
        <v>71</v>
      </c>
      <c r="CS168" s="5" t="s">
        <v>71</v>
      </c>
      <c r="CT168" s="5">
        <v>8.6999999999999993</v>
      </c>
      <c r="CU168" s="5" t="s">
        <v>71</v>
      </c>
      <c r="CV168" s="1" t="s">
        <v>71</v>
      </c>
      <c r="CW168" s="1" t="s">
        <v>71</v>
      </c>
      <c r="CX168" s="1" t="s">
        <v>71</v>
      </c>
      <c r="CY168" s="1">
        <v>10.9</v>
      </c>
      <c r="CZ168" s="1" t="s">
        <v>71</v>
      </c>
      <c r="DA168">
        <f t="shared" si="59"/>
        <v>439</v>
      </c>
      <c r="DB168" s="1" t="s">
        <v>71</v>
      </c>
      <c r="DC168" s="26">
        <v>10.9</v>
      </c>
      <c r="DD168">
        <f t="shared" si="49"/>
        <v>439</v>
      </c>
      <c r="DE168" s="1" t="s">
        <v>71</v>
      </c>
      <c r="DF168" s="1" t="s">
        <v>71</v>
      </c>
    </row>
    <row r="169" spans="1:110" ht="15" x14ac:dyDescent="0.15">
      <c r="A169" s="23">
        <v>2023</v>
      </c>
      <c r="B169" s="23" t="s">
        <v>48</v>
      </c>
      <c r="C169" s="23">
        <v>9</v>
      </c>
      <c r="D169" s="23">
        <v>7</v>
      </c>
      <c r="E169" s="23"/>
      <c r="F169" s="23" t="s">
        <v>53</v>
      </c>
      <c r="G169" s="23" t="s">
        <v>56</v>
      </c>
      <c r="H169" s="23">
        <v>1</v>
      </c>
      <c r="I169" s="23" t="s">
        <v>53</v>
      </c>
      <c r="J169" s="23" t="s">
        <v>57</v>
      </c>
      <c r="K169" s="24">
        <v>45070</v>
      </c>
      <c r="L169" s="1" t="s">
        <v>71</v>
      </c>
      <c r="M169" s="1" t="s">
        <v>71</v>
      </c>
      <c r="N169" s="1" t="s">
        <v>71</v>
      </c>
      <c r="O169" s="1" t="s">
        <v>71</v>
      </c>
      <c r="P169" s="24">
        <v>45076</v>
      </c>
      <c r="Q169" s="1" t="s">
        <v>71</v>
      </c>
      <c r="R169" s="1" t="s">
        <v>71</v>
      </c>
      <c r="S169" s="1" t="s">
        <v>71</v>
      </c>
      <c r="T169" s="1" t="s">
        <v>71</v>
      </c>
      <c r="U169" s="1" t="s">
        <v>71</v>
      </c>
      <c r="V169" s="1">
        <v>84</v>
      </c>
      <c r="W169" s="1" t="s">
        <v>71</v>
      </c>
      <c r="X169" s="1">
        <v>0</v>
      </c>
      <c r="Y169" s="1" t="s">
        <v>71</v>
      </c>
      <c r="Z169" s="1">
        <v>60</v>
      </c>
      <c r="AA169" s="1" t="s">
        <v>71</v>
      </c>
      <c r="AB169" s="1">
        <v>5</v>
      </c>
      <c r="AC169" s="1" t="s">
        <v>71</v>
      </c>
      <c r="AD169" s="25" t="s">
        <v>71</v>
      </c>
      <c r="AE169" s="25">
        <v>23.666666666666668</v>
      </c>
      <c r="AF169" s="25" t="s">
        <v>71</v>
      </c>
      <c r="AG169" s="25">
        <v>71</v>
      </c>
      <c r="AH169" s="1" t="s">
        <v>71</v>
      </c>
      <c r="AI169" s="1" t="s">
        <v>71</v>
      </c>
      <c r="AJ169" s="1" t="s">
        <v>71</v>
      </c>
      <c r="AK169" s="1" t="s">
        <v>71</v>
      </c>
      <c r="AL169" s="1" t="s">
        <v>71</v>
      </c>
      <c r="AM169" s="1" t="s">
        <v>71</v>
      </c>
      <c r="AN169" s="1" t="s">
        <v>71</v>
      </c>
      <c r="AO169" s="1" t="s">
        <v>71</v>
      </c>
      <c r="AP169" s="1" t="s">
        <v>71</v>
      </c>
      <c r="AQ169" s="1" t="s">
        <v>71</v>
      </c>
      <c r="AR169" s="1" t="s">
        <v>71</v>
      </c>
      <c r="AS169" s="1" t="s">
        <v>71</v>
      </c>
      <c r="AT169" s="1" t="s">
        <v>71</v>
      </c>
      <c r="AU169" s="1">
        <v>0</v>
      </c>
      <c r="AV169" s="1">
        <v>0</v>
      </c>
      <c r="AW169" s="1">
        <v>0</v>
      </c>
      <c r="AX169" s="1" t="s">
        <v>71</v>
      </c>
      <c r="AY169" s="1" t="s">
        <v>71</v>
      </c>
      <c r="AZ169" s="1">
        <v>0</v>
      </c>
      <c r="BA169" s="1" t="s">
        <v>71</v>
      </c>
      <c r="BB169" s="1" t="s">
        <v>71</v>
      </c>
      <c r="BC169" s="1" t="s">
        <v>71</v>
      </c>
      <c r="BD169" s="1" t="s">
        <v>71</v>
      </c>
      <c r="BE169" s="1" t="s">
        <v>71</v>
      </c>
      <c r="BF169" s="1" t="s">
        <v>71</v>
      </c>
      <c r="BG169" s="1" t="s">
        <v>71</v>
      </c>
      <c r="BH169" s="1">
        <v>6</v>
      </c>
      <c r="BI169" s="1">
        <v>70</v>
      </c>
      <c r="BJ169" s="1">
        <v>3</v>
      </c>
      <c r="BK169" s="1">
        <v>0.06</v>
      </c>
      <c r="BL169" s="1">
        <f t="shared" si="46"/>
        <v>6</v>
      </c>
      <c r="BM169" s="1">
        <v>0.3</v>
      </c>
      <c r="BN169" s="1">
        <v>0.2</v>
      </c>
      <c r="BO169" s="1">
        <v>1</v>
      </c>
      <c r="BP169" s="1">
        <v>5</v>
      </c>
      <c r="BQ169" s="1">
        <v>129</v>
      </c>
      <c r="BR169" s="1">
        <v>75</v>
      </c>
      <c r="BS169" s="1">
        <v>3</v>
      </c>
      <c r="BT169" s="1">
        <v>15</v>
      </c>
      <c r="BU169" s="1" t="s">
        <v>71</v>
      </c>
      <c r="BV169" s="28">
        <v>6</v>
      </c>
      <c r="BW169" s="28">
        <v>2.6666666666666665</v>
      </c>
      <c r="BX169" s="1" t="s">
        <v>71</v>
      </c>
      <c r="BY169" s="1" t="s">
        <v>71</v>
      </c>
      <c r="BZ169" s="3" t="s">
        <v>71</v>
      </c>
      <c r="CA169" s="3">
        <v>2.1</v>
      </c>
      <c r="CB169" s="1" t="s">
        <v>71</v>
      </c>
      <c r="CC169" s="3">
        <f t="shared" si="52"/>
        <v>2.916666666666667</v>
      </c>
      <c r="CD169" s="1">
        <v>1</v>
      </c>
      <c r="CE169" s="1">
        <v>1</v>
      </c>
      <c r="CF169" s="1">
        <f t="shared" si="60"/>
        <v>1</v>
      </c>
      <c r="CG169" s="1" t="s">
        <v>71</v>
      </c>
      <c r="CH169" s="1" t="s">
        <v>71</v>
      </c>
      <c r="CI169" s="1" t="s">
        <v>71</v>
      </c>
      <c r="CJ169" s="1" t="s">
        <v>71</v>
      </c>
      <c r="CK169" s="3" t="s">
        <v>71</v>
      </c>
      <c r="CL169" s="3" t="s">
        <v>71</v>
      </c>
      <c r="CM169" s="3" t="s">
        <v>71</v>
      </c>
      <c r="CN169" s="3" t="s">
        <v>71</v>
      </c>
      <c r="CO169" s="5" t="s">
        <v>71</v>
      </c>
      <c r="CP169" s="5">
        <v>72</v>
      </c>
      <c r="CQ169" s="1" t="s">
        <v>71</v>
      </c>
      <c r="CR169" s="1">
        <v>141</v>
      </c>
      <c r="CS169" s="5">
        <v>35.5</v>
      </c>
      <c r="CT169" s="5" t="s">
        <v>71</v>
      </c>
      <c r="CU169" s="5">
        <v>4.3</v>
      </c>
      <c r="CV169" s="1" t="s">
        <v>71</v>
      </c>
      <c r="CW169" s="1" t="s">
        <v>71</v>
      </c>
      <c r="CX169" t="e">
        <f>ROUND(CV169*#REF!/10,1)</f>
        <v>#VALUE!</v>
      </c>
      <c r="CY169" s="1" t="s">
        <v>71</v>
      </c>
      <c r="CZ169">
        <f t="shared" ref="CZ169:CZ174" si="61">ROUND((10*CC169*CS169),0)</f>
        <v>1035</v>
      </c>
      <c r="DA169" s="1" t="s">
        <v>71</v>
      </c>
      <c r="DB169" s="1" t="s">
        <v>71</v>
      </c>
      <c r="DC169" s="26" t="s">
        <v>71</v>
      </c>
      <c r="DD169">
        <f t="shared" si="49"/>
        <v>1035</v>
      </c>
      <c r="DE169" s="1" t="s">
        <v>71</v>
      </c>
      <c r="DF169" s="1" t="s">
        <v>71</v>
      </c>
    </row>
    <row r="170" spans="1:110" ht="15" x14ac:dyDescent="0.15">
      <c r="A170" s="23">
        <v>2023</v>
      </c>
      <c r="B170" s="23" t="s">
        <v>48</v>
      </c>
      <c r="C170" s="23">
        <v>9</v>
      </c>
      <c r="D170" s="23">
        <v>8</v>
      </c>
      <c r="E170" s="23"/>
      <c r="F170" s="23" t="s">
        <v>54</v>
      </c>
      <c r="G170" s="23" t="s">
        <v>56</v>
      </c>
      <c r="H170" s="23">
        <v>1</v>
      </c>
      <c r="I170" s="23" t="s">
        <v>54</v>
      </c>
      <c r="J170" s="23" t="s">
        <v>57</v>
      </c>
      <c r="K170" s="24">
        <v>45077</v>
      </c>
      <c r="L170" s="1" t="s">
        <v>71</v>
      </c>
      <c r="M170" s="1" t="s">
        <v>71</v>
      </c>
      <c r="N170" s="1" t="s">
        <v>71</v>
      </c>
      <c r="O170" s="1" t="s">
        <v>71</v>
      </c>
      <c r="P170" s="24">
        <v>45078</v>
      </c>
      <c r="Q170" s="1" t="s">
        <v>71</v>
      </c>
      <c r="R170" s="1" t="s">
        <v>71</v>
      </c>
      <c r="S170" s="1" t="s">
        <v>71</v>
      </c>
      <c r="T170" s="1" t="s">
        <v>71</v>
      </c>
      <c r="U170" s="1" t="s">
        <v>71</v>
      </c>
      <c r="V170" s="1">
        <v>84</v>
      </c>
      <c r="W170" s="1" t="s">
        <v>71</v>
      </c>
      <c r="X170" s="1">
        <v>15</v>
      </c>
      <c r="Y170" s="1" t="s">
        <v>71</v>
      </c>
      <c r="Z170" s="1">
        <v>70</v>
      </c>
      <c r="AA170" s="1" t="s">
        <v>71</v>
      </c>
      <c r="AB170" s="1">
        <v>15</v>
      </c>
      <c r="AC170" s="1" t="s">
        <v>71</v>
      </c>
      <c r="AD170" s="25" t="s">
        <v>71</v>
      </c>
      <c r="AE170" s="25">
        <v>20.666666666666668</v>
      </c>
      <c r="AF170" s="25" t="s">
        <v>71</v>
      </c>
      <c r="AG170" s="25">
        <v>69</v>
      </c>
      <c r="AH170" s="1" t="s">
        <v>71</v>
      </c>
      <c r="AI170" s="1" t="s">
        <v>71</v>
      </c>
      <c r="AJ170" s="1" t="s">
        <v>71</v>
      </c>
      <c r="AK170" s="1" t="s">
        <v>71</v>
      </c>
      <c r="AL170" s="1" t="s">
        <v>71</v>
      </c>
      <c r="AM170" s="1" t="s">
        <v>71</v>
      </c>
      <c r="AN170" s="1" t="s">
        <v>71</v>
      </c>
      <c r="AO170" s="1" t="s">
        <v>71</v>
      </c>
      <c r="AP170" s="1" t="s">
        <v>71</v>
      </c>
      <c r="AQ170" s="1" t="s">
        <v>71</v>
      </c>
      <c r="AR170" s="1" t="s">
        <v>71</v>
      </c>
      <c r="AS170" s="1" t="s">
        <v>71</v>
      </c>
      <c r="AT170" s="1" t="s">
        <v>71</v>
      </c>
      <c r="AU170" s="1">
        <v>0</v>
      </c>
      <c r="AV170" s="1">
        <v>0</v>
      </c>
      <c r="AW170" s="1">
        <v>0</v>
      </c>
      <c r="AX170" s="1" t="s">
        <v>71</v>
      </c>
      <c r="AY170" s="1" t="s">
        <v>71</v>
      </c>
      <c r="AZ170" s="1">
        <v>0</v>
      </c>
      <c r="BA170" s="1" t="s">
        <v>71</v>
      </c>
      <c r="BB170" s="1" t="s">
        <v>71</v>
      </c>
      <c r="BC170" s="1" t="s">
        <v>71</v>
      </c>
      <c r="BD170" s="1" t="s">
        <v>71</v>
      </c>
      <c r="BE170" s="1" t="s">
        <v>71</v>
      </c>
      <c r="BF170" s="1" t="s">
        <v>71</v>
      </c>
      <c r="BG170" s="1" t="s">
        <v>71</v>
      </c>
      <c r="BH170" s="1">
        <v>20</v>
      </c>
      <c r="BI170" s="1">
        <v>5</v>
      </c>
      <c r="BJ170" s="1">
        <v>0.2</v>
      </c>
      <c r="BK170" s="1">
        <v>0.03</v>
      </c>
      <c r="BL170" s="1">
        <f t="shared" si="46"/>
        <v>3</v>
      </c>
      <c r="BM170" s="1">
        <v>0.2</v>
      </c>
      <c r="BN170" s="1">
        <v>0.15</v>
      </c>
      <c r="BO170" s="1">
        <v>2</v>
      </c>
      <c r="BP170" s="1">
        <v>0</v>
      </c>
      <c r="BQ170" s="1">
        <v>155</v>
      </c>
      <c r="BR170" s="1">
        <v>12</v>
      </c>
      <c r="BS170" s="1">
        <v>0</v>
      </c>
      <c r="BT170" s="1">
        <v>14</v>
      </c>
      <c r="BU170" s="1" t="s">
        <v>71</v>
      </c>
      <c r="BV170" s="28">
        <v>7.666666666666667</v>
      </c>
      <c r="BW170" s="28">
        <v>2.6666666666666665</v>
      </c>
      <c r="BX170" s="1" t="s">
        <v>71</v>
      </c>
      <c r="BY170" s="1" t="s">
        <v>71</v>
      </c>
      <c r="BZ170" s="3" t="s">
        <v>71</v>
      </c>
      <c r="CA170" s="3">
        <v>1.8</v>
      </c>
      <c r="CB170" s="1" t="s">
        <v>71</v>
      </c>
      <c r="CC170" s="3">
        <f t="shared" si="52"/>
        <v>2.5000000000000004</v>
      </c>
      <c r="CD170" s="1">
        <v>1</v>
      </c>
      <c r="CE170" s="1">
        <v>1</v>
      </c>
      <c r="CF170" s="1">
        <f t="shared" si="60"/>
        <v>1</v>
      </c>
      <c r="CG170" s="1" t="s">
        <v>71</v>
      </c>
      <c r="CH170" s="1" t="s">
        <v>71</v>
      </c>
      <c r="CI170" s="1" t="s">
        <v>71</v>
      </c>
      <c r="CJ170" s="1" t="s">
        <v>71</v>
      </c>
      <c r="CK170" s="3" t="s">
        <v>71</v>
      </c>
      <c r="CL170" s="3" t="s">
        <v>71</v>
      </c>
      <c r="CM170" s="3" t="s">
        <v>71</v>
      </c>
      <c r="CN170" s="3" t="s">
        <v>71</v>
      </c>
      <c r="CO170" s="5" t="s">
        <v>71</v>
      </c>
      <c r="CP170" s="5">
        <v>75</v>
      </c>
      <c r="CQ170" s="1" t="s">
        <v>71</v>
      </c>
      <c r="CR170" s="1">
        <v>137</v>
      </c>
      <c r="CS170" s="5">
        <v>39.299999999999997</v>
      </c>
      <c r="CT170" s="5" t="s">
        <v>71</v>
      </c>
      <c r="CU170" s="5">
        <v>4.7</v>
      </c>
      <c r="CV170" s="1" t="s">
        <v>71</v>
      </c>
      <c r="CW170" s="1" t="s">
        <v>71</v>
      </c>
      <c r="CX170" t="e">
        <f>ROUND(CV170*#REF!/10,1)</f>
        <v>#VALUE!</v>
      </c>
      <c r="CY170" s="1" t="s">
        <v>71</v>
      </c>
      <c r="CZ170">
        <f t="shared" si="61"/>
        <v>983</v>
      </c>
      <c r="DA170" s="1" t="s">
        <v>71</v>
      </c>
      <c r="DB170" s="1" t="s">
        <v>71</v>
      </c>
      <c r="DC170" s="26" t="s">
        <v>71</v>
      </c>
      <c r="DD170">
        <f t="shared" si="49"/>
        <v>983</v>
      </c>
      <c r="DE170" s="1" t="s">
        <v>71</v>
      </c>
      <c r="DF170" s="1" t="s">
        <v>71</v>
      </c>
    </row>
    <row r="171" spans="1:110" ht="15" x14ac:dyDescent="0.15">
      <c r="A171" s="23">
        <v>2023</v>
      </c>
      <c r="B171" s="23" t="s">
        <v>48</v>
      </c>
      <c r="C171" s="23">
        <v>9</v>
      </c>
      <c r="D171" s="23">
        <v>9</v>
      </c>
      <c r="E171" s="23"/>
      <c r="F171" s="23" t="s">
        <v>55</v>
      </c>
      <c r="G171" s="23" t="s">
        <v>56</v>
      </c>
      <c r="H171" s="23">
        <v>1</v>
      </c>
      <c r="I171" s="23" t="s">
        <v>55</v>
      </c>
      <c r="J171" s="23" t="s">
        <v>57</v>
      </c>
      <c r="K171" s="24">
        <v>45070</v>
      </c>
      <c r="L171" s="1" t="s">
        <v>71</v>
      </c>
      <c r="M171" s="1" t="s">
        <v>71</v>
      </c>
      <c r="N171" s="1" t="s">
        <v>71</v>
      </c>
      <c r="O171" s="1" t="s">
        <v>71</v>
      </c>
      <c r="P171" s="24">
        <v>45075</v>
      </c>
      <c r="Q171" s="1" t="s">
        <v>71</v>
      </c>
      <c r="R171" s="1" t="s">
        <v>71</v>
      </c>
      <c r="S171" s="1" t="s">
        <v>71</v>
      </c>
      <c r="T171" s="1" t="s">
        <v>71</v>
      </c>
      <c r="U171" s="1" t="s">
        <v>71</v>
      </c>
      <c r="V171" s="1">
        <v>86</v>
      </c>
      <c r="W171" s="1" t="s">
        <v>71</v>
      </c>
      <c r="X171" s="1">
        <v>0</v>
      </c>
      <c r="Y171" s="1" t="s">
        <v>71</v>
      </c>
      <c r="Z171" s="1">
        <v>60</v>
      </c>
      <c r="AA171" s="1" t="s">
        <v>71</v>
      </c>
      <c r="AB171" s="1">
        <v>0</v>
      </c>
      <c r="AC171" s="1" t="s">
        <v>71</v>
      </c>
      <c r="AD171" s="25" t="s">
        <v>71</v>
      </c>
      <c r="AE171" s="25">
        <v>23.666666666666668</v>
      </c>
      <c r="AF171" s="25" t="s">
        <v>71</v>
      </c>
      <c r="AG171" s="25">
        <v>67</v>
      </c>
      <c r="AH171" s="1" t="s">
        <v>71</v>
      </c>
      <c r="AI171" s="1" t="s">
        <v>71</v>
      </c>
      <c r="AJ171" s="1" t="s">
        <v>71</v>
      </c>
      <c r="AK171" s="1" t="s">
        <v>71</v>
      </c>
      <c r="AL171" s="1" t="s">
        <v>71</v>
      </c>
      <c r="AM171" s="1" t="s">
        <v>71</v>
      </c>
      <c r="AN171" s="1" t="s">
        <v>71</v>
      </c>
      <c r="AO171" s="1" t="s">
        <v>71</v>
      </c>
      <c r="AP171" s="1" t="s">
        <v>71</v>
      </c>
      <c r="AQ171" s="1" t="s">
        <v>71</v>
      </c>
      <c r="AR171" s="1" t="s">
        <v>71</v>
      </c>
      <c r="AS171" s="1" t="s">
        <v>71</v>
      </c>
      <c r="AT171" s="1" t="s">
        <v>71</v>
      </c>
      <c r="AU171" s="1">
        <v>0</v>
      </c>
      <c r="AV171" s="1">
        <v>0</v>
      </c>
      <c r="AW171" s="1">
        <v>0</v>
      </c>
      <c r="AX171" s="1" t="s">
        <v>71</v>
      </c>
      <c r="AY171" s="1" t="s">
        <v>71</v>
      </c>
      <c r="AZ171" s="1">
        <v>0</v>
      </c>
      <c r="BA171" s="1" t="s">
        <v>71</v>
      </c>
      <c r="BB171" s="1" t="s">
        <v>71</v>
      </c>
      <c r="BC171" s="1" t="s">
        <v>71</v>
      </c>
      <c r="BD171" s="1" t="s">
        <v>71</v>
      </c>
      <c r="BE171" s="1" t="s">
        <v>71</v>
      </c>
      <c r="BF171" s="1" t="s">
        <v>71</v>
      </c>
      <c r="BG171" s="1" t="s">
        <v>71</v>
      </c>
      <c r="BH171" s="1">
        <v>112</v>
      </c>
      <c r="BI171" s="1">
        <v>100</v>
      </c>
      <c r="BJ171" s="1">
        <v>25</v>
      </c>
      <c r="BK171" s="1">
        <v>3.5999999999999997E-2</v>
      </c>
      <c r="BL171" s="1">
        <f t="shared" si="46"/>
        <v>3.5999999999999996</v>
      </c>
      <c r="BM171" s="1">
        <v>0.4</v>
      </c>
      <c r="BN171" s="1">
        <v>0.09</v>
      </c>
      <c r="BO171" s="1">
        <v>1</v>
      </c>
      <c r="BP171" s="1">
        <v>0</v>
      </c>
      <c r="BQ171" s="1">
        <v>44</v>
      </c>
      <c r="BR171" s="1">
        <v>0</v>
      </c>
      <c r="BS171" s="1">
        <v>0</v>
      </c>
      <c r="BT171" s="1">
        <v>9</v>
      </c>
      <c r="BU171" s="1" t="s">
        <v>71</v>
      </c>
      <c r="BV171" s="28">
        <v>4.666666666666667</v>
      </c>
      <c r="BW171" s="28">
        <v>2.3333333333333335</v>
      </c>
      <c r="BX171" s="1" t="s">
        <v>71</v>
      </c>
      <c r="BY171" s="1" t="s">
        <v>71</v>
      </c>
      <c r="BZ171" s="3" t="s">
        <v>71</v>
      </c>
      <c r="CA171" s="3">
        <v>2.1</v>
      </c>
      <c r="CB171" s="1" t="s">
        <v>71</v>
      </c>
      <c r="CC171" s="3">
        <f t="shared" si="52"/>
        <v>2.916666666666667</v>
      </c>
      <c r="CD171" s="1">
        <v>1</v>
      </c>
      <c r="CE171" s="1">
        <v>1</v>
      </c>
      <c r="CF171" s="1">
        <f t="shared" si="60"/>
        <v>1</v>
      </c>
      <c r="CG171" s="1" t="s">
        <v>71</v>
      </c>
      <c r="CH171" s="1" t="s">
        <v>71</v>
      </c>
      <c r="CI171" s="1" t="s">
        <v>71</v>
      </c>
      <c r="CJ171" s="1" t="s">
        <v>71</v>
      </c>
      <c r="CK171" s="3" t="s">
        <v>71</v>
      </c>
      <c r="CL171" s="3" t="s">
        <v>71</v>
      </c>
      <c r="CM171" s="3" t="s">
        <v>71</v>
      </c>
      <c r="CN171" s="3" t="s">
        <v>71</v>
      </c>
      <c r="CO171" s="5" t="s">
        <v>71</v>
      </c>
      <c r="CP171" s="5">
        <v>69</v>
      </c>
      <c r="CQ171" s="1" t="s">
        <v>71</v>
      </c>
      <c r="CR171" s="1">
        <v>132</v>
      </c>
      <c r="CS171" s="5">
        <v>42.7</v>
      </c>
      <c r="CT171" s="5" t="s">
        <v>71</v>
      </c>
      <c r="CU171" s="5">
        <v>3</v>
      </c>
      <c r="CV171" s="1" t="s">
        <v>71</v>
      </c>
      <c r="CW171" s="1" t="s">
        <v>71</v>
      </c>
      <c r="CX171" t="e">
        <f>ROUND(CV171*#REF!/10,1)</f>
        <v>#VALUE!</v>
      </c>
      <c r="CY171" s="1" t="s">
        <v>71</v>
      </c>
      <c r="CZ171">
        <f t="shared" si="61"/>
        <v>1245</v>
      </c>
      <c r="DA171" s="1" t="s">
        <v>71</v>
      </c>
      <c r="DB171" s="1" t="s">
        <v>71</v>
      </c>
      <c r="DC171" s="26" t="s">
        <v>71</v>
      </c>
      <c r="DD171">
        <f t="shared" si="49"/>
        <v>1245</v>
      </c>
      <c r="DE171" s="1" t="s">
        <v>71</v>
      </c>
      <c r="DF171" s="1" t="s">
        <v>71</v>
      </c>
    </row>
    <row r="172" spans="1:110" x14ac:dyDescent="0.15">
      <c r="A172" s="23">
        <v>2023</v>
      </c>
      <c r="B172" s="23" t="s">
        <v>48</v>
      </c>
      <c r="C172" s="23">
        <v>9</v>
      </c>
      <c r="D172" s="23">
        <v>10</v>
      </c>
      <c r="E172" s="23" t="s">
        <v>50</v>
      </c>
      <c r="F172" s="23" t="s">
        <v>53</v>
      </c>
      <c r="G172" s="23" t="s">
        <v>5</v>
      </c>
      <c r="H172" s="23">
        <v>1</v>
      </c>
      <c r="I172" s="23" t="s">
        <v>60</v>
      </c>
      <c r="J172" s="23" t="s">
        <v>57</v>
      </c>
      <c r="K172" s="24">
        <v>45070</v>
      </c>
      <c r="L172" s="27">
        <v>10000000000</v>
      </c>
      <c r="M172" s="1">
        <f>K172-K169</f>
        <v>0</v>
      </c>
      <c r="N172" s="24">
        <v>45081</v>
      </c>
      <c r="O172" s="24">
        <v>45089</v>
      </c>
      <c r="P172" s="24">
        <v>45077</v>
      </c>
      <c r="Q172" s="1">
        <f>P172-P169</f>
        <v>1</v>
      </c>
      <c r="R172" s="1">
        <f>N172-N166</f>
        <v>1</v>
      </c>
      <c r="S172" s="1">
        <f>O172-O166</f>
        <v>2</v>
      </c>
      <c r="T172" s="1">
        <f>AVERAGE(R172,S172)</f>
        <v>1.5</v>
      </c>
      <c r="U172" s="1">
        <v>83</v>
      </c>
      <c r="V172" s="1">
        <v>84</v>
      </c>
      <c r="W172" s="1">
        <v>-1</v>
      </c>
      <c r="X172" s="1">
        <v>0</v>
      </c>
      <c r="Y172" s="1">
        <v>0</v>
      </c>
      <c r="Z172" s="1">
        <v>10</v>
      </c>
      <c r="AA172" s="1">
        <v>0</v>
      </c>
      <c r="AB172" s="1">
        <v>0</v>
      </c>
      <c r="AC172" s="1">
        <v>0</v>
      </c>
      <c r="AD172" s="25">
        <v>36.333333333333336</v>
      </c>
      <c r="AE172" s="25">
        <v>21</v>
      </c>
      <c r="AF172" s="25">
        <v>108</v>
      </c>
      <c r="AG172" s="25">
        <v>76</v>
      </c>
      <c r="AH172" s="1" t="s">
        <v>71</v>
      </c>
      <c r="AI172" s="1" t="s">
        <v>71</v>
      </c>
      <c r="AJ172" s="1">
        <v>2</v>
      </c>
      <c r="AK172" s="1">
        <v>0</v>
      </c>
      <c r="AL172" s="1">
        <v>0</v>
      </c>
      <c r="AM172" s="1">
        <v>0</v>
      </c>
      <c r="AN172" s="1">
        <v>0.01</v>
      </c>
      <c r="AO172" s="1">
        <v>0.01</v>
      </c>
      <c r="AP172" s="1">
        <v>1E-4</v>
      </c>
      <c r="AQ172" s="1">
        <v>5</v>
      </c>
      <c r="AR172" s="1">
        <v>0.04</v>
      </c>
      <c r="AS172" s="1">
        <v>6</v>
      </c>
      <c r="AT172" s="1">
        <v>0.24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4</v>
      </c>
      <c r="BI172" s="1">
        <v>15</v>
      </c>
      <c r="BJ172" s="1">
        <v>1</v>
      </c>
      <c r="BK172" s="1">
        <v>8.4000000000000012E-3</v>
      </c>
      <c r="BL172" s="1">
        <f t="shared" si="46"/>
        <v>0.84000000000000008</v>
      </c>
      <c r="BM172" s="1">
        <v>0.12</v>
      </c>
      <c r="BN172" s="1">
        <v>7.0000000000000007E-2</v>
      </c>
      <c r="BO172" s="1">
        <v>1</v>
      </c>
      <c r="BP172" s="1">
        <v>0</v>
      </c>
      <c r="BQ172" s="1">
        <v>115</v>
      </c>
      <c r="BR172" s="1">
        <v>21</v>
      </c>
      <c r="BS172" s="1">
        <v>2</v>
      </c>
      <c r="BT172" s="1">
        <v>13</v>
      </c>
      <c r="BU172" s="1">
        <v>3</v>
      </c>
      <c r="BV172" s="28">
        <v>4.666666666666667</v>
      </c>
      <c r="BW172" s="28">
        <v>2.3333333333333335</v>
      </c>
      <c r="BX172" s="1" t="s">
        <v>71</v>
      </c>
      <c r="BY172" s="1" t="s">
        <v>71</v>
      </c>
      <c r="BZ172" s="3">
        <v>1</v>
      </c>
      <c r="CA172" s="3">
        <v>1.4</v>
      </c>
      <c r="CB172" s="3">
        <f t="shared" si="47"/>
        <v>1.3888888888888888</v>
      </c>
      <c r="CC172" s="3">
        <f t="shared" si="52"/>
        <v>1.9444444444444444</v>
      </c>
      <c r="CD172" s="1">
        <f>ROUND(CB172/CB163+CC172/CC169,2)</f>
        <v>1.08</v>
      </c>
      <c r="CE172" s="1">
        <f>ROUND(CB172/CB166+CC172/CC169,2)</f>
        <v>1.02</v>
      </c>
      <c r="CF172" s="1">
        <f t="shared" si="60"/>
        <v>1.02</v>
      </c>
      <c r="CG172" s="1">
        <f>ROUND(CB172/CB163,2)</f>
        <v>0.42</v>
      </c>
      <c r="CH172" s="1">
        <f>ROUND(CB172/CB166,2)</f>
        <v>0.36</v>
      </c>
      <c r="CI172" s="1">
        <f>ROUND(CC172/CC169,2)</f>
        <v>0.67</v>
      </c>
      <c r="CJ172" s="1">
        <f>ROUND((CC172+CB172)/MAX(CC169,CB166),2)</f>
        <v>0.86</v>
      </c>
      <c r="CK172" s="1">
        <f>ROUND(LN((0.9*BZ172)/(0.1*CA172))/(BZ163/CA169),2)</f>
        <v>1.63</v>
      </c>
      <c r="CL172" s="1">
        <f>ROUND(LN((0.9*BZ172)/(0.1*CA172))/(BZ166/CA169),2)</f>
        <v>1.4</v>
      </c>
      <c r="CM172" s="1">
        <f>ROUND(LN((0.1*CA172)/(0.9*BZ172))/(CA169/BZ163),2)</f>
        <v>-2.13</v>
      </c>
      <c r="CN172" s="1">
        <f>ROUND(LN((0.1*CA172)/(0.9*BZ172))/(CA169/BZ166),2)</f>
        <v>-2.48</v>
      </c>
      <c r="CO172" s="5">
        <v>54</v>
      </c>
      <c r="CP172" s="5">
        <v>70</v>
      </c>
      <c r="CQ172" s="1">
        <v>41</v>
      </c>
      <c r="CR172" s="1">
        <v>131</v>
      </c>
      <c r="CS172" s="5">
        <v>34.6</v>
      </c>
      <c r="CT172" s="5">
        <v>8.4</v>
      </c>
      <c r="CU172" s="5">
        <v>3.7</v>
      </c>
      <c r="CV172" s="1" t="s">
        <v>71</v>
      </c>
      <c r="CW172" s="1" t="s">
        <v>71</v>
      </c>
      <c r="CX172" t="e">
        <f>ROUND(CV172*#REF!/10,1)</f>
        <v>#VALUE!</v>
      </c>
      <c r="CY172" s="1">
        <v>14.5</v>
      </c>
      <c r="CZ172">
        <f t="shared" si="61"/>
        <v>673</v>
      </c>
      <c r="DA172">
        <f>ROUND((CY172*CB172*10),0)</f>
        <v>201</v>
      </c>
      <c r="DB172">
        <f>(CZ172+DA172)/MAX(DA166,CZ169)</f>
        <v>0.84444444444444444</v>
      </c>
      <c r="DC172" s="26">
        <v>14.5</v>
      </c>
      <c r="DD172">
        <f t="shared" si="49"/>
        <v>874</v>
      </c>
      <c r="DE172">
        <f>ROUND(MAX((DB172-DF172), 0), 2)</f>
        <v>0.19</v>
      </c>
      <c r="DF172">
        <f>ROUND(CZ172/MAX(DA166,CZ169), 2)</f>
        <v>0.65</v>
      </c>
    </row>
    <row r="173" spans="1:110" x14ac:dyDescent="0.15">
      <c r="A173" s="23">
        <v>2023</v>
      </c>
      <c r="B173" s="23" t="s">
        <v>48</v>
      </c>
      <c r="C173" s="23">
        <v>9</v>
      </c>
      <c r="D173" s="23">
        <v>11</v>
      </c>
      <c r="E173" s="23" t="s">
        <v>50</v>
      </c>
      <c r="F173" s="23" t="s">
        <v>54</v>
      </c>
      <c r="G173" s="23" t="s">
        <v>5</v>
      </c>
      <c r="H173" s="23">
        <v>1</v>
      </c>
      <c r="I173" s="23" t="s">
        <v>61</v>
      </c>
      <c r="J173" s="23" t="s">
        <v>57</v>
      </c>
      <c r="K173" s="24">
        <v>45077</v>
      </c>
      <c r="L173" s="27">
        <v>10000000000</v>
      </c>
      <c r="M173" s="1">
        <f>K173-K170</f>
        <v>0</v>
      </c>
      <c r="N173" s="24">
        <v>45088</v>
      </c>
      <c r="O173" s="24">
        <v>45078</v>
      </c>
      <c r="P173" s="24">
        <v>45078</v>
      </c>
      <c r="Q173" s="1">
        <f>P173-P170</f>
        <v>0</v>
      </c>
      <c r="R173" s="1">
        <f>N173-N166</f>
        <v>8</v>
      </c>
      <c r="S173" s="1">
        <f>O173-O166</f>
        <v>-9</v>
      </c>
      <c r="T173" s="1">
        <f t="shared" ref="T173:T180" si="62">AVERAGE(R173,S173)</f>
        <v>-0.5</v>
      </c>
      <c r="U173" s="1">
        <v>81</v>
      </c>
      <c r="V173" s="1">
        <v>86</v>
      </c>
      <c r="W173" s="1">
        <v>-5</v>
      </c>
      <c r="X173" s="1">
        <v>0</v>
      </c>
      <c r="Y173" s="1">
        <v>0</v>
      </c>
      <c r="Z173" s="1">
        <v>5</v>
      </c>
      <c r="AA173" s="25">
        <v>0</v>
      </c>
      <c r="AB173" s="1">
        <v>5</v>
      </c>
      <c r="AC173" s="1" t="s">
        <v>71</v>
      </c>
      <c r="AD173" s="25">
        <v>37</v>
      </c>
      <c r="AE173" s="25">
        <v>18</v>
      </c>
      <c r="AF173" s="25">
        <v>104</v>
      </c>
      <c r="AG173" s="25">
        <v>72</v>
      </c>
      <c r="AH173" s="1" t="s">
        <v>71</v>
      </c>
      <c r="AI173" s="1" t="s">
        <v>71</v>
      </c>
      <c r="AJ173" s="1">
        <v>2.2999999999999998</v>
      </c>
      <c r="AK173" s="1">
        <v>0</v>
      </c>
      <c r="AL173" s="1">
        <v>0</v>
      </c>
      <c r="AM173" s="1">
        <v>0</v>
      </c>
      <c r="AN173" s="1">
        <v>0.01</v>
      </c>
      <c r="AO173" s="1">
        <v>0.02</v>
      </c>
      <c r="AP173" s="1">
        <v>2.0000000000000001E-4</v>
      </c>
      <c r="AQ173" s="1">
        <v>21</v>
      </c>
      <c r="AR173" s="1">
        <v>0.1</v>
      </c>
      <c r="AS173" s="1">
        <v>7</v>
      </c>
      <c r="AT173" s="1">
        <v>0.70000000000000007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4</v>
      </c>
      <c r="BI173" s="1">
        <v>10</v>
      </c>
      <c r="BJ173" s="1">
        <v>0</v>
      </c>
      <c r="BK173" s="1">
        <v>5.000000000000001E-3</v>
      </c>
      <c r="BL173" s="1">
        <f t="shared" si="46"/>
        <v>0.50000000000000011</v>
      </c>
      <c r="BM173" s="1">
        <v>0.1</v>
      </c>
      <c r="BN173" s="1">
        <v>0.05</v>
      </c>
      <c r="BO173" s="1">
        <v>1</v>
      </c>
      <c r="BP173" s="1">
        <v>0</v>
      </c>
      <c r="BQ173" s="1">
        <v>180</v>
      </c>
      <c r="BR173" s="1">
        <v>4</v>
      </c>
      <c r="BS173" s="1">
        <v>0</v>
      </c>
      <c r="BT173" s="1">
        <v>16</v>
      </c>
      <c r="BU173" s="1">
        <v>3</v>
      </c>
      <c r="BV173" s="28">
        <v>5.666666666666667</v>
      </c>
      <c r="BW173" s="28">
        <v>0.33333333333333331</v>
      </c>
      <c r="BX173" s="1" t="s">
        <v>71</v>
      </c>
      <c r="BY173" s="1" t="s">
        <v>71</v>
      </c>
      <c r="BZ173" s="3">
        <v>1.2</v>
      </c>
      <c r="CA173" s="3">
        <v>1.6</v>
      </c>
      <c r="CB173" s="3">
        <f t="shared" si="47"/>
        <v>1.666666666666667</v>
      </c>
      <c r="CC173" s="3">
        <f t="shared" si="52"/>
        <v>2.2222222222222228</v>
      </c>
      <c r="CD173" s="1">
        <f>ROUND(CB173/CB163+CC173/CC170,2)</f>
        <v>1.39</v>
      </c>
      <c r="CE173" s="1">
        <f>ROUND(CB173/CB166+CC173/CC170,2)</f>
        <v>1.32</v>
      </c>
      <c r="CF173" s="1">
        <f t="shared" si="60"/>
        <v>1.32</v>
      </c>
      <c r="CG173" s="1">
        <f>ROUND(CB173/CB163,2)</f>
        <v>0.5</v>
      </c>
      <c r="CH173" s="1">
        <f>ROUND(CB173/CB166,2)</f>
        <v>0.43</v>
      </c>
      <c r="CI173" s="1">
        <f>ROUND(CC173/CC170,2)</f>
        <v>0.89</v>
      </c>
      <c r="CJ173" s="1">
        <f>ROUND((CC173+CB173)/MAX(CC170,CB166),2)</f>
        <v>1</v>
      </c>
      <c r="CK173" s="1">
        <f>ROUND(LN((0.9*BZ173)/(0.1*CA173))/(BZ163/CA170),2)</f>
        <v>1.43</v>
      </c>
      <c r="CL173" s="1">
        <f>ROUND(LN((0.9*BZ173)/(0.1*CA173))/(BZ166/CA170),2)</f>
        <v>1.23</v>
      </c>
      <c r="CM173" s="1">
        <f>ROUND(LN((0.1*CA173)/(0.9*BZ173))/(CA170/BZ163),2)</f>
        <v>-2.5499999999999998</v>
      </c>
      <c r="CN173" s="1">
        <f>ROUND(LN((0.1*CA173)/(0.9*BZ173))/(CA170/BZ166),2)</f>
        <v>-2.97</v>
      </c>
      <c r="CO173" s="5">
        <v>45</v>
      </c>
      <c r="CP173" s="5">
        <v>74</v>
      </c>
      <c r="CQ173" s="1">
        <v>39</v>
      </c>
      <c r="CR173" s="1">
        <v>138</v>
      </c>
      <c r="CS173" s="5">
        <v>38.5</v>
      </c>
      <c r="CT173" s="5">
        <v>7.9</v>
      </c>
      <c r="CU173" s="5">
        <v>4.2</v>
      </c>
      <c r="CV173" s="1" t="s">
        <v>71</v>
      </c>
      <c r="CW173" s="1" t="s">
        <v>71</v>
      </c>
      <c r="CX173" t="e">
        <f>ROUND(CV173*#REF!/10,1)</f>
        <v>#VALUE!</v>
      </c>
      <c r="CY173" s="1">
        <v>14.4</v>
      </c>
      <c r="CZ173">
        <f t="shared" si="61"/>
        <v>856</v>
      </c>
      <c r="DA173">
        <f>ROUND((CY173*CB173*10),0)</f>
        <v>240</v>
      </c>
      <c r="DB173">
        <f>(CZ173+DA173)/MAX(DA166,CZ170)</f>
        <v>1.1149542217700916</v>
      </c>
      <c r="DC173" s="26">
        <v>14.4</v>
      </c>
      <c r="DD173">
        <f t="shared" si="49"/>
        <v>1096</v>
      </c>
      <c r="DE173">
        <f t="shared" ref="DE173:DE180" si="63">ROUND(MAX((DB173-DF173), 0), 2)</f>
        <v>0.24</v>
      </c>
      <c r="DF173">
        <f>ROUND(CZ173/MAX(DA166,CZ170), 2)</f>
        <v>0.87</v>
      </c>
    </row>
    <row r="174" spans="1:110" x14ac:dyDescent="0.15">
      <c r="A174" s="23">
        <v>2023</v>
      </c>
      <c r="B174" s="23" t="s">
        <v>48</v>
      </c>
      <c r="C174" s="23">
        <v>9</v>
      </c>
      <c r="D174" s="23">
        <v>12</v>
      </c>
      <c r="E174" s="23" t="s">
        <v>50</v>
      </c>
      <c r="F174" s="23" t="s">
        <v>55</v>
      </c>
      <c r="G174" s="23" t="s">
        <v>5</v>
      </c>
      <c r="H174" s="23">
        <v>1</v>
      </c>
      <c r="I174" s="23" t="s">
        <v>62</v>
      </c>
      <c r="J174" s="23" t="s">
        <v>57</v>
      </c>
      <c r="K174" s="24">
        <v>45065</v>
      </c>
      <c r="L174" s="27">
        <v>10000000000</v>
      </c>
      <c r="M174" s="1">
        <f>K174-K171</f>
        <v>-5</v>
      </c>
      <c r="N174" s="24">
        <v>45081</v>
      </c>
      <c r="O174" s="24">
        <v>45090</v>
      </c>
      <c r="P174" s="24">
        <v>45075</v>
      </c>
      <c r="Q174" s="1">
        <f>P174-P171</f>
        <v>0</v>
      </c>
      <c r="R174" s="1">
        <f>N174-N166</f>
        <v>1</v>
      </c>
      <c r="S174" s="1">
        <f>O174-O166</f>
        <v>3</v>
      </c>
      <c r="T174" s="1">
        <f t="shared" si="62"/>
        <v>2</v>
      </c>
      <c r="U174" s="1">
        <v>83</v>
      </c>
      <c r="V174" s="1">
        <v>86</v>
      </c>
      <c r="W174" s="1">
        <v>-3</v>
      </c>
      <c r="X174" s="1">
        <v>0</v>
      </c>
      <c r="Y174" s="1">
        <v>0</v>
      </c>
      <c r="Z174" s="1">
        <v>10</v>
      </c>
      <c r="AA174" s="25">
        <v>0</v>
      </c>
      <c r="AB174" s="1">
        <v>0</v>
      </c>
      <c r="AC174" s="1">
        <v>0</v>
      </c>
      <c r="AD174" s="25">
        <v>42</v>
      </c>
      <c r="AE174" s="25">
        <v>26.666666666666668</v>
      </c>
      <c r="AF174" s="25">
        <v>113</v>
      </c>
      <c r="AG174" s="25">
        <v>76</v>
      </c>
      <c r="AH174" s="1" t="s">
        <v>71</v>
      </c>
      <c r="AI174" s="1" t="s">
        <v>71</v>
      </c>
      <c r="AJ174" s="1">
        <v>2</v>
      </c>
      <c r="AK174" s="1">
        <v>0</v>
      </c>
      <c r="AL174" s="1">
        <v>0</v>
      </c>
      <c r="AM174" s="1">
        <v>0</v>
      </c>
      <c r="AN174" s="1">
        <v>0.01</v>
      </c>
      <c r="AO174" s="1">
        <v>0.01</v>
      </c>
      <c r="AP174" s="1">
        <v>1E-4</v>
      </c>
      <c r="AQ174" s="1">
        <v>10</v>
      </c>
      <c r="AR174" s="1">
        <v>0.1</v>
      </c>
      <c r="AS174" s="1">
        <v>5</v>
      </c>
      <c r="AT174" s="1">
        <v>0.5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896</v>
      </c>
      <c r="BI174" s="1">
        <v>80</v>
      </c>
      <c r="BJ174" s="1">
        <v>4</v>
      </c>
      <c r="BK174" s="1">
        <v>7.000000000000001E-4</v>
      </c>
      <c r="BL174" s="1">
        <f t="shared" si="46"/>
        <v>7.0000000000000007E-2</v>
      </c>
      <c r="BM174" s="1">
        <v>7.0000000000000007E-2</v>
      </c>
      <c r="BN174" s="1">
        <v>0.01</v>
      </c>
      <c r="BO174" s="1">
        <v>1</v>
      </c>
      <c r="BP174" s="1">
        <v>0</v>
      </c>
      <c r="BQ174" s="1">
        <v>131</v>
      </c>
      <c r="BR174" s="1">
        <v>32</v>
      </c>
      <c r="BS174" s="1">
        <v>3</v>
      </c>
      <c r="BT174" s="1">
        <v>3</v>
      </c>
      <c r="BU174" s="1">
        <v>3</v>
      </c>
      <c r="BV174" s="28">
        <v>5</v>
      </c>
      <c r="BW174" s="28">
        <v>1.6666666666666667</v>
      </c>
      <c r="BX174" s="1" t="s">
        <v>71</v>
      </c>
      <c r="BY174" s="1" t="s">
        <v>71</v>
      </c>
      <c r="BZ174" s="3">
        <v>1</v>
      </c>
      <c r="CA174" s="3">
        <v>1.3</v>
      </c>
      <c r="CB174" s="3">
        <f t="shared" si="47"/>
        <v>1.3888888888888888</v>
      </c>
      <c r="CC174" s="3">
        <f t="shared" si="52"/>
        <v>1.8055555555555558</v>
      </c>
      <c r="CD174" s="1">
        <f>ROUND(CB174/CB163+CC174/CC171,2)</f>
        <v>1.04</v>
      </c>
      <c r="CE174" s="1">
        <f>ROUND(CB174/CB166+CC174/CC171,2)</f>
        <v>0.98</v>
      </c>
      <c r="CF174" s="1">
        <f t="shared" si="60"/>
        <v>0.98</v>
      </c>
      <c r="CG174" s="1">
        <f>ROUND(CB174/CB163,2)</f>
        <v>0.42</v>
      </c>
      <c r="CH174" s="1">
        <f>ROUND(CB174/CB166,2)</f>
        <v>0.36</v>
      </c>
      <c r="CI174" s="1">
        <f>ROUND(CC174/CC171,2)</f>
        <v>0.62</v>
      </c>
      <c r="CJ174" s="1">
        <f>ROUND((CC174+CB174)/MAX(CC171,CB166),2)</f>
        <v>0.82</v>
      </c>
      <c r="CK174" s="1">
        <f>ROUND(LN((0.9*BZ174)/(0.1*CA174))/(BZ163/CA171),2)</f>
        <v>1.69</v>
      </c>
      <c r="CL174" s="1">
        <f>ROUND(LN((0.9*BZ174)/(0.1*CA174))/(BZ166/CA171),2)</f>
        <v>1.45</v>
      </c>
      <c r="CM174" s="1">
        <f>ROUND(LN((0.1*CA174)/(0.9*BZ174))/(CA171/BZ163),2)</f>
        <v>-2.21</v>
      </c>
      <c r="CN174" s="1">
        <f>ROUND(LN((0.1*CA174)/(0.9*BZ174))/(CA171/BZ166),2)</f>
        <v>-2.58</v>
      </c>
      <c r="CO174" s="5">
        <v>53</v>
      </c>
      <c r="CP174" s="5">
        <v>69</v>
      </c>
      <c r="CQ174" s="1">
        <v>40</v>
      </c>
      <c r="CR174" s="1">
        <v>124</v>
      </c>
      <c r="CS174" s="5">
        <v>42</v>
      </c>
      <c r="CT174" s="5">
        <v>8.1999999999999993</v>
      </c>
      <c r="CU174" s="5">
        <v>3.2</v>
      </c>
      <c r="CV174" s="1" t="s">
        <v>71</v>
      </c>
      <c r="CW174" s="1" t="s">
        <v>71</v>
      </c>
      <c r="CX174" t="e">
        <f>ROUND(CV174*#REF!/10,1)</f>
        <v>#VALUE!</v>
      </c>
      <c r="CY174" s="1">
        <v>14</v>
      </c>
      <c r="CZ174">
        <f t="shared" si="61"/>
        <v>758</v>
      </c>
      <c r="DA174">
        <f>ROUND((CY174*CB174*10),0)</f>
        <v>194</v>
      </c>
      <c r="DB174">
        <f>(CZ174+DA174)/MAX(DA166,CZ171)</f>
        <v>0.76465863453815264</v>
      </c>
      <c r="DC174" s="26">
        <v>14</v>
      </c>
      <c r="DD174">
        <f t="shared" si="49"/>
        <v>952</v>
      </c>
      <c r="DE174">
        <f t="shared" si="63"/>
        <v>0.15</v>
      </c>
      <c r="DF174">
        <f>ROUND(CZ174/MAX(DA166,CZ171), 2)</f>
        <v>0.61</v>
      </c>
    </row>
    <row r="175" spans="1:110" ht="15" x14ac:dyDescent="0.15">
      <c r="A175" s="23">
        <v>2023</v>
      </c>
      <c r="B175" s="23" t="s">
        <v>48</v>
      </c>
      <c r="C175" s="23">
        <v>9</v>
      </c>
      <c r="D175" s="23">
        <v>13</v>
      </c>
      <c r="E175" s="23" t="s">
        <v>51</v>
      </c>
      <c r="F175" s="23" t="s">
        <v>53</v>
      </c>
      <c r="G175" s="23" t="s">
        <v>5</v>
      </c>
      <c r="H175" s="23">
        <v>1</v>
      </c>
      <c r="I175" s="23" t="s">
        <v>63</v>
      </c>
      <c r="J175" s="23" t="s">
        <v>57</v>
      </c>
      <c r="K175" s="24">
        <v>45070</v>
      </c>
      <c r="L175" s="27">
        <v>10000000000</v>
      </c>
      <c r="M175" s="1">
        <f>K175-K169</f>
        <v>0</v>
      </c>
      <c r="N175" s="24">
        <v>45087</v>
      </c>
      <c r="O175" s="24">
        <v>45097</v>
      </c>
      <c r="P175" s="24">
        <v>45078</v>
      </c>
      <c r="Q175" s="1">
        <f>P175-P169</f>
        <v>2</v>
      </c>
      <c r="R175" s="1">
        <f>N175-N167</f>
        <v>2</v>
      </c>
      <c r="S175" s="1">
        <f>O175-O167</f>
        <v>7</v>
      </c>
      <c r="T175" s="1">
        <f t="shared" si="62"/>
        <v>4.5</v>
      </c>
      <c r="U175" s="1">
        <v>81</v>
      </c>
      <c r="V175" s="1">
        <v>83</v>
      </c>
      <c r="W175" s="1">
        <v>-2</v>
      </c>
      <c r="X175" s="1">
        <v>0</v>
      </c>
      <c r="Y175" s="1">
        <v>0</v>
      </c>
      <c r="Z175" s="1">
        <v>0</v>
      </c>
      <c r="AA175" s="25">
        <v>0</v>
      </c>
      <c r="AB175" s="1">
        <v>0</v>
      </c>
      <c r="AC175" s="1">
        <v>0</v>
      </c>
      <c r="AD175" s="25">
        <v>33</v>
      </c>
      <c r="AE175" s="25">
        <v>26.333333333333332</v>
      </c>
      <c r="AF175" s="25">
        <v>105</v>
      </c>
      <c r="AG175" s="25">
        <v>79</v>
      </c>
      <c r="AH175" s="1" t="s">
        <v>71</v>
      </c>
      <c r="AI175" s="1" t="s">
        <v>71</v>
      </c>
      <c r="AJ175" s="1">
        <v>3</v>
      </c>
      <c r="AK175" s="1">
        <v>0</v>
      </c>
      <c r="AL175" s="1">
        <v>0</v>
      </c>
      <c r="AM175" s="1">
        <v>0</v>
      </c>
      <c r="AN175" s="1">
        <v>0.01</v>
      </c>
      <c r="AO175" s="1">
        <v>0.01</v>
      </c>
      <c r="AP175" s="1">
        <v>1E-4</v>
      </c>
      <c r="AQ175" s="1">
        <v>14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1</v>
      </c>
      <c r="BI175" s="1">
        <v>50</v>
      </c>
      <c r="BJ175" s="1">
        <v>2</v>
      </c>
      <c r="BK175" s="1">
        <v>7.4999999999999997E-3</v>
      </c>
      <c r="BL175" s="1">
        <f t="shared" si="46"/>
        <v>0.75</v>
      </c>
      <c r="BM175" s="1">
        <v>0.15</v>
      </c>
      <c r="BN175" s="1">
        <v>0.05</v>
      </c>
      <c r="BO175" s="1">
        <v>1</v>
      </c>
      <c r="BP175" s="1">
        <v>0</v>
      </c>
      <c r="BQ175" s="1">
        <v>108</v>
      </c>
      <c r="BR175" s="1">
        <v>6</v>
      </c>
      <c r="BS175" s="1">
        <v>0</v>
      </c>
      <c r="BT175" s="1">
        <v>5</v>
      </c>
      <c r="BU175" s="1">
        <v>2</v>
      </c>
      <c r="BV175" s="28">
        <v>5.666666666666667</v>
      </c>
      <c r="BW175" s="28">
        <v>2</v>
      </c>
      <c r="BX175" s="1" t="s">
        <v>71</v>
      </c>
      <c r="BY175" s="1" t="s">
        <v>71</v>
      </c>
      <c r="BZ175" s="3">
        <v>0.9</v>
      </c>
      <c r="CA175" s="3">
        <v>1.5</v>
      </c>
      <c r="CB175" s="3">
        <f t="shared" si="47"/>
        <v>1.2500000000000002</v>
      </c>
      <c r="CC175" s="3">
        <f t="shared" si="52"/>
        <v>2.0833333333333335</v>
      </c>
      <c r="CD175" s="1">
        <f>ROUND(CB175/CB164+CC175/CC169,2)</f>
        <v>1.1100000000000001</v>
      </c>
      <c r="CE175" s="1">
        <f>ROUND(CB175/CB167+CC175/CC169,2)</f>
        <v>1.01</v>
      </c>
      <c r="CF175" s="1">
        <f t="shared" si="60"/>
        <v>1.01</v>
      </c>
      <c r="CG175" s="1">
        <f>ROUND(CB175/CB164,2)</f>
        <v>0.39</v>
      </c>
      <c r="CH175" s="1">
        <f>ROUND(CB175/CB167,2)</f>
        <v>0.3</v>
      </c>
      <c r="CI175" s="1">
        <f>ROUND(CC175/CC169,2)</f>
        <v>0.71</v>
      </c>
      <c r="CJ175" s="1">
        <f>ROUND((CC175+CB175)/MAX(CC169,CB167),2)</f>
        <v>0.8</v>
      </c>
      <c r="CK175" s="1">
        <f>ROUND(LN((0.9*BZ175)/(0.1*CA175))/(BZ164/CA169),2)</f>
        <v>1.54</v>
      </c>
      <c r="CL175" s="1">
        <f>ROUND(LN((0.9*BZ175)/(0.1*CA175))/(BZ167/CA169),2)</f>
        <v>1.18</v>
      </c>
      <c r="CM175" s="1">
        <f>ROUND(LN((0.1*CA175)/(0.9*BZ175))/(CA169/BZ164),2)</f>
        <v>-1.85</v>
      </c>
      <c r="CN175" s="1">
        <f>ROUND(LN((0.1*CA175)/(0.9*BZ175))/(CA169/BZ167),2)</f>
        <v>-2.41</v>
      </c>
      <c r="CO175" s="5">
        <v>52</v>
      </c>
      <c r="CP175" s="5">
        <v>60</v>
      </c>
      <c r="CQ175" s="1" t="s">
        <v>71</v>
      </c>
      <c r="CR175" s="1" t="s">
        <v>71</v>
      </c>
      <c r="CS175" s="5" t="s">
        <v>71</v>
      </c>
      <c r="CT175" s="5">
        <v>8.9</v>
      </c>
      <c r="CU175" s="5">
        <v>4.4000000000000004</v>
      </c>
      <c r="CV175" s="1" t="s">
        <v>71</v>
      </c>
      <c r="CW175" s="1" t="s">
        <v>71</v>
      </c>
      <c r="CX175" t="e">
        <f>ROUND(CV175*#REF!/10,1)</f>
        <v>#VALUE!</v>
      </c>
      <c r="CY175" s="1" t="s">
        <v>71</v>
      </c>
      <c r="CZ175" t="s">
        <v>71</v>
      </c>
      <c r="DA175" s="26" t="s">
        <v>71</v>
      </c>
      <c r="DB175" s="26" t="s">
        <v>71</v>
      </c>
      <c r="DC175" s="26" t="s">
        <v>71</v>
      </c>
      <c r="DD175">
        <f t="shared" si="49"/>
        <v>0</v>
      </c>
      <c r="DE175" s="1" t="s">
        <v>71</v>
      </c>
      <c r="DF175" s="1" t="s">
        <v>71</v>
      </c>
    </row>
    <row r="176" spans="1:110" x14ac:dyDescent="0.15">
      <c r="A176" s="23">
        <v>2023</v>
      </c>
      <c r="B176" s="23" t="s">
        <v>48</v>
      </c>
      <c r="C176" s="23">
        <v>9</v>
      </c>
      <c r="D176" s="23">
        <v>14</v>
      </c>
      <c r="E176" s="23" t="s">
        <v>51</v>
      </c>
      <c r="F176" s="23" t="s">
        <v>54</v>
      </c>
      <c r="G176" s="23" t="s">
        <v>5</v>
      </c>
      <c r="H176" s="23">
        <v>1</v>
      </c>
      <c r="I176" s="23" t="s">
        <v>64</v>
      </c>
      <c r="J176" s="23" t="s">
        <v>57</v>
      </c>
      <c r="K176" s="24">
        <v>45077</v>
      </c>
      <c r="L176" s="27">
        <v>10000000000</v>
      </c>
      <c r="M176" s="1">
        <f>K176-K170</f>
        <v>0</v>
      </c>
      <c r="N176" s="24">
        <v>45088</v>
      </c>
      <c r="O176" s="24">
        <v>45097</v>
      </c>
      <c r="P176" s="24">
        <v>45078</v>
      </c>
      <c r="Q176" s="1">
        <f>P176-P170</f>
        <v>0</v>
      </c>
      <c r="R176" s="1">
        <f>N176-N167</f>
        <v>3</v>
      </c>
      <c r="S176" s="1">
        <f>O176-O167</f>
        <v>7</v>
      </c>
      <c r="T176" s="1">
        <f t="shared" si="62"/>
        <v>5</v>
      </c>
      <c r="U176" s="1">
        <v>81</v>
      </c>
      <c r="V176" s="1">
        <v>85</v>
      </c>
      <c r="W176" s="1">
        <v>-4</v>
      </c>
      <c r="X176" s="1">
        <v>0</v>
      </c>
      <c r="Y176" s="1">
        <v>0</v>
      </c>
      <c r="Z176" s="1">
        <v>5</v>
      </c>
      <c r="AA176" s="25">
        <v>0</v>
      </c>
      <c r="AB176" s="1">
        <v>0</v>
      </c>
      <c r="AC176" s="1">
        <v>0</v>
      </c>
      <c r="AD176" s="25">
        <v>29.333333333333332</v>
      </c>
      <c r="AE176" s="25">
        <v>26</v>
      </c>
      <c r="AF176" s="25">
        <v>93</v>
      </c>
      <c r="AG176" s="25">
        <v>64</v>
      </c>
      <c r="AH176" s="1" t="s">
        <v>71</v>
      </c>
      <c r="AI176" s="1" t="s">
        <v>71</v>
      </c>
      <c r="AJ176" s="1">
        <v>2.7</v>
      </c>
      <c r="AK176" s="1">
        <v>0</v>
      </c>
      <c r="AL176" s="1">
        <v>0</v>
      </c>
      <c r="AM176" s="1">
        <v>0</v>
      </c>
      <c r="AN176" s="1">
        <v>7.0000000000000007E-2</v>
      </c>
      <c r="AO176" s="1">
        <v>3.4999999999999996E-2</v>
      </c>
      <c r="AP176" s="1">
        <v>2.4499999999999999E-3</v>
      </c>
      <c r="AQ176" s="1">
        <v>10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8</v>
      </c>
      <c r="BJ176" s="1">
        <v>2</v>
      </c>
      <c r="BK176" s="1">
        <v>4.0000000000000001E-3</v>
      </c>
      <c r="BL176" s="1">
        <f t="shared" si="46"/>
        <v>0.4</v>
      </c>
      <c r="BM176" s="1">
        <v>0.1</v>
      </c>
      <c r="BN176" s="1">
        <v>0.04</v>
      </c>
      <c r="BO176" s="1">
        <v>1</v>
      </c>
      <c r="BP176" s="1">
        <v>0</v>
      </c>
      <c r="BQ176" s="1">
        <v>149</v>
      </c>
      <c r="BR176" s="1">
        <v>68</v>
      </c>
      <c r="BS176" s="1">
        <v>9</v>
      </c>
      <c r="BT176" s="1">
        <v>13</v>
      </c>
      <c r="BU176" s="1">
        <v>3</v>
      </c>
      <c r="BV176" s="28">
        <v>6.666666666666667</v>
      </c>
      <c r="BW176" s="28">
        <v>2</v>
      </c>
      <c r="BX176" s="1" t="s">
        <v>71</v>
      </c>
      <c r="BY176" s="1" t="s">
        <v>71</v>
      </c>
      <c r="BZ176" s="3">
        <v>1.1000000000000001</v>
      </c>
      <c r="CA176" s="3">
        <v>1.6</v>
      </c>
      <c r="CB176" s="3">
        <f t="shared" si="47"/>
        <v>1.5277777777777781</v>
      </c>
      <c r="CC176" s="3">
        <f t="shared" si="52"/>
        <v>2.2222222222222228</v>
      </c>
      <c r="CD176" s="1">
        <f>ROUND(CB176/CB164+CC176/CC170,2)</f>
        <v>1.37</v>
      </c>
      <c r="CE176" s="1">
        <f>ROUND(CB176/CB167+CC176/CC170,2)</f>
        <v>1.26</v>
      </c>
      <c r="CF176" s="1">
        <f t="shared" si="60"/>
        <v>1.26</v>
      </c>
      <c r="CG176" s="1">
        <f>ROUND(CB176/CB164,2)</f>
        <v>0.48</v>
      </c>
      <c r="CH176" s="1">
        <f>ROUND(CB176/CB167,2)</f>
        <v>0.37</v>
      </c>
      <c r="CI176" s="1">
        <f>ROUND(CC176/CC170,2)</f>
        <v>0.89</v>
      </c>
      <c r="CJ176" s="1">
        <f>ROUND((CC176+CB176)/MAX(CC170,CB167),2)</f>
        <v>0.9</v>
      </c>
      <c r="CK176" s="1">
        <f>ROUND(LN((0.9*BZ176)/(0.1*CA176))/(BZ164/CA170),2)</f>
        <v>1.43</v>
      </c>
      <c r="CL176" s="1">
        <f>ROUND(LN((0.9*BZ176)/(0.1*CA176))/(BZ167/CA170),2)</f>
        <v>1.0900000000000001</v>
      </c>
      <c r="CM176" s="1">
        <f>ROUND(LN((0.1*CA176)/(0.9*BZ176))/(CA170/BZ164),2)</f>
        <v>-2.33</v>
      </c>
      <c r="CN176" s="1">
        <f>ROUND(LN((0.1*CA176)/(0.9*BZ176))/(CA170/BZ167),2)</f>
        <v>-3.04</v>
      </c>
      <c r="CO176" s="5">
        <v>55</v>
      </c>
      <c r="CP176" s="5">
        <v>73</v>
      </c>
      <c r="CQ176" s="1">
        <v>39</v>
      </c>
      <c r="CR176" s="1">
        <v>127</v>
      </c>
      <c r="CS176" s="5">
        <v>39.6</v>
      </c>
      <c r="CT176" s="5">
        <v>8.5</v>
      </c>
      <c r="CU176" s="5">
        <v>4.4000000000000004</v>
      </c>
      <c r="CV176" s="1" t="s">
        <v>71</v>
      </c>
      <c r="CW176" s="1" t="s">
        <v>71</v>
      </c>
      <c r="CX176" t="e">
        <f>ROUND(CV176*#REF!/10,1)</f>
        <v>#VALUE!</v>
      </c>
      <c r="CY176" s="1">
        <v>15.6</v>
      </c>
      <c r="CZ176">
        <f>ROUND((10*CC176*CS176),0)</f>
        <v>880</v>
      </c>
      <c r="DA176">
        <f>ROUND((CY176*CB176*10),0)</f>
        <v>238</v>
      </c>
      <c r="DB176">
        <f>(CZ176+DA176)/MAX(DA167,CZ170)</f>
        <v>1.1373346897253307</v>
      </c>
      <c r="DC176" s="26">
        <v>15.6</v>
      </c>
      <c r="DD176">
        <f t="shared" si="49"/>
        <v>1118</v>
      </c>
      <c r="DE176">
        <f t="shared" si="63"/>
        <v>0.24</v>
      </c>
      <c r="DF176">
        <f>ROUND(CZ176/MAX(DA167,CZ170), 2)</f>
        <v>0.9</v>
      </c>
    </row>
    <row r="177" spans="1:110" x14ac:dyDescent="0.15">
      <c r="A177" s="23">
        <v>2023</v>
      </c>
      <c r="B177" s="23" t="s">
        <v>48</v>
      </c>
      <c r="C177" s="23">
        <v>9</v>
      </c>
      <c r="D177" s="23">
        <v>15</v>
      </c>
      <c r="E177" s="23" t="s">
        <v>51</v>
      </c>
      <c r="F177" s="23" t="s">
        <v>55</v>
      </c>
      <c r="G177" s="23" t="s">
        <v>5</v>
      </c>
      <c r="H177" s="23">
        <v>1</v>
      </c>
      <c r="I177" s="23" t="s">
        <v>65</v>
      </c>
      <c r="J177" s="23" t="s">
        <v>57</v>
      </c>
      <c r="K177" s="24">
        <v>45074</v>
      </c>
      <c r="L177" s="27">
        <v>10000000000</v>
      </c>
      <c r="M177" s="1">
        <f>K177-K171</f>
        <v>4</v>
      </c>
      <c r="N177" s="24">
        <v>45087</v>
      </c>
      <c r="O177" s="24">
        <v>45095</v>
      </c>
      <c r="P177" s="24">
        <v>45075</v>
      </c>
      <c r="Q177" s="1">
        <f>P177-P171</f>
        <v>0</v>
      </c>
      <c r="R177" s="1">
        <f>N177-N167</f>
        <v>2</v>
      </c>
      <c r="S177" s="1">
        <f>O177-O167</f>
        <v>5</v>
      </c>
      <c r="T177" s="1">
        <f t="shared" si="62"/>
        <v>3.5</v>
      </c>
      <c r="U177" s="1">
        <v>79</v>
      </c>
      <c r="V177" s="1">
        <v>85</v>
      </c>
      <c r="W177" s="1">
        <v>-6</v>
      </c>
      <c r="X177" s="1">
        <v>0</v>
      </c>
      <c r="Y177" s="1">
        <v>0</v>
      </c>
      <c r="Z177" s="1">
        <v>0</v>
      </c>
      <c r="AA177" s="25">
        <v>0</v>
      </c>
      <c r="AB177" s="1">
        <v>0</v>
      </c>
      <c r="AC177" s="1">
        <v>0</v>
      </c>
      <c r="AD177" s="25">
        <v>25.333333333333332</v>
      </c>
      <c r="AE177" s="25">
        <v>12.333333333333334</v>
      </c>
      <c r="AF177" s="25">
        <v>101</v>
      </c>
      <c r="AG177" s="25">
        <v>70</v>
      </c>
      <c r="AH177" s="1" t="s">
        <v>71</v>
      </c>
      <c r="AI177" s="1" t="s">
        <v>71</v>
      </c>
      <c r="AJ177" s="1">
        <v>2.2999999999999998</v>
      </c>
      <c r="AK177" s="1">
        <v>0</v>
      </c>
      <c r="AL177" s="1">
        <v>0</v>
      </c>
      <c r="AM177" s="1">
        <v>0</v>
      </c>
      <c r="AN177" s="1">
        <v>0.01</v>
      </c>
      <c r="AO177" s="1">
        <v>0.01</v>
      </c>
      <c r="AP177" s="1">
        <v>1E-4</v>
      </c>
      <c r="AQ177" s="1">
        <v>12</v>
      </c>
      <c r="AR177" s="1">
        <v>0.01</v>
      </c>
      <c r="AS177" s="1">
        <v>6</v>
      </c>
      <c r="AT177" s="1">
        <v>0.06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91</v>
      </c>
      <c r="BI177" s="1">
        <v>60</v>
      </c>
      <c r="BJ177" s="1">
        <v>8</v>
      </c>
      <c r="BK177" s="1">
        <v>2.1000000000000001E-2</v>
      </c>
      <c r="BL177" s="1">
        <f t="shared" si="46"/>
        <v>2.1</v>
      </c>
      <c r="BM177" s="1">
        <v>0.3</v>
      </c>
      <c r="BN177" s="1">
        <v>7.0000000000000007E-2</v>
      </c>
      <c r="BO177" s="1">
        <v>1</v>
      </c>
      <c r="BP177" s="1">
        <v>0</v>
      </c>
      <c r="BQ177" s="1">
        <v>109</v>
      </c>
      <c r="BR177" s="1">
        <v>7</v>
      </c>
      <c r="BS177" s="1">
        <v>0</v>
      </c>
      <c r="BT177" s="1">
        <v>7</v>
      </c>
      <c r="BU177" s="1">
        <v>3</v>
      </c>
      <c r="BV177" s="28">
        <v>5.666666666666667</v>
      </c>
      <c r="BW177" s="28">
        <v>1.3333333333333333</v>
      </c>
      <c r="BX177" s="1" t="s">
        <v>71</v>
      </c>
      <c r="BY177" s="1" t="s">
        <v>71</v>
      </c>
      <c r="BZ177" s="3">
        <v>1.1000000000000001</v>
      </c>
      <c r="CA177" s="3">
        <v>1.4</v>
      </c>
      <c r="CB177" s="3">
        <f t="shared" si="47"/>
        <v>1.5277777777777781</v>
      </c>
      <c r="CC177" s="3">
        <f t="shared" si="52"/>
        <v>1.9444444444444444</v>
      </c>
      <c r="CD177" s="1">
        <f>ROUND(CB177/CB164+CC177/CC171,2)</f>
        <v>1.1399999999999999</v>
      </c>
      <c r="CE177" s="1">
        <f>ROUND(CB177/CB167+CC177/CC171,2)</f>
        <v>1.03</v>
      </c>
      <c r="CF177" s="1">
        <f t="shared" si="60"/>
        <v>1.03</v>
      </c>
      <c r="CG177" s="1">
        <f>ROUND(CB177/CB164,2)</f>
        <v>0.48</v>
      </c>
      <c r="CH177" s="1">
        <f>ROUND(CB177/CB167,2)</f>
        <v>0.37</v>
      </c>
      <c r="CI177" s="1">
        <f>ROUND(CC177/CC171,2)</f>
        <v>0.67</v>
      </c>
      <c r="CJ177" s="1">
        <f>ROUND((CC177+CB177)/MAX(CC171,CB167),2)</f>
        <v>0.83</v>
      </c>
      <c r="CK177" s="1">
        <f>ROUND(LN((0.9*BZ177)/(0.1*CA177))/(BZ164/CA171),2)</f>
        <v>1.79</v>
      </c>
      <c r="CL177" s="1">
        <f>ROUND(LN((0.9*BZ177)/(0.1*CA177))/(BZ167/CA171),2)</f>
        <v>1.37</v>
      </c>
      <c r="CM177" s="1">
        <f>ROUND(LN((0.1*CA177)/(0.9*BZ177))/(CA171/BZ164),2)</f>
        <v>-2.14</v>
      </c>
      <c r="CN177" s="1">
        <f>ROUND(LN((0.1*CA177)/(0.9*BZ177))/(CA171/BZ167),2)</f>
        <v>-2.79</v>
      </c>
      <c r="CO177" s="5">
        <v>53</v>
      </c>
      <c r="CP177" s="5">
        <v>68</v>
      </c>
      <c r="CQ177" s="1">
        <v>34</v>
      </c>
      <c r="CR177" s="1">
        <v>122</v>
      </c>
      <c r="CS177" s="5">
        <v>41.3</v>
      </c>
      <c r="CT177" s="5">
        <v>8.3000000000000007</v>
      </c>
      <c r="CU177" s="5">
        <v>2.5</v>
      </c>
      <c r="CV177" s="1" t="s">
        <v>71</v>
      </c>
      <c r="CW177" s="1" t="s">
        <v>71</v>
      </c>
      <c r="CX177" t="e">
        <f>ROUND(CV177*#REF!/10,1)</f>
        <v>#VALUE!</v>
      </c>
      <c r="CY177" s="1">
        <v>13.5</v>
      </c>
      <c r="CZ177">
        <f>ROUND((10*CC177*CS177),0)</f>
        <v>803</v>
      </c>
      <c r="DA177">
        <f>ROUND((CY177*CB177*10),0)</f>
        <v>206</v>
      </c>
      <c r="DB177">
        <f>(CZ177+DA177)/MAX(DA167,CZ171)</f>
        <v>0.81044176706827309</v>
      </c>
      <c r="DC177" s="26">
        <v>13.5</v>
      </c>
      <c r="DD177">
        <f t="shared" si="49"/>
        <v>1009</v>
      </c>
      <c r="DE177">
        <f t="shared" si="63"/>
        <v>0.17</v>
      </c>
      <c r="DF177">
        <f>ROUND(CZ177/MAX(DA167,CZ171), 2)</f>
        <v>0.64</v>
      </c>
    </row>
    <row r="178" spans="1:110" x14ac:dyDescent="0.15">
      <c r="A178" s="23">
        <v>2023</v>
      </c>
      <c r="B178" s="23" t="s">
        <v>48</v>
      </c>
      <c r="C178" s="23">
        <v>9</v>
      </c>
      <c r="D178" s="23">
        <v>16</v>
      </c>
      <c r="E178" s="23" t="s">
        <v>52</v>
      </c>
      <c r="F178" s="23" t="s">
        <v>53</v>
      </c>
      <c r="G178" s="23" t="s">
        <v>5</v>
      </c>
      <c r="H178" s="23">
        <v>1</v>
      </c>
      <c r="I178" s="23" t="s">
        <v>66</v>
      </c>
      <c r="J178" s="23" t="s">
        <v>57</v>
      </c>
      <c r="K178" s="24">
        <v>45072</v>
      </c>
      <c r="L178" s="27">
        <v>10000000000</v>
      </c>
      <c r="M178" s="1">
        <f>K178-K169</f>
        <v>2</v>
      </c>
      <c r="N178" s="24">
        <v>45088</v>
      </c>
      <c r="O178" s="24">
        <v>45100</v>
      </c>
      <c r="P178" s="24">
        <v>45078</v>
      </c>
      <c r="Q178" s="1">
        <f>P178-P169</f>
        <v>2</v>
      </c>
      <c r="R178" s="1">
        <f>N178-N168</f>
        <v>3</v>
      </c>
      <c r="S178" s="1">
        <f>O178-O168</f>
        <v>3</v>
      </c>
      <c r="T178" s="1">
        <f t="shared" si="62"/>
        <v>3</v>
      </c>
      <c r="U178" s="1">
        <v>79</v>
      </c>
      <c r="V178" s="1">
        <v>84</v>
      </c>
      <c r="W178" s="1">
        <v>-5</v>
      </c>
      <c r="X178" s="1">
        <v>0</v>
      </c>
      <c r="Y178" s="1">
        <v>0</v>
      </c>
      <c r="Z178" s="1">
        <v>5</v>
      </c>
      <c r="AA178" s="25">
        <v>0</v>
      </c>
      <c r="AB178" s="1">
        <v>0</v>
      </c>
      <c r="AC178" s="1">
        <v>0</v>
      </c>
      <c r="AD178" s="25">
        <v>28.333333333333332</v>
      </c>
      <c r="AE178" s="25">
        <v>20.333333333333332</v>
      </c>
      <c r="AF178" s="25">
        <v>73</v>
      </c>
      <c r="AG178" s="25">
        <v>74</v>
      </c>
      <c r="AH178" s="1" t="s">
        <v>71</v>
      </c>
      <c r="AI178" s="1" t="s">
        <v>71</v>
      </c>
      <c r="AJ178" s="1">
        <v>1.7</v>
      </c>
      <c r="AK178" s="1">
        <v>0</v>
      </c>
      <c r="AL178" s="1">
        <v>0</v>
      </c>
      <c r="AM178" s="1">
        <v>0</v>
      </c>
      <c r="AN178" s="1">
        <v>0.01</v>
      </c>
      <c r="AO178" s="1">
        <v>0.01</v>
      </c>
      <c r="AP178" s="1">
        <v>1E-4</v>
      </c>
      <c r="AQ178" s="1">
        <v>6</v>
      </c>
      <c r="AR178" s="1">
        <v>0.03</v>
      </c>
      <c r="AS178" s="1">
        <v>5</v>
      </c>
      <c r="AT178" s="1">
        <v>0.15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1</v>
      </c>
      <c r="BI178" s="1">
        <v>5</v>
      </c>
      <c r="BJ178" s="1">
        <v>0</v>
      </c>
      <c r="BK178" s="1">
        <v>3.0000000000000001E-3</v>
      </c>
      <c r="BL178" s="1">
        <f t="shared" si="46"/>
        <v>0.3</v>
      </c>
      <c r="BM178" s="1">
        <v>0.1</v>
      </c>
      <c r="BN178" s="1">
        <v>0.03</v>
      </c>
      <c r="BO178" s="1">
        <v>1</v>
      </c>
      <c r="BP178" s="1">
        <v>0</v>
      </c>
      <c r="BQ178" s="1">
        <v>97</v>
      </c>
      <c r="BR178" s="1">
        <v>13</v>
      </c>
      <c r="BS178" s="1">
        <v>1</v>
      </c>
      <c r="BT178" s="1">
        <v>8</v>
      </c>
      <c r="BU178" s="1">
        <v>2</v>
      </c>
      <c r="BV178" s="28">
        <v>5</v>
      </c>
      <c r="BW178" s="28">
        <v>1</v>
      </c>
      <c r="BX178" s="1" t="s">
        <v>71</v>
      </c>
      <c r="BY178" s="1" t="s">
        <v>71</v>
      </c>
      <c r="BZ178" s="3">
        <v>0.6</v>
      </c>
      <c r="CA178" s="3">
        <v>1.9</v>
      </c>
      <c r="CB178" s="3">
        <f t="shared" si="47"/>
        <v>0.83333333333333348</v>
      </c>
      <c r="CC178" s="3">
        <f t="shared" si="52"/>
        <v>2.6388888888888888</v>
      </c>
      <c r="CD178" s="1">
        <f>ROUND(CB178/CB165+CC178/CC169,2)</f>
        <v>1.2</v>
      </c>
      <c r="CE178" s="1">
        <f>ROUND(CB178/CB168+CC178/CC169,2)</f>
        <v>1.1100000000000001</v>
      </c>
      <c r="CF178" s="1">
        <f>ROUND(CB178/(1.2*CB168)+CC178/CC169,2)</f>
        <v>1.08</v>
      </c>
      <c r="CG178" s="1">
        <f>ROUND(CB178/CB165,2)</f>
        <v>0.3</v>
      </c>
      <c r="CH178" s="1">
        <f>ROUND(CB178/CB168,2)</f>
        <v>0.21</v>
      </c>
      <c r="CI178" s="1">
        <f>ROUND(CC178/CC169,2)</f>
        <v>0.9</v>
      </c>
      <c r="CJ178" s="1">
        <f>ROUND((CC178+CB178)/MAX(CC169,CB168),2)</f>
        <v>0.86</v>
      </c>
      <c r="CK178" s="1">
        <f>ROUND(LN((0.9*BZ178)/(0.1*CA178))/(BZ165/CA169),2)</f>
        <v>1.1000000000000001</v>
      </c>
      <c r="CL178" s="1">
        <f>ROUND(LN((0.9*BZ178)/(0.1*CA178))/(BZ168/CA169),2)</f>
        <v>0.76</v>
      </c>
      <c r="CM178" s="1">
        <f>ROUND(LN((0.1*CA178)/(0.9*BZ178))/(CA169/BZ165),2)</f>
        <v>-0.99</v>
      </c>
      <c r="CN178" s="1">
        <f>ROUND(LN((0.1*CA178)/(0.9*BZ178))/(CA169/BZ168),2)</f>
        <v>-1.44</v>
      </c>
      <c r="CO178" s="5">
        <v>43</v>
      </c>
      <c r="CP178" s="5">
        <v>69</v>
      </c>
      <c r="CQ178" s="1" t="s">
        <v>71</v>
      </c>
      <c r="CR178" s="1">
        <v>141</v>
      </c>
      <c r="CS178" s="5">
        <v>37.1</v>
      </c>
      <c r="CT178" s="5">
        <v>8.6</v>
      </c>
      <c r="CU178" s="5">
        <v>2.9</v>
      </c>
      <c r="CV178" s="1" t="s">
        <v>71</v>
      </c>
      <c r="CW178" s="1" t="s">
        <v>71</v>
      </c>
      <c r="CX178" t="e">
        <f>ROUND(CV178*#REF!/10,1)</f>
        <v>#VALUE!</v>
      </c>
      <c r="CY178" s="1">
        <v>18.899999999999999</v>
      </c>
      <c r="CZ178">
        <f>ROUND((10*CC178*CS178),0)</f>
        <v>979</v>
      </c>
      <c r="DA178">
        <f>ROUND((CY178*CB178*10),0)</f>
        <v>158</v>
      </c>
      <c r="DB178">
        <f>(CZ178+DA178)/MAX(DA168,CZ169)</f>
        <v>1.0985507246376811</v>
      </c>
      <c r="DC178" s="26">
        <v>18.899999999999999</v>
      </c>
      <c r="DD178">
        <f t="shared" si="49"/>
        <v>1137</v>
      </c>
      <c r="DE178">
        <f t="shared" si="63"/>
        <v>0.15</v>
      </c>
      <c r="DF178">
        <f>ROUND(CZ178/MAX(DA168,CZ169), 2)</f>
        <v>0.95</v>
      </c>
    </row>
    <row r="179" spans="1:110" x14ac:dyDescent="0.15">
      <c r="A179" s="23">
        <v>2023</v>
      </c>
      <c r="B179" s="23" t="s">
        <v>48</v>
      </c>
      <c r="C179" s="23">
        <v>9</v>
      </c>
      <c r="D179" s="23">
        <v>17</v>
      </c>
      <c r="E179" s="23" t="s">
        <v>52</v>
      </c>
      <c r="F179" s="23" t="s">
        <v>54</v>
      </c>
      <c r="G179" s="23" t="s">
        <v>5</v>
      </c>
      <c r="H179" s="23">
        <v>1</v>
      </c>
      <c r="I179" s="23" t="s">
        <v>67</v>
      </c>
      <c r="J179" s="23" t="s">
        <v>57</v>
      </c>
      <c r="K179" s="24">
        <v>45077</v>
      </c>
      <c r="L179" s="27">
        <v>10000000000</v>
      </c>
      <c r="M179" s="1">
        <f>K179-K170</f>
        <v>0</v>
      </c>
      <c r="N179" s="24">
        <v>45088</v>
      </c>
      <c r="O179" s="24">
        <v>45100</v>
      </c>
      <c r="P179" s="24">
        <v>45075</v>
      </c>
      <c r="Q179" s="1">
        <f>P179-P170</f>
        <v>-3</v>
      </c>
      <c r="R179" s="1">
        <f>N179-N168</f>
        <v>3</v>
      </c>
      <c r="S179" s="1">
        <f>O179-O168</f>
        <v>3</v>
      </c>
      <c r="T179" s="1">
        <f t="shared" si="62"/>
        <v>3</v>
      </c>
      <c r="U179" s="1">
        <v>81</v>
      </c>
      <c r="V179" s="1">
        <v>84</v>
      </c>
      <c r="W179" s="1">
        <v>-3</v>
      </c>
      <c r="X179" s="1">
        <v>0</v>
      </c>
      <c r="Y179" s="1">
        <v>0</v>
      </c>
      <c r="Z179" s="1">
        <v>15</v>
      </c>
      <c r="AA179" s="25">
        <v>0</v>
      </c>
      <c r="AB179" s="1">
        <v>0</v>
      </c>
      <c r="AC179" s="1">
        <v>0</v>
      </c>
      <c r="AD179" s="25">
        <v>31.666666666666668</v>
      </c>
      <c r="AE179" s="25">
        <v>25</v>
      </c>
      <c r="AF179" s="25">
        <v>70</v>
      </c>
      <c r="AG179" s="25">
        <v>71</v>
      </c>
      <c r="AH179" s="1" t="s">
        <v>71</v>
      </c>
      <c r="AI179" s="1" t="s">
        <v>71</v>
      </c>
      <c r="AJ179" s="1">
        <v>2</v>
      </c>
      <c r="AK179" s="1">
        <v>0</v>
      </c>
      <c r="AL179" s="1">
        <v>0</v>
      </c>
      <c r="AM179" s="1">
        <v>0</v>
      </c>
      <c r="AN179" s="1">
        <v>0.01</v>
      </c>
      <c r="AO179" s="1">
        <v>0.01</v>
      </c>
      <c r="AP179" s="1">
        <v>1E-4</v>
      </c>
      <c r="AQ179" s="1">
        <v>8</v>
      </c>
      <c r="AR179" s="1">
        <v>0.01</v>
      </c>
      <c r="AS179" s="1">
        <v>5</v>
      </c>
      <c r="AT179" s="1">
        <v>0.05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16</v>
      </c>
      <c r="BI179" s="1">
        <v>6</v>
      </c>
      <c r="BJ179" s="1">
        <v>1</v>
      </c>
      <c r="BK179" s="1">
        <v>1.0000000000000002E-2</v>
      </c>
      <c r="BL179" s="1">
        <f t="shared" si="46"/>
        <v>1.0000000000000002</v>
      </c>
      <c r="BM179" s="1">
        <v>0.2</v>
      </c>
      <c r="BN179" s="1">
        <v>0.05</v>
      </c>
      <c r="BO179" s="1">
        <v>1</v>
      </c>
      <c r="BP179" s="1">
        <v>0</v>
      </c>
      <c r="BQ179" s="1">
        <v>121</v>
      </c>
      <c r="BR179" s="1">
        <v>43</v>
      </c>
      <c r="BS179" s="1">
        <v>4</v>
      </c>
      <c r="BT179" s="1">
        <v>8</v>
      </c>
      <c r="BU179" s="1">
        <v>3</v>
      </c>
      <c r="BV179" s="28">
        <v>6.333333333333333</v>
      </c>
      <c r="BW179" s="28">
        <v>1.3333333333333333</v>
      </c>
      <c r="BX179" s="1" t="s">
        <v>71</v>
      </c>
      <c r="BY179" s="1" t="s">
        <v>71</v>
      </c>
      <c r="BZ179" s="3">
        <v>0.9</v>
      </c>
      <c r="CA179" s="3">
        <v>1.5</v>
      </c>
      <c r="CB179" s="3">
        <f t="shared" si="47"/>
        <v>1.2500000000000002</v>
      </c>
      <c r="CC179" s="3">
        <f t="shared" si="52"/>
        <v>2.0833333333333335</v>
      </c>
      <c r="CD179" s="1">
        <f>ROUND(CB179/CB165+CC179/CC170,2)</f>
        <v>1.28</v>
      </c>
      <c r="CE179" s="1">
        <f>ROUND(CB179/CB168+CC179/CC170,2)</f>
        <v>1.1399999999999999</v>
      </c>
      <c r="CF179" s="1">
        <f>ROUND(CB179/(1.2*CB168)+CC179/CC170,2)</f>
        <v>1.0900000000000001</v>
      </c>
      <c r="CG179" s="1">
        <f>ROUND(CB179/CB165,2)</f>
        <v>0.45</v>
      </c>
      <c r="CH179" s="1">
        <f>ROUND(CB179/CB168,2)</f>
        <v>0.31</v>
      </c>
      <c r="CI179" s="1">
        <f>ROUND(CC179/CC170,2)</f>
        <v>0.83</v>
      </c>
      <c r="CJ179" s="1">
        <f>ROUND((CC179+CB179)/MAX(CC170,CB168),2)</f>
        <v>0.83</v>
      </c>
      <c r="CK179" s="1">
        <f>ROUND(LN((0.9*BZ179)/(0.1*CA179))/(BZ165/CA170),2)</f>
        <v>1.52</v>
      </c>
      <c r="CL179" s="1">
        <f>ROUND(LN((0.9*BZ179)/(0.1*CA179))/(BZ168/CA170),2)</f>
        <v>1.05</v>
      </c>
      <c r="CM179" s="1">
        <f>ROUND(LN((0.1*CA179)/(0.9*BZ179))/(CA170/BZ165),2)</f>
        <v>-1.87</v>
      </c>
      <c r="CN179" s="1">
        <f>ROUND(LN((0.1*CA179)/(0.9*BZ179))/(CA170/BZ168),2)</f>
        <v>-2.72</v>
      </c>
      <c r="CO179" s="5">
        <v>54</v>
      </c>
      <c r="CP179" s="5">
        <v>72</v>
      </c>
      <c r="CQ179" s="1">
        <v>35</v>
      </c>
      <c r="CR179" s="1">
        <v>125</v>
      </c>
      <c r="CS179" s="5">
        <v>40.4</v>
      </c>
      <c r="CT179" s="5">
        <v>8.5</v>
      </c>
      <c r="CU179" s="5">
        <v>4.5</v>
      </c>
      <c r="CV179" s="1" t="s">
        <v>71</v>
      </c>
      <c r="CW179" s="1" t="s">
        <v>71</v>
      </c>
      <c r="CX179" t="e">
        <f>ROUND(CV179*#REF!/10,1)</f>
        <v>#VALUE!</v>
      </c>
      <c r="CY179" s="1">
        <v>14.8</v>
      </c>
      <c r="CZ179">
        <f>ROUND((10*CC179*CS179),0)</f>
        <v>842</v>
      </c>
      <c r="DA179">
        <f>ROUND((CY179*CB179*10),0)</f>
        <v>185</v>
      </c>
      <c r="DB179">
        <f>(CZ179+DA179)/MAX(DA168,CZ170)</f>
        <v>1.0447609359104781</v>
      </c>
      <c r="DC179" s="26">
        <v>14.8</v>
      </c>
      <c r="DD179">
        <f t="shared" si="49"/>
        <v>1027</v>
      </c>
      <c r="DE179">
        <f t="shared" si="63"/>
        <v>0.18</v>
      </c>
      <c r="DF179">
        <f>ROUND(CZ179/MAX(DA168,CZ170), 2)</f>
        <v>0.86</v>
      </c>
    </row>
    <row r="180" spans="1:110" x14ac:dyDescent="0.15">
      <c r="A180" s="23">
        <v>2023</v>
      </c>
      <c r="B180" s="23" t="s">
        <v>48</v>
      </c>
      <c r="C180" s="23">
        <v>9</v>
      </c>
      <c r="D180" s="23">
        <v>18</v>
      </c>
      <c r="E180" s="23" t="s">
        <v>52</v>
      </c>
      <c r="F180" s="23" t="s">
        <v>55</v>
      </c>
      <c r="G180" s="23" t="s">
        <v>5</v>
      </c>
      <c r="H180" s="23">
        <v>1</v>
      </c>
      <c r="I180" s="23" t="s">
        <v>68</v>
      </c>
      <c r="J180" s="23" t="s">
        <v>57</v>
      </c>
      <c r="K180" s="24">
        <v>45072</v>
      </c>
      <c r="L180" s="27">
        <v>10000000000</v>
      </c>
      <c r="M180" s="1">
        <f>K180-K171</f>
        <v>2</v>
      </c>
      <c r="N180" s="24">
        <v>45089</v>
      </c>
      <c r="O180" s="24">
        <v>45102</v>
      </c>
      <c r="P180" s="24">
        <v>45076</v>
      </c>
      <c r="Q180" s="1">
        <f>P180-P171</f>
        <v>1</v>
      </c>
      <c r="R180" s="1">
        <f>N180-N168</f>
        <v>4</v>
      </c>
      <c r="S180" s="1">
        <f>O180-O168</f>
        <v>5</v>
      </c>
      <c r="T180" s="1">
        <f t="shared" si="62"/>
        <v>4.5</v>
      </c>
      <c r="U180" s="1">
        <v>79</v>
      </c>
      <c r="V180" s="1">
        <v>84</v>
      </c>
      <c r="W180" s="1">
        <v>-5</v>
      </c>
      <c r="X180" s="1">
        <v>0</v>
      </c>
      <c r="Y180" s="1">
        <v>0</v>
      </c>
      <c r="Z180" s="1">
        <v>10</v>
      </c>
      <c r="AA180" s="25">
        <v>0</v>
      </c>
      <c r="AB180" s="1">
        <v>5</v>
      </c>
      <c r="AC180" s="1">
        <v>0</v>
      </c>
      <c r="AD180" s="25">
        <v>32.666666666666664</v>
      </c>
      <c r="AE180" s="25">
        <v>23</v>
      </c>
      <c r="AF180" s="25">
        <v>79</v>
      </c>
      <c r="AG180" s="25">
        <v>75</v>
      </c>
      <c r="AH180" s="1" t="s">
        <v>71</v>
      </c>
      <c r="AI180" s="1" t="s">
        <v>71</v>
      </c>
      <c r="AJ180" s="1">
        <v>2.2999999999999998</v>
      </c>
      <c r="AK180" s="1">
        <v>0</v>
      </c>
      <c r="AL180" s="1">
        <v>0</v>
      </c>
      <c r="AM180" s="1">
        <v>0</v>
      </c>
      <c r="AN180" s="1">
        <v>0.01</v>
      </c>
      <c r="AO180" s="1">
        <v>0.01</v>
      </c>
      <c r="AP180" s="1">
        <v>1E-4</v>
      </c>
      <c r="AQ180" s="1">
        <v>16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18</v>
      </c>
      <c r="BI180" s="1">
        <v>75</v>
      </c>
      <c r="BJ180" s="1">
        <v>25</v>
      </c>
      <c r="BK180" s="1">
        <v>1.5E-3</v>
      </c>
      <c r="BL180" s="1">
        <f t="shared" si="46"/>
        <v>0.15</v>
      </c>
      <c r="BM180" s="1">
        <v>0.05</v>
      </c>
      <c r="BN180" s="1">
        <v>0.03</v>
      </c>
      <c r="BO180" s="1">
        <v>1</v>
      </c>
      <c r="BP180" s="1">
        <v>0</v>
      </c>
      <c r="BQ180" s="1">
        <v>139</v>
      </c>
      <c r="BR180" s="1">
        <v>5</v>
      </c>
      <c r="BS180" s="1">
        <v>0</v>
      </c>
      <c r="BT180" s="1">
        <v>11</v>
      </c>
      <c r="BU180" s="1">
        <v>2</v>
      </c>
      <c r="BV180" s="28">
        <v>6.333333333333333</v>
      </c>
      <c r="BW180" s="28">
        <v>0.33333333333333331</v>
      </c>
      <c r="BX180" s="1" t="s">
        <v>71</v>
      </c>
      <c r="BY180" s="1" t="s">
        <v>71</v>
      </c>
      <c r="BZ180" s="3">
        <v>0.7</v>
      </c>
      <c r="CA180" s="3">
        <v>1.6</v>
      </c>
      <c r="CB180" s="3">
        <f t="shared" si="47"/>
        <v>0.97222222222222221</v>
      </c>
      <c r="CC180" s="3">
        <f t="shared" si="52"/>
        <v>2.2222222222222228</v>
      </c>
      <c r="CD180" s="1">
        <f>ROUND(CB180/CB165+CC180/CC171,2)</f>
        <v>1.1100000000000001</v>
      </c>
      <c r="CE180" s="1">
        <f>ROUND(CB180/CB168+CC180/CC171,2)</f>
        <v>1</v>
      </c>
      <c r="CF180" s="1">
        <f>ROUND(CB180/(1.2*CB168)+CC180/CC171,2)</f>
        <v>0.96</v>
      </c>
      <c r="CG180" s="1">
        <f>ROUND(CB180/CB165,2)</f>
        <v>0.35</v>
      </c>
      <c r="CH180" s="1">
        <f>ROUND(CB180/CB168,2)</f>
        <v>0.24</v>
      </c>
      <c r="CI180" s="1">
        <f>ROUND(CC180/CC171,2)</f>
        <v>0.76</v>
      </c>
      <c r="CJ180" s="1">
        <f>ROUND((CC180+CB180)/MAX(CC171,CB168),2)</f>
        <v>0.79</v>
      </c>
      <c r="CK180" s="1">
        <f>ROUND(LN((0.9*BZ180)/(0.1*CA180))/(BZ165/CA171),2)</f>
        <v>1.44</v>
      </c>
      <c r="CL180" s="1">
        <f>ROUND(LN((0.9*BZ180)/(0.1*CA180))/(BZ168/CA171),2)</f>
        <v>0.99</v>
      </c>
      <c r="CM180" s="1">
        <f>ROUND(LN((0.1*CA180)/(0.9*BZ180))/(CA171/BZ165),2)</f>
        <v>-1.31</v>
      </c>
      <c r="CN180" s="1">
        <f>ROUND(LN((0.1*CA180)/(0.9*BZ180))/(CA171/BZ168),2)</f>
        <v>-1.89</v>
      </c>
      <c r="CO180" s="5">
        <v>50</v>
      </c>
      <c r="CP180" s="5">
        <v>66</v>
      </c>
      <c r="CQ180" s="1">
        <v>32</v>
      </c>
      <c r="CR180" s="1">
        <v>132</v>
      </c>
      <c r="CS180" s="5">
        <v>40.200000000000003</v>
      </c>
      <c r="CT180" s="5">
        <v>7.8</v>
      </c>
      <c r="CU180" s="5">
        <v>2</v>
      </c>
      <c r="CV180" s="1" t="s">
        <v>71</v>
      </c>
      <c r="CW180" s="1" t="s">
        <v>71</v>
      </c>
      <c r="CX180" t="e">
        <f>ROUND(CV180*#REF!/10,1)</f>
        <v>#VALUE!</v>
      </c>
      <c r="CY180" s="1">
        <v>16.2</v>
      </c>
      <c r="CZ180">
        <f>ROUND((10*CC180*CS180),0)</f>
        <v>893</v>
      </c>
      <c r="DA180">
        <f>ROUND((CY180*CB180*10),0)</f>
        <v>158</v>
      </c>
      <c r="DB180">
        <f>(CZ180+DA180)/MAX(DA168,CZ171)</f>
        <v>0.84417670682730928</v>
      </c>
      <c r="DC180" s="26">
        <v>16.2</v>
      </c>
      <c r="DD180">
        <f t="shared" si="49"/>
        <v>1051</v>
      </c>
      <c r="DE180">
        <f t="shared" si="63"/>
        <v>0.12</v>
      </c>
      <c r="DF180">
        <f>ROUND(CZ180/MAX(DA168,CZ171), 2)</f>
        <v>0.72</v>
      </c>
    </row>
    <row r="181" spans="1:110" ht="15" x14ac:dyDescent="0.15">
      <c r="A181" s="23">
        <v>2023</v>
      </c>
      <c r="B181" s="23" t="s">
        <v>48</v>
      </c>
      <c r="C181" s="23">
        <v>9</v>
      </c>
      <c r="D181" s="23">
        <v>19</v>
      </c>
      <c r="E181" s="23"/>
      <c r="F181" s="23"/>
      <c r="G181" s="23" t="s">
        <v>5</v>
      </c>
      <c r="H181" s="23">
        <v>1</v>
      </c>
      <c r="I181" s="23" t="s">
        <v>69</v>
      </c>
      <c r="J181" s="23" t="s">
        <v>57</v>
      </c>
      <c r="K181" s="24">
        <v>45070</v>
      </c>
      <c r="L181" s="1" t="s">
        <v>71</v>
      </c>
      <c r="M181" s="1" t="s">
        <v>71</v>
      </c>
      <c r="N181" s="1" t="s">
        <v>71</v>
      </c>
      <c r="O181" s="1" t="s">
        <v>71</v>
      </c>
      <c r="P181" s="24">
        <v>45077</v>
      </c>
      <c r="Q181" s="1" t="s">
        <v>71</v>
      </c>
      <c r="R181" s="1" t="s">
        <v>71</v>
      </c>
      <c r="S181" s="1" t="s">
        <v>71</v>
      </c>
      <c r="T181" s="1" t="s">
        <v>71</v>
      </c>
      <c r="U181" s="1" t="s">
        <v>71</v>
      </c>
      <c r="V181" s="1">
        <v>84</v>
      </c>
      <c r="W181" s="1" t="s">
        <v>71</v>
      </c>
      <c r="X181" s="1">
        <v>0</v>
      </c>
      <c r="Y181" s="1" t="s">
        <v>71</v>
      </c>
      <c r="Z181" s="1">
        <v>0</v>
      </c>
      <c r="AA181" s="1" t="s">
        <v>71</v>
      </c>
      <c r="AB181" s="1">
        <v>0</v>
      </c>
      <c r="AC181" s="1">
        <v>0</v>
      </c>
      <c r="AD181" s="25" t="s">
        <v>71</v>
      </c>
      <c r="AE181" s="25">
        <v>19.333333333333332</v>
      </c>
      <c r="AF181" s="25" t="s">
        <v>71</v>
      </c>
      <c r="AG181" s="25">
        <v>75</v>
      </c>
      <c r="AH181" s="1" t="s">
        <v>71</v>
      </c>
      <c r="AI181" s="1" t="s">
        <v>71</v>
      </c>
      <c r="AJ181" s="1" t="s">
        <v>71</v>
      </c>
      <c r="AK181" s="1" t="s">
        <v>71</v>
      </c>
      <c r="AL181" s="1" t="s">
        <v>71</v>
      </c>
      <c r="AM181" s="1" t="s">
        <v>71</v>
      </c>
      <c r="AN181" s="1" t="s">
        <v>71</v>
      </c>
      <c r="AO181" s="1" t="s">
        <v>71</v>
      </c>
      <c r="AP181" s="1" t="s">
        <v>71</v>
      </c>
      <c r="AQ181" s="1" t="s">
        <v>71</v>
      </c>
      <c r="AR181" s="1" t="s">
        <v>71</v>
      </c>
      <c r="AS181" s="1" t="s">
        <v>71</v>
      </c>
      <c r="AT181" s="1" t="s">
        <v>71</v>
      </c>
      <c r="AU181" s="1">
        <v>0</v>
      </c>
      <c r="AV181" s="1">
        <v>0</v>
      </c>
      <c r="AW181" s="1">
        <v>0</v>
      </c>
      <c r="AX181" s="1" t="s">
        <v>71</v>
      </c>
      <c r="AY181" s="1" t="s">
        <v>71</v>
      </c>
      <c r="AZ181" s="1">
        <v>0</v>
      </c>
      <c r="BA181" s="1" t="s">
        <v>71</v>
      </c>
      <c r="BB181" s="1" t="s">
        <v>71</v>
      </c>
      <c r="BC181" s="1" t="s">
        <v>71</v>
      </c>
      <c r="BD181" s="1" t="s">
        <v>71</v>
      </c>
      <c r="BE181" s="1" t="s">
        <v>71</v>
      </c>
      <c r="BF181" s="1" t="s">
        <v>71</v>
      </c>
      <c r="BG181" s="1" t="s">
        <v>71</v>
      </c>
      <c r="BH181" s="1">
        <v>88</v>
      </c>
      <c r="BI181" s="1">
        <v>65</v>
      </c>
      <c r="BJ181" s="1">
        <v>25</v>
      </c>
      <c r="BK181" s="1">
        <v>4.9000000000000002E-2</v>
      </c>
      <c r="BL181" s="1">
        <f t="shared" si="46"/>
        <v>4.9000000000000004</v>
      </c>
      <c r="BM181" s="1">
        <v>0.7</v>
      </c>
      <c r="BN181" s="1">
        <v>7.0000000000000007E-2</v>
      </c>
      <c r="BO181" s="1">
        <v>1</v>
      </c>
      <c r="BP181" s="1">
        <v>5</v>
      </c>
      <c r="BQ181" s="1">
        <v>110</v>
      </c>
      <c r="BR181" s="1">
        <v>52</v>
      </c>
      <c r="BS181" s="1">
        <v>0</v>
      </c>
      <c r="BT181" s="1">
        <v>19</v>
      </c>
      <c r="BU181" s="1" t="s">
        <v>71</v>
      </c>
      <c r="BV181" s="28">
        <v>5</v>
      </c>
      <c r="BW181" s="28">
        <v>1.3333333333333333</v>
      </c>
      <c r="BX181" s="1" t="s">
        <v>71</v>
      </c>
      <c r="BY181" s="1" t="s">
        <v>71</v>
      </c>
      <c r="BZ181" s="3" t="s">
        <v>71</v>
      </c>
      <c r="CA181" s="3" t="s">
        <v>71</v>
      </c>
      <c r="CB181" s="3" t="s">
        <v>71</v>
      </c>
      <c r="CC181" s="3" t="s">
        <v>71</v>
      </c>
      <c r="CD181" s="1" t="s">
        <v>71</v>
      </c>
      <c r="CE181" s="1" t="s">
        <v>71</v>
      </c>
      <c r="CF181" s="1" t="s">
        <v>71</v>
      </c>
      <c r="CG181" s="1" t="s">
        <v>71</v>
      </c>
      <c r="CH181" s="1" t="s">
        <v>71</v>
      </c>
      <c r="CI181" s="1" t="s">
        <v>71</v>
      </c>
      <c r="CJ181" s="1" t="s">
        <v>71</v>
      </c>
      <c r="CK181" s="1" t="s">
        <v>71</v>
      </c>
      <c r="CL181" s="3" t="s">
        <v>71</v>
      </c>
      <c r="CM181" s="3" t="s">
        <v>71</v>
      </c>
      <c r="CN181" s="3" t="s">
        <v>71</v>
      </c>
      <c r="CO181" s="5" t="s">
        <v>71</v>
      </c>
      <c r="CP181" s="5">
        <v>72</v>
      </c>
      <c r="CQ181" s="1" t="s">
        <v>71</v>
      </c>
      <c r="CR181" s="1">
        <v>141</v>
      </c>
      <c r="CS181" s="5">
        <v>36.9</v>
      </c>
      <c r="CT181" s="5" t="s">
        <v>71</v>
      </c>
      <c r="CU181" s="5">
        <v>4.4000000000000004</v>
      </c>
      <c r="CV181" s="1" t="s">
        <v>71</v>
      </c>
      <c r="CW181" s="1" t="s">
        <v>71</v>
      </c>
      <c r="CX181" t="s">
        <v>71</v>
      </c>
      <c r="CY181" s="1" t="s">
        <v>71</v>
      </c>
      <c r="CZ181" t="s">
        <v>71</v>
      </c>
      <c r="DA181" t="s">
        <v>71</v>
      </c>
      <c r="DB181" t="s">
        <v>71</v>
      </c>
      <c r="DC181" s="26" t="s">
        <v>71</v>
      </c>
      <c r="DD181">
        <f t="shared" si="49"/>
        <v>0</v>
      </c>
      <c r="DE181" t="s">
        <v>71</v>
      </c>
      <c r="DF181" s="26" t="s">
        <v>71</v>
      </c>
    </row>
    <row r="182" spans="1:110" ht="15" x14ac:dyDescent="0.15">
      <c r="A182" s="23">
        <v>2023</v>
      </c>
      <c r="B182" s="23" t="s">
        <v>48</v>
      </c>
      <c r="C182" s="23">
        <v>9</v>
      </c>
      <c r="D182" s="23">
        <v>20</v>
      </c>
      <c r="E182" s="23"/>
      <c r="F182" s="23"/>
      <c r="G182" s="23" t="s">
        <v>5</v>
      </c>
      <c r="H182" s="23">
        <v>1</v>
      </c>
      <c r="I182" s="23" t="s">
        <v>70</v>
      </c>
      <c r="J182" s="23" t="s">
        <v>57</v>
      </c>
      <c r="K182" s="24">
        <v>45077</v>
      </c>
      <c r="L182" s="1" t="s">
        <v>71</v>
      </c>
      <c r="M182" s="1" t="s">
        <v>71</v>
      </c>
      <c r="N182" s="1" t="s">
        <v>71</v>
      </c>
      <c r="O182" s="1" t="s">
        <v>71</v>
      </c>
      <c r="P182" s="24">
        <v>45079</v>
      </c>
      <c r="Q182" s="1" t="s">
        <v>71</v>
      </c>
      <c r="R182" s="1" t="s">
        <v>71</v>
      </c>
      <c r="S182" s="1" t="s">
        <v>71</v>
      </c>
      <c r="T182" s="1" t="s">
        <v>71</v>
      </c>
      <c r="U182" s="1" t="s">
        <v>71</v>
      </c>
      <c r="V182" s="1">
        <v>83</v>
      </c>
      <c r="W182" s="1" t="s">
        <v>71</v>
      </c>
      <c r="X182" s="1">
        <v>0</v>
      </c>
      <c r="Y182" s="1" t="s">
        <v>71</v>
      </c>
      <c r="Z182" s="1">
        <v>0</v>
      </c>
      <c r="AA182" s="1" t="s">
        <v>71</v>
      </c>
      <c r="AB182" s="1">
        <v>0</v>
      </c>
      <c r="AC182" s="1" t="s">
        <v>71</v>
      </c>
      <c r="AD182" s="25" t="s">
        <v>71</v>
      </c>
      <c r="AE182" s="25">
        <v>14.666666666666666</v>
      </c>
      <c r="AF182" s="25" t="s">
        <v>71</v>
      </c>
      <c r="AG182" s="25">
        <v>63</v>
      </c>
      <c r="AH182" s="1" t="s">
        <v>71</v>
      </c>
      <c r="AI182" s="1" t="s">
        <v>71</v>
      </c>
      <c r="AJ182" s="1" t="s">
        <v>71</v>
      </c>
      <c r="AK182" s="1" t="s">
        <v>71</v>
      </c>
      <c r="AL182" s="1" t="s">
        <v>71</v>
      </c>
      <c r="AM182" s="1" t="s">
        <v>71</v>
      </c>
      <c r="AN182" s="1" t="s">
        <v>71</v>
      </c>
      <c r="AO182" s="1" t="s">
        <v>71</v>
      </c>
      <c r="AP182" s="1" t="s">
        <v>71</v>
      </c>
      <c r="AQ182" s="1" t="s">
        <v>71</v>
      </c>
      <c r="AR182" s="1" t="s">
        <v>71</v>
      </c>
      <c r="AS182" s="1" t="s">
        <v>71</v>
      </c>
      <c r="AT182" s="1" t="s">
        <v>71</v>
      </c>
      <c r="AU182" s="1">
        <v>0</v>
      </c>
      <c r="AV182" s="1">
        <v>0</v>
      </c>
      <c r="AW182" s="1">
        <v>0</v>
      </c>
      <c r="AX182" s="1" t="s">
        <v>71</v>
      </c>
      <c r="AY182" s="1" t="s">
        <v>71</v>
      </c>
      <c r="AZ182" s="1">
        <v>0</v>
      </c>
      <c r="BA182" s="1" t="s">
        <v>71</v>
      </c>
      <c r="BB182" s="1" t="s">
        <v>71</v>
      </c>
      <c r="BC182" s="1" t="s">
        <v>71</v>
      </c>
      <c r="BD182" s="1" t="s">
        <v>71</v>
      </c>
      <c r="BE182" s="1" t="s">
        <v>71</v>
      </c>
      <c r="BF182" s="1" t="s">
        <v>71</v>
      </c>
      <c r="BG182" s="1" t="s">
        <v>71</v>
      </c>
      <c r="BH182" s="1">
        <v>196</v>
      </c>
      <c r="BI182" s="1">
        <v>0.1</v>
      </c>
      <c r="BJ182" s="1">
        <v>0.1</v>
      </c>
      <c r="BK182" s="1">
        <v>1.2E-2</v>
      </c>
      <c r="BL182" s="1">
        <f t="shared" si="46"/>
        <v>1.2</v>
      </c>
      <c r="BM182" s="1">
        <v>0.2</v>
      </c>
      <c r="BN182" s="1">
        <v>0.06</v>
      </c>
      <c r="BO182" s="1">
        <v>1</v>
      </c>
      <c r="BP182" s="1">
        <v>40</v>
      </c>
      <c r="BQ182" s="1">
        <v>4</v>
      </c>
      <c r="BR182" s="1">
        <v>9</v>
      </c>
      <c r="BS182" s="1">
        <v>26</v>
      </c>
      <c r="BT182" s="1">
        <v>7</v>
      </c>
      <c r="BU182" s="1" t="s">
        <v>71</v>
      </c>
      <c r="BV182" s="28">
        <v>9.3333333333333339</v>
      </c>
      <c r="BW182" s="28">
        <v>0</v>
      </c>
      <c r="BX182" s="1" t="s">
        <v>71</v>
      </c>
      <c r="BY182" s="1" t="s">
        <v>71</v>
      </c>
      <c r="BZ182" s="3" t="s">
        <v>71</v>
      </c>
      <c r="CA182" s="3" t="s">
        <v>71</v>
      </c>
      <c r="CB182" s="3" t="s">
        <v>71</v>
      </c>
      <c r="CC182" s="3" t="s">
        <v>71</v>
      </c>
      <c r="CD182" s="1" t="s">
        <v>71</v>
      </c>
      <c r="CE182" s="1" t="s">
        <v>71</v>
      </c>
      <c r="CF182" s="1" t="s">
        <v>71</v>
      </c>
      <c r="CG182" s="1" t="s">
        <v>71</v>
      </c>
      <c r="CH182" s="1" t="s">
        <v>71</v>
      </c>
      <c r="CI182" s="1" t="s">
        <v>71</v>
      </c>
      <c r="CJ182" s="1" t="s">
        <v>71</v>
      </c>
      <c r="CK182" s="1" t="s">
        <v>71</v>
      </c>
      <c r="CL182" s="3" t="s">
        <v>71</v>
      </c>
      <c r="CM182" s="3" t="s">
        <v>71</v>
      </c>
      <c r="CN182" s="3" t="s">
        <v>71</v>
      </c>
      <c r="CO182" s="5" t="s">
        <v>71</v>
      </c>
      <c r="CP182" s="5">
        <v>77</v>
      </c>
      <c r="CQ182" s="1" t="s">
        <v>71</v>
      </c>
      <c r="CR182" s="1">
        <v>129</v>
      </c>
      <c r="CS182" s="5">
        <v>49.3</v>
      </c>
      <c r="CT182" s="5" t="s">
        <v>71</v>
      </c>
      <c r="CU182" s="5">
        <v>3.6</v>
      </c>
      <c r="CV182" s="1" t="s">
        <v>71</v>
      </c>
      <c r="CW182" s="1" t="s">
        <v>71</v>
      </c>
      <c r="CX182" t="s">
        <v>71</v>
      </c>
      <c r="CY182" s="1" t="s">
        <v>71</v>
      </c>
      <c r="CZ182" t="s">
        <v>71</v>
      </c>
      <c r="DA182" t="s">
        <v>71</v>
      </c>
      <c r="DB182" t="s">
        <v>71</v>
      </c>
      <c r="DC182" s="26" t="s">
        <v>71</v>
      </c>
      <c r="DD182">
        <f t="shared" si="49"/>
        <v>0</v>
      </c>
      <c r="DE182" t="s">
        <v>71</v>
      </c>
      <c r="DF182" s="26" t="s">
        <v>71</v>
      </c>
    </row>
    <row r="183" spans="1:110" ht="15" x14ac:dyDescent="0.15">
      <c r="A183" s="23">
        <v>2023</v>
      </c>
      <c r="B183" s="23" t="s">
        <v>48</v>
      </c>
      <c r="C183" s="23">
        <v>10</v>
      </c>
      <c r="D183" s="23">
        <v>1</v>
      </c>
      <c r="E183" s="23" t="s">
        <v>50</v>
      </c>
      <c r="F183" s="23"/>
      <c r="G183" s="23" t="s">
        <v>56</v>
      </c>
      <c r="H183" s="23">
        <v>2</v>
      </c>
      <c r="I183" s="23" t="s">
        <v>50</v>
      </c>
      <c r="J183" s="23" t="s">
        <v>57</v>
      </c>
      <c r="K183" s="1" t="s">
        <v>57</v>
      </c>
      <c r="L183" s="1" t="s">
        <v>71</v>
      </c>
      <c r="M183" s="1" t="s">
        <v>71</v>
      </c>
      <c r="N183" s="24">
        <v>45081</v>
      </c>
      <c r="O183" s="24">
        <v>45089</v>
      </c>
      <c r="P183" s="1" t="s">
        <v>71</v>
      </c>
      <c r="Q183" s="1" t="s">
        <v>71</v>
      </c>
      <c r="R183" s="1" t="s">
        <v>71</v>
      </c>
      <c r="S183" s="1" t="s">
        <v>71</v>
      </c>
      <c r="T183" s="1" t="s">
        <v>71</v>
      </c>
      <c r="U183" s="1">
        <v>83</v>
      </c>
      <c r="V183" s="1" t="s">
        <v>71</v>
      </c>
      <c r="W183" s="1" t="s">
        <v>71</v>
      </c>
      <c r="X183" s="1" t="s">
        <v>71</v>
      </c>
      <c r="Y183" s="1">
        <v>0</v>
      </c>
      <c r="Z183" s="1" t="s">
        <v>71</v>
      </c>
      <c r="AA183" s="1">
        <v>0</v>
      </c>
      <c r="AB183" s="1" t="s">
        <v>71</v>
      </c>
      <c r="AC183" s="1">
        <v>0</v>
      </c>
      <c r="AD183" s="25">
        <v>29.666666666666668</v>
      </c>
      <c r="AE183" s="25" t="s">
        <v>71</v>
      </c>
      <c r="AF183" s="25">
        <v>62</v>
      </c>
      <c r="AG183" s="25" t="s">
        <v>71</v>
      </c>
      <c r="AH183" s="1" t="s">
        <v>71</v>
      </c>
      <c r="AI183" s="1" t="s">
        <v>71</v>
      </c>
      <c r="AJ183" s="1">
        <v>1.3</v>
      </c>
      <c r="AK183" s="1">
        <v>0</v>
      </c>
      <c r="AL183" s="1">
        <v>0</v>
      </c>
      <c r="AM183" s="1">
        <v>0</v>
      </c>
      <c r="AN183" s="1">
        <v>0.1</v>
      </c>
      <c r="AO183" s="1">
        <v>0.03</v>
      </c>
      <c r="AP183" s="1">
        <v>3.0000000000000001E-3</v>
      </c>
      <c r="AQ183" s="1">
        <v>11</v>
      </c>
      <c r="AR183" s="1">
        <v>0.05</v>
      </c>
      <c r="AS183" s="1">
        <v>1</v>
      </c>
      <c r="AT183" s="1">
        <v>0.05</v>
      </c>
      <c r="AU183" s="1" t="s">
        <v>71</v>
      </c>
      <c r="AV183" s="1" t="s">
        <v>71</v>
      </c>
      <c r="AW183" s="1" t="s">
        <v>71</v>
      </c>
      <c r="AX183" s="1">
        <v>0</v>
      </c>
      <c r="AY183" s="1">
        <v>0</v>
      </c>
      <c r="AZ183" s="1" t="s">
        <v>71</v>
      </c>
      <c r="BA183" s="1">
        <v>0.01</v>
      </c>
      <c r="BB183" s="1">
        <v>2.5000000000000001E-3</v>
      </c>
      <c r="BC183" s="1">
        <v>2.5000000000000001E-5</v>
      </c>
      <c r="BD183" s="1">
        <v>0</v>
      </c>
      <c r="BE183" s="1">
        <v>0</v>
      </c>
      <c r="BF183" s="1">
        <v>0</v>
      </c>
      <c r="BG183" s="1">
        <v>0</v>
      </c>
      <c r="BH183" s="1" t="s">
        <v>71</v>
      </c>
      <c r="BI183" s="1" t="s">
        <v>71</v>
      </c>
      <c r="BJ183" s="1" t="s">
        <v>71</v>
      </c>
      <c r="BK183" s="1">
        <v>3.0000000000000001E-3</v>
      </c>
      <c r="BL183" s="1">
        <f t="shared" si="46"/>
        <v>0.3</v>
      </c>
      <c r="BM183" s="1">
        <v>0.1</v>
      </c>
      <c r="BN183" s="1">
        <v>0.03</v>
      </c>
      <c r="BO183" s="1">
        <v>2</v>
      </c>
      <c r="BP183" s="1">
        <v>5</v>
      </c>
      <c r="BQ183" s="1" t="s">
        <v>71</v>
      </c>
      <c r="BR183" s="1" t="s">
        <v>71</v>
      </c>
      <c r="BS183" s="1" t="s">
        <v>71</v>
      </c>
      <c r="BT183" s="1" t="s">
        <v>71</v>
      </c>
      <c r="BU183" s="1">
        <v>14</v>
      </c>
      <c r="BV183" s="28" t="s">
        <v>71</v>
      </c>
      <c r="BW183" s="28" t="s">
        <v>71</v>
      </c>
      <c r="BX183" s="1" t="s">
        <v>71</v>
      </c>
      <c r="BY183" s="1" t="s">
        <v>71</v>
      </c>
      <c r="BZ183" s="3">
        <v>1.6</v>
      </c>
      <c r="CA183" s="3" t="s">
        <v>71</v>
      </c>
      <c r="CB183" s="3">
        <f t="shared" si="47"/>
        <v>2.2222222222222228</v>
      </c>
      <c r="CC183" s="1" t="s">
        <v>71</v>
      </c>
      <c r="CD183" s="1">
        <v>1</v>
      </c>
      <c r="CE183" s="1">
        <v>1</v>
      </c>
      <c r="CF183" s="1">
        <f>CE183</f>
        <v>1</v>
      </c>
      <c r="CG183" s="3" t="s">
        <v>71</v>
      </c>
      <c r="CH183" s="3" t="s">
        <v>71</v>
      </c>
      <c r="CI183" s="3" t="s">
        <v>71</v>
      </c>
      <c r="CJ183" s="3" t="s">
        <v>71</v>
      </c>
      <c r="CK183" s="3" t="s">
        <v>71</v>
      </c>
      <c r="CL183" s="3" t="s">
        <v>71</v>
      </c>
      <c r="CM183" s="3" t="s">
        <v>71</v>
      </c>
      <c r="CN183" s="3" t="s">
        <v>71</v>
      </c>
      <c r="CO183" s="5">
        <v>48</v>
      </c>
      <c r="CP183" s="5" t="s">
        <v>71</v>
      </c>
      <c r="CQ183" s="1">
        <v>40</v>
      </c>
      <c r="CR183" s="1" t="s">
        <v>71</v>
      </c>
      <c r="CS183" s="5" t="s">
        <v>71</v>
      </c>
      <c r="CT183" s="5">
        <v>8.6999999999999993</v>
      </c>
      <c r="CU183" s="5" t="s">
        <v>71</v>
      </c>
      <c r="CV183" s="1" t="s">
        <v>71</v>
      </c>
      <c r="CW183" s="1" t="s">
        <v>71</v>
      </c>
      <c r="CX183" s="1" t="s">
        <v>71</v>
      </c>
      <c r="CY183" s="1">
        <v>10.6</v>
      </c>
      <c r="CZ183" s="1" t="s">
        <v>71</v>
      </c>
      <c r="DA183">
        <f t="shared" ref="DA183:DA188" si="64">ROUND((CY183*CB183*10),0)</f>
        <v>236</v>
      </c>
      <c r="DB183" s="1" t="s">
        <v>71</v>
      </c>
      <c r="DC183" s="26">
        <v>10.6</v>
      </c>
      <c r="DD183">
        <f t="shared" si="49"/>
        <v>236</v>
      </c>
      <c r="DE183" s="1" t="s">
        <v>71</v>
      </c>
      <c r="DF183" s="1" t="s">
        <v>71</v>
      </c>
    </row>
    <row r="184" spans="1:110" ht="15" x14ac:dyDescent="0.15">
      <c r="A184" s="23">
        <v>2023</v>
      </c>
      <c r="B184" s="23" t="s">
        <v>48</v>
      </c>
      <c r="C184" s="23">
        <v>10</v>
      </c>
      <c r="D184" s="23">
        <v>2</v>
      </c>
      <c r="E184" s="23" t="s">
        <v>51</v>
      </c>
      <c r="F184" s="23"/>
      <c r="G184" s="23" t="s">
        <v>56</v>
      </c>
      <c r="H184" s="23">
        <v>2</v>
      </c>
      <c r="I184" s="23" t="s">
        <v>51</v>
      </c>
      <c r="J184" s="23" t="s">
        <v>57</v>
      </c>
      <c r="K184" s="1" t="s">
        <v>57</v>
      </c>
      <c r="L184" s="1" t="s">
        <v>71</v>
      </c>
      <c r="M184" s="1" t="s">
        <v>71</v>
      </c>
      <c r="N184" s="24">
        <v>45085</v>
      </c>
      <c r="O184" s="24">
        <v>45090</v>
      </c>
      <c r="P184" s="1" t="s">
        <v>71</v>
      </c>
      <c r="Q184" s="1" t="s">
        <v>71</v>
      </c>
      <c r="R184" s="1" t="s">
        <v>71</v>
      </c>
      <c r="S184" s="1" t="s">
        <v>71</v>
      </c>
      <c r="T184" s="1" t="s">
        <v>71</v>
      </c>
      <c r="U184" s="1">
        <v>83</v>
      </c>
      <c r="V184" s="1" t="s">
        <v>71</v>
      </c>
      <c r="W184" s="1" t="s">
        <v>71</v>
      </c>
      <c r="X184" s="1" t="s">
        <v>71</v>
      </c>
      <c r="Y184" s="1">
        <v>0</v>
      </c>
      <c r="Z184" s="1" t="s">
        <v>71</v>
      </c>
      <c r="AA184" s="1">
        <v>0</v>
      </c>
      <c r="AB184" s="1" t="s">
        <v>71</v>
      </c>
      <c r="AC184" s="1">
        <v>0</v>
      </c>
      <c r="AD184" s="25">
        <v>32</v>
      </c>
      <c r="AE184" s="25" t="s">
        <v>71</v>
      </c>
      <c r="AF184" s="25">
        <v>64</v>
      </c>
      <c r="AG184" s="25" t="s">
        <v>71</v>
      </c>
      <c r="AH184" s="1" t="s">
        <v>71</v>
      </c>
      <c r="AI184" s="1" t="s">
        <v>71</v>
      </c>
      <c r="AJ184" s="1">
        <v>1.7</v>
      </c>
      <c r="AK184" s="1">
        <v>0</v>
      </c>
      <c r="AL184" s="1">
        <v>0</v>
      </c>
      <c r="AM184" s="1">
        <v>0</v>
      </c>
      <c r="AN184" s="1">
        <v>0.05</v>
      </c>
      <c r="AO184" s="1">
        <v>0.03</v>
      </c>
      <c r="AP184" s="1">
        <v>1.5E-3</v>
      </c>
      <c r="AQ184" s="1">
        <v>14</v>
      </c>
      <c r="AR184" s="1">
        <v>0.06</v>
      </c>
      <c r="AS184" s="1">
        <v>5</v>
      </c>
      <c r="AT184" s="1">
        <v>0.3</v>
      </c>
      <c r="AU184" s="1" t="s">
        <v>71</v>
      </c>
      <c r="AV184" s="1" t="s">
        <v>71</v>
      </c>
      <c r="AW184" s="1" t="s">
        <v>71</v>
      </c>
      <c r="AX184" s="1">
        <v>0</v>
      </c>
      <c r="AY184" s="1">
        <v>0</v>
      </c>
      <c r="AZ184" s="1" t="s">
        <v>71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 t="s">
        <v>71</v>
      </c>
      <c r="BI184" s="1" t="s">
        <v>71</v>
      </c>
      <c r="BJ184" s="1" t="s">
        <v>71</v>
      </c>
      <c r="BK184" s="1">
        <v>2.5000000000000005E-3</v>
      </c>
      <c r="BL184" s="1">
        <f t="shared" si="46"/>
        <v>0.25000000000000006</v>
      </c>
      <c r="BM184" s="1">
        <v>0.05</v>
      </c>
      <c r="BN184" s="1">
        <v>0.05</v>
      </c>
      <c r="BO184" s="1">
        <v>2</v>
      </c>
      <c r="BP184" s="1">
        <v>0</v>
      </c>
      <c r="BQ184" s="1" t="s">
        <v>71</v>
      </c>
      <c r="BR184" s="1" t="s">
        <v>71</v>
      </c>
      <c r="BS184" s="1" t="s">
        <v>71</v>
      </c>
      <c r="BT184" s="1" t="s">
        <v>71</v>
      </c>
      <c r="BU184" s="1">
        <v>25</v>
      </c>
      <c r="BV184" s="28" t="s">
        <v>71</v>
      </c>
      <c r="BW184" s="28" t="s">
        <v>71</v>
      </c>
      <c r="BX184" s="1" t="s">
        <v>71</v>
      </c>
      <c r="BY184" s="1" t="s">
        <v>71</v>
      </c>
      <c r="BZ184" s="3">
        <v>2.4</v>
      </c>
      <c r="CA184" s="3" t="s">
        <v>71</v>
      </c>
      <c r="CB184" s="3">
        <f t="shared" si="47"/>
        <v>3.3333333333333339</v>
      </c>
      <c r="CC184" s="1" t="s">
        <v>71</v>
      </c>
      <c r="CD184" s="1">
        <v>1</v>
      </c>
      <c r="CE184" s="1">
        <v>1</v>
      </c>
      <c r="CF184" s="1">
        <f t="shared" ref="CF184:CF197" si="65">CE184</f>
        <v>1</v>
      </c>
      <c r="CG184" s="3" t="s">
        <v>71</v>
      </c>
      <c r="CH184" s="3" t="s">
        <v>71</v>
      </c>
      <c r="CI184" s="3" t="s">
        <v>71</v>
      </c>
      <c r="CJ184" s="3" t="s">
        <v>71</v>
      </c>
      <c r="CK184" s="3" t="s">
        <v>71</v>
      </c>
      <c r="CL184" s="3" t="s">
        <v>71</v>
      </c>
      <c r="CM184" s="3" t="s">
        <v>71</v>
      </c>
      <c r="CN184" s="3" t="s">
        <v>71</v>
      </c>
      <c r="CO184" s="5">
        <v>46</v>
      </c>
      <c r="CP184" s="5" t="s">
        <v>71</v>
      </c>
      <c r="CQ184" s="1">
        <v>35</v>
      </c>
      <c r="CR184" s="1" t="s">
        <v>71</v>
      </c>
      <c r="CS184" s="5" t="s">
        <v>71</v>
      </c>
      <c r="CT184" s="5">
        <v>8.5</v>
      </c>
      <c r="CU184" s="5" t="s">
        <v>71</v>
      </c>
      <c r="CV184" s="1" t="s">
        <v>71</v>
      </c>
      <c r="CW184" s="1" t="s">
        <v>71</v>
      </c>
      <c r="CX184" s="1" t="s">
        <v>71</v>
      </c>
      <c r="CY184" s="1">
        <v>10</v>
      </c>
      <c r="CZ184" s="1" t="s">
        <v>71</v>
      </c>
      <c r="DA184">
        <f t="shared" si="64"/>
        <v>333</v>
      </c>
      <c r="DB184" s="1" t="s">
        <v>71</v>
      </c>
      <c r="DC184" s="26">
        <v>10</v>
      </c>
      <c r="DD184">
        <f t="shared" si="49"/>
        <v>333</v>
      </c>
      <c r="DE184" s="1" t="s">
        <v>71</v>
      </c>
      <c r="DF184" s="1" t="s">
        <v>71</v>
      </c>
    </row>
    <row r="185" spans="1:110" ht="15" x14ac:dyDescent="0.15">
      <c r="A185" s="23">
        <v>2023</v>
      </c>
      <c r="B185" s="23" t="s">
        <v>48</v>
      </c>
      <c r="C185" s="23">
        <v>10</v>
      </c>
      <c r="D185" s="23">
        <v>3</v>
      </c>
      <c r="E185" s="23" t="s">
        <v>52</v>
      </c>
      <c r="F185" s="23"/>
      <c r="G185" s="23" t="s">
        <v>56</v>
      </c>
      <c r="H185" s="23">
        <v>2</v>
      </c>
      <c r="I185" s="23" t="s">
        <v>52</v>
      </c>
      <c r="J185" s="23" t="s">
        <v>57</v>
      </c>
      <c r="K185" s="1" t="s">
        <v>57</v>
      </c>
      <c r="L185" s="1" t="s">
        <v>71</v>
      </c>
      <c r="M185" s="1" t="s">
        <v>71</v>
      </c>
      <c r="N185" s="24">
        <v>45086</v>
      </c>
      <c r="O185" s="24">
        <v>45098</v>
      </c>
      <c r="P185" s="1" t="s">
        <v>71</v>
      </c>
      <c r="Q185" s="1" t="s">
        <v>71</v>
      </c>
      <c r="R185" s="1" t="s">
        <v>71</v>
      </c>
      <c r="S185" s="1" t="s">
        <v>71</v>
      </c>
      <c r="T185" s="1" t="s">
        <v>71</v>
      </c>
      <c r="U185" s="1">
        <v>81</v>
      </c>
      <c r="V185" s="1" t="s">
        <v>71</v>
      </c>
      <c r="W185" s="1" t="s">
        <v>71</v>
      </c>
      <c r="X185" s="1" t="s">
        <v>71</v>
      </c>
      <c r="Y185" s="1">
        <v>0</v>
      </c>
      <c r="Z185" s="1" t="s">
        <v>71</v>
      </c>
      <c r="AA185" s="1">
        <v>0</v>
      </c>
      <c r="AB185" s="1" t="s">
        <v>71</v>
      </c>
      <c r="AC185" s="1">
        <v>0</v>
      </c>
      <c r="AD185" s="25">
        <v>27</v>
      </c>
      <c r="AE185" s="25" t="s">
        <v>71</v>
      </c>
      <c r="AF185" s="25">
        <v>54</v>
      </c>
      <c r="AG185" s="25" t="s">
        <v>71</v>
      </c>
      <c r="AH185" s="1" t="s">
        <v>71</v>
      </c>
      <c r="AI185" s="1" t="s">
        <v>71</v>
      </c>
      <c r="AJ185" s="1">
        <v>1.7</v>
      </c>
      <c r="AK185" s="1">
        <v>0</v>
      </c>
      <c r="AL185" s="1">
        <v>0</v>
      </c>
      <c r="AM185" s="1">
        <v>0</v>
      </c>
      <c r="AN185" s="1">
        <v>0.05</v>
      </c>
      <c r="AO185" s="1">
        <v>7.0000000000000007E-2</v>
      </c>
      <c r="AP185" s="1">
        <v>3.5000000000000005E-3</v>
      </c>
      <c r="AQ185" s="1">
        <v>29</v>
      </c>
      <c r="AR185" s="1">
        <v>0.05</v>
      </c>
      <c r="AS185" s="1">
        <v>4</v>
      </c>
      <c r="AT185" s="1">
        <v>0.2</v>
      </c>
      <c r="AU185" s="1" t="s">
        <v>71</v>
      </c>
      <c r="AV185" s="1" t="s">
        <v>71</v>
      </c>
      <c r="AW185" s="1" t="s">
        <v>71</v>
      </c>
      <c r="AX185" s="1">
        <v>0</v>
      </c>
      <c r="AY185" s="1">
        <v>0</v>
      </c>
      <c r="AZ185" s="1" t="s">
        <v>71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 t="s">
        <v>71</v>
      </c>
      <c r="BI185" s="1" t="s">
        <v>71</v>
      </c>
      <c r="BJ185" s="1" t="s">
        <v>71</v>
      </c>
      <c r="BK185" s="1">
        <v>1.0000000000000002E-2</v>
      </c>
      <c r="BL185" s="1">
        <f t="shared" si="46"/>
        <v>1.0000000000000002</v>
      </c>
      <c r="BM185" s="1">
        <v>0.1</v>
      </c>
      <c r="BN185" s="1">
        <v>0.1</v>
      </c>
      <c r="BO185" s="1">
        <v>3</v>
      </c>
      <c r="BP185" s="1">
        <v>0</v>
      </c>
      <c r="BQ185" s="1" t="s">
        <v>71</v>
      </c>
      <c r="BR185" s="1" t="s">
        <v>71</v>
      </c>
      <c r="BS185" s="1" t="s">
        <v>71</v>
      </c>
      <c r="BT185" s="1" t="s">
        <v>71</v>
      </c>
      <c r="BU185" s="1">
        <v>14</v>
      </c>
      <c r="BV185" s="28" t="s">
        <v>71</v>
      </c>
      <c r="BW185" s="28" t="s">
        <v>71</v>
      </c>
      <c r="BX185" s="1" t="s">
        <v>71</v>
      </c>
      <c r="BY185" s="1" t="s">
        <v>71</v>
      </c>
      <c r="BZ185" s="3">
        <v>2.1</v>
      </c>
      <c r="CA185" s="3" t="s">
        <v>71</v>
      </c>
      <c r="CB185" s="3">
        <f t="shared" si="47"/>
        <v>2.916666666666667</v>
      </c>
      <c r="CC185" s="1" t="s">
        <v>71</v>
      </c>
      <c r="CD185" s="1">
        <v>1</v>
      </c>
      <c r="CE185" s="1">
        <v>1</v>
      </c>
      <c r="CF185" s="1">
        <f t="shared" si="65"/>
        <v>1</v>
      </c>
      <c r="CG185" s="3" t="s">
        <v>71</v>
      </c>
      <c r="CH185" s="3" t="s">
        <v>71</v>
      </c>
      <c r="CI185" s="3" t="s">
        <v>71</v>
      </c>
      <c r="CJ185" s="3" t="s">
        <v>71</v>
      </c>
      <c r="CK185" s="3" t="s">
        <v>71</v>
      </c>
      <c r="CL185" s="3" t="s">
        <v>71</v>
      </c>
      <c r="CM185" s="3" t="s">
        <v>71</v>
      </c>
      <c r="CN185" s="3" t="s">
        <v>71</v>
      </c>
      <c r="CO185" s="5">
        <v>48</v>
      </c>
      <c r="CP185" s="5" t="s">
        <v>71</v>
      </c>
      <c r="CQ185" s="1">
        <v>34</v>
      </c>
      <c r="CR185" s="1" t="s">
        <v>71</v>
      </c>
      <c r="CS185" s="5" t="s">
        <v>71</v>
      </c>
      <c r="CT185" s="5">
        <v>8.8000000000000007</v>
      </c>
      <c r="CU185" s="5" t="s">
        <v>71</v>
      </c>
      <c r="CV185" s="1" t="s">
        <v>71</v>
      </c>
      <c r="CW185" s="1" t="s">
        <v>71</v>
      </c>
      <c r="CX185" s="1" t="s">
        <v>71</v>
      </c>
      <c r="CY185" s="1">
        <v>11.3</v>
      </c>
      <c r="CZ185" s="1" t="s">
        <v>71</v>
      </c>
      <c r="DA185">
        <f t="shared" si="64"/>
        <v>330</v>
      </c>
      <c r="DB185" s="1" t="s">
        <v>71</v>
      </c>
      <c r="DC185" s="26">
        <v>11.3</v>
      </c>
      <c r="DD185">
        <f t="shared" si="49"/>
        <v>330</v>
      </c>
      <c r="DE185" s="1" t="s">
        <v>71</v>
      </c>
      <c r="DF185" s="1" t="s">
        <v>71</v>
      </c>
    </row>
    <row r="186" spans="1:110" ht="15" x14ac:dyDescent="0.15">
      <c r="A186" s="23">
        <v>2023</v>
      </c>
      <c r="B186" s="23" t="s">
        <v>48</v>
      </c>
      <c r="C186" s="23">
        <v>10</v>
      </c>
      <c r="D186" s="23">
        <v>4</v>
      </c>
      <c r="E186" s="23" t="s">
        <v>50</v>
      </c>
      <c r="F186" s="23"/>
      <c r="G186" s="23" t="s">
        <v>56</v>
      </c>
      <c r="H186" s="23">
        <v>2</v>
      </c>
      <c r="I186" s="23" t="s">
        <v>50</v>
      </c>
      <c r="J186" s="23" t="s">
        <v>58</v>
      </c>
      <c r="K186" s="1" t="s">
        <v>57</v>
      </c>
      <c r="L186" s="1" t="s">
        <v>71</v>
      </c>
      <c r="M186" s="1" t="s">
        <v>71</v>
      </c>
      <c r="N186" s="24">
        <v>45080</v>
      </c>
      <c r="O186" s="24">
        <v>45088</v>
      </c>
      <c r="P186" s="1" t="s">
        <v>71</v>
      </c>
      <c r="Q186" s="1" t="s">
        <v>71</v>
      </c>
      <c r="R186" s="1" t="s">
        <v>71</v>
      </c>
      <c r="S186" s="1" t="s">
        <v>71</v>
      </c>
      <c r="T186" s="1" t="s">
        <v>71</v>
      </c>
      <c r="U186" s="1">
        <v>87</v>
      </c>
      <c r="V186" s="1" t="s">
        <v>71</v>
      </c>
      <c r="W186" s="1" t="s">
        <v>71</v>
      </c>
      <c r="X186" s="1" t="s">
        <v>71</v>
      </c>
      <c r="Y186" s="1">
        <v>0</v>
      </c>
      <c r="Z186" s="1" t="s">
        <v>71</v>
      </c>
      <c r="AA186" s="1">
        <v>0</v>
      </c>
      <c r="AB186" s="1" t="s">
        <v>71</v>
      </c>
      <c r="AC186" s="1">
        <v>0</v>
      </c>
      <c r="AD186" s="25">
        <v>43.666666666666664</v>
      </c>
      <c r="AE186" s="25" t="s">
        <v>71</v>
      </c>
      <c r="AF186" s="25">
        <v>97</v>
      </c>
      <c r="AG186" s="25" t="s">
        <v>71</v>
      </c>
      <c r="AH186" s="1" t="s">
        <v>71</v>
      </c>
      <c r="AI186" s="1" t="s">
        <v>71</v>
      </c>
      <c r="AJ186" s="1">
        <v>2</v>
      </c>
      <c r="AK186" s="1">
        <v>0</v>
      </c>
      <c r="AL186" s="1">
        <v>0</v>
      </c>
      <c r="AM186" s="1">
        <v>0</v>
      </c>
      <c r="AN186" s="1">
        <v>0.05</v>
      </c>
      <c r="AO186" s="1">
        <v>0.03</v>
      </c>
      <c r="AP186" s="1">
        <v>1.5E-3</v>
      </c>
      <c r="AQ186" s="1">
        <v>12</v>
      </c>
      <c r="AR186" s="1">
        <v>0.08</v>
      </c>
      <c r="AS186" s="1">
        <v>15</v>
      </c>
      <c r="AT186" s="1">
        <v>1.2</v>
      </c>
      <c r="AU186" s="1" t="s">
        <v>71</v>
      </c>
      <c r="AV186" s="1" t="s">
        <v>71</v>
      </c>
      <c r="AW186" s="1" t="s">
        <v>71</v>
      </c>
      <c r="AX186" s="1">
        <v>0</v>
      </c>
      <c r="AY186" s="1">
        <v>0</v>
      </c>
      <c r="AZ186" s="1" t="s">
        <v>71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 t="s">
        <v>71</v>
      </c>
      <c r="BI186" s="1" t="s">
        <v>71</v>
      </c>
      <c r="BJ186" s="1" t="s">
        <v>71</v>
      </c>
      <c r="BK186" s="1">
        <v>2E-3</v>
      </c>
      <c r="BL186" s="1">
        <f t="shared" si="46"/>
        <v>0.2</v>
      </c>
      <c r="BM186" s="1">
        <v>0.1</v>
      </c>
      <c r="BN186" s="1">
        <v>0.02</v>
      </c>
      <c r="BO186" s="1">
        <v>1</v>
      </c>
      <c r="BP186" s="1">
        <v>0</v>
      </c>
      <c r="BQ186" s="1" t="s">
        <v>71</v>
      </c>
      <c r="BR186" s="1" t="s">
        <v>71</v>
      </c>
      <c r="BS186" s="1" t="s">
        <v>71</v>
      </c>
      <c r="BT186" s="1" t="s">
        <v>71</v>
      </c>
      <c r="BU186" s="1">
        <v>38</v>
      </c>
      <c r="BV186" s="28" t="s">
        <v>71</v>
      </c>
      <c r="BW186" s="28" t="s">
        <v>71</v>
      </c>
      <c r="BX186" s="1" t="s">
        <v>71</v>
      </c>
      <c r="BY186" s="1" t="s">
        <v>71</v>
      </c>
      <c r="BZ186" s="3">
        <v>3</v>
      </c>
      <c r="CA186" s="3" t="s">
        <v>71</v>
      </c>
      <c r="CB186" s="3">
        <f t="shared" si="47"/>
        <v>4.166666666666667</v>
      </c>
      <c r="CC186" s="1" t="s">
        <v>71</v>
      </c>
      <c r="CD186" s="1">
        <v>1</v>
      </c>
      <c r="CE186" s="1">
        <v>1</v>
      </c>
      <c r="CF186" s="1">
        <f t="shared" si="65"/>
        <v>1</v>
      </c>
      <c r="CG186" s="3" t="s">
        <v>71</v>
      </c>
      <c r="CH186" s="3" t="s">
        <v>71</v>
      </c>
      <c r="CI186" s="3" t="s">
        <v>71</v>
      </c>
      <c r="CJ186" s="3" t="s">
        <v>71</v>
      </c>
      <c r="CK186" s="3" t="s">
        <v>71</v>
      </c>
      <c r="CL186" s="3" t="s">
        <v>71</v>
      </c>
      <c r="CM186" s="3" t="s">
        <v>71</v>
      </c>
      <c r="CN186" s="3" t="s">
        <v>71</v>
      </c>
      <c r="CO186" s="5">
        <v>50</v>
      </c>
      <c r="CP186" s="5" t="s">
        <v>71</v>
      </c>
      <c r="CQ186" s="1">
        <v>39</v>
      </c>
      <c r="CR186" s="1" t="s">
        <v>71</v>
      </c>
      <c r="CS186" s="5" t="s">
        <v>71</v>
      </c>
      <c r="CT186" s="5">
        <v>8.4</v>
      </c>
      <c r="CU186" s="5" t="s">
        <v>71</v>
      </c>
      <c r="CV186" s="1" t="s">
        <v>71</v>
      </c>
      <c r="CW186" s="1" t="s">
        <v>71</v>
      </c>
      <c r="CX186" s="1" t="s">
        <v>71</v>
      </c>
      <c r="CY186" s="1">
        <v>11</v>
      </c>
      <c r="CZ186" s="1" t="s">
        <v>71</v>
      </c>
      <c r="DA186">
        <f t="shared" si="64"/>
        <v>458</v>
      </c>
      <c r="DB186" s="1" t="s">
        <v>71</v>
      </c>
      <c r="DC186" s="26">
        <v>11</v>
      </c>
      <c r="DD186">
        <f t="shared" si="49"/>
        <v>458</v>
      </c>
      <c r="DE186" s="1" t="s">
        <v>71</v>
      </c>
      <c r="DF186" s="1" t="s">
        <v>71</v>
      </c>
    </row>
    <row r="187" spans="1:110" ht="15" x14ac:dyDescent="0.15">
      <c r="A187" s="23">
        <v>2023</v>
      </c>
      <c r="B187" s="23" t="s">
        <v>48</v>
      </c>
      <c r="C187" s="23">
        <v>10</v>
      </c>
      <c r="D187" s="23">
        <v>5</v>
      </c>
      <c r="E187" s="23" t="s">
        <v>51</v>
      </c>
      <c r="F187" s="23"/>
      <c r="G187" s="23" t="s">
        <v>56</v>
      </c>
      <c r="H187" s="23">
        <v>2</v>
      </c>
      <c r="I187" s="23" t="s">
        <v>51</v>
      </c>
      <c r="J187" s="23" t="s">
        <v>58</v>
      </c>
      <c r="K187" s="1" t="s">
        <v>57</v>
      </c>
      <c r="L187" s="1" t="s">
        <v>71</v>
      </c>
      <c r="M187" s="1" t="s">
        <v>71</v>
      </c>
      <c r="N187" s="24">
        <v>45085</v>
      </c>
      <c r="O187" s="24">
        <v>45091</v>
      </c>
      <c r="P187" s="1" t="s">
        <v>71</v>
      </c>
      <c r="Q187" s="1" t="s">
        <v>71</v>
      </c>
      <c r="R187" s="1" t="s">
        <v>71</v>
      </c>
      <c r="S187" s="1" t="s">
        <v>71</v>
      </c>
      <c r="T187" s="1" t="s">
        <v>71</v>
      </c>
      <c r="U187" s="1">
        <v>81</v>
      </c>
      <c r="V187" s="1" t="s">
        <v>71</v>
      </c>
      <c r="W187" s="1" t="s">
        <v>71</v>
      </c>
      <c r="X187" s="1" t="s">
        <v>71</v>
      </c>
      <c r="Y187" s="1">
        <v>0</v>
      </c>
      <c r="Z187" s="1" t="s">
        <v>71</v>
      </c>
      <c r="AA187" s="1">
        <v>0</v>
      </c>
      <c r="AB187" s="1" t="s">
        <v>71</v>
      </c>
      <c r="AC187" s="1">
        <v>0</v>
      </c>
      <c r="AD187" s="25">
        <v>43.666666666666664</v>
      </c>
      <c r="AE187" s="25" t="s">
        <v>71</v>
      </c>
      <c r="AF187" s="25">
        <v>77</v>
      </c>
      <c r="AG187" s="25" t="s">
        <v>71</v>
      </c>
      <c r="AH187" s="1" t="s">
        <v>71</v>
      </c>
      <c r="AI187" s="1" t="s">
        <v>71</v>
      </c>
      <c r="AJ187" s="1">
        <v>1.7</v>
      </c>
      <c r="AK187" s="1">
        <v>0</v>
      </c>
      <c r="AL187" s="1">
        <v>0</v>
      </c>
      <c r="AM187" s="1">
        <v>0</v>
      </c>
      <c r="AN187" s="1">
        <v>0.05</v>
      </c>
      <c r="AO187" s="1">
        <v>7.0000000000000007E-2</v>
      </c>
      <c r="AP187" s="1">
        <v>3.5000000000000005E-3</v>
      </c>
      <c r="AQ187" s="1">
        <v>19</v>
      </c>
      <c r="AR187" s="1">
        <v>5.0000000000000001E-3</v>
      </c>
      <c r="AS187" s="1">
        <v>5</v>
      </c>
      <c r="AT187" s="1">
        <v>2.5000000000000001E-2</v>
      </c>
      <c r="AU187" s="1" t="s">
        <v>71</v>
      </c>
      <c r="AV187" s="1" t="s">
        <v>71</v>
      </c>
      <c r="AW187" s="1" t="s">
        <v>71</v>
      </c>
      <c r="AX187" s="1">
        <v>0</v>
      </c>
      <c r="AY187" s="1">
        <v>0</v>
      </c>
      <c r="AZ187" s="1" t="s">
        <v>71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 t="s">
        <v>71</v>
      </c>
      <c r="BI187" s="1" t="s">
        <v>71</v>
      </c>
      <c r="BJ187" s="1" t="s">
        <v>71</v>
      </c>
      <c r="BK187" s="1">
        <v>7.000000000000001E-3</v>
      </c>
      <c r="BL187" s="1">
        <f t="shared" si="46"/>
        <v>0.70000000000000007</v>
      </c>
      <c r="BM187" s="1">
        <v>0.1</v>
      </c>
      <c r="BN187" s="1">
        <v>7.0000000000000007E-2</v>
      </c>
      <c r="BO187" s="1">
        <v>2</v>
      </c>
      <c r="BP187" s="1">
        <v>0</v>
      </c>
      <c r="BQ187" s="1" t="s">
        <v>71</v>
      </c>
      <c r="BR187" s="1" t="s">
        <v>71</v>
      </c>
      <c r="BS187" s="1" t="s">
        <v>71</v>
      </c>
      <c r="BT187" s="1" t="s">
        <v>71</v>
      </c>
      <c r="BU187" s="1">
        <v>31</v>
      </c>
      <c r="BV187" s="28" t="s">
        <v>71</v>
      </c>
      <c r="BW187" s="28" t="s">
        <v>71</v>
      </c>
      <c r="BX187" s="1" t="s">
        <v>71</v>
      </c>
      <c r="BY187" s="1" t="s">
        <v>71</v>
      </c>
      <c r="BZ187" s="3">
        <v>2.8</v>
      </c>
      <c r="CA187" s="3" t="s">
        <v>71</v>
      </c>
      <c r="CB187" s="3">
        <f t="shared" si="47"/>
        <v>3.8888888888888888</v>
      </c>
      <c r="CC187" s="1" t="s">
        <v>71</v>
      </c>
      <c r="CD187" s="1">
        <v>1</v>
      </c>
      <c r="CE187" s="1">
        <v>1</v>
      </c>
      <c r="CF187" s="1">
        <f t="shared" si="65"/>
        <v>1</v>
      </c>
      <c r="CG187" s="3" t="s">
        <v>71</v>
      </c>
      <c r="CH187" s="3" t="s">
        <v>71</v>
      </c>
      <c r="CI187" s="3" t="s">
        <v>71</v>
      </c>
      <c r="CJ187" s="3" t="s">
        <v>71</v>
      </c>
      <c r="CK187" s="3" t="s">
        <v>71</v>
      </c>
      <c r="CL187" s="3" t="s">
        <v>71</v>
      </c>
      <c r="CM187" s="3" t="s">
        <v>71</v>
      </c>
      <c r="CN187" s="3" t="s">
        <v>71</v>
      </c>
      <c r="CO187" s="5">
        <v>49</v>
      </c>
      <c r="CP187" s="5" t="s">
        <v>71</v>
      </c>
      <c r="CQ187" s="1">
        <v>34</v>
      </c>
      <c r="CR187" s="1" t="s">
        <v>71</v>
      </c>
      <c r="CS187" s="5" t="s">
        <v>71</v>
      </c>
      <c r="CT187" s="5">
        <v>8.1</v>
      </c>
      <c r="CU187" s="5" t="s">
        <v>71</v>
      </c>
      <c r="CV187" s="1" t="s">
        <v>71</v>
      </c>
      <c r="CW187" s="1" t="s">
        <v>71</v>
      </c>
      <c r="CX187" s="1" t="s">
        <v>71</v>
      </c>
      <c r="CY187" s="1">
        <v>10.199999999999999</v>
      </c>
      <c r="CZ187" s="1" t="s">
        <v>71</v>
      </c>
      <c r="DA187">
        <f t="shared" si="64"/>
        <v>397</v>
      </c>
      <c r="DB187" s="1" t="s">
        <v>71</v>
      </c>
      <c r="DC187" s="26">
        <v>10.199999999999999</v>
      </c>
      <c r="DD187">
        <f t="shared" si="49"/>
        <v>397</v>
      </c>
      <c r="DE187" s="1" t="s">
        <v>71</v>
      </c>
      <c r="DF187" s="1" t="s">
        <v>71</v>
      </c>
    </row>
    <row r="188" spans="1:110" ht="15" x14ac:dyDescent="0.15">
      <c r="A188" s="23">
        <v>2023</v>
      </c>
      <c r="B188" s="23" t="s">
        <v>48</v>
      </c>
      <c r="C188" s="23">
        <v>10</v>
      </c>
      <c r="D188" s="23">
        <v>6</v>
      </c>
      <c r="E188" s="23" t="s">
        <v>52</v>
      </c>
      <c r="F188" s="23"/>
      <c r="G188" s="23" t="s">
        <v>56</v>
      </c>
      <c r="H188" s="23">
        <v>2</v>
      </c>
      <c r="I188" s="23" t="s">
        <v>52</v>
      </c>
      <c r="J188" s="23" t="s">
        <v>58</v>
      </c>
      <c r="K188" s="1" t="s">
        <v>57</v>
      </c>
      <c r="L188" s="1" t="s">
        <v>71</v>
      </c>
      <c r="M188" s="1" t="s">
        <v>71</v>
      </c>
      <c r="N188" s="24">
        <v>45085</v>
      </c>
      <c r="O188" s="24">
        <v>45099</v>
      </c>
      <c r="P188" s="1" t="s">
        <v>71</v>
      </c>
      <c r="Q188" s="1" t="s">
        <v>71</v>
      </c>
      <c r="R188" s="1" t="s">
        <v>71</v>
      </c>
      <c r="S188" s="1" t="s">
        <v>71</v>
      </c>
      <c r="T188" s="1" t="s">
        <v>71</v>
      </c>
      <c r="U188" s="1">
        <v>81</v>
      </c>
      <c r="V188" s="1" t="s">
        <v>71</v>
      </c>
      <c r="W188" s="1" t="s">
        <v>71</v>
      </c>
      <c r="X188" s="1" t="s">
        <v>71</v>
      </c>
      <c r="Y188" s="1">
        <v>0</v>
      </c>
      <c r="Z188" s="1" t="s">
        <v>71</v>
      </c>
      <c r="AA188" s="1">
        <v>0</v>
      </c>
      <c r="AB188" s="1" t="s">
        <v>71</v>
      </c>
      <c r="AC188" s="1">
        <v>0</v>
      </c>
      <c r="AD188" s="25">
        <v>36.666666666666664</v>
      </c>
      <c r="AE188" s="25" t="s">
        <v>71</v>
      </c>
      <c r="AF188" s="25">
        <v>68</v>
      </c>
      <c r="AG188" s="25" t="s">
        <v>71</v>
      </c>
      <c r="AH188" s="1" t="s">
        <v>71</v>
      </c>
      <c r="AI188" s="1" t="s">
        <v>71</v>
      </c>
      <c r="AJ188" s="1">
        <v>3</v>
      </c>
      <c r="AK188" s="1">
        <v>0</v>
      </c>
      <c r="AL188" s="1">
        <v>0</v>
      </c>
      <c r="AM188" s="1">
        <v>0</v>
      </c>
      <c r="AN188" s="1">
        <v>0.05</v>
      </c>
      <c r="AO188" s="1">
        <v>0.04</v>
      </c>
      <c r="AP188" s="1">
        <v>2E-3</v>
      </c>
      <c r="AQ188" s="1">
        <v>19</v>
      </c>
      <c r="AR188" s="1">
        <v>0.05</v>
      </c>
      <c r="AS188" s="1">
        <v>10</v>
      </c>
      <c r="AT188" s="1">
        <v>0.5</v>
      </c>
      <c r="AU188" s="1" t="s">
        <v>71</v>
      </c>
      <c r="AV188" s="1" t="s">
        <v>71</v>
      </c>
      <c r="AW188" s="1" t="s">
        <v>71</v>
      </c>
      <c r="AX188" s="1">
        <v>0</v>
      </c>
      <c r="AY188" s="1">
        <v>0</v>
      </c>
      <c r="AZ188" s="1" t="s">
        <v>71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 t="s">
        <v>71</v>
      </c>
      <c r="BI188" s="1" t="s">
        <v>71</v>
      </c>
      <c r="BJ188" s="1" t="s">
        <v>71</v>
      </c>
      <c r="BK188" s="1">
        <v>3.0000000000000001E-3</v>
      </c>
      <c r="BL188" s="1">
        <f t="shared" si="46"/>
        <v>0.3</v>
      </c>
      <c r="BM188" s="1">
        <v>0.1</v>
      </c>
      <c r="BN188" s="1">
        <v>0.03</v>
      </c>
      <c r="BO188" s="1">
        <v>2</v>
      </c>
      <c r="BP188" s="1">
        <v>0</v>
      </c>
      <c r="BQ188" s="1" t="s">
        <v>71</v>
      </c>
      <c r="BR188" s="1" t="s">
        <v>71</v>
      </c>
      <c r="BS188" s="1" t="s">
        <v>71</v>
      </c>
      <c r="BT188" s="1" t="s">
        <v>71</v>
      </c>
      <c r="BU188" s="1">
        <v>11</v>
      </c>
      <c r="BV188" s="28" t="s">
        <v>71</v>
      </c>
      <c r="BW188" s="28" t="s">
        <v>71</v>
      </c>
      <c r="BX188" s="1" t="s">
        <v>71</v>
      </c>
      <c r="BY188" s="1" t="s">
        <v>71</v>
      </c>
      <c r="BZ188" s="3">
        <v>3.2</v>
      </c>
      <c r="CA188" s="3" t="s">
        <v>71</v>
      </c>
      <c r="CB188" s="3">
        <f t="shared" si="47"/>
        <v>4.4444444444444455</v>
      </c>
      <c r="CC188" s="1" t="s">
        <v>71</v>
      </c>
      <c r="CD188" s="1">
        <v>1</v>
      </c>
      <c r="CE188" s="1">
        <v>1</v>
      </c>
      <c r="CF188" s="1">
        <f t="shared" si="65"/>
        <v>1</v>
      </c>
      <c r="CG188" s="3" t="s">
        <v>71</v>
      </c>
      <c r="CH188" s="3" t="s">
        <v>71</v>
      </c>
      <c r="CI188" s="3" t="s">
        <v>71</v>
      </c>
      <c r="CJ188" s="3" t="s">
        <v>71</v>
      </c>
      <c r="CK188" s="3" t="s">
        <v>71</v>
      </c>
      <c r="CL188" s="3" t="s">
        <v>71</v>
      </c>
      <c r="CM188" s="3" t="s">
        <v>71</v>
      </c>
      <c r="CN188" s="3" t="s">
        <v>71</v>
      </c>
      <c r="CO188" s="5">
        <v>45</v>
      </c>
      <c r="CP188" s="5" t="s">
        <v>71</v>
      </c>
      <c r="CQ188" s="1">
        <v>31</v>
      </c>
      <c r="CR188" s="1" t="s">
        <v>71</v>
      </c>
      <c r="CS188" s="5" t="s">
        <v>71</v>
      </c>
      <c r="CT188" s="5">
        <v>8.6</v>
      </c>
      <c r="CU188" s="5" t="s">
        <v>71</v>
      </c>
      <c r="CV188" s="1" t="s">
        <v>71</v>
      </c>
      <c r="CW188" s="1" t="s">
        <v>71</v>
      </c>
      <c r="CX188" s="1" t="s">
        <v>71</v>
      </c>
      <c r="CY188" s="1">
        <v>10.9</v>
      </c>
      <c r="CZ188" s="1" t="s">
        <v>71</v>
      </c>
      <c r="DA188">
        <f t="shared" si="64"/>
        <v>484</v>
      </c>
      <c r="DB188" s="1" t="s">
        <v>71</v>
      </c>
      <c r="DC188" s="26">
        <v>10.9</v>
      </c>
      <c r="DD188">
        <f t="shared" si="49"/>
        <v>484</v>
      </c>
      <c r="DE188" s="1" t="s">
        <v>71</v>
      </c>
      <c r="DF188" s="1" t="s">
        <v>71</v>
      </c>
    </row>
    <row r="189" spans="1:110" ht="15" x14ac:dyDescent="0.15">
      <c r="A189" s="23">
        <v>2023</v>
      </c>
      <c r="B189" s="23" t="s">
        <v>48</v>
      </c>
      <c r="C189" s="23">
        <v>10</v>
      </c>
      <c r="D189" s="23">
        <v>7</v>
      </c>
      <c r="E189" s="23"/>
      <c r="F189" s="23" t="s">
        <v>53</v>
      </c>
      <c r="G189" s="23" t="s">
        <v>56</v>
      </c>
      <c r="H189" s="23">
        <v>2</v>
      </c>
      <c r="I189" s="23" t="s">
        <v>53</v>
      </c>
      <c r="J189" s="23" t="s">
        <v>57</v>
      </c>
      <c r="K189" s="24">
        <v>45070</v>
      </c>
      <c r="L189" s="1" t="s">
        <v>71</v>
      </c>
      <c r="M189" s="1" t="s">
        <v>71</v>
      </c>
      <c r="N189" s="1" t="s">
        <v>71</v>
      </c>
      <c r="O189" s="1" t="s">
        <v>71</v>
      </c>
      <c r="P189" s="24">
        <v>45078</v>
      </c>
      <c r="Q189" s="1" t="s">
        <v>71</v>
      </c>
      <c r="R189" s="1" t="s">
        <v>71</v>
      </c>
      <c r="S189" s="1" t="s">
        <v>71</v>
      </c>
      <c r="T189" s="1" t="s">
        <v>71</v>
      </c>
      <c r="U189" s="1" t="s">
        <v>71</v>
      </c>
      <c r="V189" s="1">
        <v>83</v>
      </c>
      <c r="W189" s="1" t="s">
        <v>71</v>
      </c>
      <c r="X189" s="1">
        <v>0</v>
      </c>
      <c r="Y189" s="1" t="s">
        <v>71</v>
      </c>
      <c r="Z189" s="1">
        <v>40</v>
      </c>
      <c r="AA189" s="1" t="s">
        <v>71</v>
      </c>
      <c r="AB189" s="1">
        <v>0</v>
      </c>
      <c r="AC189" s="1" t="s">
        <v>71</v>
      </c>
      <c r="AD189" s="25" t="s">
        <v>71</v>
      </c>
      <c r="AE189" s="25">
        <v>26.666666666666668</v>
      </c>
      <c r="AF189" s="25" t="s">
        <v>71</v>
      </c>
      <c r="AG189" s="25">
        <v>73</v>
      </c>
      <c r="AH189" s="1" t="s">
        <v>71</v>
      </c>
      <c r="AI189" s="1" t="s">
        <v>71</v>
      </c>
      <c r="AJ189" s="1" t="s">
        <v>71</v>
      </c>
      <c r="AK189" s="1" t="s">
        <v>71</v>
      </c>
      <c r="AL189" s="1" t="s">
        <v>71</v>
      </c>
      <c r="AM189" s="1" t="s">
        <v>71</v>
      </c>
      <c r="AN189" s="1" t="s">
        <v>71</v>
      </c>
      <c r="AO189" s="1" t="s">
        <v>71</v>
      </c>
      <c r="AP189" s="1" t="s">
        <v>71</v>
      </c>
      <c r="AQ189" s="1" t="s">
        <v>71</v>
      </c>
      <c r="AR189" s="1" t="s">
        <v>71</v>
      </c>
      <c r="AS189" s="1" t="s">
        <v>71</v>
      </c>
      <c r="AT189" s="1" t="s">
        <v>71</v>
      </c>
      <c r="AU189" s="1">
        <v>0</v>
      </c>
      <c r="AV189" s="1">
        <v>0</v>
      </c>
      <c r="AW189" s="1">
        <v>0</v>
      </c>
      <c r="AX189" s="1" t="s">
        <v>71</v>
      </c>
      <c r="AY189" s="1" t="s">
        <v>71</v>
      </c>
      <c r="AZ189" s="1">
        <v>0</v>
      </c>
      <c r="BA189" s="1" t="s">
        <v>71</v>
      </c>
      <c r="BB189" s="1" t="s">
        <v>71</v>
      </c>
      <c r="BC189" s="1" t="s">
        <v>71</v>
      </c>
      <c r="BD189" s="1" t="s">
        <v>71</v>
      </c>
      <c r="BE189" s="1" t="s">
        <v>71</v>
      </c>
      <c r="BF189" s="1" t="s">
        <v>71</v>
      </c>
      <c r="BG189" s="1" t="s">
        <v>71</v>
      </c>
      <c r="BH189" s="1">
        <v>39</v>
      </c>
      <c r="BI189" s="1">
        <v>70</v>
      </c>
      <c r="BJ189" s="1">
        <v>0.5</v>
      </c>
      <c r="BK189" s="1">
        <v>7.000000000000001E-3</v>
      </c>
      <c r="BL189" s="1">
        <f t="shared" si="46"/>
        <v>0.70000000000000007</v>
      </c>
      <c r="BM189" s="1">
        <v>0.1</v>
      </c>
      <c r="BN189" s="1">
        <v>7.0000000000000007E-2</v>
      </c>
      <c r="BO189" s="1">
        <v>1</v>
      </c>
      <c r="BP189" s="1">
        <v>5</v>
      </c>
      <c r="BQ189" s="1">
        <v>176</v>
      </c>
      <c r="BR189" s="1">
        <v>5</v>
      </c>
      <c r="BS189" s="1">
        <v>2</v>
      </c>
      <c r="BT189" s="1">
        <v>17</v>
      </c>
      <c r="BU189" s="1" t="s">
        <v>71</v>
      </c>
      <c r="BV189" s="28">
        <v>6.333333333333333</v>
      </c>
      <c r="BW189" s="28">
        <v>2</v>
      </c>
      <c r="BX189" s="1" t="s">
        <v>71</v>
      </c>
      <c r="BY189" s="1" t="s">
        <v>71</v>
      </c>
      <c r="BZ189" s="3" t="s">
        <v>71</v>
      </c>
      <c r="CA189" s="3">
        <v>2.4</v>
      </c>
      <c r="CB189" s="1" t="s">
        <v>71</v>
      </c>
      <c r="CC189" s="3">
        <f t="shared" si="52"/>
        <v>3.3333333333333339</v>
      </c>
      <c r="CD189" s="1">
        <v>1</v>
      </c>
      <c r="CE189" s="1">
        <v>1</v>
      </c>
      <c r="CF189" s="1">
        <f t="shared" si="65"/>
        <v>1</v>
      </c>
      <c r="CG189" s="1" t="s">
        <v>71</v>
      </c>
      <c r="CH189" s="1" t="s">
        <v>71</v>
      </c>
      <c r="CI189" s="1" t="s">
        <v>71</v>
      </c>
      <c r="CJ189" s="1" t="s">
        <v>71</v>
      </c>
      <c r="CK189" s="3" t="s">
        <v>71</v>
      </c>
      <c r="CL189" s="3" t="s">
        <v>71</v>
      </c>
      <c r="CM189" s="3" t="s">
        <v>71</v>
      </c>
      <c r="CN189" s="3" t="s">
        <v>71</v>
      </c>
      <c r="CO189" s="5" t="s">
        <v>71</v>
      </c>
      <c r="CP189" s="5">
        <v>74</v>
      </c>
      <c r="CQ189" s="1" t="s">
        <v>71</v>
      </c>
      <c r="CR189" s="1">
        <v>156</v>
      </c>
      <c r="CS189" s="5">
        <v>35.299999999999997</v>
      </c>
      <c r="CT189" s="5" t="s">
        <v>71</v>
      </c>
      <c r="CU189" s="5">
        <v>4.9000000000000004</v>
      </c>
      <c r="CV189" s="1" t="s">
        <v>71</v>
      </c>
      <c r="CW189" s="1" t="s">
        <v>71</v>
      </c>
      <c r="CX189" t="e">
        <f>ROUND(CV189*#REF!/10,1)</f>
        <v>#VALUE!</v>
      </c>
      <c r="CY189" s="1" t="s">
        <v>71</v>
      </c>
      <c r="CZ189">
        <f t="shared" ref="CZ189:CZ200" si="66">ROUND((10*CC189*CS189),0)</f>
        <v>1177</v>
      </c>
      <c r="DA189" s="1" t="s">
        <v>71</v>
      </c>
      <c r="DB189" s="1" t="s">
        <v>71</v>
      </c>
      <c r="DC189" s="26" t="s">
        <v>71</v>
      </c>
      <c r="DD189">
        <f t="shared" si="49"/>
        <v>1177</v>
      </c>
      <c r="DE189" s="1" t="s">
        <v>71</v>
      </c>
      <c r="DF189" s="1" t="s">
        <v>71</v>
      </c>
    </row>
    <row r="190" spans="1:110" ht="15" x14ac:dyDescent="0.15">
      <c r="A190" s="23">
        <v>2023</v>
      </c>
      <c r="B190" s="23" t="s">
        <v>48</v>
      </c>
      <c r="C190" s="23">
        <v>10</v>
      </c>
      <c r="D190" s="23">
        <v>8</v>
      </c>
      <c r="E190" s="23"/>
      <c r="F190" s="23" t="s">
        <v>54</v>
      </c>
      <c r="G190" s="23" t="s">
        <v>56</v>
      </c>
      <c r="H190" s="23">
        <v>2</v>
      </c>
      <c r="I190" s="23" t="s">
        <v>54</v>
      </c>
      <c r="J190" s="23" t="s">
        <v>57</v>
      </c>
      <c r="K190" s="24">
        <v>45077</v>
      </c>
      <c r="L190" s="1" t="s">
        <v>71</v>
      </c>
      <c r="M190" s="1" t="s">
        <v>71</v>
      </c>
      <c r="N190" s="1" t="s">
        <v>71</v>
      </c>
      <c r="O190" s="1" t="s">
        <v>71</v>
      </c>
      <c r="P190" s="24">
        <v>45079</v>
      </c>
      <c r="Q190" s="1" t="s">
        <v>71</v>
      </c>
      <c r="R190" s="1" t="s">
        <v>71</v>
      </c>
      <c r="S190" s="1" t="s">
        <v>71</v>
      </c>
      <c r="T190" s="1" t="s">
        <v>71</v>
      </c>
      <c r="U190" s="1" t="s">
        <v>71</v>
      </c>
      <c r="V190" s="1">
        <v>85</v>
      </c>
      <c r="W190" s="1" t="s">
        <v>71</v>
      </c>
      <c r="X190" s="1">
        <v>25</v>
      </c>
      <c r="Y190" s="1" t="s">
        <v>71</v>
      </c>
      <c r="Z190" s="1">
        <v>60</v>
      </c>
      <c r="AA190" s="1" t="s">
        <v>71</v>
      </c>
      <c r="AB190" s="1">
        <v>20</v>
      </c>
      <c r="AC190" s="1" t="s">
        <v>71</v>
      </c>
      <c r="AD190" s="25" t="s">
        <v>71</v>
      </c>
      <c r="AE190" s="25">
        <v>18.666666666666668</v>
      </c>
      <c r="AF190" s="25" t="s">
        <v>71</v>
      </c>
      <c r="AG190" s="25">
        <v>63</v>
      </c>
      <c r="AH190" s="1" t="s">
        <v>71</v>
      </c>
      <c r="AI190" s="1" t="s">
        <v>71</v>
      </c>
      <c r="AJ190" s="1" t="s">
        <v>71</v>
      </c>
      <c r="AK190" s="1" t="s">
        <v>71</v>
      </c>
      <c r="AL190" s="1" t="s">
        <v>71</v>
      </c>
      <c r="AM190" s="1" t="s">
        <v>71</v>
      </c>
      <c r="AN190" s="1" t="s">
        <v>71</v>
      </c>
      <c r="AO190" s="1" t="s">
        <v>71</v>
      </c>
      <c r="AP190" s="1" t="s">
        <v>71</v>
      </c>
      <c r="AQ190" s="1" t="s">
        <v>71</v>
      </c>
      <c r="AR190" s="1" t="s">
        <v>71</v>
      </c>
      <c r="AS190" s="1" t="s">
        <v>71</v>
      </c>
      <c r="AT190" s="1" t="s">
        <v>71</v>
      </c>
      <c r="AU190" s="1">
        <v>0</v>
      </c>
      <c r="AV190" s="1">
        <v>0</v>
      </c>
      <c r="AW190" s="1">
        <v>0</v>
      </c>
      <c r="AX190" s="1" t="s">
        <v>71</v>
      </c>
      <c r="AY190" s="1" t="s">
        <v>71</v>
      </c>
      <c r="AZ190" s="1">
        <v>0</v>
      </c>
      <c r="BA190" s="1" t="s">
        <v>71</v>
      </c>
      <c r="BB190" s="1" t="s">
        <v>71</v>
      </c>
      <c r="BC190" s="1" t="s">
        <v>71</v>
      </c>
      <c r="BD190" s="1" t="s">
        <v>71</v>
      </c>
      <c r="BE190" s="1" t="s">
        <v>71</v>
      </c>
      <c r="BF190" s="1" t="s">
        <v>71</v>
      </c>
      <c r="BG190" s="1" t="s">
        <v>71</v>
      </c>
      <c r="BH190" s="1">
        <v>9</v>
      </c>
      <c r="BI190" s="1">
        <v>40</v>
      </c>
      <c r="BJ190" s="1">
        <v>2</v>
      </c>
      <c r="BK190" s="1">
        <v>1.0000000000000002E-2</v>
      </c>
      <c r="BL190" s="1">
        <f t="shared" si="46"/>
        <v>1.0000000000000002</v>
      </c>
      <c r="BM190" s="1">
        <v>0.1</v>
      </c>
      <c r="BN190" s="1">
        <v>0.1</v>
      </c>
      <c r="BO190" s="1">
        <v>2</v>
      </c>
      <c r="BP190" s="1">
        <v>0</v>
      </c>
      <c r="BQ190" s="1">
        <v>114</v>
      </c>
      <c r="BR190" s="1">
        <v>27</v>
      </c>
      <c r="BS190" s="1">
        <v>2</v>
      </c>
      <c r="BT190" s="1">
        <v>7</v>
      </c>
      <c r="BU190" s="1" t="s">
        <v>71</v>
      </c>
      <c r="BV190" s="28">
        <v>6.333333333333333</v>
      </c>
      <c r="BW190" s="28">
        <v>2</v>
      </c>
      <c r="BX190" s="1" t="s">
        <v>71</v>
      </c>
      <c r="BY190" s="1" t="s">
        <v>71</v>
      </c>
      <c r="BZ190" s="3" t="s">
        <v>71</v>
      </c>
      <c r="CA190" s="3">
        <v>2.2000000000000002</v>
      </c>
      <c r="CB190" s="1" t="s">
        <v>71</v>
      </c>
      <c r="CC190" s="3">
        <f t="shared" si="52"/>
        <v>3.0555555555555562</v>
      </c>
      <c r="CD190" s="1">
        <v>1</v>
      </c>
      <c r="CE190" s="1">
        <v>1</v>
      </c>
      <c r="CF190" s="1">
        <f t="shared" si="65"/>
        <v>1</v>
      </c>
      <c r="CG190" s="1" t="s">
        <v>71</v>
      </c>
      <c r="CH190" s="1" t="s">
        <v>71</v>
      </c>
      <c r="CI190" s="1" t="s">
        <v>71</v>
      </c>
      <c r="CJ190" s="1" t="s">
        <v>71</v>
      </c>
      <c r="CK190" s="3" t="s">
        <v>71</v>
      </c>
      <c r="CL190" s="3" t="s">
        <v>71</v>
      </c>
      <c r="CM190" s="3" t="s">
        <v>71</v>
      </c>
      <c r="CN190" s="3" t="s">
        <v>71</v>
      </c>
      <c r="CO190" s="5" t="s">
        <v>71</v>
      </c>
      <c r="CP190" s="5">
        <v>56</v>
      </c>
      <c r="CQ190" s="1" t="s">
        <v>71</v>
      </c>
      <c r="CR190" s="1">
        <v>110</v>
      </c>
      <c r="CS190" s="5">
        <v>42.8</v>
      </c>
      <c r="CT190" s="5" t="s">
        <v>71</v>
      </c>
      <c r="CU190" s="5">
        <v>4.3</v>
      </c>
      <c r="CV190" s="1" t="s">
        <v>71</v>
      </c>
      <c r="CW190" s="1" t="s">
        <v>71</v>
      </c>
      <c r="CX190" t="e">
        <f>ROUND(CV190*#REF!/10,1)</f>
        <v>#VALUE!</v>
      </c>
      <c r="CY190" s="1" t="s">
        <v>71</v>
      </c>
      <c r="CZ190">
        <f t="shared" si="66"/>
        <v>1308</v>
      </c>
      <c r="DA190" s="1" t="s">
        <v>71</v>
      </c>
      <c r="DB190" s="1" t="s">
        <v>71</v>
      </c>
      <c r="DC190" s="26" t="s">
        <v>71</v>
      </c>
      <c r="DD190">
        <f t="shared" si="49"/>
        <v>1308</v>
      </c>
      <c r="DE190" s="1" t="s">
        <v>71</v>
      </c>
      <c r="DF190" s="1" t="s">
        <v>71</v>
      </c>
    </row>
    <row r="191" spans="1:110" ht="15" x14ac:dyDescent="0.15">
      <c r="A191" s="23">
        <v>2023</v>
      </c>
      <c r="B191" s="23" t="s">
        <v>48</v>
      </c>
      <c r="C191" s="23">
        <v>10</v>
      </c>
      <c r="D191" s="23">
        <v>9</v>
      </c>
      <c r="E191" s="23"/>
      <c r="F191" s="23" t="s">
        <v>55</v>
      </c>
      <c r="G191" s="23" t="s">
        <v>56</v>
      </c>
      <c r="H191" s="23">
        <v>2</v>
      </c>
      <c r="I191" s="23" t="s">
        <v>55</v>
      </c>
      <c r="J191" s="23" t="s">
        <v>57</v>
      </c>
      <c r="K191" s="24">
        <v>45070</v>
      </c>
      <c r="L191" s="1" t="s">
        <v>71</v>
      </c>
      <c r="M191" s="1" t="s">
        <v>71</v>
      </c>
      <c r="N191" s="1" t="s">
        <v>71</v>
      </c>
      <c r="O191" s="1" t="s">
        <v>71</v>
      </c>
      <c r="P191" s="24">
        <v>45076</v>
      </c>
      <c r="Q191" s="1" t="s">
        <v>71</v>
      </c>
      <c r="R191" s="1" t="s">
        <v>71</v>
      </c>
      <c r="S191" s="1" t="s">
        <v>71</v>
      </c>
      <c r="T191" s="1" t="s">
        <v>71</v>
      </c>
      <c r="U191" s="1" t="s">
        <v>71</v>
      </c>
      <c r="V191" s="1">
        <v>84</v>
      </c>
      <c r="W191" s="1" t="s">
        <v>71</v>
      </c>
      <c r="X191" s="1">
        <v>0</v>
      </c>
      <c r="Y191" s="1" t="s">
        <v>71</v>
      </c>
      <c r="Z191" s="1">
        <v>45</v>
      </c>
      <c r="AA191" s="1" t="s">
        <v>71</v>
      </c>
      <c r="AB191" s="1">
        <v>5</v>
      </c>
      <c r="AC191" s="1" t="s">
        <v>71</v>
      </c>
      <c r="AD191" s="25" t="s">
        <v>71</v>
      </c>
      <c r="AE191" s="25">
        <v>20.666666666666668</v>
      </c>
      <c r="AF191" s="25" t="s">
        <v>71</v>
      </c>
      <c r="AG191" s="25">
        <v>78</v>
      </c>
      <c r="AH191" s="1" t="s">
        <v>71</v>
      </c>
      <c r="AI191" s="1" t="s">
        <v>71</v>
      </c>
      <c r="AJ191" s="1" t="s">
        <v>71</v>
      </c>
      <c r="AK191" s="1" t="s">
        <v>71</v>
      </c>
      <c r="AL191" s="1" t="s">
        <v>71</v>
      </c>
      <c r="AM191" s="1" t="s">
        <v>71</v>
      </c>
      <c r="AN191" s="1" t="s">
        <v>71</v>
      </c>
      <c r="AO191" s="1" t="s">
        <v>71</v>
      </c>
      <c r="AP191" s="1" t="s">
        <v>71</v>
      </c>
      <c r="AQ191" s="1" t="s">
        <v>71</v>
      </c>
      <c r="AR191" s="1" t="s">
        <v>71</v>
      </c>
      <c r="AS191" s="1" t="s">
        <v>71</v>
      </c>
      <c r="AT191" s="1" t="s">
        <v>71</v>
      </c>
      <c r="AU191" s="1">
        <v>0</v>
      </c>
      <c r="AV191" s="1">
        <v>0</v>
      </c>
      <c r="AW191" s="1">
        <v>0</v>
      </c>
      <c r="AX191" s="1" t="s">
        <v>71</v>
      </c>
      <c r="AY191" s="1" t="s">
        <v>71</v>
      </c>
      <c r="AZ191" s="1">
        <v>0</v>
      </c>
      <c r="BA191" s="1" t="s">
        <v>71</v>
      </c>
      <c r="BB191" s="1" t="s">
        <v>71</v>
      </c>
      <c r="BC191" s="1" t="s">
        <v>71</v>
      </c>
      <c r="BD191" s="1" t="s">
        <v>71</v>
      </c>
      <c r="BE191" s="1" t="s">
        <v>71</v>
      </c>
      <c r="BF191" s="1" t="s">
        <v>71</v>
      </c>
      <c r="BG191" s="1" t="s">
        <v>71</v>
      </c>
      <c r="BH191" s="1">
        <v>20</v>
      </c>
      <c r="BI191" s="1">
        <v>100</v>
      </c>
      <c r="BJ191" s="1">
        <v>40</v>
      </c>
      <c r="BK191" s="1">
        <v>4.0000000000000008E-2</v>
      </c>
      <c r="BL191" s="1">
        <f t="shared" si="46"/>
        <v>4.0000000000000009</v>
      </c>
      <c r="BM191" s="1">
        <v>0.4</v>
      </c>
      <c r="BN191" s="1">
        <v>0.1</v>
      </c>
      <c r="BO191" s="1">
        <v>1</v>
      </c>
      <c r="BP191" s="1">
        <v>0</v>
      </c>
      <c r="BQ191" s="1">
        <v>109</v>
      </c>
      <c r="BR191" s="1">
        <v>2</v>
      </c>
      <c r="BS191" s="1">
        <v>1</v>
      </c>
      <c r="BT191" s="1">
        <v>15</v>
      </c>
      <c r="BU191" s="1" t="s">
        <v>71</v>
      </c>
      <c r="BV191" s="28">
        <v>7</v>
      </c>
      <c r="BW191" s="28">
        <v>1.6666666666666667</v>
      </c>
      <c r="BX191" s="1" t="s">
        <v>71</v>
      </c>
      <c r="BY191" s="1" t="s">
        <v>71</v>
      </c>
      <c r="BZ191" s="3" t="s">
        <v>71</v>
      </c>
      <c r="CA191" s="3">
        <v>2.4</v>
      </c>
      <c r="CB191" s="1" t="s">
        <v>71</v>
      </c>
      <c r="CC191" s="3">
        <f t="shared" si="52"/>
        <v>3.3333333333333339</v>
      </c>
      <c r="CD191" s="1">
        <v>1</v>
      </c>
      <c r="CE191" s="1">
        <v>1</v>
      </c>
      <c r="CF191" s="1">
        <f t="shared" si="65"/>
        <v>1</v>
      </c>
      <c r="CG191" s="1" t="s">
        <v>71</v>
      </c>
      <c r="CH191" s="1" t="s">
        <v>71</v>
      </c>
      <c r="CI191" s="1" t="s">
        <v>71</v>
      </c>
      <c r="CJ191" s="1" t="s">
        <v>71</v>
      </c>
      <c r="CK191" s="3" t="s">
        <v>71</v>
      </c>
      <c r="CL191" s="3" t="s">
        <v>71</v>
      </c>
      <c r="CM191" s="3" t="s">
        <v>71</v>
      </c>
      <c r="CN191" s="3" t="s">
        <v>71</v>
      </c>
      <c r="CO191" s="5" t="s">
        <v>71</v>
      </c>
      <c r="CP191" s="5">
        <v>71</v>
      </c>
      <c r="CQ191" s="1" t="s">
        <v>71</v>
      </c>
      <c r="CR191" s="1">
        <v>148</v>
      </c>
      <c r="CS191" s="5">
        <v>43</v>
      </c>
      <c r="CT191" s="5" t="s">
        <v>71</v>
      </c>
      <c r="CU191" s="5">
        <v>3.6</v>
      </c>
      <c r="CV191" s="1" t="s">
        <v>71</v>
      </c>
      <c r="CW191" s="1" t="s">
        <v>71</v>
      </c>
      <c r="CX191" t="e">
        <f>ROUND(CV191*#REF!/10,1)</f>
        <v>#VALUE!</v>
      </c>
      <c r="CY191" s="1" t="s">
        <v>71</v>
      </c>
      <c r="CZ191">
        <f t="shared" si="66"/>
        <v>1433</v>
      </c>
      <c r="DA191" s="1" t="s">
        <v>71</v>
      </c>
      <c r="DB191" s="1" t="s">
        <v>71</v>
      </c>
      <c r="DC191" s="26" t="s">
        <v>71</v>
      </c>
      <c r="DD191">
        <f t="shared" si="49"/>
        <v>1433</v>
      </c>
      <c r="DE191" s="1" t="s">
        <v>71</v>
      </c>
      <c r="DF191" s="1" t="s">
        <v>71</v>
      </c>
    </row>
    <row r="192" spans="1:110" x14ac:dyDescent="0.15">
      <c r="A192" s="23">
        <v>2023</v>
      </c>
      <c r="B192" s="23" t="s">
        <v>48</v>
      </c>
      <c r="C192" s="23">
        <v>10</v>
      </c>
      <c r="D192" s="23">
        <v>10</v>
      </c>
      <c r="E192" s="23" t="s">
        <v>50</v>
      </c>
      <c r="F192" s="23" t="s">
        <v>53</v>
      </c>
      <c r="G192" s="23" t="s">
        <v>5</v>
      </c>
      <c r="H192" s="23">
        <v>2</v>
      </c>
      <c r="I192" s="23" t="s">
        <v>60</v>
      </c>
      <c r="J192" s="23" t="s">
        <v>57</v>
      </c>
      <c r="K192" s="24">
        <v>45070</v>
      </c>
      <c r="L192" s="27">
        <v>10000000000</v>
      </c>
      <c r="M192" s="1">
        <f>K192-K189</f>
        <v>0</v>
      </c>
      <c r="N192" s="24">
        <v>45082</v>
      </c>
      <c r="O192" s="24">
        <v>45089</v>
      </c>
      <c r="P192" s="24">
        <v>45077</v>
      </c>
      <c r="Q192" s="1">
        <f>P192-P189</f>
        <v>-1</v>
      </c>
      <c r="R192" s="1">
        <f>N192-N186</f>
        <v>2</v>
      </c>
      <c r="S192" s="1">
        <f>O192-O186</f>
        <v>1</v>
      </c>
      <c r="T192" s="1">
        <f>AVERAGE(R192,S192)</f>
        <v>1.5</v>
      </c>
      <c r="U192" s="1">
        <v>81</v>
      </c>
      <c r="V192" s="1">
        <v>83</v>
      </c>
      <c r="W192" s="1">
        <v>-2</v>
      </c>
      <c r="X192" s="1">
        <v>0</v>
      </c>
      <c r="Y192" s="1">
        <v>0</v>
      </c>
      <c r="Z192" s="1">
        <v>5</v>
      </c>
      <c r="AA192" s="1">
        <v>0</v>
      </c>
      <c r="AB192" s="1">
        <v>0</v>
      </c>
      <c r="AC192" s="1">
        <v>0</v>
      </c>
      <c r="AD192" s="25">
        <v>39.666666666666664</v>
      </c>
      <c r="AE192" s="25">
        <v>24.666666666666668</v>
      </c>
      <c r="AF192" s="25">
        <v>117</v>
      </c>
      <c r="AG192" s="25">
        <v>82</v>
      </c>
      <c r="AH192" s="1" t="s">
        <v>71</v>
      </c>
      <c r="AI192" s="1" t="s">
        <v>71</v>
      </c>
      <c r="AJ192" s="1">
        <v>1.3</v>
      </c>
      <c r="AK192" s="1">
        <v>0</v>
      </c>
      <c r="AL192" s="1">
        <v>0</v>
      </c>
      <c r="AM192" s="1">
        <v>0</v>
      </c>
      <c r="AN192" s="1">
        <v>0.01</v>
      </c>
      <c r="AO192" s="1">
        <v>0.01</v>
      </c>
      <c r="AP192" s="1">
        <v>1E-4</v>
      </c>
      <c r="AQ192" s="1">
        <v>19</v>
      </c>
      <c r="AR192" s="1">
        <v>0.05</v>
      </c>
      <c r="AS192" s="1">
        <v>5</v>
      </c>
      <c r="AT192" s="1">
        <v>0.25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1</v>
      </c>
      <c r="BI192" s="1">
        <v>70</v>
      </c>
      <c r="BJ192" s="1">
        <v>15</v>
      </c>
      <c r="BK192" s="1">
        <v>1.4999999999999999E-2</v>
      </c>
      <c r="BL192" s="1">
        <f t="shared" si="46"/>
        <v>1.5</v>
      </c>
      <c r="BM192" s="1">
        <v>0.15</v>
      </c>
      <c r="BN192" s="1">
        <v>0.1</v>
      </c>
      <c r="BO192" s="1">
        <v>1</v>
      </c>
      <c r="BP192" s="1">
        <v>0</v>
      </c>
      <c r="BQ192" s="1">
        <v>190</v>
      </c>
      <c r="BR192" s="1">
        <v>18</v>
      </c>
      <c r="BS192" s="1">
        <v>0</v>
      </c>
      <c r="BT192" s="1">
        <v>19</v>
      </c>
      <c r="BU192" s="1">
        <v>3</v>
      </c>
      <c r="BV192" s="28">
        <v>5</v>
      </c>
      <c r="BW192" s="28">
        <v>2.6666666666666665</v>
      </c>
      <c r="BX192" s="1" t="s">
        <v>71</v>
      </c>
      <c r="BY192" s="1" t="s">
        <v>71</v>
      </c>
      <c r="BZ192" s="3">
        <v>1.1000000000000001</v>
      </c>
      <c r="CA192" s="3">
        <v>2</v>
      </c>
      <c r="CB192" s="3">
        <f t="shared" si="47"/>
        <v>1.5277777777777781</v>
      </c>
      <c r="CC192" s="3">
        <f t="shared" si="52"/>
        <v>2.7777777777777777</v>
      </c>
      <c r="CD192" s="1">
        <f>ROUND(CB192/CB183+CC192/CC189,2)</f>
        <v>1.52</v>
      </c>
      <c r="CE192" s="1">
        <f>ROUND(CB192/CB186+CC192/CC189,2)</f>
        <v>1.2</v>
      </c>
      <c r="CF192" s="1">
        <f t="shared" si="65"/>
        <v>1.2</v>
      </c>
      <c r="CG192" s="1">
        <f>ROUND(CB192/CB183,2)</f>
        <v>0.69</v>
      </c>
      <c r="CH192" s="1">
        <f>ROUND(CB192/CB186,2)</f>
        <v>0.37</v>
      </c>
      <c r="CI192" s="1">
        <f>ROUND(CC192/CC189,2)</f>
        <v>0.83</v>
      </c>
      <c r="CJ192" s="1">
        <f>ROUND((CC192+CB192)/MAX(CC189,CB186),2)</f>
        <v>1.03</v>
      </c>
      <c r="CK192" s="1">
        <f>ROUND(LN((0.9*BZ192)/(0.1*CA192))/(BZ183/CA189),2)</f>
        <v>2.4</v>
      </c>
      <c r="CL192" s="1">
        <f>ROUND(LN((0.9*BZ192)/(0.1*CA192))/(BZ186/CA189),2)</f>
        <v>1.28</v>
      </c>
      <c r="CM192" s="1">
        <f>ROUND(LN((0.1*CA192)/(0.9*BZ192))/(CA189/BZ183),2)</f>
        <v>-1.07</v>
      </c>
      <c r="CN192" s="1">
        <f>ROUND(LN((0.1*CA192)/(0.9*BZ192))/(CA189/BZ186),2)</f>
        <v>-2</v>
      </c>
      <c r="CO192" s="5">
        <v>52</v>
      </c>
      <c r="CP192" s="5">
        <v>70</v>
      </c>
      <c r="CQ192" s="1">
        <v>41</v>
      </c>
      <c r="CR192" s="1">
        <v>152</v>
      </c>
      <c r="CS192" s="5">
        <v>40.299999999999997</v>
      </c>
      <c r="CT192" s="5">
        <v>7.2</v>
      </c>
      <c r="CU192" s="5">
        <v>3.5</v>
      </c>
      <c r="CV192" s="1" t="s">
        <v>71</v>
      </c>
      <c r="CW192" s="1" t="s">
        <v>71</v>
      </c>
      <c r="CX192" t="e">
        <f>ROUND(CV192*#REF!/10,1)</f>
        <v>#VALUE!</v>
      </c>
      <c r="CY192" s="1">
        <v>14.4</v>
      </c>
      <c r="CZ192">
        <f t="shared" si="66"/>
        <v>1119</v>
      </c>
      <c r="DA192">
        <f t="shared" ref="DA192:DA200" si="67">ROUND((CY192*CB192*10),0)</f>
        <v>220</v>
      </c>
      <c r="DB192">
        <f>(CZ192+DA192)/MAX(DA186,CZ189)</f>
        <v>1.1376380628717078</v>
      </c>
      <c r="DC192" s="26">
        <v>14.4</v>
      </c>
      <c r="DD192">
        <f t="shared" si="49"/>
        <v>1339</v>
      </c>
      <c r="DE192">
        <f>ROUND(MAX((DB192-DF192), 0), 2)</f>
        <v>0.19</v>
      </c>
      <c r="DF192">
        <f>ROUND(CZ192/MAX(DA186,CZ189), 2)</f>
        <v>0.95</v>
      </c>
    </row>
    <row r="193" spans="1:110" x14ac:dyDescent="0.15">
      <c r="A193" s="23">
        <v>2023</v>
      </c>
      <c r="B193" s="23" t="s">
        <v>48</v>
      </c>
      <c r="C193" s="23">
        <v>10</v>
      </c>
      <c r="D193" s="23">
        <v>11</v>
      </c>
      <c r="E193" s="23" t="s">
        <v>50</v>
      </c>
      <c r="F193" s="23" t="s">
        <v>54</v>
      </c>
      <c r="G193" s="23" t="s">
        <v>5</v>
      </c>
      <c r="H193" s="23">
        <v>2</v>
      </c>
      <c r="I193" s="23" t="s">
        <v>61</v>
      </c>
      <c r="J193" s="23" t="s">
        <v>57</v>
      </c>
      <c r="K193" s="24">
        <v>45081</v>
      </c>
      <c r="L193" s="27">
        <v>10000000000</v>
      </c>
      <c r="M193" s="1">
        <f>K193-K190</f>
        <v>4</v>
      </c>
      <c r="N193" s="24">
        <v>45082</v>
      </c>
      <c r="O193" s="24">
        <v>45089</v>
      </c>
      <c r="P193" s="24">
        <v>45079</v>
      </c>
      <c r="Q193" s="1">
        <f>P193-P190</f>
        <v>0</v>
      </c>
      <c r="R193" s="1">
        <f>N193-N186</f>
        <v>2</v>
      </c>
      <c r="S193" s="1">
        <f>O193-O186</f>
        <v>1</v>
      </c>
      <c r="T193" s="1">
        <f t="shared" ref="T193:T200" si="68">AVERAGE(R193,S193)</f>
        <v>1.5</v>
      </c>
      <c r="U193" s="1">
        <v>84</v>
      </c>
      <c r="V193" s="1">
        <v>85</v>
      </c>
      <c r="W193" s="1">
        <v>-1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25">
        <v>31</v>
      </c>
      <c r="AE193" s="25">
        <v>23</v>
      </c>
      <c r="AF193" s="25">
        <v>101</v>
      </c>
      <c r="AG193" s="25">
        <v>67</v>
      </c>
      <c r="AH193" s="1" t="s">
        <v>71</v>
      </c>
      <c r="AI193" s="1" t="s">
        <v>71</v>
      </c>
      <c r="AJ193" s="1">
        <v>1.3</v>
      </c>
      <c r="AK193" s="1">
        <v>0</v>
      </c>
      <c r="AL193" s="1">
        <v>0</v>
      </c>
      <c r="AM193" s="1">
        <v>0</v>
      </c>
      <c r="AN193" s="1">
        <v>0.01</v>
      </c>
      <c r="AO193" s="1">
        <v>0.01</v>
      </c>
      <c r="AP193" s="1">
        <v>1E-4</v>
      </c>
      <c r="AQ193" s="1">
        <v>10</v>
      </c>
      <c r="AR193" s="1">
        <v>0.05</v>
      </c>
      <c r="AS193" s="1">
        <v>5</v>
      </c>
      <c r="AT193" s="1">
        <v>0.25</v>
      </c>
      <c r="AU193" s="1">
        <v>0</v>
      </c>
      <c r="AV193" s="1">
        <v>0</v>
      </c>
      <c r="AW193" s="1">
        <v>0</v>
      </c>
      <c r="AX193" s="1">
        <v>0</v>
      </c>
      <c r="AY193" s="1">
        <v>0.05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80</v>
      </c>
      <c r="BI193" s="1">
        <v>30</v>
      </c>
      <c r="BJ193" s="1">
        <v>3</v>
      </c>
      <c r="BK193" s="1">
        <v>5.000000000000001E-3</v>
      </c>
      <c r="BL193" s="1">
        <f t="shared" si="46"/>
        <v>0.50000000000000011</v>
      </c>
      <c r="BM193" s="1">
        <v>0.1</v>
      </c>
      <c r="BN193" s="1">
        <v>0.05</v>
      </c>
      <c r="BO193" s="1">
        <v>1</v>
      </c>
      <c r="BP193" s="1">
        <v>5</v>
      </c>
      <c r="BQ193" s="1">
        <v>136</v>
      </c>
      <c r="BR193" s="1">
        <v>4</v>
      </c>
      <c r="BS193" s="1">
        <v>2</v>
      </c>
      <c r="BT193" s="1">
        <v>6</v>
      </c>
      <c r="BU193" s="1">
        <v>1</v>
      </c>
      <c r="BV193" s="28">
        <v>6.666666666666667</v>
      </c>
      <c r="BW193" s="28">
        <v>1.6666666666666667</v>
      </c>
      <c r="BX193" s="1" t="s">
        <v>71</v>
      </c>
      <c r="BY193" s="1" t="s">
        <v>71</v>
      </c>
      <c r="BZ193" s="3">
        <v>0.9</v>
      </c>
      <c r="CA193" s="3">
        <v>2</v>
      </c>
      <c r="CB193" s="3">
        <f t="shared" si="47"/>
        <v>1.2500000000000002</v>
      </c>
      <c r="CC193" s="3">
        <f t="shared" si="52"/>
        <v>2.7777777777777777</v>
      </c>
      <c r="CD193" s="1">
        <f>ROUND(CB193/CB183+CC193/CC190,2)</f>
        <v>1.47</v>
      </c>
      <c r="CE193" s="1">
        <f>ROUND(CB193/CB186+CC193/CC190,2)</f>
        <v>1.21</v>
      </c>
      <c r="CF193" s="1">
        <f t="shared" si="65"/>
        <v>1.21</v>
      </c>
      <c r="CG193" s="1">
        <f>ROUND(CB193/CB183,2)</f>
        <v>0.56000000000000005</v>
      </c>
      <c r="CH193" s="1">
        <f>ROUND(CB193/CB186,2)</f>
        <v>0.3</v>
      </c>
      <c r="CI193" s="1">
        <f>ROUND(CC193/CC190,2)</f>
        <v>0.91</v>
      </c>
      <c r="CJ193" s="1">
        <f>ROUND((CC193+CB193)/MAX(CC190,CB186),2)</f>
        <v>0.97</v>
      </c>
      <c r="CK193" s="1">
        <f>ROUND(LN((0.9*BZ193)/(0.1*CA193))/(BZ183/CA190),2)</f>
        <v>1.92</v>
      </c>
      <c r="CL193" s="1">
        <f>ROUND(LN((0.9*BZ193)/(0.1*CA193))/(BZ186/CA190),2)</f>
        <v>1.03</v>
      </c>
      <c r="CM193" s="1">
        <f>ROUND(LN((0.1*CA193)/(0.9*BZ193))/(CA190/BZ183),2)</f>
        <v>-1.02</v>
      </c>
      <c r="CN193" s="1">
        <f>ROUND(LN((0.1*CA193)/(0.9*BZ193))/(CA190/BZ186),2)</f>
        <v>-1.91</v>
      </c>
      <c r="CO193" s="5">
        <v>38</v>
      </c>
      <c r="CP193" s="5">
        <v>73</v>
      </c>
      <c r="CQ193" s="1">
        <v>41</v>
      </c>
      <c r="CR193" s="1">
        <v>132</v>
      </c>
      <c r="CS193" s="5">
        <v>41.3</v>
      </c>
      <c r="CT193" s="5">
        <v>8</v>
      </c>
      <c r="CU193" s="5">
        <v>4.2</v>
      </c>
      <c r="CV193" s="1" t="s">
        <v>71</v>
      </c>
      <c r="CW193" s="1" t="s">
        <v>71</v>
      </c>
      <c r="CX193" t="e">
        <f>ROUND(CV193*#REF!/10,1)</f>
        <v>#VALUE!</v>
      </c>
      <c r="CY193" s="1">
        <v>16.8</v>
      </c>
      <c r="CZ193">
        <f t="shared" si="66"/>
        <v>1147</v>
      </c>
      <c r="DA193">
        <f t="shared" si="67"/>
        <v>210</v>
      </c>
      <c r="DB193">
        <f>(CZ193+DA193)/MAX(DA186,CZ190)</f>
        <v>1.0374617737003058</v>
      </c>
      <c r="DC193" s="26">
        <v>16.8</v>
      </c>
      <c r="DD193">
        <f t="shared" si="49"/>
        <v>1357</v>
      </c>
      <c r="DE193">
        <f t="shared" ref="DE193:DE200" si="69">ROUND(MAX((DB193-DF193), 0), 2)</f>
        <v>0.16</v>
      </c>
      <c r="DF193">
        <f>ROUND(CZ193/MAX(DA186,CZ190), 2)</f>
        <v>0.88</v>
      </c>
    </row>
    <row r="194" spans="1:110" x14ac:dyDescent="0.15">
      <c r="A194" s="23">
        <v>2023</v>
      </c>
      <c r="B194" s="23" t="s">
        <v>48</v>
      </c>
      <c r="C194" s="23">
        <v>10</v>
      </c>
      <c r="D194" s="23">
        <v>12</v>
      </c>
      <c r="E194" s="23" t="s">
        <v>50</v>
      </c>
      <c r="F194" s="23" t="s">
        <v>55</v>
      </c>
      <c r="G194" s="23" t="s">
        <v>5</v>
      </c>
      <c r="H194" s="23">
        <v>2</v>
      </c>
      <c r="I194" s="23" t="s">
        <v>62</v>
      </c>
      <c r="J194" s="23" t="s">
        <v>57</v>
      </c>
      <c r="K194" s="24">
        <v>45070</v>
      </c>
      <c r="L194" s="27">
        <v>10000000000</v>
      </c>
      <c r="M194" s="1">
        <f>K194-K191</f>
        <v>0</v>
      </c>
      <c r="N194" s="24">
        <v>45081</v>
      </c>
      <c r="O194" s="24">
        <v>45089</v>
      </c>
      <c r="P194" s="24">
        <v>45075</v>
      </c>
      <c r="Q194" s="1">
        <f>P194-P191</f>
        <v>-1</v>
      </c>
      <c r="R194" s="1">
        <f>N194-N186</f>
        <v>1</v>
      </c>
      <c r="S194" s="1">
        <f>O194-O186</f>
        <v>1</v>
      </c>
      <c r="T194" s="1">
        <f t="shared" si="68"/>
        <v>1</v>
      </c>
      <c r="U194" s="1">
        <v>79</v>
      </c>
      <c r="V194" s="1">
        <v>86</v>
      </c>
      <c r="W194" s="1">
        <v>-7</v>
      </c>
      <c r="X194" s="1">
        <v>0</v>
      </c>
      <c r="Y194" s="1">
        <v>0</v>
      </c>
      <c r="Z194" s="1">
        <v>10</v>
      </c>
      <c r="AA194" s="1">
        <v>0</v>
      </c>
      <c r="AB194" s="1">
        <v>0</v>
      </c>
      <c r="AC194" s="1">
        <v>0</v>
      </c>
      <c r="AD194" s="25">
        <v>40.666666666666664</v>
      </c>
      <c r="AE194" s="25">
        <v>24.333333333333332</v>
      </c>
      <c r="AF194" s="25">
        <v>113</v>
      </c>
      <c r="AG194" s="25">
        <v>76</v>
      </c>
      <c r="AH194" s="1" t="s">
        <v>71</v>
      </c>
      <c r="AI194" s="1" t="s">
        <v>71</v>
      </c>
      <c r="AJ194" s="1">
        <v>2</v>
      </c>
      <c r="AK194" s="1">
        <v>0</v>
      </c>
      <c r="AL194" s="1">
        <v>0</v>
      </c>
      <c r="AM194" s="1">
        <v>0</v>
      </c>
      <c r="AN194" s="1">
        <v>0.01</v>
      </c>
      <c r="AO194" s="1">
        <v>0.01</v>
      </c>
      <c r="AP194" s="1">
        <v>1E-4</v>
      </c>
      <c r="AQ194" s="1">
        <v>9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264</v>
      </c>
      <c r="BI194" s="1">
        <v>0</v>
      </c>
      <c r="BJ194" s="1">
        <v>5</v>
      </c>
      <c r="BK194" s="1">
        <v>1E-3</v>
      </c>
      <c r="BL194" s="1">
        <f t="shared" si="46"/>
        <v>0.1</v>
      </c>
      <c r="BM194" s="1">
        <v>0.05</v>
      </c>
      <c r="BN194" s="1">
        <v>0.02</v>
      </c>
      <c r="BO194" s="1">
        <v>1</v>
      </c>
      <c r="BP194" s="1">
        <v>0</v>
      </c>
      <c r="BQ194" s="1">
        <v>17</v>
      </c>
      <c r="BR194" s="1">
        <v>0</v>
      </c>
      <c r="BS194" s="1">
        <v>0</v>
      </c>
      <c r="BT194" s="1">
        <v>14</v>
      </c>
      <c r="BU194" s="1">
        <v>2</v>
      </c>
      <c r="BV194" s="28">
        <v>5.666666666666667</v>
      </c>
      <c r="BW194" s="28">
        <v>0.66666666666666663</v>
      </c>
      <c r="BX194" s="1" t="s">
        <v>71</v>
      </c>
      <c r="BY194" s="1" t="s">
        <v>71</v>
      </c>
      <c r="BZ194" s="3">
        <v>0.9</v>
      </c>
      <c r="CA194" s="3">
        <v>1.7</v>
      </c>
      <c r="CB194" s="3">
        <f t="shared" si="47"/>
        <v>1.2500000000000002</v>
      </c>
      <c r="CC194" s="3">
        <f t="shared" si="52"/>
        <v>2.3611111111111112</v>
      </c>
      <c r="CD194" s="1">
        <f>ROUND(CB194/CB183+CC194/CC191,2)</f>
        <v>1.27</v>
      </c>
      <c r="CE194" s="1">
        <f>ROUND(CB194/CB186+CC194/CC191,2)</f>
        <v>1.01</v>
      </c>
      <c r="CF194" s="1">
        <f t="shared" si="65"/>
        <v>1.01</v>
      </c>
      <c r="CG194" s="1">
        <f>ROUND(CB194/CB183,2)</f>
        <v>0.56000000000000005</v>
      </c>
      <c r="CH194" s="1">
        <f>ROUND(CB194/CB186,2)</f>
        <v>0.3</v>
      </c>
      <c r="CI194" s="1">
        <f>ROUND(CC194/CC191,2)</f>
        <v>0.71</v>
      </c>
      <c r="CJ194" s="1">
        <f>ROUND((CC194+CB194)/MAX(CC191,CB186),2)</f>
        <v>0.87</v>
      </c>
      <c r="CK194" s="1">
        <f>ROUND(LN((0.9*BZ194)/(0.1*CA194))/(BZ183/CA191),2)</f>
        <v>2.34</v>
      </c>
      <c r="CL194" s="1">
        <f>ROUND(LN((0.9*BZ194)/(0.1*CA194))/(BZ186/CA191),2)</f>
        <v>1.25</v>
      </c>
      <c r="CM194" s="1">
        <f>ROUND(LN((0.1*CA194)/(0.9*BZ194))/(CA191/BZ183),2)</f>
        <v>-1.04</v>
      </c>
      <c r="CN194" s="1">
        <f>ROUND(LN((0.1*CA194)/(0.9*BZ194))/(CA191/BZ186),2)</f>
        <v>-1.95</v>
      </c>
      <c r="CO194" s="5">
        <v>51</v>
      </c>
      <c r="CP194" s="5">
        <v>69</v>
      </c>
      <c r="CQ194" s="1">
        <v>42</v>
      </c>
      <c r="CR194" s="1">
        <v>131</v>
      </c>
      <c r="CS194" s="5">
        <v>40.299999999999997</v>
      </c>
      <c r="CT194" s="5">
        <v>8.4</v>
      </c>
      <c r="CU194" s="5">
        <v>3.2</v>
      </c>
      <c r="CV194" s="1" t="s">
        <v>71</v>
      </c>
      <c r="CW194" s="1" t="s">
        <v>71</v>
      </c>
      <c r="CX194" t="e">
        <f>ROUND(CV194*#REF!/10,1)</f>
        <v>#VALUE!</v>
      </c>
      <c r="CY194" s="1">
        <v>13.6</v>
      </c>
      <c r="CZ194">
        <f t="shared" si="66"/>
        <v>952</v>
      </c>
      <c r="DA194">
        <f t="shared" si="67"/>
        <v>170</v>
      </c>
      <c r="DB194">
        <f>(CZ194+DA194)/MAX(DA186,CZ191)</f>
        <v>0.78297278436845774</v>
      </c>
      <c r="DC194" s="26">
        <v>13.6</v>
      </c>
      <c r="DD194">
        <f t="shared" si="49"/>
        <v>1122</v>
      </c>
      <c r="DE194">
        <f t="shared" si="69"/>
        <v>0.12</v>
      </c>
      <c r="DF194">
        <f>ROUND(CZ194/MAX(DA186,CZ191), 2)</f>
        <v>0.66</v>
      </c>
    </row>
    <row r="195" spans="1:110" x14ac:dyDescent="0.15">
      <c r="A195" s="23">
        <v>2023</v>
      </c>
      <c r="B195" s="23" t="s">
        <v>48</v>
      </c>
      <c r="C195" s="23">
        <v>10</v>
      </c>
      <c r="D195" s="23">
        <v>13</v>
      </c>
      <c r="E195" s="23" t="s">
        <v>51</v>
      </c>
      <c r="F195" s="23" t="s">
        <v>53</v>
      </c>
      <c r="G195" s="23" t="s">
        <v>5</v>
      </c>
      <c r="H195" s="23">
        <v>2</v>
      </c>
      <c r="I195" s="23" t="s">
        <v>63</v>
      </c>
      <c r="J195" s="23" t="s">
        <v>57</v>
      </c>
      <c r="K195" s="24">
        <v>45072</v>
      </c>
      <c r="L195" s="27">
        <v>10000000000</v>
      </c>
      <c r="M195" s="1">
        <f>K195-K189</f>
        <v>2</v>
      </c>
      <c r="N195" s="24">
        <v>45087</v>
      </c>
      <c r="O195" s="24">
        <v>45098</v>
      </c>
      <c r="P195" s="24">
        <v>45078</v>
      </c>
      <c r="Q195" s="1">
        <f>P195-P189</f>
        <v>0</v>
      </c>
      <c r="R195" s="1">
        <f>N195-N187</f>
        <v>2</v>
      </c>
      <c r="S195" s="1">
        <f>O195-O187</f>
        <v>7</v>
      </c>
      <c r="T195" s="1">
        <f t="shared" si="68"/>
        <v>4.5</v>
      </c>
      <c r="U195" s="1">
        <v>79</v>
      </c>
      <c r="V195" s="1">
        <v>83</v>
      </c>
      <c r="W195" s="1">
        <v>-4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25">
        <v>34.666666666666664</v>
      </c>
      <c r="AE195" s="25">
        <v>23.333333333333332</v>
      </c>
      <c r="AF195" s="25">
        <v>99</v>
      </c>
      <c r="AG195" s="25">
        <v>77</v>
      </c>
      <c r="AH195" s="1" t="s">
        <v>71</v>
      </c>
      <c r="AI195" s="1" t="s">
        <v>71</v>
      </c>
      <c r="AJ195" s="1">
        <v>1.3</v>
      </c>
      <c r="AK195" s="1">
        <v>0</v>
      </c>
      <c r="AL195" s="1">
        <v>0</v>
      </c>
      <c r="AM195" s="1">
        <v>0</v>
      </c>
      <c r="AN195" s="1">
        <v>0.01</v>
      </c>
      <c r="AO195" s="1">
        <v>0.01</v>
      </c>
      <c r="AP195" s="1">
        <v>1E-4</v>
      </c>
      <c r="AQ195" s="1">
        <v>13</v>
      </c>
      <c r="AR195" s="1">
        <v>0.03</v>
      </c>
      <c r="AS195" s="1">
        <v>5</v>
      </c>
      <c r="AT195" s="1">
        <v>0.15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10</v>
      </c>
      <c r="BI195" s="1">
        <v>80</v>
      </c>
      <c r="BJ195" s="1">
        <v>2</v>
      </c>
      <c r="BK195" s="1">
        <v>1.1999999999999999E-3</v>
      </c>
      <c r="BL195" s="1">
        <f t="shared" si="46"/>
        <v>0.12</v>
      </c>
      <c r="BM195" s="1">
        <v>0.06</v>
      </c>
      <c r="BN195" s="1">
        <v>0.02</v>
      </c>
      <c r="BO195" s="1">
        <v>1</v>
      </c>
      <c r="BP195" s="1">
        <v>0</v>
      </c>
      <c r="BQ195" s="1">
        <v>35</v>
      </c>
      <c r="BR195" s="1">
        <v>109</v>
      </c>
      <c r="BS195" s="1" t="s">
        <v>71</v>
      </c>
      <c r="BT195" s="1">
        <v>7</v>
      </c>
      <c r="BU195" s="1">
        <v>4</v>
      </c>
      <c r="BV195" s="28">
        <v>5.666666666666667</v>
      </c>
      <c r="BW195" s="28">
        <v>1</v>
      </c>
      <c r="BX195" s="1" t="s">
        <v>71</v>
      </c>
      <c r="BY195" s="1" t="s">
        <v>71</v>
      </c>
      <c r="BZ195" s="3">
        <v>0.9</v>
      </c>
      <c r="CA195" s="3">
        <v>2</v>
      </c>
      <c r="CB195" s="3">
        <f t="shared" si="47"/>
        <v>1.2500000000000002</v>
      </c>
      <c r="CC195" s="3">
        <f t="shared" si="52"/>
        <v>2.7777777777777777</v>
      </c>
      <c r="CD195" s="1">
        <f>ROUND(CB195/CB184+CC195/CC189,2)</f>
        <v>1.21</v>
      </c>
      <c r="CE195" s="1">
        <f>ROUND(CB195/CB187+CC195/CC189,2)</f>
        <v>1.1499999999999999</v>
      </c>
      <c r="CF195" s="1">
        <f t="shared" si="65"/>
        <v>1.1499999999999999</v>
      </c>
      <c r="CG195" s="1">
        <f>ROUND(CB195/CB184,2)</f>
        <v>0.38</v>
      </c>
      <c r="CH195" s="1">
        <f>ROUND(CB195/CB187,2)</f>
        <v>0.32</v>
      </c>
      <c r="CI195" s="1">
        <f>ROUND(CC195/CC189,2)</f>
        <v>0.83</v>
      </c>
      <c r="CJ195" s="1">
        <f>ROUND((CC195+CB195)/MAX(CC189,CB187),2)</f>
        <v>1.04</v>
      </c>
      <c r="CK195" s="1">
        <f>ROUND(LN((0.9*BZ195)/(0.1*CA195))/(BZ184/CA189),2)</f>
        <v>1.4</v>
      </c>
      <c r="CL195" s="1">
        <f>ROUND(LN((0.9*BZ195)/(0.1*CA195))/(BZ187/CA189),2)</f>
        <v>1.2</v>
      </c>
      <c r="CM195" s="1">
        <f>ROUND(LN((0.1*CA195)/(0.9*BZ195))/(CA189/BZ184),2)</f>
        <v>-1.4</v>
      </c>
      <c r="CN195" s="1">
        <f>ROUND(LN((0.1*CA195)/(0.9*BZ195))/(CA189/BZ187),2)</f>
        <v>-1.63</v>
      </c>
      <c r="CO195" s="5">
        <v>52</v>
      </c>
      <c r="CP195" s="5">
        <v>74</v>
      </c>
      <c r="CQ195" s="1">
        <v>32</v>
      </c>
      <c r="CR195" s="1">
        <v>146</v>
      </c>
      <c r="CS195" s="5">
        <v>36</v>
      </c>
      <c r="CT195" s="5">
        <v>8.5</v>
      </c>
      <c r="CU195" s="5">
        <v>4.4000000000000004</v>
      </c>
      <c r="CV195" s="1" t="s">
        <v>71</v>
      </c>
      <c r="CW195" s="1" t="s">
        <v>71</v>
      </c>
      <c r="CX195" t="e">
        <f>ROUND(CV195*#REF!/10,1)</f>
        <v>#VALUE!</v>
      </c>
      <c r="CY195" s="1">
        <v>14.4</v>
      </c>
      <c r="CZ195">
        <f t="shared" si="66"/>
        <v>1000</v>
      </c>
      <c r="DA195">
        <f t="shared" si="67"/>
        <v>180</v>
      </c>
      <c r="DB195">
        <f>(CZ195+DA195)/MAX(DA187,CZ189)</f>
        <v>1.0025488530161428</v>
      </c>
      <c r="DC195" s="26">
        <v>14.4</v>
      </c>
      <c r="DD195">
        <f t="shared" si="49"/>
        <v>1180</v>
      </c>
      <c r="DE195">
        <f t="shared" si="69"/>
        <v>0.15</v>
      </c>
      <c r="DF195">
        <f>ROUND(CZ195/MAX(DA187,CZ189), 2)</f>
        <v>0.85</v>
      </c>
    </row>
    <row r="196" spans="1:110" x14ac:dyDescent="0.15">
      <c r="A196" s="23">
        <v>2023</v>
      </c>
      <c r="B196" s="23" t="s">
        <v>48</v>
      </c>
      <c r="C196" s="23">
        <v>10</v>
      </c>
      <c r="D196" s="23">
        <v>14</v>
      </c>
      <c r="E196" s="23" t="s">
        <v>51</v>
      </c>
      <c r="F196" s="23" t="s">
        <v>54</v>
      </c>
      <c r="G196" s="23" t="s">
        <v>5</v>
      </c>
      <c r="H196" s="23">
        <v>2</v>
      </c>
      <c r="I196" s="23" t="s">
        <v>64</v>
      </c>
      <c r="J196" s="23" t="s">
        <v>57</v>
      </c>
      <c r="K196" s="24">
        <v>45077</v>
      </c>
      <c r="L196" s="27">
        <v>10000000000</v>
      </c>
      <c r="M196" s="1">
        <f>K196-K190</f>
        <v>0</v>
      </c>
      <c r="N196" s="24">
        <v>45087</v>
      </c>
      <c r="O196" s="24">
        <v>45094</v>
      </c>
      <c r="P196" s="24">
        <v>45075</v>
      </c>
      <c r="Q196" s="1">
        <f>P196-P190</f>
        <v>-4</v>
      </c>
      <c r="R196" s="1">
        <f>N196-N187</f>
        <v>2</v>
      </c>
      <c r="S196" s="1">
        <f>O196-O187</f>
        <v>3</v>
      </c>
      <c r="T196" s="1">
        <f t="shared" si="68"/>
        <v>2.5</v>
      </c>
      <c r="U196" s="1">
        <v>77</v>
      </c>
      <c r="V196" s="1">
        <v>86</v>
      </c>
      <c r="W196" s="1">
        <v>-9</v>
      </c>
      <c r="X196" s="1">
        <v>0</v>
      </c>
      <c r="Y196" s="1">
        <v>0</v>
      </c>
      <c r="Z196" s="1">
        <v>5</v>
      </c>
      <c r="AA196" s="1">
        <v>0</v>
      </c>
      <c r="AB196" s="1">
        <v>0</v>
      </c>
      <c r="AC196" s="1">
        <v>0</v>
      </c>
      <c r="AD196" s="25">
        <v>31.666666666666668</v>
      </c>
      <c r="AE196" s="25">
        <v>21.333333333333332</v>
      </c>
      <c r="AF196" s="25">
        <v>98</v>
      </c>
      <c r="AG196" s="25">
        <v>68</v>
      </c>
      <c r="AH196" s="1" t="s">
        <v>71</v>
      </c>
      <c r="AI196" s="1" t="s">
        <v>71</v>
      </c>
      <c r="AJ196" s="1">
        <v>1.3</v>
      </c>
      <c r="AK196" s="1">
        <v>0</v>
      </c>
      <c r="AL196" s="1">
        <v>0</v>
      </c>
      <c r="AM196" s="1">
        <v>0</v>
      </c>
      <c r="AN196" s="1">
        <v>0.01</v>
      </c>
      <c r="AO196" s="1">
        <v>0.1</v>
      </c>
      <c r="AP196" s="1">
        <v>1E-3</v>
      </c>
      <c r="AQ196" s="1">
        <v>12</v>
      </c>
      <c r="AR196" s="1">
        <v>0.01</v>
      </c>
      <c r="AS196" s="1">
        <v>8</v>
      </c>
      <c r="AT196" s="1">
        <v>0.08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1</v>
      </c>
      <c r="BI196" s="1">
        <v>60</v>
      </c>
      <c r="BJ196" s="1">
        <v>0</v>
      </c>
      <c r="BK196" s="1">
        <v>3.5000000000000005E-3</v>
      </c>
      <c r="BL196" s="1">
        <f t="shared" ref="BL196:BL259" si="70">BK196*100</f>
        <v>0.35000000000000003</v>
      </c>
      <c r="BM196" s="1">
        <v>7.0000000000000007E-2</v>
      </c>
      <c r="BN196" s="1">
        <v>0.05</v>
      </c>
      <c r="BO196" s="1">
        <v>1</v>
      </c>
      <c r="BP196" s="1">
        <v>0</v>
      </c>
      <c r="BQ196" s="1">
        <v>172</v>
      </c>
      <c r="BR196" s="1">
        <v>19</v>
      </c>
      <c r="BS196" s="1">
        <v>0</v>
      </c>
      <c r="BT196" s="1">
        <v>8</v>
      </c>
      <c r="BU196" s="1">
        <v>4</v>
      </c>
      <c r="BV196" s="28">
        <v>8.3333333333333339</v>
      </c>
      <c r="BW196" s="28">
        <v>1.3333333333333333</v>
      </c>
      <c r="BX196" s="1" t="s">
        <v>71</v>
      </c>
      <c r="BY196" s="1" t="s">
        <v>71</v>
      </c>
      <c r="BZ196" s="3">
        <v>1.1000000000000001</v>
      </c>
      <c r="CA196" s="3">
        <v>2</v>
      </c>
      <c r="CB196" s="3">
        <f t="shared" ref="CB196:CB259" si="71">BZ196/(1.5*4.8)*10</f>
        <v>1.5277777777777781</v>
      </c>
      <c r="CC196" s="3">
        <f t="shared" si="52"/>
        <v>2.7777777777777777</v>
      </c>
      <c r="CD196" s="1">
        <f>ROUND(CB196/CB184+CC196/CC190,2)</f>
        <v>1.37</v>
      </c>
      <c r="CE196" s="1">
        <f>ROUND(CB196/CB187+CC196/CC190,2)</f>
        <v>1.3</v>
      </c>
      <c r="CF196" s="1">
        <f t="shared" si="65"/>
        <v>1.3</v>
      </c>
      <c r="CG196" s="1">
        <f>ROUND(CB196/CB184,2)</f>
        <v>0.46</v>
      </c>
      <c r="CH196" s="1">
        <f>ROUND(CB196/CB187,2)</f>
        <v>0.39</v>
      </c>
      <c r="CI196" s="1">
        <f>ROUND(CC196/CC190,2)</f>
        <v>0.91</v>
      </c>
      <c r="CJ196" s="1">
        <f>ROUND((CC196+CB196)/MAX(CC190,CB187),2)</f>
        <v>1.1100000000000001</v>
      </c>
      <c r="CK196" s="1">
        <f>ROUND(LN((0.9*BZ196)/(0.1*CA196))/(BZ184/CA190),2)</f>
        <v>1.47</v>
      </c>
      <c r="CL196" s="1">
        <f>ROUND(LN((0.9*BZ196)/(0.1*CA196))/(BZ187/CA190),2)</f>
        <v>1.26</v>
      </c>
      <c r="CM196" s="1">
        <f>ROUND(LN((0.1*CA196)/(0.9*BZ196))/(CA190/BZ184),2)</f>
        <v>-1.74</v>
      </c>
      <c r="CN196" s="1">
        <f>ROUND(LN((0.1*CA196)/(0.9*BZ196))/(CA190/BZ187),2)</f>
        <v>-2.04</v>
      </c>
      <c r="CO196" s="5">
        <v>50</v>
      </c>
      <c r="CP196" s="5">
        <v>75</v>
      </c>
      <c r="CQ196" s="1">
        <v>37</v>
      </c>
      <c r="CR196" s="1">
        <v>138</v>
      </c>
      <c r="CS196" s="5">
        <v>37.799999999999997</v>
      </c>
      <c r="CT196" s="5">
        <v>8.5</v>
      </c>
      <c r="CU196" s="5">
        <v>5.0999999999999996</v>
      </c>
      <c r="CV196" s="1" t="s">
        <v>71</v>
      </c>
      <c r="CW196" s="1" t="s">
        <v>71</v>
      </c>
      <c r="CX196" t="e">
        <f>ROUND(CV196*#REF!/10,1)</f>
        <v>#VALUE!</v>
      </c>
      <c r="CY196" s="1">
        <v>13.3</v>
      </c>
      <c r="CZ196">
        <f t="shared" si="66"/>
        <v>1050</v>
      </c>
      <c r="DA196">
        <f t="shared" si="67"/>
        <v>203</v>
      </c>
      <c r="DB196">
        <f>(CZ196+DA196)/MAX(DA187,CZ190)</f>
        <v>0.95795107033639149</v>
      </c>
      <c r="DC196" s="26">
        <v>13.3</v>
      </c>
      <c r="DD196">
        <f t="shared" ref="DD196:DD259" si="72">SUM(CZ196,DA196)</f>
        <v>1253</v>
      </c>
      <c r="DE196">
        <f t="shared" si="69"/>
        <v>0.16</v>
      </c>
      <c r="DF196">
        <f>ROUND(CZ196/MAX(DA187,CZ190), 2)</f>
        <v>0.8</v>
      </c>
    </row>
    <row r="197" spans="1:110" x14ac:dyDescent="0.15">
      <c r="A197" s="23">
        <v>2023</v>
      </c>
      <c r="B197" s="23" t="s">
        <v>48</v>
      </c>
      <c r="C197" s="23">
        <v>10</v>
      </c>
      <c r="D197" s="23">
        <v>15</v>
      </c>
      <c r="E197" s="23" t="s">
        <v>51</v>
      </c>
      <c r="F197" s="23" t="s">
        <v>55</v>
      </c>
      <c r="G197" s="23" t="s">
        <v>5</v>
      </c>
      <c r="H197" s="23">
        <v>2</v>
      </c>
      <c r="I197" s="23" t="s">
        <v>65</v>
      </c>
      <c r="J197" s="23" t="s">
        <v>57</v>
      </c>
      <c r="K197" s="24">
        <v>45072</v>
      </c>
      <c r="L197" s="27">
        <v>10000000000</v>
      </c>
      <c r="M197" s="1">
        <f>K197-K191</f>
        <v>2</v>
      </c>
      <c r="N197" s="24">
        <v>45087</v>
      </c>
      <c r="O197" s="24">
        <v>45098</v>
      </c>
      <c r="P197" s="24">
        <v>45075</v>
      </c>
      <c r="Q197" s="1">
        <f>P197-P191</f>
        <v>-1</v>
      </c>
      <c r="R197" s="1">
        <f>N197-N187</f>
        <v>2</v>
      </c>
      <c r="S197" s="1">
        <f>O197-O187</f>
        <v>7</v>
      </c>
      <c r="T197" s="1">
        <f t="shared" si="68"/>
        <v>4.5</v>
      </c>
      <c r="U197" s="1">
        <v>79</v>
      </c>
      <c r="V197" s="1">
        <v>86</v>
      </c>
      <c r="W197" s="1">
        <v>-7</v>
      </c>
      <c r="X197" s="1">
        <v>0</v>
      </c>
      <c r="Y197" s="1">
        <v>0</v>
      </c>
      <c r="Z197" s="1">
        <v>0</v>
      </c>
      <c r="AA197" s="1">
        <v>0</v>
      </c>
      <c r="AB197" s="1">
        <v>2</v>
      </c>
      <c r="AC197" s="1">
        <v>0</v>
      </c>
      <c r="AD197" s="25">
        <v>32.333333333333336</v>
      </c>
      <c r="AE197" s="25">
        <v>25</v>
      </c>
      <c r="AF197" s="25">
        <v>101</v>
      </c>
      <c r="AG197" s="25">
        <v>74</v>
      </c>
      <c r="AH197" s="1" t="s">
        <v>71</v>
      </c>
      <c r="AI197" s="1" t="s">
        <v>71</v>
      </c>
      <c r="AJ197" s="1">
        <v>3.3</v>
      </c>
      <c r="AK197" s="1">
        <v>0</v>
      </c>
      <c r="AL197" s="1">
        <v>0</v>
      </c>
      <c r="AM197" s="1">
        <v>0</v>
      </c>
      <c r="AN197" s="1">
        <v>0.01</v>
      </c>
      <c r="AO197" s="1">
        <v>0.01</v>
      </c>
      <c r="AP197" s="1">
        <v>1E-4</v>
      </c>
      <c r="AQ197" s="1">
        <v>17</v>
      </c>
      <c r="AR197" s="1">
        <v>0.05</v>
      </c>
      <c r="AS197" s="1">
        <v>3</v>
      </c>
      <c r="AT197" s="1">
        <v>0.15000000000000002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44</v>
      </c>
      <c r="BI197" s="1">
        <v>80</v>
      </c>
      <c r="BJ197" s="1">
        <v>25</v>
      </c>
      <c r="BK197" s="1">
        <v>1.2E-2</v>
      </c>
      <c r="BL197" s="1">
        <f t="shared" si="70"/>
        <v>1.2</v>
      </c>
      <c r="BM197" s="1">
        <v>0.15</v>
      </c>
      <c r="BN197" s="1">
        <v>0.08</v>
      </c>
      <c r="BO197" s="1">
        <v>1</v>
      </c>
      <c r="BP197" s="1">
        <v>0</v>
      </c>
      <c r="BQ197" s="1">
        <v>167</v>
      </c>
      <c r="BR197" s="1">
        <v>4</v>
      </c>
      <c r="BS197" s="1">
        <v>3</v>
      </c>
      <c r="BT197" s="1">
        <v>12</v>
      </c>
      <c r="BU197" s="1">
        <v>0</v>
      </c>
      <c r="BV197" s="28">
        <v>5.666666666666667</v>
      </c>
      <c r="BW197" s="28">
        <v>0.66666666666666663</v>
      </c>
      <c r="BX197" s="1" t="s">
        <v>71</v>
      </c>
      <c r="BY197" s="1" t="s">
        <v>71</v>
      </c>
      <c r="BZ197" s="3">
        <v>1.3</v>
      </c>
      <c r="CA197" s="3">
        <v>1.4</v>
      </c>
      <c r="CB197" s="3">
        <f t="shared" si="71"/>
        <v>1.8055555555555558</v>
      </c>
      <c r="CC197" s="3">
        <f t="shared" si="52"/>
        <v>1.9444444444444444</v>
      </c>
      <c r="CD197" s="1">
        <f>ROUND(CB197/CB184+CC197/CC191,2)</f>
        <v>1.1299999999999999</v>
      </c>
      <c r="CE197" s="1">
        <f>ROUND(CB197/CB187+CC197/CC191,2)</f>
        <v>1.05</v>
      </c>
      <c r="CF197" s="1">
        <f t="shared" si="65"/>
        <v>1.05</v>
      </c>
      <c r="CG197" s="1">
        <f>ROUND(CB197/CB184,2)</f>
        <v>0.54</v>
      </c>
      <c r="CH197" s="1">
        <f>ROUND(CB197/CB187,2)</f>
        <v>0.46</v>
      </c>
      <c r="CI197" s="1">
        <f>ROUND(CC197/CC191,2)</f>
        <v>0.57999999999999996</v>
      </c>
      <c r="CJ197" s="1">
        <f>ROUND((CC197+CB197)/MAX(CC191,CB187),2)</f>
        <v>0.96</v>
      </c>
      <c r="CK197" s="1">
        <f>ROUND(LN((0.9*BZ197)/(0.1*CA197))/(BZ184/CA191),2)</f>
        <v>2.12</v>
      </c>
      <c r="CL197" s="1">
        <f>ROUND(LN((0.9*BZ197)/(0.1*CA197))/(BZ187/CA191),2)</f>
        <v>1.82</v>
      </c>
      <c r="CM197" s="1">
        <f>ROUND(LN((0.1*CA197)/(0.9*BZ197))/(CA191/BZ184),2)</f>
        <v>-2.12</v>
      </c>
      <c r="CN197" s="1">
        <f>ROUND(LN((0.1*CA197)/(0.9*BZ197))/(CA191/BZ187),2)</f>
        <v>-2.48</v>
      </c>
      <c r="CO197" s="5">
        <v>51</v>
      </c>
      <c r="CP197" s="5">
        <v>64</v>
      </c>
      <c r="CQ197" s="1">
        <v>36</v>
      </c>
      <c r="CR197" s="1">
        <v>128</v>
      </c>
      <c r="CS197" s="5">
        <v>41.8</v>
      </c>
      <c r="CT197" s="5">
        <v>8</v>
      </c>
      <c r="CU197" s="5">
        <v>3.2</v>
      </c>
      <c r="CV197" s="1" t="s">
        <v>71</v>
      </c>
      <c r="CW197" s="1" t="s">
        <v>71</v>
      </c>
      <c r="CX197" t="e">
        <f>ROUND(CV197*#REF!/10,1)</f>
        <v>#VALUE!</v>
      </c>
      <c r="CY197" s="1">
        <v>13.1</v>
      </c>
      <c r="CZ197">
        <f t="shared" si="66"/>
        <v>813</v>
      </c>
      <c r="DA197">
        <f t="shared" si="67"/>
        <v>237</v>
      </c>
      <c r="DB197">
        <f>(CZ197+DA197)/MAX(DA187,CZ191)</f>
        <v>0.73272854152128397</v>
      </c>
      <c r="DC197" s="26">
        <v>13.1</v>
      </c>
      <c r="DD197">
        <f t="shared" si="72"/>
        <v>1050</v>
      </c>
      <c r="DE197">
        <f t="shared" si="69"/>
        <v>0.16</v>
      </c>
      <c r="DF197">
        <f>ROUND(CZ197/MAX(DA187,CZ191), 2)</f>
        <v>0.56999999999999995</v>
      </c>
    </row>
    <row r="198" spans="1:110" x14ac:dyDescent="0.15">
      <c r="A198" s="23">
        <v>2023</v>
      </c>
      <c r="B198" s="23" t="s">
        <v>48</v>
      </c>
      <c r="C198" s="23">
        <v>10</v>
      </c>
      <c r="D198" s="23">
        <v>16</v>
      </c>
      <c r="E198" s="23" t="s">
        <v>52</v>
      </c>
      <c r="F198" s="23" t="s">
        <v>53</v>
      </c>
      <c r="G198" s="23" t="s">
        <v>5</v>
      </c>
      <c r="H198" s="23">
        <v>2</v>
      </c>
      <c r="I198" s="23" t="s">
        <v>66</v>
      </c>
      <c r="J198" s="23" t="s">
        <v>57</v>
      </c>
      <c r="K198" s="24">
        <v>45072</v>
      </c>
      <c r="L198" s="27">
        <v>10000000000</v>
      </c>
      <c r="M198" s="1">
        <f>K198-K189</f>
        <v>2</v>
      </c>
      <c r="N198" s="24">
        <v>45087</v>
      </c>
      <c r="O198" s="24">
        <v>45102</v>
      </c>
      <c r="P198" s="24">
        <v>45077</v>
      </c>
      <c r="Q198" s="1">
        <f>P198-P189</f>
        <v>-1</v>
      </c>
      <c r="R198" s="1">
        <f>N198-N188</f>
        <v>2</v>
      </c>
      <c r="S198" s="1">
        <f>O198-O188</f>
        <v>3</v>
      </c>
      <c r="T198" s="1">
        <f t="shared" si="68"/>
        <v>2.5</v>
      </c>
      <c r="U198" s="1">
        <v>83</v>
      </c>
      <c r="V198" s="1">
        <v>83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25">
        <v>31.333333333333332</v>
      </c>
      <c r="AE198" s="25">
        <v>22.333333333333332</v>
      </c>
      <c r="AF198" s="25">
        <v>77</v>
      </c>
      <c r="AG198" s="25">
        <v>80</v>
      </c>
      <c r="AH198" s="1" t="s">
        <v>71</v>
      </c>
      <c r="AI198" s="1" t="s">
        <v>71</v>
      </c>
      <c r="AJ198" s="1">
        <v>2.2999999999999998</v>
      </c>
      <c r="AK198" s="1">
        <v>0</v>
      </c>
      <c r="AL198" s="1">
        <v>0</v>
      </c>
      <c r="AM198" s="1">
        <v>0</v>
      </c>
      <c r="AN198" s="1">
        <v>0.01</v>
      </c>
      <c r="AO198" s="1">
        <v>0.01</v>
      </c>
      <c r="AP198" s="1">
        <v>1E-4</v>
      </c>
      <c r="AQ198" s="1">
        <v>15</v>
      </c>
      <c r="AR198" s="1">
        <v>0.01</v>
      </c>
      <c r="AS198" s="1">
        <v>1</v>
      </c>
      <c r="AT198" s="1">
        <v>0.01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80</v>
      </c>
      <c r="BJ198" s="1">
        <v>20</v>
      </c>
      <c r="BK198" s="1">
        <v>1.4000000000000002E-2</v>
      </c>
      <c r="BL198" s="1">
        <f t="shared" si="70"/>
        <v>1.4000000000000001</v>
      </c>
      <c r="BM198" s="1">
        <v>0.2</v>
      </c>
      <c r="BN198" s="1">
        <v>7.0000000000000007E-2</v>
      </c>
      <c r="BO198" s="1">
        <v>1</v>
      </c>
      <c r="BP198" s="1">
        <v>0</v>
      </c>
      <c r="BQ198" s="1">
        <v>172</v>
      </c>
      <c r="BR198" s="1">
        <v>12</v>
      </c>
      <c r="BS198" s="1">
        <v>0</v>
      </c>
      <c r="BT198" s="1">
        <v>10</v>
      </c>
      <c r="BU198" s="1">
        <v>2</v>
      </c>
      <c r="BV198" s="28">
        <v>5.333333333333333</v>
      </c>
      <c r="BW198" s="28">
        <v>1.3333333333333333</v>
      </c>
      <c r="BX198" s="1" t="s">
        <v>71</v>
      </c>
      <c r="BY198" s="1" t="s">
        <v>71</v>
      </c>
      <c r="BZ198" s="3">
        <v>0.6</v>
      </c>
      <c r="CA198" s="3">
        <v>2.2999999999999998</v>
      </c>
      <c r="CB198" s="3">
        <f t="shared" si="71"/>
        <v>0.83333333333333348</v>
      </c>
      <c r="CC198" s="3">
        <f t="shared" si="52"/>
        <v>3.1944444444444446</v>
      </c>
      <c r="CD198" s="1">
        <f>ROUND(CB198/CB185+CC198/CC189,2)</f>
        <v>1.24</v>
      </c>
      <c r="CE198" s="1">
        <f>ROUND(CB198/CB188+CC198/CC189,2)</f>
        <v>1.1499999999999999</v>
      </c>
      <c r="CF198" s="1">
        <f>ROUND(CB198/(1.2*CB188)+CC198/CC189,2)</f>
        <v>1.1100000000000001</v>
      </c>
      <c r="CG198" s="1">
        <f>ROUND(CB198/CB185,2)</f>
        <v>0.28999999999999998</v>
      </c>
      <c r="CH198" s="1">
        <f>ROUND(CB198/CB188,2)</f>
        <v>0.19</v>
      </c>
      <c r="CI198" s="1">
        <f>ROUND(CC198/CC189,2)</f>
        <v>0.96</v>
      </c>
      <c r="CJ198" s="1">
        <f>ROUND((CC198+CB198)/MAX(CC189,CB188),2)</f>
        <v>0.91</v>
      </c>
      <c r="CK198" s="1">
        <f>ROUND(LN((0.9*BZ198)/(0.1*CA198))/(BZ185/CA189),2)</f>
        <v>0.98</v>
      </c>
      <c r="CL198" s="1">
        <f>ROUND(LN((0.9*BZ198)/(0.1*CA198))/(BZ188/CA189),2)</f>
        <v>0.64</v>
      </c>
      <c r="CM198" s="1">
        <f>ROUND(LN((0.1*CA198)/(0.9*BZ198))/(CA189/BZ185),2)</f>
        <v>-0.75</v>
      </c>
      <c r="CN198" s="1">
        <f>ROUND(LN((0.1*CA198)/(0.9*BZ198))/(CA189/BZ188),2)</f>
        <v>-1.1399999999999999</v>
      </c>
      <c r="CO198" s="5">
        <v>51</v>
      </c>
      <c r="CP198" s="5">
        <v>71</v>
      </c>
      <c r="CQ198" s="1" t="s">
        <v>71</v>
      </c>
      <c r="CR198" s="1">
        <v>142</v>
      </c>
      <c r="CS198" s="5">
        <v>36.299999999999997</v>
      </c>
      <c r="CT198" s="5">
        <v>8.4</v>
      </c>
      <c r="CU198" s="5">
        <v>3.7</v>
      </c>
      <c r="CV198" s="1" t="s">
        <v>71</v>
      </c>
      <c r="CW198" s="1" t="s">
        <v>71</v>
      </c>
      <c r="CX198" t="e">
        <f>ROUND(CV198*#REF!/10,1)</f>
        <v>#VALUE!</v>
      </c>
      <c r="CY198" s="1">
        <v>16.8</v>
      </c>
      <c r="CZ198">
        <f t="shared" si="66"/>
        <v>1160</v>
      </c>
      <c r="DA198">
        <f t="shared" si="67"/>
        <v>140</v>
      </c>
      <c r="DB198">
        <f>(CZ198+DA198)/MAX(DA188,CZ189)</f>
        <v>1.1045029736618521</v>
      </c>
      <c r="DC198" s="26">
        <v>16.8</v>
      </c>
      <c r="DD198">
        <f t="shared" si="72"/>
        <v>1300</v>
      </c>
      <c r="DE198">
        <f t="shared" si="69"/>
        <v>0.11</v>
      </c>
      <c r="DF198">
        <f>ROUND(CZ198/MAX(DA188,CZ189), 2)</f>
        <v>0.99</v>
      </c>
    </row>
    <row r="199" spans="1:110" x14ac:dyDescent="0.15">
      <c r="A199" s="23">
        <v>2023</v>
      </c>
      <c r="B199" s="23" t="s">
        <v>48</v>
      </c>
      <c r="C199" s="23">
        <v>10</v>
      </c>
      <c r="D199" s="23">
        <v>17</v>
      </c>
      <c r="E199" s="23" t="s">
        <v>52</v>
      </c>
      <c r="F199" s="23" t="s">
        <v>54</v>
      </c>
      <c r="G199" s="23" t="s">
        <v>5</v>
      </c>
      <c r="H199" s="23">
        <v>2</v>
      </c>
      <c r="I199" s="23" t="s">
        <v>67</v>
      </c>
      <c r="J199" s="23" t="s">
        <v>57</v>
      </c>
      <c r="K199" s="24">
        <v>45078</v>
      </c>
      <c r="L199" s="27">
        <v>10000000000</v>
      </c>
      <c r="M199" s="1">
        <f>K199-K190</f>
        <v>1</v>
      </c>
      <c r="N199" s="24">
        <v>45088</v>
      </c>
      <c r="O199" s="24">
        <v>45099</v>
      </c>
      <c r="P199" s="24">
        <v>45078</v>
      </c>
      <c r="Q199" s="1">
        <f>P199-P190</f>
        <v>-1</v>
      </c>
      <c r="R199" s="1">
        <f>N199-N188</f>
        <v>3</v>
      </c>
      <c r="S199" s="1">
        <f>O199-O188</f>
        <v>0</v>
      </c>
      <c r="T199" s="1">
        <f t="shared" si="68"/>
        <v>1.5</v>
      </c>
      <c r="U199" s="1">
        <v>79</v>
      </c>
      <c r="V199" s="1">
        <v>83</v>
      </c>
      <c r="W199" s="1">
        <v>-4</v>
      </c>
      <c r="X199" s="1">
        <v>0</v>
      </c>
      <c r="Y199" s="1">
        <v>0</v>
      </c>
      <c r="Z199" s="1">
        <v>5</v>
      </c>
      <c r="AA199" s="1">
        <v>0</v>
      </c>
      <c r="AB199" s="1">
        <v>0</v>
      </c>
      <c r="AC199" s="1">
        <v>0</v>
      </c>
      <c r="AD199" s="25">
        <v>30.333333333333332</v>
      </c>
      <c r="AE199" s="25">
        <v>21</v>
      </c>
      <c r="AF199" s="25">
        <v>75</v>
      </c>
      <c r="AG199" s="25">
        <v>73</v>
      </c>
      <c r="AH199" s="1" t="s">
        <v>71</v>
      </c>
      <c r="AI199" s="1" t="s">
        <v>71</v>
      </c>
      <c r="AJ199" s="1">
        <v>2.2999999999999998</v>
      </c>
      <c r="AK199" s="1">
        <v>0</v>
      </c>
      <c r="AL199" s="1">
        <v>0</v>
      </c>
      <c r="AM199" s="1">
        <v>0</v>
      </c>
      <c r="AN199" s="1">
        <v>0.05</v>
      </c>
      <c r="AO199" s="1">
        <v>0.2</v>
      </c>
      <c r="AP199" s="1">
        <v>1.0000000000000002E-2</v>
      </c>
      <c r="AQ199" s="1">
        <v>3</v>
      </c>
      <c r="AR199" s="1">
        <v>0.05</v>
      </c>
      <c r="AS199" s="1">
        <v>15</v>
      </c>
      <c r="AT199" s="1">
        <v>0.75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20</v>
      </c>
      <c r="BJ199" s="1">
        <v>0.5</v>
      </c>
      <c r="BK199" s="1">
        <v>1.2E-2</v>
      </c>
      <c r="BL199" s="1">
        <f t="shared" si="70"/>
        <v>1.2</v>
      </c>
      <c r="BM199" s="1">
        <v>0.2</v>
      </c>
      <c r="BN199" s="1">
        <v>0.06</v>
      </c>
      <c r="BO199" s="1">
        <v>1</v>
      </c>
      <c r="BP199" s="1">
        <v>0</v>
      </c>
      <c r="BQ199" s="1">
        <v>93</v>
      </c>
      <c r="BR199" s="1">
        <v>13</v>
      </c>
      <c r="BS199" s="1">
        <v>0</v>
      </c>
      <c r="BT199" s="1">
        <v>7</v>
      </c>
      <c r="BU199" s="1">
        <v>1</v>
      </c>
      <c r="BV199" s="28">
        <v>7</v>
      </c>
      <c r="BW199" s="28">
        <v>2</v>
      </c>
      <c r="BX199" s="1" t="s">
        <v>71</v>
      </c>
      <c r="BY199" s="1" t="s">
        <v>71</v>
      </c>
      <c r="BZ199" s="3">
        <v>0.7</v>
      </c>
      <c r="CA199" s="3">
        <v>2.2000000000000002</v>
      </c>
      <c r="CB199" s="3">
        <f t="shared" si="71"/>
        <v>0.97222222222222221</v>
      </c>
      <c r="CC199" s="3">
        <f t="shared" si="52"/>
        <v>3.0555555555555562</v>
      </c>
      <c r="CD199" s="1">
        <f>ROUND(CB199/CB185+CC199/CC190,2)</f>
        <v>1.33</v>
      </c>
      <c r="CE199" s="1">
        <f>ROUND(CB199/CB188+CC199/CC190,2)</f>
        <v>1.22</v>
      </c>
      <c r="CF199" s="1">
        <f>ROUND(CB199/(1.2*CB188)+CC199/CC190,2)</f>
        <v>1.18</v>
      </c>
      <c r="CG199" s="1">
        <f>ROUND(CB199/CB185,2)</f>
        <v>0.33</v>
      </c>
      <c r="CH199" s="1">
        <f>ROUND(CB199/CB188,2)</f>
        <v>0.22</v>
      </c>
      <c r="CI199" s="1">
        <f>ROUND(CC199/CC190,2)</f>
        <v>1</v>
      </c>
      <c r="CJ199" s="1">
        <f>ROUND((CC199+CB199)/MAX(CC190,CB188),2)</f>
        <v>0.91</v>
      </c>
      <c r="CK199" s="1">
        <f>ROUND(LN((0.9*BZ199)/(0.1*CA199))/(BZ185/CA190),2)</f>
        <v>1.1000000000000001</v>
      </c>
      <c r="CL199" s="1">
        <f>ROUND(LN((0.9*BZ199)/(0.1*CA199))/(BZ188/CA190),2)</f>
        <v>0.72</v>
      </c>
      <c r="CM199" s="1">
        <f>ROUND(LN((0.1*CA199)/(0.9*BZ199))/(CA190/BZ185),2)</f>
        <v>-1</v>
      </c>
      <c r="CN199" s="1">
        <f>ROUND(LN((0.1*CA199)/(0.9*BZ199))/(CA190/BZ188),2)</f>
        <v>-1.53</v>
      </c>
      <c r="CO199" s="5">
        <v>51</v>
      </c>
      <c r="CP199" s="5">
        <v>65</v>
      </c>
      <c r="CQ199" s="1">
        <v>32</v>
      </c>
      <c r="CR199" s="1">
        <v>139</v>
      </c>
      <c r="CS199" s="5">
        <v>34.4</v>
      </c>
      <c r="CT199" s="5">
        <v>7.3</v>
      </c>
      <c r="CU199" s="5">
        <v>3.3</v>
      </c>
      <c r="CV199" s="1" t="s">
        <v>71</v>
      </c>
      <c r="CW199" s="1" t="s">
        <v>71</v>
      </c>
      <c r="CX199" t="e">
        <f>ROUND(CV199*#REF!/10,1)</f>
        <v>#VALUE!</v>
      </c>
      <c r="CY199" s="1">
        <v>16.899999999999999</v>
      </c>
      <c r="CZ199">
        <f t="shared" si="66"/>
        <v>1051</v>
      </c>
      <c r="DA199">
        <f t="shared" si="67"/>
        <v>164</v>
      </c>
      <c r="DB199">
        <f>(CZ199+DA199)/MAX(DA188,CZ190)</f>
        <v>0.92889908256880738</v>
      </c>
      <c r="DC199" s="26">
        <v>16.899999999999999</v>
      </c>
      <c r="DD199">
        <f t="shared" si="72"/>
        <v>1215</v>
      </c>
      <c r="DE199">
        <f t="shared" si="69"/>
        <v>0.13</v>
      </c>
      <c r="DF199">
        <f>ROUND(CZ199/MAX(DA188,CZ190), 2)</f>
        <v>0.8</v>
      </c>
    </row>
    <row r="200" spans="1:110" x14ac:dyDescent="0.15">
      <c r="A200" s="23">
        <v>2023</v>
      </c>
      <c r="B200" s="23" t="s">
        <v>48</v>
      </c>
      <c r="C200" s="23">
        <v>10</v>
      </c>
      <c r="D200" s="23">
        <v>18</v>
      </c>
      <c r="E200" s="23" t="s">
        <v>52</v>
      </c>
      <c r="F200" s="23" t="s">
        <v>55</v>
      </c>
      <c r="G200" s="23" t="s">
        <v>5</v>
      </c>
      <c r="H200" s="23">
        <v>2</v>
      </c>
      <c r="I200" s="23" t="s">
        <v>68</v>
      </c>
      <c r="J200" s="23" t="s">
        <v>57</v>
      </c>
      <c r="K200" s="24">
        <v>45072</v>
      </c>
      <c r="L200" s="27">
        <v>10000000000</v>
      </c>
      <c r="M200" s="1">
        <f>K200-K191</f>
        <v>2</v>
      </c>
      <c r="N200" s="24">
        <v>45089</v>
      </c>
      <c r="O200" s="24">
        <v>45102</v>
      </c>
      <c r="P200" s="24">
        <v>45075</v>
      </c>
      <c r="Q200" s="1">
        <f>P200-P191</f>
        <v>-1</v>
      </c>
      <c r="R200" s="1">
        <f>N200-N188</f>
        <v>4</v>
      </c>
      <c r="S200" s="1">
        <f>O200-O188</f>
        <v>3</v>
      </c>
      <c r="T200" s="1">
        <f t="shared" si="68"/>
        <v>3.5</v>
      </c>
      <c r="U200" s="1">
        <v>81</v>
      </c>
      <c r="V200" s="1">
        <v>83</v>
      </c>
      <c r="W200" s="1">
        <v>-2</v>
      </c>
      <c r="X200" s="1">
        <v>0</v>
      </c>
      <c r="Y200" s="1">
        <v>0</v>
      </c>
      <c r="Z200" s="1">
        <v>0</v>
      </c>
      <c r="AA200" s="1">
        <v>0</v>
      </c>
      <c r="AB200" s="1">
        <v>3</v>
      </c>
      <c r="AC200" s="1">
        <v>0</v>
      </c>
      <c r="AD200" s="25">
        <v>31.333333333333332</v>
      </c>
      <c r="AE200" s="25">
        <v>25</v>
      </c>
      <c r="AF200" s="25">
        <v>77</v>
      </c>
      <c r="AG200" s="25">
        <v>77</v>
      </c>
      <c r="AH200" s="1" t="s">
        <v>71</v>
      </c>
      <c r="AI200" s="1" t="s">
        <v>71</v>
      </c>
      <c r="AJ200" s="1">
        <v>1.7</v>
      </c>
      <c r="AK200" s="1">
        <v>0</v>
      </c>
      <c r="AL200" s="1">
        <v>0</v>
      </c>
      <c r="AM200" s="1">
        <v>0</v>
      </c>
      <c r="AN200" s="1">
        <v>0.01</v>
      </c>
      <c r="AO200" s="1">
        <v>0.01</v>
      </c>
      <c r="AP200" s="1">
        <v>1E-4</v>
      </c>
      <c r="AQ200" s="1">
        <v>8</v>
      </c>
      <c r="AR200" s="1">
        <v>0.01</v>
      </c>
      <c r="AS200" s="1">
        <v>2</v>
      </c>
      <c r="AT200" s="1">
        <v>0.02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72</v>
      </c>
      <c r="BI200" s="1">
        <v>90</v>
      </c>
      <c r="BJ200" s="1">
        <v>75</v>
      </c>
      <c r="BK200" s="1">
        <v>2.0000000000000004E-2</v>
      </c>
      <c r="BL200" s="1">
        <f t="shared" si="70"/>
        <v>2.0000000000000004</v>
      </c>
      <c r="BM200" s="1">
        <v>0.2</v>
      </c>
      <c r="BN200" s="1">
        <v>0.1</v>
      </c>
      <c r="BO200" s="1">
        <v>1</v>
      </c>
      <c r="BP200" s="1">
        <v>5</v>
      </c>
      <c r="BQ200" s="1">
        <v>181</v>
      </c>
      <c r="BR200" s="1">
        <v>10</v>
      </c>
      <c r="BS200" s="1">
        <v>0</v>
      </c>
      <c r="BT200" s="1">
        <v>4</v>
      </c>
      <c r="BU200" s="1">
        <v>7</v>
      </c>
      <c r="BV200" s="28">
        <v>6</v>
      </c>
      <c r="BW200" s="28">
        <v>0.66666666666666663</v>
      </c>
      <c r="BX200" s="1" t="s">
        <v>71</v>
      </c>
      <c r="BY200" s="1" t="s">
        <v>71</v>
      </c>
      <c r="BZ200" s="3">
        <v>0.6</v>
      </c>
      <c r="CA200" s="3">
        <v>1.7</v>
      </c>
      <c r="CB200" s="3">
        <f t="shared" si="71"/>
        <v>0.83333333333333348</v>
      </c>
      <c r="CC200" s="3">
        <f t="shared" si="52"/>
        <v>2.3611111111111112</v>
      </c>
      <c r="CD200" s="1">
        <f>ROUND(CB200/CB185+CC200/CC191,2)</f>
        <v>0.99</v>
      </c>
      <c r="CE200" s="1">
        <f>ROUND(CB200/CB188+CC200/CC191,2)</f>
        <v>0.9</v>
      </c>
      <c r="CF200" s="1">
        <f>ROUND(CB200/(1.2*CB188)+CC200/CC191,2)</f>
        <v>0.86</v>
      </c>
      <c r="CG200" s="1">
        <f>ROUND(CB200/CB185,2)</f>
        <v>0.28999999999999998</v>
      </c>
      <c r="CH200" s="1">
        <f>ROUND(CB200/CB188,2)</f>
        <v>0.19</v>
      </c>
      <c r="CI200" s="1">
        <f>ROUND(CC200/CC191,2)</f>
        <v>0.71</v>
      </c>
      <c r="CJ200" s="1">
        <f>ROUND((CC200+CB200)/MAX(CC191,CB188),2)</f>
        <v>0.72</v>
      </c>
      <c r="CK200" s="1">
        <f>ROUND(LN((0.9*BZ200)/(0.1*CA200))/(BZ185/CA191),2)</f>
        <v>1.32</v>
      </c>
      <c r="CL200" s="1">
        <f>ROUND(LN((0.9*BZ200)/(0.1*CA200))/(BZ188/CA191),2)</f>
        <v>0.87</v>
      </c>
      <c r="CM200" s="1">
        <f>ROUND(LN((0.1*CA200)/(0.9*BZ200))/(CA191/BZ185),2)</f>
        <v>-1.01</v>
      </c>
      <c r="CN200" s="1">
        <f>ROUND(LN((0.1*CA200)/(0.9*BZ200))/(CA191/BZ188),2)</f>
        <v>-1.54</v>
      </c>
      <c r="CO200" s="5">
        <v>50</v>
      </c>
      <c r="CP200" s="5">
        <v>66</v>
      </c>
      <c r="CQ200" s="1">
        <v>31</v>
      </c>
      <c r="CR200" s="1">
        <v>132</v>
      </c>
      <c r="CS200" s="5">
        <v>42</v>
      </c>
      <c r="CT200" s="5">
        <v>8</v>
      </c>
      <c r="CU200" s="5">
        <v>2.6</v>
      </c>
      <c r="CV200" s="1" t="s">
        <v>71</v>
      </c>
      <c r="CW200" s="1" t="s">
        <v>71</v>
      </c>
      <c r="CX200" t="e">
        <f>ROUND(CV200*#REF!/10,1)</f>
        <v>#VALUE!</v>
      </c>
      <c r="CY200" s="1">
        <v>16.600000000000001</v>
      </c>
      <c r="CZ200">
        <f t="shared" si="66"/>
        <v>992</v>
      </c>
      <c r="DA200">
        <f t="shared" si="67"/>
        <v>138</v>
      </c>
      <c r="DB200">
        <f>(CZ200+DA200)/MAX(DA188,CZ191)</f>
        <v>0.78855547801814374</v>
      </c>
      <c r="DC200" s="26">
        <v>16.600000000000001</v>
      </c>
      <c r="DD200">
        <f t="shared" si="72"/>
        <v>1130</v>
      </c>
      <c r="DE200">
        <f t="shared" si="69"/>
        <v>0.1</v>
      </c>
      <c r="DF200">
        <f>ROUND(CZ200/MAX(DA188,CZ191), 2)</f>
        <v>0.69</v>
      </c>
    </row>
    <row r="201" spans="1:110" ht="15" x14ac:dyDescent="0.15">
      <c r="A201" s="23">
        <v>2023</v>
      </c>
      <c r="B201" s="23" t="s">
        <v>48</v>
      </c>
      <c r="C201" s="23">
        <v>10</v>
      </c>
      <c r="D201" s="23">
        <v>19</v>
      </c>
      <c r="E201" s="23"/>
      <c r="F201" s="23"/>
      <c r="G201" s="23" t="s">
        <v>5</v>
      </c>
      <c r="H201" s="23">
        <v>2</v>
      </c>
      <c r="I201" s="23" t="s">
        <v>69</v>
      </c>
      <c r="J201" s="23" t="s">
        <v>57</v>
      </c>
      <c r="K201" s="24">
        <v>45077</v>
      </c>
      <c r="L201" s="1" t="s">
        <v>71</v>
      </c>
      <c r="M201" s="1" t="s">
        <v>71</v>
      </c>
      <c r="N201" s="1" t="s">
        <v>71</v>
      </c>
      <c r="O201" s="1" t="s">
        <v>71</v>
      </c>
      <c r="P201" s="24">
        <v>45075</v>
      </c>
      <c r="Q201" s="1" t="s">
        <v>71</v>
      </c>
      <c r="R201" s="1" t="s">
        <v>71</v>
      </c>
      <c r="S201" s="1" t="s">
        <v>71</v>
      </c>
      <c r="T201" s="1" t="s">
        <v>71</v>
      </c>
      <c r="U201" s="1" t="s">
        <v>71</v>
      </c>
      <c r="V201" s="1">
        <v>84</v>
      </c>
      <c r="W201" s="1" t="s">
        <v>71</v>
      </c>
      <c r="X201" s="1">
        <v>0</v>
      </c>
      <c r="Y201" s="1" t="s">
        <v>71</v>
      </c>
      <c r="Z201" s="1">
        <v>0</v>
      </c>
      <c r="AA201" s="1" t="s">
        <v>71</v>
      </c>
      <c r="AB201" s="1">
        <v>0</v>
      </c>
      <c r="AC201" s="1" t="s">
        <v>71</v>
      </c>
      <c r="AD201" s="25" t="s">
        <v>71</v>
      </c>
      <c r="AE201" s="25">
        <v>23</v>
      </c>
      <c r="AF201" s="25" t="s">
        <v>71</v>
      </c>
      <c r="AG201" s="25">
        <v>67</v>
      </c>
      <c r="AH201" s="1" t="s">
        <v>71</v>
      </c>
      <c r="AI201" s="1" t="s">
        <v>71</v>
      </c>
      <c r="AJ201" s="1" t="s">
        <v>71</v>
      </c>
      <c r="AK201" s="1" t="s">
        <v>71</v>
      </c>
      <c r="AL201" s="1" t="s">
        <v>71</v>
      </c>
      <c r="AM201" s="1" t="s">
        <v>71</v>
      </c>
      <c r="AN201" s="1" t="s">
        <v>71</v>
      </c>
      <c r="AO201" s="1" t="s">
        <v>71</v>
      </c>
      <c r="AP201" s="1" t="s">
        <v>71</v>
      </c>
      <c r="AQ201" s="1" t="s">
        <v>71</v>
      </c>
      <c r="AR201" s="1" t="s">
        <v>71</v>
      </c>
      <c r="AS201" s="1" t="s">
        <v>71</v>
      </c>
      <c r="AT201" s="1" t="s">
        <v>71</v>
      </c>
      <c r="AU201" s="1">
        <v>0</v>
      </c>
      <c r="AV201" s="1">
        <v>0</v>
      </c>
      <c r="AW201" s="1">
        <v>0</v>
      </c>
      <c r="AX201" s="1" t="s">
        <v>71</v>
      </c>
      <c r="AY201" s="1" t="s">
        <v>71</v>
      </c>
      <c r="AZ201" s="1">
        <v>0</v>
      </c>
      <c r="BA201" s="1" t="s">
        <v>71</v>
      </c>
      <c r="BB201" s="1" t="s">
        <v>71</v>
      </c>
      <c r="BC201" s="1" t="s">
        <v>71</v>
      </c>
      <c r="BD201" s="1" t="s">
        <v>71</v>
      </c>
      <c r="BE201" s="1" t="s">
        <v>71</v>
      </c>
      <c r="BF201" s="1" t="s">
        <v>71</v>
      </c>
      <c r="BG201" s="1" t="s">
        <v>71</v>
      </c>
      <c r="BH201" s="1">
        <v>54</v>
      </c>
      <c r="BI201" s="1">
        <v>80</v>
      </c>
      <c r="BJ201" s="1">
        <v>5</v>
      </c>
      <c r="BK201" s="1">
        <v>5.000000000000001E-3</v>
      </c>
      <c r="BL201" s="1">
        <f t="shared" si="70"/>
        <v>0.50000000000000011</v>
      </c>
      <c r="BM201" s="1">
        <v>0.1</v>
      </c>
      <c r="BN201" s="1">
        <v>0.05</v>
      </c>
      <c r="BO201" s="1">
        <v>1</v>
      </c>
      <c r="BP201" s="1">
        <v>0</v>
      </c>
      <c r="BQ201" s="1">
        <v>99</v>
      </c>
      <c r="BR201" s="1">
        <v>9</v>
      </c>
      <c r="BS201" s="1">
        <v>0</v>
      </c>
      <c r="BT201" s="1">
        <v>12</v>
      </c>
      <c r="BU201" s="1" t="s">
        <v>71</v>
      </c>
      <c r="BV201" s="28">
        <v>5.333333333333333</v>
      </c>
      <c r="BW201" s="28">
        <v>2.3333333333333335</v>
      </c>
      <c r="BX201" s="1" t="s">
        <v>71</v>
      </c>
      <c r="BY201" s="1" t="s">
        <v>71</v>
      </c>
      <c r="BZ201" s="3" t="s">
        <v>71</v>
      </c>
      <c r="CA201" s="3" t="s">
        <v>71</v>
      </c>
      <c r="CB201" s="3" t="s">
        <v>71</v>
      </c>
      <c r="CC201" s="3" t="s">
        <v>71</v>
      </c>
      <c r="CD201" s="1" t="s">
        <v>71</v>
      </c>
      <c r="CE201" s="1" t="s">
        <v>71</v>
      </c>
      <c r="CF201" s="1" t="s">
        <v>71</v>
      </c>
      <c r="CG201" s="1" t="s">
        <v>71</v>
      </c>
      <c r="CH201" s="1" t="s">
        <v>71</v>
      </c>
      <c r="CI201" s="1" t="s">
        <v>71</v>
      </c>
      <c r="CJ201" s="1" t="s">
        <v>71</v>
      </c>
      <c r="CK201" s="1" t="s">
        <v>71</v>
      </c>
      <c r="CL201" s="3" t="s">
        <v>71</v>
      </c>
      <c r="CM201" s="3" t="s">
        <v>71</v>
      </c>
      <c r="CN201" s="3" t="s">
        <v>71</v>
      </c>
      <c r="CO201" s="5" t="s">
        <v>71</v>
      </c>
      <c r="CP201" s="5">
        <v>70</v>
      </c>
      <c r="CQ201" s="1" t="s">
        <v>71</v>
      </c>
      <c r="CR201" s="1">
        <v>132</v>
      </c>
      <c r="CS201" s="5">
        <v>40</v>
      </c>
      <c r="CT201" s="5" t="s">
        <v>71</v>
      </c>
      <c r="CU201" s="5">
        <v>4.2</v>
      </c>
      <c r="CV201" s="1" t="s">
        <v>71</v>
      </c>
      <c r="CW201" s="1" t="s">
        <v>71</v>
      </c>
      <c r="CX201" t="s">
        <v>71</v>
      </c>
      <c r="CY201" s="1" t="s">
        <v>71</v>
      </c>
      <c r="CZ201" t="s">
        <v>71</v>
      </c>
      <c r="DA201" t="s">
        <v>71</v>
      </c>
      <c r="DB201" t="s">
        <v>71</v>
      </c>
      <c r="DC201" s="26" t="s">
        <v>71</v>
      </c>
      <c r="DD201">
        <f t="shared" si="72"/>
        <v>0</v>
      </c>
      <c r="DE201" t="s">
        <v>71</v>
      </c>
      <c r="DF201" s="26" t="s">
        <v>71</v>
      </c>
    </row>
    <row r="202" spans="1:110" ht="15" x14ac:dyDescent="0.15">
      <c r="A202" s="23">
        <v>2023</v>
      </c>
      <c r="B202" s="23" t="s">
        <v>48</v>
      </c>
      <c r="C202" s="23">
        <v>10</v>
      </c>
      <c r="D202" s="23">
        <v>20</v>
      </c>
      <c r="E202" s="23"/>
      <c r="F202" s="23"/>
      <c r="G202" s="23" t="s">
        <v>5</v>
      </c>
      <c r="H202" s="23">
        <v>2</v>
      </c>
      <c r="I202" s="23" t="s">
        <v>70</v>
      </c>
      <c r="J202" s="23" t="s">
        <v>57</v>
      </c>
      <c r="K202" s="24">
        <v>45082</v>
      </c>
      <c r="L202" s="1" t="s">
        <v>71</v>
      </c>
      <c r="M202" s="1" t="s">
        <v>71</v>
      </c>
      <c r="N202" s="1" t="s">
        <v>71</v>
      </c>
      <c r="O202" s="1" t="s">
        <v>71</v>
      </c>
      <c r="P202" s="24">
        <v>45081</v>
      </c>
      <c r="Q202" s="1" t="s">
        <v>71</v>
      </c>
      <c r="R202" s="1" t="s">
        <v>71</v>
      </c>
      <c r="S202" s="1" t="s">
        <v>71</v>
      </c>
      <c r="T202" s="1" t="s">
        <v>71</v>
      </c>
      <c r="U202" s="1" t="s">
        <v>71</v>
      </c>
      <c r="V202" s="1">
        <v>83</v>
      </c>
      <c r="W202" s="1" t="s">
        <v>71</v>
      </c>
      <c r="X202" s="1">
        <v>0</v>
      </c>
      <c r="Y202" s="1" t="s">
        <v>71</v>
      </c>
      <c r="Z202" s="1">
        <v>0</v>
      </c>
      <c r="AA202" s="1" t="s">
        <v>71</v>
      </c>
      <c r="AB202" s="1">
        <v>0</v>
      </c>
      <c r="AC202" s="1" t="s">
        <v>71</v>
      </c>
      <c r="AD202" s="25" t="s">
        <v>71</v>
      </c>
      <c r="AE202" s="25">
        <v>12</v>
      </c>
      <c r="AF202" s="25" t="s">
        <v>71</v>
      </c>
      <c r="AG202" s="25">
        <v>65</v>
      </c>
      <c r="AH202" s="1" t="s">
        <v>71</v>
      </c>
      <c r="AI202" s="1" t="s">
        <v>71</v>
      </c>
      <c r="AJ202" s="1" t="s">
        <v>71</v>
      </c>
      <c r="AK202" s="1" t="s">
        <v>71</v>
      </c>
      <c r="AL202" s="1" t="s">
        <v>71</v>
      </c>
      <c r="AM202" s="1" t="s">
        <v>71</v>
      </c>
      <c r="AN202" s="1" t="s">
        <v>71</v>
      </c>
      <c r="AO202" s="1" t="s">
        <v>71</v>
      </c>
      <c r="AP202" s="1" t="s">
        <v>71</v>
      </c>
      <c r="AQ202" s="1" t="s">
        <v>71</v>
      </c>
      <c r="AR202" s="1" t="s">
        <v>71</v>
      </c>
      <c r="AS202" s="1" t="s">
        <v>71</v>
      </c>
      <c r="AT202" s="1" t="s">
        <v>71</v>
      </c>
      <c r="AU202" s="1">
        <v>0</v>
      </c>
      <c r="AV202" s="1">
        <v>0</v>
      </c>
      <c r="AW202" s="1">
        <v>0</v>
      </c>
      <c r="AX202" s="1" t="s">
        <v>71</v>
      </c>
      <c r="AY202" s="1" t="s">
        <v>71</v>
      </c>
      <c r="AZ202" s="1">
        <v>0</v>
      </c>
      <c r="BA202" s="1" t="s">
        <v>71</v>
      </c>
      <c r="BB202" s="1" t="s">
        <v>71</v>
      </c>
      <c r="BC202" s="1" t="s">
        <v>71</v>
      </c>
      <c r="BD202" s="1" t="s">
        <v>71</v>
      </c>
      <c r="BE202" s="1" t="s">
        <v>71</v>
      </c>
      <c r="BF202" s="1" t="s">
        <v>71</v>
      </c>
      <c r="BG202" s="1" t="s">
        <v>71</v>
      </c>
      <c r="BH202" s="1">
        <v>476</v>
      </c>
      <c r="BI202" s="1">
        <v>3</v>
      </c>
      <c r="BJ202" s="1">
        <v>0.1</v>
      </c>
      <c r="BK202" s="1">
        <v>0.11899999999999999</v>
      </c>
      <c r="BL202" s="1">
        <f t="shared" si="70"/>
        <v>11.899999999999999</v>
      </c>
      <c r="BM202" s="1">
        <v>0.7</v>
      </c>
      <c r="BN202" s="1">
        <v>0.17</v>
      </c>
      <c r="BO202" s="1">
        <v>3</v>
      </c>
      <c r="BP202" s="1">
        <v>60</v>
      </c>
      <c r="BQ202" s="1">
        <v>5</v>
      </c>
      <c r="BR202" s="1">
        <v>8</v>
      </c>
      <c r="BS202" s="1">
        <v>21</v>
      </c>
      <c r="BT202" s="1">
        <v>7</v>
      </c>
      <c r="BU202" s="1" t="s">
        <v>71</v>
      </c>
      <c r="BV202" s="28">
        <v>16.333333333333332</v>
      </c>
      <c r="BW202" s="28">
        <v>1.6666666666666667</v>
      </c>
      <c r="BX202" s="1" t="s">
        <v>71</v>
      </c>
      <c r="BY202" s="1" t="s">
        <v>71</v>
      </c>
      <c r="BZ202" s="3" t="s">
        <v>71</v>
      </c>
      <c r="CA202" s="3" t="s">
        <v>71</v>
      </c>
      <c r="CB202" s="3" t="s">
        <v>71</v>
      </c>
      <c r="CC202" s="3" t="s">
        <v>71</v>
      </c>
      <c r="CD202" s="1" t="s">
        <v>71</v>
      </c>
      <c r="CE202" s="1" t="s">
        <v>71</v>
      </c>
      <c r="CF202" s="1" t="s">
        <v>71</v>
      </c>
      <c r="CG202" s="1" t="s">
        <v>71</v>
      </c>
      <c r="CH202" s="1" t="s">
        <v>71</v>
      </c>
      <c r="CI202" s="1" t="s">
        <v>71</v>
      </c>
      <c r="CJ202" s="1" t="s">
        <v>71</v>
      </c>
      <c r="CK202" s="1" t="s">
        <v>71</v>
      </c>
      <c r="CL202" s="3" t="s">
        <v>71</v>
      </c>
      <c r="CM202" s="3" t="s">
        <v>71</v>
      </c>
      <c r="CN202" s="3" t="s">
        <v>71</v>
      </c>
      <c r="CO202" s="5" t="s">
        <v>71</v>
      </c>
      <c r="CP202" s="5">
        <v>66</v>
      </c>
      <c r="CQ202" s="1" t="s">
        <v>71</v>
      </c>
      <c r="CR202" s="1">
        <v>134</v>
      </c>
      <c r="CS202" s="5">
        <v>48.6</v>
      </c>
      <c r="CT202" s="5" t="s">
        <v>71</v>
      </c>
      <c r="CU202" s="5">
        <v>3.1</v>
      </c>
      <c r="CV202" s="1" t="s">
        <v>71</v>
      </c>
      <c r="CW202" s="1" t="s">
        <v>71</v>
      </c>
      <c r="CX202" t="s">
        <v>71</v>
      </c>
      <c r="CY202" s="1" t="s">
        <v>71</v>
      </c>
      <c r="CZ202" t="s">
        <v>71</v>
      </c>
      <c r="DA202" t="s">
        <v>71</v>
      </c>
      <c r="DB202" t="s">
        <v>71</v>
      </c>
      <c r="DC202" s="26" t="s">
        <v>71</v>
      </c>
      <c r="DD202">
        <f t="shared" si="72"/>
        <v>0</v>
      </c>
      <c r="DE202" t="s">
        <v>71</v>
      </c>
      <c r="DF202" s="26" t="s">
        <v>71</v>
      </c>
    </row>
    <row r="203" spans="1:110" ht="15" x14ac:dyDescent="0.15">
      <c r="A203" s="23">
        <v>2023</v>
      </c>
      <c r="B203" s="23" t="s">
        <v>48</v>
      </c>
      <c r="C203" s="23">
        <v>11</v>
      </c>
      <c r="D203" s="23">
        <v>1</v>
      </c>
      <c r="E203" s="23" t="s">
        <v>50</v>
      </c>
      <c r="F203" s="23"/>
      <c r="G203" s="23" t="s">
        <v>56</v>
      </c>
      <c r="H203" s="23">
        <v>3</v>
      </c>
      <c r="I203" s="23" t="s">
        <v>50</v>
      </c>
      <c r="J203" s="23" t="s">
        <v>57</v>
      </c>
      <c r="K203" s="1" t="s">
        <v>57</v>
      </c>
      <c r="L203" s="1" t="s">
        <v>71</v>
      </c>
      <c r="M203" s="1" t="s">
        <v>71</v>
      </c>
      <c r="N203" s="24">
        <v>45081</v>
      </c>
      <c r="O203" s="24">
        <v>45090</v>
      </c>
      <c r="P203" s="1" t="s">
        <v>71</v>
      </c>
      <c r="Q203" s="1" t="s">
        <v>71</v>
      </c>
      <c r="R203" s="1" t="s">
        <v>71</v>
      </c>
      <c r="S203" s="1" t="s">
        <v>71</v>
      </c>
      <c r="T203" s="1" t="s">
        <v>71</v>
      </c>
      <c r="U203" s="1">
        <v>85</v>
      </c>
      <c r="V203" s="1" t="s">
        <v>71</v>
      </c>
      <c r="W203" s="1" t="s">
        <v>71</v>
      </c>
      <c r="X203" s="1" t="s">
        <v>71</v>
      </c>
      <c r="Y203" s="1">
        <v>0</v>
      </c>
      <c r="Z203" s="1" t="s">
        <v>71</v>
      </c>
      <c r="AA203" s="1">
        <v>0</v>
      </c>
      <c r="AB203" s="1" t="s">
        <v>71</v>
      </c>
      <c r="AC203" s="1">
        <v>0</v>
      </c>
      <c r="AD203" s="25">
        <v>32.666666666666664</v>
      </c>
      <c r="AE203" s="25" t="s">
        <v>71</v>
      </c>
      <c r="AF203" s="25">
        <v>72</v>
      </c>
      <c r="AG203" s="25" t="s">
        <v>71</v>
      </c>
      <c r="AH203" s="1" t="s">
        <v>71</v>
      </c>
      <c r="AI203" s="1" t="s">
        <v>71</v>
      </c>
      <c r="AJ203" s="1">
        <v>1.3</v>
      </c>
      <c r="AK203" s="1">
        <v>0</v>
      </c>
      <c r="AL203" s="1">
        <v>0</v>
      </c>
      <c r="AM203" s="1">
        <v>0</v>
      </c>
      <c r="AN203" s="1">
        <v>0.04</v>
      </c>
      <c r="AO203" s="1">
        <v>0.02</v>
      </c>
      <c r="AP203" s="1">
        <v>8.0000000000000004E-4</v>
      </c>
      <c r="AQ203" s="1">
        <v>37</v>
      </c>
      <c r="AR203" s="1">
        <v>7.0000000000000007E-2</v>
      </c>
      <c r="AS203" s="1">
        <v>7</v>
      </c>
      <c r="AT203" s="1">
        <v>0.49000000000000005</v>
      </c>
      <c r="AU203" s="1" t="s">
        <v>71</v>
      </c>
      <c r="AV203" s="1" t="s">
        <v>71</v>
      </c>
      <c r="AW203" s="1" t="s">
        <v>71</v>
      </c>
      <c r="AX203" s="1">
        <v>0</v>
      </c>
      <c r="AY203" s="1">
        <v>0</v>
      </c>
      <c r="AZ203" s="1" t="s">
        <v>71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 t="s">
        <v>71</v>
      </c>
      <c r="BI203" s="1" t="s">
        <v>71</v>
      </c>
      <c r="BJ203" s="1" t="s">
        <v>71</v>
      </c>
      <c r="BK203" s="1">
        <v>5.0000000000000001E-4</v>
      </c>
      <c r="BL203" s="1">
        <f t="shared" si="70"/>
        <v>0.05</v>
      </c>
      <c r="BM203" s="1">
        <v>0.05</v>
      </c>
      <c r="BN203" s="1">
        <v>0.01</v>
      </c>
      <c r="BO203" s="1">
        <v>2</v>
      </c>
      <c r="BP203" s="1">
        <v>0</v>
      </c>
      <c r="BQ203" s="1" t="s">
        <v>71</v>
      </c>
      <c r="BR203" s="1" t="s">
        <v>71</v>
      </c>
      <c r="BS203" s="1" t="s">
        <v>71</v>
      </c>
      <c r="BT203" s="1" t="s">
        <v>71</v>
      </c>
      <c r="BU203" s="1">
        <v>26</v>
      </c>
      <c r="BV203" s="28" t="s">
        <v>71</v>
      </c>
      <c r="BW203" s="28" t="s">
        <v>71</v>
      </c>
      <c r="BX203" s="1" t="s">
        <v>71</v>
      </c>
      <c r="BY203" s="1" t="s">
        <v>71</v>
      </c>
      <c r="BZ203" s="3">
        <v>2.2999999999999998</v>
      </c>
      <c r="CA203" s="3" t="s">
        <v>71</v>
      </c>
      <c r="CB203" s="3">
        <f t="shared" si="71"/>
        <v>3.1944444444444446</v>
      </c>
      <c r="CC203" s="1" t="s">
        <v>71</v>
      </c>
      <c r="CD203" s="1">
        <v>1</v>
      </c>
      <c r="CE203" s="1">
        <v>1</v>
      </c>
      <c r="CF203" s="1">
        <f>CE203</f>
        <v>1</v>
      </c>
      <c r="CG203" s="3" t="s">
        <v>71</v>
      </c>
      <c r="CH203" s="3" t="s">
        <v>71</v>
      </c>
      <c r="CI203" s="3" t="s">
        <v>71</v>
      </c>
      <c r="CJ203" s="3" t="s">
        <v>71</v>
      </c>
      <c r="CK203" s="3" t="s">
        <v>71</v>
      </c>
      <c r="CL203" s="3" t="s">
        <v>71</v>
      </c>
      <c r="CM203" s="3" t="s">
        <v>71</v>
      </c>
      <c r="CN203" s="3" t="s">
        <v>71</v>
      </c>
      <c r="CO203" s="5">
        <v>49</v>
      </c>
      <c r="CP203" s="5" t="s">
        <v>71</v>
      </c>
      <c r="CQ203" s="1">
        <v>41</v>
      </c>
      <c r="CR203" s="1" t="s">
        <v>71</v>
      </c>
      <c r="CS203" s="5" t="s">
        <v>71</v>
      </c>
      <c r="CT203" s="5">
        <v>8.6</v>
      </c>
      <c r="CU203" s="5" t="s">
        <v>71</v>
      </c>
      <c r="CV203" s="1" t="s">
        <v>71</v>
      </c>
      <c r="CW203" s="1" t="s">
        <v>71</v>
      </c>
      <c r="CX203" s="1" t="s">
        <v>71</v>
      </c>
      <c r="CY203" s="1">
        <v>10.4</v>
      </c>
      <c r="CZ203" s="1" t="s">
        <v>71</v>
      </c>
      <c r="DA203">
        <f>ROUND((CY203*CB203*10),0)</f>
        <v>332</v>
      </c>
      <c r="DB203" s="1" t="s">
        <v>71</v>
      </c>
      <c r="DC203" s="26">
        <v>10.4</v>
      </c>
      <c r="DD203">
        <f t="shared" si="72"/>
        <v>332</v>
      </c>
      <c r="DE203" s="1" t="s">
        <v>71</v>
      </c>
      <c r="DF203" s="1" t="s">
        <v>71</v>
      </c>
    </row>
    <row r="204" spans="1:110" ht="15" x14ac:dyDescent="0.15">
      <c r="A204" s="23">
        <v>2023</v>
      </c>
      <c r="B204" s="23" t="s">
        <v>48</v>
      </c>
      <c r="C204" s="23">
        <v>11</v>
      </c>
      <c r="D204" s="23">
        <v>2</v>
      </c>
      <c r="E204" s="23" t="s">
        <v>51</v>
      </c>
      <c r="F204" s="23"/>
      <c r="G204" s="23" t="s">
        <v>56</v>
      </c>
      <c r="H204" s="23">
        <v>3</v>
      </c>
      <c r="I204" s="23" t="s">
        <v>51</v>
      </c>
      <c r="J204" s="23" t="s">
        <v>57</v>
      </c>
      <c r="K204" s="1" t="s">
        <v>57</v>
      </c>
      <c r="L204" s="1" t="s">
        <v>71</v>
      </c>
      <c r="M204" s="1" t="s">
        <v>71</v>
      </c>
      <c r="N204" s="24">
        <v>45086</v>
      </c>
      <c r="O204" s="24">
        <v>45090</v>
      </c>
      <c r="P204" s="1" t="s">
        <v>71</v>
      </c>
      <c r="Q204" s="1" t="s">
        <v>71</v>
      </c>
      <c r="R204" s="1" t="s">
        <v>71</v>
      </c>
      <c r="S204" s="1" t="s">
        <v>71</v>
      </c>
      <c r="T204" s="1" t="s">
        <v>71</v>
      </c>
      <c r="U204" s="1">
        <v>79</v>
      </c>
      <c r="V204" s="1" t="s">
        <v>71</v>
      </c>
      <c r="W204" s="1" t="s">
        <v>71</v>
      </c>
      <c r="X204" s="1" t="s">
        <v>71</v>
      </c>
      <c r="Y204" s="1">
        <v>0</v>
      </c>
      <c r="Z204" s="1" t="s">
        <v>71</v>
      </c>
      <c r="AA204" s="1">
        <v>0</v>
      </c>
      <c r="AB204" s="1" t="s">
        <v>71</v>
      </c>
      <c r="AC204" s="1">
        <v>0</v>
      </c>
      <c r="AD204" s="25">
        <v>27</v>
      </c>
      <c r="AE204" s="25" t="s">
        <v>71</v>
      </c>
      <c r="AF204" s="25">
        <v>56</v>
      </c>
      <c r="AG204" s="25" t="s">
        <v>71</v>
      </c>
      <c r="AH204" s="1" t="s">
        <v>71</v>
      </c>
      <c r="AI204" s="1" t="s">
        <v>71</v>
      </c>
      <c r="AJ204" s="1">
        <v>1.3</v>
      </c>
      <c r="AK204" s="1">
        <v>0</v>
      </c>
      <c r="AL204" s="1">
        <v>0</v>
      </c>
      <c r="AM204" s="1">
        <v>0</v>
      </c>
      <c r="AN204" s="1">
        <v>0.06</v>
      </c>
      <c r="AO204" s="1">
        <v>0.04</v>
      </c>
      <c r="AP204" s="1">
        <v>2.3999999999999998E-3</v>
      </c>
      <c r="AQ204" s="1">
        <v>16</v>
      </c>
      <c r="AR204" s="1">
        <v>0.04</v>
      </c>
      <c r="AS204" s="1">
        <v>10</v>
      </c>
      <c r="AT204" s="1">
        <v>0.4</v>
      </c>
      <c r="AU204" s="1" t="s">
        <v>71</v>
      </c>
      <c r="AV204" s="1" t="s">
        <v>71</v>
      </c>
      <c r="AW204" s="1" t="s">
        <v>71</v>
      </c>
      <c r="AX204" s="1">
        <v>0</v>
      </c>
      <c r="AY204" s="1">
        <v>0</v>
      </c>
      <c r="AZ204" s="1" t="s">
        <v>71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 t="s">
        <v>71</v>
      </c>
      <c r="BI204" s="1" t="s">
        <v>71</v>
      </c>
      <c r="BJ204" s="1" t="s">
        <v>71</v>
      </c>
      <c r="BK204" s="1">
        <v>3.0000000000000001E-3</v>
      </c>
      <c r="BL204" s="1">
        <f t="shared" si="70"/>
        <v>0.3</v>
      </c>
      <c r="BM204" s="1">
        <v>0.1</v>
      </c>
      <c r="BN204" s="1">
        <v>0.03</v>
      </c>
      <c r="BO204" s="1">
        <v>1</v>
      </c>
      <c r="BP204" s="1">
        <v>0</v>
      </c>
      <c r="BQ204" s="1" t="s">
        <v>71</v>
      </c>
      <c r="BR204" s="1" t="s">
        <v>71</v>
      </c>
      <c r="BS204" s="1" t="s">
        <v>71</v>
      </c>
      <c r="BT204" s="1" t="s">
        <v>71</v>
      </c>
      <c r="BU204" s="1">
        <v>22</v>
      </c>
      <c r="BV204" s="28" t="s">
        <v>71</v>
      </c>
      <c r="BW204" s="28" t="s">
        <v>71</v>
      </c>
      <c r="BX204" s="1" t="s">
        <v>71</v>
      </c>
      <c r="BY204" s="1" t="s">
        <v>71</v>
      </c>
      <c r="BZ204" s="3">
        <v>2.2000000000000002</v>
      </c>
      <c r="CA204" s="3" t="s">
        <v>71</v>
      </c>
      <c r="CB204" s="3">
        <f t="shared" si="71"/>
        <v>3.0555555555555562</v>
      </c>
      <c r="CC204" s="1" t="s">
        <v>71</v>
      </c>
      <c r="CD204" s="1">
        <v>1</v>
      </c>
      <c r="CE204" s="1">
        <v>1</v>
      </c>
      <c r="CF204" s="1">
        <f t="shared" ref="CF204:CF217" si="73">CE204</f>
        <v>1</v>
      </c>
      <c r="CG204" s="3" t="s">
        <v>71</v>
      </c>
      <c r="CH204" s="3" t="s">
        <v>71</v>
      </c>
      <c r="CI204" s="3" t="s">
        <v>71</v>
      </c>
      <c r="CJ204" s="3" t="s">
        <v>71</v>
      </c>
      <c r="CK204" s="3" t="s">
        <v>71</v>
      </c>
      <c r="CL204" s="3" t="s">
        <v>71</v>
      </c>
      <c r="CM204" s="3" t="s">
        <v>71</v>
      </c>
      <c r="CN204" s="3" t="s">
        <v>71</v>
      </c>
      <c r="CO204" s="5">
        <v>48</v>
      </c>
      <c r="CP204" s="5" t="s">
        <v>71</v>
      </c>
      <c r="CQ204" s="1">
        <v>34</v>
      </c>
      <c r="CR204" s="1" t="s">
        <v>71</v>
      </c>
      <c r="CS204" s="5" t="s">
        <v>71</v>
      </c>
      <c r="CT204" s="5">
        <v>8.1</v>
      </c>
      <c r="CU204" s="5" t="s">
        <v>71</v>
      </c>
      <c r="CV204" s="1" t="s">
        <v>71</v>
      </c>
      <c r="CW204" s="1" t="s">
        <v>71</v>
      </c>
      <c r="CX204" s="1" t="s">
        <v>71</v>
      </c>
      <c r="CY204" s="1">
        <v>10.1</v>
      </c>
      <c r="CZ204" s="1" t="s">
        <v>71</v>
      </c>
      <c r="DA204">
        <f>ROUND((CY204*CB204*10),0)</f>
        <v>309</v>
      </c>
      <c r="DB204" s="1" t="s">
        <v>71</v>
      </c>
      <c r="DC204" s="26">
        <v>10.1</v>
      </c>
      <c r="DD204">
        <f t="shared" si="72"/>
        <v>309</v>
      </c>
      <c r="DE204" s="1" t="s">
        <v>71</v>
      </c>
      <c r="DF204" s="1" t="s">
        <v>71</v>
      </c>
    </row>
    <row r="205" spans="1:110" ht="15" x14ac:dyDescent="0.15">
      <c r="A205" s="23">
        <v>2023</v>
      </c>
      <c r="B205" s="23" t="s">
        <v>48</v>
      </c>
      <c r="C205" s="23">
        <v>11</v>
      </c>
      <c r="D205" s="23">
        <v>3</v>
      </c>
      <c r="E205" s="23" t="s">
        <v>52</v>
      </c>
      <c r="F205" s="23"/>
      <c r="G205" s="23" t="s">
        <v>56</v>
      </c>
      <c r="H205" s="23">
        <v>3</v>
      </c>
      <c r="I205" s="23" t="s">
        <v>52</v>
      </c>
      <c r="J205" s="23" t="s">
        <v>57</v>
      </c>
      <c r="K205" s="1" t="s">
        <v>57</v>
      </c>
      <c r="L205" s="1" t="s">
        <v>71</v>
      </c>
      <c r="M205" s="1" t="s">
        <v>71</v>
      </c>
      <c r="N205" s="24">
        <v>45086</v>
      </c>
      <c r="O205" s="24">
        <v>45097</v>
      </c>
      <c r="P205" s="1" t="s">
        <v>71</v>
      </c>
      <c r="Q205" s="1" t="s">
        <v>71</v>
      </c>
      <c r="R205" s="1" t="s">
        <v>71</v>
      </c>
      <c r="S205" s="1" t="s">
        <v>71</v>
      </c>
      <c r="T205" s="1" t="s">
        <v>71</v>
      </c>
      <c r="U205" s="1">
        <v>81</v>
      </c>
      <c r="V205" s="1" t="s">
        <v>71</v>
      </c>
      <c r="W205" s="1" t="s">
        <v>71</v>
      </c>
      <c r="X205" s="1" t="s">
        <v>71</v>
      </c>
      <c r="Y205" s="1">
        <v>0</v>
      </c>
      <c r="Z205" s="1" t="s">
        <v>71</v>
      </c>
      <c r="AA205" s="1">
        <v>0</v>
      </c>
      <c r="AB205" s="1" t="s">
        <v>71</v>
      </c>
      <c r="AC205" s="1">
        <v>0</v>
      </c>
      <c r="AD205" s="25">
        <v>27.666666666666668</v>
      </c>
      <c r="AE205" s="25" t="s">
        <v>71</v>
      </c>
      <c r="AF205" s="25">
        <v>50</v>
      </c>
      <c r="AG205" s="25" t="s">
        <v>71</v>
      </c>
      <c r="AH205" s="1" t="s">
        <v>71</v>
      </c>
      <c r="AI205" s="1" t="s">
        <v>71</v>
      </c>
      <c r="AJ205" s="1">
        <v>2</v>
      </c>
      <c r="AK205" s="1">
        <v>0</v>
      </c>
      <c r="AL205" s="1">
        <v>0</v>
      </c>
      <c r="AM205" s="1">
        <v>0</v>
      </c>
      <c r="AN205" s="1">
        <v>0.05</v>
      </c>
      <c r="AO205" s="1">
        <v>0.03</v>
      </c>
      <c r="AP205" s="1">
        <v>1.5E-3</v>
      </c>
      <c r="AQ205" s="1">
        <v>19</v>
      </c>
      <c r="AR205" s="1">
        <v>0.1</v>
      </c>
      <c r="AS205" s="1">
        <v>8</v>
      </c>
      <c r="AT205" s="1">
        <v>0.8</v>
      </c>
      <c r="AU205" s="1" t="s">
        <v>71</v>
      </c>
      <c r="AV205" s="1" t="s">
        <v>71</v>
      </c>
      <c r="AW205" s="1" t="s">
        <v>71</v>
      </c>
      <c r="AX205" s="1">
        <v>0</v>
      </c>
      <c r="AY205" s="1">
        <v>0</v>
      </c>
      <c r="AZ205" s="1" t="s">
        <v>71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 t="s">
        <v>71</v>
      </c>
      <c r="BI205" s="1" t="s">
        <v>71</v>
      </c>
      <c r="BJ205" s="1" t="s">
        <v>71</v>
      </c>
      <c r="BK205" s="1">
        <v>2.5000000000000001E-2</v>
      </c>
      <c r="BL205" s="1">
        <f t="shared" si="70"/>
        <v>2.5</v>
      </c>
      <c r="BM205" s="1">
        <v>0.25</v>
      </c>
      <c r="BN205" s="1">
        <v>0.1</v>
      </c>
      <c r="BO205" s="1">
        <v>3</v>
      </c>
      <c r="BP205" s="1">
        <v>0</v>
      </c>
      <c r="BQ205" s="1" t="s">
        <v>71</v>
      </c>
      <c r="BR205" s="1" t="s">
        <v>71</v>
      </c>
      <c r="BS205" s="1" t="s">
        <v>71</v>
      </c>
      <c r="BT205" s="1" t="s">
        <v>71</v>
      </c>
      <c r="BU205" s="1">
        <v>19</v>
      </c>
      <c r="BV205" s="28" t="s">
        <v>71</v>
      </c>
      <c r="BW205" s="28" t="s">
        <v>71</v>
      </c>
      <c r="BX205" s="1" t="s">
        <v>71</v>
      </c>
      <c r="BY205" s="1" t="s">
        <v>71</v>
      </c>
      <c r="BZ205" s="3">
        <v>1.9</v>
      </c>
      <c r="CA205" s="3" t="s">
        <v>71</v>
      </c>
      <c r="CB205" s="3">
        <f t="shared" si="71"/>
        <v>2.6388888888888888</v>
      </c>
      <c r="CC205" s="1" t="s">
        <v>71</v>
      </c>
      <c r="CD205" s="1">
        <v>1</v>
      </c>
      <c r="CE205" s="1">
        <v>1</v>
      </c>
      <c r="CF205" s="1">
        <f t="shared" si="73"/>
        <v>1</v>
      </c>
      <c r="CG205" s="3" t="s">
        <v>71</v>
      </c>
      <c r="CH205" s="3" t="s">
        <v>71</v>
      </c>
      <c r="CI205" s="3" t="s">
        <v>71</v>
      </c>
      <c r="CJ205" s="3" t="s">
        <v>71</v>
      </c>
      <c r="CK205" s="3" t="s">
        <v>71</v>
      </c>
      <c r="CL205" s="3" t="s">
        <v>71</v>
      </c>
      <c r="CM205" s="3" t="s">
        <v>71</v>
      </c>
      <c r="CN205" s="3" t="s">
        <v>71</v>
      </c>
      <c r="CO205" s="5">
        <v>47</v>
      </c>
      <c r="CP205" s="5" t="s">
        <v>71</v>
      </c>
      <c r="CQ205" s="1">
        <v>33</v>
      </c>
      <c r="CR205" s="1" t="s">
        <v>71</v>
      </c>
      <c r="CS205" s="5" t="s">
        <v>71</v>
      </c>
      <c r="CT205" s="5">
        <v>8.1999999999999993</v>
      </c>
      <c r="CU205" s="5" t="s">
        <v>71</v>
      </c>
      <c r="CV205" s="1" t="s">
        <v>71</v>
      </c>
      <c r="CW205" s="1" t="s">
        <v>71</v>
      </c>
      <c r="CX205" s="1" t="s">
        <v>71</v>
      </c>
      <c r="CY205" s="1">
        <v>10.3</v>
      </c>
      <c r="CZ205" s="1" t="s">
        <v>71</v>
      </c>
      <c r="DA205">
        <f>ROUND((CY205*CB205*10),0)</f>
        <v>272</v>
      </c>
      <c r="DB205" s="1" t="s">
        <v>71</v>
      </c>
      <c r="DC205" s="26">
        <v>10.3</v>
      </c>
      <c r="DD205">
        <f t="shared" si="72"/>
        <v>272</v>
      </c>
      <c r="DE205" s="1" t="s">
        <v>71</v>
      </c>
      <c r="DF205" s="1" t="s">
        <v>71</v>
      </c>
    </row>
    <row r="206" spans="1:110" ht="15" x14ac:dyDescent="0.15">
      <c r="A206" s="23">
        <v>2023</v>
      </c>
      <c r="B206" s="23" t="s">
        <v>48</v>
      </c>
      <c r="C206" s="23">
        <v>11</v>
      </c>
      <c r="D206" s="23">
        <v>4</v>
      </c>
      <c r="E206" s="23" t="s">
        <v>50</v>
      </c>
      <c r="F206" s="23"/>
      <c r="G206" s="23" t="s">
        <v>56</v>
      </c>
      <c r="H206" s="23">
        <v>3</v>
      </c>
      <c r="I206" s="23" t="s">
        <v>50</v>
      </c>
      <c r="J206" s="23" t="s">
        <v>58</v>
      </c>
      <c r="K206" s="1" t="s">
        <v>57</v>
      </c>
      <c r="L206" s="1" t="s">
        <v>71</v>
      </c>
      <c r="M206" s="1" t="s">
        <v>71</v>
      </c>
      <c r="N206" s="24">
        <v>45080</v>
      </c>
      <c r="O206" s="24">
        <v>45087</v>
      </c>
      <c r="P206" s="1" t="s">
        <v>71</v>
      </c>
      <c r="Q206" s="1" t="s">
        <v>71</v>
      </c>
      <c r="R206" s="1" t="s">
        <v>71</v>
      </c>
      <c r="S206" s="1" t="s">
        <v>71</v>
      </c>
      <c r="T206" s="1" t="s">
        <v>71</v>
      </c>
      <c r="U206" s="1">
        <v>87</v>
      </c>
      <c r="V206" s="1" t="s">
        <v>71</v>
      </c>
      <c r="W206" s="1" t="s">
        <v>71</v>
      </c>
      <c r="X206" s="1" t="s">
        <v>71</v>
      </c>
      <c r="Y206" s="1">
        <v>0</v>
      </c>
      <c r="Z206" s="1" t="s">
        <v>71</v>
      </c>
      <c r="AA206" s="1">
        <v>0</v>
      </c>
      <c r="AB206" s="1" t="s">
        <v>71</v>
      </c>
      <c r="AC206" s="1">
        <v>0</v>
      </c>
      <c r="AD206" s="25">
        <v>35.333333333333336</v>
      </c>
      <c r="AE206" s="25" t="s">
        <v>71</v>
      </c>
      <c r="AF206" s="25">
        <v>93</v>
      </c>
      <c r="AG206" s="25" t="s">
        <v>71</v>
      </c>
      <c r="AH206" s="1" t="s">
        <v>71</v>
      </c>
      <c r="AI206" s="1" t="s">
        <v>71</v>
      </c>
      <c r="AJ206" s="1">
        <v>3</v>
      </c>
      <c r="AK206" s="1">
        <v>0</v>
      </c>
      <c r="AL206" s="1">
        <v>0</v>
      </c>
      <c r="AM206" s="1">
        <v>0</v>
      </c>
      <c r="AN206" s="1">
        <v>0.01</v>
      </c>
      <c r="AO206" s="1">
        <v>0.2</v>
      </c>
      <c r="AP206" s="1">
        <v>2E-3</v>
      </c>
      <c r="AQ206" s="1">
        <v>9</v>
      </c>
      <c r="AR206" s="1">
        <v>0.1</v>
      </c>
      <c r="AS206" s="1">
        <v>5</v>
      </c>
      <c r="AT206" s="1">
        <v>0.5</v>
      </c>
      <c r="AU206" s="1" t="s">
        <v>71</v>
      </c>
      <c r="AV206" s="1" t="s">
        <v>71</v>
      </c>
      <c r="AW206" s="1" t="s">
        <v>71</v>
      </c>
      <c r="AX206" s="1">
        <v>0</v>
      </c>
      <c r="AY206" s="1">
        <v>0.05</v>
      </c>
      <c r="AZ206" s="1" t="s">
        <v>71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 t="s">
        <v>71</v>
      </c>
      <c r="BI206" s="1" t="s">
        <v>71</v>
      </c>
      <c r="BJ206" s="1" t="s">
        <v>71</v>
      </c>
      <c r="BK206" s="1">
        <v>7.000000000000001E-4</v>
      </c>
      <c r="BL206" s="1">
        <f t="shared" si="70"/>
        <v>7.0000000000000007E-2</v>
      </c>
      <c r="BM206" s="1">
        <v>7.0000000000000007E-2</v>
      </c>
      <c r="BN206" s="1">
        <v>0.01</v>
      </c>
      <c r="BO206" s="1">
        <v>2</v>
      </c>
      <c r="BP206" s="1">
        <v>5</v>
      </c>
      <c r="BQ206" s="1" t="s">
        <v>71</v>
      </c>
      <c r="BR206" s="1" t="s">
        <v>71</v>
      </c>
      <c r="BS206" s="1" t="s">
        <v>71</v>
      </c>
      <c r="BT206" s="1" t="s">
        <v>71</v>
      </c>
      <c r="BU206" s="1">
        <v>15</v>
      </c>
      <c r="BV206" s="28" t="s">
        <v>71</v>
      </c>
      <c r="BW206" s="28" t="s">
        <v>71</v>
      </c>
      <c r="BX206" s="1" t="s">
        <v>71</v>
      </c>
      <c r="BY206" s="1" t="s">
        <v>71</v>
      </c>
      <c r="BZ206" s="3">
        <v>2.7</v>
      </c>
      <c r="CA206" s="3" t="s">
        <v>71</v>
      </c>
      <c r="CB206" s="3">
        <f t="shared" si="71"/>
        <v>3.7500000000000004</v>
      </c>
      <c r="CC206" s="1" t="s">
        <v>71</v>
      </c>
      <c r="CD206" s="1">
        <v>1</v>
      </c>
      <c r="CE206" s="1">
        <v>1</v>
      </c>
      <c r="CF206" s="1">
        <f t="shared" si="73"/>
        <v>1</v>
      </c>
      <c r="CG206" s="3" t="s">
        <v>71</v>
      </c>
      <c r="CH206" s="3" t="s">
        <v>71</v>
      </c>
      <c r="CI206" s="3" t="s">
        <v>71</v>
      </c>
      <c r="CJ206" s="3" t="s">
        <v>71</v>
      </c>
      <c r="CK206" s="3" t="s">
        <v>71</v>
      </c>
      <c r="CL206" s="3" t="s">
        <v>71</v>
      </c>
      <c r="CM206" s="3" t="s">
        <v>71</v>
      </c>
      <c r="CN206" s="3" t="s">
        <v>71</v>
      </c>
      <c r="CO206" s="5">
        <v>48</v>
      </c>
      <c r="CP206" s="5" t="s">
        <v>71</v>
      </c>
      <c r="CQ206" s="1">
        <v>39</v>
      </c>
      <c r="CR206" s="1" t="s">
        <v>71</v>
      </c>
      <c r="CS206" s="5" t="s">
        <v>71</v>
      </c>
      <c r="CT206" s="5">
        <v>8.1</v>
      </c>
      <c r="CU206" s="5" t="s">
        <v>71</v>
      </c>
      <c r="CV206" s="1" t="s">
        <v>71</v>
      </c>
      <c r="CW206" s="1" t="s">
        <v>71</v>
      </c>
      <c r="CX206" s="1" t="s">
        <v>71</v>
      </c>
      <c r="CY206" s="1">
        <v>10.3</v>
      </c>
      <c r="CZ206" s="1" t="s">
        <v>71</v>
      </c>
      <c r="DA206">
        <f>ROUND((CY206*CB206*10),0)</f>
        <v>386</v>
      </c>
      <c r="DB206" s="1" t="s">
        <v>71</v>
      </c>
      <c r="DC206" s="26">
        <v>10.3</v>
      </c>
      <c r="DD206">
        <f t="shared" si="72"/>
        <v>386</v>
      </c>
      <c r="DE206" s="1" t="s">
        <v>71</v>
      </c>
      <c r="DF206" s="1" t="s">
        <v>71</v>
      </c>
    </row>
    <row r="207" spans="1:110" ht="15" x14ac:dyDescent="0.15">
      <c r="A207" s="23">
        <v>2023</v>
      </c>
      <c r="B207" s="23" t="s">
        <v>48</v>
      </c>
      <c r="C207" s="23">
        <v>11</v>
      </c>
      <c r="D207" s="23">
        <v>5</v>
      </c>
      <c r="E207" s="23" t="s">
        <v>51</v>
      </c>
      <c r="F207" s="23"/>
      <c r="G207" s="23" t="s">
        <v>56</v>
      </c>
      <c r="H207" s="23">
        <v>3</v>
      </c>
      <c r="I207" s="23" t="s">
        <v>51</v>
      </c>
      <c r="J207" s="23" t="s">
        <v>58</v>
      </c>
      <c r="K207" s="1" t="s">
        <v>57</v>
      </c>
      <c r="L207" s="1" t="s">
        <v>71</v>
      </c>
      <c r="M207" s="1" t="s">
        <v>71</v>
      </c>
      <c r="N207" s="24">
        <v>45086</v>
      </c>
      <c r="O207" s="24">
        <v>45090</v>
      </c>
      <c r="P207" s="1" t="s">
        <v>71</v>
      </c>
      <c r="Q207" s="1" t="s">
        <v>71</v>
      </c>
      <c r="R207" s="1" t="s">
        <v>71</v>
      </c>
      <c r="S207" s="1" t="s">
        <v>71</v>
      </c>
      <c r="T207" s="1" t="s">
        <v>71</v>
      </c>
      <c r="U207" s="1">
        <v>85</v>
      </c>
      <c r="V207" s="1" t="s">
        <v>71</v>
      </c>
      <c r="W207" s="1" t="s">
        <v>71</v>
      </c>
      <c r="X207" s="1" t="s">
        <v>71</v>
      </c>
      <c r="Y207" s="1">
        <v>0</v>
      </c>
      <c r="Z207" s="1" t="s">
        <v>71</v>
      </c>
      <c r="AA207" s="1">
        <v>0</v>
      </c>
      <c r="AB207" s="1" t="s">
        <v>71</v>
      </c>
      <c r="AC207" s="1">
        <v>0</v>
      </c>
      <c r="AD207" s="25">
        <v>38</v>
      </c>
      <c r="AE207" s="25" t="s">
        <v>71</v>
      </c>
      <c r="AF207" s="25">
        <v>80</v>
      </c>
      <c r="AG207" s="25" t="s">
        <v>71</v>
      </c>
      <c r="AH207" s="1" t="s">
        <v>71</v>
      </c>
      <c r="AI207" s="1" t="s">
        <v>71</v>
      </c>
      <c r="AJ207" s="1">
        <v>1.7</v>
      </c>
      <c r="AK207" s="1">
        <v>0</v>
      </c>
      <c r="AL207" s="1">
        <v>0</v>
      </c>
      <c r="AM207" s="1">
        <v>0</v>
      </c>
      <c r="AN207" s="1">
        <v>0.03</v>
      </c>
      <c r="AO207" s="1">
        <v>0.05</v>
      </c>
      <c r="AP207" s="1">
        <v>1.5E-3</v>
      </c>
      <c r="AQ207" s="1">
        <v>26</v>
      </c>
      <c r="AR207" s="1">
        <v>0.05</v>
      </c>
      <c r="AS207" s="1">
        <v>8</v>
      </c>
      <c r="AT207" s="1">
        <v>0.4</v>
      </c>
      <c r="AU207" s="1" t="s">
        <v>71</v>
      </c>
      <c r="AV207" s="1" t="s">
        <v>71</v>
      </c>
      <c r="AW207" s="1" t="s">
        <v>71</v>
      </c>
      <c r="AX207" s="1">
        <v>0</v>
      </c>
      <c r="AY207" s="1">
        <v>0</v>
      </c>
      <c r="AZ207" s="1" t="s">
        <v>71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 t="s">
        <v>71</v>
      </c>
      <c r="BI207" s="1" t="s">
        <v>71</v>
      </c>
      <c r="BJ207" s="1" t="s">
        <v>71</v>
      </c>
      <c r="BK207" s="1">
        <v>5.000000000000001E-3</v>
      </c>
      <c r="BL207" s="1">
        <f t="shared" si="70"/>
        <v>0.50000000000000011</v>
      </c>
      <c r="BM207" s="1">
        <v>0.1</v>
      </c>
      <c r="BN207" s="1">
        <v>0.05</v>
      </c>
      <c r="BO207" s="1">
        <v>2</v>
      </c>
      <c r="BP207" s="1">
        <v>0</v>
      </c>
      <c r="BQ207" s="1" t="s">
        <v>71</v>
      </c>
      <c r="BR207" s="1" t="s">
        <v>71</v>
      </c>
      <c r="BS207" s="1" t="s">
        <v>71</v>
      </c>
      <c r="BT207" s="1" t="s">
        <v>71</v>
      </c>
      <c r="BU207" s="1">
        <v>29</v>
      </c>
      <c r="BV207" s="28" t="s">
        <v>71</v>
      </c>
      <c r="BW207" s="28" t="s">
        <v>71</v>
      </c>
      <c r="BX207" s="1" t="s">
        <v>71</v>
      </c>
      <c r="BY207" s="1" t="s">
        <v>71</v>
      </c>
      <c r="BZ207" s="3">
        <v>3.3</v>
      </c>
      <c r="CA207" s="3" t="s">
        <v>71</v>
      </c>
      <c r="CB207" s="3">
        <f t="shared" si="71"/>
        <v>4.5833333333333339</v>
      </c>
      <c r="CC207" s="1" t="s">
        <v>71</v>
      </c>
      <c r="CD207" s="1">
        <v>1</v>
      </c>
      <c r="CE207" s="1">
        <v>1</v>
      </c>
      <c r="CF207" s="1">
        <f t="shared" si="73"/>
        <v>1</v>
      </c>
      <c r="CG207" s="3" t="s">
        <v>71</v>
      </c>
      <c r="CH207" s="3" t="s">
        <v>71</v>
      </c>
      <c r="CI207" s="3" t="s">
        <v>71</v>
      </c>
      <c r="CJ207" s="3" t="s">
        <v>71</v>
      </c>
      <c r="CK207" s="3" t="s">
        <v>71</v>
      </c>
      <c r="CL207" s="3" t="s">
        <v>71</v>
      </c>
      <c r="CM207" s="3" t="s">
        <v>71</v>
      </c>
      <c r="CN207" s="3" t="s">
        <v>71</v>
      </c>
      <c r="CO207" s="5">
        <v>49</v>
      </c>
      <c r="CP207" s="5" t="s">
        <v>71</v>
      </c>
      <c r="CQ207" s="1" t="s">
        <v>71</v>
      </c>
      <c r="CR207" s="1" t="s">
        <v>71</v>
      </c>
      <c r="CS207" s="5" t="s">
        <v>71</v>
      </c>
      <c r="CT207" s="5">
        <v>8.8000000000000007</v>
      </c>
      <c r="CU207" s="5" t="s">
        <v>71</v>
      </c>
      <c r="CV207" s="1" t="s">
        <v>71</v>
      </c>
      <c r="CW207" s="1" t="s">
        <v>71</v>
      </c>
      <c r="CX207" s="1" t="s">
        <v>71</v>
      </c>
      <c r="CY207" s="1" t="s">
        <v>71</v>
      </c>
      <c r="CZ207" s="1" t="s">
        <v>71</v>
      </c>
      <c r="DA207" s="1" t="s">
        <v>71</v>
      </c>
      <c r="DB207" s="1" t="s">
        <v>71</v>
      </c>
      <c r="DC207" s="26" t="s">
        <v>71</v>
      </c>
      <c r="DD207">
        <f t="shared" si="72"/>
        <v>0</v>
      </c>
      <c r="DE207" s="1" t="s">
        <v>71</v>
      </c>
      <c r="DF207" s="1" t="s">
        <v>71</v>
      </c>
    </row>
    <row r="208" spans="1:110" ht="15" x14ac:dyDescent="0.15">
      <c r="A208" s="23">
        <v>2023</v>
      </c>
      <c r="B208" s="23" t="s">
        <v>48</v>
      </c>
      <c r="C208" s="23">
        <v>11</v>
      </c>
      <c r="D208" s="23">
        <v>6</v>
      </c>
      <c r="E208" s="23" t="s">
        <v>52</v>
      </c>
      <c r="F208" s="23"/>
      <c r="G208" s="23" t="s">
        <v>56</v>
      </c>
      <c r="H208" s="23">
        <v>3</v>
      </c>
      <c r="I208" s="23" t="s">
        <v>52</v>
      </c>
      <c r="J208" s="23" t="s">
        <v>58</v>
      </c>
      <c r="K208" s="1" t="s">
        <v>57</v>
      </c>
      <c r="L208" s="1" t="s">
        <v>71</v>
      </c>
      <c r="M208" s="1" t="s">
        <v>71</v>
      </c>
      <c r="N208" s="24">
        <v>45084</v>
      </c>
      <c r="O208" s="24">
        <v>45095</v>
      </c>
      <c r="P208" s="24" t="s">
        <v>71</v>
      </c>
      <c r="Q208" s="1" t="s">
        <v>71</v>
      </c>
      <c r="R208" s="1" t="s">
        <v>71</v>
      </c>
      <c r="S208" s="1" t="s">
        <v>71</v>
      </c>
      <c r="T208" s="1" t="s">
        <v>71</v>
      </c>
      <c r="U208" s="1">
        <v>83</v>
      </c>
      <c r="V208" s="1" t="s">
        <v>71</v>
      </c>
      <c r="W208" s="1" t="s">
        <v>71</v>
      </c>
      <c r="X208" s="1" t="s">
        <v>71</v>
      </c>
      <c r="Y208" s="1">
        <v>0</v>
      </c>
      <c r="Z208" s="1">
        <v>0</v>
      </c>
      <c r="AA208" s="1">
        <v>0</v>
      </c>
      <c r="AB208" s="1" t="s">
        <v>71</v>
      </c>
      <c r="AC208" s="1">
        <v>0</v>
      </c>
      <c r="AD208" s="25">
        <v>35</v>
      </c>
      <c r="AE208" s="25" t="s">
        <v>71</v>
      </c>
      <c r="AF208" s="25">
        <v>66</v>
      </c>
      <c r="AG208" s="25" t="s">
        <v>71</v>
      </c>
      <c r="AH208" s="1" t="s">
        <v>71</v>
      </c>
      <c r="AI208" s="1" t="s">
        <v>71</v>
      </c>
      <c r="AJ208" s="1">
        <v>2.7</v>
      </c>
      <c r="AK208" s="1">
        <v>0</v>
      </c>
      <c r="AL208" s="1">
        <v>0</v>
      </c>
      <c r="AM208" s="1">
        <v>0</v>
      </c>
      <c r="AN208" s="1">
        <v>0.1</v>
      </c>
      <c r="AO208" s="1">
        <v>0.04</v>
      </c>
      <c r="AP208" s="1">
        <v>4.0000000000000001E-3</v>
      </c>
      <c r="AQ208" s="1">
        <v>18</v>
      </c>
      <c r="AR208" s="1">
        <v>5.0000000000000001E-3</v>
      </c>
      <c r="AS208" s="1">
        <v>4</v>
      </c>
      <c r="AT208" s="1">
        <v>0.02</v>
      </c>
      <c r="AU208" s="1" t="s">
        <v>71</v>
      </c>
      <c r="AV208" s="1" t="s">
        <v>71</v>
      </c>
      <c r="AW208" s="1" t="s">
        <v>71</v>
      </c>
      <c r="AX208" s="1">
        <v>0</v>
      </c>
      <c r="AY208" s="1">
        <v>0</v>
      </c>
      <c r="AZ208" s="1" t="s">
        <v>71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 t="s">
        <v>71</v>
      </c>
      <c r="BI208" s="1" t="s">
        <v>71</v>
      </c>
      <c r="BJ208" s="1" t="s">
        <v>71</v>
      </c>
      <c r="BK208" s="1">
        <v>6.0000000000000001E-3</v>
      </c>
      <c r="BL208" s="1">
        <f t="shared" si="70"/>
        <v>0.6</v>
      </c>
      <c r="BM208" s="1">
        <v>0.15</v>
      </c>
      <c r="BN208" s="1">
        <v>0.04</v>
      </c>
      <c r="BO208" s="1">
        <v>2</v>
      </c>
      <c r="BP208" s="1">
        <v>0</v>
      </c>
      <c r="BQ208" s="1" t="s">
        <v>71</v>
      </c>
      <c r="BR208" s="1" t="s">
        <v>71</v>
      </c>
      <c r="BS208" s="1" t="s">
        <v>71</v>
      </c>
      <c r="BT208" s="1" t="s">
        <v>71</v>
      </c>
      <c r="BU208" s="1">
        <v>20</v>
      </c>
      <c r="BV208" s="28" t="s">
        <v>71</v>
      </c>
      <c r="BW208" s="28" t="s">
        <v>71</v>
      </c>
      <c r="BX208" s="1" t="s">
        <v>71</v>
      </c>
      <c r="BY208" s="1" t="s">
        <v>71</v>
      </c>
      <c r="BZ208" s="3">
        <v>2.7</v>
      </c>
      <c r="CA208" s="3" t="s">
        <v>71</v>
      </c>
      <c r="CB208" s="3">
        <f t="shared" si="71"/>
        <v>3.7500000000000004</v>
      </c>
      <c r="CC208" s="1" t="s">
        <v>71</v>
      </c>
      <c r="CD208" s="1">
        <v>1</v>
      </c>
      <c r="CE208" s="1">
        <v>1</v>
      </c>
      <c r="CF208" s="1">
        <f t="shared" si="73"/>
        <v>1</v>
      </c>
      <c r="CG208" s="3" t="s">
        <v>71</v>
      </c>
      <c r="CH208" s="3" t="s">
        <v>71</v>
      </c>
      <c r="CI208" s="3" t="s">
        <v>71</v>
      </c>
      <c r="CJ208" s="3" t="s">
        <v>71</v>
      </c>
      <c r="CK208" s="3" t="s">
        <v>71</v>
      </c>
      <c r="CL208" s="3" t="s">
        <v>71</v>
      </c>
      <c r="CM208" s="3" t="s">
        <v>71</v>
      </c>
      <c r="CN208" s="3" t="s">
        <v>71</v>
      </c>
      <c r="CO208" s="5">
        <v>47</v>
      </c>
      <c r="CP208" s="5" t="s">
        <v>71</v>
      </c>
      <c r="CQ208" s="1">
        <v>32</v>
      </c>
      <c r="CR208" s="1" t="s">
        <v>71</v>
      </c>
      <c r="CS208" s="5" t="s">
        <v>71</v>
      </c>
      <c r="CT208" s="5">
        <v>8.4</v>
      </c>
      <c r="CU208" s="5" t="s">
        <v>71</v>
      </c>
      <c r="CV208" s="1" t="s">
        <v>71</v>
      </c>
      <c r="CW208" s="1" t="s">
        <v>71</v>
      </c>
      <c r="CX208" s="1" t="s">
        <v>71</v>
      </c>
      <c r="CY208" s="1">
        <v>10.7</v>
      </c>
      <c r="CZ208" s="1" t="s">
        <v>71</v>
      </c>
      <c r="DA208">
        <f>ROUND((CY208*CB208*10),0)</f>
        <v>401</v>
      </c>
      <c r="DB208" s="1" t="s">
        <v>71</v>
      </c>
      <c r="DC208" s="26">
        <v>10.7</v>
      </c>
      <c r="DD208">
        <f t="shared" si="72"/>
        <v>401</v>
      </c>
      <c r="DE208" s="1" t="s">
        <v>71</v>
      </c>
      <c r="DF208" s="1" t="s">
        <v>71</v>
      </c>
    </row>
    <row r="209" spans="1:110" ht="15" x14ac:dyDescent="0.15">
      <c r="A209" s="23">
        <v>2023</v>
      </c>
      <c r="B209" s="23" t="s">
        <v>48</v>
      </c>
      <c r="C209" s="23">
        <v>11</v>
      </c>
      <c r="D209" s="23">
        <v>7</v>
      </c>
      <c r="E209" s="23"/>
      <c r="F209" s="23" t="s">
        <v>53</v>
      </c>
      <c r="G209" s="23" t="s">
        <v>56</v>
      </c>
      <c r="H209" s="23">
        <v>3</v>
      </c>
      <c r="I209" s="23" t="s">
        <v>53</v>
      </c>
      <c r="J209" s="23" t="s">
        <v>57</v>
      </c>
      <c r="K209" s="24">
        <v>45070</v>
      </c>
      <c r="L209" s="1" t="s">
        <v>71</v>
      </c>
      <c r="M209" s="1" t="s">
        <v>71</v>
      </c>
      <c r="N209" s="1" t="s">
        <v>71</v>
      </c>
      <c r="O209" s="1" t="s">
        <v>71</v>
      </c>
      <c r="P209" s="24">
        <v>45075</v>
      </c>
      <c r="Q209" s="1" t="s">
        <v>71</v>
      </c>
      <c r="R209" s="1" t="s">
        <v>71</v>
      </c>
      <c r="S209" s="1" t="s">
        <v>71</v>
      </c>
      <c r="T209" s="1" t="s">
        <v>71</v>
      </c>
      <c r="U209" s="1" t="s">
        <v>71</v>
      </c>
      <c r="V209" s="1">
        <v>83</v>
      </c>
      <c r="W209" s="1" t="s">
        <v>71</v>
      </c>
      <c r="X209" s="1">
        <v>10</v>
      </c>
      <c r="Y209" s="1" t="s">
        <v>71</v>
      </c>
      <c r="Z209" s="1">
        <v>20</v>
      </c>
      <c r="AA209" s="1" t="s">
        <v>71</v>
      </c>
      <c r="AB209" s="1">
        <v>0</v>
      </c>
      <c r="AC209" s="1" t="s">
        <v>71</v>
      </c>
      <c r="AD209" s="25" t="s">
        <v>71</v>
      </c>
      <c r="AE209" s="25">
        <v>22</v>
      </c>
      <c r="AF209" s="25" t="s">
        <v>71</v>
      </c>
      <c r="AG209" s="25">
        <v>72</v>
      </c>
      <c r="AH209" s="1" t="s">
        <v>71</v>
      </c>
      <c r="AI209" s="1" t="s">
        <v>71</v>
      </c>
      <c r="AJ209" s="1" t="s">
        <v>71</v>
      </c>
      <c r="AK209" s="1" t="s">
        <v>71</v>
      </c>
      <c r="AL209" s="1" t="s">
        <v>71</v>
      </c>
      <c r="AM209" s="1" t="s">
        <v>71</v>
      </c>
      <c r="AN209" s="1" t="s">
        <v>71</v>
      </c>
      <c r="AO209" s="1" t="s">
        <v>71</v>
      </c>
      <c r="AP209" s="1" t="s">
        <v>71</v>
      </c>
      <c r="AQ209" s="1" t="s">
        <v>71</v>
      </c>
      <c r="AR209" s="1" t="s">
        <v>71</v>
      </c>
      <c r="AS209" s="1" t="s">
        <v>71</v>
      </c>
      <c r="AT209" s="1" t="s">
        <v>71</v>
      </c>
      <c r="AU209" s="1">
        <v>0</v>
      </c>
      <c r="AV209" s="1">
        <v>0</v>
      </c>
      <c r="AW209" s="1">
        <v>0</v>
      </c>
      <c r="AX209" s="1" t="s">
        <v>71</v>
      </c>
      <c r="AY209" s="1" t="s">
        <v>71</v>
      </c>
      <c r="AZ209" s="1">
        <v>0</v>
      </c>
      <c r="BA209" s="1" t="s">
        <v>71</v>
      </c>
      <c r="BB209" s="1" t="s">
        <v>71</v>
      </c>
      <c r="BC209" s="1" t="s">
        <v>71</v>
      </c>
      <c r="BD209" s="1" t="s">
        <v>71</v>
      </c>
      <c r="BE209" s="1" t="s">
        <v>71</v>
      </c>
      <c r="BF209" s="1" t="s">
        <v>71</v>
      </c>
      <c r="BG209" s="1" t="s">
        <v>71</v>
      </c>
      <c r="BH209" s="1">
        <v>4</v>
      </c>
      <c r="BI209" s="1">
        <v>10</v>
      </c>
      <c r="BJ209" s="1">
        <v>0</v>
      </c>
      <c r="BK209" s="1">
        <v>2.0000000000000004E-2</v>
      </c>
      <c r="BL209" s="1">
        <f t="shared" si="70"/>
        <v>2.0000000000000004</v>
      </c>
      <c r="BM209" s="1">
        <v>0.2</v>
      </c>
      <c r="BN209" s="1">
        <v>0.1</v>
      </c>
      <c r="BO209" s="1">
        <v>1</v>
      </c>
      <c r="BP209" s="1">
        <v>0</v>
      </c>
      <c r="BQ209" s="1">
        <v>138</v>
      </c>
      <c r="BR209" s="1">
        <v>19</v>
      </c>
      <c r="BS209" s="1">
        <v>3</v>
      </c>
      <c r="BT209" s="1">
        <v>13</v>
      </c>
      <c r="BU209" s="1" t="s">
        <v>71</v>
      </c>
      <c r="BV209" s="28">
        <v>6</v>
      </c>
      <c r="BW209" s="28">
        <v>2</v>
      </c>
      <c r="BX209" s="1" t="s">
        <v>71</v>
      </c>
      <c r="BY209" s="1" t="s">
        <v>71</v>
      </c>
      <c r="BZ209" s="3" t="s">
        <v>71</v>
      </c>
      <c r="CA209" s="3">
        <v>2.5</v>
      </c>
      <c r="CB209" s="1" t="s">
        <v>71</v>
      </c>
      <c r="CC209" s="3">
        <f t="shared" ref="CC209:CC260" si="74">CA209/(1.5*4.8)*10</f>
        <v>3.4722222222222228</v>
      </c>
      <c r="CD209" s="1">
        <v>1</v>
      </c>
      <c r="CE209" s="1">
        <v>1</v>
      </c>
      <c r="CF209" s="1">
        <f t="shared" si="73"/>
        <v>1</v>
      </c>
      <c r="CG209" s="1" t="s">
        <v>71</v>
      </c>
      <c r="CH209" s="1" t="s">
        <v>71</v>
      </c>
      <c r="CI209" s="1" t="s">
        <v>71</v>
      </c>
      <c r="CJ209" s="1" t="s">
        <v>71</v>
      </c>
      <c r="CK209" s="3" t="s">
        <v>71</v>
      </c>
      <c r="CL209" s="3" t="s">
        <v>71</v>
      </c>
      <c r="CM209" s="3" t="s">
        <v>71</v>
      </c>
      <c r="CN209" s="3" t="s">
        <v>71</v>
      </c>
      <c r="CO209" s="5" t="s">
        <v>71</v>
      </c>
      <c r="CP209" s="5">
        <v>75</v>
      </c>
      <c r="CQ209" s="1" t="s">
        <v>71</v>
      </c>
      <c r="CR209" s="1">
        <v>140</v>
      </c>
      <c r="CS209" s="5">
        <v>34.1</v>
      </c>
      <c r="CT209" s="5" t="s">
        <v>71</v>
      </c>
      <c r="CU209" s="5">
        <v>5.5</v>
      </c>
      <c r="CV209" s="1" t="s">
        <v>71</v>
      </c>
      <c r="CW209" s="1" t="s">
        <v>71</v>
      </c>
      <c r="CX209" t="e">
        <f>ROUND(CV209*#REF!/10,1)</f>
        <v>#VALUE!</v>
      </c>
      <c r="CY209" s="1" t="s">
        <v>71</v>
      </c>
      <c r="CZ209">
        <f t="shared" ref="CZ209:CZ220" si="75">ROUND((10*CC209*CS209),0)</f>
        <v>1184</v>
      </c>
      <c r="DA209" s="1" t="s">
        <v>71</v>
      </c>
      <c r="DB209" s="1" t="s">
        <v>71</v>
      </c>
      <c r="DC209" s="26" t="s">
        <v>71</v>
      </c>
      <c r="DD209">
        <f t="shared" si="72"/>
        <v>1184</v>
      </c>
      <c r="DE209" s="1" t="s">
        <v>71</v>
      </c>
      <c r="DF209" s="1" t="s">
        <v>71</v>
      </c>
    </row>
    <row r="210" spans="1:110" ht="15" x14ac:dyDescent="0.15">
      <c r="A210" s="23">
        <v>2023</v>
      </c>
      <c r="B210" s="23" t="s">
        <v>48</v>
      </c>
      <c r="C210" s="23">
        <v>11</v>
      </c>
      <c r="D210" s="23">
        <v>8</v>
      </c>
      <c r="E210" s="23"/>
      <c r="F210" s="23" t="s">
        <v>54</v>
      </c>
      <c r="G210" s="23" t="s">
        <v>56</v>
      </c>
      <c r="H210" s="23">
        <v>3</v>
      </c>
      <c r="I210" s="23" t="s">
        <v>54</v>
      </c>
      <c r="J210" s="23" t="s">
        <v>57</v>
      </c>
      <c r="K210" s="24">
        <v>45078</v>
      </c>
      <c r="L210" s="1" t="s">
        <v>71</v>
      </c>
      <c r="M210" s="1" t="s">
        <v>71</v>
      </c>
      <c r="N210" s="1" t="s">
        <v>71</v>
      </c>
      <c r="O210" s="1" t="s">
        <v>71</v>
      </c>
      <c r="P210" s="24">
        <v>45081</v>
      </c>
      <c r="Q210" s="1" t="s">
        <v>71</v>
      </c>
      <c r="R210" s="1" t="s">
        <v>71</v>
      </c>
      <c r="S210" s="1" t="s">
        <v>71</v>
      </c>
      <c r="T210" s="1" t="s">
        <v>71</v>
      </c>
      <c r="U210" s="1" t="s">
        <v>71</v>
      </c>
      <c r="V210" s="1">
        <v>83</v>
      </c>
      <c r="W210" s="1" t="s">
        <v>71</v>
      </c>
      <c r="X210" s="1">
        <v>0</v>
      </c>
      <c r="Y210" s="1" t="s">
        <v>71</v>
      </c>
      <c r="Z210" s="1">
        <v>20</v>
      </c>
      <c r="AA210" s="1" t="s">
        <v>71</v>
      </c>
      <c r="AB210" s="1">
        <v>0</v>
      </c>
      <c r="AC210" s="1" t="s">
        <v>71</v>
      </c>
      <c r="AD210" s="25" t="s">
        <v>71</v>
      </c>
      <c r="AE210" s="25">
        <v>17.666666666666668</v>
      </c>
      <c r="AF210" s="25" t="s">
        <v>71</v>
      </c>
      <c r="AG210" s="25">
        <v>69</v>
      </c>
      <c r="AH210" s="1" t="s">
        <v>71</v>
      </c>
      <c r="AI210" s="1" t="s">
        <v>71</v>
      </c>
      <c r="AJ210" s="1" t="s">
        <v>71</v>
      </c>
      <c r="AK210" s="1" t="s">
        <v>71</v>
      </c>
      <c r="AL210" s="1" t="s">
        <v>71</v>
      </c>
      <c r="AM210" s="1" t="s">
        <v>71</v>
      </c>
      <c r="AN210" s="1" t="s">
        <v>71</v>
      </c>
      <c r="AO210" s="1" t="s">
        <v>71</v>
      </c>
      <c r="AP210" s="1" t="s">
        <v>71</v>
      </c>
      <c r="AQ210" s="1" t="s">
        <v>71</v>
      </c>
      <c r="AR210" s="1" t="s">
        <v>71</v>
      </c>
      <c r="AS210" s="1" t="s">
        <v>71</v>
      </c>
      <c r="AT210" s="1" t="s">
        <v>71</v>
      </c>
      <c r="AU210" s="1">
        <v>0</v>
      </c>
      <c r="AV210" s="1">
        <v>0</v>
      </c>
      <c r="AW210" s="1">
        <v>0</v>
      </c>
      <c r="AX210" s="1" t="s">
        <v>71</v>
      </c>
      <c r="AY210" s="1" t="s">
        <v>71</v>
      </c>
      <c r="AZ210" s="1">
        <v>0</v>
      </c>
      <c r="BA210" s="1" t="s">
        <v>71</v>
      </c>
      <c r="BB210" s="1" t="s">
        <v>71</v>
      </c>
      <c r="BC210" s="1" t="s">
        <v>71</v>
      </c>
      <c r="BD210" s="1" t="s">
        <v>71</v>
      </c>
      <c r="BE210" s="1" t="s">
        <v>71</v>
      </c>
      <c r="BF210" s="1" t="s">
        <v>71</v>
      </c>
      <c r="BG210" s="1" t="s">
        <v>71</v>
      </c>
      <c r="BH210" s="1">
        <v>2</v>
      </c>
      <c r="BI210" s="1">
        <v>20</v>
      </c>
      <c r="BJ210" s="1">
        <v>1</v>
      </c>
      <c r="BK210" s="1">
        <v>0.06</v>
      </c>
      <c r="BL210" s="1">
        <f t="shared" si="70"/>
        <v>6</v>
      </c>
      <c r="BM210" s="1">
        <v>0.6</v>
      </c>
      <c r="BN210" s="1">
        <v>0.1</v>
      </c>
      <c r="BO210" s="1">
        <v>1</v>
      </c>
      <c r="BP210" s="1">
        <v>10</v>
      </c>
      <c r="BQ210" s="1">
        <v>225</v>
      </c>
      <c r="BR210" s="1">
        <v>14</v>
      </c>
      <c r="BS210" s="1">
        <v>1</v>
      </c>
      <c r="BT210" s="1">
        <v>6</v>
      </c>
      <c r="BU210" s="1" t="s">
        <v>71</v>
      </c>
      <c r="BV210" s="28">
        <v>8.3333333333333339</v>
      </c>
      <c r="BW210" s="28">
        <v>3.3333333333333335</v>
      </c>
      <c r="BX210" s="1" t="s">
        <v>71</v>
      </c>
      <c r="BY210" s="1" t="s">
        <v>71</v>
      </c>
      <c r="BZ210" s="3" t="s">
        <v>71</v>
      </c>
      <c r="CA210" s="3">
        <v>2.8</v>
      </c>
      <c r="CB210" s="1" t="s">
        <v>71</v>
      </c>
      <c r="CC210" s="3">
        <f t="shared" si="74"/>
        <v>3.8888888888888888</v>
      </c>
      <c r="CD210" s="1">
        <v>1</v>
      </c>
      <c r="CE210" s="1">
        <v>1</v>
      </c>
      <c r="CF210" s="1">
        <f t="shared" si="73"/>
        <v>1</v>
      </c>
      <c r="CG210" s="1" t="s">
        <v>71</v>
      </c>
      <c r="CH210" s="1" t="s">
        <v>71</v>
      </c>
      <c r="CI210" s="1" t="s">
        <v>71</v>
      </c>
      <c r="CJ210" s="1" t="s">
        <v>71</v>
      </c>
      <c r="CK210" s="3" t="s">
        <v>71</v>
      </c>
      <c r="CL210" s="3" t="s">
        <v>71</v>
      </c>
      <c r="CM210" s="3" t="s">
        <v>71</v>
      </c>
      <c r="CN210" s="3" t="s">
        <v>71</v>
      </c>
      <c r="CO210" s="5" t="s">
        <v>71</v>
      </c>
      <c r="CP210" s="5">
        <v>64</v>
      </c>
      <c r="CQ210" s="1" t="s">
        <v>71</v>
      </c>
      <c r="CR210" s="1">
        <v>143</v>
      </c>
      <c r="CS210" s="5">
        <v>40.700000000000003</v>
      </c>
      <c r="CT210" s="5" t="s">
        <v>71</v>
      </c>
      <c r="CU210" s="5">
        <v>4.8</v>
      </c>
      <c r="CV210" s="1" t="s">
        <v>71</v>
      </c>
      <c r="CW210" s="1" t="s">
        <v>71</v>
      </c>
      <c r="CX210" t="e">
        <f>ROUND(CV210*#REF!/10,1)</f>
        <v>#VALUE!</v>
      </c>
      <c r="CY210" s="1" t="s">
        <v>71</v>
      </c>
      <c r="CZ210">
        <f t="shared" si="75"/>
        <v>1583</v>
      </c>
      <c r="DA210" s="1" t="s">
        <v>71</v>
      </c>
      <c r="DB210" s="1" t="s">
        <v>71</v>
      </c>
      <c r="DC210" s="26" t="s">
        <v>71</v>
      </c>
      <c r="DD210">
        <f t="shared" si="72"/>
        <v>1583</v>
      </c>
      <c r="DE210" s="1" t="s">
        <v>71</v>
      </c>
      <c r="DF210" s="1" t="s">
        <v>71</v>
      </c>
    </row>
    <row r="211" spans="1:110" ht="15" x14ac:dyDescent="0.15">
      <c r="A211" s="23">
        <v>2023</v>
      </c>
      <c r="B211" s="23" t="s">
        <v>48</v>
      </c>
      <c r="C211" s="23">
        <v>11</v>
      </c>
      <c r="D211" s="23">
        <v>9</v>
      </c>
      <c r="E211" s="23"/>
      <c r="F211" s="23" t="s">
        <v>55</v>
      </c>
      <c r="G211" s="23" t="s">
        <v>56</v>
      </c>
      <c r="H211" s="23">
        <v>3</v>
      </c>
      <c r="I211" s="23" t="s">
        <v>55</v>
      </c>
      <c r="J211" s="23" t="s">
        <v>57</v>
      </c>
      <c r="K211" s="24">
        <v>45077</v>
      </c>
      <c r="L211" s="1" t="s">
        <v>71</v>
      </c>
      <c r="M211" s="1" t="s">
        <v>71</v>
      </c>
      <c r="N211" s="1" t="s">
        <v>71</v>
      </c>
      <c r="O211" s="1" t="s">
        <v>71</v>
      </c>
      <c r="P211" s="24">
        <v>45077</v>
      </c>
      <c r="Q211" s="1" t="s">
        <v>71</v>
      </c>
      <c r="R211" s="1" t="s">
        <v>71</v>
      </c>
      <c r="S211" s="1" t="s">
        <v>71</v>
      </c>
      <c r="T211" s="1" t="s">
        <v>71</v>
      </c>
      <c r="U211" s="1" t="s">
        <v>71</v>
      </c>
      <c r="V211" s="1">
        <v>86</v>
      </c>
      <c r="W211" s="1" t="s">
        <v>71</v>
      </c>
      <c r="X211" s="1">
        <v>10</v>
      </c>
      <c r="Y211" s="1" t="s">
        <v>71</v>
      </c>
      <c r="Z211" s="1">
        <v>25</v>
      </c>
      <c r="AA211" s="1" t="s">
        <v>71</v>
      </c>
      <c r="AB211" s="1">
        <v>10</v>
      </c>
      <c r="AC211" s="1" t="s">
        <v>71</v>
      </c>
      <c r="AD211" s="25" t="s">
        <v>71</v>
      </c>
      <c r="AE211" s="25">
        <v>22.666666666666668</v>
      </c>
      <c r="AF211" s="25" t="s">
        <v>71</v>
      </c>
      <c r="AG211" s="25">
        <v>70</v>
      </c>
      <c r="AH211" s="1" t="s">
        <v>71</v>
      </c>
      <c r="AI211" s="1" t="s">
        <v>71</v>
      </c>
      <c r="AJ211" s="1" t="s">
        <v>71</v>
      </c>
      <c r="AK211" s="1" t="s">
        <v>71</v>
      </c>
      <c r="AL211" s="1" t="s">
        <v>71</v>
      </c>
      <c r="AM211" s="1" t="s">
        <v>71</v>
      </c>
      <c r="AN211" s="1" t="s">
        <v>71</v>
      </c>
      <c r="AO211" s="1" t="s">
        <v>71</v>
      </c>
      <c r="AP211" s="1" t="s">
        <v>71</v>
      </c>
      <c r="AQ211" s="1" t="s">
        <v>71</v>
      </c>
      <c r="AR211" s="1" t="s">
        <v>71</v>
      </c>
      <c r="AS211" s="1" t="s">
        <v>71</v>
      </c>
      <c r="AT211" s="1" t="s">
        <v>71</v>
      </c>
      <c r="AU211" s="1">
        <v>0</v>
      </c>
      <c r="AV211" s="1">
        <v>0</v>
      </c>
      <c r="AW211" s="1">
        <v>0</v>
      </c>
      <c r="AX211" s="1" t="s">
        <v>71</v>
      </c>
      <c r="AY211" s="1" t="s">
        <v>71</v>
      </c>
      <c r="AZ211" s="1">
        <v>0</v>
      </c>
      <c r="BA211" s="1" t="s">
        <v>71</v>
      </c>
      <c r="BB211" s="1" t="s">
        <v>71</v>
      </c>
      <c r="BC211" s="1" t="s">
        <v>71</v>
      </c>
      <c r="BD211" s="1" t="s">
        <v>71</v>
      </c>
      <c r="BE211" s="1" t="s">
        <v>71</v>
      </c>
      <c r="BF211" s="1" t="s">
        <v>71</v>
      </c>
      <c r="BG211" s="1" t="s">
        <v>71</v>
      </c>
      <c r="BH211" s="1">
        <v>9</v>
      </c>
      <c r="BI211" s="1">
        <v>45</v>
      </c>
      <c r="BJ211" s="1">
        <v>7</v>
      </c>
      <c r="BK211" s="1">
        <v>4.2000000000000003E-2</v>
      </c>
      <c r="BL211" s="1">
        <f t="shared" si="70"/>
        <v>4.2</v>
      </c>
      <c r="BM211" s="1">
        <v>0.6</v>
      </c>
      <c r="BN211" s="1">
        <v>7.0000000000000007E-2</v>
      </c>
      <c r="BO211" s="1">
        <v>1</v>
      </c>
      <c r="BP211" s="1">
        <v>0</v>
      </c>
      <c r="BQ211" s="1">
        <v>212</v>
      </c>
      <c r="BR211" s="1">
        <v>13</v>
      </c>
      <c r="BS211" s="1">
        <v>0</v>
      </c>
      <c r="BT211" s="1">
        <v>12</v>
      </c>
      <c r="BU211" s="1" t="s">
        <v>71</v>
      </c>
      <c r="BV211" s="28">
        <v>6</v>
      </c>
      <c r="BW211" s="28">
        <v>1.3333333333333333</v>
      </c>
      <c r="BX211" s="1" t="s">
        <v>71</v>
      </c>
      <c r="BY211" s="1" t="s">
        <v>71</v>
      </c>
      <c r="BZ211" s="3" t="s">
        <v>71</v>
      </c>
      <c r="CA211" s="3">
        <v>2.2999999999999998</v>
      </c>
      <c r="CB211" s="1" t="s">
        <v>71</v>
      </c>
      <c r="CC211" s="3">
        <f t="shared" si="74"/>
        <v>3.1944444444444446</v>
      </c>
      <c r="CD211" s="1">
        <v>1</v>
      </c>
      <c r="CE211" s="1">
        <v>1</v>
      </c>
      <c r="CF211" s="1">
        <f t="shared" si="73"/>
        <v>1</v>
      </c>
      <c r="CG211" s="1" t="s">
        <v>71</v>
      </c>
      <c r="CH211" s="1" t="s">
        <v>71</v>
      </c>
      <c r="CI211" s="1" t="s">
        <v>71</v>
      </c>
      <c r="CJ211" s="1" t="s">
        <v>71</v>
      </c>
      <c r="CK211" s="3" t="s">
        <v>71</v>
      </c>
      <c r="CL211" s="3" t="s">
        <v>71</v>
      </c>
      <c r="CM211" s="3" t="s">
        <v>71</v>
      </c>
      <c r="CN211" s="3" t="s">
        <v>71</v>
      </c>
      <c r="CO211" s="5" t="s">
        <v>71</v>
      </c>
      <c r="CP211" s="5">
        <v>66</v>
      </c>
      <c r="CQ211" s="1" t="s">
        <v>71</v>
      </c>
      <c r="CR211" s="1">
        <v>141</v>
      </c>
      <c r="CS211" s="5">
        <v>41.8</v>
      </c>
      <c r="CT211" s="5" t="s">
        <v>71</v>
      </c>
      <c r="CU211" s="5">
        <v>3.4</v>
      </c>
      <c r="CV211" s="1" t="s">
        <v>71</v>
      </c>
      <c r="CW211" s="1" t="s">
        <v>71</v>
      </c>
      <c r="CX211" t="e">
        <f>ROUND(CV211*#REF!/10,1)</f>
        <v>#VALUE!</v>
      </c>
      <c r="CY211" s="1" t="s">
        <v>71</v>
      </c>
      <c r="CZ211">
        <f t="shared" si="75"/>
        <v>1335</v>
      </c>
      <c r="DA211" s="1" t="s">
        <v>71</v>
      </c>
      <c r="DB211" s="1" t="s">
        <v>71</v>
      </c>
      <c r="DC211" s="26" t="s">
        <v>71</v>
      </c>
      <c r="DD211">
        <f t="shared" si="72"/>
        <v>1335</v>
      </c>
      <c r="DE211" s="1" t="s">
        <v>71</v>
      </c>
      <c r="DF211" s="1" t="s">
        <v>71</v>
      </c>
    </row>
    <row r="212" spans="1:110" x14ac:dyDescent="0.15">
      <c r="A212" s="23">
        <v>2023</v>
      </c>
      <c r="B212" s="23" t="s">
        <v>48</v>
      </c>
      <c r="C212" s="23">
        <v>11</v>
      </c>
      <c r="D212" s="23">
        <v>10</v>
      </c>
      <c r="E212" s="23" t="s">
        <v>50</v>
      </c>
      <c r="F212" s="23" t="s">
        <v>53</v>
      </c>
      <c r="G212" s="23" t="s">
        <v>5</v>
      </c>
      <c r="H212" s="23">
        <v>3</v>
      </c>
      <c r="I212" s="23" t="s">
        <v>60</v>
      </c>
      <c r="J212" s="23" t="s">
        <v>57</v>
      </c>
      <c r="K212" s="24">
        <v>45072</v>
      </c>
      <c r="L212" s="27">
        <v>10000000000</v>
      </c>
      <c r="M212" s="1">
        <f>K212-K209</f>
        <v>2</v>
      </c>
      <c r="N212" s="24">
        <v>45082</v>
      </c>
      <c r="O212" s="24">
        <v>45088</v>
      </c>
      <c r="P212" s="24">
        <v>45079</v>
      </c>
      <c r="Q212" s="1">
        <f>P212-P209</f>
        <v>4</v>
      </c>
      <c r="R212" s="1">
        <f>N212-N206</f>
        <v>2</v>
      </c>
      <c r="S212" s="1">
        <f>O212-O206</f>
        <v>1</v>
      </c>
      <c r="T212" s="1">
        <f>AVERAGE(R212,S212)</f>
        <v>1.5</v>
      </c>
      <c r="U212" s="1">
        <v>85</v>
      </c>
      <c r="V212" s="1">
        <v>83</v>
      </c>
      <c r="W212" s="1">
        <v>2</v>
      </c>
      <c r="X212" s="1">
        <v>0</v>
      </c>
      <c r="Y212" s="1">
        <v>0</v>
      </c>
      <c r="Z212" s="1">
        <v>5</v>
      </c>
      <c r="AA212" s="1">
        <v>0</v>
      </c>
      <c r="AB212" s="1">
        <v>0</v>
      </c>
      <c r="AC212" s="1">
        <v>0</v>
      </c>
      <c r="AD212" s="25">
        <v>34.666666666666664</v>
      </c>
      <c r="AE212" s="25">
        <v>23</v>
      </c>
      <c r="AF212" s="25">
        <v>106</v>
      </c>
      <c r="AG212" s="25">
        <v>72</v>
      </c>
      <c r="AH212" s="1" t="s">
        <v>71</v>
      </c>
      <c r="AI212" s="1" t="s">
        <v>71</v>
      </c>
      <c r="AJ212" s="1">
        <v>1.7</v>
      </c>
      <c r="AK212" s="1">
        <v>0</v>
      </c>
      <c r="AL212" s="1">
        <v>0</v>
      </c>
      <c r="AM212" s="1">
        <v>0</v>
      </c>
      <c r="AN212" s="1">
        <v>0.01</v>
      </c>
      <c r="AO212" s="1">
        <v>0.01</v>
      </c>
      <c r="AP212" s="1">
        <v>1E-4</v>
      </c>
      <c r="AQ212" s="1">
        <v>10</v>
      </c>
      <c r="AR212" s="1">
        <v>0.05</v>
      </c>
      <c r="AS212" s="1">
        <v>5</v>
      </c>
      <c r="AT212" s="1">
        <v>0.25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50</v>
      </c>
      <c r="BJ212" s="1">
        <v>5</v>
      </c>
      <c r="BK212" s="1">
        <v>3.0000000000000001E-3</v>
      </c>
      <c r="BL212" s="1">
        <f t="shared" si="70"/>
        <v>0.3</v>
      </c>
      <c r="BM212" s="1">
        <v>0.1</v>
      </c>
      <c r="BN212" s="1">
        <v>0.03</v>
      </c>
      <c r="BO212" s="1">
        <v>1</v>
      </c>
      <c r="BP212" s="1">
        <v>0</v>
      </c>
      <c r="BQ212" s="1">
        <v>160</v>
      </c>
      <c r="BR212" s="1">
        <v>13</v>
      </c>
      <c r="BS212" s="1">
        <v>0</v>
      </c>
      <c r="BT212" s="1">
        <v>6</v>
      </c>
      <c r="BU212" s="1">
        <v>2</v>
      </c>
      <c r="BV212" s="28">
        <v>7.666666666666667</v>
      </c>
      <c r="BW212" s="28">
        <v>2</v>
      </c>
      <c r="BX212" s="1" t="s">
        <v>71</v>
      </c>
      <c r="BY212" s="1" t="s">
        <v>71</v>
      </c>
      <c r="BZ212" s="3">
        <v>0.8</v>
      </c>
      <c r="CA212" s="3">
        <v>2.2000000000000002</v>
      </c>
      <c r="CB212" s="3">
        <f t="shared" si="71"/>
        <v>1.1111111111111114</v>
      </c>
      <c r="CC212" s="3">
        <f t="shared" si="74"/>
        <v>3.0555555555555562</v>
      </c>
      <c r="CD212" s="1">
        <f>ROUND(CB212/CB203+CC212/CC209,2)</f>
        <v>1.23</v>
      </c>
      <c r="CE212" s="1">
        <f>ROUND(CB212/CB206+CC212/CC209,2)</f>
        <v>1.18</v>
      </c>
      <c r="CF212" s="1">
        <f t="shared" si="73"/>
        <v>1.18</v>
      </c>
      <c r="CG212" s="1">
        <f>ROUND(CB212/CB203,2)</f>
        <v>0.35</v>
      </c>
      <c r="CH212" s="1">
        <f>ROUND(CB212/CB206,2)</f>
        <v>0.3</v>
      </c>
      <c r="CI212" s="1">
        <f>ROUND(CC212/CC209,2)</f>
        <v>0.88</v>
      </c>
      <c r="CJ212" s="1">
        <f>ROUND((CC212+CB212)/MAX(CC209,CB206),2)</f>
        <v>1.1100000000000001</v>
      </c>
      <c r="CK212" s="1">
        <f>ROUND(LN((0.9*BZ212)/(0.1*CA212))/(BZ203/CA209),2)</f>
        <v>1.29</v>
      </c>
      <c r="CL212" s="1">
        <f>ROUND(LN((0.9*BZ212)/(0.1*CA212))/(BZ206/CA209),2)</f>
        <v>1.1000000000000001</v>
      </c>
      <c r="CM212" s="1">
        <f>ROUND(LN((0.1*CA212)/(0.9*BZ212))/(CA209/BZ203),2)</f>
        <v>-1.0900000000000001</v>
      </c>
      <c r="CN212" s="1">
        <f>ROUND(LN((0.1*CA212)/(0.9*BZ212))/(CA209/BZ206),2)</f>
        <v>-1.28</v>
      </c>
      <c r="CO212" s="5">
        <v>52</v>
      </c>
      <c r="CP212" s="5">
        <v>69</v>
      </c>
      <c r="CQ212" s="1">
        <v>39</v>
      </c>
      <c r="CR212" s="1">
        <v>150</v>
      </c>
      <c r="CS212" s="5">
        <v>36.5</v>
      </c>
      <c r="CT212" s="5">
        <v>8.1</v>
      </c>
      <c r="CU212" s="5">
        <v>4.4000000000000004</v>
      </c>
      <c r="CV212" s="1" t="s">
        <v>71</v>
      </c>
      <c r="CW212" s="1" t="s">
        <v>71</v>
      </c>
      <c r="CX212" t="e">
        <f>ROUND(CV212*#REF!/10,1)</f>
        <v>#VALUE!</v>
      </c>
      <c r="CY212" s="1">
        <v>15.2</v>
      </c>
      <c r="CZ212">
        <f t="shared" si="75"/>
        <v>1115</v>
      </c>
      <c r="DA212">
        <f>ROUND((CY212*CB212*10),0)</f>
        <v>169</v>
      </c>
      <c r="DB212">
        <f>(CZ212+DA212)/MAX(DA206,CZ209)</f>
        <v>1.0844594594594594</v>
      </c>
      <c r="DC212" s="26">
        <v>15.2</v>
      </c>
      <c r="DD212">
        <f t="shared" si="72"/>
        <v>1284</v>
      </c>
      <c r="DE212">
        <f>ROUND(MAX((DB212-DF212), 0), 2)</f>
        <v>0.14000000000000001</v>
      </c>
      <c r="DF212">
        <f>ROUND(CZ212/MAX(DA206,CZ209), 2)</f>
        <v>0.94</v>
      </c>
    </row>
    <row r="213" spans="1:110" x14ac:dyDescent="0.15">
      <c r="A213" s="23">
        <v>2023</v>
      </c>
      <c r="B213" s="23" t="s">
        <v>48</v>
      </c>
      <c r="C213" s="23">
        <v>11</v>
      </c>
      <c r="D213" s="23">
        <v>11</v>
      </c>
      <c r="E213" s="23" t="s">
        <v>50</v>
      </c>
      <c r="F213" s="23" t="s">
        <v>54</v>
      </c>
      <c r="G213" s="23" t="s">
        <v>5</v>
      </c>
      <c r="H213" s="23">
        <v>3</v>
      </c>
      <c r="I213" s="23" t="s">
        <v>61</v>
      </c>
      <c r="J213" s="23" t="s">
        <v>57</v>
      </c>
      <c r="K213" s="24">
        <v>45079</v>
      </c>
      <c r="L213" s="27">
        <v>10000000000</v>
      </c>
      <c r="M213" s="1">
        <f>K213-K210</f>
        <v>1</v>
      </c>
      <c r="N213" s="24">
        <v>45082</v>
      </c>
      <c r="O213" s="24">
        <v>45088</v>
      </c>
      <c r="P213" s="24">
        <v>45078</v>
      </c>
      <c r="Q213" s="1">
        <f>P213-P210</f>
        <v>-3</v>
      </c>
      <c r="R213" s="1">
        <f>N213-N206</f>
        <v>2</v>
      </c>
      <c r="S213" s="1">
        <f>O213-O206</f>
        <v>1</v>
      </c>
      <c r="T213" s="1">
        <f t="shared" ref="T213:T220" si="76">AVERAGE(R213,S213)</f>
        <v>1.5</v>
      </c>
      <c r="U213" s="1">
        <v>84</v>
      </c>
      <c r="V213" s="1">
        <v>84</v>
      </c>
      <c r="W213" s="1">
        <v>0</v>
      </c>
      <c r="X213" s="1">
        <v>0</v>
      </c>
      <c r="Y213" s="1">
        <v>0</v>
      </c>
      <c r="Z213" s="1">
        <v>5</v>
      </c>
      <c r="AA213" s="1">
        <v>0</v>
      </c>
      <c r="AB213" s="1">
        <v>0</v>
      </c>
      <c r="AC213" s="1">
        <v>0</v>
      </c>
      <c r="AD213" s="25">
        <v>33.666666666666664</v>
      </c>
      <c r="AE213" s="25">
        <v>20.666666666666668</v>
      </c>
      <c r="AF213" s="25">
        <v>106</v>
      </c>
      <c r="AG213" s="25">
        <v>71</v>
      </c>
      <c r="AH213" s="1" t="s">
        <v>71</v>
      </c>
      <c r="AI213" s="1" t="s">
        <v>71</v>
      </c>
      <c r="AJ213" s="1">
        <v>2</v>
      </c>
      <c r="AK213" s="1">
        <v>0</v>
      </c>
      <c r="AL213" s="1">
        <v>0</v>
      </c>
      <c r="AM213" s="1">
        <v>0</v>
      </c>
      <c r="AN213" s="1">
        <v>0.02</v>
      </c>
      <c r="AO213" s="1">
        <v>0.01</v>
      </c>
      <c r="AP213" s="1">
        <v>2.0000000000000001E-4</v>
      </c>
      <c r="AQ213" s="1">
        <v>12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4</v>
      </c>
      <c r="BI213" s="1">
        <v>20</v>
      </c>
      <c r="BJ213" s="1">
        <v>3</v>
      </c>
      <c r="BK213" s="1">
        <v>7.000000000000001E-3</v>
      </c>
      <c r="BL213" s="1">
        <f t="shared" si="70"/>
        <v>0.70000000000000007</v>
      </c>
      <c r="BM213" s="1">
        <v>0.1</v>
      </c>
      <c r="BN213" s="1">
        <v>7.0000000000000007E-2</v>
      </c>
      <c r="BO213" s="1">
        <v>1</v>
      </c>
      <c r="BP213" s="1">
        <v>0</v>
      </c>
      <c r="BQ213" s="1">
        <v>150</v>
      </c>
      <c r="BR213" s="1">
        <v>9</v>
      </c>
      <c r="BS213" s="1">
        <v>1</v>
      </c>
      <c r="BT213" s="1">
        <v>12</v>
      </c>
      <c r="BU213" s="1">
        <v>4</v>
      </c>
      <c r="BV213" s="28">
        <v>7</v>
      </c>
      <c r="BW213" s="28">
        <v>1</v>
      </c>
      <c r="BX213" s="1" t="s">
        <v>71</v>
      </c>
      <c r="BY213" s="1" t="s">
        <v>71</v>
      </c>
      <c r="BZ213" s="3">
        <v>1.2</v>
      </c>
      <c r="CA213" s="3">
        <v>1.8</v>
      </c>
      <c r="CB213" s="3">
        <f t="shared" si="71"/>
        <v>1.666666666666667</v>
      </c>
      <c r="CC213" s="3">
        <f t="shared" si="74"/>
        <v>2.5000000000000004</v>
      </c>
      <c r="CD213" s="1">
        <f>ROUND(CB213/CB203+CC213/CC210,2)</f>
        <v>1.1599999999999999</v>
      </c>
      <c r="CE213" s="1">
        <f>ROUND(CB213/CB206+CC213/CC210,2)</f>
        <v>1.0900000000000001</v>
      </c>
      <c r="CF213" s="1">
        <f t="shared" si="73"/>
        <v>1.0900000000000001</v>
      </c>
      <c r="CG213" s="1">
        <f>ROUND(CB213/CB203,2)</f>
        <v>0.52</v>
      </c>
      <c r="CH213" s="1">
        <f>ROUND(CB213/CB206,2)</f>
        <v>0.44</v>
      </c>
      <c r="CI213" s="1">
        <f>ROUND(CC213/CC210,2)</f>
        <v>0.64</v>
      </c>
      <c r="CJ213" s="1">
        <f>ROUND((CC213+CB213)/MAX(CC210,CB206),2)</f>
        <v>1.07</v>
      </c>
      <c r="CK213" s="1">
        <f>ROUND(LN((0.9*BZ213)/(0.1*CA213))/(BZ203/CA210),2)</f>
        <v>2.1800000000000002</v>
      </c>
      <c r="CL213" s="1">
        <f>ROUND(LN((0.9*BZ213)/(0.1*CA213))/(BZ206/CA210),2)</f>
        <v>1.86</v>
      </c>
      <c r="CM213" s="1">
        <f>ROUND(LN((0.1*CA213)/(0.9*BZ213))/(CA210/BZ203),2)</f>
        <v>-1.47</v>
      </c>
      <c r="CN213" s="1">
        <f>ROUND(LN((0.1*CA213)/(0.9*BZ213))/(CA210/BZ206),2)</f>
        <v>-1.73</v>
      </c>
      <c r="CO213" s="5">
        <v>56</v>
      </c>
      <c r="CP213" s="5">
        <v>76</v>
      </c>
      <c r="CQ213" s="1">
        <v>43</v>
      </c>
      <c r="CR213" s="1">
        <v>139</v>
      </c>
      <c r="CS213" s="5">
        <v>38.299999999999997</v>
      </c>
      <c r="CT213" s="5">
        <v>7.8</v>
      </c>
      <c r="CU213" s="5">
        <v>5.2</v>
      </c>
      <c r="CV213" s="1" t="s">
        <v>71</v>
      </c>
      <c r="CW213" s="1" t="s">
        <v>71</v>
      </c>
      <c r="CX213" t="e">
        <f>ROUND(CV213*#REF!/10,1)</f>
        <v>#VALUE!</v>
      </c>
      <c r="CY213" s="1">
        <v>18.399999999999999</v>
      </c>
      <c r="CZ213">
        <f t="shared" si="75"/>
        <v>958</v>
      </c>
      <c r="DA213">
        <f>ROUND((CY213*CB213*10),0)</f>
        <v>307</v>
      </c>
      <c r="DB213">
        <f>(CZ213+DA213)/MAX(DA206,CZ210)</f>
        <v>0.79911560328490205</v>
      </c>
      <c r="DC213" s="26">
        <v>18.399999999999999</v>
      </c>
      <c r="DD213">
        <f t="shared" si="72"/>
        <v>1265</v>
      </c>
      <c r="DE213">
        <f t="shared" ref="DE213:DE220" si="77">ROUND(MAX((DB213-DF213), 0), 2)</f>
        <v>0.19</v>
      </c>
      <c r="DF213">
        <f>ROUND(CZ213/MAX(DA206,CZ210), 2)</f>
        <v>0.61</v>
      </c>
    </row>
    <row r="214" spans="1:110" x14ac:dyDescent="0.15">
      <c r="A214" s="23">
        <v>2023</v>
      </c>
      <c r="B214" s="23" t="s">
        <v>48</v>
      </c>
      <c r="C214" s="23">
        <v>11</v>
      </c>
      <c r="D214" s="23">
        <v>12</v>
      </c>
      <c r="E214" s="23" t="s">
        <v>50</v>
      </c>
      <c r="F214" s="23" t="s">
        <v>55</v>
      </c>
      <c r="G214" s="23" t="s">
        <v>5</v>
      </c>
      <c r="H214" s="23">
        <v>3</v>
      </c>
      <c r="I214" s="23" t="s">
        <v>62</v>
      </c>
      <c r="J214" s="23" t="s">
        <v>57</v>
      </c>
      <c r="K214" s="24">
        <v>45077</v>
      </c>
      <c r="L214" s="27">
        <v>10000000000</v>
      </c>
      <c r="M214" s="1">
        <f>K214-K211</f>
        <v>0</v>
      </c>
      <c r="N214" s="24">
        <v>45081</v>
      </c>
      <c r="O214" s="24">
        <v>45090</v>
      </c>
      <c r="P214" s="24">
        <v>45077</v>
      </c>
      <c r="Q214" s="1">
        <f>P214-P211</f>
        <v>0</v>
      </c>
      <c r="R214" s="1">
        <f>N214-N206</f>
        <v>1</v>
      </c>
      <c r="S214" s="1">
        <f>O214-O206</f>
        <v>3</v>
      </c>
      <c r="T214" s="1">
        <f t="shared" si="76"/>
        <v>2</v>
      </c>
      <c r="U214" s="1">
        <v>83</v>
      </c>
      <c r="V214" s="1">
        <v>84</v>
      </c>
      <c r="W214" s="1">
        <v>-1</v>
      </c>
      <c r="X214" s="1">
        <v>0</v>
      </c>
      <c r="Y214" s="1">
        <v>0</v>
      </c>
      <c r="Z214" s="1">
        <v>5</v>
      </c>
      <c r="AA214" s="1">
        <v>0</v>
      </c>
      <c r="AB214" s="1">
        <v>0</v>
      </c>
      <c r="AC214" s="1">
        <v>0</v>
      </c>
      <c r="AD214" s="25">
        <v>32.666666666666664</v>
      </c>
      <c r="AE214" s="25">
        <v>25</v>
      </c>
      <c r="AF214" s="25">
        <v>107</v>
      </c>
      <c r="AG214" s="25">
        <v>76</v>
      </c>
      <c r="AH214" s="1" t="s">
        <v>71</v>
      </c>
      <c r="AI214" s="1" t="s">
        <v>71</v>
      </c>
      <c r="AJ214" s="1">
        <v>1.3</v>
      </c>
      <c r="AK214" s="1">
        <v>0</v>
      </c>
      <c r="AL214" s="1">
        <v>0</v>
      </c>
      <c r="AM214" s="1">
        <v>0</v>
      </c>
      <c r="AN214" s="1">
        <v>0.03</v>
      </c>
      <c r="AO214" s="1">
        <v>0.03</v>
      </c>
      <c r="AP214" s="1">
        <v>8.9999999999999998E-4</v>
      </c>
      <c r="AQ214" s="1">
        <v>5</v>
      </c>
      <c r="AR214" s="1">
        <v>0.15</v>
      </c>
      <c r="AS214" s="1">
        <v>10</v>
      </c>
      <c r="AT214" s="1">
        <v>1.5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15</v>
      </c>
      <c r="BI214" s="1">
        <v>100</v>
      </c>
      <c r="BJ214" s="1">
        <v>70</v>
      </c>
      <c r="BK214" s="1">
        <v>7.4999999999999997E-3</v>
      </c>
      <c r="BL214" s="1">
        <f t="shared" si="70"/>
        <v>0.75</v>
      </c>
      <c r="BM214" s="1">
        <v>0.15</v>
      </c>
      <c r="BN214" s="1">
        <v>0.05</v>
      </c>
      <c r="BO214" s="1">
        <v>1</v>
      </c>
      <c r="BP214" s="1">
        <v>0</v>
      </c>
      <c r="BQ214" s="1">
        <v>83</v>
      </c>
      <c r="BR214" s="1">
        <v>0</v>
      </c>
      <c r="BS214" s="1">
        <v>0</v>
      </c>
      <c r="BT214" s="1">
        <v>16</v>
      </c>
      <c r="BU214" s="1">
        <v>2</v>
      </c>
      <c r="BV214" s="28">
        <v>6.333333333333333</v>
      </c>
      <c r="BW214" s="28">
        <v>1</v>
      </c>
      <c r="BX214" s="1" t="s">
        <v>71</v>
      </c>
      <c r="BY214" s="1" t="s">
        <v>71</v>
      </c>
      <c r="BZ214" s="3">
        <v>0.8</v>
      </c>
      <c r="CA214" s="3">
        <v>2</v>
      </c>
      <c r="CB214" s="3">
        <f t="shared" si="71"/>
        <v>1.1111111111111114</v>
      </c>
      <c r="CC214" s="3">
        <f t="shared" si="74"/>
        <v>2.7777777777777777</v>
      </c>
      <c r="CD214" s="1">
        <f>ROUND(CB214/CB203+CC214/CC211,2)</f>
        <v>1.22</v>
      </c>
      <c r="CE214" s="1">
        <f>ROUND(CB214/CB206+CC214/CC211,2)</f>
        <v>1.17</v>
      </c>
      <c r="CF214" s="1">
        <f t="shared" si="73"/>
        <v>1.17</v>
      </c>
      <c r="CG214" s="1">
        <f>ROUND(CB214/CB203,2)</f>
        <v>0.35</v>
      </c>
      <c r="CH214" s="1">
        <f>ROUND(CB214/CB206,2)</f>
        <v>0.3</v>
      </c>
      <c r="CI214" s="1">
        <f>ROUND(CC214/CC211,2)</f>
        <v>0.87</v>
      </c>
      <c r="CJ214" s="1">
        <f>ROUND((CC214+CB214)/MAX(CC211,CB206),2)</f>
        <v>1.04</v>
      </c>
      <c r="CK214" s="1">
        <f>ROUND(LN((0.9*BZ214)/(0.1*CA214))/(BZ203/CA211),2)</f>
        <v>1.28</v>
      </c>
      <c r="CL214" s="1">
        <f>ROUND(LN((0.9*BZ214)/(0.1*CA214))/(BZ206/CA211),2)</f>
        <v>1.0900000000000001</v>
      </c>
      <c r="CM214" s="1">
        <f>ROUND(LN((0.1*CA214)/(0.9*BZ214))/(CA211/BZ203),2)</f>
        <v>-1.28</v>
      </c>
      <c r="CN214" s="1">
        <f>ROUND(LN((0.1*CA214)/(0.9*BZ214))/(CA211/BZ206),2)</f>
        <v>-1.5</v>
      </c>
      <c r="CO214" s="5">
        <v>53</v>
      </c>
      <c r="CP214" s="5">
        <v>68</v>
      </c>
      <c r="CQ214" s="1">
        <v>42</v>
      </c>
      <c r="CR214" s="1">
        <v>141</v>
      </c>
      <c r="CS214" s="5">
        <v>42.5</v>
      </c>
      <c r="CT214" s="5">
        <v>8.1</v>
      </c>
      <c r="CU214" s="5">
        <v>2.6</v>
      </c>
      <c r="CV214" s="1" t="s">
        <v>71</v>
      </c>
      <c r="CW214" s="1" t="s">
        <v>71</v>
      </c>
      <c r="CX214" t="e">
        <f>ROUND(CV214*#REF!/10,1)</f>
        <v>#VALUE!</v>
      </c>
      <c r="CY214" s="1">
        <v>13.7</v>
      </c>
      <c r="CZ214">
        <f t="shared" si="75"/>
        <v>1181</v>
      </c>
      <c r="DA214">
        <f>ROUND((CY214*CB214*10),0)</f>
        <v>152</v>
      </c>
      <c r="DB214">
        <f>(CZ214+DA214)/MAX(DA206,CZ211)</f>
        <v>0.998501872659176</v>
      </c>
      <c r="DC214" s="26">
        <v>13.7</v>
      </c>
      <c r="DD214">
        <f t="shared" si="72"/>
        <v>1333</v>
      </c>
      <c r="DE214">
        <f t="shared" si="77"/>
        <v>0.12</v>
      </c>
      <c r="DF214">
        <f>ROUND(CZ214/MAX(DA206,CZ211), 2)</f>
        <v>0.88</v>
      </c>
    </row>
    <row r="215" spans="1:110" x14ac:dyDescent="0.15">
      <c r="A215" s="23">
        <v>2023</v>
      </c>
      <c r="B215" s="23" t="s">
        <v>48</v>
      </c>
      <c r="C215" s="23">
        <v>11</v>
      </c>
      <c r="D215" s="23">
        <v>13</v>
      </c>
      <c r="E215" s="23" t="s">
        <v>51</v>
      </c>
      <c r="F215" s="23" t="s">
        <v>53</v>
      </c>
      <c r="G215" s="23" t="s">
        <v>5</v>
      </c>
      <c r="H215" s="23">
        <v>3</v>
      </c>
      <c r="I215" s="23" t="s">
        <v>63</v>
      </c>
      <c r="J215" s="23" t="s">
        <v>57</v>
      </c>
      <c r="K215" s="24">
        <v>45070</v>
      </c>
      <c r="L215" s="27">
        <v>10000000000</v>
      </c>
      <c r="M215" s="1">
        <f>K215-K209</f>
        <v>0</v>
      </c>
      <c r="N215" s="24">
        <v>45087</v>
      </c>
      <c r="O215" s="24">
        <v>45091</v>
      </c>
      <c r="P215" s="24">
        <v>45077</v>
      </c>
      <c r="Q215" s="1">
        <f>P215-P209</f>
        <v>2</v>
      </c>
      <c r="R215" s="1">
        <f>N215-N207</f>
        <v>1</v>
      </c>
      <c r="S215" s="1">
        <f>O215-O207</f>
        <v>1</v>
      </c>
      <c r="T215" s="1">
        <f t="shared" si="76"/>
        <v>1</v>
      </c>
      <c r="U215" s="1">
        <v>83</v>
      </c>
      <c r="V215" s="1">
        <v>83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25">
        <v>32</v>
      </c>
      <c r="AE215" s="25">
        <v>24</v>
      </c>
      <c r="AF215" s="25">
        <v>101</v>
      </c>
      <c r="AG215" s="25">
        <v>77</v>
      </c>
      <c r="AH215" s="1" t="s">
        <v>71</v>
      </c>
      <c r="AI215" s="1" t="s">
        <v>71</v>
      </c>
      <c r="AJ215" s="1">
        <v>1</v>
      </c>
      <c r="AK215" s="1">
        <v>0</v>
      </c>
      <c r="AL215" s="1">
        <v>0</v>
      </c>
      <c r="AM215" s="1">
        <v>0</v>
      </c>
      <c r="AN215" s="1">
        <v>0.01</v>
      </c>
      <c r="AO215" s="1">
        <v>0.02</v>
      </c>
      <c r="AP215" s="1">
        <v>2.0000000000000001E-4</v>
      </c>
      <c r="AQ215" s="1">
        <v>13</v>
      </c>
      <c r="AR215" s="1">
        <v>5.0000000000000001E-3</v>
      </c>
      <c r="AS215" s="1">
        <v>5</v>
      </c>
      <c r="AT215" s="1">
        <v>2.5000000000000001E-2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1</v>
      </c>
      <c r="BI215" s="1">
        <v>10</v>
      </c>
      <c r="BJ215" s="1">
        <v>3</v>
      </c>
      <c r="BK215" s="1">
        <v>4.4999999999999997E-3</v>
      </c>
      <c r="BL215" s="1">
        <f t="shared" si="70"/>
        <v>0.44999999999999996</v>
      </c>
      <c r="BM215" s="1">
        <v>0.15</v>
      </c>
      <c r="BN215" s="1">
        <v>0.03</v>
      </c>
      <c r="BO215" s="1">
        <v>1</v>
      </c>
      <c r="BP215" s="1">
        <v>0</v>
      </c>
      <c r="BQ215" s="1">
        <v>57</v>
      </c>
      <c r="BR215" s="1">
        <v>0</v>
      </c>
      <c r="BS215" s="1">
        <v>0</v>
      </c>
      <c r="BT215" s="1">
        <v>14</v>
      </c>
      <c r="BU215" s="1">
        <v>2</v>
      </c>
      <c r="BV215" s="28">
        <v>6.333333333333333</v>
      </c>
      <c r="BW215" s="28">
        <v>2</v>
      </c>
      <c r="BX215" s="1" t="s">
        <v>71</v>
      </c>
      <c r="BY215" s="1" t="s">
        <v>71</v>
      </c>
      <c r="BZ215" s="3">
        <v>1.1000000000000001</v>
      </c>
      <c r="CA215" s="3">
        <v>1.8</v>
      </c>
      <c r="CB215" s="3">
        <f t="shared" si="71"/>
        <v>1.5277777777777781</v>
      </c>
      <c r="CC215" s="3">
        <f t="shared" si="74"/>
        <v>2.5000000000000004</v>
      </c>
      <c r="CD215" s="1">
        <f>ROUND(CB215/CB204+CC215/CC209,2)</f>
        <v>1.22</v>
      </c>
      <c r="CE215" s="1">
        <f>ROUND(CB215/CB207+CC215/CC209,2)</f>
        <v>1.05</v>
      </c>
      <c r="CF215" s="1">
        <f t="shared" si="73"/>
        <v>1.05</v>
      </c>
      <c r="CG215" s="1">
        <f>ROUND(CB215/CB204,2)</f>
        <v>0.5</v>
      </c>
      <c r="CH215" s="1">
        <f>ROUND(CB215/CB207,2)</f>
        <v>0.33</v>
      </c>
      <c r="CI215" s="1">
        <f>ROUND(CC215/CC209,2)</f>
        <v>0.72</v>
      </c>
      <c r="CJ215" s="1">
        <f>ROUND((CC215+CB215)/MAX(CC209,CB207),2)</f>
        <v>0.88</v>
      </c>
      <c r="CK215" s="1">
        <f>ROUND(LN((0.9*BZ215)/(0.1*CA215))/(BZ204/CA209),2)</f>
        <v>1.94</v>
      </c>
      <c r="CL215" s="1">
        <f>ROUND(LN((0.9*BZ215)/(0.1*CA215))/(BZ207/CA209),2)</f>
        <v>1.29</v>
      </c>
      <c r="CM215" s="1">
        <f>ROUND(LN((0.1*CA215)/(0.9*BZ215))/(CA209/BZ204),2)</f>
        <v>-1.5</v>
      </c>
      <c r="CN215" s="1">
        <f>ROUND(LN((0.1*CA215)/(0.9*BZ215))/(CA209/BZ207),2)</f>
        <v>-2.25</v>
      </c>
      <c r="CO215" s="5">
        <v>54</v>
      </c>
      <c r="CP215" s="5">
        <v>75</v>
      </c>
      <c r="CQ215" s="1">
        <v>37</v>
      </c>
      <c r="CR215" s="1">
        <v>150</v>
      </c>
      <c r="CS215" s="5">
        <v>35.299999999999997</v>
      </c>
      <c r="CT215" s="5">
        <v>8.6999999999999993</v>
      </c>
      <c r="CU215" s="5">
        <v>5.0999999999999996</v>
      </c>
      <c r="CV215" s="1" t="s">
        <v>71</v>
      </c>
      <c r="CW215" s="1" t="s">
        <v>71</v>
      </c>
      <c r="CX215" t="e">
        <f>ROUND(CV215*#REF!/10,1)</f>
        <v>#VALUE!</v>
      </c>
      <c r="CY215" s="1" t="s">
        <v>71</v>
      </c>
      <c r="CZ215">
        <f t="shared" si="75"/>
        <v>883</v>
      </c>
      <c r="DA215" s="26" t="s">
        <v>71</v>
      </c>
      <c r="DB215" s="26" t="s">
        <v>71</v>
      </c>
      <c r="DC215" s="26" t="s">
        <v>71</v>
      </c>
      <c r="DD215">
        <f t="shared" si="72"/>
        <v>883</v>
      </c>
      <c r="DE215" t="s">
        <v>71</v>
      </c>
      <c r="DF215">
        <f>ROUND(CZ215/MAX(DA207,CZ209), 2)</f>
        <v>0.75</v>
      </c>
    </row>
    <row r="216" spans="1:110" x14ac:dyDescent="0.15">
      <c r="A216" s="23">
        <v>2023</v>
      </c>
      <c r="B216" s="23" t="s">
        <v>48</v>
      </c>
      <c r="C216" s="23">
        <v>11</v>
      </c>
      <c r="D216" s="23">
        <v>14</v>
      </c>
      <c r="E216" s="23" t="s">
        <v>51</v>
      </c>
      <c r="F216" s="23" t="s">
        <v>54</v>
      </c>
      <c r="G216" s="23" t="s">
        <v>5</v>
      </c>
      <c r="H216" s="23">
        <v>3</v>
      </c>
      <c r="I216" s="23" t="s">
        <v>64</v>
      </c>
      <c r="J216" s="23" t="s">
        <v>57</v>
      </c>
      <c r="K216" s="24">
        <v>45078</v>
      </c>
      <c r="L216" s="27">
        <v>10000000000</v>
      </c>
      <c r="M216" s="1">
        <f>K216-K210</f>
        <v>0</v>
      </c>
      <c r="N216" s="24">
        <v>45087</v>
      </c>
      <c r="O216" s="24">
        <v>45098</v>
      </c>
      <c r="P216" s="24">
        <v>45079</v>
      </c>
      <c r="Q216" s="1">
        <f>P216-P210</f>
        <v>-2</v>
      </c>
      <c r="R216" s="1">
        <f>N216-N207</f>
        <v>1</v>
      </c>
      <c r="S216" s="1">
        <f>O216-O207</f>
        <v>8</v>
      </c>
      <c r="T216" s="1">
        <f t="shared" si="76"/>
        <v>4.5</v>
      </c>
      <c r="U216" s="1">
        <v>79</v>
      </c>
      <c r="V216" s="1">
        <v>86</v>
      </c>
      <c r="W216" s="1">
        <v>-7</v>
      </c>
      <c r="X216" s="1">
        <v>0</v>
      </c>
      <c r="Y216" s="1">
        <v>0</v>
      </c>
      <c r="Z216" s="1">
        <v>5</v>
      </c>
      <c r="AA216" s="1">
        <v>0</v>
      </c>
      <c r="AB216" s="1">
        <v>0</v>
      </c>
      <c r="AC216" s="1">
        <v>0</v>
      </c>
      <c r="AD216" s="25">
        <v>31</v>
      </c>
      <c r="AE216" s="25">
        <v>18.666666666666668</v>
      </c>
      <c r="AF216" s="25">
        <v>89</v>
      </c>
      <c r="AG216" s="25">
        <v>71</v>
      </c>
      <c r="AH216" s="1" t="s">
        <v>71</v>
      </c>
      <c r="AI216" s="1" t="s">
        <v>71</v>
      </c>
      <c r="AJ216" s="1">
        <v>2.2999999999999998</v>
      </c>
      <c r="AK216" s="1">
        <v>0</v>
      </c>
      <c r="AL216" s="1">
        <v>0</v>
      </c>
      <c r="AM216" s="1">
        <v>0</v>
      </c>
      <c r="AN216" s="1">
        <v>0.01</v>
      </c>
      <c r="AO216" s="1">
        <v>0.02</v>
      </c>
      <c r="AP216" s="1">
        <v>2.0000000000000001E-4</v>
      </c>
      <c r="AQ216" s="1">
        <v>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77</v>
      </c>
      <c r="BI216" s="1">
        <v>10</v>
      </c>
      <c r="BJ216" s="1">
        <v>0</v>
      </c>
      <c r="BK216" s="1">
        <v>3.5000000000000005E-3</v>
      </c>
      <c r="BL216" s="1">
        <f t="shared" si="70"/>
        <v>0.35000000000000003</v>
      </c>
      <c r="BM216" s="1">
        <v>7.0000000000000007E-2</v>
      </c>
      <c r="BN216" s="1">
        <v>0.05</v>
      </c>
      <c r="BO216" s="1">
        <v>1</v>
      </c>
      <c r="BP216" s="1">
        <v>5</v>
      </c>
      <c r="BQ216" s="1">
        <v>258</v>
      </c>
      <c r="BR216" s="1">
        <v>38</v>
      </c>
      <c r="BS216" s="1">
        <v>0</v>
      </c>
      <c r="BT216" s="1">
        <v>15</v>
      </c>
      <c r="BU216" s="1">
        <v>3</v>
      </c>
      <c r="BV216" s="28">
        <v>6.333333333333333</v>
      </c>
      <c r="BW216" s="28">
        <v>1.3333333333333333</v>
      </c>
      <c r="BX216" s="1" t="s">
        <v>71</v>
      </c>
      <c r="BY216" s="1" t="s">
        <v>71</v>
      </c>
      <c r="BZ216" s="3">
        <v>1</v>
      </c>
      <c r="CA216" s="3">
        <v>2.2999999999999998</v>
      </c>
      <c r="CB216" s="3">
        <f t="shared" si="71"/>
        <v>1.3888888888888888</v>
      </c>
      <c r="CC216" s="3">
        <f t="shared" si="74"/>
        <v>3.1944444444444446</v>
      </c>
      <c r="CD216" s="1">
        <f>ROUND(CB216/CB204+CC216/CC210,2)</f>
        <v>1.28</v>
      </c>
      <c r="CE216" s="1">
        <f>ROUND(CB216/CB207+CC216/CC210,2)</f>
        <v>1.1200000000000001</v>
      </c>
      <c r="CF216" s="1">
        <f t="shared" si="73"/>
        <v>1.1200000000000001</v>
      </c>
      <c r="CG216" s="1">
        <f>ROUND(CB216/CB204,2)</f>
        <v>0.45</v>
      </c>
      <c r="CH216" s="1">
        <f>ROUND(CB216/CB207,2)</f>
        <v>0.3</v>
      </c>
      <c r="CI216" s="1">
        <f>ROUND(CC216/CC210,2)</f>
        <v>0.82</v>
      </c>
      <c r="CJ216" s="1">
        <f>ROUND((CC216+CB216)/MAX(CC210,CB207),2)</f>
        <v>1</v>
      </c>
      <c r="CK216" s="1">
        <f>ROUND(LN((0.9*BZ216)/(0.1*CA216))/(BZ204/CA210),2)</f>
        <v>1.74</v>
      </c>
      <c r="CL216" s="1">
        <f>ROUND(LN((0.9*BZ216)/(0.1*CA216))/(BZ207/CA210),2)</f>
        <v>1.1599999999999999</v>
      </c>
      <c r="CM216" s="1">
        <f>ROUND(LN((0.1*CA216)/(0.9*BZ216))/(CA210/BZ204),2)</f>
        <v>-1.07</v>
      </c>
      <c r="CN216" s="1">
        <f>ROUND(LN((0.1*CA216)/(0.9*BZ216))/(CA210/BZ207),2)</f>
        <v>-1.61</v>
      </c>
      <c r="CO216" s="5">
        <v>53</v>
      </c>
      <c r="CP216" s="5">
        <v>76</v>
      </c>
      <c r="CQ216" s="1">
        <v>37</v>
      </c>
      <c r="CR216" s="1">
        <v>134</v>
      </c>
      <c r="CS216" s="5">
        <v>39.299999999999997</v>
      </c>
      <c r="CT216" s="5">
        <v>8.8000000000000007</v>
      </c>
      <c r="CU216" s="5">
        <v>5.3</v>
      </c>
      <c r="CV216" s="1" t="s">
        <v>71</v>
      </c>
      <c r="CW216" s="1" t="s">
        <v>71</v>
      </c>
      <c r="CX216" t="e">
        <f>ROUND(CV216*#REF!/10,1)</f>
        <v>#VALUE!</v>
      </c>
      <c r="CY216" s="1">
        <v>14.7</v>
      </c>
      <c r="CZ216">
        <f t="shared" si="75"/>
        <v>1255</v>
      </c>
      <c r="DA216">
        <f>ROUND((CY216*CB216*10),0)</f>
        <v>204</v>
      </c>
      <c r="DB216" t="s">
        <v>71</v>
      </c>
      <c r="DC216" s="26">
        <v>14.7</v>
      </c>
      <c r="DD216">
        <f t="shared" si="72"/>
        <v>1459</v>
      </c>
      <c r="DE216" t="s">
        <v>71</v>
      </c>
      <c r="DF216">
        <f>ROUND(CZ216/MAX(DA207,CZ210), 2)</f>
        <v>0.79</v>
      </c>
    </row>
    <row r="217" spans="1:110" x14ac:dyDescent="0.15">
      <c r="A217" s="23">
        <v>2023</v>
      </c>
      <c r="B217" s="23" t="s">
        <v>48</v>
      </c>
      <c r="C217" s="23">
        <v>11</v>
      </c>
      <c r="D217" s="23">
        <v>15</v>
      </c>
      <c r="E217" s="23" t="s">
        <v>51</v>
      </c>
      <c r="F217" s="23" t="s">
        <v>55</v>
      </c>
      <c r="G217" s="23" t="s">
        <v>5</v>
      </c>
      <c r="H217" s="23">
        <v>3</v>
      </c>
      <c r="I217" s="23" t="s">
        <v>65</v>
      </c>
      <c r="J217" s="23" t="s">
        <v>57</v>
      </c>
      <c r="K217" s="24">
        <v>45077</v>
      </c>
      <c r="L217" s="27">
        <v>10000000000</v>
      </c>
      <c r="M217" s="1">
        <f>K217-K211</f>
        <v>0</v>
      </c>
      <c r="N217" s="24">
        <v>45088</v>
      </c>
      <c r="O217" s="24">
        <v>45098</v>
      </c>
      <c r="P217" s="24">
        <v>45078</v>
      </c>
      <c r="Q217" s="1">
        <f>P217-P211</f>
        <v>1</v>
      </c>
      <c r="R217" s="1">
        <f>N217-N207</f>
        <v>2</v>
      </c>
      <c r="S217" s="1">
        <f>O217-O207</f>
        <v>8</v>
      </c>
      <c r="T217" s="1">
        <f t="shared" si="76"/>
        <v>5</v>
      </c>
      <c r="U217" s="1">
        <v>81</v>
      </c>
      <c r="V217" s="1">
        <v>83</v>
      </c>
      <c r="W217" s="1">
        <v>-2</v>
      </c>
      <c r="X217" s="1">
        <v>0</v>
      </c>
      <c r="Y217" s="1">
        <v>0</v>
      </c>
      <c r="Z217" s="1">
        <v>5</v>
      </c>
      <c r="AA217" s="1">
        <v>0</v>
      </c>
      <c r="AB217" s="1">
        <v>0</v>
      </c>
      <c r="AC217" s="1">
        <v>0</v>
      </c>
      <c r="AD217" s="25">
        <v>37.666666666666664</v>
      </c>
      <c r="AE217" s="25">
        <v>25.333333333333332</v>
      </c>
      <c r="AF217" s="25">
        <v>105</v>
      </c>
      <c r="AG217" s="25">
        <v>74</v>
      </c>
      <c r="AH217" s="1" t="s">
        <v>71</v>
      </c>
      <c r="AI217" s="1" t="s">
        <v>71</v>
      </c>
      <c r="AJ217" s="1">
        <v>1.7</v>
      </c>
      <c r="AK217" s="1">
        <v>0</v>
      </c>
      <c r="AL217" s="1">
        <v>0</v>
      </c>
      <c r="AM217" s="1">
        <v>0</v>
      </c>
      <c r="AN217" s="1">
        <v>0.01</v>
      </c>
      <c r="AO217" s="1">
        <v>0.01</v>
      </c>
      <c r="AP217" s="1">
        <v>1E-4</v>
      </c>
      <c r="AQ217" s="1">
        <v>9</v>
      </c>
      <c r="AR217" s="1">
        <v>0.01</v>
      </c>
      <c r="AS217" s="1">
        <v>15</v>
      </c>
      <c r="AT217" s="1">
        <v>0.15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35</v>
      </c>
      <c r="BI217" s="1">
        <v>100</v>
      </c>
      <c r="BJ217" s="1">
        <v>30</v>
      </c>
      <c r="BK217" s="1">
        <v>1.5E-3</v>
      </c>
      <c r="BL217" s="1">
        <f t="shared" si="70"/>
        <v>0.15</v>
      </c>
      <c r="BM217" s="1">
        <v>0.05</v>
      </c>
      <c r="BN217" s="1">
        <v>0.03</v>
      </c>
      <c r="BO217" s="1">
        <v>1</v>
      </c>
      <c r="BP217" s="1">
        <v>0</v>
      </c>
      <c r="BQ217" s="1" t="s">
        <v>71</v>
      </c>
      <c r="BR217" s="1" t="s">
        <v>71</v>
      </c>
      <c r="BS217" s="1" t="s">
        <v>71</v>
      </c>
      <c r="BT217" s="1" t="s">
        <v>71</v>
      </c>
      <c r="BU217" s="1">
        <v>13</v>
      </c>
      <c r="BV217" s="28">
        <v>6</v>
      </c>
      <c r="BW217" s="28">
        <v>1.3333333333333333</v>
      </c>
      <c r="BX217" s="1" t="s">
        <v>71</v>
      </c>
      <c r="BY217" s="1" t="s">
        <v>71</v>
      </c>
      <c r="BZ217" s="3">
        <v>0.9</v>
      </c>
      <c r="CA217" s="3">
        <v>1.9</v>
      </c>
      <c r="CB217" s="3">
        <f t="shared" si="71"/>
        <v>1.2500000000000002</v>
      </c>
      <c r="CC217" s="3">
        <f t="shared" si="74"/>
        <v>2.6388888888888888</v>
      </c>
      <c r="CD217" s="1">
        <f>ROUND(CB217/CB204+CC217/CC211,2)</f>
        <v>1.24</v>
      </c>
      <c r="CE217" s="1">
        <f>ROUND(CB217/CB207+CC217/CC211,2)</f>
        <v>1.1000000000000001</v>
      </c>
      <c r="CF217" s="1">
        <f t="shared" si="73"/>
        <v>1.1000000000000001</v>
      </c>
      <c r="CG217" s="1">
        <f>ROUND(CB217/CB204,2)</f>
        <v>0.41</v>
      </c>
      <c r="CH217" s="1">
        <f>ROUND(CB217/CB207,2)</f>
        <v>0.27</v>
      </c>
      <c r="CI217" s="1">
        <f>ROUND(CC217/CC211,2)</f>
        <v>0.83</v>
      </c>
      <c r="CJ217" s="1">
        <f>ROUND((CC217+CB217)/MAX(CC211,CB207),2)</f>
        <v>0.85</v>
      </c>
      <c r="CK217" s="1">
        <f>ROUND(LN((0.9*BZ217)/(0.1*CA217))/(BZ204/CA211),2)</f>
        <v>1.52</v>
      </c>
      <c r="CL217" s="1">
        <f>ROUND(LN((0.9*BZ217)/(0.1*CA217))/(BZ207/CA211),2)</f>
        <v>1.01</v>
      </c>
      <c r="CM217" s="1">
        <f>ROUND(LN((0.1*CA217)/(0.9*BZ217))/(CA211/BZ204),2)</f>
        <v>-1.39</v>
      </c>
      <c r="CN217" s="1">
        <f>ROUND(LN((0.1*CA217)/(0.9*BZ217))/(CA211/BZ207),2)</f>
        <v>-2.08</v>
      </c>
      <c r="CO217" s="5">
        <v>52</v>
      </c>
      <c r="CP217" s="5">
        <v>65</v>
      </c>
      <c r="CQ217" s="1">
        <v>38</v>
      </c>
      <c r="CR217" s="1">
        <v>138</v>
      </c>
      <c r="CS217" s="5">
        <v>41.5</v>
      </c>
      <c r="CT217" s="5">
        <v>8.4</v>
      </c>
      <c r="CU217" s="5">
        <v>2.8</v>
      </c>
      <c r="CV217" s="1" t="s">
        <v>71</v>
      </c>
      <c r="CW217" s="1" t="s">
        <v>71</v>
      </c>
      <c r="CX217" t="e">
        <f>ROUND(CV217*#REF!/10,1)</f>
        <v>#VALUE!</v>
      </c>
      <c r="CY217" s="1">
        <v>13.3</v>
      </c>
      <c r="CZ217">
        <f t="shared" si="75"/>
        <v>1095</v>
      </c>
      <c r="DA217">
        <f>ROUND((CY217*CB217*10),0)</f>
        <v>166</v>
      </c>
      <c r="DB217" t="s">
        <v>71</v>
      </c>
      <c r="DC217" s="26">
        <v>13.3</v>
      </c>
      <c r="DD217">
        <f t="shared" si="72"/>
        <v>1261</v>
      </c>
      <c r="DE217" t="s">
        <v>71</v>
      </c>
      <c r="DF217">
        <f>ROUND(CZ217/MAX(DA207,CZ211), 2)</f>
        <v>0.82</v>
      </c>
    </row>
    <row r="218" spans="1:110" x14ac:dyDescent="0.15">
      <c r="A218" s="23">
        <v>2023</v>
      </c>
      <c r="B218" s="23" t="s">
        <v>48</v>
      </c>
      <c r="C218" s="23">
        <v>11</v>
      </c>
      <c r="D218" s="23">
        <v>16</v>
      </c>
      <c r="E218" s="23" t="s">
        <v>52</v>
      </c>
      <c r="F218" s="23" t="s">
        <v>53</v>
      </c>
      <c r="G218" s="23" t="s">
        <v>5</v>
      </c>
      <c r="H218" s="23">
        <v>3</v>
      </c>
      <c r="I218" s="23" t="s">
        <v>66</v>
      </c>
      <c r="J218" s="23" t="s">
        <v>57</v>
      </c>
      <c r="K218" s="24">
        <v>45070</v>
      </c>
      <c r="L218" s="27">
        <v>10000000000</v>
      </c>
      <c r="M218" s="1">
        <f>K218-K209</f>
        <v>0</v>
      </c>
      <c r="N218" s="24">
        <v>45089</v>
      </c>
      <c r="O218" s="24">
        <v>45100</v>
      </c>
      <c r="P218" s="24">
        <v>45076</v>
      </c>
      <c r="Q218" s="1">
        <f>P218-P209</f>
        <v>1</v>
      </c>
      <c r="R218" s="1">
        <f>N218-N208</f>
        <v>5</v>
      </c>
      <c r="S218" s="1">
        <f>O218-O208</f>
        <v>5</v>
      </c>
      <c r="T218" s="1">
        <f t="shared" si="76"/>
        <v>5</v>
      </c>
      <c r="U218" s="1">
        <v>81</v>
      </c>
      <c r="V218" s="1">
        <v>83</v>
      </c>
      <c r="W218" s="1">
        <v>-2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25">
        <v>38</v>
      </c>
      <c r="AE218" s="25">
        <v>20.666666666666668</v>
      </c>
      <c r="AF218" s="25">
        <v>75</v>
      </c>
      <c r="AG218" s="25">
        <v>73</v>
      </c>
      <c r="AH218" s="1" t="s">
        <v>71</v>
      </c>
      <c r="AI218" s="1" t="s">
        <v>71</v>
      </c>
      <c r="AJ218" s="1">
        <v>2</v>
      </c>
      <c r="AK218" s="1">
        <v>0</v>
      </c>
      <c r="AL218" s="1">
        <v>0</v>
      </c>
      <c r="AM218" s="1">
        <v>0</v>
      </c>
      <c r="AN218" s="1">
        <v>0.01</v>
      </c>
      <c r="AO218" s="1">
        <v>0.01</v>
      </c>
      <c r="AP218" s="1">
        <v>1E-4</v>
      </c>
      <c r="AQ218" s="1">
        <v>12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15</v>
      </c>
      <c r="BI218" s="1">
        <v>15</v>
      </c>
      <c r="BJ218" s="1">
        <v>0.5</v>
      </c>
      <c r="BK218" s="1">
        <v>7.000000000000001E-3</v>
      </c>
      <c r="BL218" s="1">
        <f t="shared" si="70"/>
        <v>0.70000000000000007</v>
      </c>
      <c r="BM218" s="1">
        <v>0.1</v>
      </c>
      <c r="BN218" s="1">
        <v>7.0000000000000007E-2</v>
      </c>
      <c r="BO218" s="1">
        <v>1</v>
      </c>
      <c r="BP218" s="1">
        <v>0</v>
      </c>
      <c r="BQ218" s="1">
        <v>95</v>
      </c>
      <c r="BR218" s="1">
        <v>3</v>
      </c>
      <c r="BS218" s="1">
        <v>0</v>
      </c>
      <c r="BT218" s="1">
        <v>11</v>
      </c>
      <c r="BU218" s="1">
        <v>1</v>
      </c>
      <c r="BV218" s="28">
        <v>6.666666666666667</v>
      </c>
      <c r="BW218" s="28">
        <v>0.33333333333333331</v>
      </c>
      <c r="BX218" s="1" t="s">
        <v>71</v>
      </c>
      <c r="BY218" s="1" t="s">
        <v>71</v>
      </c>
      <c r="BZ218" s="3">
        <v>0.6</v>
      </c>
      <c r="CA218" s="3">
        <v>2.2000000000000002</v>
      </c>
      <c r="CB218" s="3">
        <f t="shared" si="71"/>
        <v>0.83333333333333348</v>
      </c>
      <c r="CC218" s="3">
        <f t="shared" si="74"/>
        <v>3.0555555555555562</v>
      </c>
      <c r="CD218" s="1">
        <f>ROUND(CB218/CB205+CC218/CC209,2)</f>
        <v>1.2</v>
      </c>
      <c r="CE218" s="1">
        <f>ROUND(CB218/CB208+CC218/CC209,2)</f>
        <v>1.1000000000000001</v>
      </c>
      <c r="CF218" s="1">
        <f>ROUND(CB218/(1.2*CB208)+CC218/CC209,2)</f>
        <v>1.07</v>
      </c>
      <c r="CG218" s="1">
        <f>ROUND(CB218/CB205,2)</f>
        <v>0.32</v>
      </c>
      <c r="CH218" s="1">
        <f>ROUND(CB218/CB208,2)</f>
        <v>0.22</v>
      </c>
      <c r="CI218" s="1">
        <f>ROUND(CC218/CC209,2)</f>
        <v>0.88</v>
      </c>
      <c r="CJ218" s="1">
        <f>ROUND((CC218+CB218)/MAX(CC209,CB208),2)</f>
        <v>1.04</v>
      </c>
      <c r="CK218" s="1">
        <f>ROUND(LN((0.9*BZ218)/(0.1*CA218))/(BZ205/CA209),2)</f>
        <v>1.18</v>
      </c>
      <c r="CL218" s="1">
        <f>ROUND(LN((0.9*BZ218)/(0.1*CA218))/(BZ208/CA209),2)</f>
        <v>0.83</v>
      </c>
      <c r="CM218" s="1">
        <f>ROUND(LN((0.1*CA218)/(0.9*BZ218))/(CA209/BZ205),2)</f>
        <v>-0.68</v>
      </c>
      <c r="CN218" s="1">
        <f>ROUND(LN((0.1*CA218)/(0.9*BZ218))/(CA209/BZ208),2)</f>
        <v>-0.97</v>
      </c>
      <c r="CO218" s="5">
        <v>53</v>
      </c>
      <c r="CP218" s="5">
        <v>74</v>
      </c>
      <c r="CQ218" s="1">
        <v>30</v>
      </c>
      <c r="CR218" s="1">
        <v>146</v>
      </c>
      <c r="CS218" s="5">
        <v>35.9</v>
      </c>
      <c r="CT218" s="5">
        <v>8.4</v>
      </c>
      <c r="CU218" s="5">
        <v>4.5</v>
      </c>
      <c r="CV218" s="1" t="s">
        <v>71</v>
      </c>
      <c r="CW218" s="1" t="s">
        <v>71</v>
      </c>
      <c r="CX218" t="e">
        <f>ROUND(CV218*#REF!/10,1)</f>
        <v>#VALUE!</v>
      </c>
      <c r="CY218" s="1">
        <v>12.7</v>
      </c>
      <c r="CZ218">
        <f t="shared" si="75"/>
        <v>1097</v>
      </c>
      <c r="DA218">
        <f>ROUND((CY218*CB218*10),0)</f>
        <v>106</v>
      </c>
      <c r="DB218">
        <f>(CZ218+DA218)/MAX(DA208,CZ209)</f>
        <v>1.0160472972972974</v>
      </c>
      <c r="DC218" s="26">
        <v>12.7</v>
      </c>
      <c r="DD218">
        <f t="shared" si="72"/>
        <v>1203</v>
      </c>
      <c r="DE218">
        <f t="shared" si="77"/>
        <v>0.09</v>
      </c>
      <c r="DF218">
        <f>ROUND(CZ218/MAX(DA208,CZ209), 2)</f>
        <v>0.93</v>
      </c>
    </row>
    <row r="219" spans="1:110" x14ac:dyDescent="0.15">
      <c r="A219" s="23">
        <v>2023</v>
      </c>
      <c r="B219" s="23" t="s">
        <v>48</v>
      </c>
      <c r="C219" s="23">
        <v>11</v>
      </c>
      <c r="D219" s="23">
        <v>17</v>
      </c>
      <c r="E219" s="23" t="s">
        <v>52</v>
      </c>
      <c r="F219" s="23" t="s">
        <v>54</v>
      </c>
      <c r="G219" s="23" t="s">
        <v>5</v>
      </c>
      <c r="H219" s="23">
        <v>3</v>
      </c>
      <c r="I219" s="23" t="s">
        <v>67</v>
      </c>
      <c r="J219" s="23" t="s">
        <v>57</v>
      </c>
      <c r="K219" s="24">
        <v>45077</v>
      </c>
      <c r="L219" s="27">
        <v>10000000000</v>
      </c>
      <c r="M219" s="1">
        <f>K219-K210</f>
        <v>-1</v>
      </c>
      <c r="N219" s="24">
        <v>45090</v>
      </c>
      <c r="O219" s="24">
        <v>45100</v>
      </c>
      <c r="P219" s="24">
        <v>45077</v>
      </c>
      <c r="Q219" s="1">
        <f>P219-P210</f>
        <v>-4</v>
      </c>
      <c r="R219" s="1">
        <f>N219-N208</f>
        <v>6</v>
      </c>
      <c r="S219" s="1">
        <f>O219-O208</f>
        <v>5</v>
      </c>
      <c r="T219" s="1">
        <f t="shared" si="76"/>
        <v>5.5</v>
      </c>
      <c r="U219" s="1">
        <v>81</v>
      </c>
      <c r="V219" s="1">
        <v>86</v>
      </c>
      <c r="W219" s="1">
        <v>-5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25">
        <v>35.666666666666664</v>
      </c>
      <c r="AE219" s="25">
        <v>18.666666666666668</v>
      </c>
      <c r="AF219" s="25">
        <v>72</v>
      </c>
      <c r="AG219" s="25">
        <v>72</v>
      </c>
      <c r="AH219" s="1" t="s">
        <v>71</v>
      </c>
      <c r="AI219" s="1" t="s">
        <v>71</v>
      </c>
      <c r="AJ219" s="1">
        <v>3.3</v>
      </c>
      <c r="AK219" s="1">
        <v>0</v>
      </c>
      <c r="AL219" s="1">
        <v>0</v>
      </c>
      <c r="AM219" s="1">
        <v>0</v>
      </c>
      <c r="AN219" s="1">
        <v>0.01</v>
      </c>
      <c r="AO219" s="1">
        <v>0.01</v>
      </c>
      <c r="AP219" s="1">
        <v>1E-4</v>
      </c>
      <c r="AQ219" s="1">
        <v>22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1</v>
      </c>
      <c r="BI219" s="1">
        <v>1</v>
      </c>
      <c r="BJ219" s="1">
        <v>1</v>
      </c>
      <c r="BK219" s="1">
        <v>1.0000000000000002E-2</v>
      </c>
      <c r="BL219" s="1">
        <f t="shared" si="70"/>
        <v>1.0000000000000002</v>
      </c>
      <c r="BM219" s="1">
        <v>0.2</v>
      </c>
      <c r="BN219" s="1">
        <v>0.05</v>
      </c>
      <c r="BO219" s="1">
        <v>2</v>
      </c>
      <c r="BP219" s="1">
        <v>0</v>
      </c>
      <c r="BQ219" s="1">
        <v>216</v>
      </c>
      <c r="BR219" s="1">
        <v>11</v>
      </c>
      <c r="BS219" s="1">
        <v>0</v>
      </c>
      <c r="BT219" s="1">
        <v>5</v>
      </c>
      <c r="BU219" s="1">
        <v>5</v>
      </c>
      <c r="BV219" s="28">
        <v>8</v>
      </c>
      <c r="BW219" s="28">
        <v>3</v>
      </c>
      <c r="BX219" s="1" t="s">
        <v>71</v>
      </c>
      <c r="BY219" s="1" t="s">
        <v>71</v>
      </c>
      <c r="BZ219" s="3">
        <v>0.5</v>
      </c>
      <c r="CA219" s="3">
        <v>2.2999999999999998</v>
      </c>
      <c r="CB219" s="3">
        <f t="shared" si="71"/>
        <v>0.69444444444444442</v>
      </c>
      <c r="CC219" s="3">
        <f t="shared" si="74"/>
        <v>3.1944444444444446</v>
      </c>
      <c r="CD219" s="1">
        <f>ROUND(CB219/CB205+CC219/CC210,2)</f>
        <v>1.08</v>
      </c>
      <c r="CE219" s="1">
        <f>ROUND(CB219/CB208+CC219/CC210,2)</f>
        <v>1.01</v>
      </c>
      <c r="CF219" s="1">
        <f>ROUND(CB219/(1.2*CB208)+CC219/CC210,2)</f>
        <v>0.98</v>
      </c>
      <c r="CG219" s="1">
        <f>ROUND(CB219/CB205,2)</f>
        <v>0.26</v>
      </c>
      <c r="CH219" s="1">
        <f>ROUND(CB219/CB208,2)</f>
        <v>0.19</v>
      </c>
      <c r="CI219" s="1">
        <f>ROUND(CC219/CC210,2)</f>
        <v>0.82</v>
      </c>
      <c r="CJ219" s="1">
        <f>ROUND((CC219+CB219)/MAX(CC210,CB208),2)</f>
        <v>1</v>
      </c>
      <c r="CK219" s="1">
        <f>ROUND(LN((0.9*BZ219)/(0.1*CA219))/(BZ205/CA210),2)</f>
        <v>0.99</v>
      </c>
      <c r="CL219" s="1">
        <f>ROUND(LN((0.9*BZ219)/(0.1*CA219))/(BZ208/CA210),2)</f>
        <v>0.7</v>
      </c>
      <c r="CM219" s="1">
        <f>ROUND(LN((0.1*CA219)/(0.9*BZ219))/(CA210/BZ205),2)</f>
        <v>-0.46</v>
      </c>
      <c r="CN219" s="1">
        <f>ROUND(LN((0.1*CA219)/(0.9*BZ219))/(CA210/BZ208),2)</f>
        <v>-0.65</v>
      </c>
      <c r="CO219" s="5">
        <v>46</v>
      </c>
      <c r="CP219" s="5">
        <v>66</v>
      </c>
      <c r="CQ219" s="1">
        <v>29</v>
      </c>
      <c r="CR219" s="1">
        <v>131</v>
      </c>
      <c r="CS219" s="5">
        <v>36.6</v>
      </c>
      <c r="CT219" s="5">
        <v>7.8</v>
      </c>
      <c r="CU219" s="5">
        <v>5.4</v>
      </c>
      <c r="CV219" s="1" t="s">
        <v>71</v>
      </c>
      <c r="CW219" s="1" t="s">
        <v>71</v>
      </c>
      <c r="CX219" t="e">
        <f>ROUND(CV219*#REF!/10,1)</f>
        <v>#VALUE!</v>
      </c>
      <c r="CY219" s="1">
        <v>19.600000000000001</v>
      </c>
      <c r="CZ219">
        <f t="shared" si="75"/>
        <v>1169</v>
      </c>
      <c r="DA219">
        <f>ROUND((CY219*CB219*10),0)</f>
        <v>136</v>
      </c>
      <c r="DB219">
        <f>(CZ219+DA219)/MAX(DA208,CZ210)</f>
        <v>0.82438408085912829</v>
      </c>
      <c r="DC219" s="26">
        <v>19.600000000000001</v>
      </c>
      <c r="DD219">
        <f t="shared" si="72"/>
        <v>1305</v>
      </c>
      <c r="DE219">
        <f t="shared" si="77"/>
        <v>0.08</v>
      </c>
      <c r="DF219">
        <f>ROUND(CZ219/MAX(DA208,CZ210), 2)</f>
        <v>0.74</v>
      </c>
    </row>
    <row r="220" spans="1:110" x14ac:dyDescent="0.15">
      <c r="A220" s="23">
        <v>2023</v>
      </c>
      <c r="B220" s="23" t="s">
        <v>48</v>
      </c>
      <c r="C220" s="23">
        <v>11</v>
      </c>
      <c r="D220" s="23">
        <v>18</v>
      </c>
      <c r="E220" s="23" t="s">
        <v>52</v>
      </c>
      <c r="F220" s="23" t="s">
        <v>55</v>
      </c>
      <c r="G220" s="23" t="s">
        <v>5</v>
      </c>
      <c r="H220" s="23">
        <v>3</v>
      </c>
      <c r="I220" s="23" t="s">
        <v>68</v>
      </c>
      <c r="J220" s="23" t="s">
        <v>57</v>
      </c>
      <c r="K220" s="24">
        <v>45070</v>
      </c>
      <c r="L220" s="27">
        <v>10000000000</v>
      </c>
      <c r="M220" s="1">
        <f>K220-K211</f>
        <v>-7</v>
      </c>
      <c r="N220" s="24">
        <v>45089</v>
      </c>
      <c r="O220" s="24">
        <v>45099</v>
      </c>
      <c r="P220" s="24">
        <v>45076</v>
      </c>
      <c r="Q220" s="1">
        <f>P220-P211</f>
        <v>-1</v>
      </c>
      <c r="R220" s="1">
        <f>N220-N208</f>
        <v>5</v>
      </c>
      <c r="S220" s="1">
        <f>O220-O208</f>
        <v>4</v>
      </c>
      <c r="T220" s="1">
        <f t="shared" si="76"/>
        <v>4.5</v>
      </c>
      <c r="U220" s="1">
        <v>79</v>
      </c>
      <c r="V220" s="1">
        <v>85</v>
      </c>
      <c r="W220" s="1">
        <v>-6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25">
        <v>33.333333333333336</v>
      </c>
      <c r="AE220" s="25">
        <v>24.666666666666668</v>
      </c>
      <c r="AF220" s="25">
        <v>78</v>
      </c>
      <c r="AG220" s="25">
        <v>77</v>
      </c>
      <c r="AH220" s="1" t="s">
        <v>71</v>
      </c>
      <c r="AI220" s="1" t="s">
        <v>71</v>
      </c>
      <c r="AJ220" s="1">
        <v>2</v>
      </c>
      <c r="AK220" s="1">
        <v>0</v>
      </c>
      <c r="AL220" s="1">
        <v>0</v>
      </c>
      <c r="AM220" s="1">
        <v>0</v>
      </c>
      <c r="AN220" s="1">
        <v>0.01</v>
      </c>
      <c r="AO220" s="1">
        <v>0.01</v>
      </c>
      <c r="AP220" s="1">
        <v>1E-4</v>
      </c>
      <c r="AQ220" s="1">
        <v>6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28</v>
      </c>
      <c r="BI220" s="1">
        <v>75</v>
      </c>
      <c r="BJ220" s="1">
        <v>15</v>
      </c>
      <c r="BK220" s="1">
        <v>4.4999999999999998E-2</v>
      </c>
      <c r="BL220" s="1">
        <f t="shared" si="70"/>
        <v>4.5</v>
      </c>
      <c r="BM220" s="1">
        <v>0.3</v>
      </c>
      <c r="BN220" s="1">
        <v>0.15</v>
      </c>
      <c r="BO220" s="1">
        <v>1</v>
      </c>
      <c r="BP220" s="1">
        <v>0</v>
      </c>
      <c r="BQ220" s="1">
        <v>76</v>
      </c>
      <c r="BR220" s="1">
        <v>6</v>
      </c>
      <c r="BS220" s="1">
        <v>0</v>
      </c>
      <c r="BT220" s="1">
        <v>18</v>
      </c>
      <c r="BU220" s="1">
        <v>2</v>
      </c>
      <c r="BV220" s="28">
        <v>7</v>
      </c>
      <c r="BW220" s="28">
        <v>2.3333333333333335</v>
      </c>
      <c r="BX220" s="1" t="s">
        <v>71</v>
      </c>
      <c r="BY220" s="1" t="s">
        <v>71</v>
      </c>
      <c r="BZ220" s="3">
        <v>0.6</v>
      </c>
      <c r="CA220" s="3">
        <v>2.1</v>
      </c>
      <c r="CB220" s="3">
        <f t="shared" si="71"/>
        <v>0.83333333333333348</v>
      </c>
      <c r="CC220" s="3">
        <f t="shared" si="74"/>
        <v>2.916666666666667</v>
      </c>
      <c r="CD220" s="1">
        <f>ROUND(CB220/CB205+CC220/CC211,2)</f>
        <v>1.23</v>
      </c>
      <c r="CE220" s="1">
        <f>ROUND(CB220/CB208+CC220/CC211,2)</f>
        <v>1.1399999999999999</v>
      </c>
      <c r="CF220" s="1">
        <f>ROUND(CB220/(1.2*CB208)+CC220/CC211,2)</f>
        <v>1.1000000000000001</v>
      </c>
      <c r="CG220" s="1">
        <f>ROUND(CB220/CB205,2)</f>
        <v>0.32</v>
      </c>
      <c r="CH220" s="1">
        <f>ROUND(CB220/CB208,2)</f>
        <v>0.22</v>
      </c>
      <c r="CI220" s="1">
        <f>ROUND(CC220/CC211,2)</f>
        <v>0.91</v>
      </c>
      <c r="CJ220" s="1">
        <f>ROUND((CC220+CB220)/MAX(CC211,CB208),2)</f>
        <v>1</v>
      </c>
      <c r="CK220" s="1">
        <f>ROUND(LN((0.9*BZ220)/(0.1*CA220))/(BZ205/CA211),2)</f>
        <v>1.1399999999999999</v>
      </c>
      <c r="CL220" s="1">
        <f>ROUND(LN((0.9*BZ220)/(0.1*CA220))/(BZ208/CA211),2)</f>
        <v>0.8</v>
      </c>
      <c r="CM220" s="1">
        <f>ROUND(LN((0.1*CA220)/(0.9*BZ220))/(CA211/BZ205),2)</f>
        <v>-0.78</v>
      </c>
      <c r="CN220" s="1">
        <f>ROUND(LN((0.1*CA220)/(0.9*BZ220))/(CA211/BZ208),2)</f>
        <v>-1.1100000000000001</v>
      </c>
      <c r="CO220" s="5">
        <v>52</v>
      </c>
      <c r="CP220" s="5">
        <v>72</v>
      </c>
      <c r="CQ220" s="1">
        <v>31</v>
      </c>
      <c r="CR220" s="1">
        <v>138</v>
      </c>
      <c r="CS220" s="5">
        <v>39.4</v>
      </c>
      <c r="CT220" s="5">
        <v>8.3000000000000007</v>
      </c>
      <c r="CU220" s="5">
        <v>3.5</v>
      </c>
      <c r="CV220" s="1" t="s">
        <v>71</v>
      </c>
      <c r="CW220" s="1" t="s">
        <v>71</v>
      </c>
      <c r="CX220" t="e">
        <f>ROUND(CV220*#REF!/10,1)</f>
        <v>#VALUE!</v>
      </c>
      <c r="CY220" s="1">
        <v>17.3</v>
      </c>
      <c r="CZ220">
        <f t="shared" si="75"/>
        <v>1149</v>
      </c>
      <c r="DA220">
        <f>ROUND((CY220*CB220*10),0)</f>
        <v>144</v>
      </c>
      <c r="DB220">
        <f>(CZ220+DA220)/MAX(DA208,CZ211)</f>
        <v>0.96853932584269664</v>
      </c>
      <c r="DC220" s="26">
        <v>17.3</v>
      </c>
      <c r="DD220">
        <f t="shared" si="72"/>
        <v>1293</v>
      </c>
      <c r="DE220">
        <f t="shared" si="77"/>
        <v>0.11</v>
      </c>
      <c r="DF220">
        <f>ROUND(CZ220/MAX(DA208,CZ211), 2)</f>
        <v>0.86</v>
      </c>
    </row>
    <row r="221" spans="1:110" ht="15" x14ac:dyDescent="0.15">
      <c r="A221" s="23">
        <v>2023</v>
      </c>
      <c r="B221" s="23" t="s">
        <v>48</v>
      </c>
      <c r="C221" s="23">
        <v>11</v>
      </c>
      <c r="D221" s="23">
        <v>19</v>
      </c>
      <c r="E221" s="23"/>
      <c r="F221" s="23"/>
      <c r="G221" s="23" t="s">
        <v>5</v>
      </c>
      <c r="H221" s="23">
        <v>3</v>
      </c>
      <c r="I221" s="23" t="s">
        <v>69</v>
      </c>
      <c r="J221" s="23" t="s">
        <v>57</v>
      </c>
      <c r="K221" s="24">
        <v>45077</v>
      </c>
      <c r="L221" s="1" t="s">
        <v>71</v>
      </c>
      <c r="M221" s="1" t="s">
        <v>71</v>
      </c>
      <c r="N221" s="1" t="s">
        <v>71</v>
      </c>
      <c r="O221" s="1" t="s">
        <v>71</v>
      </c>
      <c r="P221" s="24">
        <v>45078</v>
      </c>
      <c r="Q221" s="1" t="s">
        <v>71</v>
      </c>
      <c r="R221" s="1" t="s">
        <v>71</v>
      </c>
      <c r="S221" s="1" t="s">
        <v>71</v>
      </c>
      <c r="T221" s="1" t="s">
        <v>71</v>
      </c>
      <c r="U221" s="1" t="s">
        <v>71</v>
      </c>
      <c r="V221" s="1">
        <v>83</v>
      </c>
      <c r="W221" s="1" t="s">
        <v>71</v>
      </c>
      <c r="X221" s="1">
        <v>0</v>
      </c>
      <c r="Y221" s="1" t="s">
        <v>71</v>
      </c>
      <c r="Z221" s="1">
        <v>0</v>
      </c>
      <c r="AA221" s="1" t="s">
        <v>71</v>
      </c>
      <c r="AB221" s="1">
        <v>0</v>
      </c>
      <c r="AC221" s="1">
        <v>0</v>
      </c>
      <c r="AD221" s="25" t="s">
        <v>71</v>
      </c>
      <c r="AE221" s="25">
        <v>18</v>
      </c>
      <c r="AF221" s="25" t="s">
        <v>71</v>
      </c>
      <c r="AG221" s="25">
        <v>76</v>
      </c>
      <c r="AH221" s="1" t="s">
        <v>71</v>
      </c>
      <c r="AI221" s="1" t="s">
        <v>71</v>
      </c>
      <c r="AJ221" s="1" t="s">
        <v>71</v>
      </c>
      <c r="AK221" s="1" t="s">
        <v>71</v>
      </c>
      <c r="AL221" s="1" t="s">
        <v>71</v>
      </c>
      <c r="AM221" s="1" t="s">
        <v>71</v>
      </c>
      <c r="AN221" s="1" t="s">
        <v>71</v>
      </c>
      <c r="AO221" s="1" t="s">
        <v>71</v>
      </c>
      <c r="AP221" s="1" t="s">
        <v>71</v>
      </c>
      <c r="AQ221" s="1" t="s">
        <v>71</v>
      </c>
      <c r="AR221" s="1" t="s">
        <v>71</v>
      </c>
      <c r="AS221" s="1" t="s">
        <v>71</v>
      </c>
      <c r="AT221" s="1" t="s">
        <v>71</v>
      </c>
      <c r="AU221" s="1">
        <v>0</v>
      </c>
      <c r="AV221" s="1">
        <v>0</v>
      </c>
      <c r="AW221" s="1">
        <v>0</v>
      </c>
      <c r="AX221" s="1" t="s">
        <v>71</v>
      </c>
      <c r="AY221" s="1" t="s">
        <v>71</v>
      </c>
      <c r="AZ221" s="1">
        <v>0</v>
      </c>
      <c r="BA221" s="1" t="s">
        <v>71</v>
      </c>
      <c r="BB221" s="1" t="s">
        <v>71</v>
      </c>
      <c r="BC221" s="1" t="s">
        <v>71</v>
      </c>
      <c r="BD221" s="1" t="s">
        <v>71</v>
      </c>
      <c r="BE221" s="1" t="s">
        <v>71</v>
      </c>
      <c r="BF221" s="1" t="s">
        <v>71</v>
      </c>
      <c r="BG221" s="1" t="s">
        <v>71</v>
      </c>
      <c r="BH221" s="1">
        <v>88</v>
      </c>
      <c r="BI221" s="1">
        <v>3</v>
      </c>
      <c r="BJ221" s="1">
        <v>1</v>
      </c>
      <c r="BK221" s="1">
        <v>1.4000000000000002E-2</v>
      </c>
      <c r="BL221" s="1">
        <f t="shared" si="70"/>
        <v>1.4000000000000001</v>
      </c>
      <c r="BM221" s="1">
        <v>0.2</v>
      </c>
      <c r="BN221" s="1">
        <v>7.0000000000000007E-2</v>
      </c>
      <c r="BO221" s="1">
        <v>1</v>
      </c>
      <c r="BP221" s="1">
        <v>0</v>
      </c>
      <c r="BQ221" s="1">
        <v>116</v>
      </c>
      <c r="BR221" s="1">
        <v>27</v>
      </c>
      <c r="BS221" s="1">
        <v>2</v>
      </c>
      <c r="BT221" s="1">
        <v>16</v>
      </c>
      <c r="BU221" s="1" t="s">
        <v>71</v>
      </c>
      <c r="BV221" s="28">
        <v>6.333333333333333</v>
      </c>
      <c r="BW221" s="28">
        <v>2.3333333333333335</v>
      </c>
      <c r="BX221" s="1" t="s">
        <v>71</v>
      </c>
      <c r="BY221" s="1" t="s">
        <v>71</v>
      </c>
      <c r="BZ221" s="3" t="s">
        <v>71</v>
      </c>
      <c r="CA221" s="3" t="s">
        <v>71</v>
      </c>
      <c r="CB221" s="3" t="s">
        <v>71</v>
      </c>
      <c r="CC221" s="3" t="s">
        <v>71</v>
      </c>
      <c r="CD221" s="1" t="s">
        <v>71</v>
      </c>
      <c r="CE221" s="1" t="s">
        <v>71</v>
      </c>
      <c r="CF221" s="1" t="s">
        <v>71</v>
      </c>
      <c r="CG221" s="1" t="s">
        <v>71</v>
      </c>
      <c r="CH221" s="1" t="s">
        <v>71</v>
      </c>
      <c r="CI221" s="1" t="s">
        <v>71</v>
      </c>
      <c r="CJ221" s="1" t="s">
        <v>71</v>
      </c>
      <c r="CK221" s="1" t="s">
        <v>71</v>
      </c>
      <c r="CL221" s="3" t="s">
        <v>71</v>
      </c>
      <c r="CM221" s="3" t="s">
        <v>71</v>
      </c>
      <c r="CN221" s="3" t="s">
        <v>71</v>
      </c>
      <c r="CO221" s="5" t="s">
        <v>71</v>
      </c>
      <c r="CP221" s="5">
        <v>73</v>
      </c>
      <c r="CQ221" s="1" t="s">
        <v>71</v>
      </c>
      <c r="CR221" s="1">
        <v>148</v>
      </c>
      <c r="CS221" s="5">
        <v>34.6</v>
      </c>
      <c r="CT221" s="5" t="s">
        <v>71</v>
      </c>
      <c r="CU221" s="5">
        <v>5.2</v>
      </c>
      <c r="CV221" s="1" t="s">
        <v>71</v>
      </c>
      <c r="CW221" s="1" t="s">
        <v>71</v>
      </c>
      <c r="CX221" t="s">
        <v>71</v>
      </c>
      <c r="CY221" s="1" t="s">
        <v>71</v>
      </c>
      <c r="CZ221" t="s">
        <v>71</v>
      </c>
      <c r="DA221" t="s">
        <v>71</v>
      </c>
      <c r="DB221" t="s">
        <v>71</v>
      </c>
      <c r="DC221" s="26" t="s">
        <v>71</v>
      </c>
      <c r="DD221">
        <f t="shared" si="72"/>
        <v>0</v>
      </c>
      <c r="DE221" t="s">
        <v>71</v>
      </c>
      <c r="DF221" s="26" t="s">
        <v>71</v>
      </c>
    </row>
    <row r="222" spans="1:110" ht="15" x14ac:dyDescent="0.15">
      <c r="A222" s="23">
        <v>2023</v>
      </c>
      <c r="B222" s="23" t="s">
        <v>48</v>
      </c>
      <c r="C222" s="23">
        <v>11</v>
      </c>
      <c r="D222" s="23">
        <v>20</v>
      </c>
      <c r="E222" s="23"/>
      <c r="F222" s="23"/>
      <c r="G222" s="23" t="s">
        <v>5</v>
      </c>
      <c r="H222" s="23">
        <v>3</v>
      </c>
      <c r="I222" s="23" t="s">
        <v>70</v>
      </c>
      <c r="J222" s="23" t="s">
        <v>57</v>
      </c>
      <c r="K222" s="24">
        <v>45085</v>
      </c>
      <c r="L222" s="1" t="s">
        <v>71</v>
      </c>
      <c r="M222" s="1" t="s">
        <v>71</v>
      </c>
      <c r="N222" s="1" t="s">
        <v>71</v>
      </c>
      <c r="O222" s="1" t="s">
        <v>71</v>
      </c>
      <c r="P222" s="24">
        <v>45082</v>
      </c>
      <c r="Q222" s="1" t="s">
        <v>71</v>
      </c>
      <c r="R222" s="1" t="s">
        <v>71</v>
      </c>
      <c r="S222" s="1" t="s">
        <v>71</v>
      </c>
      <c r="T222" s="1" t="s">
        <v>71</v>
      </c>
      <c r="U222" s="1" t="s">
        <v>71</v>
      </c>
      <c r="V222" s="1">
        <v>83</v>
      </c>
      <c r="W222" s="1" t="s">
        <v>71</v>
      </c>
      <c r="X222" s="1">
        <v>0</v>
      </c>
      <c r="Y222" s="1" t="s">
        <v>71</v>
      </c>
      <c r="Z222" s="1">
        <v>0</v>
      </c>
      <c r="AA222" s="1" t="s">
        <v>71</v>
      </c>
      <c r="AB222" s="1">
        <v>0</v>
      </c>
      <c r="AC222" s="1" t="s">
        <v>71</v>
      </c>
      <c r="AD222" s="25" t="s">
        <v>71</v>
      </c>
      <c r="AE222" s="25">
        <v>26.666666666666668</v>
      </c>
      <c r="AF222" s="25" t="s">
        <v>71</v>
      </c>
      <c r="AG222" s="25">
        <v>59</v>
      </c>
      <c r="AH222" s="1" t="s">
        <v>71</v>
      </c>
      <c r="AI222" s="1" t="s">
        <v>71</v>
      </c>
      <c r="AJ222" s="1" t="s">
        <v>71</v>
      </c>
      <c r="AK222" s="1" t="s">
        <v>71</v>
      </c>
      <c r="AL222" s="1" t="s">
        <v>71</v>
      </c>
      <c r="AM222" s="1" t="s">
        <v>71</v>
      </c>
      <c r="AN222" s="1" t="s">
        <v>71</v>
      </c>
      <c r="AO222" s="1" t="s">
        <v>71</v>
      </c>
      <c r="AP222" s="1" t="s">
        <v>71</v>
      </c>
      <c r="AQ222" s="1" t="s">
        <v>71</v>
      </c>
      <c r="AR222" s="1" t="s">
        <v>71</v>
      </c>
      <c r="AS222" s="1" t="s">
        <v>71</v>
      </c>
      <c r="AT222" s="1" t="s">
        <v>71</v>
      </c>
      <c r="AU222" s="1">
        <v>0</v>
      </c>
      <c r="AV222" s="1">
        <v>0</v>
      </c>
      <c r="AW222" s="1">
        <v>0</v>
      </c>
      <c r="AX222" s="1" t="s">
        <v>71</v>
      </c>
      <c r="AY222" s="1" t="s">
        <v>71</v>
      </c>
      <c r="AZ222" s="1">
        <v>0</v>
      </c>
      <c r="BA222" s="1" t="s">
        <v>71</v>
      </c>
      <c r="BB222" s="1" t="s">
        <v>71</v>
      </c>
      <c r="BC222" s="1" t="s">
        <v>71</v>
      </c>
      <c r="BD222" s="1" t="s">
        <v>71</v>
      </c>
      <c r="BE222" s="1" t="s">
        <v>71</v>
      </c>
      <c r="BF222" s="1" t="s">
        <v>71</v>
      </c>
      <c r="BG222" s="1" t="s">
        <v>71</v>
      </c>
      <c r="BH222" s="1">
        <v>552</v>
      </c>
      <c r="BI222" s="1">
        <v>0.1</v>
      </c>
      <c r="BJ222" s="1">
        <v>0.1</v>
      </c>
      <c r="BK222" s="1">
        <v>7.4999999999999997E-3</v>
      </c>
      <c r="BL222" s="1">
        <f t="shared" si="70"/>
        <v>0.75</v>
      </c>
      <c r="BM222" s="1">
        <v>0.15</v>
      </c>
      <c r="BN222" s="1">
        <v>0.05</v>
      </c>
      <c r="BO222" s="1">
        <v>1</v>
      </c>
      <c r="BP222" s="1">
        <v>45</v>
      </c>
      <c r="BQ222" s="1">
        <v>17</v>
      </c>
      <c r="BR222" s="1">
        <v>6</v>
      </c>
      <c r="BS222" s="1">
        <v>3</v>
      </c>
      <c r="BT222" s="1">
        <v>7</v>
      </c>
      <c r="BU222" s="1" t="s">
        <v>71</v>
      </c>
      <c r="BV222" s="28">
        <v>15</v>
      </c>
      <c r="BW222" s="28">
        <v>0</v>
      </c>
      <c r="BX222" s="1" t="s">
        <v>71</v>
      </c>
      <c r="BY222" s="1" t="s">
        <v>71</v>
      </c>
      <c r="BZ222" s="3" t="s">
        <v>71</v>
      </c>
      <c r="CA222" s="3" t="s">
        <v>71</v>
      </c>
      <c r="CB222" s="3" t="s">
        <v>71</v>
      </c>
      <c r="CC222" s="3" t="s">
        <v>71</v>
      </c>
      <c r="CD222" s="1" t="s">
        <v>71</v>
      </c>
      <c r="CE222" s="1" t="s">
        <v>71</v>
      </c>
      <c r="CF222" s="1" t="s">
        <v>71</v>
      </c>
      <c r="CG222" s="1" t="s">
        <v>71</v>
      </c>
      <c r="CH222" s="1" t="s">
        <v>71</v>
      </c>
      <c r="CI222" s="1" t="s">
        <v>71</v>
      </c>
      <c r="CJ222" s="1" t="s">
        <v>71</v>
      </c>
      <c r="CK222" s="1" t="s">
        <v>71</v>
      </c>
      <c r="CL222" s="3" t="s">
        <v>71</v>
      </c>
      <c r="CM222" s="3" t="s">
        <v>71</v>
      </c>
      <c r="CN222" s="3" t="s">
        <v>71</v>
      </c>
      <c r="CO222" s="5" t="s">
        <v>71</v>
      </c>
      <c r="CP222" s="5">
        <v>74</v>
      </c>
      <c r="CQ222" s="1" t="s">
        <v>71</v>
      </c>
      <c r="CR222" s="1">
        <v>122</v>
      </c>
      <c r="CS222" s="5">
        <v>48.6</v>
      </c>
      <c r="CT222" s="5" t="s">
        <v>71</v>
      </c>
      <c r="CU222" s="5">
        <v>3.5</v>
      </c>
      <c r="CV222" s="1" t="s">
        <v>71</v>
      </c>
      <c r="CW222" s="1" t="s">
        <v>71</v>
      </c>
      <c r="CX222" t="s">
        <v>71</v>
      </c>
      <c r="CY222" s="1" t="s">
        <v>71</v>
      </c>
      <c r="CZ222" t="s">
        <v>71</v>
      </c>
      <c r="DA222" t="s">
        <v>71</v>
      </c>
      <c r="DB222" t="s">
        <v>71</v>
      </c>
      <c r="DC222" s="26" t="s">
        <v>71</v>
      </c>
      <c r="DD222">
        <f t="shared" si="72"/>
        <v>0</v>
      </c>
      <c r="DE222" t="s">
        <v>71</v>
      </c>
      <c r="DF222" s="26" t="s">
        <v>71</v>
      </c>
    </row>
    <row r="223" spans="1:110" ht="15" x14ac:dyDescent="0.15">
      <c r="A223" s="23">
        <v>2023</v>
      </c>
      <c r="B223" s="23" t="s">
        <v>48</v>
      </c>
      <c r="C223" s="23">
        <v>12</v>
      </c>
      <c r="D223" s="23">
        <v>1</v>
      </c>
      <c r="E223" s="23" t="s">
        <v>50</v>
      </c>
      <c r="F223" s="23"/>
      <c r="G223" s="23" t="s">
        <v>56</v>
      </c>
      <c r="H223" s="23">
        <v>4</v>
      </c>
      <c r="I223" s="23" t="s">
        <v>50</v>
      </c>
      <c r="J223" s="23" t="s">
        <v>57</v>
      </c>
      <c r="K223" s="1" t="s">
        <v>57</v>
      </c>
      <c r="L223" s="1" t="s">
        <v>71</v>
      </c>
      <c r="M223" s="1" t="s">
        <v>71</v>
      </c>
      <c r="N223" s="24">
        <v>45081</v>
      </c>
      <c r="O223" s="24">
        <v>45088</v>
      </c>
      <c r="P223" s="1" t="s">
        <v>71</v>
      </c>
      <c r="Q223" s="1" t="s">
        <v>71</v>
      </c>
      <c r="R223" s="1" t="s">
        <v>71</v>
      </c>
      <c r="S223" s="1" t="s">
        <v>71</v>
      </c>
      <c r="T223" s="1" t="s">
        <v>71</v>
      </c>
      <c r="U223" s="1">
        <v>85</v>
      </c>
      <c r="V223" s="1" t="s">
        <v>71</v>
      </c>
      <c r="W223" s="1" t="s">
        <v>71</v>
      </c>
      <c r="X223" s="1" t="s">
        <v>71</v>
      </c>
      <c r="Y223" s="1">
        <v>0</v>
      </c>
      <c r="Z223" s="1" t="s">
        <v>71</v>
      </c>
      <c r="AA223" s="1">
        <v>0</v>
      </c>
      <c r="AB223" s="1" t="s">
        <v>71</v>
      </c>
      <c r="AC223" s="1">
        <v>0</v>
      </c>
      <c r="AD223" s="25">
        <v>29.666666666666668</v>
      </c>
      <c r="AE223" s="25" t="s">
        <v>71</v>
      </c>
      <c r="AF223" s="25">
        <v>73</v>
      </c>
      <c r="AG223" s="25" t="s">
        <v>71</v>
      </c>
      <c r="AH223" s="1" t="s">
        <v>71</v>
      </c>
      <c r="AI223" s="1" t="s">
        <v>71</v>
      </c>
      <c r="AJ223" s="1">
        <v>0.7</v>
      </c>
      <c r="AK223" s="1">
        <v>0</v>
      </c>
      <c r="AL223" s="1">
        <v>0</v>
      </c>
      <c r="AM223" s="1">
        <v>0</v>
      </c>
      <c r="AN223" s="1">
        <v>0.1</v>
      </c>
      <c r="AO223" s="1">
        <v>0.03</v>
      </c>
      <c r="AP223" s="1">
        <v>3.0000000000000001E-3</v>
      </c>
      <c r="AQ223" s="1">
        <v>13</v>
      </c>
      <c r="AR223" s="1">
        <v>0.03</v>
      </c>
      <c r="AS223" s="1">
        <v>10</v>
      </c>
      <c r="AT223" s="1">
        <v>0.3</v>
      </c>
      <c r="AU223" s="1" t="s">
        <v>71</v>
      </c>
      <c r="AV223" s="1" t="s">
        <v>71</v>
      </c>
      <c r="AW223" s="1" t="s">
        <v>71</v>
      </c>
      <c r="AX223" s="1">
        <v>1</v>
      </c>
      <c r="AY223" s="1">
        <v>0</v>
      </c>
      <c r="AZ223" s="1" t="s">
        <v>71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 t="s">
        <v>71</v>
      </c>
      <c r="BI223" s="1" t="s">
        <v>71</v>
      </c>
      <c r="BJ223" s="1" t="s">
        <v>71</v>
      </c>
      <c r="BK223" s="1">
        <v>3.5999999999999999E-3</v>
      </c>
      <c r="BL223" s="1">
        <f t="shared" si="70"/>
        <v>0.36</v>
      </c>
      <c r="BM223" s="1">
        <v>0.12</v>
      </c>
      <c r="BN223" s="1">
        <v>0.03</v>
      </c>
      <c r="BO223" s="1">
        <v>2</v>
      </c>
      <c r="BP223" s="1">
        <v>5</v>
      </c>
      <c r="BQ223" s="1" t="s">
        <v>71</v>
      </c>
      <c r="BR223" s="1" t="s">
        <v>71</v>
      </c>
      <c r="BS223" s="1" t="s">
        <v>71</v>
      </c>
      <c r="BT223" s="1" t="s">
        <v>71</v>
      </c>
      <c r="BU223" s="1">
        <v>41</v>
      </c>
      <c r="BV223" s="28" t="s">
        <v>71</v>
      </c>
      <c r="BW223" s="28" t="s">
        <v>71</v>
      </c>
      <c r="BX223" s="1" t="s">
        <v>71</v>
      </c>
      <c r="BY223" s="1" t="s">
        <v>71</v>
      </c>
      <c r="BZ223" s="3">
        <v>2.1</v>
      </c>
      <c r="CA223" s="3" t="s">
        <v>71</v>
      </c>
      <c r="CB223" s="3">
        <f t="shared" si="71"/>
        <v>2.916666666666667</v>
      </c>
      <c r="CC223" s="1" t="s">
        <v>71</v>
      </c>
      <c r="CD223" s="1">
        <v>1</v>
      </c>
      <c r="CE223" s="1">
        <v>1</v>
      </c>
      <c r="CF223" s="1">
        <f>CE223</f>
        <v>1</v>
      </c>
      <c r="CG223" s="3" t="s">
        <v>71</v>
      </c>
      <c r="CH223" s="3" t="s">
        <v>71</v>
      </c>
      <c r="CI223" s="3" t="s">
        <v>71</v>
      </c>
      <c r="CJ223" s="3" t="s">
        <v>71</v>
      </c>
      <c r="CK223" s="3" t="s">
        <v>71</v>
      </c>
      <c r="CL223" s="3" t="s">
        <v>71</v>
      </c>
      <c r="CM223" s="3" t="s">
        <v>71</v>
      </c>
      <c r="CN223" s="3" t="s">
        <v>71</v>
      </c>
      <c r="CO223" s="5">
        <v>48</v>
      </c>
      <c r="CP223" s="5" t="s">
        <v>71</v>
      </c>
      <c r="CQ223" s="1">
        <v>40</v>
      </c>
      <c r="CR223" s="1" t="s">
        <v>71</v>
      </c>
      <c r="CS223" s="5" t="s">
        <v>71</v>
      </c>
      <c r="CT223" s="5">
        <v>7.5</v>
      </c>
      <c r="CU223" s="5" t="s">
        <v>71</v>
      </c>
      <c r="CV223" s="1" t="s">
        <v>71</v>
      </c>
      <c r="CW223" s="1" t="s">
        <v>71</v>
      </c>
      <c r="CX223" s="1" t="s">
        <v>71</v>
      </c>
      <c r="CY223" s="1">
        <v>10.6</v>
      </c>
      <c r="CZ223" s="1" t="s">
        <v>71</v>
      </c>
      <c r="DA223">
        <f>ROUND((CY223*CB223*10),0)</f>
        <v>309</v>
      </c>
      <c r="DB223" s="1" t="s">
        <v>71</v>
      </c>
      <c r="DC223" s="26">
        <v>10.6</v>
      </c>
      <c r="DD223">
        <f t="shared" si="72"/>
        <v>309</v>
      </c>
      <c r="DE223" s="1" t="s">
        <v>71</v>
      </c>
      <c r="DF223" s="1" t="s">
        <v>71</v>
      </c>
    </row>
    <row r="224" spans="1:110" ht="15" x14ac:dyDescent="0.15">
      <c r="A224" s="23">
        <v>2023</v>
      </c>
      <c r="B224" s="23" t="s">
        <v>48</v>
      </c>
      <c r="C224" s="23">
        <v>12</v>
      </c>
      <c r="D224" s="23">
        <v>2</v>
      </c>
      <c r="E224" s="23" t="s">
        <v>51</v>
      </c>
      <c r="F224" s="23"/>
      <c r="G224" s="23" t="s">
        <v>56</v>
      </c>
      <c r="H224" s="23">
        <v>4</v>
      </c>
      <c r="I224" s="23" t="s">
        <v>51</v>
      </c>
      <c r="J224" s="23" t="s">
        <v>57</v>
      </c>
      <c r="K224" s="1" t="s">
        <v>57</v>
      </c>
      <c r="L224" s="1" t="s">
        <v>71</v>
      </c>
      <c r="M224" s="1" t="s">
        <v>71</v>
      </c>
      <c r="N224" s="24">
        <v>45086</v>
      </c>
      <c r="O224" s="24">
        <v>45094</v>
      </c>
      <c r="P224" s="1" t="s">
        <v>71</v>
      </c>
      <c r="Q224" s="1" t="s">
        <v>71</v>
      </c>
      <c r="R224" s="1" t="s">
        <v>71</v>
      </c>
      <c r="S224" s="1" t="s">
        <v>71</v>
      </c>
      <c r="T224" s="1" t="s">
        <v>71</v>
      </c>
      <c r="U224" s="1">
        <v>79</v>
      </c>
      <c r="V224" s="1" t="s">
        <v>71</v>
      </c>
      <c r="W224" s="1" t="s">
        <v>71</v>
      </c>
      <c r="X224" s="1" t="s">
        <v>71</v>
      </c>
      <c r="Y224" s="1">
        <v>0</v>
      </c>
      <c r="Z224" s="1" t="s">
        <v>71</v>
      </c>
      <c r="AA224" s="1">
        <v>0</v>
      </c>
      <c r="AB224" s="1" t="s">
        <v>71</v>
      </c>
      <c r="AC224" s="1">
        <v>0</v>
      </c>
      <c r="AD224" s="25">
        <v>33.666666666666664</v>
      </c>
      <c r="AE224" s="25" t="s">
        <v>71</v>
      </c>
      <c r="AF224" s="25">
        <v>58</v>
      </c>
      <c r="AG224" s="25" t="s">
        <v>71</v>
      </c>
      <c r="AH224" s="1" t="s">
        <v>71</v>
      </c>
      <c r="AI224" s="1" t="s">
        <v>71</v>
      </c>
      <c r="AJ224" s="1">
        <v>2</v>
      </c>
      <c r="AK224" s="1">
        <v>0</v>
      </c>
      <c r="AL224" s="1">
        <v>0</v>
      </c>
      <c r="AM224" s="1">
        <v>0</v>
      </c>
      <c r="AN224" s="1">
        <v>0.05</v>
      </c>
      <c r="AO224" s="1">
        <v>0.1</v>
      </c>
      <c r="AP224" s="1">
        <v>5.000000000000001E-3</v>
      </c>
      <c r="AQ224" s="1">
        <v>28</v>
      </c>
      <c r="AR224" s="1">
        <v>0.05</v>
      </c>
      <c r="AS224" s="1">
        <v>10</v>
      </c>
      <c r="AT224" s="1">
        <v>0.5</v>
      </c>
      <c r="AU224" s="1" t="s">
        <v>71</v>
      </c>
      <c r="AV224" s="1" t="s">
        <v>71</v>
      </c>
      <c r="AW224" s="1" t="s">
        <v>71</v>
      </c>
      <c r="AX224" s="1">
        <v>0</v>
      </c>
      <c r="AY224" s="1">
        <v>0</v>
      </c>
      <c r="AZ224" s="1" t="s">
        <v>71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 t="s">
        <v>71</v>
      </c>
      <c r="BI224" s="1" t="s">
        <v>71</v>
      </c>
      <c r="BJ224" s="1" t="s">
        <v>71</v>
      </c>
      <c r="BK224" s="1">
        <v>7.000000000000001E-4</v>
      </c>
      <c r="BL224" s="1">
        <f t="shared" si="70"/>
        <v>7.0000000000000007E-2</v>
      </c>
      <c r="BM224" s="1">
        <v>7.0000000000000007E-2</v>
      </c>
      <c r="BN224" s="1">
        <v>0.01</v>
      </c>
      <c r="BO224" s="1">
        <v>2</v>
      </c>
      <c r="BP224" s="1">
        <v>15</v>
      </c>
      <c r="BQ224" s="1" t="s">
        <v>71</v>
      </c>
      <c r="BR224" s="1" t="s">
        <v>71</v>
      </c>
      <c r="BS224" s="1" t="s">
        <v>71</v>
      </c>
      <c r="BT224" s="1" t="s">
        <v>71</v>
      </c>
      <c r="BU224" s="1">
        <v>19</v>
      </c>
      <c r="BV224" s="28" t="s">
        <v>71</v>
      </c>
      <c r="BW224" s="28" t="s">
        <v>71</v>
      </c>
      <c r="BX224" s="1" t="s">
        <v>71</v>
      </c>
      <c r="BY224" s="1" t="s">
        <v>71</v>
      </c>
      <c r="BZ224" s="3">
        <v>1.7</v>
      </c>
      <c r="CA224" s="3" t="s">
        <v>71</v>
      </c>
      <c r="CB224" s="3">
        <f t="shared" si="71"/>
        <v>2.3611111111111112</v>
      </c>
      <c r="CC224" s="1" t="s">
        <v>71</v>
      </c>
      <c r="CD224" s="1">
        <v>1</v>
      </c>
      <c r="CE224" s="1">
        <v>1</v>
      </c>
      <c r="CF224" s="1">
        <f t="shared" ref="CF224:CF237" si="78">CE224</f>
        <v>1</v>
      </c>
      <c r="CG224" s="3" t="s">
        <v>71</v>
      </c>
      <c r="CH224" s="3" t="s">
        <v>71</v>
      </c>
      <c r="CI224" s="3" t="s">
        <v>71</v>
      </c>
      <c r="CJ224" s="3" t="s">
        <v>71</v>
      </c>
      <c r="CK224" s="3" t="s">
        <v>71</v>
      </c>
      <c r="CL224" s="3" t="s">
        <v>71</v>
      </c>
      <c r="CM224" s="3" t="s">
        <v>71</v>
      </c>
      <c r="CN224" s="3" t="s">
        <v>71</v>
      </c>
      <c r="CO224" s="5">
        <v>48</v>
      </c>
      <c r="CP224" s="5" t="s">
        <v>71</v>
      </c>
      <c r="CQ224" s="1">
        <v>33</v>
      </c>
      <c r="CR224" s="1" t="s">
        <v>71</v>
      </c>
      <c r="CS224" s="5" t="s">
        <v>71</v>
      </c>
      <c r="CT224" s="5">
        <v>8.6</v>
      </c>
      <c r="CU224" s="5" t="s">
        <v>71</v>
      </c>
      <c r="CV224" s="1" t="s">
        <v>71</v>
      </c>
      <c r="CW224" s="1" t="s">
        <v>71</v>
      </c>
      <c r="CX224" s="1" t="s">
        <v>71</v>
      </c>
      <c r="CY224" s="1">
        <v>9.8000000000000007</v>
      </c>
      <c r="CZ224" s="1" t="s">
        <v>71</v>
      </c>
      <c r="DA224">
        <f>ROUND((CY224*CB224*10),0)</f>
        <v>231</v>
      </c>
      <c r="DB224" s="1" t="s">
        <v>71</v>
      </c>
      <c r="DC224" s="26">
        <v>9.8000000000000007</v>
      </c>
      <c r="DD224">
        <f t="shared" si="72"/>
        <v>231</v>
      </c>
      <c r="DE224" s="1" t="s">
        <v>71</v>
      </c>
      <c r="DF224" s="1" t="s">
        <v>71</v>
      </c>
    </row>
    <row r="225" spans="1:110" ht="15" x14ac:dyDescent="0.15">
      <c r="A225" s="23">
        <v>2023</v>
      </c>
      <c r="B225" s="23" t="s">
        <v>48</v>
      </c>
      <c r="C225" s="23">
        <v>12</v>
      </c>
      <c r="D225" s="23">
        <v>3</v>
      </c>
      <c r="E225" s="23" t="s">
        <v>52</v>
      </c>
      <c r="F225" s="23"/>
      <c r="G225" s="23" t="s">
        <v>56</v>
      </c>
      <c r="H225" s="23">
        <v>4</v>
      </c>
      <c r="I225" s="23" t="s">
        <v>52</v>
      </c>
      <c r="J225" s="23" t="s">
        <v>57</v>
      </c>
      <c r="K225" s="1" t="s">
        <v>57</v>
      </c>
      <c r="L225" s="1" t="s">
        <v>71</v>
      </c>
      <c r="M225" s="1" t="s">
        <v>71</v>
      </c>
      <c r="N225" s="24">
        <v>45086</v>
      </c>
      <c r="O225" s="24">
        <v>45098</v>
      </c>
      <c r="P225" s="1" t="s">
        <v>71</v>
      </c>
      <c r="Q225" s="1" t="s">
        <v>71</v>
      </c>
      <c r="R225" s="1" t="s">
        <v>71</v>
      </c>
      <c r="S225" s="1" t="s">
        <v>71</v>
      </c>
      <c r="T225" s="1" t="s">
        <v>71</v>
      </c>
      <c r="U225" s="1">
        <v>81</v>
      </c>
      <c r="V225" s="1" t="s">
        <v>71</v>
      </c>
      <c r="W225" s="1" t="s">
        <v>71</v>
      </c>
      <c r="X225" s="1" t="s">
        <v>71</v>
      </c>
      <c r="Y225" s="1">
        <v>0</v>
      </c>
      <c r="Z225" s="1" t="s">
        <v>71</v>
      </c>
      <c r="AA225" s="1">
        <v>0</v>
      </c>
      <c r="AB225" s="1" t="s">
        <v>71</v>
      </c>
      <c r="AC225" s="1">
        <v>0</v>
      </c>
      <c r="AD225" s="25">
        <v>28</v>
      </c>
      <c r="AE225" s="25" t="s">
        <v>71</v>
      </c>
      <c r="AF225" s="25">
        <v>44</v>
      </c>
      <c r="AG225" s="25" t="s">
        <v>71</v>
      </c>
      <c r="AH225" s="1" t="s">
        <v>71</v>
      </c>
      <c r="AI225" s="1" t="s">
        <v>71</v>
      </c>
      <c r="AJ225" s="1">
        <v>2.2999999999999998</v>
      </c>
      <c r="AK225" s="1">
        <v>0</v>
      </c>
      <c r="AL225" s="1">
        <v>0</v>
      </c>
      <c r="AM225" s="1">
        <v>0</v>
      </c>
      <c r="AN225" s="1">
        <v>0.15</v>
      </c>
      <c r="AO225" s="1">
        <v>0.05</v>
      </c>
      <c r="AP225" s="1">
        <v>7.4999999999999997E-3</v>
      </c>
      <c r="AQ225" s="1">
        <v>27</v>
      </c>
      <c r="AR225" s="1">
        <v>0</v>
      </c>
      <c r="AS225" s="1">
        <v>0</v>
      </c>
      <c r="AT225" s="1">
        <v>0</v>
      </c>
      <c r="AU225" s="1" t="s">
        <v>71</v>
      </c>
      <c r="AV225" s="1" t="s">
        <v>71</v>
      </c>
      <c r="AW225" s="1" t="s">
        <v>71</v>
      </c>
      <c r="AX225" s="1">
        <v>0</v>
      </c>
      <c r="AY225" s="1">
        <v>0</v>
      </c>
      <c r="AZ225" s="1" t="s">
        <v>71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 t="s">
        <v>71</v>
      </c>
      <c r="BI225" s="1" t="s">
        <v>71</v>
      </c>
      <c r="BJ225" s="1" t="s">
        <v>71</v>
      </c>
      <c r="BK225" s="1">
        <v>2E-3</v>
      </c>
      <c r="BL225" s="1">
        <f t="shared" si="70"/>
        <v>0.2</v>
      </c>
      <c r="BM225" s="1">
        <v>0.1</v>
      </c>
      <c r="BN225" s="1">
        <v>0.02</v>
      </c>
      <c r="BO225" s="1">
        <v>3</v>
      </c>
      <c r="BP225" s="1">
        <v>0</v>
      </c>
      <c r="BQ225" s="1" t="s">
        <v>71</v>
      </c>
      <c r="BR225" s="1" t="s">
        <v>71</v>
      </c>
      <c r="BS225" s="1" t="s">
        <v>71</v>
      </c>
      <c r="BT225" s="1" t="s">
        <v>71</v>
      </c>
      <c r="BU225" s="1">
        <v>28</v>
      </c>
      <c r="BV225" s="28" t="s">
        <v>71</v>
      </c>
      <c r="BW225" s="28" t="s">
        <v>71</v>
      </c>
      <c r="BX225" s="1" t="s">
        <v>71</v>
      </c>
      <c r="BY225" s="1" t="s">
        <v>71</v>
      </c>
      <c r="BZ225" s="3">
        <v>1.9</v>
      </c>
      <c r="CA225" s="3" t="s">
        <v>71</v>
      </c>
      <c r="CB225" s="3">
        <f t="shared" si="71"/>
        <v>2.6388888888888888</v>
      </c>
      <c r="CC225" s="1" t="s">
        <v>71</v>
      </c>
      <c r="CD225" s="1">
        <v>1</v>
      </c>
      <c r="CE225" s="1">
        <v>1</v>
      </c>
      <c r="CF225" s="1">
        <f t="shared" si="78"/>
        <v>1</v>
      </c>
      <c r="CG225" s="3" t="s">
        <v>71</v>
      </c>
      <c r="CH225" s="3" t="s">
        <v>71</v>
      </c>
      <c r="CI225" s="3" t="s">
        <v>71</v>
      </c>
      <c r="CJ225" s="3" t="s">
        <v>71</v>
      </c>
      <c r="CK225" s="3" t="s">
        <v>71</v>
      </c>
      <c r="CL225" s="3" t="s">
        <v>71</v>
      </c>
      <c r="CM225" s="3" t="s">
        <v>71</v>
      </c>
      <c r="CN225" s="3" t="s">
        <v>71</v>
      </c>
      <c r="CO225" s="5">
        <v>46</v>
      </c>
      <c r="CP225" s="5" t="s">
        <v>71</v>
      </c>
      <c r="CQ225" s="1">
        <v>33</v>
      </c>
      <c r="CR225" s="1" t="s">
        <v>71</v>
      </c>
      <c r="CS225" s="5" t="s">
        <v>71</v>
      </c>
      <c r="CT225" s="5">
        <v>8</v>
      </c>
      <c r="CU225" s="5" t="s">
        <v>71</v>
      </c>
      <c r="CV225" s="1" t="s">
        <v>71</v>
      </c>
      <c r="CW225" s="1" t="s">
        <v>71</v>
      </c>
      <c r="CX225" s="1" t="s">
        <v>71</v>
      </c>
      <c r="CY225" s="1" t="s">
        <v>71</v>
      </c>
      <c r="CZ225" s="1" t="s">
        <v>71</v>
      </c>
      <c r="DA225" s="1" t="s">
        <v>71</v>
      </c>
      <c r="DB225" s="1" t="s">
        <v>71</v>
      </c>
      <c r="DC225" s="26" t="s">
        <v>71</v>
      </c>
      <c r="DD225">
        <f t="shared" si="72"/>
        <v>0</v>
      </c>
      <c r="DE225" s="1" t="s">
        <v>71</v>
      </c>
      <c r="DF225" s="1" t="s">
        <v>71</v>
      </c>
    </row>
    <row r="226" spans="1:110" ht="15" x14ac:dyDescent="0.15">
      <c r="A226" s="23">
        <v>2023</v>
      </c>
      <c r="B226" s="23" t="s">
        <v>48</v>
      </c>
      <c r="C226" s="23">
        <v>12</v>
      </c>
      <c r="D226" s="23">
        <v>4</v>
      </c>
      <c r="E226" s="23" t="s">
        <v>50</v>
      </c>
      <c r="F226" s="23"/>
      <c r="G226" s="23" t="s">
        <v>56</v>
      </c>
      <c r="H226" s="23">
        <v>4</v>
      </c>
      <c r="I226" s="23" t="s">
        <v>50</v>
      </c>
      <c r="J226" s="23" t="s">
        <v>58</v>
      </c>
      <c r="K226" s="1" t="s">
        <v>57</v>
      </c>
      <c r="L226" s="1" t="s">
        <v>71</v>
      </c>
      <c r="M226" s="1" t="s">
        <v>71</v>
      </c>
      <c r="N226" s="24">
        <v>45080</v>
      </c>
      <c r="O226" s="24">
        <v>45088</v>
      </c>
      <c r="P226" s="1" t="s">
        <v>71</v>
      </c>
      <c r="Q226" s="1" t="s">
        <v>71</v>
      </c>
      <c r="R226" s="1" t="s">
        <v>71</v>
      </c>
      <c r="S226" s="1" t="s">
        <v>71</v>
      </c>
      <c r="T226" s="1" t="s">
        <v>71</v>
      </c>
      <c r="U226" s="1">
        <v>85</v>
      </c>
      <c r="V226" s="1" t="s">
        <v>71</v>
      </c>
      <c r="W226" s="1" t="s">
        <v>71</v>
      </c>
      <c r="X226" s="1" t="s">
        <v>71</v>
      </c>
      <c r="Y226" s="1">
        <v>0</v>
      </c>
      <c r="Z226" s="1" t="s">
        <v>71</v>
      </c>
      <c r="AA226" s="1">
        <v>0</v>
      </c>
      <c r="AB226" s="1" t="s">
        <v>71</v>
      </c>
      <c r="AC226" s="1">
        <v>0</v>
      </c>
      <c r="AD226" s="25">
        <v>44</v>
      </c>
      <c r="AE226" s="25" t="s">
        <v>71</v>
      </c>
      <c r="AF226" s="25">
        <v>102</v>
      </c>
      <c r="AG226" s="25" t="s">
        <v>71</v>
      </c>
      <c r="AH226" s="1" t="s">
        <v>71</v>
      </c>
      <c r="AI226" s="1" t="s">
        <v>71</v>
      </c>
      <c r="AJ226" s="1">
        <v>4</v>
      </c>
      <c r="AK226" s="1">
        <v>0</v>
      </c>
      <c r="AL226" s="1">
        <v>0</v>
      </c>
      <c r="AM226" s="1">
        <v>0</v>
      </c>
      <c r="AN226" s="1">
        <v>0.06</v>
      </c>
      <c r="AO226" s="1">
        <v>0.03</v>
      </c>
      <c r="AP226" s="1">
        <v>1.8E-3</v>
      </c>
      <c r="AQ226" s="1">
        <v>9</v>
      </c>
      <c r="AR226" s="1">
        <v>0.05</v>
      </c>
      <c r="AS226" s="1">
        <v>8</v>
      </c>
      <c r="AT226" s="1">
        <v>0.4</v>
      </c>
      <c r="AU226" s="1" t="s">
        <v>71</v>
      </c>
      <c r="AV226" s="1" t="s">
        <v>71</v>
      </c>
      <c r="AW226" s="1" t="s">
        <v>71</v>
      </c>
      <c r="AX226" s="1">
        <v>0</v>
      </c>
      <c r="AY226" s="1">
        <v>0</v>
      </c>
      <c r="AZ226" s="1" t="s">
        <v>71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 t="s">
        <v>71</v>
      </c>
      <c r="BI226" s="1" t="s">
        <v>71</v>
      </c>
      <c r="BJ226" s="1" t="s">
        <v>71</v>
      </c>
      <c r="BK226" s="1">
        <v>1.5E-3</v>
      </c>
      <c r="BL226" s="1">
        <f t="shared" si="70"/>
        <v>0.15</v>
      </c>
      <c r="BM226" s="1">
        <v>0.05</v>
      </c>
      <c r="BN226" s="1">
        <v>0.03</v>
      </c>
      <c r="BO226" s="1">
        <v>1</v>
      </c>
      <c r="BP226" s="1">
        <v>5</v>
      </c>
      <c r="BQ226" s="1" t="s">
        <v>71</v>
      </c>
      <c r="BR226" s="1" t="s">
        <v>71</v>
      </c>
      <c r="BS226" s="1" t="s">
        <v>71</v>
      </c>
      <c r="BT226" s="1" t="s">
        <v>71</v>
      </c>
      <c r="BU226" s="1">
        <v>18</v>
      </c>
      <c r="BV226" s="28" t="s">
        <v>71</v>
      </c>
      <c r="BW226" s="28" t="s">
        <v>71</v>
      </c>
      <c r="BX226" s="1" t="s">
        <v>71</v>
      </c>
      <c r="BY226" s="1" t="s">
        <v>71</v>
      </c>
      <c r="BZ226" s="3">
        <v>3.3</v>
      </c>
      <c r="CA226" s="3" t="s">
        <v>71</v>
      </c>
      <c r="CB226" s="3">
        <f t="shared" si="71"/>
        <v>4.5833333333333339</v>
      </c>
      <c r="CC226" s="1" t="s">
        <v>71</v>
      </c>
      <c r="CD226" s="1">
        <v>1</v>
      </c>
      <c r="CE226" s="1">
        <v>1</v>
      </c>
      <c r="CF226" s="1">
        <f t="shared" si="78"/>
        <v>1</v>
      </c>
      <c r="CG226" s="3" t="s">
        <v>71</v>
      </c>
      <c r="CH226" s="3" t="s">
        <v>71</v>
      </c>
      <c r="CI226" s="3" t="s">
        <v>71</v>
      </c>
      <c r="CJ226" s="3" t="s">
        <v>71</v>
      </c>
      <c r="CK226" s="3" t="s">
        <v>71</v>
      </c>
      <c r="CL226" s="3" t="s">
        <v>71</v>
      </c>
      <c r="CM226" s="3" t="s">
        <v>71</v>
      </c>
      <c r="CN226" s="3" t="s">
        <v>71</v>
      </c>
      <c r="CO226" s="5">
        <v>48</v>
      </c>
      <c r="CP226" s="5" t="s">
        <v>71</v>
      </c>
      <c r="CQ226" s="1">
        <v>38</v>
      </c>
      <c r="CR226" s="1" t="s">
        <v>71</v>
      </c>
      <c r="CS226" s="5" t="s">
        <v>71</v>
      </c>
      <c r="CT226" s="5">
        <v>8.1999999999999993</v>
      </c>
      <c r="CU226" s="5" t="s">
        <v>71</v>
      </c>
      <c r="CV226" s="1" t="s">
        <v>71</v>
      </c>
      <c r="CW226" s="1" t="s">
        <v>71</v>
      </c>
      <c r="CX226" s="1" t="s">
        <v>71</v>
      </c>
      <c r="CY226" s="1">
        <v>10.3</v>
      </c>
      <c r="CZ226" s="1" t="s">
        <v>71</v>
      </c>
      <c r="DA226">
        <f>ROUND((CY226*CB226*10),0)</f>
        <v>472</v>
      </c>
      <c r="DB226" s="1" t="s">
        <v>71</v>
      </c>
      <c r="DC226" s="26">
        <v>10.3</v>
      </c>
      <c r="DD226">
        <f t="shared" si="72"/>
        <v>472</v>
      </c>
      <c r="DE226" s="1" t="s">
        <v>71</v>
      </c>
      <c r="DF226" s="1" t="s">
        <v>71</v>
      </c>
    </row>
    <row r="227" spans="1:110" ht="15" x14ac:dyDescent="0.15">
      <c r="A227" s="23">
        <v>2023</v>
      </c>
      <c r="B227" s="23" t="s">
        <v>48</v>
      </c>
      <c r="C227" s="23">
        <v>12</v>
      </c>
      <c r="D227" s="23">
        <v>5</v>
      </c>
      <c r="E227" s="23" t="s">
        <v>51</v>
      </c>
      <c r="F227" s="23"/>
      <c r="G227" s="23" t="s">
        <v>56</v>
      </c>
      <c r="H227" s="23">
        <v>4</v>
      </c>
      <c r="I227" s="23" t="s">
        <v>51</v>
      </c>
      <c r="J227" s="23" t="s">
        <v>58</v>
      </c>
      <c r="K227" s="1" t="s">
        <v>57</v>
      </c>
      <c r="L227" s="1" t="s">
        <v>71</v>
      </c>
      <c r="M227" s="1" t="s">
        <v>71</v>
      </c>
      <c r="N227" s="24">
        <v>45084</v>
      </c>
      <c r="O227" s="24">
        <v>45090</v>
      </c>
      <c r="P227" s="1" t="s">
        <v>71</v>
      </c>
      <c r="Q227" s="1" t="s">
        <v>71</v>
      </c>
      <c r="R227" s="1" t="s">
        <v>71</v>
      </c>
      <c r="S227" s="1" t="s">
        <v>71</v>
      </c>
      <c r="T227" s="1" t="s">
        <v>71</v>
      </c>
      <c r="U227" s="1">
        <v>81</v>
      </c>
      <c r="V227" s="1" t="s">
        <v>71</v>
      </c>
      <c r="W227" s="1" t="s">
        <v>71</v>
      </c>
      <c r="X227" s="1" t="s">
        <v>71</v>
      </c>
      <c r="Y227" s="1">
        <v>0</v>
      </c>
      <c r="Z227" s="1" t="s">
        <v>71</v>
      </c>
      <c r="AA227" s="1">
        <v>0</v>
      </c>
      <c r="AB227" s="1" t="s">
        <v>71</v>
      </c>
      <c r="AC227" s="1">
        <v>0</v>
      </c>
      <c r="AD227" s="25">
        <v>35.666666666666664</v>
      </c>
      <c r="AE227" s="25" t="s">
        <v>71</v>
      </c>
      <c r="AF227" s="25">
        <v>82</v>
      </c>
      <c r="AG227" s="25" t="s">
        <v>71</v>
      </c>
      <c r="AH227" s="1" t="s">
        <v>71</v>
      </c>
      <c r="AI227" s="1" t="s">
        <v>71</v>
      </c>
      <c r="AJ227" s="1">
        <v>4</v>
      </c>
      <c r="AK227" s="1">
        <v>0</v>
      </c>
      <c r="AL227" s="1">
        <v>0</v>
      </c>
      <c r="AM227" s="1">
        <v>0</v>
      </c>
      <c r="AN227" s="1">
        <v>0.1</v>
      </c>
      <c r="AO227" s="1">
        <v>0.02</v>
      </c>
      <c r="AP227" s="1">
        <v>2E-3</v>
      </c>
      <c r="AQ227" s="1">
        <v>18</v>
      </c>
      <c r="AR227" s="1">
        <v>5.0000000000000001E-3</v>
      </c>
      <c r="AS227" s="1">
        <v>5</v>
      </c>
      <c r="AT227" s="1">
        <v>2.5000000000000001E-2</v>
      </c>
      <c r="AU227" s="1" t="s">
        <v>71</v>
      </c>
      <c r="AV227" s="1" t="s">
        <v>71</v>
      </c>
      <c r="AW227" s="1" t="s">
        <v>71</v>
      </c>
      <c r="AX227" s="1">
        <v>0</v>
      </c>
      <c r="AY227" s="1">
        <v>0</v>
      </c>
      <c r="AZ227" s="1" t="s">
        <v>71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 t="s">
        <v>71</v>
      </c>
      <c r="BI227" s="1" t="s">
        <v>71</v>
      </c>
      <c r="BJ227" s="1" t="s">
        <v>71</v>
      </c>
      <c r="BK227" s="1">
        <v>1.0000000000000002E-2</v>
      </c>
      <c r="BL227" s="1">
        <f t="shared" si="70"/>
        <v>1.0000000000000002</v>
      </c>
      <c r="BM227" s="1">
        <v>0.1</v>
      </c>
      <c r="BN227" s="1">
        <v>0.1</v>
      </c>
      <c r="BO227" s="1">
        <v>1</v>
      </c>
      <c r="BP227" s="1">
        <v>0</v>
      </c>
      <c r="BQ227" s="1" t="s">
        <v>71</v>
      </c>
      <c r="BR227" s="1" t="s">
        <v>71</v>
      </c>
      <c r="BS227" s="1" t="s">
        <v>71</v>
      </c>
      <c r="BT227" s="1" t="s">
        <v>71</v>
      </c>
      <c r="BU227" s="1">
        <v>12</v>
      </c>
      <c r="BV227" s="28" t="s">
        <v>71</v>
      </c>
      <c r="BW227" s="28" t="s">
        <v>71</v>
      </c>
      <c r="BX227" s="1" t="s">
        <v>71</v>
      </c>
      <c r="BY227" s="1" t="s">
        <v>71</v>
      </c>
      <c r="BZ227" s="3">
        <v>2.9</v>
      </c>
      <c r="CA227" s="3" t="s">
        <v>71</v>
      </c>
      <c r="CB227" s="3">
        <f t="shared" si="71"/>
        <v>4.0277777777777777</v>
      </c>
      <c r="CC227" s="1" t="s">
        <v>71</v>
      </c>
      <c r="CD227" s="1">
        <v>1</v>
      </c>
      <c r="CE227" s="1">
        <v>1</v>
      </c>
      <c r="CF227" s="1">
        <f t="shared" si="78"/>
        <v>1</v>
      </c>
      <c r="CG227" s="3" t="s">
        <v>71</v>
      </c>
      <c r="CH227" s="3" t="s">
        <v>71</v>
      </c>
      <c r="CI227" s="3" t="s">
        <v>71</v>
      </c>
      <c r="CJ227" s="3" t="s">
        <v>71</v>
      </c>
      <c r="CK227" s="3" t="s">
        <v>71</v>
      </c>
      <c r="CL227" s="3" t="s">
        <v>71</v>
      </c>
      <c r="CM227" s="3" t="s">
        <v>71</v>
      </c>
      <c r="CN227" s="3" t="s">
        <v>71</v>
      </c>
      <c r="CO227" s="5">
        <v>47</v>
      </c>
      <c r="CP227" s="5" t="s">
        <v>71</v>
      </c>
      <c r="CQ227" s="1">
        <v>33</v>
      </c>
      <c r="CR227" s="1" t="s">
        <v>71</v>
      </c>
      <c r="CS227" s="5" t="s">
        <v>71</v>
      </c>
      <c r="CT227" s="5">
        <v>7.4</v>
      </c>
      <c r="CU227" s="5" t="s">
        <v>71</v>
      </c>
      <c r="CV227" s="1" t="s">
        <v>71</v>
      </c>
      <c r="CW227" s="1" t="s">
        <v>71</v>
      </c>
      <c r="CX227" s="1" t="s">
        <v>71</v>
      </c>
      <c r="CY227" s="1">
        <v>9.5</v>
      </c>
      <c r="CZ227" s="1" t="s">
        <v>71</v>
      </c>
      <c r="DA227">
        <f>ROUND((CY227*CB227*10),0)</f>
        <v>383</v>
      </c>
      <c r="DB227" s="1" t="s">
        <v>71</v>
      </c>
      <c r="DC227" s="26">
        <v>9.5</v>
      </c>
      <c r="DD227">
        <f t="shared" si="72"/>
        <v>383</v>
      </c>
      <c r="DE227" s="1" t="s">
        <v>71</v>
      </c>
      <c r="DF227" s="1" t="s">
        <v>71</v>
      </c>
    </row>
    <row r="228" spans="1:110" ht="15" x14ac:dyDescent="0.15">
      <c r="A228" s="23">
        <v>2023</v>
      </c>
      <c r="B228" s="23" t="s">
        <v>48</v>
      </c>
      <c r="C228" s="23">
        <v>12</v>
      </c>
      <c r="D228" s="23">
        <v>6</v>
      </c>
      <c r="E228" s="23" t="s">
        <v>52</v>
      </c>
      <c r="F228" s="23"/>
      <c r="G228" s="23" t="s">
        <v>56</v>
      </c>
      <c r="H228" s="23">
        <v>4</v>
      </c>
      <c r="I228" s="23" t="s">
        <v>52</v>
      </c>
      <c r="J228" s="23" t="s">
        <v>58</v>
      </c>
      <c r="K228" s="1" t="s">
        <v>57</v>
      </c>
      <c r="L228" s="1" t="s">
        <v>71</v>
      </c>
      <c r="M228" s="1" t="s">
        <v>71</v>
      </c>
      <c r="N228" s="24">
        <v>45087</v>
      </c>
      <c r="O228" s="24">
        <v>45098</v>
      </c>
      <c r="P228" s="1" t="s">
        <v>71</v>
      </c>
      <c r="Q228" s="1" t="s">
        <v>71</v>
      </c>
      <c r="R228" s="1" t="s">
        <v>71</v>
      </c>
      <c r="S228" s="1" t="s">
        <v>71</v>
      </c>
      <c r="T228" s="1" t="s">
        <v>71</v>
      </c>
      <c r="U228" s="1">
        <v>81</v>
      </c>
      <c r="V228" s="1" t="s">
        <v>71</v>
      </c>
      <c r="W228" s="1" t="s">
        <v>71</v>
      </c>
      <c r="X228" s="1" t="s">
        <v>71</v>
      </c>
      <c r="Y228" s="1">
        <v>0</v>
      </c>
      <c r="Z228" s="1" t="s">
        <v>71</v>
      </c>
      <c r="AA228" s="1">
        <v>0</v>
      </c>
      <c r="AB228" s="1" t="s">
        <v>71</v>
      </c>
      <c r="AC228" s="1">
        <v>0</v>
      </c>
      <c r="AD228" s="25">
        <v>37</v>
      </c>
      <c r="AE228" s="25" t="s">
        <v>71</v>
      </c>
      <c r="AF228" s="25">
        <v>71</v>
      </c>
      <c r="AG228" s="25" t="s">
        <v>71</v>
      </c>
      <c r="AH228" s="1" t="s">
        <v>71</v>
      </c>
      <c r="AI228" s="1" t="s">
        <v>71</v>
      </c>
      <c r="AJ228" s="1">
        <v>2</v>
      </c>
      <c r="AK228" s="1">
        <v>0</v>
      </c>
      <c r="AL228" s="1">
        <v>0</v>
      </c>
      <c r="AM228" s="1">
        <v>0</v>
      </c>
      <c r="AN228" s="1">
        <v>0.15</v>
      </c>
      <c r="AO228" s="1">
        <v>0.05</v>
      </c>
      <c r="AP228" s="1">
        <v>7.4999999999999997E-3</v>
      </c>
      <c r="AQ228" s="1">
        <v>17</v>
      </c>
      <c r="AR228" s="1">
        <v>0.05</v>
      </c>
      <c r="AS228" s="1">
        <v>6</v>
      </c>
      <c r="AT228" s="1">
        <v>0.30000000000000004</v>
      </c>
      <c r="AU228" s="1" t="s">
        <v>71</v>
      </c>
      <c r="AV228" s="1" t="s">
        <v>71</v>
      </c>
      <c r="AW228" s="1" t="s">
        <v>71</v>
      </c>
      <c r="AX228" s="1">
        <v>0</v>
      </c>
      <c r="AY228" s="1">
        <v>0.03</v>
      </c>
      <c r="AZ228" s="1" t="s">
        <v>71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 t="s">
        <v>71</v>
      </c>
      <c r="BI228" s="1" t="s">
        <v>71</v>
      </c>
      <c r="BJ228" s="1" t="s">
        <v>71</v>
      </c>
      <c r="BK228" s="1">
        <v>5.0000000000000001E-3</v>
      </c>
      <c r="BL228" s="1">
        <f t="shared" si="70"/>
        <v>0.5</v>
      </c>
      <c r="BM228" s="1">
        <v>0.5</v>
      </c>
      <c r="BN228" s="1">
        <v>0.01</v>
      </c>
      <c r="BO228" s="1">
        <v>2</v>
      </c>
      <c r="BP228" s="1">
        <v>0</v>
      </c>
      <c r="BQ228" s="1" t="s">
        <v>71</v>
      </c>
      <c r="BR228" s="1" t="s">
        <v>71</v>
      </c>
      <c r="BS228" s="1" t="s">
        <v>71</v>
      </c>
      <c r="BT228" s="1" t="s">
        <v>71</v>
      </c>
      <c r="BU228" s="1">
        <v>9</v>
      </c>
      <c r="BV228" s="28" t="s">
        <v>71</v>
      </c>
      <c r="BW228" s="28" t="s">
        <v>71</v>
      </c>
      <c r="BX228" s="1" t="s">
        <v>71</v>
      </c>
      <c r="BY228" s="1" t="s">
        <v>71</v>
      </c>
      <c r="BZ228" s="3">
        <v>3</v>
      </c>
      <c r="CA228" s="3" t="s">
        <v>71</v>
      </c>
      <c r="CB228" s="3">
        <f t="shared" si="71"/>
        <v>4.166666666666667</v>
      </c>
      <c r="CC228" s="1" t="s">
        <v>71</v>
      </c>
      <c r="CD228" s="1">
        <v>1</v>
      </c>
      <c r="CE228" s="1">
        <v>1</v>
      </c>
      <c r="CF228" s="1">
        <f t="shared" si="78"/>
        <v>1</v>
      </c>
      <c r="CG228" s="3" t="s">
        <v>71</v>
      </c>
      <c r="CH228" s="3" t="s">
        <v>71</v>
      </c>
      <c r="CI228" s="3" t="s">
        <v>71</v>
      </c>
      <c r="CJ228" s="3" t="s">
        <v>71</v>
      </c>
      <c r="CK228" s="3" t="s">
        <v>71</v>
      </c>
      <c r="CL228" s="3" t="s">
        <v>71</v>
      </c>
      <c r="CM228" s="3" t="s">
        <v>71</v>
      </c>
      <c r="CN228" s="3" t="s">
        <v>71</v>
      </c>
      <c r="CO228" s="5">
        <v>47</v>
      </c>
      <c r="CP228" s="5" t="s">
        <v>71</v>
      </c>
      <c r="CQ228" s="1">
        <v>31</v>
      </c>
      <c r="CR228" s="1" t="s">
        <v>71</v>
      </c>
      <c r="CS228" s="5" t="s">
        <v>71</v>
      </c>
      <c r="CT228" s="5">
        <v>8.1999999999999993</v>
      </c>
      <c r="CU228" s="5" t="s">
        <v>71</v>
      </c>
      <c r="CV228" s="1" t="s">
        <v>71</v>
      </c>
      <c r="CW228" s="1" t="s">
        <v>71</v>
      </c>
      <c r="CX228" s="1" t="s">
        <v>71</v>
      </c>
      <c r="CY228" s="1">
        <v>10.8</v>
      </c>
      <c r="CZ228" s="1" t="s">
        <v>71</v>
      </c>
      <c r="DA228">
        <f>ROUND((CY228*CB228*10),0)</f>
        <v>450</v>
      </c>
      <c r="DB228" s="1" t="s">
        <v>71</v>
      </c>
      <c r="DC228" s="26">
        <v>10.8</v>
      </c>
      <c r="DD228">
        <f t="shared" si="72"/>
        <v>450</v>
      </c>
      <c r="DE228" s="1" t="s">
        <v>71</v>
      </c>
      <c r="DF228" s="1" t="s">
        <v>71</v>
      </c>
    </row>
    <row r="229" spans="1:110" ht="15" x14ac:dyDescent="0.15">
      <c r="A229" s="23">
        <v>2023</v>
      </c>
      <c r="B229" s="23" t="s">
        <v>48</v>
      </c>
      <c r="C229" s="23">
        <v>12</v>
      </c>
      <c r="D229" s="23">
        <v>7</v>
      </c>
      <c r="E229" s="23"/>
      <c r="F229" s="23" t="s">
        <v>53</v>
      </c>
      <c r="G229" s="23" t="s">
        <v>56</v>
      </c>
      <c r="H229" s="23">
        <v>4</v>
      </c>
      <c r="I229" s="23" t="s">
        <v>53</v>
      </c>
      <c r="J229" s="23" t="s">
        <v>57</v>
      </c>
      <c r="K229" s="24">
        <v>45073</v>
      </c>
      <c r="L229" s="1" t="s">
        <v>71</v>
      </c>
      <c r="M229" s="1" t="s">
        <v>71</v>
      </c>
      <c r="N229" s="1" t="s">
        <v>71</v>
      </c>
      <c r="O229" s="1" t="s">
        <v>71</v>
      </c>
      <c r="P229" s="24">
        <v>45078</v>
      </c>
      <c r="Q229" s="1" t="s">
        <v>71</v>
      </c>
      <c r="R229" s="1" t="s">
        <v>71</v>
      </c>
      <c r="S229" s="1" t="s">
        <v>71</v>
      </c>
      <c r="T229" s="1" t="s">
        <v>71</v>
      </c>
      <c r="U229" s="1" t="s">
        <v>71</v>
      </c>
      <c r="V229" s="1">
        <v>83</v>
      </c>
      <c r="W229" s="1" t="s">
        <v>71</v>
      </c>
      <c r="X229" s="1">
        <v>0</v>
      </c>
      <c r="Y229" s="1" t="s">
        <v>71</v>
      </c>
      <c r="Z229" s="1">
        <v>30</v>
      </c>
      <c r="AA229" s="1" t="s">
        <v>71</v>
      </c>
      <c r="AB229" s="1">
        <v>0</v>
      </c>
      <c r="AC229" s="1" t="s">
        <v>71</v>
      </c>
      <c r="AD229" s="25" t="s">
        <v>71</v>
      </c>
      <c r="AE229" s="25">
        <v>23.333333333333332</v>
      </c>
      <c r="AF229" s="25" t="s">
        <v>71</v>
      </c>
      <c r="AG229" s="25">
        <v>77</v>
      </c>
      <c r="AH229" s="1" t="s">
        <v>71</v>
      </c>
      <c r="AI229" s="1" t="s">
        <v>71</v>
      </c>
      <c r="AJ229" s="1" t="s">
        <v>71</v>
      </c>
      <c r="AK229" s="1" t="s">
        <v>71</v>
      </c>
      <c r="AL229" s="1" t="s">
        <v>71</v>
      </c>
      <c r="AM229" s="1" t="s">
        <v>71</v>
      </c>
      <c r="AN229" s="1" t="s">
        <v>71</v>
      </c>
      <c r="AO229" s="1" t="s">
        <v>71</v>
      </c>
      <c r="AP229" s="1" t="s">
        <v>71</v>
      </c>
      <c r="AQ229" s="1" t="s">
        <v>71</v>
      </c>
      <c r="AR229" s="1" t="s">
        <v>71</v>
      </c>
      <c r="AS229" s="1" t="s">
        <v>71</v>
      </c>
      <c r="AT229" s="1" t="s">
        <v>71</v>
      </c>
      <c r="AU229" s="1">
        <v>0</v>
      </c>
      <c r="AV229" s="1">
        <v>0</v>
      </c>
      <c r="AW229" s="1">
        <v>0</v>
      </c>
      <c r="AX229" s="1" t="s">
        <v>71</v>
      </c>
      <c r="AY229" s="1" t="s">
        <v>71</v>
      </c>
      <c r="AZ229" s="1">
        <v>0</v>
      </c>
      <c r="BA229" s="1" t="s">
        <v>71</v>
      </c>
      <c r="BB229" s="1" t="s">
        <v>71</v>
      </c>
      <c r="BC229" s="1" t="s">
        <v>71</v>
      </c>
      <c r="BD229" s="1" t="s">
        <v>71</v>
      </c>
      <c r="BE229" s="1" t="s">
        <v>71</v>
      </c>
      <c r="BF229" s="1" t="s">
        <v>71</v>
      </c>
      <c r="BG229" s="1" t="s">
        <v>71</v>
      </c>
      <c r="BH229" s="1">
        <v>2</v>
      </c>
      <c r="BI229" s="1">
        <v>30</v>
      </c>
      <c r="BJ229" s="1">
        <v>0</v>
      </c>
      <c r="BK229" s="1">
        <v>3.2000000000000001E-2</v>
      </c>
      <c r="BL229" s="1">
        <f t="shared" si="70"/>
        <v>3.2</v>
      </c>
      <c r="BM229" s="1">
        <v>0.4</v>
      </c>
      <c r="BN229" s="1">
        <v>0.08</v>
      </c>
      <c r="BO229" s="1">
        <v>1</v>
      </c>
      <c r="BP229" s="1">
        <v>0</v>
      </c>
      <c r="BQ229" s="1">
        <v>156</v>
      </c>
      <c r="BR229" s="1">
        <v>3</v>
      </c>
      <c r="BS229" s="1">
        <v>0</v>
      </c>
      <c r="BT229" s="1">
        <v>16</v>
      </c>
      <c r="BU229" s="1" t="s">
        <v>71</v>
      </c>
      <c r="BV229" s="28">
        <v>8.6666666666666661</v>
      </c>
      <c r="BW229" s="28">
        <v>3</v>
      </c>
      <c r="BX229" s="1" t="s">
        <v>71</v>
      </c>
      <c r="BY229" s="1" t="s">
        <v>71</v>
      </c>
      <c r="BZ229" s="3" t="s">
        <v>71</v>
      </c>
      <c r="CA229" s="3">
        <v>2.4</v>
      </c>
      <c r="CB229" s="1" t="s">
        <v>71</v>
      </c>
      <c r="CC229" s="3">
        <f t="shared" si="74"/>
        <v>3.3333333333333339</v>
      </c>
      <c r="CD229" s="1">
        <v>1</v>
      </c>
      <c r="CE229" s="1">
        <v>1</v>
      </c>
      <c r="CF229" s="1">
        <f t="shared" si="78"/>
        <v>1</v>
      </c>
      <c r="CG229" s="1" t="s">
        <v>71</v>
      </c>
      <c r="CH229" s="1" t="s">
        <v>71</v>
      </c>
      <c r="CI229" s="1" t="s">
        <v>71</v>
      </c>
      <c r="CJ229" s="1" t="s">
        <v>71</v>
      </c>
      <c r="CK229" s="3" t="s">
        <v>71</v>
      </c>
      <c r="CL229" s="3" t="s">
        <v>71</v>
      </c>
      <c r="CM229" s="3" t="s">
        <v>71</v>
      </c>
      <c r="CN229" s="3" t="s">
        <v>71</v>
      </c>
      <c r="CO229" s="5" t="s">
        <v>71</v>
      </c>
      <c r="CP229" s="5">
        <v>72</v>
      </c>
      <c r="CQ229" s="1" t="s">
        <v>71</v>
      </c>
      <c r="CR229" s="1">
        <v>156</v>
      </c>
      <c r="CS229" s="5">
        <v>33.799999999999997</v>
      </c>
      <c r="CT229" s="5" t="s">
        <v>71</v>
      </c>
      <c r="CU229" s="5">
        <v>5.7</v>
      </c>
      <c r="CV229" s="1" t="s">
        <v>71</v>
      </c>
      <c r="CW229" s="1" t="s">
        <v>71</v>
      </c>
      <c r="CX229" t="e">
        <f>ROUND(CV229*#REF!/10,1)</f>
        <v>#VALUE!</v>
      </c>
      <c r="CY229" s="1" t="s">
        <v>71</v>
      </c>
      <c r="CZ229">
        <f t="shared" ref="CZ229:CZ240" si="79">ROUND((10*CC229*CS229),0)</f>
        <v>1127</v>
      </c>
      <c r="DA229" s="1" t="s">
        <v>71</v>
      </c>
      <c r="DB229" s="1" t="s">
        <v>71</v>
      </c>
      <c r="DC229" s="26" t="s">
        <v>71</v>
      </c>
      <c r="DD229">
        <f t="shared" si="72"/>
        <v>1127</v>
      </c>
      <c r="DE229" s="1" t="s">
        <v>71</v>
      </c>
      <c r="DF229" s="1" t="s">
        <v>71</v>
      </c>
    </row>
    <row r="230" spans="1:110" ht="15" x14ac:dyDescent="0.15">
      <c r="A230" s="23">
        <v>2023</v>
      </c>
      <c r="B230" s="23" t="s">
        <v>48</v>
      </c>
      <c r="C230" s="23">
        <v>12</v>
      </c>
      <c r="D230" s="23">
        <v>8</v>
      </c>
      <c r="E230" s="23"/>
      <c r="F230" s="23" t="s">
        <v>54</v>
      </c>
      <c r="G230" s="23" t="s">
        <v>56</v>
      </c>
      <c r="H230" s="23">
        <v>4</v>
      </c>
      <c r="I230" s="23" t="s">
        <v>54</v>
      </c>
      <c r="J230" s="23" t="s">
        <v>57</v>
      </c>
      <c r="K230" s="24">
        <v>45078</v>
      </c>
      <c r="L230" s="1" t="s">
        <v>71</v>
      </c>
      <c r="M230" s="1" t="s">
        <v>71</v>
      </c>
      <c r="N230" s="1" t="s">
        <v>71</v>
      </c>
      <c r="O230" s="1" t="s">
        <v>71</v>
      </c>
      <c r="P230" s="24">
        <v>45080</v>
      </c>
      <c r="Q230" s="1" t="s">
        <v>71</v>
      </c>
      <c r="R230" s="1" t="s">
        <v>71</v>
      </c>
      <c r="S230" s="1" t="s">
        <v>71</v>
      </c>
      <c r="T230" s="1" t="s">
        <v>71</v>
      </c>
      <c r="U230" s="1" t="s">
        <v>71</v>
      </c>
      <c r="V230" s="1">
        <v>86</v>
      </c>
      <c r="W230" s="1" t="s">
        <v>71</v>
      </c>
      <c r="X230" s="1">
        <v>0</v>
      </c>
      <c r="Y230" s="1" t="s">
        <v>71</v>
      </c>
      <c r="Z230" s="1">
        <v>40</v>
      </c>
      <c r="AA230" s="1" t="s">
        <v>71</v>
      </c>
      <c r="AB230" s="1">
        <v>0</v>
      </c>
      <c r="AC230" s="1" t="s">
        <v>71</v>
      </c>
      <c r="AD230" s="25" t="s">
        <v>71</v>
      </c>
      <c r="AE230" s="25">
        <v>17.333333333333332</v>
      </c>
      <c r="AF230" s="25" t="s">
        <v>71</v>
      </c>
      <c r="AG230" s="25">
        <v>73</v>
      </c>
      <c r="AH230" s="1" t="s">
        <v>71</v>
      </c>
      <c r="AI230" s="1" t="s">
        <v>71</v>
      </c>
      <c r="AJ230" s="1" t="s">
        <v>71</v>
      </c>
      <c r="AK230" s="1" t="s">
        <v>71</v>
      </c>
      <c r="AL230" s="1" t="s">
        <v>71</v>
      </c>
      <c r="AM230" s="1" t="s">
        <v>71</v>
      </c>
      <c r="AN230" s="1" t="s">
        <v>71</v>
      </c>
      <c r="AO230" s="1" t="s">
        <v>71</v>
      </c>
      <c r="AP230" s="1" t="s">
        <v>71</v>
      </c>
      <c r="AQ230" s="1" t="s">
        <v>71</v>
      </c>
      <c r="AR230" s="1" t="s">
        <v>71</v>
      </c>
      <c r="AS230" s="1" t="s">
        <v>71</v>
      </c>
      <c r="AT230" s="1" t="s">
        <v>71</v>
      </c>
      <c r="AU230" s="1">
        <v>0</v>
      </c>
      <c r="AV230" s="1">
        <v>0</v>
      </c>
      <c r="AW230" s="1">
        <v>0</v>
      </c>
      <c r="AX230" s="1" t="s">
        <v>71</v>
      </c>
      <c r="AY230" s="1" t="s">
        <v>71</v>
      </c>
      <c r="AZ230" s="1">
        <v>0</v>
      </c>
      <c r="BA230" s="1" t="s">
        <v>71</v>
      </c>
      <c r="BB230" s="1" t="s">
        <v>71</v>
      </c>
      <c r="BC230" s="1" t="s">
        <v>71</v>
      </c>
      <c r="BD230" s="1" t="s">
        <v>71</v>
      </c>
      <c r="BE230" s="1" t="s">
        <v>71</v>
      </c>
      <c r="BF230" s="1" t="s">
        <v>71</v>
      </c>
      <c r="BG230" s="1" t="s">
        <v>71</v>
      </c>
      <c r="BH230" s="1">
        <v>8</v>
      </c>
      <c r="BI230" s="1">
        <v>10</v>
      </c>
      <c r="BJ230" s="1">
        <v>4</v>
      </c>
      <c r="BK230" s="1">
        <v>2.5000000000000001E-2</v>
      </c>
      <c r="BL230" s="1">
        <f t="shared" si="70"/>
        <v>2.5</v>
      </c>
      <c r="BM230" s="1">
        <v>0.25</v>
      </c>
      <c r="BN230" s="1">
        <v>0.1</v>
      </c>
      <c r="BO230" s="1">
        <v>1</v>
      </c>
      <c r="BP230" s="1">
        <v>0</v>
      </c>
      <c r="BQ230" s="1">
        <v>208</v>
      </c>
      <c r="BR230" s="1">
        <v>17</v>
      </c>
      <c r="BS230" s="1">
        <v>2</v>
      </c>
      <c r="BT230" s="1">
        <v>14</v>
      </c>
      <c r="BU230" s="1" t="s">
        <v>71</v>
      </c>
      <c r="BV230" s="28">
        <v>7.333333333333333</v>
      </c>
      <c r="BW230" s="28">
        <v>2.6666666666666665</v>
      </c>
      <c r="BX230" s="1" t="s">
        <v>71</v>
      </c>
      <c r="BY230" s="1" t="s">
        <v>71</v>
      </c>
      <c r="BZ230" s="3" t="s">
        <v>71</v>
      </c>
      <c r="CA230" s="3">
        <v>2.6</v>
      </c>
      <c r="CB230" s="1" t="s">
        <v>71</v>
      </c>
      <c r="CC230" s="3">
        <f t="shared" si="74"/>
        <v>3.6111111111111116</v>
      </c>
      <c r="CD230" s="1">
        <v>1</v>
      </c>
      <c r="CE230" s="1">
        <v>1</v>
      </c>
      <c r="CF230" s="1">
        <f t="shared" si="78"/>
        <v>1</v>
      </c>
      <c r="CG230" s="1" t="s">
        <v>71</v>
      </c>
      <c r="CH230" s="1" t="s">
        <v>71</v>
      </c>
      <c r="CI230" s="1" t="s">
        <v>71</v>
      </c>
      <c r="CJ230" s="1" t="s">
        <v>71</v>
      </c>
      <c r="CK230" s="3" t="s">
        <v>71</v>
      </c>
      <c r="CL230" s="3" t="s">
        <v>71</v>
      </c>
      <c r="CM230" s="3" t="s">
        <v>71</v>
      </c>
      <c r="CN230" s="3" t="s">
        <v>71</v>
      </c>
      <c r="CO230" s="5" t="s">
        <v>71</v>
      </c>
      <c r="CP230" s="5">
        <v>63</v>
      </c>
      <c r="CQ230" s="1" t="s">
        <v>71</v>
      </c>
      <c r="CR230" s="1">
        <v>142</v>
      </c>
      <c r="CS230" s="5">
        <v>38</v>
      </c>
      <c r="CT230" s="5" t="s">
        <v>71</v>
      </c>
      <c r="CU230" s="5">
        <v>5.0999999999999996</v>
      </c>
      <c r="CV230" s="1" t="s">
        <v>71</v>
      </c>
      <c r="CW230" s="1" t="s">
        <v>71</v>
      </c>
      <c r="CX230" t="e">
        <f>ROUND(CV230*#REF!/10,1)</f>
        <v>#VALUE!</v>
      </c>
      <c r="CY230" s="1" t="s">
        <v>71</v>
      </c>
      <c r="CZ230">
        <f t="shared" si="79"/>
        <v>1372</v>
      </c>
      <c r="DA230" s="1" t="s">
        <v>71</v>
      </c>
      <c r="DB230" s="1" t="s">
        <v>71</v>
      </c>
      <c r="DC230" s="26" t="s">
        <v>71</v>
      </c>
      <c r="DD230">
        <f t="shared" si="72"/>
        <v>1372</v>
      </c>
      <c r="DE230" s="1" t="s">
        <v>71</v>
      </c>
      <c r="DF230" s="1" t="s">
        <v>71</v>
      </c>
    </row>
    <row r="231" spans="1:110" ht="15" x14ac:dyDescent="0.15">
      <c r="A231" s="23">
        <v>2023</v>
      </c>
      <c r="B231" s="23" t="s">
        <v>48</v>
      </c>
      <c r="C231" s="23">
        <v>12</v>
      </c>
      <c r="D231" s="23">
        <v>9</v>
      </c>
      <c r="E231" s="23"/>
      <c r="F231" s="23" t="s">
        <v>55</v>
      </c>
      <c r="G231" s="23" t="s">
        <v>56</v>
      </c>
      <c r="H231" s="23">
        <v>4</v>
      </c>
      <c r="I231" s="23" t="s">
        <v>55</v>
      </c>
      <c r="J231" s="23" t="s">
        <v>57</v>
      </c>
      <c r="K231" s="24">
        <v>45070</v>
      </c>
      <c r="L231" s="1" t="s">
        <v>71</v>
      </c>
      <c r="M231" s="1" t="s">
        <v>71</v>
      </c>
      <c r="N231" s="1" t="s">
        <v>71</v>
      </c>
      <c r="O231" s="1" t="s">
        <v>71</v>
      </c>
      <c r="P231" s="24">
        <v>45078</v>
      </c>
      <c r="Q231" s="1" t="s">
        <v>71</v>
      </c>
      <c r="R231" s="1" t="s">
        <v>71</v>
      </c>
      <c r="S231" s="1" t="s">
        <v>71</v>
      </c>
      <c r="T231" s="1" t="s">
        <v>71</v>
      </c>
      <c r="U231" s="1" t="s">
        <v>71</v>
      </c>
      <c r="V231" s="1">
        <v>86</v>
      </c>
      <c r="W231" s="1" t="s">
        <v>71</v>
      </c>
      <c r="X231" s="1">
        <v>0</v>
      </c>
      <c r="Y231" s="1" t="s">
        <v>71</v>
      </c>
      <c r="Z231" s="1">
        <v>50</v>
      </c>
      <c r="AA231" s="1" t="s">
        <v>71</v>
      </c>
      <c r="AB231" s="1">
        <v>0</v>
      </c>
      <c r="AC231" s="1" t="s">
        <v>71</v>
      </c>
      <c r="AD231" s="25" t="s">
        <v>71</v>
      </c>
      <c r="AE231" s="25">
        <v>25.666666666666668</v>
      </c>
      <c r="AF231" s="25" t="s">
        <v>71</v>
      </c>
      <c r="AG231" s="25">
        <v>72</v>
      </c>
      <c r="AH231" s="1" t="s">
        <v>71</v>
      </c>
      <c r="AI231" s="1" t="s">
        <v>71</v>
      </c>
      <c r="AJ231" s="1" t="s">
        <v>71</v>
      </c>
      <c r="AK231" s="1" t="s">
        <v>71</v>
      </c>
      <c r="AL231" s="1" t="s">
        <v>71</v>
      </c>
      <c r="AM231" s="1" t="s">
        <v>71</v>
      </c>
      <c r="AN231" s="1" t="s">
        <v>71</v>
      </c>
      <c r="AO231" s="1" t="s">
        <v>71</v>
      </c>
      <c r="AP231" s="1" t="s">
        <v>71</v>
      </c>
      <c r="AQ231" s="1" t="s">
        <v>71</v>
      </c>
      <c r="AR231" s="1" t="s">
        <v>71</v>
      </c>
      <c r="AS231" s="1" t="s">
        <v>71</v>
      </c>
      <c r="AT231" s="1" t="s">
        <v>71</v>
      </c>
      <c r="AU231" s="1">
        <v>0</v>
      </c>
      <c r="AV231" s="1">
        <v>0</v>
      </c>
      <c r="AW231" s="1">
        <v>0</v>
      </c>
      <c r="AX231" s="1" t="s">
        <v>71</v>
      </c>
      <c r="AY231" s="1" t="s">
        <v>71</v>
      </c>
      <c r="AZ231" s="1">
        <v>0</v>
      </c>
      <c r="BA231" s="1" t="s">
        <v>71</v>
      </c>
      <c r="BB231" s="1" t="s">
        <v>71</v>
      </c>
      <c r="BC231" s="1" t="s">
        <v>71</v>
      </c>
      <c r="BD231" s="1" t="s">
        <v>71</v>
      </c>
      <c r="BE231" s="1" t="s">
        <v>71</v>
      </c>
      <c r="BF231" s="1" t="s">
        <v>71</v>
      </c>
      <c r="BG231" s="1" t="s">
        <v>71</v>
      </c>
      <c r="BH231" s="1">
        <v>70</v>
      </c>
      <c r="BI231" s="1">
        <v>100</v>
      </c>
      <c r="BJ231" s="1">
        <v>80</v>
      </c>
      <c r="BK231" s="1">
        <v>4.0000000000000008E-2</v>
      </c>
      <c r="BL231" s="1">
        <f t="shared" si="70"/>
        <v>4.0000000000000009</v>
      </c>
      <c r="BM231" s="1">
        <v>0.2</v>
      </c>
      <c r="BN231" s="1">
        <v>0.2</v>
      </c>
      <c r="BO231" s="1">
        <v>1</v>
      </c>
      <c r="BP231" s="1">
        <v>0</v>
      </c>
      <c r="BQ231" s="1">
        <v>112</v>
      </c>
      <c r="BR231" s="1">
        <v>70</v>
      </c>
      <c r="BS231" s="1">
        <v>2</v>
      </c>
      <c r="BT231" s="1">
        <v>16</v>
      </c>
      <c r="BU231" s="1" t="s">
        <v>71</v>
      </c>
      <c r="BV231" s="28">
        <v>7.333333333333333</v>
      </c>
      <c r="BW231" s="28">
        <v>1.3333333333333333</v>
      </c>
      <c r="BX231" s="1" t="s">
        <v>71</v>
      </c>
      <c r="BY231" s="1" t="s">
        <v>71</v>
      </c>
      <c r="BZ231" s="3" t="s">
        <v>71</v>
      </c>
      <c r="CA231" s="3">
        <v>2.2999999999999998</v>
      </c>
      <c r="CB231" s="1" t="s">
        <v>71</v>
      </c>
      <c r="CC231" s="3">
        <f t="shared" si="74"/>
        <v>3.1944444444444446</v>
      </c>
      <c r="CD231" s="1">
        <v>1</v>
      </c>
      <c r="CE231" s="1">
        <v>1</v>
      </c>
      <c r="CF231" s="1">
        <f t="shared" si="78"/>
        <v>1</v>
      </c>
      <c r="CG231" s="1" t="s">
        <v>71</v>
      </c>
      <c r="CH231" s="1" t="s">
        <v>71</v>
      </c>
      <c r="CI231" s="1" t="s">
        <v>71</v>
      </c>
      <c r="CJ231" s="1" t="s">
        <v>71</v>
      </c>
      <c r="CK231" s="3" t="s">
        <v>71</v>
      </c>
      <c r="CL231" s="3" t="s">
        <v>71</v>
      </c>
      <c r="CM231" s="3" t="s">
        <v>71</v>
      </c>
      <c r="CN231" s="3" t="s">
        <v>71</v>
      </c>
      <c r="CO231" s="5">
        <v>51</v>
      </c>
      <c r="CP231" s="5">
        <v>65</v>
      </c>
      <c r="CQ231" s="1" t="s">
        <v>71</v>
      </c>
      <c r="CR231" s="1">
        <v>138</v>
      </c>
      <c r="CS231" s="5">
        <v>39.200000000000003</v>
      </c>
      <c r="CT231" s="5" t="s">
        <v>71</v>
      </c>
      <c r="CU231" s="5">
        <v>2</v>
      </c>
      <c r="CV231" s="1" t="s">
        <v>71</v>
      </c>
      <c r="CW231" s="1" t="s">
        <v>71</v>
      </c>
      <c r="CX231" t="e">
        <f>ROUND(CV231*#REF!/10,1)</f>
        <v>#VALUE!</v>
      </c>
      <c r="CY231" s="1" t="s">
        <v>71</v>
      </c>
      <c r="CZ231">
        <f t="shared" si="79"/>
        <v>1252</v>
      </c>
      <c r="DA231" s="1" t="s">
        <v>71</v>
      </c>
      <c r="DB231" s="1" t="s">
        <v>71</v>
      </c>
      <c r="DC231" s="26" t="s">
        <v>71</v>
      </c>
      <c r="DD231">
        <f t="shared" si="72"/>
        <v>1252</v>
      </c>
      <c r="DE231" s="1" t="s">
        <v>71</v>
      </c>
      <c r="DF231" s="1" t="s">
        <v>71</v>
      </c>
    </row>
    <row r="232" spans="1:110" x14ac:dyDescent="0.15">
      <c r="A232" s="23">
        <v>2023</v>
      </c>
      <c r="B232" s="23" t="s">
        <v>48</v>
      </c>
      <c r="C232" s="23">
        <v>12</v>
      </c>
      <c r="D232" s="23">
        <v>10</v>
      </c>
      <c r="E232" s="23" t="s">
        <v>50</v>
      </c>
      <c r="F232" s="23" t="s">
        <v>53</v>
      </c>
      <c r="G232" s="23" t="s">
        <v>5</v>
      </c>
      <c r="H232" s="23">
        <v>4</v>
      </c>
      <c r="I232" s="23" t="s">
        <v>60</v>
      </c>
      <c r="J232" s="23" t="s">
        <v>57</v>
      </c>
      <c r="K232" s="24">
        <v>45072</v>
      </c>
      <c r="L232" s="27">
        <v>10000000000</v>
      </c>
      <c r="M232" s="1">
        <f>K232-K229</f>
        <v>-1</v>
      </c>
      <c r="N232" s="24">
        <v>45082</v>
      </c>
      <c r="O232" s="24">
        <v>45088</v>
      </c>
      <c r="P232" s="24">
        <v>45077</v>
      </c>
      <c r="Q232" s="1">
        <f>P232-P229</f>
        <v>-1</v>
      </c>
      <c r="R232" s="1">
        <f>N232-N226</f>
        <v>2</v>
      </c>
      <c r="S232" s="1">
        <f>O232-O226</f>
        <v>0</v>
      </c>
      <c r="T232" s="1">
        <f>AVERAGE(R232,S232)</f>
        <v>1</v>
      </c>
      <c r="U232" s="1">
        <v>79</v>
      </c>
      <c r="V232" s="1">
        <v>83</v>
      </c>
      <c r="W232" s="1">
        <v>-4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25">
        <v>35.333333333333336</v>
      </c>
      <c r="AE232" s="25">
        <v>24</v>
      </c>
      <c r="AF232" s="25">
        <v>113</v>
      </c>
      <c r="AG232" s="25">
        <v>74</v>
      </c>
      <c r="AH232" s="1" t="s">
        <v>71</v>
      </c>
      <c r="AI232" s="1" t="s">
        <v>71</v>
      </c>
      <c r="AJ232" s="1">
        <v>1.7</v>
      </c>
      <c r="AK232" s="1">
        <v>0</v>
      </c>
      <c r="AL232" s="1">
        <v>0</v>
      </c>
      <c r="AM232" s="1">
        <v>0</v>
      </c>
      <c r="AN232" s="1">
        <v>7.0000000000000007E-2</v>
      </c>
      <c r="AO232" s="1">
        <v>2.8000000000000001E-2</v>
      </c>
      <c r="AP232" s="1">
        <v>1.9600000000000004E-3</v>
      </c>
      <c r="AQ232" s="1">
        <v>3</v>
      </c>
      <c r="AR232" s="1">
        <v>0.01</v>
      </c>
      <c r="AS232" s="1">
        <v>5</v>
      </c>
      <c r="AT232" s="1">
        <v>0.05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6</v>
      </c>
      <c r="BI232" s="1">
        <v>5</v>
      </c>
      <c r="BJ232" s="1">
        <v>5</v>
      </c>
      <c r="BK232" s="1">
        <v>1.0000000000000002E-2</v>
      </c>
      <c r="BL232" s="1">
        <f t="shared" si="70"/>
        <v>1.0000000000000002</v>
      </c>
      <c r="BM232" s="1">
        <v>0.1</v>
      </c>
      <c r="BN232" s="1">
        <v>0.1</v>
      </c>
      <c r="BO232" s="1">
        <v>1</v>
      </c>
      <c r="BP232" s="1">
        <v>0</v>
      </c>
      <c r="BQ232" s="1">
        <v>192</v>
      </c>
      <c r="BR232" s="1">
        <v>4</v>
      </c>
      <c r="BS232" s="1">
        <v>0</v>
      </c>
      <c r="BT232" s="1">
        <v>8</v>
      </c>
      <c r="BU232" s="1">
        <v>3</v>
      </c>
      <c r="BV232" s="28">
        <v>5</v>
      </c>
      <c r="BW232" s="28">
        <v>2.3333333333333335</v>
      </c>
      <c r="BX232" s="1" t="s">
        <v>71</v>
      </c>
      <c r="BY232" s="1" t="s">
        <v>71</v>
      </c>
      <c r="BZ232" s="3">
        <v>0.8</v>
      </c>
      <c r="CA232" s="3">
        <v>2.2000000000000002</v>
      </c>
      <c r="CB232" s="3">
        <f t="shared" si="71"/>
        <v>1.1111111111111114</v>
      </c>
      <c r="CC232" s="3">
        <f t="shared" si="74"/>
        <v>3.0555555555555562</v>
      </c>
      <c r="CD232" s="1">
        <f>ROUND(CB232/CB223+CC232/CC229,2)</f>
        <v>1.3</v>
      </c>
      <c r="CE232" s="1">
        <f>ROUND(CB232/CB226+CC232/CC229,2)</f>
        <v>1.1599999999999999</v>
      </c>
      <c r="CF232" s="1">
        <f t="shared" si="78"/>
        <v>1.1599999999999999</v>
      </c>
      <c r="CG232" s="1">
        <f>ROUND(CB232/CB223,2)</f>
        <v>0.38</v>
      </c>
      <c r="CH232" s="1">
        <f>ROUND(CB232/CB226,2)</f>
        <v>0.24</v>
      </c>
      <c r="CI232" s="1">
        <f>ROUND(CC232/CC229,2)</f>
        <v>0.92</v>
      </c>
      <c r="CJ232" s="1">
        <f>ROUND((CC232+CB232)/MAX(CC229,CB226),2)</f>
        <v>0.91</v>
      </c>
      <c r="CK232" s="1">
        <f>ROUND(LN((0.9*BZ232)/(0.1*CA232))/(BZ223/CA229),2)</f>
        <v>1.35</v>
      </c>
      <c r="CL232" s="1">
        <f>ROUND(LN((0.9*BZ232)/(0.1*CA232))/(BZ226/CA229),2)</f>
        <v>0.86</v>
      </c>
      <c r="CM232" s="1">
        <f>ROUND(LN((0.1*CA232)/(0.9*BZ232))/(CA229/BZ223),2)</f>
        <v>-1.04</v>
      </c>
      <c r="CN232" s="1">
        <f>ROUND(LN((0.1*CA232)/(0.9*BZ232))/(CA229/BZ226),2)</f>
        <v>-1.63</v>
      </c>
      <c r="CO232" s="5">
        <v>51</v>
      </c>
      <c r="CP232" s="5">
        <v>71</v>
      </c>
      <c r="CQ232" s="1">
        <v>41</v>
      </c>
      <c r="CR232" s="1">
        <v>153</v>
      </c>
      <c r="CS232" s="5">
        <v>35.200000000000003</v>
      </c>
      <c r="CT232" s="5">
        <v>6.9</v>
      </c>
      <c r="CU232" s="5">
        <v>3.7</v>
      </c>
      <c r="CV232" s="1" t="s">
        <v>71</v>
      </c>
      <c r="CW232" s="1" t="s">
        <v>71</v>
      </c>
      <c r="CX232" t="e">
        <f>ROUND(CV232*#REF!/10,1)</f>
        <v>#VALUE!</v>
      </c>
      <c r="CY232" s="1">
        <v>14.2</v>
      </c>
      <c r="CZ232">
        <f t="shared" si="79"/>
        <v>1076</v>
      </c>
      <c r="DA232">
        <f t="shared" ref="DA232:DA240" si="80">ROUND((CY232*CB232*10),0)</f>
        <v>158</v>
      </c>
      <c r="DB232">
        <f>(CZ232+DA232)/MAX(DA226,CZ229)</f>
        <v>1.0949423247559893</v>
      </c>
      <c r="DC232" s="26">
        <v>14.2</v>
      </c>
      <c r="DD232">
        <f t="shared" si="72"/>
        <v>1234</v>
      </c>
      <c r="DE232">
        <f>ROUND(MAX((DB232-DF232), 0), 2)</f>
        <v>0.14000000000000001</v>
      </c>
      <c r="DF232">
        <f>ROUND(CZ232/MAX(DA226,CZ229), 2)</f>
        <v>0.95</v>
      </c>
    </row>
    <row r="233" spans="1:110" x14ac:dyDescent="0.15">
      <c r="A233" s="23">
        <v>2023</v>
      </c>
      <c r="B233" s="23" t="s">
        <v>48</v>
      </c>
      <c r="C233" s="23">
        <v>12</v>
      </c>
      <c r="D233" s="23">
        <v>11</v>
      </c>
      <c r="E233" s="23" t="s">
        <v>50</v>
      </c>
      <c r="F233" s="23" t="s">
        <v>54</v>
      </c>
      <c r="G233" s="23" t="s">
        <v>5</v>
      </c>
      <c r="H233" s="23">
        <v>4</v>
      </c>
      <c r="I233" s="23" t="s">
        <v>61</v>
      </c>
      <c r="J233" s="23" t="s">
        <v>57</v>
      </c>
      <c r="K233" s="24">
        <v>45077</v>
      </c>
      <c r="L233" s="27">
        <v>10000000000</v>
      </c>
      <c r="M233" s="1">
        <f>K233-K230</f>
        <v>-1</v>
      </c>
      <c r="N233" s="24">
        <v>45080</v>
      </c>
      <c r="O233" s="24">
        <v>45090</v>
      </c>
      <c r="P233" s="24">
        <v>45079</v>
      </c>
      <c r="Q233" s="1">
        <f>P233-P230</f>
        <v>-1</v>
      </c>
      <c r="R233" s="1">
        <f>N233-N226</f>
        <v>0</v>
      </c>
      <c r="S233" s="1">
        <f>O233-O226</f>
        <v>2</v>
      </c>
      <c r="T233" s="1">
        <f t="shared" ref="T233:T240" si="81">AVERAGE(R233,S233)</f>
        <v>1</v>
      </c>
      <c r="U233" s="1">
        <v>83</v>
      </c>
      <c r="V233" s="1">
        <v>84</v>
      </c>
      <c r="W233" s="1">
        <v>-1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25">
        <v>33</v>
      </c>
      <c r="AE233" s="25">
        <v>17.333333333333332</v>
      </c>
      <c r="AF233" s="25">
        <v>107</v>
      </c>
      <c r="AG233" s="25">
        <v>73</v>
      </c>
      <c r="AH233" s="1" t="s">
        <v>71</v>
      </c>
      <c r="AI233" s="1" t="s">
        <v>71</v>
      </c>
      <c r="AJ233" s="1">
        <v>2</v>
      </c>
      <c r="AK233" s="1">
        <v>0</v>
      </c>
      <c r="AL233" s="1">
        <v>0</v>
      </c>
      <c r="AM233" s="1">
        <v>0</v>
      </c>
      <c r="AN233" s="1">
        <v>0.01</v>
      </c>
      <c r="AO233" s="1">
        <v>0.02</v>
      </c>
      <c r="AP233" s="1">
        <v>2.0000000000000001E-4</v>
      </c>
      <c r="AQ233" s="1">
        <v>8</v>
      </c>
      <c r="AR233" s="1">
        <v>0.05</v>
      </c>
      <c r="AS233" s="1">
        <v>3</v>
      </c>
      <c r="AT233" s="1">
        <v>0.15000000000000002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9</v>
      </c>
      <c r="BI233" s="1">
        <v>5</v>
      </c>
      <c r="BJ233" s="1">
        <v>0.5</v>
      </c>
      <c r="BK233" s="1">
        <v>6.0000000000000001E-3</v>
      </c>
      <c r="BL233" s="1">
        <f t="shared" si="70"/>
        <v>0.6</v>
      </c>
      <c r="BM233" s="1">
        <v>0.1</v>
      </c>
      <c r="BN233" s="1">
        <v>0.06</v>
      </c>
      <c r="BO233" s="1">
        <v>1</v>
      </c>
      <c r="BP233" s="1">
        <v>0</v>
      </c>
      <c r="BQ233" s="1">
        <v>174</v>
      </c>
      <c r="BR233" s="1">
        <v>7</v>
      </c>
      <c r="BS233" s="1">
        <v>0</v>
      </c>
      <c r="BT233" s="1">
        <v>9</v>
      </c>
      <c r="BU233" s="1">
        <v>1</v>
      </c>
      <c r="BV233" s="28">
        <v>6.333333333333333</v>
      </c>
      <c r="BW233" s="28">
        <v>1.3333333333333333</v>
      </c>
      <c r="BX233" s="1" t="s">
        <v>71</v>
      </c>
      <c r="BY233" s="1" t="s">
        <v>71</v>
      </c>
      <c r="BZ233" s="3">
        <v>1</v>
      </c>
      <c r="CA233" s="3">
        <v>1.9</v>
      </c>
      <c r="CB233" s="3">
        <f t="shared" si="71"/>
        <v>1.3888888888888888</v>
      </c>
      <c r="CC233" s="3">
        <f t="shared" si="74"/>
        <v>2.6388888888888888</v>
      </c>
      <c r="CD233" s="1">
        <f>ROUND(CB233/CB223+CC233/CC230,2)</f>
        <v>1.21</v>
      </c>
      <c r="CE233" s="1">
        <f>ROUND(CB233/CB226+CC233/CC230,2)</f>
        <v>1.03</v>
      </c>
      <c r="CF233" s="1">
        <f t="shared" si="78"/>
        <v>1.03</v>
      </c>
      <c r="CG233" s="1">
        <f>ROUND(CB233/CB223,2)</f>
        <v>0.48</v>
      </c>
      <c r="CH233" s="1">
        <f>ROUND(CB233/CB226,2)</f>
        <v>0.3</v>
      </c>
      <c r="CI233" s="1">
        <f>ROUND(CC233/CC230,2)</f>
        <v>0.73</v>
      </c>
      <c r="CJ233" s="1">
        <f>ROUND((CC233+CB233)/MAX(CC230,CB226),2)</f>
        <v>0.88</v>
      </c>
      <c r="CK233" s="1">
        <f>ROUND(LN((0.9*BZ233)/(0.1*CA233))/(BZ223/CA230),2)</f>
        <v>1.93</v>
      </c>
      <c r="CL233" s="1">
        <f>ROUND(LN((0.9*BZ233)/(0.1*CA233))/(BZ226/CA230),2)</f>
        <v>1.23</v>
      </c>
      <c r="CM233" s="1">
        <f>ROUND(LN((0.1*CA233)/(0.9*BZ233))/(CA230/BZ223),2)</f>
        <v>-1.26</v>
      </c>
      <c r="CN233" s="1">
        <f>ROUND(LN((0.1*CA233)/(0.9*BZ233))/(CA230/BZ226),2)</f>
        <v>-1.97</v>
      </c>
      <c r="CO233" s="5">
        <v>52</v>
      </c>
      <c r="CP233" s="5">
        <v>69</v>
      </c>
      <c r="CQ233" s="1">
        <v>41</v>
      </c>
      <c r="CR233" s="1">
        <v>130</v>
      </c>
      <c r="CS233" s="5">
        <v>38.4</v>
      </c>
      <c r="CT233" s="5">
        <v>6.7</v>
      </c>
      <c r="CU233" s="5">
        <v>3.2</v>
      </c>
      <c r="CV233" s="1" t="s">
        <v>71</v>
      </c>
      <c r="CW233" s="1" t="s">
        <v>71</v>
      </c>
      <c r="CX233" t="e">
        <f>ROUND(CV233*#REF!/10,1)</f>
        <v>#VALUE!</v>
      </c>
      <c r="CY233" s="1">
        <v>15.5</v>
      </c>
      <c r="CZ233">
        <f t="shared" si="79"/>
        <v>1013</v>
      </c>
      <c r="DA233">
        <f t="shared" si="80"/>
        <v>215</v>
      </c>
      <c r="DB233">
        <f>(CZ233+DA233)/MAX(DA226,CZ230)</f>
        <v>0.89504373177842567</v>
      </c>
      <c r="DC233" s="26">
        <v>15.5</v>
      </c>
      <c r="DD233">
        <f t="shared" si="72"/>
        <v>1228</v>
      </c>
      <c r="DE233">
        <f t="shared" ref="DE233:DE240" si="82">ROUND(MAX((DB233-DF233), 0), 2)</f>
        <v>0.16</v>
      </c>
      <c r="DF233">
        <f>ROUND(CZ233/MAX(DA226,CZ230), 2)</f>
        <v>0.74</v>
      </c>
    </row>
    <row r="234" spans="1:110" x14ac:dyDescent="0.15">
      <c r="A234" s="23">
        <v>2023</v>
      </c>
      <c r="B234" s="23" t="s">
        <v>48</v>
      </c>
      <c r="C234" s="23">
        <v>12</v>
      </c>
      <c r="D234" s="23">
        <v>12</v>
      </c>
      <c r="E234" s="23" t="s">
        <v>50</v>
      </c>
      <c r="F234" s="23" t="s">
        <v>55</v>
      </c>
      <c r="G234" s="23" t="s">
        <v>5</v>
      </c>
      <c r="H234" s="23">
        <v>4</v>
      </c>
      <c r="I234" s="23" t="s">
        <v>62</v>
      </c>
      <c r="J234" s="23" t="s">
        <v>57</v>
      </c>
      <c r="K234" s="24">
        <v>45074</v>
      </c>
      <c r="L234" s="27">
        <v>10000000000</v>
      </c>
      <c r="M234" s="1">
        <f>K234-K231</f>
        <v>4</v>
      </c>
      <c r="N234" s="24">
        <v>45082</v>
      </c>
      <c r="O234" s="24">
        <v>45090</v>
      </c>
      <c r="P234" s="24">
        <v>45074</v>
      </c>
      <c r="Q234" s="1">
        <f>P234-P231</f>
        <v>-4</v>
      </c>
      <c r="R234" s="1">
        <f>N234-N226</f>
        <v>2</v>
      </c>
      <c r="S234" s="1">
        <f>O234-O226</f>
        <v>2</v>
      </c>
      <c r="T234" s="1">
        <f t="shared" si="81"/>
        <v>2</v>
      </c>
      <c r="U234" s="1">
        <v>85</v>
      </c>
      <c r="V234" s="1">
        <v>87</v>
      </c>
      <c r="W234" s="1">
        <v>-2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25">
        <v>38</v>
      </c>
      <c r="AE234" s="25">
        <v>21.333333333333332</v>
      </c>
      <c r="AF234" s="25">
        <v>110</v>
      </c>
      <c r="AG234" s="25">
        <v>77</v>
      </c>
      <c r="AH234" s="1" t="s">
        <v>71</v>
      </c>
      <c r="AI234" s="1" t="s">
        <v>71</v>
      </c>
      <c r="AJ234" s="1">
        <v>1.7</v>
      </c>
      <c r="AK234" s="1">
        <v>0</v>
      </c>
      <c r="AL234" s="1">
        <v>0</v>
      </c>
      <c r="AM234" s="1">
        <v>0</v>
      </c>
      <c r="AN234" s="1">
        <v>0.01</v>
      </c>
      <c r="AO234" s="1">
        <v>0.01</v>
      </c>
      <c r="AP234" s="1">
        <v>1E-4</v>
      </c>
      <c r="AQ234" s="1">
        <v>6</v>
      </c>
      <c r="AR234" s="1">
        <v>0.1</v>
      </c>
      <c r="AS234" s="1">
        <v>8</v>
      </c>
      <c r="AT234" s="1">
        <v>0.8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8</v>
      </c>
      <c r="BI234" s="1">
        <v>7</v>
      </c>
      <c r="BJ234" s="1">
        <v>1</v>
      </c>
      <c r="BK234" s="1">
        <v>4.0000000000000001E-3</v>
      </c>
      <c r="BL234" s="1">
        <f t="shared" si="70"/>
        <v>0.4</v>
      </c>
      <c r="BM234" s="1">
        <v>0.1</v>
      </c>
      <c r="BN234" s="1">
        <v>0.04</v>
      </c>
      <c r="BO234" s="1">
        <v>1</v>
      </c>
      <c r="BP234" s="1">
        <v>0</v>
      </c>
      <c r="BQ234" s="1">
        <v>91</v>
      </c>
      <c r="BR234" s="1">
        <v>54</v>
      </c>
      <c r="BS234" s="1">
        <v>0</v>
      </c>
      <c r="BT234" s="1">
        <v>21</v>
      </c>
      <c r="BU234" s="1">
        <v>1</v>
      </c>
      <c r="BV234" s="28">
        <v>5.666666666666667</v>
      </c>
      <c r="BW234" s="28">
        <v>2.6666666666666665</v>
      </c>
      <c r="BX234" s="1" t="s">
        <v>71</v>
      </c>
      <c r="BY234" s="1" t="s">
        <v>71</v>
      </c>
      <c r="BZ234" s="3">
        <v>0.8</v>
      </c>
      <c r="CA234" s="3">
        <v>1.6</v>
      </c>
      <c r="CB234" s="3">
        <f t="shared" si="71"/>
        <v>1.1111111111111114</v>
      </c>
      <c r="CC234" s="3">
        <f t="shared" si="74"/>
        <v>2.2222222222222228</v>
      </c>
      <c r="CD234" s="1">
        <f>ROUND(CB234/CB223+CC234/CC231,2)</f>
        <v>1.08</v>
      </c>
      <c r="CE234" s="1">
        <f>ROUND(CB234/CB226+CC234/CC231,2)</f>
        <v>0.94</v>
      </c>
      <c r="CF234" s="1">
        <f t="shared" si="78"/>
        <v>0.94</v>
      </c>
      <c r="CG234" s="1">
        <f>ROUND(CB234/CB223,2)</f>
        <v>0.38</v>
      </c>
      <c r="CH234" s="1">
        <f>ROUND(CB234/CB226,2)</f>
        <v>0.24</v>
      </c>
      <c r="CI234" s="1">
        <f>ROUND(CC234/CC231,2)</f>
        <v>0.7</v>
      </c>
      <c r="CJ234" s="1">
        <f>ROUND((CC234+CB234)/MAX(CC231,CB226),2)</f>
        <v>0.73</v>
      </c>
      <c r="CK234" s="1">
        <f>ROUND(LN((0.9*BZ234)/(0.1*CA234))/(BZ223/CA231),2)</f>
        <v>1.65</v>
      </c>
      <c r="CL234" s="1">
        <f>ROUND(LN((0.9*BZ234)/(0.1*CA234))/(BZ226/CA231),2)</f>
        <v>1.05</v>
      </c>
      <c r="CM234" s="1">
        <f>ROUND(LN((0.1*CA234)/(0.9*BZ234))/(CA231/BZ223),2)</f>
        <v>-1.37</v>
      </c>
      <c r="CN234" s="1">
        <f>ROUND(LN((0.1*CA234)/(0.9*BZ234))/(CA231/BZ226),2)</f>
        <v>-2.16</v>
      </c>
      <c r="CO234" s="5">
        <v>54</v>
      </c>
      <c r="CP234" s="5">
        <v>72</v>
      </c>
      <c r="CQ234" s="1">
        <v>42</v>
      </c>
      <c r="CR234" s="1">
        <v>128</v>
      </c>
      <c r="CS234" s="5">
        <v>40.5</v>
      </c>
      <c r="CT234" s="5">
        <v>8.4</v>
      </c>
      <c r="CU234" s="5">
        <v>3.4</v>
      </c>
      <c r="CV234" s="1" t="s">
        <v>71</v>
      </c>
      <c r="CW234" s="1" t="s">
        <v>71</v>
      </c>
      <c r="CX234" t="e">
        <f>ROUND(CV234*#REF!/10,1)</f>
        <v>#VALUE!</v>
      </c>
      <c r="CY234" s="1">
        <v>13.7</v>
      </c>
      <c r="CZ234">
        <f t="shared" si="79"/>
        <v>900</v>
      </c>
      <c r="DA234">
        <f t="shared" si="80"/>
        <v>152</v>
      </c>
      <c r="DB234">
        <f>(CZ234+DA234)/MAX(DA226,CZ231)</f>
        <v>0.84025559105431313</v>
      </c>
      <c r="DC234" s="26">
        <v>13.7</v>
      </c>
      <c r="DD234">
        <f t="shared" si="72"/>
        <v>1052</v>
      </c>
      <c r="DE234">
        <f t="shared" si="82"/>
        <v>0.12</v>
      </c>
      <c r="DF234">
        <f>ROUND(CZ234/MAX(DA226,CZ231), 2)</f>
        <v>0.72</v>
      </c>
    </row>
    <row r="235" spans="1:110" x14ac:dyDescent="0.15">
      <c r="A235" s="23">
        <v>2023</v>
      </c>
      <c r="B235" s="23" t="s">
        <v>48</v>
      </c>
      <c r="C235" s="23">
        <v>12</v>
      </c>
      <c r="D235" s="23">
        <v>13</v>
      </c>
      <c r="E235" s="23" t="s">
        <v>51</v>
      </c>
      <c r="F235" s="23" t="s">
        <v>53</v>
      </c>
      <c r="G235" s="23" t="s">
        <v>5</v>
      </c>
      <c r="H235" s="23">
        <v>4</v>
      </c>
      <c r="I235" s="23" t="s">
        <v>63</v>
      </c>
      <c r="J235" s="23" t="s">
        <v>57</v>
      </c>
      <c r="K235" s="24">
        <v>45072</v>
      </c>
      <c r="L235" s="27">
        <v>10000000000</v>
      </c>
      <c r="M235" s="1">
        <f>K235-K229</f>
        <v>-1</v>
      </c>
      <c r="N235" s="24">
        <v>45086</v>
      </c>
      <c r="O235" s="24">
        <v>45098</v>
      </c>
      <c r="P235" s="24">
        <v>45076</v>
      </c>
      <c r="Q235" s="1">
        <f>P235-P229</f>
        <v>-2</v>
      </c>
      <c r="R235" s="1">
        <f>N235-N227</f>
        <v>2</v>
      </c>
      <c r="S235" s="1">
        <f>O235-O227</f>
        <v>8</v>
      </c>
      <c r="T235" s="1">
        <f t="shared" si="81"/>
        <v>5</v>
      </c>
      <c r="U235" s="1">
        <v>81</v>
      </c>
      <c r="V235" s="1">
        <v>86</v>
      </c>
      <c r="W235" s="1">
        <v>-5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25">
        <v>30.333333333333332</v>
      </c>
      <c r="AE235" s="25">
        <v>21</v>
      </c>
      <c r="AF235" s="25">
        <v>94</v>
      </c>
      <c r="AG235" s="25">
        <v>71</v>
      </c>
      <c r="AH235" s="1" t="s">
        <v>71</v>
      </c>
      <c r="AI235" s="1" t="s">
        <v>71</v>
      </c>
      <c r="AJ235" s="1">
        <v>2.7</v>
      </c>
      <c r="AK235" s="1">
        <v>0</v>
      </c>
      <c r="AL235" s="1">
        <v>0</v>
      </c>
      <c r="AM235" s="1">
        <v>0</v>
      </c>
      <c r="AN235" s="1">
        <v>0.01</v>
      </c>
      <c r="AO235" s="1">
        <v>0.01</v>
      </c>
      <c r="AP235" s="1">
        <v>1E-4</v>
      </c>
      <c r="AQ235" s="1">
        <v>11</v>
      </c>
      <c r="AR235" s="1">
        <v>0.05</v>
      </c>
      <c r="AS235" s="1">
        <v>5</v>
      </c>
      <c r="AT235" s="1">
        <v>0.25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16</v>
      </c>
      <c r="BI235" s="1">
        <v>2</v>
      </c>
      <c r="BJ235" s="1">
        <v>0</v>
      </c>
      <c r="BK235" s="1">
        <v>5.000000000000001E-3</v>
      </c>
      <c r="BL235" s="1">
        <f t="shared" si="70"/>
        <v>0.50000000000000011</v>
      </c>
      <c r="BM235" s="1">
        <v>0.1</v>
      </c>
      <c r="BN235" s="1">
        <v>0.05</v>
      </c>
      <c r="BO235" s="1">
        <v>1</v>
      </c>
      <c r="BP235" s="1">
        <v>0</v>
      </c>
      <c r="BQ235" s="1">
        <v>173</v>
      </c>
      <c r="BR235" s="1">
        <v>3</v>
      </c>
      <c r="BS235" s="1">
        <v>0</v>
      </c>
      <c r="BT235" s="1">
        <v>13</v>
      </c>
      <c r="BU235" s="1">
        <v>2</v>
      </c>
      <c r="BV235" s="28">
        <v>6.666666666666667</v>
      </c>
      <c r="BW235" s="28">
        <v>0.33333333333333331</v>
      </c>
      <c r="BX235" s="1" t="s">
        <v>71</v>
      </c>
      <c r="BY235" s="1" t="s">
        <v>71</v>
      </c>
      <c r="BZ235" s="3">
        <v>0.8</v>
      </c>
      <c r="CA235" s="3">
        <v>2</v>
      </c>
      <c r="CB235" s="3">
        <f t="shared" si="71"/>
        <v>1.1111111111111114</v>
      </c>
      <c r="CC235" s="3">
        <f t="shared" si="74"/>
        <v>2.7777777777777777</v>
      </c>
      <c r="CD235" s="1">
        <f>ROUND(CB235/CB224+CC235/CC229,2)</f>
        <v>1.3</v>
      </c>
      <c r="CE235" s="1">
        <f>ROUND(CB235/CB227+CC235/CC229,2)</f>
        <v>1.1100000000000001</v>
      </c>
      <c r="CF235" s="1">
        <f t="shared" si="78"/>
        <v>1.1100000000000001</v>
      </c>
      <c r="CG235" s="1">
        <f>ROUND(CB235/CB224,2)</f>
        <v>0.47</v>
      </c>
      <c r="CH235" s="1">
        <f>ROUND(CB235/CB227,2)</f>
        <v>0.28000000000000003</v>
      </c>
      <c r="CI235" s="1">
        <f>ROUND(CC235/CC229,2)</f>
        <v>0.83</v>
      </c>
      <c r="CJ235" s="1">
        <f>ROUND((CC235+CB235)/MAX(CC229,CB227),2)</f>
        <v>0.97</v>
      </c>
      <c r="CK235" s="1">
        <f>ROUND(LN((0.9*BZ235)/(0.1*CA235))/(BZ224/CA229),2)</f>
        <v>1.81</v>
      </c>
      <c r="CL235" s="1">
        <f>ROUND(LN((0.9*BZ235)/(0.1*CA235))/(BZ227/CA229),2)</f>
        <v>1.06</v>
      </c>
      <c r="CM235" s="1">
        <f>ROUND(LN((0.1*CA235)/(0.9*BZ235))/(CA229/BZ224),2)</f>
        <v>-0.91</v>
      </c>
      <c r="CN235" s="1">
        <f>ROUND(LN((0.1*CA235)/(0.9*BZ235))/(CA229/BZ227),2)</f>
        <v>-1.55</v>
      </c>
      <c r="CO235" s="5">
        <v>54</v>
      </c>
      <c r="CP235" s="5">
        <v>60</v>
      </c>
      <c r="CQ235" s="1">
        <v>36</v>
      </c>
      <c r="CR235" s="1">
        <v>133</v>
      </c>
      <c r="CS235" s="5">
        <v>31</v>
      </c>
      <c r="CT235" s="5">
        <v>7.7</v>
      </c>
      <c r="CU235" s="5">
        <v>4.0999999999999996</v>
      </c>
      <c r="CV235" s="1" t="s">
        <v>71</v>
      </c>
      <c r="CW235" s="1" t="s">
        <v>71</v>
      </c>
      <c r="CX235" t="e">
        <f>ROUND(CV235*#REF!/10,1)</f>
        <v>#VALUE!</v>
      </c>
      <c r="CY235" s="1">
        <v>14.4</v>
      </c>
      <c r="CZ235">
        <f t="shared" si="79"/>
        <v>861</v>
      </c>
      <c r="DA235">
        <f t="shared" si="80"/>
        <v>160</v>
      </c>
      <c r="DB235">
        <f>(CZ235+DA235)/MAX(DA227,CZ229)</f>
        <v>0.9059449866903283</v>
      </c>
      <c r="DC235" s="26">
        <v>14.4</v>
      </c>
      <c r="DD235">
        <f t="shared" si="72"/>
        <v>1021</v>
      </c>
      <c r="DE235">
        <f t="shared" si="82"/>
        <v>0.15</v>
      </c>
      <c r="DF235">
        <f>ROUND(CZ235/MAX(DA227,CZ229), 2)</f>
        <v>0.76</v>
      </c>
    </row>
    <row r="236" spans="1:110" x14ac:dyDescent="0.15">
      <c r="A236" s="23">
        <v>2023</v>
      </c>
      <c r="B236" s="23" t="s">
        <v>48</v>
      </c>
      <c r="C236" s="23">
        <v>12</v>
      </c>
      <c r="D236" s="23">
        <v>14</v>
      </c>
      <c r="E236" s="23" t="s">
        <v>51</v>
      </c>
      <c r="F236" s="23" t="s">
        <v>54</v>
      </c>
      <c r="G236" s="23" t="s">
        <v>5</v>
      </c>
      <c r="H236" s="23">
        <v>4</v>
      </c>
      <c r="I236" s="23" t="s">
        <v>64</v>
      </c>
      <c r="J236" s="23" t="s">
        <v>57</v>
      </c>
      <c r="K236" s="24">
        <v>45081</v>
      </c>
      <c r="L236" s="27">
        <v>10000000000</v>
      </c>
      <c r="M236" s="1">
        <f>K236-K230</f>
        <v>3</v>
      </c>
      <c r="N236" s="24">
        <v>45086</v>
      </c>
      <c r="O236" s="24">
        <v>45098</v>
      </c>
      <c r="P236" s="24">
        <v>45079</v>
      </c>
      <c r="Q236" s="1">
        <f>P236-P230</f>
        <v>-1</v>
      </c>
      <c r="R236" s="1">
        <f>N236-N227</f>
        <v>2</v>
      </c>
      <c r="S236" s="1">
        <f>O236-O227</f>
        <v>8</v>
      </c>
      <c r="T236" s="1">
        <f t="shared" si="81"/>
        <v>5</v>
      </c>
      <c r="U236" s="1">
        <v>81</v>
      </c>
      <c r="V236" s="1">
        <v>86</v>
      </c>
      <c r="W236" s="1">
        <v>-5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25">
        <v>35</v>
      </c>
      <c r="AE236" s="25">
        <v>25.333333333333332</v>
      </c>
      <c r="AF236" s="25">
        <v>94</v>
      </c>
      <c r="AG236" s="25">
        <v>68</v>
      </c>
      <c r="AH236" s="1" t="s">
        <v>71</v>
      </c>
      <c r="AI236" s="1" t="s">
        <v>71</v>
      </c>
      <c r="AJ236" s="1">
        <v>2</v>
      </c>
      <c r="AK236" s="1">
        <v>0</v>
      </c>
      <c r="AL236" s="1">
        <v>0</v>
      </c>
      <c r="AM236" s="1">
        <v>0</v>
      </c>
      <c r="AN236" s="1">
        <v>0.01</v>
      </c>
      <c r="AO236" s="1">
        <v>0.01</v>
      </c>
      <c r="AP236" s="1">
        <v>1E-4</v>
      </c>
      <c r="AQ236" s="1">
        <v>14</v>
      </c>
      <c r="AR236" s="1">
        <v>0.01</v>
      </c>
      <c r="AS236" s="1">
        <v>3</v>
      </c>
      <c r="AT236" s="1">
        <v>0.03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9</v>
      </c>
      <c r="BI236" s="1">
        <v>2</v>
      </c>
      <c r="BJ236" s="1">
        <v>0</v>
      </c>
      <c r="BK236" s="1">
        <v>5.000000000000001E-3</v>
      </c>
      <c r="BL236" s="1">
        <f t="shared" si="70"/>
        <v>0.50000000000000011</v>
      </c>
      <c r="BM236" s="1">
        <v>0.1</v>
      </c>
      <c r="BN236" s="1">
        <v>0.05</v>
      </c>
      <c r="BO236" s="1">
        <v>1</v>
      </c>
      <c r="BP236" s="1">
        <v>0</v>
      </c>
      <c r="BQ236" s="1">
        <v>89</v>
      </c>
      <c r="BR236" s="1">
        <v>87</v>
      </c>
      <c r="BS236" s="1">
        <v>3</v>
      </c>
      <c r="BT236" s="1">
        <v>7</v>
      </c>
      <c r="BU236" s="1">
        <v>3</v>
      </c>
      <c r="BV236" s="28">
        <v>5.666666666666667</v>
      </c>
      <c r="BW236" s="28">
        <v>0.33333333333333331</v>
      </c>
      <c r="BX236" s="1" t="s">
        <v>71</v>
      </c>
      <c r="BY236" s="1" t="s">
        <v>71</v>
      </c>
      <c r="BZ236" s="3">
        <v>0.9</v>
      </c>
      <c r="CA236" s="3">
        <v>1.9</v>
      </c>
      <c r="CB236" s="3">
        <f t="shared" si="71"/>
        <v>1.2500000000000002</v>
      </c>
      <c r="CC236" s="3">
        <f t="shared" si="74"/>
        <v>2.6388888888888888</v>
      </c>
      <c r="CD236" s="1">
        <f>ROUND(CB236/CB224+CC236/CC230,2)</f>
        <v>1.26</v>
      </c>
      <c r="CE236" s="1">
        <f>ROUND(CB236/CB227+CC236/CC230,2)</f>
        <v>1.04</v>
      </c>
      <c r="CF236" s="1">
        <f t="shared" si="78"/>
        <v>1.04</v>
      </c>
      <c r="CG236" s="1">
        <f>ROUND(CB236/CB224,2)</f>
        <v>0.53</v>
      </c>
      <c r="CH236" s="1">
        <f>ROUND(CB236/CB227,2)</f>
        <v>0.31</v>
      </c>
      <c r="CI236" s="1">
        <f>ROUND(CC236/CC230,2)</f>
        <v>0.73</v>
      </c>
      <c r="CJ236" s="1">
        <f>ROUND((CC236+CB236)/MAX(CC230,CB227),2)</f>
        <v>0.97</v>
      </c>
      <c r="CK236" s="1">
        <f>ROUND(LN((0.9*BZ236)/(0.1*CA236))/(BZ224/CA230),2)</f>
        <v>2.2200000000000002</v>
      </c>
      <c r="CL236" s="1">
        <f>ROUND(LN((0.9*BZ236)/(0.1*CA236))/(BZ227/CA230),2)</f>
        <v>1.3</v>
      </c>
      <c r="CM236" s="1">
        <f>ROUND(LN((0.1*CA236)/(0.9*BZ236))/(CA230/BZ224),2)</f>
        <v>-0.95</v>
      </c>
      <c r="CN236" s="1">
        <f>ROUND(LN((0.1*CA236)/(0.9*BZ236))/(CA230/BZ227),2)</f>
        <v>-1.62</v>
      </c>
      <c r="CO236" s="5">
        <v>55</v>
      </c>
      <c r="CP236" s="5">
        <v>71</v>
      </c>
      <c r="CQ236" s="1">
        <v>36</v>
      </c>
      <c r="CR236" s="1">
        <v>130</v>
      </c>
      <c r="CS236" s="5">
        <v>36.799999999999997</v>
      </c>
      <c r="CT236" s="5">
        <v>8.3000000000000007</v>
      </c>
      <c r="CU236" s="5">
        <v>4.8</v>
      </c>
      <c r="CV236" s="1" t="s">
        <v>71</v>
      </c>
      <c r="CW236" s="1" t="s">
        <v>71</v>
      </c>
      <c r="CX236" t="e">
        <f>ROUND(CV236*#REF!/10,1)</f>
        <v>#VALUE!</v>
      </c>
      <c r="CY236" s="1">
        <v>15.6</v>
      </c>
      <c r="CZ236">
        <f t="shared" si="79"/>
        <v>971</v>
      </c>
      <c r="DA236">
        <f t="shared" si="80"/>
        <v>195</v>
      </c>
      <c r="DB236">
        <f>(CZ236+DA236)/MAX(DA227,CZ230)</f>
        <v>0.84985422740524785</v>
      </c>
      <c r="DC236" s="26">
        <v>15.6</v>
      </c>
      <c r="DD236">
        <f t="shared" si="72"/>
        <v>1166</v>
      </c>
      <c r="DE236">
        <f t="shared" si="82"/>
        <v>0.14000000000000001</v>
      </c>
      <c r="DF236">
        <f>ROUND(CZ236/MAX(DA227,CZ230), 2)</f>
        <v>0.71</v>
      </c>
    </row>
    <row r="237" spans="1:110" x14ac:dyDescent="0.15">
      <c r="A237" s="23">
        <v>2023</v>
      </c>
      <c r="B237" s="23" t="s">
        <v>48</v>
      </c>
      <c r="C237" s="23">
        <v>12</v>
      </c>
      <c r="D237" s="23">
        <v>15</v>
      </c>
      <c r="E237" s="23" t="s">
        <v>51</v>
      </c>
      <c r="F237" s="23" t="s">
        <v>55</v>
      </c>
      <c r="G237" s="23" t="s">
        <v>5</v>
      </c>
      <c r="H237" s="23">
        <v>4</v>
      </c>
      <c r="I237" s="23" t="s">
        <v>65</v>
      </c>
      <c r="J237" s="23" t="s">
        <v>57</v>
      </c>
      <c r="K237" s="24">
        <v>45077</v>
      </c>
      <c r="L237" s="27">
        <v>10000000000</v>
      </c>
      <c r="M237" s="1">
        <f>K237-K231</f>
        <v>7</v>
      </c>
      <c r="N237" s="24">
        <v>45088</v>
      </c>
      <c r="O237" s="24">
        <v>45098</v>
      </c>
      <c r="P237" s="24">
        <v>45075</v>
      </c>
      <c r="Q237" s="1">
        <f>P237-P231</f>
        <v>-3</v>
      </c>
      <c r="R237" s="1">
        <f>N237-N227</f>
        <v>4</v>
      </c>
      <c r="S237" s="1">
        <f>O237-O227</f>
        <v>8</v>
      </c>
      <c r="T237" s="1">
        <f t="shared" si="81"/>
        <v>6</v>
      </c>
      <c r="U237" s="1">
        <v>79</v>
      </c>
      <c r="V237" s="1">
        <v>86</v>
      </c>
      <c r="W237" s="1">
        <v>-7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25">
        <v>34.666666666666664</v>
      </c>
      <c r="AE237" s="25">
        <v>25.333333333333332</v>
      </c>
      <c r="AF237" s="25">
        <v>101</v>
      </c>
      <c r="AG237" s="25">
        <v>70</v>
      </c>
      <c r="AH237" s="1" t="s">
        <v>71</v>
      </c>
      <c r="AI237" s="1" t="s">
        <v>71</v>
      </c>
      <c r="AJ237" s="1">
        <v>2</v>
      </c>
      <c r="AK237" s="1">
        <v>0</v>
      </c>
      <c r="AL237" s="1">
        <v>0</v>
      </c>
      <c r="AM237" s="1">
        <v>0</v>
      </c>
      <c r="AN237" s="1">
        <v>0.01</v>
      </c>
      <c r="AO237" s="1">
        <v>0.02</v>
      </c>
      <c r="AP237" s="1">
        <v>2.0000000000000001E-4</v>
      </c>
      <c r="AQ237" s="1">
        <v>10</v>
      </c>
      <c r="AR237" s="1">
        <v>0.1</v>
      </c>
      <c r="AS237" s="1">
        <v>5</v>
      </c>
      <c r="AT237" s="1">
        <v>0.5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9</v>
      </c>
      <c r="BI237" s="1">
        <v>50</v>
      </c>
      <c r="BJ237" s="1">
        <v>2</v>
      </c>
      <c r="BK237" s="1">
        <v>0.06</v>
      </c>
      <c r="BL237" s="1">
        <f t="shared" si="70"/>
        <v>6</v>
      </c>
      <c r="BM237" s="1">
        <v>0.4</v>
      </c>
      <c r="BN237" s="1">
        <v>0.15</v>
      </c>
      <c r="BO237" s="1">
        <v>1</v>
      </c>
      <c r="BP237" s="1">
        <v>0</v>
      </c>
      <c r="BQ237" s="1">
        <v>159</v>
      </c>
      <c r="BR237" s="1">
        <v>1</v>
      </c>
      <c r="BS237" s="1">
        <v>0</v>
      </c>
      <c r="BT237" s="1">
        <v>16</v>
      </c>
      <c r="BU237" s="1">
        <v>4</v>
      </c>
      <c r="BV237" s="28">
        <v>6.333333333333333</v>
      </c>
      <c r="BW237" s="28">
        <v>1.3333333333333333</v>
      </c>
      <c r="BX237" s="1" t="s">
        <v>71</v>
      </c>
      <c r="BY237" s="1" t="s">
        <v>71</v>
      </c>
      <c r="BZ237" s="3">
        <v>1</v>
      </c>
      <c r="CA237" s="3">
        <v>1.7</v>
      </c>
      <c r="CB237" s="3">
        <f t="shared" si="71"/>
        <v>1.3888888888888888</v>
      </c>
      <c r="CC237" s="3">
        <f t="shared" si="74"/>
        <v>2.3611111111111112</v>
      </c>
      <c r="CD237" s="1">
        <f>ROUND(CB237/CB224+CC237/CC231,2)</f>
        <v>1.33</v>
      </c>
      <c r="CE237" s="1">
        <f>ROUND(CB237/CB227+CC237/CC231,2)</f>
        <v>1.08</v>
      </c>
      <c r="CF237" s="1">
        <f t="shared" si="78"/>
        <v>1.08</v>
      </c>
      <c r="CG237" s="1">
        <f>ROUND(CB237/CB224,2)</f>
        <v>0.59</v>
      </c>
      <c r="CH237" s="1">
        <f>ROUND(CB237/CB227,2)</f>
        <v>0.34</v>
      </c>
      <c r="CI237" s="1">
        <f>ROUND(CC237/CC231,2)</f>
        <v>0.74</v>
      </c>
      <c r="CJ237" s="1">
        <f>ROUND((CC237+CB237)/MAX(CC231,CB227),2)</f>
        <v>0.93</v>
      </c>
      <c r="CK237" s="1">
        <f>ROUND(LN((0.9*BZ237)/(0.1*CA237))/(BZ224/CA231),2)</f>
        <v>2.25</v>
      </c>
      <c r="CL237" s="1">
        <f>ROUND(LN((0.9*BZ237)/(0.1*CA237))/(BZ227/CA231),2)</f>
        <v>1.32</v>
      </c>
      <c r="CM237" s="1">
        <f>ROUND(LN((0.1*CA237)/(0.9*BZ237))/(CA231/BZ224),2)</f>
        <v>-1.23</v>
      </c>
      <c r="CN237" s="1">
        <f>ROUND(LN((0.1*CA237)/(0.9*BZ237))/(CA231/BZ227),2)</f>
        <v>-2.1</v>
      </c>
      <c r="CO237" s="5">
        <v>51</v>
      </c>
      <c r="CP237" s="5">
        <v>71</v>
      </c>
      <c r="CQ237" s="1">
        <v>38</v>
      </c>
      <c r="CR237" s="1">
        <v>136</v>
      </c>
      <c r="CS237" s="5">
        <v>41.1</v>
      </c>
      <c r="CT237" s="5">
        <v>8.3000000000000007</v>
      </c>
      <c r="CU237" s="5">
        <v>2.5</v>
      </c>
      <c r="CV237" s="1" t="s">
        <v>71</v>
      </c>
      <c r="CW237" s="1" t="s">
        <v>71</v>
      </c>
      <c r="CX237" t="e">
        <f>ROUND(CV237*#REF!/10,1)</f>
        <v>#VALUE!</v>
      </c>
      <c r="CY237" s="1">
        <v>10.3</v>
      </c>
      <c r="CZ237">
        <f t="shared" si="79"/>
        <v>970</v>
      </c>
      <c r="DA237">
        <f t="shared" si="80"/>
        <v>143</v>
      </c>
      <c r="DB237">
        <f>(CZ237+DA237)/MAX(DA227,CZ231)</f>
        <v>0.88897763578274758</v>
      </c>
      <c r="DC237" s="26">
        <v>10.3</v>
      </c>
      <c r="DD237">
        <f t="shared" si="72"/>
        <v>1113</v>
      </c>
      <c r="DE237">
        <f t="shared" si="82"/>
        <v>0.12</v>
      </c>
      <c r="DF237">
        <f>ROUND(CZ237/MAX(DA227,CZ231), 2)</f>
        <v>0.77</v>
      </c>
    </row>
    <row r="238" spans="1:110" x14ac:dyDescent="0.15">
      <c r="A238" s="23">
        <v>2023</v>
      </c>
      <c r="B238" s="23" t="s">
        <v>48</v>
      </c>
      <c r="C238" s="23">
        <v>12</v>
      </c>
      <c r="D238" s="23">
        <v>16</v>
      </c>
      <c r="E238" s="23" t="s">
        <v>52</v>
      </c>
      <c r="F238" s="23" t="s">
        <v>53</v>
      </c>
      <c r="G238" s="23" t="s">
        <v>5</v>
      </c>
      <c r="H238" s="23">
        <v>4</v>
      </c>
      <c r="I238" s="23" t="s">
        <v>66</v>
      </c>
      <c r="J238" s="23" t="s">
        <v>57</v>
      </c>
      <c r="K238" s="24">
        <v>45070</v>
      </c>
      <c r="L238" s="27">
        <v>10000000000</v>
      </c>
      <c r="M238" s="1">
        <f>K238-K229</f>
        <v>-3</v>
      </c>
      <c r="N238" s="24">
        <v>45089</v>
      </c>
      <c r="O238" s="24">
        <v>45100</v>
      </c>
      <c r="P238" s="24">
        <v>45077</v>
      </c>
      <c r="Q238" s="1">
        <f>P238-P229</f>
        <v>-1</v>
      </c>
      <c r="R238" s="1">
        <f>N238-N228</f>
        <v>2</v>
      </c>
      <c r="S238" s="1">
        <f>O238-O228</f>
        <v>2</v>
      </c>
      <c r="T238" s="1">
        <f t="shared" si="81"/>
        <v>2</v>
      </c>
      <c r="U238" s="1">
        <v>79</v>
      </c>
      <c r="V238" s="1">
        <v>83</v>
      </c>
      <c r="W238" s="1">
        <v>-4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25">
        <v>30</v>
      </c>
      <c r="AE238" s="25">
        <v>23</v>
      </c>
      <c r="AF238" s="25">
        <v>78</v>
      </c>
      <c r="AG238" s="25">
        <v>83</v>
      </c>
      <c r="AH238" s="1" t="s">
        <v>71</v>
      </c>
      <c r="AI238" s="1" t="s">
        <v>71</v>
      </c>
      <c r="AJ238" s="1">
        <v>2.2999999999999998</v>
      </c>
      <c r="AK238" s="1">
        <v>0</v>
      </c>
      <c r="AL238" s="1">
        <v>0</v>
      </c>
      <c r="AM238" s="1">
        <v>0</v>
      </c>
      <c r="AN238" s="1">
        <v>0.01</v>
      </c>
      <c r="AO238" s="1">
        <v>0.01</v>
      </c>
      <c r="AP238" s="1">
        <v>1E-4</v>
      </c>
      <c r="AQ238" s="1">
        <v>11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1</v>
      </c>
      <c r="BI238" s="1">
        <v>50</v>
      </c>
      <c r="BJ238" s="1">
        <v>3</v>
      </c>
      <c r="BK238" s="1">
        <v>6.0000000000000001E-3</v>
      </c>
      <c r="BL238" s="1">
        <f t="shared" si="70"/>
        <v>0.6</v>
      </c>
      <c r="BM238" s="1">
        <v>0.12</v>
      </c>
      <c r="BN238" s="1">
        <v>0.05</v>
      </c>
      <c r="BO238" s="1">
        <v>1</v>
      </c>
      <c r="BP238" s="1">
        <v>0</v>
      </c>
      <c r="BQ238" s="1">
        <v>181</v>
      </c>
      <c r="BR238" s="1">
        <v>100</v>
      </c>
      <c r="BS238" s="1">
        <v>0</v>
      </c>
      <c r="BT238" s="1">
        <v>13</v>
      </c>
      <c r="BU238" s="1">
        <v>2</v>
      </c>
      <c r="BV238" s="28">
        <v>6</v>
      </c>
      <c r="BW238" s="28">
        <v>2</v>
      </c>
      <c r="BX238" s="1" t="s">
        <v>71</v>
      </c>
      <c r="BY238" s="1" t="s">
        <v>71</v>
      </c>
      <c r="BZ238" s="3">
        <v>0.5</v>
      </c>
      <c r="CA238" s="3">
        <v>2.5</v>
      </c>
      <c r="CB238" s="3">
        <f t="shared" si="71"/>
        <v>0.69444444444444442</v>
      </c>
      <c r="CC238" s="3">
        <f t="shared" si="74"/>
        <v>3.4722222222222228</v>
      </c>
      <c r="CD238" s="1">
        <f>ROUND(CB238/CB225+CC238/CC229,2)</f>
        <v>1.3</v>
      </c>
      <c r="CE238" s="1">
        <f>ROUND(CB238/CB228+CC238/CC229,2)</f>
        <v>1.21</v>
      </c>
      <c r="CF238" s="1">
        <f>ROUND(CB238/(1.2*CB228)+CC238/CC229,2)</f>
        <v>1.18</v>
      </c>
      <c r="CG238" s="1">
        <f>ROUND(CB238/CB225,2)</f>
        <v>0.26</v>
      </c>
      <c r="CH238" s="1">
        <f>ROUND(CB238/CB228,2)</f>
        <v>0.17</v>
      </c>
      <c r="CI238" s="1">
        <f>ROUND(CC238/CC229,2)</f>
        <v>1.04</v>
      </c>
      <c r="CJ238" s="1">
        <f>ROUND((CC238+CB238)/MAX(CC229,CB228),2)</f>
        <v>1</v>
      </c>
      <c r="CK238" s="1">
        <f>ROUND(LN((0.9*BZ238)/(0.1*CA238))/(BZ225/CA229),2)</f>
        <v>0.74</v>
      </c>
      <c r="CL238" s="1">
        <f>ROUND(LN((0.9*BZ238)/(0.1*CA238))/(BZ228/CA229),2)</f>
        <v>0.47</v>
      </c>
      <c r="CM238" s="1">
        <f>ROUND(LN((0.1*CA238)/(0.9*BZ238))/(CA229/BZ225),2)</f>
        <v>-0.47</v>
      </c>
      <c r="CN238" s="1">
        <f>ROUND(LN((0.1*CA238)/(0.9*BZ238))/(CA229/BZ228),2)</f>
        <v>-0.73</v>
      </c>
      <c r="CO238" s="5">
        <v>51</v>
      </c>
      <c r="CP238" s="5">
        <v>54</v>
      </c>
      <c r="CQ238" s="1">
        <v>27</v>
      </c>
      <c r="CR238" s="1">
        <v>147</v>
      </c>
      <c r="CS238" s="5">
        <v>36.299999999999997</v>
      </c>
      <c r="CT238" s="5">
        <v>8.4</v>
      </c>
      <c r="CU238" s="5">
        <v>4.9000000000000004</v>
      </c>
      <c r="CV238" s="1" t="s">
        <v>71</v>
      </c>
      <c r="CW238" s="1" t="s">
        <v>71</v>
      </c>
      <c r="CX238" t="e">
        <f>ROUND(CV238*#REF!/10,1)</f>
        <v>#VALUE!</v>
      </c>
      <c r="CY238" s="1">
        <v>18.5</v>
      </c>
      <c r="CZ238">
        <f t="shared" si="79"/>
        <v>1260</v>
      </c>
      <c r="DA238">
        <f t="shared" si="80"/>
        <v>128</v>
      </c>
      <c r="DB238">
        <f>(CZ238+DA238)/MAX(DA228,CZ229)</f>
        <v>1.2315882874889086</v>
      </c>
      <c r="DC238" s="26">
        <v>18.5</v>
      </c>
      <c r="DD238">
        <f t="shared" si="72"/>
        <v>1388</v>
      </c>
      <c r="DE238">
        <f t="shared" si="82"/>
        <v>0.11</v>
      </c>
      <c r="DF238">
        <f>ROUND(CZ238/MAX(DA228,CZ229), 2)</f>
        <v>1.1200000000000001</v>
      </c>
    </row>
    <row r="239" spans="1:110" x14ac:dyDescent="0.15">
      <c r="A239" s="23">
        <v>2023</v>
      </c>
      <c r="B239" s="23" t="s">
        <v>48</v>
      </c>
      <c r="C239" s="23">
        <v>12</v>
      </c>
      <c r="D239" s="23">
        <v>17</v>
      </c>
      <c r="E239" s="23" t="s">
        <v>52</v>
      </c>
      <c r="F239" s="23" t="s">
        <v>54</v>
      </c>
      <c r="G239" s="23" t="s">
        <v>5</v>
      </c>
      <c r="H239" s="23">
        <v>4</v>
      </c>
      <c r="I239" s="23" t="s">
        <v>67</v>
      </c>
      <c r="J239" s="23" t="s">
        <v>57</v>
      </c>
      <c r="K239" s="24">
        <v>45080</v>
      </c>
      <c r="L239" s="27">
        <v>10000000000</v>
      </c>
      <c r="M239" s="1">
        <f>K239-K230</f>
        <v>2</v>
      </c>
      <c r="N239" s="24">
        <v>45090</v>
      </c>
      <c r="O239" s="24">
        <v>45100</v>
      </c>
      <c r="P239" s="24">
        <v>45079</v>
      </c>
      <c r="Q239" s="1">
        <f>P239-P230</f>
        <v>-1</v>
      </c>
      <c r="R239" s="1">
        <f>N239-N228</f>
        <v>3</v>
      </c>
      <c r="S239" s="1">
        <f>O239-O228</f>
        <v>2</v>
      </c>
      <c r="T239" s="1">
        <f t="shared" si="81"/>
        <v>2.5</v>
      </c>
      <c r="U239" s="1">
        <v>81</v>
      </c>
      <c r="V239" s="1">
        <v>86</v>
      </c>
      <c r="W239" s="1">
        <v>-5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25">
        <v>30.666666666666668</v>
      </c>
      <c r="AE239" s="25">
        <v>18.666666666666668</v>
      </c>
      <c r="AF239" s="25">
        <v>77</v>
      </c>
      <c r="AG239" s="25">
        <v>73</v>
      </c>
      <c r="AH239" s="1" t="s">
        <v>71</v>
      </c>
      <c r="AI239" s="1" t="s">
        <v>71</v>
      </c>
      <c r="AJ239" s="1">
        <v>1.3</v>
      </c>
      <c r="AK239" s="1">
        <v>0</v>
      </c>
      <c r="AL239" s="1">
        <v>0</v>
      </c>
      <c r="AM239" s="1">
        <v>0</v>
      </c>
      <c r="AN239" s="1">
        <v>0.01</v>
      </c>
      <c r="AO239" s="1">
        <v>0.01</v>
      </c>
      <c r="AP239" s="1">
        <v>1E-4</v>
      </c>
      <c r="AQ239" s="1">
        <v>17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20</v>
      </c>
      <c r="BI239" s="1">
        <v>3</v>
      </c>
      <c r="BJ239" s="1">
        <v>0.5</v>
      </c>
      <c r="BK239" s="1">
        <v>0.05</v>
      </c>
      <c r="BL239" s="1">
        <f t="shared" si="70"/>
        <v>5</v>
      </c>
      <c r="BM239" s="1">
        <v>0.5</v>
      </c>
      <c r="BN239" s="1">
        <v>0.1</v>
      </c>
      <c r="BO239" s="1">
        <v>1</v>
      </c>
      <c r="BP239" s="1">
        <v>0</v>
      </c>
      <c r="BQ239" s="1">
        <v>188</v>
      </c>
      <c r="BR239" s="1">
        <v>10</v>
      </c>
      <c r="BS239" s="1">
        <v>0</v>
      </c>
      <c r="BT239" s="1">
        <v>9</v>
      </c>
      <c r="BU239" s="1">
        <v>3</v>
      </c>
      <c r="BV239" s="28">
        <v>6.666666666666667</v>
      </c>
      <c r="BW239" s="28">
        <v>1.6666666666666667</v>
      </c>
      <c r="BX239" s="1" t="s">
        <v>71</v>
      </c>
      <c r="BY239" s="1" t="s">
        <v>71</v>
      </c>
      <c r="BZ239" s="3">
        <v>0.8</v>
      </c>
      <c r="CA239" s="3">
        <v>2.2000000000000002</v>
      </c>
      <c r="CB239" s="3">
        <f t="shared" si="71"/>
        <v>1.1111111111111114</v>
      </c>
      <c r="CC239" s="3">
        <f t="shared" si="74"/>
        <v>3.0555555555555562</v>
      </c>
      <c r="CD239" s="1">
        <f>ROUND(CB239/CB225+CC239/CC230,2)</f>
        <v>1.27</v>
      </c>
      <c r="CE239" s="1">
        <f>ROUND(CB239/CB228+CC239/CC230,2)</f>
        <v>1.1100000000000001</v>
      </c>
      <c r="CF239" s="1">
        <f>ROUND(CB239/(1.2*CB228)+CC239/CC230,2)</f>
        <v>1.07</v>
      </c>
      <c r="CG239" s="1">
        <f>ROUND(CB239/CB225,2)</f>
        <v>0.42</v>
      </c>
      <c r="CH239" s="1">
        <f>ROUND(CB239/CB228,2)</f>
        <v>0.27</v>
      </c>
      <c r="CI239" s="1">
        <f>ROUND(CC239/CC230,2)</f>
        <v>0.85</v>
      </c>
      <c r="CJ239" s="1">
        <f>ROUND((CC239+CB239)/MAX(CC230,CB228),2)</f>
        <v>1</v>
      </c>
      <c r="CK239" s="1">
        <f>ROUND(LN((0.9*BZ239)/(0.1*CA239))/(BZ225/CA230),2)</f>
        <v>1.62</v>
      </c>
      <c r="CL239" s="1">
        <f>ROUND(LN((0.9*BZ239)/(0.1*CA239))/(BZ228/CA230),2)</f>
        <v>1.03</v>
      </c>
      <c r="CM239" s="1">
        <f>ROUND(LN((0.1*CA239)/(0.9*BZ239))/(CA230/BZ225),2)</f>
        <v>-0.87</v>
      </c>
      <c r="CN239" s="1">
        <f>ROUND(LN((0.1*CA239)/(0.9*BZ239))/(CA230/BZ228),2)</f>
        <v>-1.37</v>
      </c>
      <c r="CO239" s="5">
        <v>53</v>
      </c>
      <c r="CP239" s="5">
        <v>76</v>
      </c>
      <c r="CQ239" s="1">
        <v>31</v>
      </c>
      <c r="CR239" s="1">
        <v>134</v>
      </c>
      <c r="CS239" s="5">
        <v>38.5</v>
      </c>
      <c r="CT239" s="5">
        <v>8.6</v>
      </c>
      <c r="CU239" s="5">
        <v>5.4</v>
      </c>
      <c r="CV239" s="1" t="s">
        <v>71</v>
      </c>
      <c r="CW239" s="1" t="s">
        <v>71</v>
      </c>
      <c r="CX239" t="e">
        <f>ROUND(CV239*#REF!/10,1)</f>
        <v>#VALUE!</v>
      </c>
      <c r="CY239" s="1">
        <v>15.5</v>
      </c>
      <c r="CZ239">
        <f t="shared" si="79"/>
        <v>1176</v>
      </c>
      <c r="DA239">
        <f t="shared" si="80"/>
        <v>172</v>
      </c>
      <c r="DB239">
        <f>(CZ239+DA239)/MAX(DA228,CZ230)</f>
        <v>0.98250728862973757</v>
      </c>
      <c r="DC239" s="26">
        <v>15.5</v>
      </c>
      <c r="DD239">
        <f t="shared" si="72"/>
        <v>1348</v>
      </c>
      <c r="DE239">
        <f t="shared" si="82"/>
        <v>0.12</v>
      </c>
      <c r="DF239">
        <f>ROUND(CZ239/MAX(DA228,CZ230), 2)</f>
        <v>0.86</v>
      </c>
    </row>
    <row r="240" spans="1:110" ht="15" x14ac:dyDescent="0.15">
      <c r="A240" s="23">
        <v>2023</v>
      </c>
      <c r="B240" s="23" t="s">
        <v>48</v>
      </c>
      <c r="C240" s="23">
        <v>12</v>
      </c>
      <c r="D240" s="23">
        <v>18</v>
      </c>
      <c r="E240" s="23" t="s">
        <v>52</v>
      </c>
      <c r="F240" s="23" t="s">
        <v>55</v>
      </c>
      <c r="G240" s="23" t="s">
        <v>5</v>
      </c>
      <c r="H240" s="23">
        <v>4</v>
      </c>
      <c r="I240" s="23" t="s">
        <v>68</v>
      </c>
      <c r="J240" s="23" t="s">
        <v>57</v>
      </c>
      <c r="K240" s="24">
        <v>45070</v>
      </c>
      <c r="L240" s="27">
        <v>10000000000</v>
      </c>
      <c r="M240" s="1">
        <f>K240-K231</f>
        <v>0</v>
      </c>
      <c r="N240" s="24">
        <v>45088</v>
      </c>
      <c r="O240" s="24">
        <v>45102</v>
      </c>
      <c r="P240" s="24">
        <v>45078</v>
      </c>
      <c r="Q240" s="1">
        <f>P240-P231</f>
        <v>0</v>
      </c>
      <c r="R240" s="1">
        <f>N240-N228</f>
        <v>1</v>
      </c>
      <c r="S240" s="1">
        <f>O240-O228</f>
        <v>4</v>
      </c>
      <c r="T240" s="1">
        <f t="shared" si="81"/>
        <v>2.5</v>
      </c>
      <c r="U240" s="1">
        <v>79</v>
      </c>
      <c r="V240" s="1">
        <v>86</v>
      </c>
      <c r="W240" s="1">
        <v>-7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25">
        <v>30.666666666666668</v>
      </c>
      <c r="AE240" s="25">
        <v>23.666666666666668</v>
      </c>
      <c r="AF240" s="25">
        <v>73</v>
      </c>
      <c r="AG240" s="25">
        <v>78</v>
      </c>
      <c r="AH240" s="1" t="s">
        <v>71</v>
      </c>
      <c r="AI240" s="1" t="s">
        <v>71</v>
      </c>
      <c r="AJ240" s="1">
        <v>2</v>
      </c>
      <c r="AK240" s="1">
        <v>0</v>
      </c>
      <c r="AL240" s="1">
        <v>0</v>
      </c>
      <c r="AM240" s="1">
        <v>0</v>
      </c>
      <c r="AN240" s="1">
        <v>0.02</v>
      </c>
      <c r="AO240" s="1">
        <v>0.03</v>
      </c>
      <c r="AP240" s="1">
        <v>5.9999999999999995E-4</v>
      </c>
      <c r="AQ240" s="1">
        <v>4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40</v>
      </c>
      <c r="BI240" s="1">
        <v>50</v>
      </c>
      <c r="BJ240" s="1">
        <v>40</v>
      </c>
      <c r="BK240" s="1">
        <v>1.6E-2</v>
      </c>
      <c r="BL240" s="1">
        <f t="shared" si="70"/>
        <v>1.6</v>
      </c>
      <c r="BM240" s="1">
        <v>0.4</v>
      </c>
      <c r="BN240" s="1">
        <v>0.04</v>
      </c>
      <c r="BO240" s="1">
        <v>1</v>
      </c>
      <c r="BP240" s="1">
        <v>0</v>
      </c>
      <c r="BQ240" s="1">
        <v>150</v>
      </c>
      <c r="BR240" s="1">
        <v>3</v>
      </c>
      <c r="BS240" s="1">
        <v>0</v>
      </c>
      <c r="BT240" s="1">
        <v>13</v>
      </c>
      <c r="BU240" s="1">
        <v>4</v>
      </c>
      <c r="BV240" s="28">
        <v>4.666666666666667</v>
      </c>
      <c r="BW240" s="28">
        <v>0.33333333333333331</v>
      </c>
      <c r="BX240" s="1" t="s">
        <v>71</v>
      </c>
      <c r="BY240" s="1" t="s">
        <v>71</v>
      </c>
      <c r="BZ240" s="3">
        <v>0.5</v>
      </c>
      <c r="CA240" s="3">
        <v>2.2000000000000002</v>
      </c>
      <c r="CB240" s="3">
        <f t="shared" si="71"/>
        <v>0.69444444444444442</v>
      </c>
      <c r="CC240" s="3">
        <f t="shared" si="74"/>
        <v>3.0555555555555562</v>
      </c>
      <c r="CD240" s="1">
        <f>ROUND(CB240/CB225+CC240/CC231,2)</f>
        <v>1.22</v>
      </c>
      <c r="CE240" s="1">
        <f>ROUND(CB240/CB228+CC240/CC231,2)</f>
        <v>1.1200000000000001</v>
      </c>
      <c r="CF240" s="1">
        <f>ROUND(CB240/(1.2*CB228)+CC240/CC231,2)</f>
        <v>1.1000000000000001</v>
      </c>
      <c r="CG240" s="1">
        <f>ROUND(CB240/CB225,2)</f>
        <v>0.26</v>
      </c>
      <c r="CH240" s="1">
        <f>ROUND(CB240/CB228,2)</f>
        <v>0.17</v>
      </c>
      <c r="CI240" s="1">
        <f>ROUND(CC240/CC231,2)</f>
        <v>0.96</v>
      </c>
      <c r="CJ240" s="1">
        <f>ROUND((CC240+CB240)/MAX(CC231,CB228),2)</f>
        <v>0.9</v>
      </c>
      <c r="CK240" s="1">
        <f>ROUND(LN((0.9*BZ240)/(0.1*CA240))/(BZ225/CA231),2)</f>
        <v>0.87</v>
      </c>
      <c r="CL240" s="1">
        <f>ROUND(LN((0.9*BZ240)/(0.1*CA240))/(BZ228/CA231),2)</f>
        <v>0.55000000000000004</v>
      </c>
      <c r="CM240" s="1">
        <f>ROUND(LN((0.1*CA240)/(0.9*BZ240))/(CA231/BZ225),2)</f>
        <v>-0.59</v>
      </c>
      <c r="CN240" s="1">
        <f>ROUND(LN((0.1*CA240)/(0.9*BZ240))/(CA231/BZ228),2)</f>
        <v>-0.93</v>
      </c>
      <c r="CO240" s="5" t="s">
        <v>71</v>
      </c>
      <c r="CP240" s="5">
        <v>70</v>
      </c>
      <c r="CQ240" s="1">
        <v>32</v>
      </c>
      <c r="CR240" s="1">
        <v>144</v>
      </c>
      <c r="CS240" s="5">
        <v>41.5</v>
      </c>
      <c r="CT240" s="5">
        <v>8.5</v>
      </c>
      <c r="CU240" s="5">
        <v>3.3</v>
      </c>
      <c r="CV240" s="1" t="s">
        <v>71</v>
      </c>
      <c r="CW240" s="1" t="s">
        <v>71</v>
      </c>
      <c r="CX240" t="e">
        <f>ROUND(CV240*#REF!/10,1)</f>
        <v>#VALUE!</v>
      </c>
      <c r="CY240" s="1">
        <v>15.3</v>
      </c>
      <c r="CZ240">
        <f t="shared" si="79"/>
        <v>1268</v>
      </c>
      <c r="DA240">
        <f t="shared" si="80"/>
        <v>106</v>
      </c>
      <c r="DB240">
        <f>(CZ240+DA240)/MAX(DA228,CZ231)</f>
        <v>1.0974440894568691</v>
      </c>
      <c r="DC240" s="26">
        <v>15.3</v>
      </c>
      <c r="DD240">
        <f t="shared" si="72"/>
        <v>1374</v>
      </c>
      <c r="DE240">
        <f t="shared" si="82"/>
        <v>0.09</v>
      </c>
      <c r="DF240">
        <f>ROUND(CZ240/MAX(DA228,CZ231), 2)</f>
        <v>1.01</v>
      </c>
    </row>
    <row r="241" spans="1:110" ht="15" x14ac:dyDescent="0.15">
      <c r="A241" s="23">
        <v>2023</v>
      </c>
      <c r="B241" s="23" t="s">
        <v>48</v>
      </c>
      <c r="C241" s="23">
        <v>12</v>
      </c>
      <c r="D241" s="23">
        <v>19</v>
      </c>
      <c r="E241" s="23"/>
      <c r="F241" s="23"/>
      <c r="G241" s="23" t="s">
        <v>5</v>
      </c>
      <c r="H241" s="23">
        <v>4</v>
      </c>
      <c r="I241" s="23" t="s">
        <v>69</v>
      </c>
      <c r="J241" s="23" t="s">
        <v>57</v>
      </c>
      <c r="K241" s="24">
        <v>45077</v>
      </c>
      <c r="L241" s="1" t="s">
        <v>71</v>
      </c>
      <c r="M241" s="1" t="s">
        <v>71</v>
      </c>
      <c r="N241" s="1" t="s">
        <v>71</v>
      </c>
      <c r="O241" s="1" t="s">
        <v>71</v>
      </c>
      <c r="P241" s="24">
        <v>45075</v>
      </c>
      <c r="Q241" s="1" t="s">
        <v>71</v>
      </c>
      <c r="R241" s="1" t="s">
        <v>71</v>
      </c>
      <c r="S241" s="1" t="s">
        <v>71</v>
      </c>
      <c r="T241" s="1" t="s">
        <v>71</v>
      </c>
      <c r="U241" s="1" t="s">
        <v>71</v>
      </c>
      <c r="V241" s="1">
        <v>85</v>
      </c>
      <c r="W241" s="1" t="s">
        <v>71</v>
      </c>
      <c r="X241" s="1">
        <v>0</v>
      </c>
      <c r="Y241" s="1" t="s">
        <v>71</v>
      </c>
      <c r="Z241" s="1">
        <v>0</v>
      </c>
      <c r="AA241" s="1" t="s">
        <v>71</v>
      </c>
      <c r="AB241" s="1">
        <v>3</v>
      </c>
      <c r="AC241" s="1" t="s">
        <v>71</v>
      </c>
      <c r="AD241" s="25" t="s">
        <v>71</v>
      </c>
      <c r="AE241" s="25">
        <v>26.333333333333332</v>
      </c>
      <c r="AF241" s="25" t="s">
        <v>71</v>
      </c>
      <c r="AG241" s="25">
        <v>68</v>
      </c>
      <c r="AH241" s="1" t="s">
        <v>71</v>
      </c>
      <c r="AI241" s="1" t="s">
        <v>71</v>
      </c>
      <c r="AJ241" s="1" t="s">
        <v>71</v>
      </c>
      <c r="AK241" s="1" t="s">
        <v>71</v>
      </c>
      <c r="AL241" s="1" t="s">
        <v>71</v>
      </c>
      <c r="AM241" s="1" t="s">
        <v>71</v>
      </c>
      <c r="AN241" s="1" t="s">
        <v>71</v>
      </c>
      <c r="AO241" s="1" t="s">
        <v>71</v>
      </c>
      <c r="AP241" s="1" t="s">
        <v>71</v>
      </c>
      <c r="AQ241" s="1" t="s">
        <v>71</v>
      </c>
      <c r="AR241" s="1" t="s">
        <v>71</v>
      </c>
      <c r="AS241" s="1" t="s">
        <v>71</v>
      </c>
      <c r="AT241" s="1" t="s">
        <v>71</v>
      </c>
      <c r="AU241" s="1">
        <v>0</v>
      </c>
      <c r="AV241" s="1">
        <v>0</v>
      </c>
      <c r="AW241" s="1">
        <v>0</v>
      </c>
      <c r="AX241" s="1" t="s">
        <v>71</v>
      </c>
      <c r="AY241" s="1" t="s">
        <v>71</v>
      </c>
      <c r="AZ241" s="1">
        <v>0</v>
      </c>
      <c r="BA241" s="1" t="s">
        <v>71</v>
      </c>
      <c r="BB241" s="1" t="s">
        <v>71</v>
      </c>
      <c r="BC241" s="1" t="s">
        <v>71</v>
      </c>
      <c r="BD241" s="1" t="s">
        <v>71</v>
      </c>
      <c r="BE241" s="1" t="s">
        <v>71</v>
      </c>
      <c r="BF241" s="1" t="s">
        <v>71</v>
      </c>
      <c r="BG241" s="1" t="s">
        <v>71</v>
      </c>
      <c r="BH241" s="1">
        <v>56</v>
      </c>
      <c r="BI241" s="1">
        <v>10</v>
      </c>
      <c r="BJ241" s="1">
        <v>1</v>
      </c>
      <c r="BK241" s="1">
        <v>0.09</v>
      </c>
      <c r="BL241" s="1">
        <f t="shared" si="70"/>
        <v>9</v>
      </c>
      <c r="BM241" s="1">
        <v>0.6</v>
      </c>
      <c r="BN241" s="1">
        <v>0.15</v>
      </c>
      <c r="BO241" s="1">
        <v>1</v>
      </c>
      <c r="BP241" s="1">
        <v>5</v>
      </c>
      <c r="BQ241" s="1">
        <v>100</v>
      </c>
      <c r="BR241" s="1">
        <v>33</v>
      </c>
      <c r="BS241" s="1">
        <v>0</v>
      </c>
      <c r="BT241" s="1">
        <v>10</v>
      </c>
      <c r="BU241" s="1" t="s">
        <v>71</v>
      </c>
      <c r="BV241" s="28">
        <v>7.666666666666667</v>
      </c>
      <c r="BW241" s="28">
        <v>3</v>
      </c>
      <c r="BX241" s="1" t="s">
        <v>71</v>
      </c>
      <c r="BY241" s="1" t="s">
        <v>71</v>
      </c>
      <c r="BZ241" s="3" t="s">
        <v>71</v>
      </c>
      <c r="CA241" s="3" t="s">
        <v>71</v>
      </c>
      <c r="CB241" s="3" t="s">
        <v>71</v>
      </c>
      <c r="CC241" s="3" t="s">
        <v>71</v>
      </c>
      <c r="CD241" s="1" t="s">
        <v>71</v>
      </c>
      <c r="CE241" s="1" t="s">
        <v>71</v>
      </c>
      <c r="CF241" s="1" t="s">
        <v>71</v>
      </c>
      <c r="CG241" s="1" t="s">
        <v>71</v>
      </c>
      <c r="CH241" s="1" t="s">
        <v>71</v>
      </c>
      <c r="CI241" s="1" t="s">
        <v>71</v>
      </c>
      <c r="CJ241" s="1" t="s">
        <v>71</v>
      </c>
      <c r="CK241" s="1" t="s">
        <v>71</v>
      </c>
      <c r="CL241" s="3" t="s">
        <v>71</v>
      </c>
      <c r="CM241" s="3" t="s">
        <v>71</v>
      </c>
      <c r="CN241" s="3" t="s">
        <v>71</v>
      </c>
      <c r="CO241" s="5" t="s">
        <v>71</v>
      </c>
      <c r="CP241" s="5">
        <v>73</v>
      </c>
      <c r="CQ241" s="1" t="s">
        <v>71</v>
      </c>
      <c r="CR241" s="1">
        <v>146</v>
      </c>
      <c r="CS241" s="5">
        <v>35.9</v>
      </c>
      <c r="CT241" s="5" t="s">
        <v>71</v>
      </c>
      <c r="CU241" s="5">
        <v>4.5999999999999996</v>
      </c>
      <c r="CV241" s="1" t="s">
        <v>71</v>
      </c>
      <c r="CW241" s="1" t="s">
        <v>71</v>
      </c>
      <c r="CX241" t="s">
        <v>71</v>
      </c>
      <c r="CY241" s="1" t="s">
        <v>71</v>
      </c>
      <c r="CZ241" t="s">
        <v>71</v>
      </c>
      <c r="DA241" t="s">
        <v>71</v>
      </c>
      <c r="DB241" t="s">
        <v>71</v>
      </c>
      <c r="DC241" s="26" t="s">
        <v>71</v>
      </c>
      <c r="DD241">
        <f t="shared" si="72"/>
        <v>0</v>
      </c>
      <c r="DE241" t="s">
        <v>71</v>
      </c>
      <c r="DF241" s="26" t="s">
        <v>71</v>
      </c>
    </row>
    <row r="242" spans="1:110" ht="15" x14ac:dyDescent="0.15">
      <c r="A242" s="23">
        <v>2023</v>
      </c>
      <c r="B242" s="23" t="s">
        <v>48</v>
      </c>
      <c r="C242" s="23">
        <v>12</v>
      </c>
      <c r="D242" s="23">
        <v>20</v>
      </c>
      <c r="E242" s="23"/>
      <c r="F242" s="23"/>
      <c r="G242" s="23" t="s">
        <v>5</v>
      </c>
      <c r="H242" s="23">
        <v>4</v>
      </c>
      <c r="I242" s="23" t="s">
        <v>70</v>
      </c>
      <c r="J242" s="23" t="s">
        <v>57</v>
      </c>
      <c r="K242" s="24">
        <v>45080</v>
      </c>
      <c r="L242" s="1" t="s">
        <v>71</v>
      </c>
      <c r="M242" s="1" t="s">
        <v>71</v>
      </c>
      <c r="N242" s="1" t="s">
        <v>71</v>
      </c>
      <c r="O242" s="1" t="s">
        <v>71</v>
      </c>
      <c r="P242" s="24">
        <v>45082</v>
      </c>
      <c r="Q242" s="1" t="s">
        <v>71</v>
      </c>
      <c r="R242" s="1" t="s">
        <v>71</v>
      </c>
      <c r="S242" s="1" t="s">
        <v>71</v>
      </c>
      <c r="T242" s="1" t="s">
        <v>71</v>
      </c>
      <c r="U242" s="1" t="s">
        <v>71</v>
      </c>
      <c r="V242" s="1">
        <v>83</v>
      </c>
      <c r="W242" s="1" t="s">
        <v>71</v>
      </c>
      <c r="X242" s="1">
        <v>0</v>
      </c>
      <c r="Y242" s="1" t="s">
        <v>71</v>
      </c>
      <c r="Z242" s="1">
        <v>0</v>
      </c>
      <c r="AA242" s="1" t="s">
        <v>71</v>
      </c>
      <c r="AB242" s="1">
        <v>0</v>
      </c>
      <c r="AC242" s="1" t="s">
        <v>71</v>
      </c>
      <c r="AD242" s="25" t="s">
        <v>71</v>
      </c>
      <c r="AE242" s="25">
        <v>12.333333333333334</v>
      </c>
      <c r="AF242" s="25" t="s">
        <v>71</v>
      </c>
      <c r="AG242" s="25">
        <v>67</v>
      </c>
      <c r="AH242" s="1" t="s">
        <v>71</v>
      </c>
      <c r="AI242" s="1" t="s">
        <v>71</v>
      </c>
      <c r="AJ242" s="1" t="s">
        <v>71</v>
      </c>
      <c r="AK242" s="1" t="s">
        <v>71</v>
      </c>
      <c r="AL242" s="1" t="s">
        <v>71</v>
      </c>
      <c r="AM242" s="1" t="s">
        <v>71</v>
      </c>
      <c r="AN242" s="1" t="s">
        <v>71</v>
      </c>
      <c r="AO242" s="1" t="s">
        <v>71</v>
      </c>
      <c r="AP242" s="1" t="s">
        <v>71</v>
      </c>
      <c r="AQ242" s="1" t="s">
        <v>71</v>
      </c>
      <c r="AR242" s="1" t="s">
        <v>71</v>
      </c>
      <c r="AS242" s="1" t="s">
        <v>71</v>
      </c>
      <c r="AT242" s="1" t="s">
        <v>71</v>
      </c>
      <c r="AU242" s="1">
        <v>0</v>
      </c>
      <c r="AV242" s="1">
        <v>0</v>
      </c>
      <c r="AW242" s="1">
        <v>0</v>
      </c>
      <c r="AX242" s="1" t="s">
        <v>71</v>
      </c>
      <c r="AY242" s="1" t="s">
        <v>71</v>
      </c>
      <c r="AZ242" s="1">
        <v>0</v>
      </c>
      <c r="BA242" s="1" t="s">
        <v>71</v>
      </c>
      <c r="BB242" s="1" t="s">
        <v>71</v>
      </c>
      <c r="BC242" s="1" t="s">
        <v>71</v>
      </c>
      <c r="BD242" s="1" t="s">
        <v>71</v>
      </c>
      <c r="BE242" s="1" t="s">
        <v>71</v>
      </c>
      <c r="BF242" s="1" t="s">
        <v>71</v>
      </c>
      <c r="BG242" s="1" t="s">
        <v>71</v>
      </c>
      <c r="BH242" s="1">
        <v>300</v>
      </c>
      <c r="BI242" s="1">
        <v>0</v>
      </c>
      <c r="BJ242" s="1">
        <v>0</v>
      </c>
      <c r="BK242" s="1">
        <v>0.12</v>
      </c>
      <c r="BL242" s="1">
        <f t="shared" si="70"/>
        <v>12</v>
      </c>
      <c r="BM242" s="1">
        <v>0.6</v>
      </c>
      <c r="BN242" s="1">
        <v>0.2</v>
      </c>
      <c r="BO242" s="1">
        <v>1</v>
      </c>
      <c r="BP242" s="1">
        <v>50</v>
      </c>
      <c r="BQ242" s="1">
        <v>0</v>
      </c>
      <c r="BR242" s="1">
        <v>33</v>
      </c>
      <c r="BS242" s="1">
        <v>12</v>
      </c>
      <c r="BT242" s="1">
        <v>6</v>
      </c>
      <c r="BU242" s="1" t="s">
        <v>71</v>
      </c>
      <c r="BV242" s="1">
        <v>16</v>
      </c>
      <c r="BW242" s="1">
        <v>0</v>
      </c>
      <c r="BX242" s="1" t="s">
        <v>71</v>
      </c>
      <c r="BY242" s="1" t="s">
        <v>71</v>
      </c>
      <c r="BZ242" s="3" t="s">
        <v>71</v>
      </c>
      <c r="CA242" s="3" t="s">
        <v>71</v>
      </c>
      <c r="CB242" s="3" t="s">
        <v>71</v>
      </c>
      <c r="CC242" s="3" t="s">
        <v>71</v>
      </c>
      <c r="CD242" s="1" t="s">
        <v>71</v>
      </c>
      <c r="CE242" s="1" t="s">
        <v>71</v>
      </c>
      <c r="CF242" s="1" t="s">
        <v>71</v>
      </c>
      <c r="CG242" s="1" t="s">
        <v>71</v>
      </c>
      <c r="CH242" s="1" t="s">
        <v>71</v>
      </c>
      <c r="CI242" s="1" t="s">
        <v>71</v>
      </c>
      <c r="CJ242" s="1" t="s">
        <v>71</v>
      </c>
      <c r="CK242" s="1" t="s">
        <v>71</v>
      </c>
      <c r="CL242" s="3" t="s">
        <v>71</v>
      </c>
      <c r="CM242" s="3" t="s">
        <v>71</v>
      </c>
      <c r="CN242" s="3" t="s">
        <v>71</v>
      </c>
      <c r="CO242" s="5" t="s">
        <v>71</v>
      </c>
      <c r="CP242" s="5">
        <v>75</v>
      </c>
      <c r="CQ242" s="1" t="s">
        <v>71</v>
      </c>
      <c r="CR242" s="1">
        <v>137</v>
      </c>
      <c r="CS242" s="5">
        <v>48.7</v>
      </c>
      <c r="CT242" s="5" t="s">
        <v>71</v>
      </c>
      <c r="CU242" s="5">
        <v>3.5</v>
      </c>
      <c r="CV242" s="1" t="s">
        <v>71</v>
      </c>
      <c r="CW242" s="1" t="s">
        <v>71</v>
      </c>
      <c r="CX242" t="s">
        <v>71</v>
      </c>
      <c r="CY242" s="1" t="s">
        <v>71</v>
      </c>
      <c r="CZ242" t="s">
        <v>71</v>
      </c>
      <c r="DA242" t="s">
        <v>71</v>
      </c>
      <c r="DB242" t="s">
        <v>71</v>
      </c>
      <c r="DC242" s="26" t="s">
        <v>71</v>
      </c>
      <c r="DD242">
        <f t="shared" si="72"/>
        <v>0</v>
      </c>
      <c r="DE242" t="s">
        <v>71</v>
      </c>
      <c r="DF242" s="26" t="s">
        <v>71</v>
      </c>
    </row>
    <row r="243" spans="1:110" ht="15" x14ac:dyDescent="0.15">
      <c r="A243" s="23">
        <v>2023</v>
      </c>
      <c r="B243" s="23" t="s">
        <v>49</v>
      </c>
      <c r="C243" s="23">
        <v>13</v>
      </c>
      <c r="D243" s="23">
        <v>1</v>
      </c>
      <c r="E243" s="23" t="s">
        <v>50</v>
      </c>
      <c r="F243" s="23"/>
      <c r="G243" s="23" t="s">
        <v>56</v>
      </c>
      <c r="H243" s="23">
        <v>1</v>
      </c>
      <c r="I243" s="23" t="s">
        <v>50</v>
      </c>
      <c r="J243" s="23" t="s">
        <v>57</v>
      </c>
      <c r="K243" s="1" t="s">
        <v>57</v>
      </c>
      <c r="L243" s="1" t="s">
        <v>71</v>
      </c>
      <c r="M243" s="1" t="s">
        <v>71</v>
      </c>
      <c r="N243" s="24">
        <v>45078</v>
      </c>
      <c r="O243" s="24">
        <v>45086</v>
      </c>
      <c r="P243" s="1" t="s">
        <v>71</v>
      </c>
      <c r="Q243" s="1" t="s">
        <v>71</v>
      </c>
      <c r="R243" s="1" t="s">
        <v>71</v>
      </c>
      <c r="S243" s="1" t="s">
        <v>71</v>
      </c>
      <c r="T243" s="1" t="s">
        <v>71</v>
      </c>
      <c r="U243" s="1">
        <v>87</v>
      </c>
      <c r="V243" s="1" t="s">
        <v>71</v>
      </c>
      <c r="W243" s="1" t="s">
        <v>71</v>
      </c>
      <c r="X243" s="1" t="s">
        <v>71</v>
      </c>
      <c r="Y243" s="1">
        <v>0</v>
      </c>
      <c r="Z243" s="1" t="s">
        <v>71</v>
      </c>
      <c r="AA243" s="1">
        <v>0</v>
      </c>
      <c r="AB243" s="1" t="s">
        <v>71</v>
      </c>
      <c r="AC243" s="1" t="s">
        <v>71</v>
      </c>
      <c r="AD243" s="25">
        <v>39</v>
      </c>
      <c r="AE243" s="25" t="s">
        <v>71</v>
      </c>
      <c r="AF243" s="25">
        <v>89</v>
      </c>
      <c r="AG243" s="25" t="s">
        <v>71</v>
      </c>
      <c r="AH243" s="1">
        <v>84</v>
      </c>
      <c r="AI243" s="1" t="s">
        <v>71</v>
      </c>
      <c r="AJ243" s="1">
        <v>2.2999999999999998</v>
      </c>
      <c r="AK243" s="1">
        <v>0</v>
      </c>
      <c r="AL243" s="1">
        <v>0</v>
      </c>
      <c r="AM243" s="1">
        <v>0</v>
      </c>
      <c r="AN243" s="1">
        <v>1.4999999999999999E-2</v>
      </c>
      <c r="AO243" s="1">
        <v>0.01</v>
      </c>
      <c r="AP243" s="1">
        <v>1.4999999999999999E-4</v>
      </c>
      <c r="AQ243" s="1">
        <v>37</v>
      </c>
      <c r="AR243" s="1">
        <v>0.02</v>
      </c>
      <c r="AS243" s="1">
        <v>5</v>
      </c>
      <c r="AT243" s="1">
        <v>0.1</v>
      </c>
      <c r="AU243" s="1" t="s">
        <v>71</v>
      </c>
      <c r="AV243" s="1" t="s">
        <v>71</v>
      </c>
      <c r="AW243" s="1" t="s">
        <v>71</v>
      </c>
      <c r="AX243" s="1">
        <v>0</v>
      </c>
      <c r="AY243" s="1">
        <v>0</v>
      </c>
      <c r="AZ243" s="1" t="s">
        <v>71</v>
      </c>
      <c r="BA243" s="1">
        <v>0.01</v>
      </c>
      <c r="BB243" s="1">
        <v>1E-4</v>
      </c>
      <c r="BC243" s="1">
        <v>9.9999999999999995E-7</v>
      </c>
      <c r="BD243" s="1">
        <v>0</v>
      </c>
      <c r="BE243" s="1">
        <v>0</v>
      </c>
      <c r="BF243" s="1">
        <v>0</v>
      </c>
      <c r="BG243" s="1">
        <v>0</v>
      </c>
      <c r="BH243" s="1" t="s">
        <v>71</v>
      </c>
      <c r="BI243" s="1" t="s">
        <v>71</v>
      </c>
      <c r="BJ243" s="1" t="s">
        <v>71</v>
      </c>
      <c r="BK243" s="1">
        <v>6.0000000000000002E-5</v>
      </c>
      <c r="BL243" s="1">
        <f t="shared" si="70"/>
        <v>6.0000000000000001E-3</v>
      </c>
      <c r="BM243" s="1">
        <v>0.02</v>
      </c>
      <c r="BN243" s="1">
        <v>3.0000000000000001E-3</v>
      </c>
      <c r="BO243" s="1">
        <v>2</v>
      </c>
      <c r="BP243" s="1">
        <v>0</v>
      </c>
      <c r="BQ243" s="1" t="s">
        <v>71</v>
      </c>
      <c r="BR243" s="1" t="s">
        <v>71</v>
      </c>
      <c r="BS243" s="1" t="s">
        <v>71</v>
      </c>
      <c r="BT243" s="1" t="s">
        <v>71</v>
      </c>
      <c r="BU243" s="1" t="s">
        <v>71</v>
      </c>
      <c r="BV243" s="1" t="s">
        <v>71</v>
      </c>
      <c r="BW243" s="1" t="s">
        <v>71</v>
      </c>
      <c r="BX243" s="1" t="s">
        <v>71</v>
      </c>
      <c r="BY243" s="1" t="s">
        <v>71</v>
      </c>
      <c r="BZ243" s="3">
        <v>1.9</v>
      </c>
      <c r="CA243" s="3" t="s">
        <v>71</v>
      </c>
      <c r="CB243" s="3">
        <f t="shared" si="71"/>
        <v>2.6388888888888888</v>
      </c>
      <c r="CC243" s="1" t="s">
        <v>71</v>
      </c>
      <c r="CD243" s="1">
        <v>1</v>
      </c>
      <c r="CE243" s="1">
        <v>1</v>
      </c>
      <c r="CF243" s="1">
        <f>CE243</f>
        <v>1</v>
      </c>
      <c r="CG243" s="3" t="s">
        <v>71</v>
      </c>
      <c r="CH243" s="3" t="s">
        <v>71</v>
      </c>
      <c r="CI243" s="3" t="s">
        <v>71</v>
      </c>
      <c r="CJ243" s="3" t="s">
        <v>71</v>
      </c>
      <c r="CK243" s="3" t="s">
        <v>71</v>
      </c>
      <c r="CL243" s="3" t="s">
        <v>71</v>
      </c>
      <c r="CM243" s="3" t="s">
        <v>71</v>
      </c>
      <c r="CN243" s="3" t="s">
        <v>71</v>
      </c>
      <c r="CO243" s="5">
        <v>48</v>
      </c>
      <c r="CP243" s="5" t="s">
        <v>71</v>
      </c>
      <c r="CQ243" s="1">
        <v>39</v>
      </c>
      <c r="CR243" s="1" t="s">
        <v>71</v>
      </c>
      <c r="CS243" s="5" t="s">
        <v>71</v>
      </c>
      <c r="CT243" s="1">
        <v>8.8000000000000007</v>
      </c>
      <c r="CU243" s="1" t="s">
        <v>71</v>
      </c>
      <c r="CV243" s="1" t="s">
        <v>71</v>
      </c>
      <c r="CW243" s="1" t="s">
        <v>71</v>
      </c>
      <c r="CX243" s="1" t="s">
        <v>71</v>
      </c>
      <c r="CY243" s="1">
        <v>9.1999999999999993</v>
      </c>
      <c r="CZ243" s="1" t="s">
        <v>71</v>
      </c>
      <c r="DA243">
        <f t="shared" ref="DA243:DA248" si="83">ROUND((CY243*CB243*10),0)</f>
        <v>243</v>
      </c>
      <c r="DB243" s="1" t="s">
        <v>71</v>
      </c>
      <c r="DC243" s="26">
        <v>9.1999999999999993</v>
      </c>
      <c r="DD243">
        <f t="shared" si="72"/>
        <v>243</v>
      </c>
      <c r="DE243" s="1" t="s">
        <v>71</v>
      </c>
      <c r="DF243" s="1" t="s">
        <v>71</v>
      </c>
    </row>
    <row r="244" spans="1:110" ht="15" x14ac:dyDescent="0.15">
      <c r="A244" s="23">
        <v>2023</v>
      </c>
      <c r="B244" s="23" t="s">
        <v>49</v>
      </c>
      <c r="C244" s="23">
        <v>13</v>
      </c>
      <c r="D244" s="23">
        <v>2</v>
      </c>
      <c r="E244" s="23" t="s">
        <v>51</v>
      </c>
      <c r="F244" s="23"/>
      <c r="G244" s="23" t="s">
        <v>56</v>
      </c>
      <c r="H244" s="23">
        <v>1</v>
      </c>
      <c r="I244" s="23" t="s">
        <v>51</v>
      </c>
      <c r="J244" s="23" t="s">
        <v>57</v>
      </c>
      <c r="K244" s="1" t="s">
        <v>57</v>
      </c>
      <c r="L244" s="1" t="s">
        <v>71</v>
      </c>
      <c r="M244" s="1" t="s">
        <v>71</v>
      </c>
      <c r="N244" s="24">
        <v>45083</v>
      </c>
      <c r="O244" s="24">
        <v>45090</v>
      </c>
      <c r="P244" s="1" t="s">
        <v>71</v>
      </c>
      <c r="Q244" s="1" t="s">
        <v>71</v>
      </c>
      <c r="R244" s="1" t="s">
        <v>71</v>
      </c>
      <c r="S244" s="1" t="s">
        <v>71</v>
      </c>
      <c r="T244" s="1" t="s">
        <v>71</v>
      </c>
      <c r="U244" s="1">
        <v>77</v>
      </c>
      <c r="V244" s="1" t="s">
        <v>71</v>
      </c>
      <c r="W244" s="1" t="s">
        <v>71</v>
      </c>
      <c r="X244" s="1" t="s">
        <v>71</v>
      </c>
      <c r="Y244" s="1">
        <v>0</v>
      </c>
      <c r="Z244" s="1" t="s">
        <v>71</v>
      </c>
      <c r="AA244" s="1">
        <v>0</v>
      </c>
      <c r="AB244" s="1" t="s">
        <v>71</v>
      </c>
      <c r="AC244" s="1" t="s">
        <v>71</v>
      </c>
      <c r="AD244" s="25">
        <v>31</v>
      </c>
      <c r="AE244" s="25" t="s">
        <v>71</v>
      </c>
      <c r="AF244" s="25">
        <v>78.666666666666671</v>
      </c>
      <c r="AG244" s="25" t="s">
        <v>71</v>
      </c>
      <c r="AH244" s="1">
        <v>77</v>
      </c>
      <c r="AI244" s="1" t="s">
        <v>71</v>
      </c>
      <c r="AJ244" s="1">
        <v>1.7</v>
      </c>
      <c r="AK244" s="1">
        <v>0</v>
      </c>
      <c r="AL244" s="1">
        <v>0</v>
      </c>
      <c r="AM244" s="1">
        <v>0</v>
      </c>
      <c r="AN244" s="1">
        <v>0.04</v>
      </c>
      <c r="AO244" s="1">
        <v>0.03</v>
      </c>
      <c r="AP244" s="1">
        <v>1.1999999999999999E-3</v>
      </c>
      <c r="AQ244" s="1">
        <v>48</v>
      </c>
      <c r="AR244" s="1">
        <v>0.01</v>
      </c>
      <c r="AS244" s="1">
        <v>5</v>
      </c>
      <c r="AT244" s="1">
        <v>0.05</v>
      </c>
      <c r="AU244" s="1" t="s">
        <v>71</v>
      </c>
      <c r="AV244" s="1" t="s">
        <v>71</v>
      </c>
      <c r="AW244" s="1" t="s">
        <v>71</v>
      </c>
      <c r="AX244" s="1">
        <v>0</v>
      </c>
      <c r="AY244" s="1">
        <v>0</v>
      </c>
      <c r="AZ244" s="1" t="s">
        <v>71</v>
      </c>
      <c r="BA244" s="1">
        <v>7.0000000000000007E-2</v>
      </c>
      <c r="BB244" s="1">
        <v>1E-4</v>
      </c>
      <c r="BC244" s="1">
        <v>7.0000000000000007E-6</v>
      </c>
      <c r="BD244" s="1">
        <v>0</v>
      </c>
      <c r="BE244" s="1">
        <v>0</v>
      </c>
      <c r="BF244" s="1">
        <v>0</v>
      </c>
      <c r="BG244" s="1">
        <v>0</v>
      </c>
      <c r="BH244" s="1" t="s">
        <v>71</v>
      </c>
      <c r="BI244" s="1" t="s">
        <v>71</v>
      </c>
      <c r="BJ244" s="1" t="s">
        <v>71</v>
      </c>
      <c r="BK244" s="1">
        <v>1.8E-3</v>
      </c>
      <c r="BL244" s="1">
        <f t="shared" si="70"/>
        <v>0.18</v>
      </c>
      <c r="BM244" s="1">
        <v>0.06</v>
      </c>
      <c r="BN244" s="1">
        <v>0.03</v>
      </c>
      <c r="BO244" s="1">
        <v>2</v>
      </c>
      <c r="BP244" s="1">
        <v>0</v>
      </c>
      <c r="BQ244" s="1" t="s">
        <v>71</v>
      </c>
      <c r="BR244" s="1" t="s">
        <v>71</v>
      </c>
      <c r="BS244" s="1" t="s">
        <v>71</v>
      </c>
      <c r="BT244" s="1" t="s">
        <v>71</v>
      </c>
      <c r="BU244" s="1" t="s">
        <v>71</v>
      </c>
      <c r="BV244" s="1" t="s">
        <v>71</v>
      </c>
      <c r="BW244" s="1" t="s">
        <v>71</v>
      </c>
      <c r="BX244" s="1" t="s">
        <v>71</v>
      </c>
      <c r="BY244" s="1" t="s">
        <v>71</v>
      </c>
      <c r="BZ244" s="3">
        <v>2.1</v>
      </c>
      <c r="CA244" s="3" t="s">
        <v>71</v>
      </c>
      <c r="CB244" s="3">
        <f t="shared" si="71"/>
        <v>2.916666666666667</v>
      </c>
      <c r="CC244" s="1" t="s">
        <v>71</v>
      </c>
      <c r="CD244" s="1">
        <v>1</v>
      </c>
      <c r="CE244" s="1">
        <v>1</v>
      </c>
      <c r="CF244" s="1">
        <f t="shared" ref="CF244:CF257" si="84">CE244</f>
        <v>1</v>
      </c>
      <c r="CG244" s="3" t="s">
        <v>71</v>
      </c>
      <c r="CH244" s="3" t="s">
        <v>71</v>
      </c>
      <c r="CI244" s="3" t="s">
        <v>71</v>
      </c>
      <c r="CJ244" s="3" t="s">
        <v>71</v>
      </c>
      <c r="CK244" s="3" t="s">
        <v>71</v>
      </c>
      <c r="CL244" s="3" t="s">
        <v>71</v>
      </c>
      <c r="CM244" s="3" t="s">
        <v>71</v>
      </c>
      <c r="CN244" s="3" t="s">
        <v>71</v>
      </c>
      <c r="CO244" s="5">
        <v>49</v>
      </c>
      <c r="CP244" s="5" t="s">
        <v>71</v>
      </c>
      <c r="CQ244" s="1">
        <v>34</v>
      </c>
      <c r="CR244" s="1" t="s">
        <v>71</v>
      </c>
      <c r="CS244" s="5" t="s">
        <v>71</v>
      </c>
      <c r="CT244" s="1">
        <v>9.1</v>
      </c>
      <c r="CU244" s="1" t="s">
        <v>71</v>
      </c>
      <c r="CV244" s="1" t="s">
        <v>71</v>
      </c>
      <c r="CW244" s="1" t="s">
        <v>71</v>
      </c>
      <c r="CX244" s="1" t="s">
        <v>71</v>
      </c>
      <c r="CY244" s="1">
        <v>8.4</v>
      </c>
      <c r="CZ244" s="1" t="s">
        <v>71</v>
      </c>
      <c r="DA244">
        <f t="shared" si="83"/>
        <v>245</v>
      </c>
      <c r="DB244" s="1" t="s">
        <v>71</v>
      </c>
      <c r="DC244" s="26">
        <v>8.4</v>
      </c>
      <c r="DD244">
        <f t="shared" si="72"/>
        <v>245</v>
      </c>
      <c r="DE244" s="1" t="s">
        <v>71</v>
      </c>
      <c r="DF244" s="1" t="s">
        <v>71</v>
      </c>
    </row>
    <row r="245" spans="1:110" ht="15" x14ac:dyDescent="0.15">
      <c r="A245" s="23">
        <v>2023</v>
      </c>
      <c r="B245" s="23" t="s">
        <v>49</v>
      </c>
      <c r="C245" s="23">
        <v>13</v>
      </c>
      <c r="D245" s="23">
        <v>3</v>
      </c>
      <c r="E245" s="23" t="s">
        <v>52</v>
      </c>
      <c r="F245" s="23"/>
      <c r="G245" s="23" t="s">
        <v>56</v>
      </c>
      <c r="H245" s="23">
        <v>1</v>
      </c>
      <c r="I245" s="23" t="s">
        <v>52</v>
      </c>
      <c r="J245" s="23" t="s">
        <v>57</v>
      </c>
      <c r="K245" s="1" t="s">
        <v>57</v>
      </c>
      <c r="L245" s="1" t="s">
        <v>71</v>
      </c>
      <c r="M245" s="1" t="s">
        <v>71</v>
      </c>
      <c r="N245" s="24">
        <v>45082</v>
      </c>
      <c r="O245" s="24">
        <v>45092</v>
      </c>
      <c r="P245" s="1" t="s">
        <v>71</v>
      </c>
      <c r="Q245" s="1" t="s">
        <v>71</v>
      </c>
      <c r="R245" s="1" t="s">
        <v>71</v>
      </c>
      <c r="S245" s="1" t="s">
        <v>71</v>
      </c>
      <c r="T245" s="1" t="s">
        <v>71</v>
      </c>
      <c r="U245" s="1">
        <v>85</v>
      </c>
      <c r="V245" s="1" t="s">
        <v>71</v>
      </c>
      <c r="W245" s="1" t="s">
        <v>71</v>
      </c>
      <c r="X245" s="1" t="s">
        <v>71</v>
      </c>
      <c r="Y245" s="1">
        <v>0</v>
      </c>
      <c r="Z245" s="1" t="s">
        <v>71</v>
      </c>
      <c r="AA245" s="1">
        <v>0</v>
      </c>
      <c r="AB245" s="1" t="s">
        <v>71</v>
      </c>
      <c r="AC245" s="1" t="s">
        <v>71</v>
      </c>
      <c r="AD245" s="25">
        <v>30</v>
      </c>
      <c r="AE245" s="25" t="s">
        <v>71</v>
      </c>
      <c r="AF245" s="25">
        <v>57</v>
      </c>
      <c r="AG245" s="25" t="s">
        <v>71</v>
      </c>
      <c r="AH245" s="1">
        <v>57</v>
      </c>
      <c r="AI245" s="1" t="s">
        <v>71</v>
      </c>
      <c r="AJ245" s="1">
        <v>2.2999999999999998</v>
      </c>
      <c r="AK245" s="1">
        <v>0</v>
      </c>
      <c r="AL245" s="1">
        <v>0</v>
      </c>
      <c r="AM245" s="1">
        <v>0</v>
      </c>
      <c r="AN245" s="1">
        <v>0.06</v>
      </c>
      <c r="AO245" s="1">
        <v>0.05</v>
      </c>
      <c r="AP245" s="1">
        <v>3.0000000000000001E-3</v>
      </c>
      <c r="AQ245" s="1">
        <v>33</v>
      </c>
      <c r="AR245" s="1">
        <v>5.0000000000000001E-3</v>
      </c>
      <c r="AS245" s="1">
        <v>5</v>
      </c>
      <c r="AT245" s="1">
        <v>2.5000000000000001E-2</v>
      </c>
      <c r="AU245" s="1" t="s">
        <v>71</v>
      </c>
      <c r="AV245" s="1" t="s">
        <v>71</v>
      </c>
      <c r="AW245" s="1" t="s">
        <v>71</v>
      </c>
      <c r="AX245" s="1">
        <v>0</v>
      </c>
      <c r="AY245" s="1">
        <v>0</v>
      </c>
      <c r="AZ245" s="1" t="s">
        <v>71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 t="s">
        <v>71</v>
      </c>
      <c r="BI245" s="1" t="s">
        <v>71</v>
      </c>
      <c r="BJ245" s="1" t="s">
        <v>71</v>
      </c>
      <c r="BK245" s="1">
        <v>3.0000000000000001E-3</v>
      </c>
      <c r="BL245" s="1">
        <f t="shared" si="70"/>
        <v>0.3</v>
      </c>
      <c r="BM245" s="1">
        <v>0.1</v>
      </c>
      <c r="BN245" s="1">
        <v>0.03</v>
      </c>
      <c r="BO245" s="1">
        <v>2</v>
      </c>
      <c r="BP245" s="1">
        <v>0</v>
      </c>
      <c r="BQ245" s="1" t="s">
        <v>71</v>
      </c>
      <c r="BR245" s="1" t="s">
        <v>71</v>
      </c>
      <c r="BS245" s="1" t="s">
        <v>71</v>
      </c>
      <c r="BT245" s="1" t="s">
        <v>71</v>
      </c>
      <c r="BU245" s="1" t="s">
        <v>71</v>
      </c>
      <c r="BV245" s="1" t="s">
        <v>71</v>
      </c>
      <c r="BW245" s="1" t="s">
        <v>71</v>
      </c>
      <c r="BX245" s="1" t="s">
        <v>71</v>
      </c>
      <c r="BY245" s="1" t="s">
        <v>71</v>
      </c>
      <c r="BZ245" s="3">
        <v>2.2999999999999998</v>
      </c>
      <c r="CA245" s="3" t="s">
        <v>71</v>
      </c>
      <c r="CB245" s="3">
        <f t="shared" si="71"/>
        <v>3.1944444444444446</v>
      </c>
      <c r="CC245" s="1" t="s">
        <v>71</v>
      </c>
      <c r="CD245" s="1">
        <v>1</v>
      </c>
      <c r="CE245" s="1">
        <v>1</v>
      </c>
      <c r="CF245" s="1">
        <f t="shared" si="84"/>
        <v>1</v>
      </c>
      <c r="CG245" s="3" t="s">
        <v>71</v>
      </c>
      <c r="CH245" s="3" t="s">
        <v>71</v>
      </c>
      <c r="CI245" s="3" t="s">
        <v>71</v>
      </c>
      <c r="CJ245" s="3" t="s">
        <v>71</v>
      </c>
      <c r="CK245" s="3" t="s">
        <v>71</v>
      </c>
      <c r="CL245" s="3" t="s">
        <v>71</v>
      </c>
      <c r="CM245" s="3" t="s">
        <v>71</v>
      </c>
      <c r="CN245" s="3" t="s">
        <v>71</v>
      </c>
      <c r="CO245" s="5">
        <v>49</v>
      </c>
      <c r="CP245" s="5" t="s">
        <v>71</v>
      </c>
      <c r="CQ245" s="1">
        <v>30</v>
      </c>
      <c r="CR245" s="1" t="s">
        <v>71</v>
      </c>
      <c r="CS245" s="5" t="s">
        <v>71</v>
      </c>
      <c r="CT245" s="1">
        <v>9.1999999999999993</v>
      </c>
      <c r="CU245" s="1" t="s">
        <v>71</v>
      </c>
      <c r="CV245" s="1" t="s">
        <v>71</v>
      </c>
      <c r="CW245" s="1" t="s">
        <v>71</v>
      </c>
      <c r="CX245" s="1" t="s">
        <v>71</v>
      </c>
      <c r="CY245" s="1">
        <v>9</v>
      </c>
      <c r="CZ245" s="1" t="s">
        <v>71</v>
      </c>
      <c r="DA245">
        <f t="shared" si="83"/>
        <v>288</v>
      </c>
      <c r="DB245" s="1" t="s">
        <v>71</v>
      </c>
      <c r="DC245" s="26">
        <v>9</v>
      </c>
      <c r="DD245">
        <f t="shared" si="72"/>
        <v>288</v>
      </c>
      <c r="DE245" s="1" t="s">
        <v>71</v>
      </c>
      <c r="DF245" s="1" t="s">
        <v>71</v>
      </c>
    </row>
    <row r="246" spans="1:110" ht="15" x14ac:dyDescent="0.15">
      <c r="A246" s="23">
        <v>2023</v>
      </c>
      <c r="B246" s="23" t="s">
        <v>49</v>
      </c>
      <c r="C246" s="23">
        <v>13</v>
      </c>
      <c r="D246" s="23">
        <v>4</v>
      </c>
      <c r="E246" s="23" t="s">
        <v>50</v>
      </c>
      <c r="F246" s="23"/>
      <c r="G246" s="23" t="s">
        <v>56</v>
      </c>
      <c r="H246" s="23">
        <v>1</v>
      </c>
      <c r="I246" s="23" t="s">
        <v>50</v>
      </c>
      <c r="J246" s="23" t="s">
        <v>58</v>
      </c>
      <c r="K246" s="24">
        <v>45069</v>
      </c>
      <c r="L246" s="1" t="s">
        <v>71</v>
      </c>
      <c r="M246" s="1" t="s">
        <v>71</v>
      </c>
      <c r="N246" s="24">
        <v>45078</v>
      </c>
      <c r="O246" s="24">
        <v>45085</v>
      </c>
      <c r="P246" s="1" t="s">
        <v>71</v>
      </c>
      <c r="Q246" s="1" t="s">
        <v>71</v>
      </c>
      <c r="R246" s="1" t="s">
        <v>71</v>
      </c>
      <c r="S246" s="1" t="s">
        <v>71</v>
      </c>
      <c r="T246" s="1" t="s">
        <v>71</v>
      </c>
      <c r="U246" s="1">
        <v>83</v>
      </c>
      <c r="V246" s="1" t="s">
        <v>71</v>
      </c>
      <c r="W246" s="1" t="s">
        <v>71</v>
      </c>
      <c r="X246" s="1" t="s">
        <v>71</v>
      </c>
      <c r="Y246" s="1">
        <v>0</v>
      </c>
      <c r="Z246" s="1" t="s">
        <v>71</v>
      </c>
      <c r="AA246" s="1">
        <v>0</v>
      </c>
      <c r="AB246" s="1" t="s">
        <v>71</v>
      </c>
      <c r="AC246" s="1" t="s">
        <v>71</v>
      </c>
      <c r="AD246" s="25">
        <v>54</v>
      </c>
      <c r="AE246" s="25" t="s">
        <v>71</v>
      </c>
      <c r="AF246" s="25">
        <v>119</v>
      </c>
      <c r="AG246" s="25" t="s">
        <v>71</v>
      </c>
      <c r="AH246" s="1">
        <v>124</v>
      </c>
      <c r="AI246" s="1" t="s">
        <v>71</v>
      </c>
      <c r="AJ246" s="1">
        <v>4</v>
      </c>
      <c r="AK246" s="1">
        <v>0</v>
      </c>
      <c r="AL246" s="1">
        <v>0</v>
      </c>
      <c r="AM246" s="1">
        <v>0</v>
      </c>
      <c r="AN246" s="1">
        <v>0.04</v>
      </c>
      <c r="AO246" s="1">
        <v>2.5000000000000001E-2</v>
      </c>
      <c r="AP246" s="1">
        <v>1E-3</v>
      </c>
      <c r="AQ246" s="1">
        <v>13</v>
      </c>
      <c r="AR246" s="1">
        <v>0.02</v>
      </c>
      <c r="AS246" s="1">
        <v>5</v>
      </c>
      <c r="AT246" s="1">
        <v>0.1</v>
      </c>
      <c r="AU246" s="1" t="s">
        <v>71</v>
      </c>
      <c r="AV246" s="1" t="s">
        <v>71</v>
      </c>
      <c r="AW246" s="1" t="s">
        <v>71</v>
      </c>
      <c r="AX246" s="1">
        <v>0</v>
      </c>
      <c r="AY246" s="1">
        <v>0</v>
      </c>
      <c r="AZ246" s="1" t="s">
        <v>71</v>
      </c>
      <c r="BA246" s="1">
        <v>0.03</v>
      </c>
      <c r="BB246" s="1">
        <v>5.0000000000000002E-5</v>
      </c>
      <c r="BC246" s="1">
        <v>1.4999999999999998E-6</v>
      </c>
      <c r="BD246" s="1">
        <v>0</v>
      </c>
      <c r="BE246" s="1">
        <v>0</v>
      </c>
      <c r="BF246" s="1">
        <v>0</v>
      </c>
      <c r="BG246" s="1">
        <v>0</v>
      </c>
      <c r="BH246" s="1" t="s">
        <v>71</v>
      </c>
      <c r="BI246" s="1" t="s">
        <v>71</v>
      </c>
      <c r="BJ246" s="1" t="s">
        <v>71</v>
      </c>
      <c r="BK246" s="1">
        <v>5.9999999999999995E-4</v>
      </c>
      <c r="BL246" s="1">
        <f t="shared" si="70"/>
        <v>0.06</v>
      </c>
      <c r="BM246" s="1">
        <v>0.02</v>
      </c>
      <c r="BN246" s="1">
        <v>0.03</v>
      </c>
      <c r="BO246" s="1">
        <v>1</v>
      </c>
      <c r="BP246" s="1">
        <v>0</v>
      </c>
      <c r="BQ246" s="1" t="s">
        <v>71</v>
      </c>
      <c r="BR246" s="1" t="s">
        <v>71</v>
      </c>
      <c r="BS246" s="1" t="s">
        <v>71</v>
      </c>
      <c r="BT246" s="1" t="s">
        <v>71</v>
      </c>
      <c r="BU246" s="1" t="s">
        <v>71</v>
      </c>
      <c r="BV246" s="1" t="s">
        <v>71</v>
      </c>
      <c r="BW246" s="1" t="s">
        <v>71</v>
      </c>
      <c r="BX246" s="1" t="s">
        <v>71</v>
      </c>
      <c r="BY246" s="1" t="s">
        <v>71</v>
      </c>
      <c r="BZ246" s="3">
        <v>3.1</v>
      </c>
      <c r="CA246" s="3" t="s">
        <v>71</v>
      </c>
      <c r="CB246" s="3">
        <f t="shared" si="71"/>
        <v>4.3055555555555562</v>
      </c>
      <c r="CC246" s="1" t="s">
        <v>71</v>
      </c>
      <c r="CD246" s="1">
        <v>1</v>
      </c>
      <c r="CE246" s="1">
        <v>1</v>
      </c>
      <c r="CF246" s="1">
        <f t="shared" si="84"/>
        <v>1</v>
      </c>
      <c r="CG246" s="3" t="s">
        <v>71</v>
      </c>
      <c r="CH246" s="3" t="s">
        <v>71</v>
      </c>
      <c r="CI246" s="3" t="s">
        <v>71</v>
      </c>
      <c r="CJ246" s="3" t="s">
        <v>71</v>
      </c>
      <c r="CK246" s="3" t="s">
        <v>71</v>
      </c>
      <c r="CL246" s="3" t="s">
        <v>71</v>
      </c>
      <c r="CM246" s="3" t="s">
        <v>71</v>
      </c>
      <c r="CN246" s="3" t="s">
        <v>71</v>
      </c>
      <c r="CO246" s="5">
        <v>51</v>
      </c>
      <c r="CP246" s="5" t="s">
        <v>71</v>
      </c>
      <c r="CQ246" s="1">
        <v>37</v>
      </c>
      <c r="CR246" s="1" t="s">
        <v>71</v>
      </c>
      <c r="CS246" s="5" t="s">
        <v>71</v>
      </c>
      <c r="CT246" s="1">
        <v>9.3000000000000007</v>
      </c>
      <c r="CU246" s="1" t="s">
        <v>71</v>
      </c>
      <c r="CV246" s="1" t="s">
        <v>71</v>
      </c>
      <c r="CW246" s="1" t="s">
        <v>71</v>
      </c>
      <c r="CX246" s="1" t="s">
        <v>71</v>
      </c>
      <c r="CY246" s="1">
        <v>8.4</v>
      </c>
      <c r="CZ246" s="1" t="s">
        <v>71</v>
      </c>
      <c r="DA246">
        <f t="shared" si="83"/>
        <v>362</v>
      </c>
      <c r="DB246" s="1" t="s">
        <v>71</v>
      </c>
      <c r="DC246" s="26">
        <v>8.4</v>
      </c>
      <c r="DD246">
        <f t="shared" si="72"/>
        <v>362</v>
      </c>
      <c r="DE246" s="1" t="s">
        <v>71</v>
      </c>
      <c r="DF246" s="1" t="s">
        <v>71</v>
      </c>
    </row>
    <row r="247" spans="1:110" ht="15" x14ac:dyDescent="0.15">
      <c r="A247" s="23">
        <v>2023</v>
      </c>
      <c r="B247" s="23" t="s">
        <v>49</v>
      </c>
      <c r="C247" s="23">
        <v>13</v>
      </c>
      <c r="D247" s="23">
        <v>5</v>
      </c>
      <c r="E247" s="23" t="s">
        <v>51</v>
      </c>
      <c r="F247" s="23"/>
      <c r="G247" s="23" t="s">
        <v>56</v>
      </c>
      <c r="H247" s="23">
        <v>1</v>
      </c>
      <c r="I247" s="23" t="s">
        <v>51</v>
      </c>
      <c r="J247" s="23" t="s">
        <v>58</v>
      </c>
      <c r="K247" s="24">
        <v>45084</v>
      </c>
      <c r="L247" s="1" t="s">
        <v>71</v>
      </c>
      <c r="M247" s="1" t="s">
        <v>71</v>
      </c>
      <c r="N247" s="24">
        <v>45083</v>
      </c>
      <c r="O247" s="24">
        <v>45090</v>
      </c>
      <c r="P247" s="24" t="s">
        <v>71</v>
      </c>
      <c r="Q247" s="1" t="s">
        <v>71</v>
      </c>
      <c r="R247" s="1" t="s">
        <v>71</v>
      </c>
      <c r="S247" s="1" t="s">
        <v>71</v>
      </c>
      <c r="T247" s="1" t="s">
        <v>71</v>
      </c>
      <c r="U247" s="1">
        <v>87</v>
      </c>
      <c r="V247" s="1" t="s">
        <v>71</v>
      </c>
      <c r="W247" s="1" t="s">
        <v>71</v>
      </c>
      <c r="X247" s="1" t="s">
        <v>71</v>
      </c>
      <c r="Y247" s="1">
        <v>0</v>
      </c>
      <c r="Z247" s="1" t="s">
        <v>71</v>
      </c>
      <c r="AA247" s="1">
        <v>0</v>
      </c>
      <c r="AB247" s="1" t="s">
        <v>71</v>
      </c>
      <c r="AC247" s="1" t="s">
        <v>71</v>
      </c>
      <c r="AD247" s="25">
        <v>40</v>
      </c>
      <c r="AE247" s="25" t="s">
        <v>71</v>
      </c>
      <c r="AF247" s="25">
        <v>94.333333333333329</v>
      </c>
      <c r="AG247" s="25" t="s">
        <v>71</v>
      </c>
      <c r="AH247" s="1">
        <v>94</v>
      </c>
      <c r="AI247" s="1" t="s">
        <v>71</v>
      </c>
      <c r="AJ247" s="1">
        <v>3.7</v>
      </c>
      <c r="AK247" s="1">
        <v>0</v>
      </c>
      <c r="AL247" s="1">
        <v>0</v>
      </c>
      <c r="AM247" s="1">
        <v>0</v>
      </c>
      <c r="AN247" s="1">
        <v>0.05</v>
      </c>
      <c r="AO247" s="1">
        <v>7.0000000000000007E-2</v>
      </c>
      <c r="AP247" s="1">
        <v>3.5000000000000005E-3</v>
      </c>
      <c r="AQ247" s="1">
        <v>31</v>
      </c>
      <c r="AR247" s="1">
        <v>0.7</v>
      </c>
      <c r="AS247" s="1">
        <v>5</v>
      </c>
      <c r="AT247" s="1">
        <v>3.5</v>
      </c>
      <c r="AU247" s="1" t="s">
        <v>71</v>
      </c>
      <c r="AV247" s="1" t="s">
        <v>71</v>
      </c>
      <c r="AW247" s="1" t="s">
        <v>71</v>
      </c>
      <c r="AX247" s="1">
        <v>0</v>
      </c>
      <c r="AY247" s="1">
        <v>0</v>
      </c>
      <c r="AZ247" s="1" t="s">
        <v>71</v>
      </c>
      <c r="BA247" s="1">
        <v>0.01</v>
      </c>
      <c r="BB247" s="1">
        <v>1E-4</v>
      </c>
      <c r="BC247" s="1">
        <v>9.9999999999999995E-7</v>
      </c>
      <c r="BD247" s="1">
        <v>0</v>
      </c>
      <c r="BE247" s="1">
        <v>0</v>
      </c>
      <c r="BF247" s="1">
        <v>0</v>
      </c>
      <c r="BG247" s="1">
        <v>0</v>
      </c>
      <c r="BH247" s="1" t="s">
        <v>71</v>
      </c>
      <c r="BI247" s="1" t="s">
        <v>71</v>
      </c>
      <c r="BJ247" s="1" t="s">
        <v>71</v>
      </c>
      <c r="BK247" s="1">
        <v>5.9999999999999995E-4</v>
      </c>
      <c r="BL247" s="1">
        <f t="shared" si="70"/>
        <v>0.06</v>
      </c>
      <c r="BM247" s="1">
        <v>0.03</v>
      </c>
      <c r="BN247" s="1">
        <v>0.02</v>
      </c>
      <c r="BO247" s="1">
        <v>1</v>
      </c>
      <c r="BP247" s="1">
        <v>0</v>
      </c>
      <c r="BQ247" s="1" t="s">
        <v>71</v>
      </c>
      <c r="BR247" s="1" t="s">
        <v>71</v>
      </c>
      <c r="BS247" s="1" t="s">
        <v>71</v>
      </c>
      <c r="BT247" s="1" t="s">
        <v>71</v>
      </c>
      <c r="BU247" s="1" t="s">
        <v>71</v>
      </c>
      <c r="BV247" s="1" t="s">
        <v>71</v>
      </c>
      <c r="BW247" s="1" t="s">
        <v>71</v>
      </c>
      <c r="BX247" s="1" t="s">
        <v>71</v>
      </c>
      <c r="BY247" s="1" t="s">
        <v>71</v>
      </c>
      <c r="BZ247" s="3">
        <v>4.0999999999999996</v>
      </c>
      <c r="CA247" s="3" t="s">
        <v>71</v>
      </c>
      <c r="CB247" s="3">
        <f t="shared" si="71"/>
        <v>5.6944444444444446</v>
      </c>
      <c r="CC247" s="1" t="s">
        <v>71</v>
      </c>
      <c r="CD247" s="1">
        <v>1</v>
      </c>
      <c r="CE247" s="1">
        <v>1</v>
      </c>
      <c r="CF247" s="1">
        <f t="shared" si="84"/>
        <v>1</v>
      </c>
      <c r="CG247" s="3" t="s">
        <v>71</v>
      </c>
      <c r="CH247" s="3" t="s">
        <v>71</v>
      </c>
      <c r="CI247" s="3" t="s">
        <v>71</v>
      </c>
      <c r="CJ247" s="3" t="s">
        <v>71</v>
      </c>
      <c r="CK247" s="3" t="s">
        <v>71</v>
      </c>
      <c r="CL247" s="3" t="s">
        <v>71</v>
      </c>
      <c r="CM247" s="3" t="s">
        <v>71</v>
      </c>
      <c r="CN247" s="3" t="s">
        <v>71</v>
      </c>
      <c r="CO247" s="5">
        <v>51</v>
      </c>
      <c r="CP247" s="5" t="s">
        <v>71</v>
      </c>
      <c r="CQ247" s="1">
        <v>33</v>
      </c>
      <c r="CR247" s="1" t="s">
        <v>71</v>
      </c>
      <c r="CS247" s="5" t="s">
        <v>71</v>
      </c>
      <c r="CT247" s="1">
        <v>9.3000000000000007</v>
      </c>
      <c r="CU247" s="1" t="s">
        <v>71</v>
      </c>
      <c r="CV247" s="1" t="s">
        <v>71</v>
      </c>
      <c r="CW247" s="1" t="s">
        <v>71</v>
      </c>
      <c r="CX247" s="1" t="s">
        <v>71</v>
      </c>
      <c r="CY247" s="1">
        <v>7.5</v>
      </c>
      <c r="CZ247" s="1" t="s">
        <v>71</v>
      </c>
      <c r="DA247">
        <f t="shared" si="83"/>
        <v>427</v>
      </c>
      <c r="DB247" s="1" t="s">
        <v>71</v>
      </c>
      <c r="DC247" s="26">
        <v>7.5</v>
      </c>
      <c r="DD247">
        <f t="shared" si="72"/>
        <v>427</v>
      </c>
      <c r="DE247" s="1" t="s">
        <v>71</v>
      </c>
      <c r="DF247" s="1" t="s">
        <v>71</v>
      </c>
    </row>
    <row r="248" spans="1:110" ht="15" x14ac:dyDescent="0.15">
      <c r="A248" s="23">
        <v>2023</v>
      </c>
      <c r="B248" s="23" t="s">
        <v>49</v>
      </c>
      <c r="C248" s="23">
        <v>13</v>
      </c>
      <c r="D248" s="23">
        <v>6</v>
      </c>
      <c r="E248" s="23" t="s">
        <v>52</v>
      </c>
      <c r="F248" s="23"/>
      <c r="G248" s="23" t="s">
        <v>56</v>
      </c>
      <c r="H248" s="23">
        <v>1</v>
      </c>
      <c r="I248" s="23" t="s">
        <v>52</v>
      </c>
      <c r="J248" s="23" t="s">
        <v>58</v>
      </c>
      <c r="K248" s="24">
        <v>45092</v>
      </c>
      <c r="L248" s="1" t="s">
        <v>71</v>
      </c>
      <c r="M248" s="1" t="s">
        <v>71</v>
      </c>
      <c r="N248" s="24">
        <v>45083</v>
      </c>
      <c r="O248" s="24">
        <v>45093</v>
      </c>
      <c r="P248" s="1" t="s">
        <v>71</v>
      </c>
      <c r="Q248" s="1" t="s">
        <v>71</v>
      </c>
      <c r="R248" s="1" t="s">
        <v>71</v>
      </c>
      <c r="S248" s="1" t="s">
        <v>71</v>
      </c>
      <c r="T248" s="1" t="s">
        <v>71</v>
      </c>
      <c r="U248" s="1">
        <v>83</v>
      </c>
      <c r="V248" s="1" t="s">
        <v>71</v>
      </c>
      <c r="W248" s="1" t="s">
        <v>71</v>
      </c>
      <c r="X248" s="1" t="s">
        <v>71</v>
      </c>
      <c r="Y248" s="1">
        <v>0</v>
      </c>
      <c r="Z248" s="1" t="s">
        <v>71</v>
      </c>
      <c r="AA248" s="1">
        <v>0</v>
      </c>
      <c r="AB248" s="1" t="s">
        <v>71</v>
      </c>
      <c r="AC248" s="1" t="s">
        <v>71</v>
      </c>
      <c r="AD248" s="25">
        <v>37</v>
      </c>
      <c r="AE248" s="25" t="s">
        <v>71</v>
      </c>
      <c r="AF248" s="25">
        <v>86</v>
      </c>
      <c r="AG248" s="25" t="s">
        <v>71</v>
      </c>
      <c r="AH248" s="1">
        <v>81</v>
      </c>
      <c r="AI248" s="1" t="s">
        <v>71</v>
      </c>
      <c r="AJ248" s="1">
        <v>3.3</v>
      </c>
      <c r="AK248" s="1">
        <v>0</v>
      </c>
      <c r="AL248" s="1">
        <v>0</v>
      </c>
      <c r="AM248" s="1">
        <v>0</v>
      </c>
      <c r="AN248" s="1">
        <v>0.1</v>
      </c>
      <c r="AO248" s="1">
        <v>0.12</v>
      </c>
      <c r="AP248" s="1">
        <v>1.2E-2</v>
      </c>
      <c r="AQ248" s="1">
        <v>25</v>
      </c>
      <c r="AR248" s="1">
        <v>0.05</v>
      </c>
      <c r="AS248" s="1">
        <v>7</v>
      </c>
      <c r="AT248" s="1">
        <v>0.35000000000000003</v>
      </c>
      <c r="AU248" s="1" t="s">
        <v>71</v>
      </c>
      <c r="AV248" s="1" t="s">
        <v>71</v>
      </c>
      <c r="AW248" s="1" t="s">
        <v>71</v>
      </c>
      <c r="AX248" s="1">
        <v>0</v>
      </c>
      <c r="AY248" s="1">
        <v>0</v>
      </c>
      <c r="AZ248" s="1" t="s">
        <v>71</v>
      </c>
      <c r="BA248" s="1">
        <v>0.01</v>
      </c>
      <c r="BB248" s="1">
        <v>5.0000000000000002E-5</v>
      </c>
      <c r="BC248" s="1">
        <v>4.9999999999999998E-7</v>
      </c>
      <c r="BD248" s="1">
        <v>0</v>
      </c>
      <c r="BE248" s="1">
        <v>0</v>
      </c>
      <c r="BF248" s="1">
        <v>0</v>
      </c>
      <c r="BG248" s="1">
        <v>0</v>
      </c>
      <c r="BH248" s="1" t="s">
        <v>71</v>
      </c>
      <c r="BI248" s="1" t="s">
        <v>71</v>
      </c>
      <c r="BJ248" s="1" t="s">
        <v>71</v>
      </c>
      <c r="BK248" s="1">
        <v>8.0000000000000002E-3</v>
      </c>
      <c r="BL248" s="1">
        <f t="shared" si="70"/>
        <v>0.8</v>
      </c>
      <c r="BM248" s="1">
        <v>0.1</v>
      </c>
      <c r="BN248" s="1">
        <v>0.08</v>
      </c>
      <c r="BO248" s="1">
        <v>1</v>
      </c>
      <c r="BP248" s="1">
        <v>0</v>
      </c>
      <c r="BQ248" s="1" t="s">
        <v>71</v>
      </c>
      <c r="BR248" s="1" t="s">
        <v>71</v>
      </c>
      <c r="BS248" s="1" t="s">
        <v>71</v>
      </c>
      <c r="BT248" s="1" t="s">
        <v>71</v>
      </c>
      <c r="BU248" s="1" t="s">
        <v>71</v>
      </c>
      <c r="BV248" s="1" t="s">
        <v>71</v>
      </c>
      <c r="BW248" s="1" t="s">
        <v>71</v>
      </c>
      <c r="BX248" s="1" t="s">
        <v>71</v>
      </c>
      <c r="BY248" s="1" t="s">
        <v>71</v>
      </c>
      <c r="BZ248" s="3">
        <v>3.3</v>
      </c>
      <c r="CA248" s="3" t="s">
        <v>71</v>
      </c>
      <c r="CB248" s="3">
        <f t="shared" si="71"/>
        <v>4.5833333333333339</v>
      </c>
      <c r="CC248" s="1" t="s">
        <v>71</v>
      </c>
      <c r="CD248" s="1">
        <v>1</v>
      </c>
      <c r="CE248" s="1">
        <v>1</v>
      </c>
      <c r="CF248" s="1">
        <f t="shared" si="84"/>
        <v>1</v>
      </c>
      <c r="CG248" s="3" t="s">
        <v>71</v>
      </c>
      <c r="CH248" s="3" t="s">
        <v>71</v>
      </c>
      <c r="CI248" s="3" t="s">
        <v>71</v>
      </c>
      <c r="CJ248" s="3" t="s">
        <v>71</v>
      </c>
      <c r="CK248" s="3" t="s">
        <v>71</v>
      </c>
      <c r="CL248" s="3" t="s">
        <v>71</v>
      </c>
      <c r="CM248" s="3" t="s">
        <v>71</v>
      </c>
      <c r="CN248" s="3" t="s">
        <v>71</v>
      </c>
      <c r="CO248" s="5">
        <v>46</v>
      </c>
      <c r="CP248" s="5" t="s">
        <v>71</v>
      </c>
      <c r="CQ248" s="1">
        <v>30</v>
      </c>
      <c r="CR248" s="1" t="s">
        <v>71</v>
      </c>
      <c r="CS248" s="5" t="s">
        <v>71</v>
      </c>
      <c r="CT248" s="1">
        <v>8.8000000000000007</v>
      </c>
      <c r="CU248" s="1" t="s">
        <v>71</v>
      </c>
      <c r="CV248" s="1" t="s">
        <v>71</v>
      </c>
      <c r="CW248" s="1" t="s">
        <v>71</v>
      </c>
      <c r="CX248" s="1" t="s">
        <v>71</v>
      </c>
      <c r="CY248" s="1">
        <v>8.3000000000000007</v>
      </c>
      <c r="CZ248" s="1" t="s">
        <v>71</v>
      </c>
      <c r="DA248">
        <f t="shared" si="83"/>
        <v>380</v>
      </c>
      <c r="DB248" s="1" t="s">
        <v>71</v>
      </c>
      <c r="DC248" s="26">
        <v>8.3000000000000007</v>
      </c>
      <c r="DD248">
        <f t="shared" si="72"/>
        <v>380</v>
      </c>
      <c r="DE248" s="1" t="s">
        <v>71</v>
      </c>
      <c r="DF248" s="1" t="s">
        <v>71</v>
      </c>
    </row>
    <row r="249" spans="1:110" ht="15" x14ac:dyDescent="0.15">
      <c r="A249" s="23">
        <v>2023</v>
      </c>
      <c r="B249" s="23" t="s">
        <v>49</v>
      </c>
      <c r="C249" s="23">
        <v>13</v>
      </c>
      <c r="D249" s="23">
        <v>7</v>
      </c>
      <c r="E249" s="23"/>
      <c r="F249" s="23" t="s">
        <v>53</v>
      </c>
      <c r="G249" s="23" t="s">
        <v>56</v>
      </c>
      <c r="H249" s="23">
        <v>1</v>
      </c>
      <c r="I249" s="23" t="s">
        <v>53</v>
      </c>
      <c r="J249" s="23" t="s">
        <v>57</v>
      </c>
      <c r="K249" s="24">
        <v>45069</v>
      </c>
      <c r="L249" s="1" t="s">
        <v>71</v>
      </c>
      <c r="M249" s="1" t="s">
        <v>71</v>
      </c>
      <c r="N249" s="1" t="s">
        <v>71</v>
      </c>
      <c r="O249" s="24" t="s">
        <v>71</v>
      </c>
      <c r="P249" s="24">
        <v>45074</v>
      </c>
      <c r="Q249" s="1" t="s">
        <v>71</v>
      </c>
      <c r="R249" s="1" t="s">
        <v>71</v>
      </c>
      <c r="S249" s="1" t="s">
        <v>71</v>
      </c>
      <c r="T249" s="1" t="s">
        <v>71</v>
      </c>
      <c r="U249" s="1" t="s">
        <v>71</v>
      </c>
      <c r="V249" s="1">
        <v>83</v>
      </c>
      <c r="W249" s="1" t="s">
        <v>71</v>
      </c>
      <c r="X249" s="1">
        <v>15</v>
      </c>
      <c r="Y249" s="1" t="s">
        <v>71</v>
      </c>
      <c r="Z249" s="1">
        <v>0</v>
      </c>
      <c r="AA249" s="1" t="s">
        <v>71</v>
      </c>
      <c r="AB249" s="1" t="s">
        <v>71</v>
      </c>
      <c r="AC249" s="1" t="s">
        <v>71</v>
      </c>
      <c r="AD249" s="25" t="s">
        <v>71</v>
      </c>
      <c r="AE249" s="25">
        <v>28</v>
      </c>
      <c r="AF249" s="25" t="s">
        <v>71</v>
      </c>
      <c r="AG249" s="25">
        <v>70.333333333333329</v>
      </c>
      <c r="AH249" s="1" t="s">
        <v>71</v>
      </c>
      <c r="AI249" s="1">
        <v>73</v>
      </c>
      <c r="AJ249" s="1" t="s">
        <v>71</v>
      </c>
      <c r="AK249" s="1" t="s">
        <v>71</v>
      </c>
      <c r="AL249" s="1" t="s">
        <v>71</v>
      </c>
      <c r="AM249" s="1" t="s">
        <v>71</v>
      </c>
      <c r="AN249" s="1" t="s">
        <v>71</v>
      </c>
      <c r="AO249" s="1" t="s">
        <v>71</v>
      </c>
      <c r="AP249" s="1" t="s">
        <v>71</v>
      </c>
      <c r="AQ249" s="1" t="s">
        <v>71</v>
      </c>
      <c r="AR249" s="1" t="s">
        <v>71</v>
      </c>
      <c r="AS249" s="1" t="s">
        <v>71</v>
      </c>
      <c r="AT249" s="1" t="s">
        <v>71</v>
      </c>
      <c r="AU249" s="1">
        <v>0</v>
      </c>
      <c r="AV249" s="1">
        <v>0</v>
      </c>
      <c r="AW249" s="1">
        <v>0</v>
      </c>
      <c r="AX249" s="1" t="s">
        <v>71</v>
      </c>
      <c r="AY249" s="1" t="s">
        <v>71</v>
      </c>
      <c r="AZ249" s="1">
        <v>0</v>
      </c>
      <c r="BA249" s="1" t="s">
        <v>71</v>
      </c>
      <c r="BB249" s="1" t="s">
        <v>71</v>
      </c>
      <c r="BC249" s="1" t="s">
        <v>71</v>
      </c>
      <c r="BD249" s="1" t="s">
        <v>71</v>
      </c>
      <c r="BE249" s="1" t="s">
        <v>71</v>
      </c>
      <c r="BF249" s="1" t="s">
        <v>71</v>
      </c>
      <c r="BG249" s="1" t="s">
        <v>71</v>
      </c>
      <c r="BH249" s="1">
        <v>16</v>
      </c>
      <c r="BI249" s="1">
        <v>25</v>
      </c>
      <c r="BJ249" s="1">
        <v>0.1</v>
      </c>
      <c r="BK249" s="1">
        <v>1.0000000000000002E-2</v>
      </c>
      <c r="BL249" s="1">
        <f t="shared" si="70"/>
        <v>1.0000000000000002</v>
      </c>
      <c r="BM249" s="1">
        <v>0.2</v>
      </c>
      <c r="BN249" s="1">
        <v>0.05</v>
      </c>
      <c r="BO249" s="1">
        <v>1</v>
      </c>
      <c r="BP249" s="1">
        <v>0</v>
      </c>
      <c r="BQ249" s="1" t="s">
        <v>71</v>
      </c>
      <c r="BR249" s="1" t="s">
        <v>71</v>
      </c>
      <c r="BS249" s="1" t="s">
        <v>71</v>
      </c>
      <c r="BT249" s="1" t="s">
        <v>71</v>
      </c>
      <c r="BU249" s="1" t="s">
        <v>71</v>
      </c>
      <c r="BV249" s="1">
        <v>6.3</v>
      </c>
      <c r="BW249" s="1">
        <v>2</v>
      </c>
      <c r="BX249" s="1" t="s">
        <v>71</v>
      </c>
      <c r="BY249" s="1" t="s">
        <v>71</v>
      </c>
      <c r="BZ249" s="3" t="s">
        <v>71</v>
      </c>
      <c r="CA249" s="3">
        <v>0.8</v>
      </c>
      <c r="CB249" s="1" t="s">
        <v>71</v>
      </c>
      <c r="CC249" s="3">
        <f t="shared" si="74"/>
        <v>1.1111111111111114</v>
      </c>
      <c r="CD249" s="1">
        <v>1</v>
      </c>
      <c r="CE249" s="1">
        <v>1</v>
      </c>
      <c r="CF249" s="1">
        <f t="shared" si="84"/>
        <v>1</v>
      </c>
      <c r="CG249" s="1" t="s">
        <v>71</v>
      </c>
      <c r="CH249" s="1" t="s">
        <v>71</v>
      </c>
      <c r="CI249" s="1" t="s">
        <v>71</v>
      </c>
      <c r="CJ249" s="1" t="s">
        <v>71</v>
      </c>
      <c r="CK249" s="3" t="s">
        <v>71</v>
      </c>
      <c r="CL249" s="3" t="s">
        <v>71</v>
      </c>
      <c r="CM249" s="3" t="s">
        <v>71</v>
      </c>
      <c r="CN249" s="3" t="s">
        <v>71</v>
      </c>
      <c r="CO249" s="5" t="s">
        <v>71</v>
      </c>
      <c r="CP249" s="5">
        <v>74</v>
      </c>
      <c r="CQ249" s="1" t="s">
        <v>71</v>
      </c>
      <c r="CR249" s="1">
        <v>114</v>
      </c>
      <c r="CS249" s="5">
        <v>29.1</v>
      </c>
      <c r="CT249" s="1" t="s">
        <v>71</v>
      </c>
      <c r="CU249" s="1">
        <v>7.3</v>
      </c>
      <c r="CV249" s="1" t="s">
        <v>71</v>
      </c>
      <c r="CW249" s="1" t="s">
        <v>71</v>
      </c>
      <c r="CX249" t="e">
        <f>ROUND(CV249*#REF!/10,1)</f>
        <v>#VALUE!</v>
      </c>
      <c r="CY249" s="1" t="s">
        <v>71</v>
      </c>
      <c r="CZ249">
        <f>ROUND((10*CC249*CS249),0)</f>
        <v>323</v>
      </c>
      <c r="DA249" s="1" t="s">
        <v>71</v>
      </c>
      <c r="DB249" s="1" t="s">
        <v>71</v>
      </c>
      <c r="DC249" s="26" t="s">
        <v>71</v>
      </c>
      <c r="DD249">
        <f t="shared" si="72"/>
        <v>323</v>
      </c>
      <c r="DE249" s="1" t="s">
        <v>71</v>
      </c>
      <c r="DF249" s="1" t="s">
        <v>71</v>
      </c>
    </row>
    <row r="250" spans="1:110" ht="15" x14ac:dyDescent="0.15">
      <c r="A250" s="23">
        <v>2023</v>
      </c>
      <c r="B250" s="23" t="s">
        <v>49</v>
      </c>
      <c r="C250" s="23">
        <v>13</v>
      </c>
      <c r="D250" s="23">
        <v>8</v>
      </c>
      <c r="E250" s="23"/>
      <c r="F250" s="23" t="s">
        <v>54</v>
      </c>
      <c r="G250" s="23" t="s">
        <v>56</v>
      </c>
      <c r="H250" s="23">
        <v>1</v>
      </c>
      <c r="I250" s="23" t="s">
        <v>54</v>
      </c>
      <c r="J250" s="23" t="s">
        <v>57</v>
      </c>
      <c r="K250" s="24">
        <v>45070</v>
      </c>
      <c r="L250" s="1" t="s">
        <v>71</v>
      </c>
      <c r="M250" s="1" t="s">
        <v>71</v>
      </c>
      <c r="N250" s="1" t="s">
        <v>71</v>
      </c>
      <c r="O250" s="24" t="s">
        <v>71</v>
      </c>
      <c r="P250" s="24">
        <v>45078</v>
      </c>
      <c r="Q250" s="1" t="s">
        <v>71</v>
      </c>
      <c r="R250" s="1" t="s">
        <v>71</v>
      </c>
      <c r="S250" s="1" t="s">
        <v>71</v>
      </c>
      <c r="T250" s="1" t="s">
        <v>71</v>
      </c>
      <c r="U250" s="1" t="s">
        <v>71</v>
      </c>
      <c r="V250" s="1">
        <v>83</v>
      </c>
      <c r="W250" s="1" t="s">
        <v>71</v>
      </c>
      <c r="X250" s="1">
        <v>5</v>
      </c>
      <c r="Y250" s="1" t="s">
        <v>71</v>
      </c>
      <c r="Z250" s="1">
        <v>0</v>
      </c>
      <c r="AA250" s="1" t="s">
        <v>71</v>
      </c>
      <c r="AB250" s="1" t="s">
        <v>71</v>
      </c>
      <c r="AC250" s="1" t="s">
        <v>71</v>
      </c>
      <c r="AD250" s="25" t="s">
        <v>71</v>
      </c>
      <c r="AE250" s="25">
        <v>21</v>
      </c>
      <c r="AF250" s="25" t="s">
        <v>71</v>
      </c>
      <c r="AG250" s="25">
        <v>66</v>
      </c>
      <c r="AH250" s="1" t="s">
        <v>71</v>
      </c>
      <c r="AI250" s="1">
        <v>68</v>
      </c>
      <c r="AJ250" s="1" t="s">
        <v>71</v>
      </c>
      <c r="AK250" s="1" t="s">
        <v>71</v>
      </c>
      <c r="AL250" s="1" t="s">
        <v>71</v>
      </c>
      <c r="AM250" s="1" t="s">
        <v>71</v>
      </c>
      <c r="AN250" s="1" t="s">
        <v>71</v>
      </c>
      <c r="AO250" s="1" t="s">
        <v>71</v>
      </c>
      <c r="AP250" s="1" t="s">
        <v>71</v>
      </c>
      <c r="AQ250" s="1" t="s">
        <v>71</v>
      </c>
      <c r="AR250" s="1" t="s">
        <v>71</v>
      </c>
      <c r="AS250" s="1" t="s">
        <v>71</v>
      </c>
      <c r="AT250" s="1" t="s">
        <v>71</v>
      </c>
      <c r="AU250" s="1">
        <v>0</v>
      </c>
      <c r="AV250" s="1">
        <v>0</v>
      </c>
      <c r="AW250" s="1">
        <v>0</v>
      </c>
      <c r="AX250" s="1" t="s">
        <v>71</v>
      </c>
      <c r="AY250" s="1" t="s">
        <v>71</v>
      </c>
      <c r="AZ250" s="1">
        <v>0</v>
      </c>
      <c r="BA250" s="1" t="s">
        <v>71</v>
      </c>
      <c r="BB250" s="1" t="s">
        <v>71</v>
      </c>
      <c r="BC250" s="1" t="s">
        <v>71</v>
      </c>
      <c r="BD250" s="1" t="s">
        <v>71</v>
      </c>
      <c r="BE250" s="1" t="s">
        <v>71</v>
      </c>
      <c r="BF250" s="1" t="s">
        <v>71</v>
      </c>
      <c r="BG250" s="1" t="s">
        <v>71</v>
      </c>
      <c r="BH250" s="1">
        <v>6</v>
      </c>
      <c r="BI250" s="1">
        <v>80</v>
      </c>
      <c r="BJ250" s="1">
        <v>1</v>
      </c>
      <c r="BK250" s="1">
        <v>0.06</v>
      </c>
      <c r="BL250" s="1">
        <f t="shared" si="70"/>
        <v>6</v>
      </c>
      <c r="BM250" s="1">
        <v>0.6</v>
      </c>
      <c r="BN250" s="1">
        <v>0.1</v>
      </c>
      <c r="BO250" s="1">
        <v>1</v>
      </c>
      <c r="BP250" s="1">
        <v>0</v>
      </c>
      <c r="BQ250" s="1" t="s">
        <v>71</v>
      </c>
      <c r="BR250" s="1" t="s">
        <v>71</v>
      </c>
      <c r="BS250" s="1" t="s">
        <v>71</v>
      </c>
      <c r="BT250" s="1" t="s">
        <v>71</v>
      </c>
      <c r="BU250" s="1" t="s">
        <v>71</v>
      </c>
      <c r="BV250" s="1">
        <v>6</v>
      </c>
      <c r="BW250" s="1">
        <v>3.7</v>
      </c>
      <c r="BX250" s="1" t="s">
        <v>71</v>
      </c>
      <c r="BY250" s="1" t="s">
        <v>71</v>
      </c>
      <c r="BZ250" s="3" t="s">
        <v>71</v>
      </c>
      <c r="CA250" s="3">
        <v>0.4</v>
      </c>
      <c r="CB250" s="1" t="s">
        <v>71</v>
      </c>
      <c r="CC250" s="3">
        <f t="shared" si="74"/>
        <v>0.55555555555555569</v>
      </c>
      <c r="CD250" s="1">
        <v>1</v>
      </c>
      <c r="CE250" s="1">
        <v>1</v>
      </c>
      <c r="CF250" s="1">
        <f t="shared" si="84"/>
        <v>1</v>
      </c>
      <c r="CG250" s="1" t="s">
        <v>71</v>
      </c>
      <c r="CH250" s="1" t="s">
        <v>71</v>
      </c>
      <c r="CI250" s="1" t="s">
        <v>71</v>
      </c>
      <c r="CJ250" s="1" t="s">
        <v>71</v>
      </c>
      <c r="CK250" s="3" t="s">
        <v>71</v>
      </c>
      <c r="CL250" s="3" t="s">
        <v>71</v>
      </c>
      <c r="CM250" s="3" t="s">
        <v>71</v>
      </c>
      <c r="CN250" s="3" t="s">
        <v>71</v>
      </c>
      <c r="CO250" s="5" t="s">
        <v>71</v>
      </c>
      <c r="CP250" s="5">
        <v>73</v>
      </c>
      <c r="CQ250" s="1" t="s">
        <v>71</v>
      </c>
      <c r="CR250" s="1">
        <v>104</v>
      </c>
      <c r="CS250" s="5">
        <v>32.799999999999997</v>
      </c>
      <c r="CT250" s="1" t="s">
        <v>71</v>
      </c>
      <c r="CU250" s="1">
        <v>7</v>
      </c>
      <c r="CV250" s="1" t="s">
        <v>71</v>
      </c>
      <c r="CW250" s="1" t="s">
        <v>71</v>
      </c>
      <c r="CX250" t="e">
        <f>ROUND(CV250*#REF!/10,1)</f>
        <v>#VALUE!</v>
      </c>
      <c r="CY250" s="1" t="s">
        <v>71</v>
      </c>
      <c r="CZ250">
        <f>ROUND((10*CC250*CS250),0)</f>
        <v>182</v>
      </c>
      <c r="DA250" s="1" t="s">
        <v>71</v>
      </c>
      <c r="DB250" s="1" t="s">
        <v>71</v>
      </c>
      <c r="DC250" s="26" t="s">
        <v>71</v>
      </c>
      <c r="DD250">
        <f t="shared" si="72"/>
        <v>182</v>
      </c>
      <c r="DE250" s="1" t="s">
        <v>71</v>
      </c>
      <c r="DF250" s="1" t="s">
        <v>71</v>
      </c>
    </row>
    <row r="251" spans="1:110" ht="15" x14ac:dyDescent="0.15">
      <c r="A251" s="23">
        <v>2023</v>
      </c>
      <c r="B251" s="23" t="s">
        <v>49</v>
      </c>
      <c r="C251" s="23">
        <v>13</v>
      </c>
      <c r="D251" s="23">
        <v>9</v>
      </c>
      <c r="E251" s="23"/>
      <c r="F251" s="23" t="s">
        <v>55</v>
      </c>
      <c r="G251" s="23" t="s">
        <v>56</v>
      </c>
      <c r="H251" s="23">
        <v>1</v>
      </c>
      <c r="I251" s="23" t="s">
        <v>55</v>
      </c>
      <c r="J251" s="23" t="s">
        <v>57</v>
      </c>
      <c r="K251" s="24">
        <v>45079</v>
      </c>
      <c r="L251" s="1" t="s">
        <v>71</v>
      </c>
      <c r="M251" s="1" t="s">
        <v>71</v>
      </c>
      <c r="N251" s="1" t="s">
        <v>71</v>
      </c>
      <c r="O251" s="24" t="s">
        <v>71</v>
      </c>
      <c r="P251" s="24">
        <v>45072</v>
      </c>
      <c r="Q251" s="1" t="s">
        <v>71</v>
      </c>
      <c r="R251" s="1" t="s">
        <v>71</v>
      </c>
      <c r="S251" s="1" t="s">
        <v>71</v>
      </c>
      <c r="T251" s="1" t="s">
        <v>71</v>
      </c>
      <c r="U251" s="1" t="s">
        <v>71</v>
      </c>
      <c r="V251" s="1">
        <v>87</v>
      </c>
      <c r="W251" s="1" t="s">
        <v>71</v>
      </c>
      <c r="X251" s="1">
        <v>0</v>
      </c>
      <c r="Y251" s="1" t="s">
        <v>71</v>
      </c>
      <c r="Z251" s="1">
        <v>0</v>
      </c>
      <c r="AA251" s="1" t="s">
        <v>71</v>
      </c>
      <c r="AB251" s="1" t="s">
        <v>71</v>
      </c>
      <c r="AC251" s="1" t="s">
        <v>71</v>
      </c>
      <c r="AD251" s="25" t="s">
        <v>71</v>
      </c>
      <c r="AE251" s="25">
        <v>23</v>
      </c>
      <c r="AF251" s="25" t="s">
        <v>71</v>
      </c>
      <c r="AG251" s="25">
        <v>55.666666666666664</v>
      </c>
      <c r="AH251" s="1" t="s">
        <v>71</v>
      </c>
      <c r="AI251" s="1">
        <v>52</v>
      </c>
      <c r="AJ251" s="1" t="s">
        <v>71</v>
      </c>
      <c r="AK251" s="1" t="s">
        <v>71</v>
      </c>
      <c r="AL251" s="1" t="s">
        <v>71</v>
      </c>
      <c r="AM251" s="1" t="s">
        <v>71</v>
      </c>
      <c r="AN251" s="1" t="s">
        <v>71</v>
      </c>
      <c r="AO251" s="1" t="s">
        <v>71</v>
      </c>
      <c r="AP251" s="1" t="s">
        <v>71</v>
      </c>
      <c r="AQ251" s="1" t="s">
        <v>71</v>
      </c>
      <c r="AR251" s="1" t="s">
        <v>71</v>
      </c>
      <c r="AS251" s="1" t="s">
        <v>71</v>
      </c>
      <c r="AT251" s="1" t="s">
        <v>71</v>
      </c>
      <c r="AU251" s="1">
        <v>0</v>
      </c>
      <c r="AV251" s="1">
        <v>0</v>
      </c>
      <c r="AW251" s="1">
        <v>0</v>
      </c>
      <c r="AX251" s="1" t="s">
        <v>71</v>
      </c>
      <c r="AY251" s="1" t="s">
        <v>71</v>
      </c>
      <c r="AZ251" s="1">
        <v>0</v>
      </c>
      <c r="BA251" s="1" t="s">
        <v>71</v>
      </c>
      <c r="BB251" s="1" t="s">
        <v>71</v>
      </c>
      <c r="BC251" s="1" t="s">
        <v>71</v>
      </c>
      <c r="BD251" s="1" t="s">
        <v>71</v>
      </c>
      <c r="BE251" s="1" t="s">
        <v>71</v>
      </c>
      <c r="BF251" s="1" t="s">
        <v>71</v>
      </c>
      <c r="BG251" s="1" t="s">
        <v>71</v>
      </c>
      <c r="BH251" s="1">
        <v>252</v>
      </c>
      <c r="BI251" s="1">
        <v>20</v>
      </c>
      <c r="BJ251" s="1">
        <v>10</v>
      </c>
      <c r="BK251" s="1">
        <v>4.8000000000000001E-2</v>
      </c>
      <c r="BL251" s="1">
        <f t="shared" si="70"/>
        <v>4.8</v>
      </c>
      <c r="BM251" s="1">
        <v>0.4</v>
      </c>
      <c r="BN251" s="1">
        <v>0.12</v>
      </c>
      <c r="BO251" s="1">
        <v>1</v>
      </c>
      <c r="BP251" s="1">
        <v>0</v>
      </c>
      <c r="BQ251" s="1" t="s">
        <v>71</v>
      </c>
      <c r="BR251" s="1" t="s">
        <v>71</v>
      </c>
      <c r="BS251" s="1" t="s">
        <v>71</v>
      </c>
      <c r="BT251" s="1" t="s">
        <v>71</v>
      </c>
      <c r="BU251" s="1" t="s">
        <v>71</v>
      </c>
      <c r="BV251" s="1">
        <v>5</v>
      </c>
      <c r="BW251" s="1">
        <v>0.3</v>
      </c>
      <c r="BX251" s="1" t="s">
        <v>71</v>
      </c>
      <c r="BY251" s="1" t="s">
        <v>71</v>
      </c>
      <c r="BZ251" s="3" t="s">
        <v>71</v>
      </c>
      <c r="CA251" s="3">
        <v>0.9</v>
      </c>
      <c r="CB251" s="1" t="s">
        <v>71</v>
      </c>
      <c r="CC251" s="3">
        <f t="shared" si="74"/>
        <v>1.2500000000000002</v>
      </c>
      <c r="CD251" s="1">
        <v>1</v>
      </c>
      <c r="CE251" s="1">
        <v>1</v>
      </c>
      <c r="CF251" s="1">
        <f t="shared" si="84"/>
        <v>1</v>
      </c>
      <c r="CG251" s="1" t="s">
        <v>71</v>
      </c>
      <c r="CH251" s="1" t="s">
        <v>71</v>
      </c>
      <c r="CI251" s="1" t="s">
        <v>71</v>
      </c>
      <c r="CJ251" s="1" t="s">
        <v>71</v>
      </c>
      <c r="CK251" s="3" t="s">
        <v>71</v>
      </c>
      <c r="CL251" s="3" t="s">
        <v>71</v>
      </c>
      <c r="CM251" s="3" t="s">
        <v>71</v>
      </c>
      <c r="CN251" s="3" t="s">
        <v>71</v>
      </c>
      <c r="CO251" s="5" t="s">
        <v>71</v>
      </c>
      <c r="CP251" s="5">
        <v>75</v>
      </c>
      <c r="CQ251" s="1" t="s">
        <v>71</v>
      </c>
      <c r="CR251" s="1">
        <v>99</v>
      </c>
      <c r="CS251" s="5">
        <v>37.700000000000003</v>
      </c>
      <c r="CT251" s="1" t="s">
        <v>71</v>
      </c>
      <c r="CU251" s="1">
        <v>6.5</v>
      </c>
      <c r="CV251" s="1" t="s">
        <v>71</v>
      </c>
      <c r="CW251" s="1" t="s">
        <v>71</v>
      </c>
      <c r="CX251" t="e">
        <f>ROUND(CV251*#REF!/10,1)</f>
        <v>#VALUE!</v>
      </c>
      <c r="CY251" s="1" t="s">
        <v>71</v>
      </c>
      <c r="CZ251">
        <f>ROUND((10*CC251*CS251),0)</f>
        <v>471</v>
      </c>
      <c r="DA251" s="1" t="s">
        <v>71</v>
      </c>
      <c r="DB251" s="1" t="s">
        <v>71</v>
      </c>
      <c r="DC251" s="26" t="s">
        <v>71</v>
      </c>
      <c r="DD251">
        <f t="shared" si="72"/>
        <v>471</v>
      </c>
      <c r="DE251" s="1" t="s">
        <v>71</v>
      </c>
      <c r="DF251" s="1" t="s">
        <v>71</v>
      </c>
    </row>
    <row r="252" spans="1:110" x14ac:dyDescent="0.15">
      <c r="A252" s="23">
        <v>2023</v>
      </c>
      <c r="B252" s="23" t="s">
        <v>49</v>
      </c>
      <c r="C252" s="23">
        <v>13</v>
      </c>
      <c r="D252" s="23">
        <v>10</v>
      </c>
      <c r="E252" s="23" t="s">
        <v>50</v>
      </c>
      <c r="F252" s="23" t="s">
        <v>53</v>
      </c>
      <c r="G252" s="23" t="s">
        <v>5</v>
      </c>
      <c r="H252" s="23">
        <v>1</v>
      </c>
      <c r="I252" s="23" t="s">
        <v>60</v>
      </c>
      <c r="J252" s="23" t="s">
        <v>57</v>
      </c>
      <c r="K252" s="24">
        <v>45069</v>
      </c>
      <c r="L252" s="1">
        <f>K252-K246</f>
        <v>0</v>
      </c>
      <c r="M252" s="1">
        <f>K252-K249</f>
        <v>0</v>
      </c>
      <c r="N252" s="24">
        <v>45079</v>
      </c>
      <c r="O252" s="24">
        <v>45086</v>
      </c>
      <c r="P252" s="24">
        <v>45073</v>
      </c>
      <c r="Q252" s="1">
        <f>P252-P249</f>
        <v>-1</v>
      </c>
      <c r="R252" s="1">
        <f>N252-N246</f>
        <v>1</v>
      </c>
      <c r="S252" s="1">
        <f>O252-O246</f>
        <v>1</v>
      </c>
      <c r="T252" s="1">
        <f>AVERAGE(R252,S252)</f>
        <v>1</v>
      </c>
      <c r="U252" s="1">
        <v>81</v>
      </c>
      <c r="V252" s="1">
        <v>85</v>
      </c>
      <c r="W252" s="1">
        <v>-4</v>
      </c>
      <c r="X252" s="1">
        <v>0</v>
      </c>
      <c r="Y252" s="1">
        <v>0</v>
      </c>
      <c r="Z252" s="1">
        <v>0</v>
      </c>
      <c r="AA252" s="1">
        <v>0</v>
      </c>
      <c r="AB252" s="1" t="s">
        <v>71</v>
      </c>
      <c r="AC252" s="1" t="s">
        <v>71</v>
      </c>
      <c r="AD252" s="25">
        <v>42</v>
      </c>
      <c r="AE252" s="25">
        <v>27</v>
      </c>
      <c r="AF252" s="25">
        <v>128.33333333333334</v>
      </c>
      <c r="AG252" s="25">
        <v>79</v>
      </c>
      <c r="AH252" s="1">
        <v>130</v>
      </c>
      <c r="AI252" s="1">
        <v>73</v>
      </c>
      <c r="AJ252" s="1">
        <v>2</v>
      </c>
      <c r="AK252" s="1">
        <v>0</v>
      </c>
      <c r="AL252" s="1">
        <v>0</v>
      </c>
      <c r="AM252" s="1">
        <v>0</v>
      </c>
      <c r="AN252" s="1">
        <v>0.01</v>
      </c>
      <c r="AO252" s="1">
        <v>1.4999999999999999E-2</v>
      </c>
      <c r="AP252" s="1">
        <v>1.4999999999999999E-4</v>
      </c>
      <c r="AQ252" s="1">
        <v>7</v>
      </c>
      <c r="AR252" s="1">
        <v>0.05</v>
      </c>
      <c r="AS252" s="1">
        <v>7</v>
      </c>
      <c r="AT252" s="1">
        <v>0.35000000000000003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5.0000000000000001E-3</v>
      </c>
      <c r="BB252" s="1">
        <v>5.0000000000000002E-5</v>
      </c>
      <c r="BC252" s="1">
        <v>2.4999999999999999E-7</v>
      </c>
      <c r="BD252" s="1">
        <v>0</v>
      </c>
      <c r="BE252" s="1">
        <v>0</v>
      </c>
      <c r="BF252" s="1">
        <v>0</v>
      </c>
      <c r="BG252" s="1">
        <v>0</v>
      </c>
      <c r="BH252" s="1">
        <v>416</v>
      </c>
      <c r="BI252" s="1">
        <v>1</v>
      </c>
      <c r="BJ252" s="1">
        <v>0</v>
      </c>
      <c r="BK252" s="1">
        <v>5.000000000000001E-3</v>
      </c>
      <c r="BL252" s="1">
        <f t="shared" si="70"/>
        <v>0.50000000000000011</v>
      </c>
      <c r="BM252" s="1">
        <v>0.1</v>
      </c>
      <c r="BN252" s="1">
        <v>0.05</v>
      </c>
      <c r="BO252" s="1">
        <v>1</v>
      </c>
      <c r="BP252" s="1">
        <v>0</v>
      </c>
      <c r="BQ252" s="1" t="s">
        <v>71</v>
      </c>
      <c r="BR252" s="1" t="s">
        <v>71</v>
      </c>
      <c r="BS252" s="1" t="s">
        <v>71</v>
      </c>
      <c r="BT252" s="1" t="s">
        <v>71</v>
      </c>
      <c r="BU252" s="1" t="s">
        <v>71</v>
      </c>
      <c r="BV252" s="1">
        <v>5</v>
      </c>
      <c r="BW252" s="1">
        <v>0.7</v>
      </c>
      <c r="BX252" s="1" t="s">
        <v>71</v>
      </c>
      <c r="BY252" s="1" t="s">
        <v>71</v>
      </c>
      <c r="BZ252" s="3">
        <v>1.3</v>
      </c>
      <c r="CA252" s="3">
        <v>0.7</v>
      </c>
      <c r="CB252" s="3">
        <f t="shared" si="71"/>
        <v>1.8055555555555558</v>
      </c>
      <c r="CC252" s="3">
        <f t="shared" si="74"/>
        <v>0.97222222222222221</v>
      </c>
      <c r="CD252" s="1">
        <f>ROUND(CB252/CB243+CC252/CC249,2)</f>
        <v>1.56</v>
      </c>
      <c r="CE252" s="1">
        <f>ROUND(CB252/CB246+CC252/CC249,2)</f>
        <v>1.29</v>
      </c>
      <c r="CF252" s="1">
        <f t="shared" si="84"/>
        <v>1.29</v>
      </c>
      <c r="CG252" s="1">
        <f>ROUND(CB252/CB243,2)</f>
        <v>0.68</v>
      </c>
      <c r="CH252" s="1">
        <f>ROUND(CB252/CB246,2)</f>
        <v>0.42</v>
      </c>
      <c r="CI252" s="1">
        <f>ROUND(CC252/CC249,2)</f>
        <v>0.88</v>
      </c>
      <c r="CJ252" s="1">
        <f>ROUND((CC252+CB252)/MAX(CC249,CB246),2)</f>
        <v>0.65</v>
      </c>
      <c r="CK252" s="1">
        <f>ROUND(LN((0.9*BZ252)/(0.1*CA252))/(BZ243/CA249),2)</f>
        <v>1.19</v>
      </c>
      <c r="CL252" s="1">
        <f>ROUND(LN((0.9*BZ252)/(0.1*CA252))/(BZ246/CA249),2)</f>
        <v>0.73</v>
      </c>
      <c r="CM252" s="1">
        <f>ROUND(LN((0.1*CA252)/(0.9*BZ252))/(CA249/BZ243),2)</f>
        <v>-6.69</v>
      </c>
      <c r="CN252" s="1">
        <f>ROUND(LN((0.1*CA252)/(0.9*BZ252))/(CA249/BZ246),2)</f>
        <v>-10.91</v>
      </c>
      <c r="CO252" s="5">
        <v>52</v>
      </c>
      <c r="CP252" s="5">
        <v>62</v>
      </c>
      <c r="CQ252" s="1">
        <v>38</v>
      </c>
      <c r="CR252" s="1">
        <v>128</v>
      </c>
      <c r="CS252" s="5">
        <v>29.6</v>
      </c>
      <c r="CT252" s="1">
        <v>9.3000000000000007</v>
      </c>
      <c r="CU252" s="1">
        <v>7</v>
      </c>
      <c r="CV252" s="1" t="s">
        <v>71</v>
      </c>
      <c r="CW252" s="1" t="s">
        <v>71</v>
      </c>
      <c r="CX252" t="e">
        <f>ROUND(CV252*#REF!/10,1)</f>
        <v>#VALUE!</v>
      </c>
      <c r="CY252" s="1">
        <v>10.3</v>
      </c>
      <c r="CZ252">
        <f>ROUND((10*CC252*CS252),0)</f>
        <v>288</v>
      </c>
      <c r="DA252">
        <f t="shared" ref="DA252:DA260" si="85">ROUND((CY252*CB252*10),0)</f>
        <v>186</v>
      </c>
      <c r="DB252">
        <f>(CZ252+DA252)/MAX(DA246,CZ249)</f>
        <v>1.3093922651933703</v>
      </c>
      <c r="DC252" s="26">
        <v>10.3</v>
      </c>
      <c r="DD252">
        <f t="shared" si="72"/>
        <v>474</v>
      </c>
      <c r="DE252">
        <f>ROUND(MAX((DB252-DF252), 0), 2)</f>
        <v>0.51</v>
      </c>
      <c r="DF252">
        <f>ROUND(CZ252/MAX(DA246,CZ249), 2)</f>
        <v>0.8</v>
      </c>
    </row>
    <row r="253" spans="1:110" x14ac:dyDescent="0.15">
      <c r="A253" s="23">
        <v>2023</v>
      </c>
      <c r="B253" s="23" t="s">
        <v>49</v>
      </c>
      <c r="C253" s="23">
        <v>13</v>
      </c>
      <c r="D253" s="23">
        <v>11</v>
      </c>
      <c r="E253" s="23" t="s">
        <v>50</v>
      </c>
      <c r="F253" s="23" t="s">
        <v>54</v>
      </c>
      <c r="G253" s="23" t="s">
        <v>5</v>
      </c>
      <c r="H253" s="23">
        <v>1</v>
      </c>
      <c r="I253" s="23" t="s">
        <v>61</v>
      </c>
      <c r="J253" s="23" t="s">
        <v>57</v>
      </c>
      <c r="K253" s="24">
        <v>45077</v>
      </c>
      <c r="L253" s="1">
        <f>K253-K246</f>
        <v>8</v>
      </c>
      <c r="M253" s="1">
        <f>K253-K250</f>
        <v>7</v>
      </c>
      <c r="N253" s="24">
        <v>45080</v>
      </c>
      <c r="O253" s="24">
        <v>45088</v>
      </c>
      <c r="P253" s="24">
        <v>45074</v>
      </c>
      <c r="Q253" s="1">
        <f>P253-P250</f>
        <v>-4</v>
      </c>
      <c r="R253" s="1">
        <f>N253-N246</f>
        <v>2</v>
      </c>
      <c r="S253" s="1">
        <f>O253-O246</f>
        <v>3</v>
      </c>
      <c r="T253" s="1">
        <f t="shared" ref="T253:T260" si="86">AVERAGE(R253,S253)</f>
        <v>2.5</v>
      </c>
      <c r="U253" s="1">
        <v>77</v>
      </c>
      <c r="V253" s="1">
        <v>83</v>
      </c>
      <c r="W253" s="1">
        <v>-6</v>
      </c>
      <c r="X253" s="1">
        <v>0</v>
      </c>
      <c r="Y253" s="1">
        <v>0</v>
      </c>
      <c r="Z253" s="1">
        <v>0</v>
      </c>
      <c r="AA253" s="1">
        <v>0</v>
      </c>
      <c r="AB253" s="1" t="s">
        <v>71</v>
      </c>
      <c r="AC253" s="1" t="s">
        <v>71</v>
      </c>
      <c r="AD253" s="25">
        <v>39</v>
      </c>
      <c r="AE253" s="25">
        <v>21</v>
      </c>
      <c r="AF253" s="25">
        <v>121.66666666666667</v>
      </c>
      <c r="AG253" s="25">
        <v>61</v>
      </c>
      <c r="AH253" s="1">
        <v>116</v>
      </c>
      <c r="AI253" s="1">
        <v>60</v>
      </c>
      <c r="AJ253" s="1">
        <v>2</v>
      </c>
      <c r="AK253" s="1">
        <v>0</v>
      </c>
      <c r="AL253" s="1">
        <v>0</v>
      </c>
      <c r="AM253" s="1">
        <v>0</v>
      </c>
      <c r="AN253" s="1">
        <v>5.0000000000000001E-3</v>
      </c>
      <c r="AO253" s="1">
        <v>5.0000000000000001E-3</v>
      </c>
      <c r="AP253" s="1">
        <v>2.5000000000000001E-5</v>
      </c>
      <c r="AQ253" s="1">
        <v>34</v>
      </c>
      <c r="AR253" s="1">
        <v>0.01</v>
      </c>
      <c r="AS253" s="1">
        <v>5</v>
      </c>
      <c r="AT253" s="1">
        <v>0.05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0.03</v>
      </c>
      <c r="BB253" s="1">
        <v>2.0000000000000001E-4</v>
      </c>
      <c r="BC253" s="1">
        <v>5.9999999999999993E-6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10</v>
      </c>
      <c r="BJ253" s="1">
        <v>0.2</v>
      </c>
      <c r="BK253" s="1">
        <v>5.000000000000001E-3</v>
      </c>
      <c r="BL253" s="1">
        <f t="shared" si="70"/>
        <v>0.50000000000000011</v>
      </c>
      <c r="BM253" s="1">
        <v>0.1</v>
      </c>
      <c r="BN253" s="1">
        <v>0.05</v>
      </c>
      <c r="BO253" s="1">
        <v>2</v>
      </c>
      <c r="BP253" s="1">
        <v>0</v>
      </c>
      <c r="BQ253" s="1" t="s">
        <v>71</v>
      </c>
      <c r="BR253" s="1" t="s">
        <v>71</v>
      </c>
      <c r="BS253" s="1" t="s">
        <v>71</v>
      </c>
      <c r="BT253" s="1" t="s">
        <v>71</v>
      </c>
      <c r="BU253" s="1" t="s">
        <v>71</v>
      </c>
      <c r="BV253" s="1">
        <v>5.7</v>
      </c>
      <c r="BW253" s="1">
        <v>1.7</v>
      </c>
      <c r="BX253" s="1" t="s">
        <v>71</v>
      </c>
      <c r="BY253" s="1" t="s">
        <v>71</v>
      </c>
      <c r="BZ253" s="3">
        <v>1.3</v>
      </c>
      <c r="CA253" s="3">
        <v>0.6</v>
      </c>
      <c r="CB253" s="3">
        <f t="shared" si="71"/>
        <v>1.8055555555555558</v>
      </c>
      <c r="CC253" s="3">
        <f t="shared" si="74"/>
        <v>0.83333333333333348</v>
      </c>
      <c r="CD253" s="1">
        <f>ROUND(CB253/CB243+CC253/CC250,2)</f>
        <v>2.1800000000000002</v>
      </c>
      <c r="CE253" s="1">
        <f>ROUND(CB253/CB246+CC253/CC250,2)</f>
        <v>1.92</v>
      </c>
      <c r="CF253" s="1">
        <f t="shared" si="84"/>
        <v>1.92</v>
      </c>
      <c r="CG253" s="1">
        <f>ROUND(CB253/CB243,2)</f>
        <v>0.68</v>
      </c>
      <c r="CH253" s="1">
        <f>ROUND(CB253/CB246,2)</f>
        <v>0.42</v>
      </c>
      <c r="CI253" s="1">
        <f>ROUND(CC253/CC250,2)</f>
        <v>1.5</v>
      </c>
      <c r="CJ253" s="1">
        <f>ROUND((CC253+CB253)/MAX(CC250,CB246),2)</f>
        <v>0.61</v>
      </c>
      <c r="CK253" s="1">
        <f>ROUND(LN((0.9*BZ253)/(0.1*CA253))/(BZ243/CA250),2)</f>
        <v>0.63</v>
      </c>
      <c r="CL253" s="1">
        <f>ROUND(LN((0.9*BZ253)/(0.1*CA253))/(BZ246/CA250),2)</f>
        <v>0.38</v>
      </c>
      <c r="CM253" s="1">
        <f>ROUND(LN((0.1*CA253)/(0.9*BZ253))/(CA250/BZ243),2)</f>
        <v>-14.11</v>
      </c>
      <c r="CN253" s="1">
        <f>ROUND(LN((0.1*CA253)/(0.9*BZ253))/(CA250/BZ246),2)</f>
        <v>-23.02</v>
      </c>
      <c r="CO253" s="5">
        <v>54</v>
      </c>
      <c r="CP253" s="5">
        <v>76</v>
      </c>
      <c r="CQ253" s="1">
        <v>41</v>
      </c>
      <c r="CR253" s="1">
        <v>118</v>
      </c>
      <c r="CS253" s="5">
        <v>33.9</v>
      </c>
      <c r="CT253" s="1">
        <v>9.1999999999999993</v>
      </c>
      <c r="CU253" s="1">
        <v>6.5</v>
      </c>
      <c r="CV253" s="1" t="s">
        <v>71</v>
      </c>
      <c r="CW253" s="1" t="s">
        <v>71</v>
      </c>
      <c r="CX253" t="e">
        <f>ROUND(CV253*#REF!/10,1)</f>
        <v>#VALUE!</v>
      </c>
      <c r="CY253" s="1">
        <v>10.8</v>
      </c>
      <c r="CZ253">
        <f>ROUND((10*CC253*CS253),0)</f>
        <v>283</v>
      </c>
      <c r="DA253">
        <f t="shared" si="85"/>
        <v>195</v>
      </c>
      <c r="DB253">
        <f>(CZ253+DA253)/MAX(DA246,CZ250)</f>
        <v>1.3204419889502763</v>
      </c>
      <c r="DC253" s="26">
        <v>10.8</v>
      </c>
      <c r="DD253">
        <f t="shared" si="72"/>
        <v>478</v>
      </c>
      <c r="DE253">
        <f t="shared" ref="DE253:DE260" si="87">ROUND(MAX((DB253-DF253), 0), 2)</f>
        <v>0.54</v>
      </c>
      <c r="DF253">
        <f>ROUND(CZ253/MAX(DA246,CZ250), 2)</f>
        <v>0.78</v>
      </c>
    </row>
    <row r="254" spans="1:110" ht="15" x14ac:dyDescent="0.15">
      <c r="A254" s="23">
        <v>2023</v>
      </c>
      <c r="B254" s="23" t="s">
        <v>49</v>
      </c>
      <c r="C254" s="23">
        <v>13</v>
      </c>
      <c r="D254" s="23">
        <v>12</v>
      </c>
      <c r="E254" s="23" t="s">
        <v>50</v>
      </c>
      <c r="F254" s="23" t="s">
        <v>55</v>
      </c>
      <c r="G254" s="23" t="s">
        <v>5</v>
      </c>
      <c r="H254" s="23">
        <v>1</v>
      </c>
      <c r="I254" s="23" t="s">
        <v>62</v>
      </c>
      <c r="J254" s="23" t="s">
        <v>57</v>
      </c>
      <c r="K254" s="24">
        <v>45069</v>
      </c>
      <c r="L254" s="1">
        <f>K254-K246</f>
        <v>0</v>
      </c>
      <c r="M254" s="1">
        <f>K254-K251</f>
        <v>-10</v>
      </c>
      <c r="N254" s="24">
        <v>45078</v>
      </c>
      <c r="O254" s="24">
        <v>45086</v>
      </c>
      <c r="P254" s="24">
        <v>45072</v>
      </c>
      <c r="Q254" s="1">
        <f>P254-P251</f>
        <v>0</v>
      </c>
      <c r="R254" s="1">
        <f>N254-N246</f>
        <v>0</v>
      </c>
      <c r="S254" s="1">
        <f>O254-O246</f>
        <v>1</v>
      </c>
      <c r="T254" s="1">
        <f t="shared" si="86"/>
        <v>0.5</v>
      </c>
      <c r="U254" s="1">
        <v>80</v>
      </c>
      <c r="V254" s="1">
        <v>85</v>
      </c>
      <c r="W254" s="1">
        <v>-5</v>
      </c>
      <c r="X254" s="1">
        <v>0</v>
      </c>
      <c r="Y254" s="1">
        <v>0</v>
      </c>
      <c r="Z254" s="1">
        <v>0</v>
      </c>
      <c r="AA254" s="1">
        <v>0</v>
      </c>
      <c r="AB254" s="1" t="s">
        <v>71</v>
      </c>
      <c r="AC254" s="1" t="s">
        <v>71</v>
      </c>
      <c r="AD254" s="25">
        <v>39</v>
      </c>
      <c r="AE254" s="25">
        <v>27</v>
      </c>
      <c r="AF254" s="25">
        <v>120.33333333333333</v>
      </c>
      <c r="AG254" s="25">
        <v>78</v>
      </c>
      <c r="AH254" s="1">
        <v>121</v>
      </c>
      <c r="AI254" s="1">
        <v>76</v>
      </c>
      <c r="AJ254" s="1">
        <v>3</v>
      </c>
      <c r="AK254" s="1">
        <v>0</v>
      </c>
      <c r="AL254" s="1">
        <v>0</v>
      </c>
      <c r="AM254" s="1">
        <v>0</v>
      </c>
      <c r="AN254" s="1">
        <v>0.01</v>
      </c>
      <c r="AO254" s="1">
        <v>0.01</v>
      </c>
      <c r="AP254" s="1">
        <v>1E-4</v>
      </c>
      <c r="AQ254" s="1">
        <v>38</v>
      </c>
      <c r="AR254" s="1">
        <v>0.05</v>
      </c>
      <c r="AS254" s="1">
        <v>7</v>
      </c>
      <c r="AT254" s="1">
        <v>0.35000000000000003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5.0000000000000001E-3</v>
      </c>
      <c r="BB254" s="1">
        <v>1E-4</v>
      </c>
      <c r="BC254" s="1">
        <v>4.9999999999999998E-7</v>
      </c>
      <c r="BD254" s="1">
        <v>0</v>
      </c>
      <c r="BE254" s="1">
        <v>0</v>
      </c>
      <c r="BF254" s="1">
        <v>0</v>
      </c>
      <c r="BG254" s="1">
        <v>0</v>
      </c>
      <c r="BH254" s="1">
        <v>36</v>
      </c>
      <c r="BI254" s="1">
        <v>15</v>
      </c>
      <c r="BJ254" s="1">
        <v>0</v>
      </c>
      <c r="BK254" s="1">
        <v>7.4999999999999997E-3</v>
      </c>
      <c r="BL254" s="1">
        <f t="shared" si="70"/>
        <v>0.75</v>
      </c>
      <c r="BM254" s="1">
        <v>0.15</v>
      </c>
      <c r="BN254" s="1">
        <v>0.05</v>
      </c>
      <c r="BO254" s="1">
        <v>1</v>
      </c>
      <c r="BP254" s="1">
        <v>0</v>
      </c>
      <c r="BQ254" s="1" t="s">
        <v>71</v>
      </c>
      <c r="BR254" s="1" t="s">
        <v>71</v>
      </c>
      <c r="BS254" s="1" t="s">
        <v>71</v>
      </c>
      <c r="BT254" s="1" t="s">
        <v>71</v>
      </c>
      <c r="BU254" s="1" t="s">
        <v>71</v>
      </c>
      <c r="BV254" s="1">
        <v>4.7</v>
      </c>
      <c r="BW254" s="1">
        <v>1</v>
      </c>
      <c r="BX254" s="1" t="s">
        <v>71</v>
      </c>
      <c r="BY254" s="1" t="s">
        <v>71</v>
      </c>
      <c r="BZ254" s="3">
        <v>1.4</v>
      </c>
      <c r="CA254" s="3">
        <v>0.2</v>
      </c>
      <c r="CB254" s="3">
        <f t="shared" si="71"/>
        <v>1.9444444444444444</v>
      </c>
      <c r="CC254" s="3">
        <f t="shared" si="74"/>
        <v>0.27777777777777785</v>
      </c>
      <c r="CD254" s="1">
        <f>ROUND(CB254/CB243+CC254/CC251,2)</f>
        <v>0.96</v>
      </c>
      <c r="CE254" s="1">
        <f>ROUND(CB254/CB246+CC254/CC251,2)</f>
        <v>0.67</v>
      </c>
      <c r="CF254" s="1">
        <f t="shared" si="84"/>
        <v>0.67</v>
      </c>
      <c r="CG254" s="1">
        <f>ROUND(CB254/CB243,2)</f>
        <v>0.74</v>
      </c>
      <c r="CH254" s="1">
        <f>ROUND(CB254/CB246,2)</f>
        <v>0.45</v>
      </c>
      <c r="CI254" s="1">
        <f>ROUND(CC254/CC251,2)</f>
        <v>0.22</v>
      </c>
      <c r="CJ254" s="1">
        <f>ROUND((CC254+CB254)/MAX(CC251,CB246),2)</f>
        <v>0.52</v>
      </c>
      <c r="CK254" s="1">
        <f>ROUND(LN((0.9*BZ254)/(0.1*CA254))/(BZ243/CA251),2)</f>
        <v>1.96</v>
      </c>
      <c r="CL254" s="1">
        <f>ROUND(LN((0.9*BZ254)/(0.1*CA254))/(BZ246/CA251),2)</f>
        <v>1.2</v>
      </c>
      <c r="CM254" s="1">
        <f>ROUND(LN((0.1*CA254)/(0.9*BZ254))/(CA251/BZ243),2)</f>
        <v>-8.75</v>
      </c>
      <c r="CN254" s="1">
        <f>ROUND(LN((0.1*CA254)/(0.9*BZ254))/(CA251/BZ246),2)</f>
        <v>-14.27</v>
      </c>
      <c r="CO254" s="5">
        <v>52</v>
      </c>
      <c r="CP254" s="5">
        <v>49</v>
      </c>
      <c r="CQ254" s="1">
        <v>40</v>
      </c>
      <c r="CR254" s="1">
        <v>132</v>
      </c>
      <c r="CS254" s="5" t="s">
        <v>71</v>
      </c>
      <c r="CT254" s="1">
        <v>9.5</v>
      </c>
      <c r="CU254" s="1">
        <v>6.8</v>
      </c>
      <c r="CV254" s="1" t="s">
        <v>71</v>
      </c>
      <c r="CW254" s="1" t="s">
        <v>71</v>
      </c>
      <c r="CX254" t="e">
        <f>ROUND(CV254*#REF!/10,1)</f>
        <v>#VALUE!</v>
      </c>
      <c r="CY254" s="1">
        <v>9.9</v>
      </c>
      <c r="CZ254" t="s">
        <v>71</v>
      </c>
      <c r="DA254">
        <f t="shared" si="85"/>
        <v>193</v>
      </c>
      <c r="DB254" t="s">
        <v>71</v>
      </c>
      <c r="DC254" s="26">
        <v>9.9</v>
      </c>
      <c r="DD254">
        <f t="shared" si="72"/>
        <v>193</v>
      </c>
      <c r="DE254" s="1" t="s">
        <v>71</v>
      </c>
      <c r="DF254" s="1" t="s">
        <v>71</v>
      </c>
    </row>
    <row r="255" spans="1:110" x14ac:dyDescent="0.15">
      <c r="A255" s="23">
        <v>2023</v>
      </c>
      <c r="B255" s="23" t="s">
        <v>49</v>
      </c>
      <c r="C255" s="23">
        <v>13</v>
      </c>
      <c r="D255" s="23">
        <v>13</v>
      </c>
      <c r="E255" s="23" t="s">
        <v>51</v>
      </c>
      <c r="F255" s="23" t="s">
        <v>53</v>
      </c>
      <c r="G255" s="23" t="s">
        <v>5</v>
      </c>
      <c r="H255" s="23">
        <v>1</v>
      </c>
      <c r="I255" s="23" t="s">
        <v>63</v>
      </c>
      <c r="J255" s="23" t="s">
        <v>57</v>
      </c>
      <c r="K255" s="24">
        <v>45078</v>
      </c>
      <c r="L255" s="1">
        <f>K255-K247</f>
        <v>-6</v>
      </c>
      <c r="M255" s="1">
        <f>K255-K249</f>
        <v>9</v>
      </c>
      <c r="N255" s="24">
        <v>45084</v>
      </c>
      <c r="O255" s="24">
        <v>45094</v>
      </c>
      <c r="P255" s="24">
        <v>45078</v>
      </c>
      <c r="Q255" s="1">
        <f>P255-P249</f>
        <v>4</v>
      </c>
      <c r="R255" s="1">
        <f>N255-N247</f>
        <v>1</v>
      </c>
      <c r="S255" s="1">
        <f>O255-O247</f>
        <v>4</v>
      </c>
      <c r="T255" s="1">
        <f t="shared" si="86"/>
        <v>2.5</v>
      </c>
      <c r="U255" s="1">
        <v>87</v>
      </c>
      <c r="V255" s="1">
        <v>85</v>
      </c>
      <c r="W255" s="1">
        <v>2</v>
      </c>
      <c r="X255" s="1">
        <v>0</v>
      </c>
      <c r="Y255" s="1">
        <v>0</v>
      </c>
      <c r="Z255" s="1">
        <v>0</v>
      </c>
      <c r="AA255" s="1">
        <v>0</v>
      </c>
      <c r="AB255" s="1" t="s">
        <v>71</v>
      </c>
      <c r="AC255" s="1" t="s">
        <v>71</v>
      </c>
      <c r="AD255" s="25">
        <v>32</v>
      </c>
      <c r="AE255" s="25">
        <v>24</v>
      </c>
      <c r="AF255" s="25">
        <v>104.33333333333333</v>
      </c>
      <c r="AG255" s="25">
        <v>65</v>
      </c>
      <c r="AH255" s="1">
        <v>99</v>
      </c>
      <c r="AI255" s="1">
        <v>63</v>
      </c>
      <c r="AJ255" s="1">
        <v>1.3</v>
      </c>
      <c r="AK255" s="1">
        <v>0</v>
      </c>
      <c r="AL255" s="1">
        <v>0</v>
      </c>
      <c r="AM255" s="1">
        <v>0</v>
      </c>
      <c r="AN255" s="1">
        <v>2.5000000000000001E-2</v>
      </c>
      <c r="AO255" s="1">
        <v>0.03</v>
      </c>
      <c r="AP255" s="1">
        <v>7.5000000000000002E-4</v>
      </c>
      <c r="AQ255" s="1">
        <v>30</v>
      </c>
      <c r="AR255" s="1">
        <v>0.02</v>
      </c>
      <c r="AS255" s="1">
        <v>10</v>
      </c>
      <c r="AT255" s="1">
        <v>0.2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0.01</v>
      </c>
      <c r="BB255" s="1">
        <v>3.0000000000000001E-3</v>
      </c>
      <c r="BC255" s="1">
        <v>3.0000000000000001E-5</v>
      </c>
      <c r="BD255" s="1">
        <v>0</v>
      </c>
      <c r="BE255" s="1">
        <v>0</v>
      </c>
      <c r="BF255" s="1">
        <v>0</v>
      </c>
      <c r="BG255" s="1">
        <v>0</v>
      </c>
      <c r="BH255" s="1">
        <v>480</v>
      </c>
      <c r="BI255" s="1">
        <v>0</v>
      </c>
      <c r="BJ255" s="1">
        <v>0</v>
      </c>
      <c r="BK255" s="1">
        <v>5.000000000000001E-3</v>
      </c>
      <c r="BL255" s="1">
        <f t="shared" si="70"/>
        <v>0.50000000000000011</v>
      </c>
      <c r="BM255" s="1">
        <v>0.05</v>
      </c>
      <c r="BN255" s="1">
        <v>0.1</v>
      </c>
      <c r="BO255" s="1">
        <v>1</v>
      </c>
      <c r="BP255" s="1">
        <v>0</v>
      </c>
      <c r="BQ255" s="1" t="s">
        <v>71</v>
      </c>
      <c r="BR255" s="1" t="s">
        <v>71</v>
      </c>
      <c r="BS255" s="1" t="s">
        <v>71</v>
      </c>
      <c r="BT255" s="1" t="s">
        <v>71</v>
      </c>
      <c r="BU255" s="1" t="s">
        <v>71</v>
      </c>
      <c r="BV255" s="1">
        <v>5</v>
      </c>
      <c r="BW255" s="1">
        <v>0.3</v>
      </c>
      <c r="BX255" s="1" t="s">
        <v>71</v>
      </c>
      <c r="BY255" s="1" t="s">
        <v>71</v>
      </c>
      <c r="BZ255" s="3">
        <v>2.1</v>
      </c>
      <c r="CA255" s="3">
        <v>0.7</v>
      </c>
      <c r="CB255" s="3">
        <f t="shared" si="71"/>
        <v>2.916666666666667</v>
      </c>
      <c r="CC255" s="3">
        <f t="shared" si="74"/>
        <v>0.97222222222222221</v>
      </c>
      <c r="CD255" s="1">
        <f>ROUND(CB255/CB244+CC255/CC249,2)</f>
        <v>1.88</v>
      </c>
      <c r="CE255" s="1">
        <f>ROUND(CB255/CB247+CC255/CC249,2)</f>
        <v>1.39</v>
      </c>
      <c r="CF255" s="1">
        <f t="shared" si="84"/>
        <v>1.39</v>
      </c>
      <c r="CG255" s="1">
        <f>ROUND(CB255/CB244,2)</f>
        <v>1</v>
      </c>
      <c r="CH255" s="1">
        <f>ROUND(CB255/CB247,2)</f>
        <v>0.51</v>
      </c>
      <c r="CI255" s="1">
        <f>ROUND(CC255/CC249,2)</f>
        <v>0.88</v>
      </c>
      <c r="CJ255" s="1">
        <f>ROUND((CC255+CB255)/MAX(CC249,CB247),2)</f>
        <v>0.68</v>
      </c>
      <c r="CK255" s="1">
        <f>ROUND(LN((0.9*BZ255)/(0.1*CA255))/(BZ244/CA249),2)</f>
        <v>1.26</v>
      </c>
      <c r="CL255" s="1">
        <f>ROUND(LN((0.9*BZ255)/(0.1*CA255))/(BZ247/CA249),2)</f>
        <v>0.64</v>
      </c>
      <c r="CM255" s="1">
        <f>ROUND(LN((0.1*CA255)/(0.9*BZ255))/(CA249/BZ244),2)</f>
        <v>-8.65</v>
      </c>
      <c r="CN255" s="1">
        <f>ROUND(LN((0.1*CA255)/(0.9*BZ255))/(CA249/BZ247),2)</f>
        <v>-16.89</v>
      </c>
      <c r="CO255" s="5">
        <v>48</v>
      </c>
      <c r="CP255" s="5">
        <v>76</v>
      </c>
      <c r="CQ255" s="1">
        <v>34</v>
      </c>
      <c r="CR255" s="1">
        <v>139</v>
      </c>
      <c r="CS255" s="5">
        <v>31.2</v>
      </c>
      <c r="CT255" s="1">
        <v>8.4</v>
      </c>
      <c r="CU255" s="1">
        <v>6.7</v>
      </c>
      <c r="CV255" s="1" t="s">
        <v>71</v>
      </c>
      <c r="CW255" s="1" t="s">
        <v>71</v>
      </c>
      <c r="CX255" t="e">
        <f>ROUND(CV255*#REF!/10,1)</f>
        <v>#VALUE!</v>
      </c>
      <c r="CY255" s="1">
        <v>9.1</v>
      </c>
      <c r="CZ255">
        <f>ROUND((10*CC255*CS255),0)</f>
        <v>303</v>
      </c>
      <c r="DA255">
        <f t="shared" si="85"/>
        <v>265</v>
      </c>
      <c r="DB255">
        <f>(CZ255+DA255)/MAX(DA247,CZ249)</f>
        <v>1.3302107728337236</v>
      </c>
      <c r="DC255" s="26">
        <v>9.1</v>
      </c>
      <c r="DD255">
        <f t="shared" si="72"/>
        <v>568</v>
      </c>
      <c r="DE255">
        <f t="shared" si="87"/>
        <v>0.62</v>
      </c>
      <c r="DF255">
        <f>ROUND(CZ255/MAX(DA247,CZ249), 2)</f>
        <v>0.71</v>
      </c>
    </row>
    <row r="256" spans="1:110" x14ac:dyDescent="0.15">
      <c r="A256" s="23">
        <v>2023</v>
      </c>
      <c r="B256" s="23" t="s">
        <v>49</v>
      </c>
      <c r="C256" s="23">
        <v>13</v>
      </c>
      <c r="D256" s="23">
        <v>14</v>
      </c>
      <c r="E256" s="23" t="s">
        <v>51</v>
      </c>
      <c r="F256" s="23" t="s">
        <v>54</v>
      </c>
      <c r="G256" s="23" t="s">
        <v>5</v>
      </c>
      <c r="H256" s="23">
        <v>1</v>
      </c>
      <c r="I256" s="23" t="s">
        <v>64</v>
      </c>
      <c r="J256" s="23" t="s">
        <v>57</v>
      </c>
      <c r="K256" s="24">
        <v>45084</v>
      </c>
      <c r="L256" s="1">
        <f>K256-K247</f>
        <v>0</v>
      </c>
      <c r="M256" s="1">
        <f>K256-K250</f>
        <v>14</v>
      </c>
      <c r="N256" s="24">
        <v>45084</v>
      </c>
      <c r="O256" s="24">
        <v>45089</v>
      </c>
      <c r="P256" s="24">
        <v>45078</v>
      </c>
      <c r="Q256" s="1">
        <f>P256-P250</f>
        <v>0</v>
      </c>
      <c r="R256" s="1">
        <f>N256-N247</f>
        <v>1</v>
      </c>
      <c r="S256" s="1">
        <f>O256-O247</f>
        <v>-1</v>
      </c>
      <c r="T256" s="1">
        <f t="shared" si="86"/>
        <v>0</v>
      </c>
      <c r="U256" s="1">
        <v>77</v>
      </c>
      <c r="V256" s="1">
        <v>87</v>
      </c>
      <c r="W256" s="1">
        <v>-10</v>
      </c>
      <c r="X256" s="1">
        <v>0</v>
      </c>
      <c r="Y256" s="1">
        <v>0</v>
      </c>
      <c r="Z256" s="1">
        <v>0</v>
      </c>
      <c r="AA256" s="1">
        <v>0</v>
      </c>
      <c r="AB256" s="1" t="s">
        <v>71</v>
      </c>
      <c r="AC256" s="1" t="s">
        <v>71</v>
      </c>
      <c r="AD256" s="25">
        <v>38</v>
      </c>
      <c r="AE256" s="25">
        <v>20</v>
      </c>
      <c r="AF256" s="25">
        <v>109</v>
      </c>
      <c r="AG256" s="25">
        <v>55</v>
      </c>
      <c r="AH256" s="1">
        <v>100</v>
      </c>
      <c r="AI256" s="1">
        <v>63</v>
      </c>
      <c r="AJ256" s="1">
        <v>2</v>
      </c>
      <c r="AK256" s="1">
        <v>0</v>
      </c>
      <c r="AL256" s="1">
        <v>0</v>
      </c>
      <c r="AM256" s="1">
        <v>0</v>
      </c>
      <c r="AN256" s="1">
        <v>7.0000000000000007E-2</v>
      </c>
      <c r="AO256" s="1">
        <v>0.05</v>
      </c>
      <c r="AP256" s="1">
        <v>3.5000000000000005E-3</v>
      </c>
      <c r="AQ256" s="1">
        <v>18</v>
      </c>
      <c r="AR256" s="1">
        <v>0.5</v>
      </c>
      <c r="AS256" s="1">
        <v>20</v>
      </c>
      <c r="AT256" s="1">
        <v>10</v>
      </c>
      <c r="AU256" s="1">
        <v>0.02</v>
      </c>
      <c r="AV256" s="1">
        <v>1</v>
      </c>
      <c r="AW256" s="1">
        <v>0.02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45</v>
      </c>
      <c r="BI256" s="1">
        <v>5</v>
      </c>
      <c r="BJ256" s="1">
        <v>5</v>
      </c>
      <c r="BK256" s="1">
        <v>1.4000000000000002E-2</v>
      </c>
      <c r="BL256" s="1">
        <f t="shared" si="70"/>
        <v>1.4000000000000001</v>
      </c>
      <c r="BM256" s="1">
        <v>0.2</v>
      </c>
      <c r="BN256" s="1">
        <v>7.0000000000000007E-2</v>
      </c>
      <c r="BO256" s="1">
        <v>2</v>
      </c>
      <c r="BP256" s="1">
        <v>5</v>
      </c>
      <c r="BQ256" s="1" t="s">
        <v>71</v>
      </c>
      <c r="BR256" s="1" t="s">
        <v>71</v>
      </c>
      <c r="BS256" s="1" t="s">
        <v>71</v>
      </c>
      <c r="BT256" s="1" t="s">
        <v>71</v>
      </c>
      <c r="BU256" s="1" t="s">
        <v>71</v>
      </c>
      <c r="BV256" s="1">
        <v>4.7</v>
      </c>
      <c r="BW256" s="1">
        <v>0</v>
      </c>
      <c r="BX256" s="1" t="s">
        <v>71</v>
      </c>
      <c r="BY256" s="1" t="s">
        <v>71</v>
      </c>
      <c r="BZ256" s="3">
        <v>1.6</v>
      </c>
      <c r="CA256" s="3">
        <v>0.3</v>
      </c>
      <c r="CB256" s="3">
        <f t="shared" si="71"/>
        <v>2.2222222222222228</v>
      </c>
      <c r="CC256" s="3">
        <f t="shared" si="74"/>
        <v>0.41666666666666674</v>
      </c>
      <c r="CD256" s="1">
        <f>ROUND(CB256/CB244+CC256/CC250,2)</f>
        <v>1.51</v>
      </c>
      <c r="CE256" s="1">
        <f>ROUND(CB256/CB247+CC256/CC250,2)</f>
        <v>1.1399999999999999</v>
      </c>
      <c r="CF256" s="1">
        <f t="shared" si="84"/>
        <v>1.1399999999999999</v>
      </c>
      <c r="CG256" s="1">
        <f>ROUND(CB256/CB244,2)</f>
        <v>0.76</v>
      </c>
      <c r="CH256" s="1">
        <f>ROUND(CB256/CB247,2)</f>
        <v>0.39</v>
      </c>
      <c r="CI256" s="1">
        <f>ROUND(CC256/CC250,2)</f>
        <v>0.75</v>
      </c>
      <c r="CJ256" s="1">
        <f>ROUND((CC256+CB256)/MAX(CC250,CB247),2)</f>
        <v>0.46</v>
      </c>
      <c r="CK256" s="1">
        <f>ROUND(LN((0.9*BZ256)/(0.1*CA256))/(BZ244/CA250),2)</f>
        <v>0.74</v>
      </c>
      <c r="CL256" s="1">
        <f>ROUND(LN((0.9*BZ256)/(0.1*CA256))/(BZ247/CA250),2)</f>
        <v>0.38</v>
      </c>
      <c r="CM256" s="1">
        <f>ROUND(LN((0.1*CA256)/(0.9*BZ256))/(CA250/BZ244),2)</f>
        <v>-20.32</v>
      </c>
      <c r="CN256" s="1">
        <f>ROUND(LN((0.1*CA256)/(0.9*BZ256))/(CA250/BZ247),2)</f>
        <v>-39.68</v>
      </c>
      <c r="CO256" s="5">
        <v>43</v>
      </c>
      <c r="CP256" s="5">
        <v>74</v>
      </c>
      <c r="CQ256" s="1">
        <v>29</v>
      </c>
      <c r="CR256" s="1">
        <v>117</v>
      </c>
      <c r="CS256" s="5">
        <v>34.200000000000003</v>
      </c>
      <c r="CT256" s="1">
        <v>8.1999999999999993</v>
      </c>
      <c r="CU256" s="1">
        <v>6.1</v>
      </c>
      <c r="CV256" s="1" t="s">
        <v>71</v>
      </c>
      <c r="CW256" s="1" t="s">
        <v>71</v>
      </c>
      <c r="CX256" t="e">
        <f>ROUND(CV256*#REF!/10,1)</f>
        <v>#VALUE!</v>
      </c>
      <c r="CY256" s="1">
        <v>9.6999999999999993</v>
      </c>
      <c r="CZ256">
        <f>ROUND((10*CC256*CS256),0)</f>
        <v>143</v>
      </c>
      <c r="DA256">
        <f t="shared" si="85"/>
        <v>216</v>
      </c>
      <c r="DB256">
        <f>(CZ256+DA256)/MAX(DA247,CZ250)</f>
        <v>0.84074941451990637</v>
      </c>
      <c r="DC256" s="26">
        <v>9.6999999999999993</v>
      </c>
      <c r="DD256">
        <f t="shared" si="72"/>
        <v>359</v>
      </c>
      <c r="DE256">
        <f t="shared" si="87"/>
        <v>0.51</v>
      </c>
      <c r="DF256">
        <f>ROUND(CZ256/MAX(DA247,CZ250), 2)</f>
        <v>0.33</v>
      </c>
    </row>
    <row r="257" spans="1:110" ht="15" x14ac:dyDescent="0.15">
      <c r="A257" s="23">
        <v>2023</v>
      </c>
      <c r="B257" s="23" t="s">
        <v>49</v>
      </c>
      <c r="C257" s="23">
        <v>13</v>
      </c>
      <c r="D257" s="23">
        <v>15</v>
      </c>
      <c r="E257" s="23" t="s">
        <v>51</v>
      </c>
      <c r="F257" s="23" t="s">
        <v>55</v>
      </c>
      <c r="G257" s="23" t="s">
        <v>5</v>
      </c>
      <c r="H257" s="23">
        <v>1</v>
      </c>
      <c r="I257" s="23" t="s">
        <v>65</v>
      </c>
      <c r="J257" s="23" t="s">
        <v>57</v>
      </c>
      <c r="K257" s="24">
        <v>45075</v>
      </c>
      <c r="L257" s="1">
        <f>K257-K247</f>
        <v>-9</v>
      </c>
      <c r="M257" s="1">
        <f>K257-K251</f>
        <v>-4</v>
      </c>
      <c r="N257" s="24">
        <v>45085</v>
      </c>
      <c r="O257" s="24">
        <v>45094</v>
      </c>
      <c r="P257" s="24">
        <v>45073</v>
      </c>
      <c r="Q257" s="1">
        <f>P257-P251</f>
        <v>1</v>
      </c>
      <c r="R257" s="1">
        <f>N257-N247</f>
        <v>2</v>
      </c>
      <c r="S257" s="1">
        <f>O257-O247</f>
        <v>4</v>
      </c>
      <c r="T257" s="1">
        <f t="shared" si="86"/>
        <v>3</v>
      </c>
      <c r="U257" s="1">
        <v>75</v>
      </c>
      <c r="V257" s="1">
        <v>87</v>
      </c>
      <c r="W257" s="1">
        <v>-12</v>
      </c>
      <c r="X257" s="1">
        <v>0</v>
      </c>
      <c r="Y257" s="1">
        <v>0</v>
      </c>
      <c r="Z257" s="1">
        <v>0</v>
      </c>
      <c r="AA257" s="1">
        <v>0</v>
      </c>
      <c r="AB257" s="1" t="s">
        <v>71</v>
      </c>
      <c r="AC257" s="1" t="s">
        <v>71</v>
      </c>
      <c r="AD257" s="25">
        <v>35</v>
      </c>
      <c r="AE257" s="25">
        <v>24</v>
      </c>
      <c r="AF257" s="25">
        <v>111.33333333333333</v>
      </c>
      <c r="AG257" s="25">
        <v>67.666666666666671</v>
      </c>
      <c r="AH257" s="1">
        <v>108</v>
      </c>
      <c r="AI257" s="1">
        <v>64</v>
      </c>
      <c r="AJ257" s="1">
        <v>2.2999999999999998</v>
      </c>
      <c r="AK257" s="1">
        <v>0</v>
      </c>
      <c r="AL257" s="1">
        <v>0</v>
      </c>
      <c r="AM257" s="1">
        <v>0</v>
      </c>
      <c r="AN257" s="1">
        <v>0.03</v>
      </c>
      <c r="AO257" s="1">
        <v>0.05</v>
      </c>
      <c r="AP257" s="1">
        <v>1.5E-3</v>
      </c>
      <c r="AQ257" s="1">
        <v>18</v>
      </c>
      <c r="AR257" s="1">
        <v>0.03</v>
      </c>
      <c r="AS257" s="1">
        <v>5</v>
      </c>
      <c r="AT257" s="1">
        <v>0.15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0.05</v>
      </c>
      <c r="BB257" s="1">
        <v>2.0000000000000001E-4</v>
      </c>
      <c r="BC257" s="1">
        <v>1.0000000000000001E-5</v>
      </c>
      <c r="BD257" s="1">
        <v>0</v>
      </c>
      <c r="BE257" s="1">
        <v>0</v>
      </c>
      <c r="BF257" s="1">
        <v>0</v>
      </c>
      <c r="BG257" s="1">
        <v>0</v>
      </c>
      <c r="BH257" s="1">
        <v>308</v>
      </c>
      <c r="BI257" s="1">
        <v>3</v>
      </c>
      <c r="BJ257" s="1">
        <v>0</v>
      </c>
      <c r="BK257" s="1">
        <v>2.5000000000000005E-3</v>
      </c>
      <c r="BL257" s="1">
        <f t="shared" si="70"/>
        <v>0.25000000000000006</v>
      </c>
      <c r="BM257" s="1">
        <v>0.05</v>
      </c>
      <c r="BN257" s="1">
        <v>0.05</v>
      </c>
      <c r="BO257" s="1">
        <v>2</v>
      </c>
      <c r="BP257" s="1">
        <v>0</v>
      </c>
      <c r="BQ257" s="1" t="s">
        <v>71</v>
      </c>
      <c r="BR257" s="1" t="s">
        <v>71</v>
      </c>
      <c r="BS257" s="1" t="s">
        <v>71</v>
      </c>
      <c r="BT257" s="1" t="s">
        <v>71</v>
      </c>
      <c r="BU257" s="1" t="s">
        <v>71</v>
      </c>
      <c r="BV257" s="1">
        <v>5.3</v>
      </c>
      <c r="BW257" s="1">
        <v>0.3</v>
      </c>
      <c r="BX257" s="1" t="s">
        <v>71</v>
      </c>
      <c r="BY257" s="1" t="s">
        <v>71</v>
      </c>
      <c r="BZ257" s="3">
        <v>1.9</v>
      </c>
      <c r="CA257" s="3">
        <v>0.1</v>
      </c>
      <c r="CB257" s="3">
        <f t="shared" si="71"/>
        <v>2.6388888888888888</v>
      </c>
      <c r="CC257" s="3">
        <f t="shared" si="74"/>
        <v>0.13888888888888892</v>
      </c>
      <c r="CD257" s="1">
        <f>ROUND(CB257/CB244+CC257/CC251,2)</f>
        <v>1.02</v>
      </c>
      <c r="CE257" s="1">
        <f>ROUND(CB257/CB247+CC257/CC251,2)</f>
        <v>0.56999999999999995</v>
      </c>
      <c r="CF257" s="1">
        <f t="shared" si="84"/>
        <v>0.56999999999999995</v>
      </c>
      <c r="CG257" s="1">
        <f>ROUND(CB257/CB244,2)</f>
        <v>0.9</v>
      </c>
      <c r="CH257" s="1">
        <f>ROUND(CB257/CB247,2)</f>
        <v>0.46</v>
      </c>
      <c r="CI257" s="1">
        <f>ROUND(CC257/CC251,2)</f>
        <v>0.11</v>
      </c>
      <c r="CJ257" s="1">
        <f>ROUND((CC257+CB257)/MAX(CC251,CB247),2)</f>
        <v>0.49</v>
      </c>
      <c r="CK257" s="1">
        <f>ROUND(LN((0.9*BZ257)/(0.1*CA257))/(BZ244/CA251),2)</f>
        <v>2.2000000000000002</v>
      </c>
      <c r="CL257" s="1">
        <f>ROUND(LN((0.9*BZ257)/(0.1*CA257))/(BZ247/CA251),2)</f>
        <v>1.1299999999999999</v>
      </c>
      <c r="CM257" s="1">
        <f>ROUND(LN((0.1*CA257)/(0.9*BZ257))/(CA251/BZ244),2)</f>
        <v>-12</v>
      </c>
      <c r="CN257" s="1">
        <f>ROUND(LN((0.1*CA257)/(0.9*BZ257))/(CA251/BZ247),2)</f>
        <v>-23.42</v>
      </c>
      <c r="CO257" s="5">
        <v>46</v>
      </c>
      <c r="CP257" s="5">
        <v>35</v>
      </c>
      <c r="CQ257" s="1">
        <v>33</v>
      </c>
      <c r="CR257" s="1" t="s">
        <v>71</v>
      </c>
      <c r="CS257" s="5" t="s">
        <v>71</v>
      </c>
      <c r="CT257" s="1">
        <v>8.8000000000000007</v>
      </c>
      <c r="CU257" s="1">
        <v>6.1</v>
      </c>
      <c r="CV257" s="1" t="s">
        <v>71</v>
      </c>
      <c r="CW257" s="1" t="s">
        <v>71</v>
      </c>
      <c r="CX257" t="e">
        <f>ROUND(CV257*#REF!/10,1)</f>
        <v>#VALUE!</v>
      </c>
      <c r="CY257" s="1">
        <v>8.3000000000000007</v>
      </c>
      <c r="CZ257" t="s">
        <v>71</v>
      </c>
      <c r="DA257">
        <f t="shared" si="85"/>
        <v>219</v>
      </c>
      <c r="DB257" t="s">
        <v>71</v>
      </c>
      <c r="DC257" s="26">
        <v>8.3000000000000007</v>
      </c>
      <c r="DD257">
        <f t="shared" si="72"/>
        <v>219</v>
      </c>
      <c r="DE257" s="1" t="s">
        <v>71</v>
      </c>
      <c r="DF257" s="1" t="s">
        <v>71</v>
      </c>
    </row>
    <row r="258" spans="1:110" x14ac:dyDescent="0.15">
      <c r="A258" s="23">
        <v>2023</v>
      </c>
      <c r="B258" s="23" t="s">
        <v>49</v>
      </c>
      <c r="C258" s="23">
        <v>13</v>
      </c>
      <c r="D258" s="23">
        <v>16</v>
      </c>
      <c r="E258" s="23" t="s">
        <v>52</v>
      </c>
      <c r="F258" s="23" t="s">
        <v>53</v>
      </c>
      <c r="G258" s="23" t="s">
        <v>5</v>
      </c>
      <c r="H258" s="23">
        <v>1</v>
      </c>
      <c r="I258" s="23" t="s">
        <v>66</v>
      </c>
      <c r="J258" s="23" t="s">
        <v>57</v>
      </c>
      <c r="K258" s="24">
        <v>45070</v>
      </c>
      <c r="L258" s="1">
        <f>K258-K248</f>
        <v>-22</v>
      </c>
      <c r="M258" s="1">
        <f>K258-K249</f>
        <v>1</v>
      </c>
      <c r="N258" s="24">
        <v>45086</v>
      </c>
      <c r="O258" s="24">
        <v>45097</v>
      </c>
      <c r="P258" s="24">
        <v>45074</v>
      </c>
      <c r="Q258" s="1">
        <f>P258-P249</f>
        <v>0</v>
      </c>
      <c r="R258" s="1">
        <f>N258-N248</f>
        <v>3</v>
      </c>
      <c r="S258" s="1">
        <f>O258-O248</f>
        <v>4</v>
      </c>
      <c r="T258" s="1">
        <f t="shared" si="86"/>
        <v>3.5</v>
      </c>
      <c r="U258" s="1">
        <v>77</v>
      </c>
      <c r="V258" s="1">
        <v>81</v>
      </c>
      <c r="W258" s="1">
        <v>-4</v>
      </c>
      <c r="X258" s="1">
        <v>0</v>
      </c>
      <c r="Y258" s="1">
        <v>0</v>
      </c>
      <c r="Z258" s="1">
        <v>0</v>
      </c>
      <c r="AA258" s="1">
        <v>0</v>
      </c>
      <c r="AB258" s="1" t="s">
        <v>71</v>
      </c>
      <c r="AC258" s="1" t="s">
        <v>71</v>
      </c>
      <c r="AD258" s="25">
        <v>34</v>
      </c>
      <c r="AE258" s="25">
        <v>28</v>
      </c>
      <c r="AF258" s="25">
        <v>94</v>
      </c>
      <c r="AG258" s="25">
        <v>74</v>
      </c>
      <c r="AH258" s="1">
        <v>91</v>
      </c>
      <c r="AI258" s="1">
        <v>74</v>
      </c>
      <c r="AJ258" s="1">
        <v>3</v>
      </c>
      <c r="AK258" s="1">
        <v>0</v>
      </c>
      <c r="AL258" s="1">
        <v>0</v>
      </c>
      <c r="AM258" s="1">
        <v>0</v>
      </c>
      <c r="AN258" s="1">
        <v>2.5000000000000001E-2</v>
      </c>
      <c r="AO258" s="1">
        <v>0.05</v>
      </c>
      <c r="AP258" s="1">
        <v>1.2500000000000002E-3</v>
      </c>
      <c r="AQ258" s="1">
        <v>17</v>
      </c>
      <c r="AR258" s="1">
        <v>0.05</v>
      </c>
      <c r="AS258" s="1">
        <v>10</v>
      </c>
      <c r="AT258" s="1">
        <v>0.5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20</v>
      </c>
      <c r="BJ258" s="1">
        <v>0.5</v>
      </c>
      <c r="BK258" s="1">
        <v>1.0500000000000001E-2</v>
      </c>
      <c r="BL258" s="1">
        <f t="shared" si="70"/>
        <v>1.05</v>
      </c>
      <c r="BM258" s="1">
        <v>0.15</v>
      </c>
      <c r="BN258" s="1">
        <v>7.0000000000000007E-2</v>
      </c>
      <c r="BO258" s="1">
        <v>1</v>
      </c>
      <c r="BP258" s="1">
        <v>0</v>
      </c>
      <c r="BQ258" s="1" t="s">
        <v>71</v>
      </c>
      <c r="BR258" s="1" t="s">
        <v>71</v>
      </c>
      <c r="BS258" s="1" t="s">
        <v>71</v>
      </c>
      <c r="BT258" s="1" t="s">
        <v>71</v>
      </c>
      <c r="BU258" s="1" t="s">
        <v>71</v>
      </c>
      <c r="BV258" s="1">
        <v>6</v>
      </c>
      <c r="BW258" s="1">
        <v>2.2999999999999998</v>
      </c>
      <c r="BX258" s="1" t="s">
        <v>71</v>
      </c>
      <c r="BY258" s="1" t="s">
        <v>71</v>
      </c>
      <c r="BZ258" s="3">
        <v>1.8</v>
      </c>
      <c r="CA258" s="3">
        <v>0.7</v>
      </c>
      <c r="CB258" s="3">
        <f t="shared" si="71"/>
        <v>2.5000000000000004</v>
      </c>
      <c r="CC258" s="3">
        <f t="shared" si="74"/>
        <v>0.97222222222222221</v>
      </c>
      <c r="CD258" s="1">
        <f>ROUND(CB258/CB245+CC258/CC249,2)</f>
        <v>1.66</v>
      </c>
      <c r="CE258" s="1">
        <f>ROUND(CB258/CB248+CC258/CC249,2)</f>
        <v>1.42</v>
      </c>
      <c r="CF258" s="1">
        <f>ROUND(CB258/(1.2*CB248)+CC258/CC249,2)</f>
        <v>1.33</v>
      </c>
      <c r="CG258" s="1">
        <f>ROUND(CB258/CB245,2)</f>
        <v>0.78</v>
      </c>
      <c r="CH258" s="1">
        <f>ROUND(CB258/CB248,2)</f>
        <v>0.55000000000000004</v>
      </c>
      <c r="CI258" s="1">
        <f>ROUND(CC258/CC249,2)</f>
        <v>0.88</v>
      </c>
      <c r="CJ258" s="1">
        <f>ROUND((CC258+CB258)/MAX(CC249,CB248),2)</f>
        <v>0.76</v>
      </c>
      <c r="CK258" s="1">
        <f>ROUND(LN((0.9*BZ258)/(0.1*CA258))/(BZ245/CA249),2)</f>
        <v>1.0900000000000001</v>
      </c>
      <c r="CL258" s="1">
        <f>ROUND(LN((0.9*BZ258)/(0.1*CA258))/(BZ248/CA249),2)</f>
        <v>0.76</v>
      </c>
      <c r="CM258" s="1">
        <f>ROUND(LN((0.1*CA258)/(0.9*BZ258))/(CA249/BZ245),2)</f>
        <v>-9.0299999999999994</v>
      </c>
      <c r="CN258" s="1">
        <f>ROUND(LN((0.1*CA258)/(0.9*BZ258))/(CA249/BZ248),2)</f>
        <v>-12.96</v>
      </c>
      <c r="CO258" s="5">
        <v>50</v>
      </c>
      <c r="CP258" s="5">
        <v>75</v>
      </c>
      <c r="CQ258" s="1">
        <v>34</v>
      </c>
      <c r="CR258" s="1">
        <v>119</v>
      </c>
      <c r="CS258" s="5">
        <v>31.1</v>
      </c>
      <c r="CT258" s="1">
        <v>8.8000000000000007</v>
      </c>
      <c r="CU258" s="1">
        <v>6.7</v>
      </c>
      <c r="CV258" s="1" t="s">
        <v>71</v>
      </c>
      <c r="CW258" s="1" t="s">
        <v>71</v>
      </c>
      <c r="CX258" t="e">
        <f>ROUND(CV258*#REF!/10,1)</f>
        <v>#VALUE!</v>
      </c>
      <c r="CY258" s="1">
        <v>10.199999999999999</v>
      </c>
      <c r="CZ258">
        <f>ROUND((10*CC258*CS258),0)</f>
        <v>302</v>
      </c>
      <c r="DA258">
        <f t="shared" si="85"/>
        <v>255</v>
      </c>
      <c r="DB258">
        <f>(CZ258+DA258)/MAX(DA248,CZ249)</f>
        <v>1.4657894736842105</v>
      </c>
      <c r="DC258" s="26">
        <v>10.199999999999999</v>
      </c>
      <c r="DD258">
        <f t="shared" si="72"/>
        <v>557</v>
      </c>
      <c r="DE258">
        <f t="shared" si="87"/>
        <v>0.68</v>
      </c>
      <c r="DF258">
        <f>ROUND(CZ258/MAX(DA248,CZ249), 2)</f>
        <v>0.79</v>
      </c>
    </row>
    <row r="259" spans="1:110" ht="15" x14ac:dyDescent="0.15">
      <c r="A259" s="23">
        <v>2023</v>
      </c>
      <c r="B259" s="23" t="s">
        <v>49</v>
      </c>
      <c r="C259" s="23">
        <v>13</v>
      </c>
      <c r="D259" s="23">
        <v>17</v>
      </c>
      <c r="E259" s="23" t="s">
        <v>52</v>
      </c>
      <c r="F259" s="23" t="s">
        <v>54</v>
      </c>
      <c r="G259" s="23" t="s">
        <v>5</v>
      </c>
      <c r="H259" s="23">
        <v>1</v>
      </c>
      <c r="I259" s="23" t="s">
        <v>67</v>
      </c>
      <c r="J259" s="23" t="s">
        <v>57</v>
      </c>
      <c r="K259" s="24">
        <v>45078</v>
      </c>
      <c r="L259" s="1">
        <f>K259-K248</f>
        <v>-14</v>
      </c>
      <c r="M259" s="1">
        <f>K259-K250</f>
        <v>8</v>
      </c>
      <c r="N259" s="24">
        <v>45086</v>
      </c>
      <c r="O259" s="24">
        <v>45096</v>
      </c>
      <c r="P259" s="24">
        <v>45077</v>
      </c>
      <c r="Q259" s="1">
        <f>P259-P250</f>
        <v>-1</v>
      </c>
      <c r="R259" s="1">
        <f>N259-N248</f>
        <v>3</v>
      </c>
      <c r="S259" s="1">
        <f>O259-O248</f>
        <v>3</v>
      </c>
      <c r="T259" s="1">
        <f t="shared" si="86"/>
        <v>3</v>
      </c>
      <c r="U259" s="1">
        <v>79</v>
      </c>
      <c r="V259" s="1">
        <v>75</v>
      </c>
      <c r="W259" s="1">
        <v>4</v>
      </c>
      <c r="X259" s="1">
        <v>0</v>
      </c>
      <c r="Y259" s="1">
        <v>0</v>
      </c>
      <c r="Z259" s="1">
        <v>0</v>
      </c>
      <c r="AA259" s="1">
        <v>0</v>
      </c>
      <c r="AB259" s="1" t="s">
        <v>71</v>
      </c>
      <c r="AC259" s="1" t="s">
        <v>71</v>
      </c>
      <c r="AD259" s="25">
        <v>32</v>
      </c>
      <c r="AE259" s="25">
        <v>18</v>
      </c>
      <c r="AF259" s="25">
        <v>86.666666666666671</v>
      </c>
      <c r="AG259" s="25">
        <v>52.333333333333336</v>
      </c>
      <c r="AH259" s="1">
        <v>83</v>
      </c>
      <c r="AI259" s="1">
        <v>55</v>
      </c>
      <c r="AJ259" s="1">
        <v>3.3</v>
      </c>
      <c r="AK259" s="1">
        <v>0</v>
      </c>
      <c r="AL259" s="1">
        <v>0</v>
      </c>
      <c r="AM259" s="1">
        <v>0</v>
      </c>
      <c r="AN259" s="1">
        <v>2.5000000000000001E-2</v>
      </c>
      <c r="AO259" s="1">
        <v>2.5000000000000001E-2</v>
      </c>
      <c r="AP259" s="1">
        <v>6.2500000000000012E-4</v>
      </c>
      <c r="AQ259" s="1">
        <v>27</v>
      </c>
      <c r="AR259" s="1">
        <v>0.02</v>
      </c>
      <c r="AS259" s="1">
        <v>5</v>
      </c>
      <c r="AT259" s="1">
        <v>0.1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0.05</v>
      </c>
      <c r="BA259" s="1">
        <v>0.05</v>
      </c>
      <c r="BB259" s="1">
        <v>5.0000000000000001E-4</v>
      </c>
      <c r="BC259" s="1">
        <v>2.5000000000000005E-5</v>
      </c>
      <c r="BD259" s="1">
        <v>0</v>
      </c>
      <c r="BE259" s="1">
        <v>0</v>
      </c>
      <c r="BF259" s="1">
        <v>0</v>
      </c>
      <c r="BG259" s="1">
        <v>0</v>
      </c>
      <c r="BH259" s="1">
        <v>14</v>
      </c>
      <c r="BI259" s="1">
        <v>5</v>
      </c>
      <c r="BJ259" s="1">
        <v>1</v>
      </c>
      <c r="BK259" s="1">
        <v>5.000000000000001E-3</v>
      </c>
      <c r="BL259" s="1">
        <f t="shared" si="70"/>
        <v>0.50000000000000011</v>
      </c>
      <c r="BM259" s="1">
        <v>0.1</v>
      </c>
      <c r="BN259" s="1">
        <v>0.05</v>
      </c>
      <c r="BO259" s="1">
        <v>1</v>
      </c>
      <c r="BP259" s="1">
        <v>0</v>
      </c>
      <c r="BQ259" s="1" t="s">
        <v>71</v>
      </c>
      <c r="BR259" s="1" t="s">
        <v>71</v>
      </c>
      <c r="BS259" s="1" t="s">
        <v>71</v>
      </c>
      <c r="BT259" s="1" t="s">
        <v>71</v>
      </c>
      <c r="BU259" s="1" t="s">
        <v>71</v>
      </c>
      <c r="BV259" s="1">
        <v>4.7</v>
      </c>
      <c r="BW259" s="1">
        <v>0.7</v>
      </c>
      <c r="BX259" s="1" t="s">
        <v>71</v>
      </c>
      <c r="BY259" s="1" t="s">
        <v>71</v>
      </c>
      <c r="BZ259" s="3">
        <v>1.7</v>
      </c>
      <c r="CA259" s="3">
        <v>0.4</v>
      </c>
      <c r="CB259" s="3">
        <f t="shared" si="71"/>
        <v>2.3611111111111112</v>
      </c>
      <c r="CC259" s="3">
        <f t="shared" si="74"/>
        <v>0.55555555555555569</v>
      </c>
      <c r="CD259" s="1">
        <f>ROUND(CB259/CB245+CC259/CC250,2)</f>
        <v>1.74</v>
      </c>
      <c r="CE259" s="1">
        <f>ROUND(CB259/CB248+CC259/CC250,2)</f>
        <v>1.52</v>
      </c>
      <c r="CF259" s="1">
        <f>ROUND(CB259/(1.2*CB248)+CC259/CC250,2)</f>
        <v>1.43</v>
      </c>
      <c r="CG259" s="1">
        <f>ROUND(CB259/CB245,2)</f>
        <v>0.74</v>
      </c>
      <c r="CH259" s="1">
        <f>ROUND(CB259/CB248,2)</f>
        <v>0.52</v>
      </c>
      <c r="CI259" s="1">
        <f>ROUND(CC259/CC250,2)</f>
        <v>1</v>
      </c>
      <c r="CJ259" s="1">
        <f>ROUND((CC259+CB259)/MAX(CC250,CB248),2)</f>
        <v>0.64</v>
      </c>
      <c r="CK259" s="1">
        <f>ROUND(LN((0.9*BZ259)/(0.1*CA259))/(BZ245/CA250),2)</f>
        <v>0.63</v>
      </c>
      <c r="CL259" s="1">
        <f>ROUND(LN((0.9*BZ259)/(0.1*CA259))/(BZ248/CA250),2)</f>
        <v>0.44</v>
      </c>
      <c r="CM259" s="1">
        <f>ROUND(LN((0.1*CA259)/(0.9*BZ259))/(CA250/BZ245),2)</f>
        <v>-20.95</v>
      </c>
      <c r="CN259" s="1">
        <f>ROUND(LN((0.1*CA259)/(0.9*BZ259))/(CA250/BZ248),2)</f>
        <v>-30.06</v>
      </c>
      <c r="CO259" s="5">
        <v>46</v>
      </c>
      <c r="CP259" s="5" t="s">
        <v>71</v>
      </c>
      <c r="CQ259" s="1">
        <v>34</v>
      </c>
      <c r="CR259" s="1">
        <v>121</v>
      </c>
      <c r="CS259" s="5">
        <v>34.799999999999997</v>
      </c>
      <c r="CT259" s="1">
        <v>8.1999999999999993</v>
      </c>
      <c r="CU259" s="1" t="s">
        <v>71</v>
      </c>
      <c r="CV259" s="1" t="s">
        <v>71</v>
      </c>
      <c r="CW259" s="1" t="s">
        <v>71</v>
      </c>
      <c r="CX259" t="e">
        <f>ROUND(CV259*#REF!/10,1)</f>
        <v>#VALUE!</v>
      </c>
      <c r="CY259" s="1">
        <v>9.9</v>
      </c>
      <c r="CZ259">
        <f>ROUND((10*CC259*CS259),0)</f>
        <v>193</v>
      </c>
      <c r="DA259">
        <f t="shared" si="85"/>
        <v>234</v>
      </c>
      <c r="DB259">
        <f>(CZ259+DA259)/MAX(DA248,CZ250)</f>
        <v>1.1236842105263158</v>
      </c>
      <c r="DC259" s="26">
        <v>9.9</v>
      </c>
      <c r="DD259">
        <f t="shared" si="72"/>
        <v>427</v>
      </c>
      <c r="DE259">
        <f t="shared" si="87"/>
        <v>0.61</v>
      </c>
      <c r="DF259">
        <f>ROUND(CZ259/MAX(DA248,CZ250), 2)</f>
        <v>0.51</v>
      </c>
    </row>
    <row r="260" spans="1:110" x14ac:dyDescent="0.15">
      <c r="A260" s="23">
        <v>2023</v>
      </c>
      <c r="B260" s="23" t="s">
        <v>49</v>
      </c>
      <c r="C260" s="23">
        <v>13</v>
      </c>
      <c r="D260" s="23">
        <v>18</v>
      </c>
      <c r="E260" s="23" t="s">
        <v>52</v>
      </c>
      <c r="F260" s="23" t="s">
        <v>55</v>
      </c>
      <c r="G260" s="23" t="s">
        <v>5</v>
      </c>
      <c r="H260" s="23">
        <v>1</v>
      </c>
      <c r="I260" s="23" t="s">
        <v>68</v>
      </c>
      <c r="J260" s="23" t="s">
        <v>57</v>
      </c>
      <c r="K260" s="24">
        <v>45083</v>
      </c>
      <c r="L260" s="1">
        <f>K260-K248</f>
        <v>-9</v>
      </c>
      <c r="M260" s="1">
        <f>K260-K251</f>
        <v>4</v>
      </c>
      <c r="N260" s="24">
        <v>45086</v>
      </c>
      <c r="O260" s="24">
        <v>45096</v>
      </c>
      <c r="P260" s="24">
        <v>45072</v>
      </c>
      <c r="Q260" s="1">
        <f>P260-P251</f>
        <v>0</v>
      </c>
      <c r="R260" s="1">
        <f>N260-N248</f>
        <v>3</v>
      </c>
      <c r="S260" s="1">
        <f>O260-O248</f>
        <v>3</v>
      </c>
      <c r="T260" s="1">
        <f t="shared" si="86"/>
        <v>3</v>
      </c>
      <c r="U260" s="1">
        <v>77</v>
      </c>
      <c r="V260" s="1">
        <v>87</v>
      </c>
      <c r="W260" s="1">
        <v>-10</v>
      </c>
      <c r="X260" s="1">
        <v>5</v>
      </c>
      <c r="Y260" s="1">
        <v>0</v>
      </c>
      <c r="Z260" s="1">
        <v>5</v>
      </c>
      <c r="AA260" s="1">
        <v>0</v>
      </c>
      <c r="AB260" s="1" t="s">
        <v>71</v>
      </c>
      <c r="AC260" s="1" t="s">
        <v>71</v>
      </c>
      <c r="AD260" s="25">
        <v>32</v>
      </c>
      <c r="AE260" s="25">
        <v>25</v>
      </c>
      <c r="AF260" s="25">
        <v>80.333333333333329</v>
      </c>
      <c r="AG260" s="25">
        <v>59</v>
      </c>
      <c r="AH260" s="1">
        <v>78</v>
      </c>
      <c r="AI260" s="1">
        <v>57</v>
      </c>
      <c r="AJ260" s="1">
        <v>3</v>
      </c>
      <c r="AK260" s="1">
        <v>0</v>
      </c>
      <c r="AL260" s="1">
        <v>0</v>
      </c>
      <c r="AM260" s="1">
        <v>0</v>
      </c>
      <c r="AN260" s="1">
        <v>3.5000000000000003E-2</v>
      </c>
      <c r="AO260" s="1">
        <v>0.05</v>
      </c>
      <c r="AP260" s="1">
        <v>1.7500000000000003E-3</v>
      </c>
      <c r="AQ260" s="1">
        <v>20</v>
      </c>
      <c r="AR260" s="1">
        <v>7.0000000000000007E-2</v>
      </c>
      <c r="AS260" s="1">
        <v>10</v>
      </c>
      <c r="AT260" s="1">
        <v>0.70000000000000007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0.1</v>
      </c>
      <c r="BB260" s="1">
        <v>5.0000000000000001E-4</v>
      </c>
      <c r="BC260" s="1">
        <v>5.0000000000000009E-5</v>
      </c>
      <c r="BD260" s="1">
        <v>0</v>
      </c>
      <c r="BE260" s="1">
        <v>0</v>
      </c>
      <c r="BF260" s="1">
        <v>0</v>
      </c>
      <c r="BG260" s="1">
        <v>0</v>
      </c>
      <c r="BH260" s="1">
        <v>15</v>
      </c>
      <c r="BI260" s="1">
        <v>10</v>
      </c>
      <c r="BJ260" s="1">
        <v>3</v>
      </c>
      <c r="BK260" s="1">
        <v>4.8000000000000001E-2</v>
      </c>
      <c r="BL260" s="1">
        <f t="shared" ref="BL260:BL322" si="88">BK260*100</f>
        <v>4.8</v>
      </c>
      <c r="BM260" s="1">
        <v>0.4</v>
      </c>
      <c r="BN260" s="1">
        <v>0.12</v>
      </c>
      <c r="BO260" s="1">
        <v>1</v>
      </c>
      <c r="BP260" s="1">
        <v>5</v>
      </c>
      <c r="BQ260" s="1" t="s">
        <v>71</v>
      </c>
      <c r="BR260" s="1" t="s">
        <v>71</v>
      </c>
      <c r="BS260" s="1" t="s">
        <v>71</v>
      </c>
      <c r="BT260" s="1" t="s">
        <v>71</v>
      </c>
      <c r="BU260" s="1" t="s">
        <v>71</v>
      </c>
      <c r="BV260" s="1">
        <v>6</v>
      </c>
      <c r="BW260" s="1">
        <v>1</v>
      </c>
      <c r="BX260" s="1" t="s">
        <v>71</v>
      </c>
      <c r="BY260" s="1" t="s">
        <v>71</v>
      </c>
      <c r="BZ260" s="3">
        <v>1.7</v>
      </c>
      <c r="CA260" s="3">
        <v>0.3</v>
      </c>
      <c r="CB260" s="3">
        <f t="shared" ref="CB260:CB320" si="89">BZ260/(1.5*4.8)*10</f>
        <v>2.3611111111111112</v>
      </c>
      <c r="CC260" s="3">
        <f t="shared" si="74"/>
        <v>0.41666666666666674</v>
      </c>
      <c r="CD260" s="1">
        <f>ROUND(CB260/CB245+CC260/CC251,2)</f>
        <v>1.07</v>
      </c>
      <c r="CE260" s="1">
        <f>ROUND(CB260/CB248+CC260/CC251,2)</f>
        <v>0.85</v>
      </c>
      <c r="CF260" s="1">
        <f>ROUND(CB260/(1.2*CB248)+CC260/CC251,2)</f>
        <v>0.76</v>
      </c>
      <c r="CG260" s="1">
        <f>ROUND(CB260/CB245,2)</f>
        <v>0.74</v>
      </c>
      <c r="CH260" s="1">
        <f>ROUND(CB260/CB248,2)</f>
        <v>0.52</v>
      </c>
      <c r="CI260" s="1">
        <f>ROUND(CC260/CC251,2)</f>
        <v>0.33</v>
      </c>
      <c r="CJ260" s="1">
        <f>ROUND((CC260+CB260)/MAX(CC251,CB248),2)</f>
        <v>0.61</v>
      </c>
      <c r="CK260" s="1">
        <f>ROUND(LN((0.9*BZ260)/(0.1*CA260))/(BZ245/CA251),2)</f>
        <v>1.54</v>
      </c>
      <c r="CL260" s="1">
        <f>ROUND(LN((0.9*BZ260)/(0.1*CA260))/(BZ248/CA251),2)</f>
        <v>1.07</v>
      </c>
      <c r="CM260" s="1">
        <f>ROUND(LN((0.1*CA260)/(0.9*BZ260))/(CA251/BZ245),2)</f>
        <v>-10.050000000000001</v>
      </c>
      <c r="CN260" s="1">
        <f>ROUND(LN((0.1*CA260)/(0.9*BZ260))/(CA251/BZ248),2)</f>
        <v>-14.42</v>
      </c>
      <c r="CO260" s="5">
        <v>46</v>
      </c>
      <c r="CP260" s="5">
        <v>75</v>
      </c>
      <c r="CQ260" s="1">
        <v>31</v>
      </c>
      <c r="CR260" s="1">
        <v>121</v>
      </c>
      <c r="CS260" s="5">
        <v>35</v>
      </c>
      <c r="CT260" s="1">
        <v>8.6</v>
      </c>
      <c r="CU260" s="1">
        <v>6.1</v>
      </c>
      <c r="CV260" s="1" t="s">
        <v>71</v>
      </c>
      <c r="CW260" s="1" t="s">
        <v>71</v>
      </c>
      <c r="CX260" t="e">
        <f>ROUND(CV260*#REF!/10,1)</f>
        <v>#VALUE!</v>
      </c>
      <c r="CY260" s="1">
        <v>10.7</v>
      </c>
      <c r="CZ260">
        <f>ROUND((10*CC260*CS260),0)</f>
        <v>146</v>
      </c>
      <c r="DA260">
        <f t="shared" si="85"/>
        <v>253</v>
      </c>
      <c r="DB260">
        <f>(CZ260+DA260)/MAX(DA248,CZ251)</f>
        <v>0.84713375796178347</v>
      </c>
      <c r="DC260" s="26">
        <v>10.7</v>
      </c>
      <c r="DD260">
        <f t="shared" ref="DD260:DD322" si="90">SUM(CZ260,DA260)</f>
        <v>399</v>
      </c>
      <c r="DE260">
        <f t="shared" si="87"/>
        <v>0.54</v>
      </c>
      <c r="DF260">
        <f>ROUND(CZ260/MAX(DA248,CZ251), 2)</f>
        <v>0.31</v>
      </c>
    </row>
    <row r="261" spans="1:110" ht="15" x14ac:dyDescent="0.15">
      <c r="A261" s="23">
        <v>2023</v>
      </c>
      <c r="B261" s="23" t="s">
        <v>49</v>
      </c>
      <c r="C261" s="23">
        <v>13</v>
      </c>
      <c r="D261" s="23">
        <v>19</v>
      </c>
      <c r="E261" s="23"/>
      <c r="F261" s="23"/>
      <c r="G261" s="23" t="s">
        <v>5</v>
      </c>
      <c r="H261" s="23">
        <v>1</v>
      </c>
      <c r="I261" s="23" t="s">
        <v>69</v>
      </c>
      <c r="J261" s="23" t="s">
        <v>57</v>
      </c>
      <c r="K261" s="24">
        <v>45070</v>
      </c>
      <c r="L261" s="1" t="s">
        <v>71</v>
      </c>
      <c r="M261" s="1" t="s">
        <v>71</v>
      </c>
      <c r="N261" s="1" t="s">
        <v>71</v>
      </c>
      <c r="O261" s="24" t="s">
        <v>71</v>
      </c>
      <c r="P261" s="24">
        <v>45077</v>
      </c>
      <c r="Q261" s="1" t="s">
        <v>71</v>
      </c>
      <c r="R261" s="1" t="s">
        <v>71</v>
      </c>
      <c r="S261" s="1" t="s">
        <v>71</v>
      </c>
      <c r="T261" s="1" t="s">
        <v>71</v>
      </c>
      <c r="U261" s="1" t="s">
        <v>71</v>
      </c>
      <c r="V261" s="1">
        <v>83</v>
      </c>
      <c r="W261" s="1" t="s">
        <v>71</v>
      </c>
      <c r="X261" s="1">
        <v>0</v>
      </c>
      <c r="Y261" s="1" t="s">
        <v>71</v>
      </c>
      <c r="Z261" s="1">
        <v>0</v>
      </c>
      <c r="AA261" s="1" t="s">
        <v>71</v>
      </c>
      <c r="AB261" s="1" t="s">
        <v>71</v>
      </c>
      <c r="AC261" s="1" t="s">
        <v>71</v>
      </c>
      <c r="AD261" s="25" t="s">
        <v>71</v>
      </c>
      <c r="AE261" s="25">
        <v>21</v>
      </c>
      <c r="AF261" s="25" t="s">
        <v>71</v>
      </c>
      <c r="AG261" s="25">
        <v>67.666666666666671</v>
      </c>
      <c r="AH261" s="1" t="s">
        <v>71</v>
      </c>
      <c r="AI261" s="1">
        <v>63</v>
      </c>
      <c r="AJ261" s="1" t="s">
        <v>71</v>
      </c>
      <c r="AK261" s="1" t="s">
        <v>71</v>
      </c>
      <c r="AL261" s="1" t="s">
        <v>71</v>
      </c>
      <c r="AM261" s="1" t="s">
        <v>71</v>
      </c>
      <c r="AN261" s="1" t="s">
        <v>71</v>
      </c>
      <c r="AO261" s="1" t="s">
        <v>71</v>
      </c>
      <c r="AP261" s="1" t="s">
        <v>71</v>
      </c>
      <c r="AQ261" s="1" t="s">
        <v>71</v>
      </c>
      <c r="AR261" s="1" t="s">
        <v>71</v>
      </c>
      <c r="AS261" s="1" t="s">
        <v>71</v>
      </c>
      <c r="AT261" s="1" t="s">
        <v>71</v>
      </c>
      <c r="AU261" s="1">
        <v>0</v>
      </c>
      <c r="AV261" s="1">
        <v>0</v>
      </c>
      <c r="AW261" s="1">
        <v>0</v>
      </c>
      <c r="AX261" s="1" t="s">
        <v>71</v>
      </c>
      <c r="AY261" s="1" t="s">
        <v>71</v>
      </c>
      <c r="AZ261" s="1">
        <v>0</v>
      </c>
      <c r="BA261" s="1" t="s">
        <v>71</v>
      </c>
      <c r="BB261" s="1" t="s">
        <v>71</v>
      </c>
      <c r="BC261" s="1" t="s">
        <v>71</v>
      </c>
      <c r="BD261" s="1" t="s">
        <v>71</v>
      </c>
      <c r="BE261" s="1" t="s">
        <v>71</v>
      </c>
      <c r="BF261" s="1" t="s">
        <v>71</v>
      </c>
      <c r="BG261" s="1" t="s">
        <v>71</v>
      </c>
      <c r="BH261" s="1">
        <v>45</v>
      </c>
      <c r="BI261" s="1">
        <v>2</v>
      </c>
      <c r="BJ261" s="1">
        <v>0.3</v>
      </c>
      <c r="BK261" s="1">
        <v>1.0500000000000001E-2</v>
      </c>
      <c r="BL261" s="1">
        <f t="shared" si="88"/>
        <v>1.05</v>
      </c>
      <c r="BM261" s="1">
        <v>0.15</v>
      </c>
      <c r="BN261" s="1">
        <v>7.0000000000000007E-2</v>
      </c>
      <c r="BO261" s="1">
        <v>1</v>
      </c>
      <c r="BP261" s="1">
        <v>5</v>
      </c>
      <c r="BQ261" s="1" t="s">
        <v>71</v>
      </c>
      <c r="BR261" s="1" t="s">
        <v>71</v>
      </c>
      <c r="BS261" s="1" t="s">
        <v>71</v>
      </c>
      <c r="BT261" s="1" t="s">
        <v>71</v>
      </c>
      <c r="BU261" s="1" t="s">
        <v>71</v>
      </c>
      <c r="BV261" s="1">
        <v>6</v>
      </c>
      <c r="BW261" s="1">
        <v>3.3</v>
      </c>
      <c r="BX261" s="1" t="s">
        <v>71</v>
      </c>
      <c r="BY261" s="1" t="s">
        <v>71</v>
      </c>
      <c r="BZ261" s="3" t="s">
        <v>71</v>
      </c>
      <c r="CA261" s="3" t="s">
        <v>71</v>
      </c>
      <c r="CB261" s="3" t="s">
        <v>71</v>
      </c>
      <c r="CC261" s="3" t="s">
        <v>71</v>
      </c>
      <c r="CD261" s="1" t="s">
        <v>71</v>
      </c>
      <c r="CE261" s="1" t="s">
        <v>71</v>
      </c>
      <c r="CF261" s="1" t="s">
        <v>71</v>
      </c>
      <c r="CG261" s="1" t="s">
        <v>71</v>
      </c>
      <c r="CH261" s="1" t="s">
        <v>71</v>
      </c>
      <c r="CI261" s="1" t="s">
        <v>71</v>
      </c>
      <c r="CJ261" s="1" t="s">
        <v>71</v>
      </c>
      <c r="CK261" s="1" t="s">
        <v>71</v>
      </c>
      <c r="CL261" s="3" t="s">
        <v>71</v>
      </c>
      <c r="CM261" s="3" t="s">
        <v>71</v>
      </c>
      <c r="CN261" s="3" t="s">
        <v>71</v>
      </c>
      <c r="CO261" s="5" t="s">
        <v>71</v>
      </c>
      <c r="CP261" s="5" t="s">
        <v>71</v>
      </c>
      <c r="CQ261" s="1" t="s">
        <v>71</v>
      </c>
      <c r="CR261" s="1">
        <v>135</v>
      </c>
      <c r="CS261" s="5">
        <v>32.799999999999997</v>
      </c>
      <c r="CT261" s="1" t="s">
        <v>71</v>
      </c>
      <c r="CU261" s="1">
        <v>7.5</v>
      </c>
      <c r="CV261" s="1" t="s">
        <v>71</v>
      </c>
      <c r="CW261" s="1" t="s">
        <v>71</v>
      </c>
      <c r="CX261" t="s">
        <v>71</v>
      </c>
      <c r="CY261" s="1" t="s">
        <v>71</v>
      </c>
      <c r="CZ261" t="s">
        <v>71</v>
      </c>
      <c r="DA261" t="s">
        <v>71</v>
      </c>
      <c r="DB261" t="s">
        <v>71</v>
      </c>
      <c r="DC261" s="26" t="s">
        <v>71</v>
      </c>
      <c r="DD261">
        <f t="shared" si="90"/>
        <v>0</v>
      </c>
      <c r="DE261" t="s">
        <v>71</v>
      </c>
      <c r="DF261" s="26" t="s">
        <v>71</v>
      </c>
    </row>
    <row r="262" spans="1:110" ht="15" x14ac:dyDescent="0.15">
      <c r="A262" s="23">
        <v>2023</v>
      </c>
      <c r="B262" s="23" t="s">
        <v>49</v>
      </c>
      <c r="C262" s="23">
        <v>13</v>
      </c>
      <c r="D262" s="23">
        <v>20</v>
      </c>
      <c r="E262" s="23"/>
      <c r="F262" s="23"/>
      <c r="G262" s="23" t="s">
        <v>5</v>
      </c>
      <c r="H262" s="23">
        <v>1</v>
      </c>
      <c r="I262" s="23" t="s">
        <v>70</v>
      </c>
      <c r="J262" s="23" t="s">
        <v>57</v>
      </c>
      <c r="K262" s="24">
        <v>45078</v>
      </c>
      <c r="L262" s="1" t="s">
        <v>71</v>
      </c>
      <c r="M262" s="1" t="s">
        <v>71</v>
      </c>
      <c r="N262" s="1" t="s">
        <v>71</v>
      </c>
      <c r="O262" s="24" t="s">
        <v>71</v>
      </c>
      <c r="P262" s="24">
        <v>45080</v>
      </c>
      <c r="Q262" s="1" t="s">
        <v>71</v>
      </c>
      <c r="R262" s="1" t="s">
        <v>71</v>
      </c>
      <c r="S262" s="1" t="s">
        <v>71</v>
      </c>
      <c r="T262" s="1" t="s">
        <v>71</v>
      </c>
      <c r="U262" s="1" t="s">
        <v>71</v>
      </c>
      <c r="V262" s="1">
        <v>81</v>
      </c>
      <c r="W262" s="1" t="s">
        <v>71</v>
      </c>
      <c r="X262" s="1">
        <v>0</v>
      </c>
      <c r="Y262" s="1" t="s">
        <v>71</v>
      </c>
      <c r="Z262" s="1">
        <v>0</v>
      </c>
      <c r="AA262" s="1" t="s">
        <v>71</v>
      </c>
      <c r="AB262" s="1" t="s">
        <v>71</v>
      </c>
      <c r="AC262" s="1" t="s">
        <v>71</v>
      </c>
      <c r="AD262" s="25" t="s">
        <v>71</v>
      </c>
      <c r="AE262" s="25">
        <v>13</v>
      </c>
      <c r="AF262" s="25" t="s">
        <v>71</v>
      </c>
      <c r="AG262" s="25">
        <v>64.333333333333329</v>
      </c>
      <c r="AH262" s="1" t="s">
        <v>71</v>
      </c>
      <c r="AI262" s="1">
        <v>62</v>
      </c>
      <c r="AJ262" s="1" t="s">
        <v>71</v>
      </c>
      <c r="AK262" s="1" t="s">
        <v>71</v>
      </c>
      <c r="AL262" s="1" t="s">
        <v>71</v>
      </c>
      <c r="AM262" s="1" t="s">
        <v>71</v>
      </c>
      <c r="AN262" s="1" t="s">
        <v>71</v>
      </c>
      <c r="AO262" s="1" t="s">
        <v>71</v>
      </c>
      <c r="AP262" s="1" t="s">
        <v>71</v>
      </c>
      <c r="AQ262" s="1" t="s">
        <v>71</v>
      </c>
      <c r="AR262" s="1" t="s">
        <v>71</v>
      </c>
      <c r="AS262" s="1" t="s">
        <v>71</v>
      </c>
      <c r="AT262" s="1" t="s">
        <v>71</v>
      </c>
      <c r="AU262" s="1">
        <v>0</v>
      </c>
      <c r="AV262" s="1">
        <v>0</v>
      </c>
      <c r="AW262" s="1">
        <v>0</v>
      </c>
      <c r="AX262" s="1" t="s">
        <v>71</v>
      </c>
      <c r="AY262" s="1" t="s">
        <v>71</v>
      </c>
      <c r="AZ262" s="1">
        <v>0.1</v>
      </c>
      <c r="BA262" s="1" t="s">
        <v>71</v>
      </c>
      <c r="BB262" s="1" t="s">
        <v>71</v>
      </c>
      <c r="BC262" s="1" t="s">
        <v>71</v>
      </c>
      <c r="BD262" s="1" t="s">
        <v>71</v>
      </c>
      <c r="BE262" s="1" t="s">
        <v>71</v>
      </c>
      <c r="BF262" s="1" t="s">
        <v>71</v>
      </c>
      <c r="BG262" s="1" t="s">
        <v>71</v>
      </c>
      <c r="BH262" s="1">
        <v>414</v>
      </c>
      <c r="BI262" s="1">
        <v>0</v>
      </c>
      <c r="BJ262" s="1">
        <v>0</v>
      </c>
      <c r="BK262" s="1">
        <v>1.2500000000000001E-2</v>
      </c>
      <c r="BL262" s="1">
        <f t="shared" si="88"/>
        <v>1.25</v>
      </c>
      <c r="BM262" s="1">
        <v>0.25</v>
      </c>
      <c r="BN262" s="1">
        <v>0.05</v>
      </c>
      <c r="BO262" s="1">
        <v>1</v>
      </c>
      <c r="BP262" s="1">
        <v>0</v>
      </c>
      <c r="BQ262" s="1" t="s">
        <v>71</v>
      </c>
      <c r="BR262" s="1" t="s">
        <v>71</v>
      </c>
      <c r="BS262" s="1" t="s">
        <v>71</v>
      </c>
      <c r="BT262" s="1" t="s">
        <v>71</v>
      </c>
      <c r="BU262" s="1" t="s">
        <v>71</v>
      </c>
      <c r="BV262" s="1">
        <v>9</v>
      </c>
      <c r="BW262" s="1">
        <v>0</v>
      </c>
      <c r="BX262" s="1" t="s">
        <v>71</v>
      </c>
      <c r="BY262" s="1" t="s">
        <v>71</v>
      </c>
      <c r="BZ262" s="3" t="s">
        <v>71</v>
      </c>
      <c r="CA262" s="3" t="s">
        <v>71</v>
      </c>
      <c r="CB262" s="3" t="s">
        <v>71</v>
      </c>
      <c r="CC262" s="3" t="s">
        <v>71</v>
      </c>
      <c r="CD262" s="1" t="s">
        <v>71</v>
      </c>
      <c r="CE262" s="1" t="s">
        <v>71</v>
      </c>
      <c r="CF262" s="1" t="s">
        <v>71</v>
      </c>
      <c r="CG262" s="1" t="s">
        <v>71</v>
      </c>
      <c r="CH262" s="1" t="s">
        <v>71</v>
      </c>
      <c r="CI262" s="1" t="s">
        <v>71</v>
      </c>
      <c r="CJ262" s="1" t="s">
        <v>71</v>
      </c>
      <c r="CK262" s="1" t="s">
        <v>71</v>
      </c>
      <c r="CL262" s="3" t="s">
        <v>71</v>
      </c>
      <c r="CM262" s="3" t="s">
        <v>71</v>
      </c>
      <c r="CN262" s="3" t="s">
        <v>71</v>
      </c>
      <c r="CO262" s="5" t="s">
        <v>71</v>
      </c>
      <c r="CP262" s="5">
        <v>39</v>
      </c>
      <c r="CQ262" s="1" t="s">
        <v>71</v>
      </c>
      <c r="CR262" s="1">
        <v>100</v>
      </c>
      <c r="CS262" s="5" t="s">
        <v>71</v>
      </c>
      <c r="CT262" s="1" t="s">
        <v>71</v>
      </c>
      <c r="CU262" s="1">
        <v>5</v>
      </c>
      <c r="CV262" s="1" t="s">
        <v>71</v>
      </c>
      <c r="CW262" s="1" t="s">
        <v>71</v>
      </c>
      <c r="CX262" t="s">
        <v>71</v>
      </c>
      <c r="CY262" s="1" t="s">
        <v>71</v>
      </c>
      <c r="CZ262" t="s">
        <v>71</v>
      </c>
      <c r="DA262" t="s">
        <v>71</v>
      </c>
      <c r="DB262" t="s">
        <v>71</v>
      </c>
      <c r="DC262" s="26" t="s">
        <v>71</v>
      </c>
      <c r="DD262">
        <f t="shared" si="90"/>
        <v>0</v>
      </c>
      <c r="DE262" t="s">
        <v>71</v>
      </c>
      <c r="DF262" s="26" t="s">
        <v>71</v>
      </c>
    </row>
    <row r="263" spans="1:110" ht="15" x14ac:dyDescent="0.15">
      <c r="A263" s="23">
        <v>2023</v>
      </c>
      <c r="B263" s="23" t="s">
        <v>49</v>
      </c>
      <c r="C263" s="23">
        <v>14</v>
      </c>
      <c r="D263" s="23">
        <v>1</v>
      </c>
      <c r="E263" s="23" t="s">
        <v>50</v>
      </c>
      <c r="F263" s="23"/>
      <c r="G263" s="23" t="s">
        <v>56</v>
      </c>
      <c r="H263" s="23">
        <v>2</v>
      </c>
      <c r="I263" s="23" t="s">
        <v>50</v>
      </c>
      <c r="J263" s="23" t="s">
        <v>57</v>
      </c>
      <c r="K263" s="1" t="s">
        <v>57</v>
      </c>
      <c r="L263" s="1" t="s">
        <v>71</v>
      </c>
      <c r="M263" s="1" t="s">
        <v>71</v>
      </c>
      <c r="N263" s="24">
        <v>45077</v>
      </c>
      <c r="O263" s="24">
        <v>45084</v>
      </c>
      <c r="P263" s="1" t="s">
        <v>71</v>
      </c>
      <c r="Q263" s="1" t="s">
        <v>71</v>
      </c>
      <c r="R263" s="1" t="s">
        <v>71</v>
      </c>
      <c r="S263" s="1" t="s">
        <v>71</v>
      </c>
      <c r="T263" s="1" t="s">
        <v>71</v>
      </c>
      <c r="U263" s="1">
        <v>87</v>
      </c>
      <c r="V263" s="1" t="s">
        <v>71</v>
      </c>
      <c r="W263" s="1" t="s">
        <v>71</v>
      </c>
      <c r="X263" s="1" t="s">
        <v>71</v>
      </c>
      <c r="Y263" s="1">
        <v>0</v>
      </c>
      <c r="Z263" s="1" t="s">
        <v>71</v>
      </c>
      <c r="AA263" s="1">
        <v>0</v>
      </c>
      <c r="AB263" s="1" t="s">
        <v>71</v>
      </c>
      <c r="AC263" s="1" t="s">
        <v>71</v>
      </c>
      <c r="AD263" s="25">
        <v>37</v>
      </c>
      <c r="AE263" s="25" t="s">
        <v>71</v>
      </c>
      <c r="AF263" s="25">
        <v>80.666666666666671</v>
      </c>
      <c r="AG263" s="25" t="s">
        <v>71</v>
      </c>
      <c r="AH263" s="1">
        <v>80</v>
      </c>
      <c r="AI263" s="1" t="s">
        <v>71</v>
      </c>
      <c r="AJ263" s="1">
        <v>1</v>
      </c>
      <c r="AK263" s="1">
        <v>0</v>
      </c>
      <c r="AL263" s="1">
        <v>0</v>
      </c>
      <c r="AM263" s="1">
        <v>0</v>
      </c>
      <c r="AN263" s="1">
        <v>0.01</v>
      </c>
      <c r="AO263" s="1">
        <v>0.01</v>
      </c>
      <c r="AP263" s="1">
        <v>1E-4</v>
      </c>
      <c r="AQ263" s="1">
        <v>20</v>
      </c>
      <c r="AR263" s="1">
        <v>0.05</v>
      </c>
      <c r="AS263" s="1">
        <v>5</v>
      </c>
      <c r="AT263" s="1">
        <v>0.25</v>
      </c>
      <c r="AU263" s="1" t="s">
        <v>71</v>
      </c>
      <c r="AV263" s="1" t="s">
        <v>71</v>
      </c>
      <c r="AW263" s="1" t="s">
        <v>71</v>
      </c>
      <c r="AX263" s="1">
        <v>0</v>
      </c>
      <c r="AY263" s="1">
        <v>0</v>
      </c>
      <c r="AZ263" s="1" t="s">
        <v>71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 t="s">
        <v>71</v>
      </c>
      <c r="BI263" s="1" t="s">
        <v>71</v>
      </c>
      <c r="BJ263" s="1" t="s">
        <v>71</v>
      </c>
      <c r="BK263" s="1">
        <v>3.0000000000000003E-4</v>
      </c>
      <c r="BL263" s="1">
        <f t="shared" si="88"/>
        <v>3.0000000000000002E-2</v>
      </c>
      <c r="BM263" s="1">
        <v>0.1</v>
      </c>
      <c r="BN263" s="1">
        <v>3.0000000000000001E-3</v>
      </c>
      <c r="BO263" s="1">
        <v>2</v>
      </c>
      <c r="BP263" s="1">
        <v>0</v>
      </c>
      <c r="BQ263" s="1" t="s">
        <v>71</v>
      </c>
      <c r="BR263" s="1" t="s">
        <v>71</v>
      </c>
      <c r="BS263" s="1" t="s">
        <v>71</v>
      </c>
      <c r="BT263" s="1" t="s">
        <v>71</v>
      </c>
      <c r="BU263" s="1" t="s">
        <v>71</v>
      </c>
      <c r="BV263" s="1" t="s">
        <v>71</v>
      </c>
      <c r="BW263" s="1" t="s">
        <v>71</v>
      </c>
      <c r="BX263" s="1" t="s">
        <v>71</v>
      </c>
      <c r="BY263" s="1" t="s">
        <v>71</v>
      </c>
      <c r="BZ263" s="3">
        <v>2.4</v>
      </c>
      <c r="CA263" s="3" t="s">
        <v>71</v>
      </c>
      <c r="CB263" s="3">
        <f t="shared" si="89"/>
        <v>3.3333333333333339</v>
      </c>
      <c r="CC263" s="1" t="s">
        <v>71</v>
      </c>
      <c r="CD263" s="1">
        <v>1</v>
      </c>
      <c r="CE263" s="1">
        <v>1</v>
      </c>
      <c r="CF263" s="1">
        <f>CE263</f>
        <v>1</v>
      </c>
      <c r="CG263" s="3" t="s">
        <v>71</v>
      </c>
      <c r="CH263" s="3" t="s">
        <v>71</v>
      </c>
      <c r="CI263" s="3" t="s">
        <v>71</v>
      </c>
      <c r="CJ263" s="3" t="s">
        <v>71</v>
      </c>
      <c r="CK263" s="3" t="s">
        <v>71</v>
      </c>
      <c r="CL263" s="3" t="s">
        <v>71</v>
      </c>
      <c r="CM263" s="3" t="s">
        <v>71</v>
      </c>
      <c r="CN263" s="3" t="s">
        <v>71</v>
      </c>
      <c r="CO263" s="5">
        <v>51</v>
      </c>
      <c r="CP263" s="5" t="s">
        <v>71</v>
      </c>
      <c r="CQ263" s="1">
        <v>43</v>
      </c>
      <c r="CR263" s="1" t="s">
        <v>71</v>
      </c>
      <c r="CS263" s="5" t="s">
        <v>71</v>
      </c>
      <c r="CT263" s="1">
        <v>9.1999999999999993</v>
      </c>
      <c r="CU263" s="1" t="s">
        <v>71</v>
      </c>
      <c r="CV263" s="1" t="s">
        <v>71</v>
      </c>
      <c r="CW263" s="1" t="s">
        <v>71</v>
      </c>
      <c r="CX263" s="1" t="s">
        <v>71</v>
      </c>
      <c r="CY263" s="1">
        <v>8.6</v>
      </c>
      <c r="CZ263" s="1" t="s">
        <v>71</v>
      </c>
      <c r="DA263">
        <f t="shared" ref="DA263:DA268" si="91">ROUND((CY263*CB263*10),0)</f>
        <v>287</v>
      </c>
      <c r="DB263" s="1" t="s">
        <v>71</v>
      </c>
      <c r="DC263" s="26">
        <v>8.6</v>
      </c>
      <c r="DD263">
        <f t="shared" si="90"/>
        <v>287</v>
      </c>
      <c r="DE263" s="1" t="s">
        <v>71</v>
      </c>
      <c r="DF263" s="1" t="s">
        <v>71</v>
      </c>
    </row>
    <row r="264" spans="1:110" ht="15" x14ac:dyDescent="0.15">
      <c r="A264" s="23">
        <v>2023</v>
      </c>
      <c r="B264" s="23" t="s">
        <v>49</v>
      </c>
      <c r="C264" s="23">
        <v>14</v>
      </c>
      <c r="D264" s="23">
        <v>2</v>
      </c>
      <c r="E264" s="23" t="s">
        <v>51</v>
      </c>
      <c r="F264" s="23"/>
      <c r="G264" s="23" t="s">
        <v>56</v>
      </c>
      <c r="H264" s="23">
        <v>2</v>
      </c>
      <c r="I264" s="23" t="s">
        <v>51</v>
      </c>
      <c r="J264" s="23" t="s">
        <v>57</v>
      </c>
      <c r="K264" s="1" t="s">
        <v>57</v>
      </c>
      <c r="L264" s="1" t="s">
        <v>71</v>
      </c>
      <c r="M264" s="1" t="s">
        <v>71</v>
      </c>
      <c r="N264" s="24">
        <v>45080</v>
      </c>
      <c r="O264" s="24">
        <v>45089</v>
      </c>
      <c r="P264" s="1" t="s">
        <v>71</v>
      </c>
      <c r="Q264" s="1" t="s">
        <v>71</v>
      </c>
      <c r="R264" s="1" t="s">
        <v>71</v>
      </c>
      <c r="S264" s="1" t="s">
        <v>71</v>
      </c>
      <c r="T264" s="1" t="s">
        <v>71</v>
      </c>
      <c r="U264" s="1">
        <v>85</v>
      </c>
      <c r="V264" s="1" t="s">
        <v>71</v>
      </c>
      <c r="W264" s="1" t="s">
        <v>71</v>
      </c>
      <c r="X264" s="1" t="s">
        <v>71</v>
      </c>
      <c r="Y264" s="1">
        <v>0</v>
      </c>
      <c r="Z264" s="1" t="s">
        <v>71</v>
      </c>
      <c r="AA264" s="1">
        <v>0</v>
      </c>
      <c r="AB264" s="1" t="s">
        <v>71</v>
      </c>
      <c r="AC264" s="1" t="s">
        <v>71</v>
      </c>
      <c r="AD264" s="25">
        <v>34</v>
      </c>
      <c r="AE264" s="25" t="s">
        <v>71</v>
      </c>
      <c r="AF264" s="25">
        <v>68.666666666666671</v>
      </c>
      <c r="AG264" s="25" t="s">
        <v>71</v>
      </c>
      <c r="AH264" s="1">
        <v>67</v>
      </c>
      <c r="AI264" s="1" t="s">
        <v>71</v>
      </c>
      <c r="AJ264" s="1">
        <v>0.3</v>
      </c>
      <c r="AK264" s="1">
        <v>0</v>
      </c>
      <c r="AL264" s="1">
        <v>0</v>
      </c>
      <c r="AM264" s="1">
        <v>0</v>
      </c>
      <c r="AN264" s="1">
        <v>7.0000000000000007E-2</v>
      </c>
      <c r="AO264" s="1">
        <v>0.03</v>
      </c>
      <c r="AP264" s="1">
        <v>2.1000000000000003E-3</v>
      </c>
      <c r="AQ264" s="1">
        <v>19</v>
      </c>
      <c r="AR264" s="1">
        <v>0.03</v>
      </c>
      <c r="AS264" s="1">
        <v>7</v>
      </c>
      <c r="AT264" s="1">
        <v>0.21</v>
      </c>
      <c r="AU264" s="1" t="s">
        <v>71</v>
      </c>
      <c r="AV264" s="1" t="s">
        <v>71</v>
      </c>
      <c r="AW264" s="1" t="s">
        <v>71</v>
      </c>
      <c r="AX264" s="1">
        <v>0</v>
      </c>
      <c r="AY264" s="1">
        <v>0</v>
      </c>
      <c r="AZ264" s="1" t="s">
        <v>71</v>
      </c>
      <c r="BA264" s="1">
        <v>5.0000000000000001E-3</v>
      </c>
      <c r="BB264" s="1">
        <v>5.0000000000000001E-4</v>
      </c>
      <c r="BC264" s="1">
        <v>2.5000000000000002E-6</v>
      </c>
      <c r="BD264" s="1">
        <v>0</v>
      </c>
      <c r="BE264" s="1">
        <v>0</v>
      </c>
      <c r="BF264" s="1">
        <v>0</v>
      </c>
      <c r="BG264" s="1">
        <v>0</v>
      </c>
      <c r="BH264" s="1" t="s">
        <v>71</v>
      </c>
      <c r="BI264" s="1" t="s">
        <v>71</v>
      </c>
      <c r="BJ264" s="1" t="s">
        <v>71</v>
      </c>
      <c r="BK264" s="1">
        <v>5.0000000000000002E-5</v>
      </c>
      <c r="BL264" s="1">
        <f t="shared" si="88"/>
        <v>5.0000000000000001E-3</v>
      </c>
      <c r="BM264" s="1">
        <v>0.01</v>
      </c>
      <c r="BN264" s="1">
        <v>5.0000000000000001E-3</v>
      </c>
      <c r="BO264" s="1">
        <v>2</v>
      </c>
      <c r="BP264" s="1">
        <v>0</v>
      </c>
      <c r="BQ264" s="1" t="s">
        <v>71</v>
      </c>
      <c r="BR264" s="1" t="s">
        <v>71</v>
      </c>
      <c r="BS264" s="1" t="s">
        <v>71</v>
      </c>
      <c r="BT264" s="1" t="s">
        <v>71</v>
      </c>
      <c r="BU264" s="1" t="s">
        <v>71</v>
      </c>
      <c r="BV264" s="1" t="s">
        <v>71</v>
      </c>
      <c r="BW264" s="1" t="s">
        <v>71</v>
      </c>
      <c r="BX264" s="1" t="s">
        <v>71</v>
      </c>
      <c r="BY264" s="1" t="s">
        <v>71</v>
      </c>
      <c r="BZ264" s="3">
        <v>2.8</v>
      </c>
      <c r="CA264" s="3" t="s">
        <v>71</v>
      </c>
      <c r="CB264" s="3">
        <f t="shared" si="89"/>
        <v>3.8888888888888888</v>
      </c>
      <c r="CC264" s="1" t="s">
        <v>71</v>
      </c>
      <c r="CD264" s="1">
        <v>1</v>
      </c>
      <c r="CE264" s="1">
        <v>1</v>
      </c>
      <c r="CF264" s="1">
        <f t="shared" ref="CF264:CF277" si="92">CE264</f>
        <v>1</v>
      </c>
      <c r="CG264" s="3" t="s">
        <v>71</v>
      </c>
      <c r="CH264" s="3" t="s">
        <v>71</v>
      </c>
      <c r="CI264" s="3" t="s">
        <v>71</v>
      </c>
      <c r="CJ264" s="3" t="s">
        <v>71</v>
      </c>
      <c r="CK264" s="3" t="s">
        <v>71</v>
      </c>
      <c r="CL264" s="3" t="s">
        <v>71</v>
      </c>
      <c r="CM264" s="3" t="s">
        <v>71</v>
      </c>
      <c r="CN264" s="3" t="s">
        <v>71</v>
      </c>
      <c r="CO264" s="5">
        <v>51</v>
      </c>
      <c r="CP264" s="5" t="s">
        <v>71</v>
      </c>
      <c r="CQ264" s="1">
        <v>34</v>
      </c>
      <c r="CR264" s="1" t="s">
        <v>71</v>
      </c>
      <c r="CS264" s="5" t="s">
        <v>71</v>
      </c>
      <c r="CT264" s="1">
        <v>9.1999999999999993</v>
      </c>
      <c r="CU264" s="1" t="s">
        <v>71</v>
      </c>
      <c r="CV264" s="1" t="s">
        <v>71</v>
      </c>
      <c r="CW264" s="1" t="s">
        <v>71</v>
      </c>
      <c r="CX264" s="1" t="s">
        <v>71</v>
      </c>
      <c r="CY264" s="1">
        <v>7.7</v>
      </c>
      <c r="CZ264" s="1" t="s">
        <v>71</v>
      </c>
      <c r="DA264">
        <f t="shared" si="91"/>
        <v>299</v>
      </c>
      <c r="DB264" s="1" t="s">
        <v>71</v>
      </c>
      <c r="DC264" s="26">
        <v>7.7</v>
      </c>
      <c r="DD264">
        <f t="shared" si="90"/>
        <v>299</v>
      </c>
      <c r="DE264" s="1" t="s">
        <v>71</v>
      </c>
      <c r="DF264" s="1" t="s">
        <v>71</v>
      </c>
    </row>
    <row r="265" spans="1:110" ht="15" x14ac:dyDescent="0.15">
      <c r="A265" s="23">
        <v>2023</v>
      </c>
      <c r="B265" s="23" t="s">
        <v>49</v>
      </c>
      <c r="C265" s="23">
        <v>14</v>
      </c>
      <c r="D265" s="23">
        <v>3</v>
      </c>
      <c r="E265" s="23" t="s">
        <v>52</v>
      </c>
      <c r="F265" s="23"/>
      <c r="G265" s="23" t="s">
        <v>56</v>
      </c>
      <c r="H265" s="23">
        <v>2</v>
      </c>
      <c r="I265" s="23" t="s">
        <v>52</v>
      </c>
      <c r="J265" s="23" t="s">
        <v>57</v>
      </c>
      <c r="K265" s="1" t="s">
        <v>57</v>
      </c>
      <c r="L265" s="1" t="s">
        <v>71</v>
      </c>
      <c r="M265" s="1" t="s">
        <v>71</v>
      </c>
      <c r="N265" s="24">
        <v>45082</v>
      </c>
      <c r="O265" s="24">
        <v>45091</v>
      </c>
      <c r="P265" s="1" t="s">
        <v>71</v>
      </c>
      <c r="Q265" s="1" t="s">
        <v>71</v>
      </c>
      <c r="R265" s="1" t="s">
        <v>71</v>
      </c>
      <c r="S265" s="1" t="s">
        <v>71</v>
      </c>
      <c r="T265" s="1" t="s">
        <v>71</v>
      </c>
      <c r="U265" s="1">
        <v>85</v>
      </c>
      <c r="V265" s="1" t="s">
        <v>71</v>
      </c>
      <c r="W265" s="1" t="s">
        <v>71</v>
      </c>
      <c r="X265" s="1" t="s">
        <v>71</v>
      </c>
      <c r="Y265" s="1">
        <v>0</v>
      </c>
      <c r="Z265" s="1" t="s">
        <v>71</v>
      </c>
      <c r="AA265" s="1">
        <v>0</v>
      </c>
      <c r="AB265" s="1" t="s">
        <v>71</v>
      </c>
      <c r="AC265" s="1" t="s">
        <v>71</v>
      </c>
      <c r="AD265" s="25">
        <v>31</v>
      </c>
      <c r="AE265" s="25" t="s">
        <v>71</v>
      </c>
      <c r="AF265" s="25">
        <v>65</v>
      </c>
      <c r="AG265" s="25" t="s">
        <v>71</v>
      </c>
      <c r="AH265" s="1">
        <v>66</v>
      </c>
      <c r="AI265" s="1" t="s">
        <v>71</v>
      </c>
      <c r="AJ265" s="1">
        <v>2.7</v>
      </c>
      <c r="AK265" s="1">
        <v>0</v>
      </c>
      <c r="AL265" s="1">
        <v>0</v>
      </c>
      <c r="AM265" s="1">
        <v>0</v>
      </c>
      <c r="AN265" s="1">
        <v>7.0000000000000007E-2</v>
      </c>
      <c r="AO265" s="1">
        <v>0.03</v>
      </c>
      <c r="AP265" s="1">
        <v>2.1000000000000003E-3</v>
      </c>
      <c r="AQ265" s="1">
        <v>24</v>
      </c>
      <c r="AR265" s="1">
        <v>0.05</v>
      </c>
      <c r="AS265" s="1">
        <v>10</v>
      </c>
      <c r="AT265" s="1">
        <v>0.5</v>
      </c>
      <c r="AU265" s="1" t="s">
        <v>71</v>
      </c>
      <c r="AV265" s="1" t="s">
        <v>71</v>
      </c>
      <c r="AW265" s="1" t="s">
        <v>71</v>
      </c>
      <c r="AX265" s="1">
        <v>0</v>
      </c>
      <c r="AY265" s="1">
        <v>0</v>
      </c>
      <c r="AZ265" s="1" t="s">
        <v>71</v>
      </c>
      <c r="BA265" s="1">
        <v>5.0000000000000001E-3</v>
      </c>
      <c r="BB265" s="1">
        <v>5.0000000000000002E-5</v>
      </c>
      <c r="BC265" s="1">
        <v>2.4999999999999999E-7</v>
      </c>
      <c r="BD265" s="1">
        <v>0</v>
      </c>
      <c r="BE265" s="1">
        <v>0</v>
      </c>
      <c r="BF265" s="1">
        <v>0</v>
      </c>
      <c r="BG265" s="1">
        <v>0</v>
      </c>
      <c r="BH265" s="1" t="s">
        <v>71</v>
      </c>
      <c r="BI265" s="1" t="s">
        <v>71</v>
      </c>
      <c r="BJ265" s="1" t="s">
        <v>71</v>
      </c>
      <c r="BK265" s="1">
        <v>4.0000000000000003E-5</v>
      </c>
      <c r="BL265" s="1">
        <f t="shared" si="88"/>
        <v>4.0000000000000001E-3</v>
      </c>
      <c r="BM265" s="1">
        <v>0.02</v>
      </c>
      <c r="BN265" s="1">
        <v>2E-3</v>
      </c>
      <c r="BO265" s="1">
        <v>2</v>
      </c>
      <c r="BP265" s="1">
        <v>0</v>
      </c>
      <c r="BQ265" s="1" t="s">
        <v>71</v>
      </c>
      <c r="BR265" s="1" t="s">
        <v>71</v>
      </c>
      <c r="BS265" s="1" t="s">
        <v>71</v>
      </c>
      <c r="BT265" s="1" t="s">
        <v>71</v>
      </c>
      <c r="BU265" s="1" t="s">
        <v>71</v>
      </c>
      <c r="BV265" s="1" t="s">
        <v>71</v>
      </c>
      <c r="BW265" s="1" t="s">
        <v>71</v>
      </c>
      <c r="BX265" s="1" t="s">
        <v>71</v>
      </c>
      <c r="BY265" s="1" t="s">
        <v>71</v>
      </c>
      <c r="BZ265" s="3">
        <v>2.5</v>
      </c>
      <c r="CA265" s="3" t="s">
        <v>71</v>
      </c>
      <c r="CB265" s="3">
        <f t="shared" si="89"/>
        <v>3.4722222222222228</v>
      </c>
      <c r="CC265" s="1" t="s">
        <v>71</v>
      </c>
      <c r="CD265" s="1">
        <v>1</v>
      </c>
      <c r="CE265" s="1">
        <v>1</v>
      </c>
      <c r="CF265" s="1">
        <f t="shared" si="92"/>
        <v>1</v>
      </c>
      <c r="CG265" s="3" t="s">
        <v>71</v>
      </c>
      <c r="CH265" s="3" t="s">
        <v>71</v>
      </c>
      <c r="CI265" s="3" t="s">
        <v>71</v>
      </c>
      <c r="CJ265" s="3" t="s">
        <v>71</v>
      </c>
      <c r="CK265" s="3" t="s">
        <v>71</v>
      </c>
      <c r="CL265" s="3" t="s">
        <v>71</v>
      </c>
      <c r="CM265" s="3" t="s">
        <v>71</v>
      </c>
      <c r="CN265" s="3" t="s">
        <v>71</v>
      </c>
      <c r="CO265" s="5">
        <v>49</v>
      </c>
      <c r="CP265" s="5" t="s">
        <v>71</v>
      </c>
      <c r="CQ265" s="1">
        <v>32</v>
      </c>
      <c r="CR265" s="1" t="s">
        <v>71</v>
      </c>
      <c r="CS265" s="5" t="s">
        <v>71</v>
      </c>
      <c r="CT265" s="1">
        <v>8.9</v>
      </c>
      <c r="CU265" s="1" t="s">
        <v>71</v>
      </c>
      <c r="CV265" s="1" t="s">
        <v>71</v>
      </c>
      <c r="CW265" s="1" t="s">
        <v>71</v>
      </c>
      <c r="CX265" s="1" t="s">
        <v>71</v>
      </c>
      <c r="CY265" s="1">
        <v>7.8</v>
      </c>
      <c r="CZ265" s="1" t="s">
        <v>71</v>
      </c>
      <c r="DA265">
        <f t="shared" si="91"/>
        <v>271</v>
      </c>
      <c r="DB265" s="1" t="s">
        <v>71</v>
      </c>
      <c r="DC265" s="26">
        <v>7.8</v>
      </c>
      <c r="DD265">
        <f t="shared" si="90"/>
        <v>271</v>
      </c>
      <c r="DE265" s="1" t="s">
        <v>71</v>
      </c>
      <c r="DF265" s="1" t="s">
        <v>71</v>
      </c>
    </row>
    <row r="266" spans="1:110" ht="15" x14ac:dyDescent="0.15">
      <c r="A266" s="23">
        <v>2023</v>
      </c>
      <c r="B266" s="23" t="s">
        <v>49</v>
      </c>
      <c r="C266" s="23">
        <v>14</v>
      </c>
      <c r="D266" s="23">
        <v>4</v>
      </c>
      <c r="E266" s="23" t="s">
        <v>50</v>
      </c>
      <c r="F266" s="23"/>
      <c r="G266" s="23" t="s">
        <v>56</v>
      </c>
      <c r="H266" s="23">
        <v>2</v>
      </c>
      <c r="I266" s="23" t="s">
        <v>50</v>
      </c>
      <c r="J266" s="23" t="s">
        <v>58</v>
      </c>
      <c r="K266" s="1" t="s">
        <v>57</v>
      </c>
      <c r="L266" s="1" t="s">
        <v>71</v>
      </c>
      <c r="M266" s="1" t="s">
        <v>71</v>
      </c>
      <c r="N266" s="24">
        <v>45077</v>
      </c>
      <c r="O266" s="24">
        <v>45084</v>
      </c>
      <c r="P266" s="1" t="s">
        <v>71</v>
      </c>
      <c r="Q266" s="1" t="s">
        <v>71</v>
      </c>
      <c r="R266" s="1" t="s">
        <v>71</v>
      </c>
      <c r="S266" s="1" t="s">
        <v>71</v>
      </c>
      <c r="T266" s="1" t="s">
        <v>71</v>
      </c>
      <c r="U266" s="1">
        <v>87</v>
      </c>
      <c r="V266" s="1" t="s">
        <v>71</v>
      </c>
      <c r="W266" s="1" t="s">
        <v>71</v>
      </c>
      <c r="X266" s="1" t="s">
        <v>71</v>
      </c>
      <c r="Y266" s="1">
        <v>0</v>
      </c>
      <c r="Z266" s="1" t="s">
        <v>71</v>
      </c>
      <c r="AA266" s="1">
        <v>0</v>
      </c>
      <c r="AB266" s="1" t="s">
        <v>71</v>
      </c>
      <c r="AC266" s="1" t="s">
        <v>71</v>
      </c>
      <c r="AD266" s="25">
        <v>47</v>
      </c>
      <c r="AE266" s="25" t="s">
        <v>71</v>
      </c>
      <c r="AF266" s="25">
        <v>102.66666666666667</v>
      </c>
      <c r="AG266" s="25" t="s">
        <v>71</v>
      </c>
      <c r="AH266" s="1">
        <v>101</v>
      </c>
      <c r="AI266" s="1" t="s">
        <v>71</v>
      </c>
      <c r="AJ266" s="1">
        <v>2.2999999999999998</v>
      </c>
      <c r="AK266" s="1">
        <v>0</v>
      </c>
      <c r="AL266" s="1">
        <v>0</v>
      </c>
      <c r="AM266" s="1">
        <v>0</v>
      </c>
      <c r="AN266" s="1">
        <v>0.12</v>
      </c>
      <c r="AO266" s="1">
        <v>0.1</v>
      </c>
      <c r="AP266" s="1">
        <v>1.2E-2</v>
      </c>
      <c r="AQ266" s="1">
        <v>25</v>
      </c>
      <c r="AR266" s="1">
        <v>0.05</v>
      </c>
      <c r="AS266" s="1">
        <v>10</v>
      </c>
      <c r="AT266" s="1">
        <v>0.5</v>
      </c>
      <c r="AU266" s="1" t="s">
        <v>71</v>
      </c>
      <c r="AV266" s="1" t="s">
        <v>71</v>
      </c>
      <c r="AW266" s="1" t="s">
        <v>71</v>
      </c>
      <c r="AX266" s="1">
        <v>0</v>
      </c>
      <c r="AY266" s="1">
        <v>0</v>
      </c>
      <c r="AZ266" s="1" t="s">
        <v>71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 t="s">
        <v>71</v>
      </c>
      <c r="BI266" s="1" t="s">
        <v>71</v>
      </c>
      <c r="BJ266" s="1" t="s">
        <v>71</v>
      </c>
      <c r="BK266" s="1">
        <v>1.4999999999999999E-4</v>
      </c>
      <c r="BL266" s="1">
        <f t="shared" si="88"/>
        <v>1.4999999999999999E-2</v>
      </c>
      <c r="BM266" s="1">
        <v>0.03</v>
      </c>
      <c r="BN266" s="1">
        <v>5.0000000000000001E-3</v>
      </c>
      <c r="BO266" s="1">
        <v>2</v>
      </c>
      <c r="BP266" s="1">
        <v>0</v>
      </c>
      <c r="BQ266" s="1" t="s">
        <v>71</v>
      </c>
      <c r="BR266" s="1" t="s">
        <v>71</v>
      </c>
      <c r="BS266" s="1" t="s">
        <v>71</v>
      </c>
      <c r="BT266" s="1" t="s">
        <v>71</v>
      </c>
      <c r="BU266" s="1" t="s">
        <v>71</v>
      </c>
      <c r="BV266" s="1" t="s">
        <v>71</v>
      </c>
      <c r="BW266" s="1" t="s">
        <v>71</v>
      </c>
      <c r="BX266" s="1" t="s">
        <v>71</v>
      </c>
      <c r="BY266" s="1" t="s">
        <v>71</v>
      </c>
      <c r="BZ266" s="3">
        <v>3.7</v>
      </c>
      <c r="CA266" s="3" t="s">
        <v>71</v>
      </c>
      <c r="CB266" s="3">
        <f t="shared" si="89"/>
        <v>5.1388888888888893</v>
      </c>
      <c r="CC266" s="1" t="s">
        <v>71</v>
      </c>
      <c r="CD266" s="1">
        <v>1</v>
      </c>
      <c r="CE266" s="1">
        <v>1</v>
      </c>
      <c r="CF266" s="1">
        <f t="shared" si="92"/>
        <v>1</v>
      </c>
      <c r="CG266" s="3" t="s">
        <v>71</v>
      </c>
      <c r="CH266" s="3" t="s">
        <v>71</v>
      </c>
      <c r="CI266" s="3" t="s">
        <v>71</v>
      </c>
      <c r="CJ266" s="3" t="s">
        <v>71</v>
      </c>
      <c r="CK266" s="3" t="s">
        <v>71</v>
      </c>
      <c r="CL266" s="3" t="s">
        <v>71</v>
      </c>
      <c r="CM266" s="3" t="s">
        <v>71</v>
      </c>
      <c r="CN266" s="3" t="s">
        <v>71</v>
      </c>
      <c r="CO266" s="5">
        <v>52</v>
      </c>
      <c r="CP266" s="5" t="s">
        <v>71</v>
      </c>
      <c r="CQ266" s="1">
        <v>39</v>
      </c>
      <c r="CR266" s="1" t="s">
        <v>71</v>
      </c>
      <c r="CS266" s="5" t="s">
        <v>71</v>
      </c>
      <c r="CT266" s="1">
        <v>9</v>
      </c>
      <c r="CU266" s="1" t="s">
        <v>71</v>
      </c>
      <c r="CV266" s="1" t="s">
        <v>71</v>
      </c>
      <c r="CW266" s="1" t="s">
        <v>71</v>
      </c>
      <c r="CX266" s="1" t="s">
        <v>71</v>
      </c>
      <c r="CY266" s="1">
        <v>8.6999999999999993</v>
      </c>
      <c r="CZ266" s="1" t="s">
        <v>71</v>
      </c>
      <c r="DA266">
        <f t="shared" si="91"/>
        <v>447</v>
      </c>
      <c r="DB266" s="1" t="s">
        <v>71</v>
      </c>
      <c r="DC266" s="26">
        <v>8.6999999999999993</v>
      </c>
      <c r="DD266">
        <f t="shared" si="90"/>
        <v>447</v>
      </c>
      <c r="DE266" s="1" t="s">
        <v>71</v>
      </c>
      <c r="DF266" s="1" t="s">
        <v>71</v>
      </c>
    </row>
    <row r="267" spans="1:110" ht="15" x14ac:dyDescent="0.15">
      <c r="A267" s="23">
        <v>2023</v>
      </c>
      <c r="B267" s="23" t="s">
        <v>49</v>
      </c>
      <c r="C267" s="23">
        <v>14</v>
      </c>
      <c r="D267" s="23">
        <v>5</v>
      </c>
      <c r="E267" s="23" t="s">
        <v>51</v>
      </c>
      <c r="F267" s="23"/>
      <c r="G267" s="23" t="s">
        <v>56</v>
      </c>
      <c r="H267" s="23">
        <v>2</v>
      </c>
      <c r="I267" s="23" t="s">
        <v>51</v>
      </c>
      <c r="J267" s="23" t="s">
        <v>58</v>
      </c>
      <c r="K267" s="24">
        <v>45087</v>
      </c>
      <c r="L267" s="1" t="s">
        <v>71</v>
      </c>
      <c r="M267" s="1" t="s">
        <v>71</v>
      </c>
      <c r="N267" s="24">
        <v>45082</v>
      </c>
      <c r="O267" s="24">
        <v>45089</v>
      </c>
      <c r="P267" s="1" t="s">
        <v>71</v>
      </c>
      <c r="Q267" s="1" t="s">
        <v>71</v>
      </c>
      <c r="R267" s="1" t="s">
        <v>71</v>
      </c>
      <c r="S267" s="1" t="s">
        <v>71</v>
      </c>
      <c r="T267" s="1" t="s">
        <v>71</v>
      </c>
      <c r="U267" s="1">
        <v>79</v>
      </c>
      <c r="V267" s="1" t="s">
        <v>71</v>
      </c>
      <c r="W267" s="1" t="s">
        <v>71</v>
      </c>
      <c r="X267" s="1" t="s">
        <v>71</v>
      </c>
      <c r="Y267" s="1">
        <v>0</v>
      </c>
      <c r="Z267" s="1" t="s">
        <v>71</v>
      </c>
      <c r="AA267" s="1">
        <v>0</v>
      </c>
      <c r="AB267" s="1" t="s">
        <v>71</v>
      </c>
      <c r="AC267" s="1" t="s">
        <v>71</v>
      </c>
      <c r="AD267" s="25">
        <v>41</v>
      </c>
      <c r="AE267" s="25" t="s">
        <v>71</v>
      </c>
      <c r="AF267" s="25">
        <v>98.333333333333329</v>
      </c>
      <c r="AG267" s="25" t="s">
        <v>71</v>
      </c>
      <c r="AH267" s="1">
        <v>90</v>
      </c>
      <c r="AI267" s="1" t="s">
        <v>71</v>
      </c>
      <c r="AJ267" s="1">
        <v>2.2999999999999998</v>
      </c>
      <c r="AK267" s="1">
        <v>0</v>
      </c>
      <c r="AL267" s="1">
        <v>0</v>
      </c>
      <c r="AM267" s="1">
        <v>0</v>
      </c>
      <c r="AN267" s="1">
        <v>0.02</v>
      </c>
      <c r="AO267" s="1">
        <v>0.02</v>
      </c>
      <c r="AP267" s="1">
        <v>4.0000000000000002E-4</v>
      </c>
      <c r="AQ267" s="1">
        <v>46</v>
      </c>
      <c r="AR267" s="1">
        <v>0.01</v>
      </c>
      <c r="AS267" s="1">
        <v>5</v>
      </c>
      <c r="AT267" s="1">
        <v>0.05</v>
      </c>
      <c r="AU267" s="1" t="s">
        <v>71</v>
      </c>
      <c r="AV267" s="1" t="s">
        <v>71</v>
      </c>
      <c r="AW267" s="1" t="s">
        <v>71</v>
      </c>
      <c r="AX267" s="1">
        <v>0</v>
      </c>
      <c r="AY267" s="1">
        <v>0</v>
      </c>
      <c r="AZ267" s="1" t="s">
        <v>71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 t="s">
        <v>71</v>
      </c>
      <c r="BI267" s="1" t="s">
        <v>71</v>
      </c>
      <c r="BJ267" s="1" t="s">
        <v>71</v>
      </c>
      <c r="BK267" s="1">
        <v>1.0000000000000001E-5</v>
      </c>
      <c r="BL267" s="1">
        <f t="shared" si="88"/>
        <v>1E-3</v>
      </c>
      <c r="BM267" s="1">
        <v>0.01</v>
      </c>
      <c r="BN267" s="1">
        <v>1E-3</v>
      </c>
      <c r="BO267" s="1">
        <v>1</v>
      </c>
      <c r="BP267" s="1">
        <v>0</v>
      </c>
      <c r="BQ267" s="1" t="s">
        <v>71</v>
      </c>
      <c r="BR267" s="1" t="s">
        <v>71</v>
      </c>
      <c r="BS267" s="1" t="s">
        <v>71</v>
      </c>
      <c r="BT267" s="1" t="s">
        <v>71</v>
      </c>
      <c r="BU267" s="1" t="s">
        <v>71</v>
      </c>
      <c r="BV267" s="1" t="s">
        <v>71</v>
      </c>
      <c r="BW267" s="1" t="s">
        <v>71</v>
      </c>
      <c r="BX267" s="1" t="s">
        <v>71</v>
      </c>
      <c r="BY267" s="1" t="s">
        <v>71</v>
      </c>
      <c r="BZ267" s="3">
        <v>4.2</v>
      </c>
      <c r="CA267" s="3" t="s">
        <v>71</v>
      </c>
      <c r="CB267" s="3">
        <f t="shared" si="89"/>
        <v>5.8333333333333339</v>
      </c>
      <c r="CC267" s="1" t="s">
        <v>71</v>
      </c>
      <c r="CD267" s="1">
        <v>1</v>
      </c>
      <c r="CE267" s="1">
        <v>1</v>
      </c>
      <c r="CF267" s="1">
        <f t="shared" si="92"/>
        <v>1</v>
      </c>
      <c r="CG267" s="3" t="s">
        <v>71</v>
      </c>
      <c r="CH267" s="3" t="s">
        <v>71</v>
      </c>
      <c r="CI267" s="3" t="s">
        <v>71</v>
      </c>
      <c r="CJ267" s="3" t="s">
        <v>71</v>
      </c>
      <c r="CK267" s="3" t="s">
        <v>71</v>
      </c>
      <c r="CL267" s="3" t="s">
        <v>71</v>
      </c>
      <c r="CM267" s="3" t="s">
        <v>71</v>
      </c>
      <c r="CN267" s="3" t="s">
        <v>71</v>
      </c>
      <c r="CO267" s="5">
        <v>51</v>
      </c>
      <c r="CP267" s="5" t="s">
        <v>71</v>
      </c>
      <c r="CQ267" s="1">
        <v>32</v>
      </c>
      <c r="CR267" s="1" t="s">
        <v>71</v>
      </c>
      <c r="CS267" s="5" t="s">
        <v>71</v>
      </c>
      <c r="CT267" s="1">
        <v>5.0999999999999996</v>
      </c>
      <c r="CU267" s="1" t="s">
        <v>71</v>
      </c>
      <c r="CV267" s="1" t="s">
        <v>71</v>
      </c>
      <c r="CW267" s="1" t="s">
        <v>71</v>
      </c>
      <c r="CX267" s="1" t="s">
        <v>71</v>
      </c>
      <c r="CY267" s="1">
        <v>8.5</v>
      </c>
      <c r="CZ267" s="1" t="s">
        <v>71</v>
      </c>
      <c r="DA267">
        <f t="shared" si="91"/>
        <v>496</v>
      </c>
      <c r="DB267" s="1" t="s">
        <v>71</v>
      </c>
      <c r="DC267" s="26">
        <v>8.5</v>
      </c>
      <c r="DD267">
        <f t="shared" si="90"/>
        <v>496</v>
      </c>
      <c r="DE267" s="1" t="s">
        <v>71</v>
      </c>
      <c r="DF267" s="1" t="s">
        <v>71</v>
      </c>
    </row>
    <row r="268" spans="1:110" ht="15" x14ac:dyDescent="0.15">
      <c r="A268" s="23">
        <v>2023</v>
      </c>
      <c r="B268" s="23" t="s">
        <v>49</v>
      </c>
      <c r="C268" s="23">
        <v>14</v>
      </c>
      <c r="D268" s="23">
        <v>6</v>
      </c>
      <c r="E268" s="23" t="s">
        <v>52</v>
      </c>
      <c r="F268" s="23"/>
      <c r="G268" s="23" t="s">
        <v>56</v>
      </c>
      <c r="H268" s="23">
        <v>2</v>
      </c>
      <c r="I268" s="23" t="s">
        <v>52</v>
      </c>
      <c r="J268" s="23" t="s">
        <v>58</v>
      </c>
      <c r="K268" s="1" t="s">
        <v>57</v>
      </c>
      <c r="L268" s="1" t="s">
        <v>71</v>
      </c>
      <c r="M268" s="1" t="s">
        <v>71</v>
      </c>
      <c r="N268" s="24">
        <v>45081</v>
      </c>
      <c r="O268" s="24">
        <v>45090</v>
      </c>
      <c r="P268" s="1" t="s">
        <v>71</v>
      </c>
      <c r="Q268" s="1" t="s">
        <v>71</v>
      </c>
      <c r="R268" s="1" t="s">
        <v>71</v>
      </c>
      <c r="S268" s="1" t="s">
        <v>71</v>
      </c>
      <c r="T268" s="1" t="s">
        <v>71</v>
      </c>
      <c r="U268" s="1">
        <v>85</v>
      </c>
      <c r="V268" s="1" t="s">
        <v>71</v>
      </c>
      <c r="W268" s="1" t="s">
        <v>71</v>
      </c>
      <c r="X268" s="1" t="s">
        <v>71</v>
      </c>
      <c r="Y268" s="1">
        <v>0</v>
      </c>
      <c r="Z268" s="1" t="s">
        <v>71</v>
      </c>
      <c r="AA268" s="1">
        <v>0</v>
      </c>
      <c r="AB268" s="1" t="s">
        <v>71</v>
      </c>
      <c r="AC268" s="1" t="s">
        <v>71</v>
      </c>
      <c r="AD268" s="25">
        <v>42</v>
      </c>
      <c r="AE268" s="25" t="s">
        <v>71</v>
      </c>
      <c r="AF268" s="25">
        <v>73</v>
      </c>
      <c r="AG268" s="25" t="s">
        <v>71</v>
      </c>
      <c r="AH268" s="1">
        <v>71</v>
      </c>
      <c r="AI268" s="1" t="s">
        <v>71</v>
      </c>
      <c r="AJ268" s="1">
        <v>3</v>
      </c>
      <c r="AK268" s="1">
        <v>0</v>
      </c>
      <c r="AL268" s="1">
        <v>0</v>
      </c>
      <c r="AM268" s="1">
        <v>0</v>
      </c>
      <c r="AN268" s="1">
        <v>7.0000000000000007E-2</v>
      </c>
      <c r="AO268" s="1">
        <v>0.03</v>
      </c>
      <c r="AP268" s="1">
        <v>2.1000000000000003E-3</v>
      </c>
      <c r="AQ268" s="1">
        <v>44</v>
      </c>
      <c r="AR268" s="1">
        <v>0.01</v>
      </c>
      <c r="AS268" s="1">
        <v>5</v>
      </c>
      <c r="AT268" s="1">
        <v>0.05</v>
      </c>
      <c r="AU268" s="1" t="s">
        <v>71</v>
      </c>
      <c r="AV268" s="1" t="s">
        <v>71</v>
      </c>
      <c r="AW268" s="1" t="s">
        <v>71</v>
      </c>
      <c r="AX268" s="1">
        <v>0</v>
      </c>
      <c r="AY268" s="1">
        <v>0</v>
      </c>
      <c r="AZ268" s="1" t="s">
        <v>71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 t="s">
        <v>71</v>
      </c>
      <c r="BI268" s="1" t="s">
        <v>71</v>
      </c>
      <c r="BJ268" s="1" t="s">
        <v>71</v>
      </c>
      <c r="BK268" s="1">
        <v>3.2000000000000003E-4</v>
      </c>
      <c r="BL268" s="1">
        <f t="shared" si="88"/>
        <v>3.2000000000000001E-2</v>
      </c>
      <c r="BM268" s="1">
        <v>0.08</v>
      </c>
      <c r="BN268" s="1">
        <v>4.0000000000000001E-3</v>
      </c>
      <c r="BO268" s="1">
        <v>2</v>
      </c>
      <c r="BP268" s="1">
        <v>0</v>
      </c>
      <c r="BQ268" s="1" t="s">
        <v>71</v>
      </c>
      <c r="BR268" s="1" t="s">
        <v>71</v>
      </c>
      <c r="BS268" s="1" t="s">
        <v>71</v>
      </c>
      <c r="BT268" s="1" t="s">
        <v>71</v>
      </c>
      <c r="BU268" s="1" t="s">
        <v>71</v>
      </c>
      <c r="BV268" s="1" t="s">
        <v>71</v>
      </c>
      <c r="BW268" s="1" t="s">
        <v>71</v>
      </c>
      <c r="BX268" s="1" t="s">
        <v>71</v>
      </c>
      <c r="BY268" s="1" t="s">
        <v>71</v>
      </c>
      <c r="BZ268" s="3">
        <v>3.9</v>
      </c>
      <c r="CA268" s="3" t="s">
        <v>71</v>
      </c>
      <c r="CB268" s="3">
        <f t="shared" si="89"/>
        <v>5.4166666666666679</v>
      </c>
      <c r="CC268" s="1" t="s">
        <v>71</v>
      </c>
      <c r="CD268" s="1">
        <v>1</v>
      </c>
      <c r="CE268" s="1">
        <v>1</v>
      </c>
      <c r="CF268" s="1">
        <f t="shared" si="92"/>
        <v>1</v>
      </c>
      <c r="CG268" s="3" t="s">
        <v>71</v>
      </c>
      <c r="CH268" s="3" t="s">
        <v>71</v>
      </c>
      <c r="CI268" s="3" t="s">
        <v>71</v>
      </c>
      <c r="CJ268" s="3" t="s">
        <v>71</v>
      </c>
      <c r="CK268" s="3" t="s">
        <v>71</v>
      </c>
      <c r="CL268" s="3" t="s">
        <v>71</v>
      </c>
      <c r="CM268" s="3" t="s">
        <v>71</v>
      </c>
      <c r="CN268" s="3" t="s">
        <v>71</v>
      </c>
      <c r="CO268" s="5">
        <v>48</v>
      </c>
      <c r="CP268" s="5" t="s">
        <v>71</v>
      </c>
      <c r="CQ268" s="1">
        <v>31</v>
      </c>
      <c r="CR268" s="1" t="s">
        <v>71</v>
      </c>
      <c r="CS268" s="5" t="s">
        <v>71</v>
      </c>
      <c r="CT268" s="1">
        <v>9.4</v>
      </c>
      <c r="CU268" s="1" t="s">
        <v>71</v>
      </c>
      <c r="CV268" s="1" t="s">
        <v>71</v>
      </c>
      <c r="CW268" s="1" t="s">
        <v>71</v>
      </c>
      <c r="CX268" s="1" t="s">
        <v>71</v>
      </c>
      <c r="CY268" s="1">
        <v>8</v>
      </c>
      <c r="CZ268" s="1" t="s">
        <v>71</v>
      </c>
      <c r="DA268">
        <f t="shared" si="91"/>
        <v>433</v>
      </c>
      <c r="DB268" s="1" t="s">
        <v>71</v>
      </c>
      <c r="DC268" s="26">
        <v>8</v>
      </c>
      <c r="DD268">
        <f t="shared" si="90"/>
        <v>433</v>
      </c>
      <c r="DE268" s="1" t="s">
        <v>71</v>
      </c>
      <c r="DF268" s="1" t="s">
        <v>71</v>
      </c>
    </row>
    <row r="269" spans="1:110" ht="15" x14ac:dyDescent="0.15">
      <c r="A269" s="23">
        <v>2023</v>
      </c>
      <c r="B269" s="23" t="s">
        <v>49</v>
      </c>
      <c r="C269" s="23">
        <v>14</v>
      </c>
      <c r="D269" s="23">
        <v>7</v>
      </c>
      <c r="E269" s="23"/>
      <c r="F269" s="23" t="s">
        <v>53</v>
      </c>
      <c r="G269" s="23" t="s">
        <v>56</v>
      </c>
      <c r="H269" s="23">
        <v>2</v>
      </c>
      <c r="I269" s="23" t="s">
        <v>53</v>
      </c>
      <c r="J269" s="23" t="s">
        <v>57</v>
      </c>
      <c r="K269" s="24">
        <v>45079</v>
      </c>
      <c r="L269" s="1" t="s">
        <v>71</v>
      </c>
      <c r="M269" s="1" t="s">
        <v>71</v>
      </c>
      <c r="N269" s="1" t="s">
        <v>71</v>
      </c>
      <c r="O269" s="1" t="s">
        <v>71</v>
      </c>
      <c r="P269" s="24">
        <v>45076</v>
      </c>
      <c r="Q269" s="1" t="s">
        <v>71</v>
      </c>
      <c r="R269" s="1" t="s">
        <v>71</v>
      </c>
      <c r="S269" s="1" t="s">
        <v>71</v>
      </c>
      <c r="T269" s="1" t="s">
        <v>71</v>
      </c>
      <c r="U269" s="1" t="s">
        <v>71</v>
      </c>
      <c r="V269" s="1">
        <v>89</v>
      </c>
      <c r="W269" s="1" t="s">
        <v>71</v>
      </c>
      <c r="X269" s="1">
        <v>0</v>
      </c>
      <c r="Y269" s="1" t="s">
        <v>71</v>
      </c>
      <c r="Z269" s="1">
        <v>0</v>
      </c>
      <c r="AA269" s="1" t="s">
        <v>71</v>
      </c>
      <c r="AB269" s="1" t="s">
        <v>71</v>
      </c>
      <c r="AC269" s="1" t="s">
        <v>71</v>
      </c>
      <c r="AD269" s="25" t="s">
        <v>71</v>
      </c>
      <c r="AE269" s="25">
        <v>25</v>
      </c>
      <c r="AF269" s="25" t="s">
        <v>71</v>
      </c>
      <c r="AG269" s="25">
        <v>59</v>
      </c>
      <c r="AH269" s="1" t="s">
        <v>71</v>
      </c>
      <c r="AI269" s="1">
        <v>62</v>
      </c>
      <c r="AJ269" s="1" t="s">
        <v>71</v>
      </c>
      <c r="AK269" s="1" t="s">
        <v>71</v>
      </c>
      <c r="AL269" s="1" t="s">
        <v>71</v>
      </c>
      <c r="AM269" s="1" t="s">
        <v>71</v>
      </c>
      <c r="AN269" s="1" t="s">
        <v>71</v>
      </c>
      <c r="AO269" s="1" t="s">
        <v>71</v>
      </c>
      <c r="AP269" s="1" t="s">
        <v>71</v>
      </c>
      <c r="AQ269" s="1" t="s">
        <v>71</v>
      </c>
      <c r="AR269" s="1" t="s">
        <v>71</v>
      </c>
      <c r="AS269" s="1" t="s">
        <v>71</v>
      </c>
      <c r="AT269" s="1" t="s">
        <v>71</v>
      </c>
      <c r="AU269" s="1">
        <v>0</v>
      </c>
      <c r="AV269" s="1">
        <v>0</v>
      </c>
      <c r="AW269" s="1">
        <v>0</v>
      </c>
      <c r="AX269" s="1" t="s">
        <v>71</v>
      </c>
      <c r="AY269" s="1" t="s">
        <v>71</v>
      </c>
      <c r="AZ269" s="1">
        <v>0</v>
      </c>
      <c r="BA269" s="1" t="s">
        <v>71</v>
      </c>
      <c r="BB269" s="1" t="s">
        <v>71</v>
      </c>
      <c r="BC269" s="1" t="s">
        <v>71</v>
      </c>
      <c r="BD269" s="1" t="s">
        <v>71</v>
      </c>
      <c r="BE269" s="1" t="s">
        <v>71</v>
      </c>
      <c r="BF269" s="1" t="s">
        <v>71</v>
      </c>
      <c r="BG269" s="1" t="s">
        <v>71</v>
      </c>
      <c r="BH269" s="1">
        <v>306</v>
      </c>
      <c r="BI269" s="1">
        <v>0.5</v>
      </c>
      <c r="BJ269" s="1">
        <v>0.2</v>
      </c>
      <c r="BK269" s="1">
        <v>1.4999999999999999E-2</v>
      </c>
      <c r="BL269" s="1">
        <f t="shared" si="88"/>
        <v>1.5</v>
      </c>
      <c r="BM269" s="1">
        <v>0.3</v>
      </c>
      <c r="BN269" s="1">
        <v>0.05</v>
      </c>
      <c r="BO269" s="1">
        <v>1</v>
      </c>
      <c r="BP269" s="1">
        <v>0</v>
      </c>
      <c r="BQ269" s="1" t="s">
        <v>71</v>
      </c>
      <c r="BR269" s="1" t="s">
        <v>71</v>
      </c>
      <c r="BS269" s="1" t="s">
        <v>71</v>
      </c>
      <c r="BT269" s="1" t="s">
        <v>71</v>
      </c>
      <c r="BU269" s="1" t="s">
        <v>71</v>
      </c>
      <c r="BV269" s="1">
        <v>5.7</v>
      </c>
      <c r="BW269" s="1">
        <v>1.7</v>
      </c>
      <c r="BX269" s="1" t="s">
        <v>71</v>
      </c>
      <c r="BY269" s="1" t="s">
        <v>71</v>
      </c>
      <c r="BZ269" s="3" t="s">
        <v>71</v>
      </c>
      <c r="CA269" s="3">
        <v>0.5</v>
      </c>
      <c r="CB269" s="1" t="s">
        <v>71</v>
      </c>
      <c r="CC269" s="3">
        <f t="shared" ref="CC269:CC320" si="93">CA269/(1.5*4.8)*10</f>
        <v>0.69444444444444442</v>
      </c>
      <c r="CD269" s="1">
        <v>1</v>
      </c>
      <c r="CE269" s="1">
        <v>1</v>
      </c>
      <c r="CF269" s="1">
        <f t="shared" si="92"/>
        <v>1</v>
      </c>
      <c r="CG269" s="1" t="s">
        <v>71</v>
      </c>
      <c r="CH269" s="1" t="s">
        <v>71</v>
      </c>
      <c r="CI269" s="1" t="s">
        <v>71</v>
      </c>
      <c r="CJ269" s="1" t="s">
        <v>71</v>
      </c>
      <c r="CK269" s="3" t="s">
        <v>71</v>
      </c>
      <c r="CL269" s="3" t="s">
        <v>71</v>
      </c>
      <c r="CM269" s="3" t="s">
        <v>71</v>
      </c>
      <c r="CN269" s="3" t="s">
        <v>71</v>
      </c>
      <c r="CO269" s="5" t="s">
        <v>71</v>
      </c>
      <c r="CP269" s="5">
        <v>67</v>
      </c>
      <c r="CQ269" s="1" t="s">
        <v>71</v>
      </c>
      <c r="CR269" s="1">
        <v>106</v>
      </c>
      <c r="CS269" s="5">
        <v>29.1</v>
      </c>
      <c r="CT269" s="1" t="s">
        <v>71</v>
      </c>
      <c r="CU269" s="1">
        <v>7.4</v>
      </c>
      <c r="CV269" s="1" t="s">
        <v>71</v>
      </c>
      <c r="CW269" s="1" t="s">
        <v>71</v>
      </c>
      <c r="CX269" t="e">
        <f>ROUND(CV269*#REF!/10,1)</f>
        <v>#VALUE!</v>
      </c>
      <c r="CY269" s="1" t="s">
        <v>71</v>
      </c>
      <c r="CZ269">
        <f t="shared" ref="CZ269:CZ275" si="94">ROUND((10*CC269*CS269),0)</f>
        <v>202</v>
      </c>
      <c r="DA269" s="1" t="s">
        <v>71</v>
      </c>
      <c r="DB269" s="1" t="s">
        <v>71</v>
      </c>
      <c r="DC269" s="26" t="s">
        <v>71</v>
      </c>
      <c r="DD269">
        <f t="shared" si="90"/>
        <v>202</v>
      </c>
      <c r="DE269" s="1" t="s">
        <v>71</v>
      </c>
      <c r="DF269" s="1" t="s">
        <v>71</v>
      </c>
    </row>
    <row r="270" spans="1:110" ht="15" x14ac:dyDescent="0.15">
      <c r="A270" s="23">
        <v>2023</v>
      </c>
      <c r="B270" s="23" t="s">
        <v>49</v>
      </c>
      <c r="C270" s="23">
        <v>14</v>
      </c>
      <c r="D270" s="23">
        <v>8</v>
      </c>
      <c r="E270" s="23"/>
      <c r="F270" s="23" t="s">
        <v>54</v>
      </c>
      <c r="G270" s="23" t="s">
        <v>56</v>
      </c>
      <c r="H270" s="23">
        <v>2</v>
      </c>
      <c r="I270" s="23" t="s">
        <v>54</v>
      </c>
      <c r="J270" s="23" t="s">
        <v>57</v>
      </c>
      <c r="K270" s="24">
        <v>45080</v>
      </c>
      <c r="L270" s="1" t="s">
        <v>71</v>
      </c>
      <c r="M270" s="1" t="s">
        <v>71</v>
      </c>
      <c r="N270" s="1" t="s">
        <v>71</v>
      </c>
      <c r="O270" s="1" t="s">
        <v>71</v>
      </c>
      <c r="P270" s="24">
        <v>45075</v>
      </c>
      <c r="Q270" s="1" t="s">
        <v>71</v>
      </c>
      <c r="R270" s="1" t="s">
        <v>71</v>
      </c>
      <c r="S270" s="1" t="s">
        <v>71</v>
      </c>
      <c r="T270" s="1" t="s">
        <v>71</v>
      </c>
      <c r="U270" s="1" t="s">
        <v>71</v>
      </c>
      <c r="V270" s="1">
        <v>87</v>
      </c>
      <c r="W270" s="1" t="s">
        <v>71</v>
      </c>
      <c r="X270" s="1">
        <v>0</v>
      </c>
      <c r="Y270" s="1" t="s">
        <v>71</v>
      </c>
      <c r="Z270" s="1">
        <v>0</v>
      </c>
      <c r="AA270" s="1" t="s">
        <v>71</v>
      </c>
      <c r="AB270" s="1" t="s">
        <v>71</v>
      </c>
      <c r="AC270" s="1" t="s">
        <v>71</v>
      </c>
      <c r="AD270" s="25" t="s">
        <v>71</v>
      </c>
      <c r="AE270" s="25">
        <v>19</v>
      </c>
      <c r="AF270" s="25" t="s">
        <v>71</v>
      </c>
      <c r="AG270" s="25">
        <v>55.333333333333336</v>
      </c>
      <c r="AH270" s="1" t="s">
        <v>71</v>
      </c>
      <c r="AI270" s="1">
        <v>64</v>
      </c>
      <c r="AJ270" s="1" t="s">
        <v>71</v>
      </c>
      <c r="AK270" s="1" t="s">
        <v>71</v>
      </c>
      <c r="AL270" s="1" t="s">
        <v>71</v>
      </c>
      <c r="AM270" s="1" t="s">
        <v>71</v>
      </c>
      <c r="AN270" s="1" t="s">
        <v>71</v>
      </c>
      <c r="AO270" s="1" t="s">
        <v>71</v>
      </c>
      <c r="AP270" s="1" t="s">
        <v>71</v>
      </c>
      <c r="AQ270" s="1" t="s">
        <v>71</v>
      </c>
      <c r="AR270" s="1" t="s">
        <v>71</v>
      </c>
      <c r="AS270" s="1" t="s">
        <v>71</v>
      </c>
      <c r="AT270" s="1" t="s">
        <v>71</v>
      </c>
      <c r="AU270" s="1">
        <v>0</v>
      </c>
      <c r="AV270" s="1">
        <v>0</v>
      </c>
      <c r="AW270" s="1">
        <v>0</v>
      </c>
      <c r="AX270" s="1" t="s">
        <v>71</v>
      </c>
      <c r="AY270" s="1" t="s">
        <v>71</v>
      </c>
      <c r="AZ270" s="1">
        <v>0</v>
      </c>
      <c r="BA270" s="1" t="s">
        <v>71</v>
      </c>
      <c r="BB270" s="1" t="s">
        <v>71</v>
      </c>
      <c r="BC270" s="1" t="s">
        <v>71</v>
      </c>
      <c r="BD270" s="1" t="s">
        <v>71</v>
      </c>
      <c r="BE270" s="1" t="s">
        <v>71</v>
      </c>
      <c r="BF270" s="1" t="s">
        <v>71</v>
      </c>
      <c r="BG270" s="1" t="s">
        <v>71</v>
      </c>
      <c r="BH270" s="1">
        <v>319</v>
      </c>
      <c r="BI270" s="1">
        <v>3</v>
      </c>
      <c r="BJ270" s="1">
        <v>3</v>
      </c>
      <c r="BK270" s="1">
        <v>1.4999999999999999E-2</v>
      </c>
      <c r="BL270" s="1">
        <f t="shared" si="88"/>
        <v>1.5</v>
      </c>
      <c r="BM270" s="1">
        <v>0.1</v>
      </c>
      <c r="BN270" s="1">
        <v>0.15</v>
      </c>
      <c r="BO270" s="1">
        <v>1</v>
      </c>
      <c r="BP270" s="1">
        <v>0</v>
      </c>
      <c r="BQ270" s="1" t="s">
        <v>71</v>
      </c>
      <c r="BR270" s="1" t="s">
        <v>71</v>
      </c>
      <c r="BS270" s="1" t="s">
        <v>71</v>
      </c>
      <c r="BT270" s="1" t="s">
        <v>71</v>
      </c>
      <c r="BU270" s="1" t="s">
        <v>71</v>
      </c>
      <c r="BV270" s="1">
        <v>6.3</v>
      </c>
      <c r="BW270" s="1">
        <v>2.2999999999999998</v>
      </c>
      <c r="BX270" s="1" t="s">
        <v>71</v>
      </c>
      <c r="BY270" s="1" t="s">
        <v>71</v>
      </c>
      <c r="BZ270" s="3" t="s">
        <v>71</v>
      </c>
      <c r="CA270" s="3">
        <v>1.3</v>
      </c>
      <c r="CB270" s="1" t="s">
        <v>71</v>
      </c>
      <c r="CC270" s="3">
        <f t="shared" si="93"/>
        <v>1.8055555555555558</v>
      </c>
      <c r="CD270" s="1">
        <v>1</v>
      </c>
      <c r="CE270" s="1">
        <v>1</v>
      </c>
      <c r="CF270" s="1">
        <f t="shared" si="92"/>
        <v>1</v>
      </c>
      <c r="CG270" s="1" t="s">
        <v>71</v>
      </c>
      <c r="CH270" s="1" t="s">
        <v>71</v>
      </c>
      <c r="CI270" s="1" t="s">
        <v>71</v>
      </c>
      <c r="CJ270" s="1" t="s">
        <v>71</v>
      </c>
      <c r="CK270" s="3" t="s">
        <v>71</v>
      </c>
      <c r="CL270" s="3" t="s">
        <v>71</v>
      </c>
      <c r="CM270" s="3" t="s">
        <v>71</v>
      </c>
      <c r="CN270" s="3" t="s">
        <v>71</v>
      </c>
      <c r="CO270" s="5" t="s">
        <v>71</v>
      </c>
      <c r="CP270" s="5">
        <v>77</v>
      </c>
      <c r="CQ270" s="1" t="s">
        <v>71</v>
      </c>
      <c r="CR270" s="1">
        <v>117</v>
      </c>
      <c r="CS270" s="5">
        <v>36.299999999999997</v>
      </c>
      <c r="CT270" s="1" t="s">
        <v>71</v>
      </c>
      <c r="CU270" s="1">
        <v>6.8</v>
      </c>
      <c r="CV270" s="1" t="s">
        <v>71</v>
      </c>
      <c r="CW270" s="1" t="s">
        <v>71</v>
      </c>
      <c r="CX270" t="e">
        <f>ROUND(CV270*#REF!/10,1)</f>
        <v>#VALUE!</v>
      </c>
      <c r="CY270" s="1" t="s">
        <v>71</v>
      </c>
      <c r="CZ270">
        <f t="shared" si="94"/>
        <v>655</v>
      </c>
      <c r="DA270" s="1" t="s">
        <v>71</v>
      </c>
      <c r="DB270" s="1" t="s">
        <v>71</v>
      </c>
      <c r="DC270" s="26" t="s">
        <v>71</v>
      </c>
      <c r="DD270">
        <f t="shared" si="90"/>
        <v>655</v>
      </c>
      <c r="DE270" s="1" t="s">
        <v>71</v>
      </c>
      <c r="DF270" s="1" t="s">
        <v>71</v>
      </c>
    </row>
    <row r="271" spans="1:110" ht="15" x14ac:dyDescent="0.15">
      <c r="A271" s="23">
        <v>2023</v>
      </c>
      <c r="B271" s="23" t="s">
        <v>49</v>
      </c>
      <c r="C271" s="23">
        <v>14</v>
      </c>
      <c r="D271" s="23">
        <v>9</v>
      </c>
      <c r="E271" s="23"/>
      <c r="F271" s="23" t="s">
        <v>55</v>
      </c>
      <c r="G271" s="23" t="s">
        <v>56</v>
      </c>
      <c r="H271" s="23">
        <v>2</v>
      </c>
      <c r="I271" s="23" t="s">
        <v>55</v>
      </c>
      <c r="J271" s="23" t="s">
        <v>57</v>
      </c>
      <c r="K271" s="1" t="s">
        <v>57</v>
      </c>
      <c r="L271" s="1" t="s">
        <v>71</v>
      </c>
      <c r="M271" s="1" t="s">
        <v>71</v>
      </c>
      <c r="N271" s="1" t="s">
        <v>71</v>
      </c>
      <c r="O271" s="24" t="s">
        <v>71</v>
      </c>
      <c r="P271" s="24">
        <v>45079</v>
      </c>
      <c r="Q271" s="1" t="s">
        <v>71</v>
      </c>
      <c r="R271" s="1" t="s">
        <v>71</v>
      </c>
      <c r="S271" s="1" t="s">
        <v>71</v>
      </c>
      <c r="T271" s="1" t="s">
        <v>71</v>
      </c>
      <c r="U271" s="1" t="s">
        <v>71</v>
      </c>
      <c r="V271" s="1">
        <v>87</v>
      </c>
      <c r="W271" s="1" t="s">
        <v>71</v>
      </c>
      <c r="X271" s="1">
        <v>0</v>
      </c>
      <c r="Y271" s="1" t="s">
        <v>71</v>
      </c>
      <c r="Z271" s="1">
        <v>0</v>
      </c>
      <c r="AA271" s="1" t="s">
        <v>71</v>
      </c>
      <c r="AB271" s="1" t="s">
        <v>71</v>
      </c>
      <c r="AC271" s="1" t="s">
        <v>71</v>
      </c>
      <c r="AD271" s="25" t="s">
        <v>71</v>
      </c>
      <c r="AE271" s="25">
        <v>18</v>
      </c>
      <c r="AF271" s="25" t="s">
        <v>71</v>
      </c>
      <c r="AG271" s="25">
        <v>43</v>
      </c>
      <c r="AH271" s="1" t="s">
        <v>71</v>
      </c>
      <c r="AI271" s="1">
        <v>40</v>
      </c>
      <c r="AJ271" s="1" t="s">
        <v>71</v>
      </c>
      <c r="AK271" s="1" t="s">
        <v>71</v>
      </c>
      <c r="AL271" s="1" t="s">
        <v>71</v>
      </c>
      <c r="AM271" s="1" t="s">
        <v>71</v>
      </c>
      <c r="AN271" s="1" t="s">
        <v>71</v>
      </c>
      <c r="AO271" s="1" t="s">
        <v>71</v>
      </c>
      <c r="AP271" s="1" t="s">
        <v>71</v>
      </c>
      <c r="AQ271" s="1" t="s">
        <v>71</v>
      </c>
      <c r="AR271" s="1" t="s">
        <v>71</v>
      </c>
      <c r="AS271" s="1" t="s">
        <v>71</v>
      </c>
      <c r="AT271" s="1" t="s">
        <v>71</v>
      </c>
      <c r="AU271" s="1">
        <v>0</v>
      </c>
      <c r="AV271" s="1">
        <v>0</v>
      </c>
      <c r="AW271" s="1">
        <v>0</v>
      </c>
      <c r="AX271" s="1" t="s">
        <v>71</v>
      </c>
      <c r="AY271" s="1" t="s">
        <v>71</v>
      </c>
      <c r="AZ271" s="1">
        <v>0.05</v>
      </c>
      <c r="BA271" s="1" t="s">
        <v>71</v>
      </c>
      <c r="BB271" s="1" t="s">
        <v>71</v>
      </c>
      <c r="BC271" s="1" t="s">
        <v>71</v>
      </c>
      <c r="BD271" s="1" t="s">
        <v>71</v>
      </c>
      <c r="BE271" s="1" t="s">
        <v>71</v>
      </c>
      <c r="BF271" s="1" t="s">
        <v>71</v>
      </c>
      <c r="BG271" s="1" t="s">
        <v>71</v>
      </c>
      <c r="BH271" s="1">
        <v>504</v>
      </c>
      <c r="BI271" s="1">
        <v>8</v>
      </c>
      <c r="BJ271" s="1">
        <v>2</v>
      </c>
      <c r="BK271" s="1">
        <v>0.1</v>
      </c>
      <c r="BL271" s="1">
        <f t="shared" si="88"/>
        <v>10</v>
      </c>
      <c r="BM271" s="1">
        <v>0.5</v>
      </c>
      <c r="BN271" s="1">
        <v>0.2</v>
      </c>
      <c r="BO271" s="1">
        <v>2</v>
      </c>
      <c r="BP271" s="1">
        <v>5</v>
      </c>
      <c r="BQ271" s="1" t="s">
        <v>71</v>
      </c>
      <c r="BR271" s="1" t="s">
        <v>71</v>
      </c>
      <c r="BS271" s="1" t="s">
        <v>71</v>
      </c>
      <c r="BT271" s="1" t="s">
        <v>71</v>
      </c>
      <c r="BU271" s="1" t="s">
        <v>71</v>
      </c>
      <c r="BV271" s="1">
        <v>4</v>
      </c>
      <c r="BW271" s="1">
        <v>0</v>
      </c>
      <c r="BX271" s="1" t="s">
        <v>71</v>
      </c>
      <c r="BY271" s="1" t="s">
        <v>71</v>
      </c>
      <c r="BZ271" s="3" t="s">
        <v>71</v>
      </c>
      <c r="CA271" s="3">
        <v>0.9</v>
      </c>
      <c r="CB271" s="1" t="s">
        <v>71</v>
      </c>
      <c r="CC271" s="3">
        <f t="shared" si="93"/>
        <v>1.2500000000000002</v>
      </c>
      <c r="CD271" s="1">
        <v>1</v>
      </c>
      <c r="CE271" s="1">
        <v>1</v>
      </c>
      <c r="CF271" s="1">
        <f t="shared" si="92"/>
        <v>1</v>
      </c>
      <c r="CG271" s="1" t="s">
        <v>71</v>
      </c>
      <c r="CH271" s="1" t="s">
        <v>71</v>
      </c>
      <c r="CI271" s="1" t="s">
        <v>71</v>
      </c>
      <c r="CJ271" s="1" t="s">
        <v>71</v>
      </c>
      <c r="CK271" s="3" t="s">
        <v>71</v>
      </c>
      <c r="CL271" s="3" t="s">
        <v>71</v>
      </c>
      <c r="CM271" s="3" t="s">
        <v>71</v>
      </c>
      <c r="CN271" s="3" t="s">
        <v>71</v>
      </c>
      <c r="CO271" s="5" t="s">
        <v>71</v>
      </c>
      <c r="CP271" s="5">
        <v>75</v>
      </c>
      <c r="CQ271" s="1" t="s">
        <v>71</v>
      </c>
      <c r="CR271" s="1">
        <v>138</v>
      </c>
      <c r="CS271" s="5">
        <v>34.299999999999997</v>
      </c>
      <c r="CT271" s="1" t="s">
        <v>71</v>
      </c>
      <c r="CU271" s="1">
        <v>6.5</v>
      </c>
      <c r="CV271" s="1" t="s">
        <v>71</v>
      </c>
      <c r="CW271" s="1" t="s">
        <v>71</v>
      </c>
      <c r="CX271" t="e">
        <f>ROUND(CV271*#REF!/10,1)</f>
        <v>#VALUE!</v>
      </c>
      <c r="CY271" s="1" t="s">
        <v>71</v>
      </c>
      <c r="CZ271">
        <f t="shared" si="94"/>
        <v>429</v>
      </c>
      <c r="DA271" s="1" t="s">
        <v>71</v>
      </c>
      <c r="DB271" s="1" t="s">
        <v>71</v>
      </c>
      <c r="DC271" s="26" t="s">
        <v>71</v>
      </c>
      <c r="DD271">
        <f t="shared" si="90"/>
        <v>429</v>
      </c>
      <c r="DE271" s="1" t="s">
        <v>71</v>
      </c>
      <c r="DF271" s="1" t="s">
        <v>71</v>
      </c>
    </row>
    <row r="272" spans="1:110" x14ac:dyDescent="0.15">
      <c r="A272" s="23">
        <v>2023</v>
      </c>
      <c r="B272" s="23" t="s">
        <v>49</v>
      </c>
      <c r="C272" s="23">
        <v>14</v>
      </c>
      <c r="D272" s="23">
        <v>10</v>
      </c>
      <c r="E272" s="23" t="s">
        <v>50</v>
      </c>
      <c r="F272" s="23" t="s">
        <v>53</v>
      </c>
      <c r="G272" s="23" t="s">
        <v>5</v>
      </c>
      <c r="H272" s="23">
        <v>2</v>
      </c>
      <c r="I272" s="23" t="s">
        <v>60</v>
      </c>
      <c r="J272" s="23" t="s">
        <v>57</v>
      </c>
      <c r="K272" s="24">
        <v>45075</v>
      </c>
      <c r="L272" s="27">
        <v>10000000000</v>
      </c>
      <c r="M272" s="1">
        <f>K272-K269</f>
        <v>-4</v>
      </c>
      <c r="N272" s="24">
        <v>45078</v>
      </c>
      <c r="O272" s="24">
        <v>45085</v>
      </c>
      <c r="P272" s="24">
        <v>45074</v>
      </c>
      <c r="Q272" s="1">
        <f>P272-P269</f>
        <v>-2</v>
      </c>
      <c r="R272" s="1">
        <f>N272-N266</f>
        <v>1</v>
      </c>
      <c r="S272" s="1">
        <f>O272-O266</f>
        <v>1</v>
      </c>
      <c r="T272" s="1">
        <f>AVERAGE(R272,S272)</f>
        <v>1</v>
      </c>
      <c r="U272" s="1">
        <v>86</v>
      </c>
      <c r="V272" s="1">
        <v>89</v>
      </c>
      <c r="W272" s="1">
        <v>-3</v>
      </c>
      <c r="X272" s="1">
        <v>0</v>
      </c>
      <c r="Y272" s="1">
        <v>0</v>
      </c>
      <c r="Z272" s="1">
        <v>0</v>
      </c>
      <c r="AA272" s="1">
        <v>0</v>
      </c>
      <c r="AB272" s="1" t="s">
        <v>71</v>
      </c>
      <c r="AC272" s="1" t="s">
        <v>71</v>
      </c>
      <c r="AD272" s="25">
        <v>41</v>
      </c>
      <c r="AE272" s="25">
        <v>25</v>
      </c>
      <c r="AF272" s="25">
        <v>114</v>
      </c>
      <c r="AG272" s="25">
        <v>64</v>
      </c>
      <c r="AH272" s="1">
        <v>113</v>
      </c>
      <c r="AI272" s="1">
        <v>61</v>
      </c>
      <c r="AJ272" s="1">
        <v>2</v>
      </c>
      <c r="AK272" s="1">
        <v>0</v>
      </c>
      <c r="AL272" s="1">
        <v>0</v>
      </c>
      <c r="AM272" s="1">
        <v>0</v>
      </c>
      <c r="AN272" s="1">
        <v>0.03</v>
      </c>
      <c r="AO272" s="1">
        <v>0.03</v>
      </c>
      <c r="AP272" s="1">
        <v>8.9999999999999998E-4</v>
      </c>
      <c r="AQ272" s="1">
        <v>35</v>
      </c>
      <c r="AR272" s="1">
        <v>0.1</v>
      </c>
      <c r="AS272" s="1">
        <v>15</v>
      </c>
      <c r="AT272" s="1">
        <v>1.5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0.2</v>
      </c>
      <c r="BB272" s="1">
        <v>1E-4</v>
      </c>
      <c r="BC272" s="1">
        <v>2.0000000000000002E-5</v>
      </c>
      <c r="BD272" s="1">
        <v>0</v>
      </c>
      <c r="BE272" s="1">
        <v>0</v>
      </c>
      <c r="BF272" s="1">
        <v>0</v>
      </c>
      <c r="BG272" s="1">
        <v>0</v>
      </c>
      <c r="BH272" s="1">
        <v>882</v>
      </c>
      <c r="BI272" s="1">
        <v>1</v>
      </c>
      <c r="BJ272" s="1">
        <v>0</v>
      </c>
      <c r="BK272" s="1">
        <v>2.8000000000000004E-3</v>
      </c>
      <c r="BL272" s="1">
        <f t="shared" si="88"/>
        <v>0.28000000000000003</v>
      </c>
      <c r="BM272" s="1">
        <v>7.0000000000000007E-2</v>
      </c>
      <c r="BN272" s="1">
        <v>0.04</v>
      </c>
      <c r="BO272" s="1">
        <v>2</v>
      </c>
      <c r="BP272" s="1">
        <v>0</v>
      </c>
      <c r="BQ272" s="1" t="s">
        <v>71</v>
      </c>
      <c r="BR272" s="1" t="s">
        <v>71</v>
      </c>
      <c r="BS272" s="1" t="s">
        <v>71</v>
      </c>
      <c r="BT272" s="1" t="s">
        <v>71</v>
      </c>
      <c r="BU272" s="1" t="s">
        <v>71</v>
      </c>
      <c r="BV272" s="1">
        <v>5.3</v>
      </c>
      <c r="BW272" s="1">
        <v>1.3</v>
      </c>
      <c r="BX272" s="1" t="s">
        <v>71</v>
      </c>
      <c r="BY272" s="1" t="s">
        <v>71</v>
      </c>
      <c r="BZ272" s="3">
        <v>1.5</v>
      </c>
      <c r="CA272" s="3">
        <v>0.7</v>
      </c>
      <c r="CB272" s="3">
        <f t="shared" si="89"/>
        <v>2.0833333333333335</v>
      </c>
      <c r="CC272" s="3">
        <f t="shared" si="93"/>
        <v>0.97222222222222221</v>
      </c>
      <c r="CD272" s="1">
        <f>ROUND(CB272/CB263+CC272/CC269,2)</f>
        <v>2.0299999999999998</v>
      </c>
      <c r="CE272" s="1">
        <f>ROUND(CB272/CB266+CC272/CC269,2)</f>
        <v>1.81</v>
      </c>
      <c r="CF272" s="1">
        <f t="shared" si="92"/>
        <v>1.81</v>
      </c>
      <c r="CG272" s="1">
        <f>ROUND(CB272/CB263,2)</f>
        <v>0.63</v>
      </c>
      <c r="CH272" s="1">
        <f>ROUND(CB272/CB266,2)</f>
        <v>0.41</v>
      </c>
      <c r="CI272" s="1">
        <f>ROUND(CC272/CC269,2)</f>
        <v>1.4</v>
      </c>
      <c r="CJ272" s="1">
        <f>ROUND((CC272+CB272)/MAX(CC269,CB266),2)</f>
        <v>0.59</v>
      </c>
      <c r="CK272" s="1">
        <f>ROUND(LN((0.9*BZ272)/(0.1*CA272))/(BZ263/CA269),2)</f>
        <v>0.62</v>
      </c>
      <c r="CL272" s="1">
        <f>ROUND(LN((0.9*BZ272)/(0.1*CA272))/(BZ266/CA269),2)</f>
        <v>0.4</v>
      </c>
      <c r="CM272" s="1">
        <f>ROUND(LN((0.1*CA272)/(0.9*BZ272))/(CA269/BZ263),2)</f>
        <v>-14.2</v>
      </c>
      <c r="CN272" s="1">
        <f>ROUND(LN((0.1*CA272)/(0.9*BZ272))/(CA269/BZ266),2)</f>
        <v>-21.9</v>
      </c>
      <c r="CO272" s="5">
        <v>55</v>
      </c>
      <c r="CP272" s="5">
        <v>64</v>
      </c>
      <c r="CQ272" s="1">
        <v>43</v>
      </c>
      <c r="CR272" s="1">
        <v>160</v>
      </c>
      <c r="CS272" s="5">
        <v>32.9</v>
      </c>
      <c r="CT272" s="1">
        <v>9.1999999999999993</v>
      </c>
      <c r="CU272" s="1">
        <v>6</v>
      </c>
      <c r="CV272" s="1" t="s">
        <v>71</v>
      </c>
      <c r="CW272" s="1" t="s">
        <v>71</v>
      </c>
      <c r="CX272" t="e">
        <f>ROUND(CV272*#REF!/10,1)</f>
        <v>#VALUE!</v>
      </c>
      <c r="CY272" s="1">
        <v>11</v>
      </c>
      <c r="CZ272">
        <f t="shared" si="94"/>
        <v>320</v>
      </c>
      <c r="DA272">
        <f>ROUND((CY272*CB272*10),0)</f>
        <v>229</v>
      </c>
      <c r="DB272">
        <f>(CZ272+DA272)/MAX(DA266,CZ269)</f>
        <v>1.2281879194630871</v>
      </c>
      <c r="DC272" s="26">
        <v>11</v>
      </c>
      <c r="DD272">
        <f t="shared" si="90"/>
        <v>549</v>
      </c>
      <c r="DE272">
        <f>ROUND(MAX((DB272-DF272), 0), 2)</f>
        <v>0.51</v>
      </c>
      <c r="DF272">
        <f>ROUND(CZ272/MAX(DA266,CZ269), 2)</f>
        <v>0.72</v>
      </c>
    </row>
    <row r="273" spans="1:110" x14ac:dyDescent="0.15">
      <c r="A273" s="23">
        <v>2023</v>
      </c>
      <c r="B273" s="23" t="s">
        <v>49</v>
      </c>
      <c r="C273" s="23">
        <v>14</v>
      </c>
      <c r="D273" s="23">
        <v>11</v>
      </c>
      <c r="E273" s="23" t="s">
        <v>50</v>
      </c>
      <c r="F273" s="23" t="s">
        <v>54</v>
      </c>
      <c r="G273" s="23" t="s">
        <v>5</v>
      </c>
      <c r="H273" s="23">
        <v>2</v>
      </c>
      <c r="I273" s="23" t="s">
        <v>61</v>
      </c>
      <c r="J273" s="23" t="s">
        <v>57</v>
      </c>
      <c r="K273" s="1" t="s">
        <v>57</v>
      </c>
      <c r="L273" s="27">
        <v>10000000000</v>
      </c>
      <c r="M273" s="27">
        <v>10000000000</v>
      </c>
      <c r="N273" s="24">
        <v>45076</v>
      </c>
      <c r="O273" s="24">
        <v>45085</v>
      </c>
      <c r="P273" s="24">
        <v>45077</v>
      </c>
      <c r="Q273" s="1">
        <f>P273-P270</f>
        <v>2</v>
      </c>
      <c r="R273" s="1">
        <f>N273-N266</f>
        <v>-1</v>
      </c>
      <c r="S273" s="1">
        <f>O273-O266</f>
        <v>1</v>
      </c>
      <c r="T273" s="1">
        <f t="shared" ref="T273:T280" si="95">AVERAGE(R273,S273)</f>
        <v>0</v>
      </c>
      <c r="U273" s="1">
        <v>85</v>
      </c>
      <c r="V273" s="1">
        <v>87</v>
      </c>
      <c r="W273" s="1">
        <v>-2</v>
      </c>
      <c r="X273" s="1">
        <v>0</v>
      </c>
      <c r="Y273" s="1">
        <v>0</v>
      </c>
      <c r="Z273" s="1">
        <v>0</v>
      </c>
      <c r="AA273" s="1">
        <v>0</v>
      </c>
      <c r="AB273" s="1" t="s">
        <v>71</v>
      </c>
      <c r="AC273" s="1" t="s">
        <v>71</v>
      </c>
      <c r="AD273" s="25">
        <v>36</v>
      </c>
      <c r="AE273" s="25">
        <v>15</v>
      </c>
      <c r="AF273" s="25">
        <v>99.333333333333329</v>
      </c>
      <c r="AG273" s="25">
        <v>44.333333333333336</v>
      </c>
      <c r="AH273" s="1">
        <v>103</v>
      </c>
      <c r="AI273" s="1">
        <v>43</v>
      </c>
      <c r="AJ273" s="1">
        <v>2</v>
      </c>
      <c r="AK273" s="1">
        <v>0</v>
      </c>
      <c r="AL273" s="1">
        <v>0</v>
      </c>
      <c r="AM273" s="1">
        <v>0</v>
      </c>
      <c r="AN273" s="1">
        <v>0.05</v>
      </c>
      <c r="AO273" s="1">
        <v>0.03</v>
      </c>
      <c r="AP273" s="1">
        <v>1.5E-3</v>
      </c>
      <c r="AQ273" s="1">
        <v>13</v>
      </c>
      <c r="AR273" s="1">
        <v>7.0000000000000007E-2</v>
      </c>
      <c r="AS273" s="1">
        <v>10</v>
      </c>
      <c r="AT273" s="1">
        <v>0.70000000000000007</v>
      </c>
      <c r="AU273" s="1">
        <v>0.12</v>
      </c>
      <c r="AV273" s="1">
        <v>1</v>
      </c>
      <c r="AW273" s="1">
        <v>0.12</v>
      </c>
      <c r="AX273" s="1">
        <v>0</v>
      </c>
      <c r="AY273" s="1">
        <v>0</v>
      </c>
      <c r="AZ273" s="1">
        <v>0.1</v>
      </c>
      <c r="BA273" s="1">
        <v>5.0000000000000001E-3</v>
      </c>
      <c r="BB273" s="1">
        <v>5.0000000000000001E-4</v>
      </c>
      <c r="BC273" s="1">
        <v>2.5000000000000002E-6</v>
      </c>
      <c r="BD273" s="1">
        <v>0</v>
      </c>
      <c r="BE273" s="1">
        <v>0</v>
      </c>
      <c r="BF273" s="1">
        <v>0</v>
      </c>
      <c r="BG273" s="1">
        <v>0</v>
      </c>
      <c r="BH273" s="1">
        <v>396</v>
      </c>
      <c r="BI273" s="1">
        <v>10</v>
      </c>
      <c r="BJ273" s="1">
        <v>1</v>
      </c>
      <c r="BK273" s="1">
        <v>4.0000000000000008E-2</v>
      </c>
      <c r="BL273" s="1">
        <f t="shared" si="88"/>
        <v>4.0000000000000009</v>
      </c>
      <c r="BM273" s="1">
        <v>0.4</v>
      </c>
      <c r="BN273" s="1">
        <v>0.1</v>
      </c>
      <c r="BO273" s="1">
        <v>2</v>
      </c>
      <c r="BP273" s="1">
        <v>0</v>
      </c>
      <c r="BQ273" s="1" t="s">
        <v>71</v>
      </c>
      <c r="BR273" s="1" t="s">
        <v>71</v>
      </c>
      <c r="BS273" s="1" t="s">
        <v>71</v>
      </c>
      <c r="BT273" s="1" t="s">
        <v>71</v>
      </c>
      <c r="BU273" s="1" t="s">
        <v>71</v>
      </c>
      <c r="BV273" s="1">
        <v>3.3</v>
      </c>
      <c r="BW273" s="1">
        <v>0</v>
      </c>
      <c r="BX273" s="1" t="s">
        <v>71</v>
      </c>
      <c r="BY273" s="1" t="s">
        <v>71</v>
      </c>
      <c r="BZ273" s="3">
        <v>1.4</v>
      </c>
      <c r="CA273" s="3">
        <v>0.5</v>
      </c>
      <c r="CB273" s="3">
        <f t="shared" si="89"/>
        <v>1.9444444444444444</v>
      </c>
      <c r="CC273" s="3">
        <f t="shared" si="93"/>
        <v>0.69444444444444442</v>
      </c>
      <c r="CD273" s="1">
        <f>ROUND(CB273/CB263+CC273/CC270,2)</f>
        <v>0.97</v>
      </c>
      <c r="CE273" s="1">
        <f>ROUND(CB273/CB266+CC273/CC270,2)</f>
        <v>0.76</v>
      </c>
      <c r="CF273" s="1">
        <f t="shared" si="92"/>
        <v>0.76</v>
      </c>
      <c r="CG273" s="1">
        <f>ROUND(CB273/CB263,2)</f>
        <v>0.57999999999999996</v>
      </c>
      <c r="CH273" s="1">
        <f>ROUND(CB273/CB266,2)</f>
        <v>0.38</v>
      </c>
      <c r="CI273" s="1">
        <f>ROUND(CC273/CC270,2)</f>
        <v>0.38</v>
      </c>
      <c r="CJ273" s="1">
        <f>ROUND((CC273+CB273)/MAX(CC270,CB266),2)</f>
        <v>0.51</v>
      </c>
      <c r="CK273" s="1">
        <f>ROUND(LN((0.9*BZ273)/(0.1*CA273))/(BZ263/CA270),2)</f>
        <v>1.75</v>
      </c>
      <c r="CL273" s="1">
        <f>ROUND(LN((0.9*BZ273)/(0.1*CA273))/(BZ266/CA270),2)</f>
        <v>1.1299999999999999</v>
      </c>
      <c r="CM273" s="1">
        <f>ROUND(LN((0.1*CA273)/(0.9*BZ273))/(CA270/BZ263),2)</f>
        <v>-5.96</v>
      </c>
      <c r="CN273" s="1">
        <f>ROUND(LN((0.1*CA273)/(0.9*BZ273))/(CA270/BZ266),2)</f>
        <v>-9.18</v>
      </c>
      <c r="CO273" s="5">
        <v>52</v>
      </c>
      <c r="CP273" s="5">
        <v>76</v>
      </c>
      <c r="CQ273" s="1">
        <v>42</v>
      </c>
      <c r="CR273" s="1">
        <v>126</v>
      </c>
      <c r="CS273" s="5">
        <v>37.1</v>
      </c>
      <c r="CT273" s="1">
        <v>8.9</v>
      </c>
      <c r="CU273" s="1">
        <v>6.3</v>
      </c>
      <c r="CV273" s="1" t="s">
        <v>71</v>
      </c>
      <c r="CW273" s="1" t="s">
        <v>71</v>
      </c>
      <c r="CX273" t="e">
        <f>ROUND(CV273*#REF!/10,1)</f>
        <v>#VALUE!</v>
      </c>
      <c r="CY273" s="1" t="s">
        <v>71</v>
      </c>
      <c r="CZ273">
        <f t="shared" si="94"/>
        <v>258</v>
      </c>
      <c r="DA273" s="26" t="s">
        <v>71</v>
      </c>
      <c r="DB273" s="26" t="s">
        <v>71</v>
      </c>
      <c r="DC273" s="26" t="s">
        <v>71</v>
      </c>
      <c r="DD273">
        <f t="shared" si="90"/>
        <v>258</v>
      </c>
      <c r="DE273" t="s">
        <v>71</v>
      </c>
      <c r="DF273">
        <f>ROUND(CZ273/MAX(DA266,CZ270), 2)</f>
        <v>0.39</v>
      </c>
    </row>
    <row r="274" spans="1:110" x14ac:dyDescent="0.15">
      <c r="A274" s="23">
        <v>2023</v>
      </c>
      <c r="B274" s="23" t="s">
        <v>49</v>
      </c>
      <c r="C274" s="23">
        <v>14</v>
      </c>
      <c r="D274" s="23">
        <v>12</v>
      </c>
      <c r="E274" s="23" t="s">
        <v>50</v>
      </c>
      <c r="F274" s="23" t="s">
        <v>55</v>
      </c>
      <c r="G274" s="23" t="s">
        <v>5</v>
      </c>
      <c r="H274" s="23">
        <v>2</v>
      </c>
      <c r="I274" s="23" t="s">
        <v>62</v>
      </c>
      <c r="J274" s="23" t="s">
        <v>57</v>
      </c>
      <c r="K274" s="1" t="s">
        <v>57</v>
      </c>
      <c r="L274" s="27">
        <v>10000000000</v>
      </c>
      <c r="M274" s="27">
        <v>10000000000</v>
      </c>
      <c r="N274" s="24">
        <v>45079</v>
      </c>
      <c r="O274" s="24">
        <v>45086</v>
      </c>
      <c r="P274" s="24">
        <v>45069</v>
      </c>
      <c r="Q274" s="1">
        <f>P274-P271</f>
        <v>-10</v>
      </c>
      <c r="R274" s="1">
        <f>N274-N266</f>
        <v>2</v>
      </c>
      <c r="S274" s="1">
        <f>O274-O266</f>
        <v>2</v>
      </c>
      <c r="T274" s="1">
        <f t="shared" si="95"/>
        <v>2</v>
      </c>
      <c r="U274" s="1">
        <v>83</v>
      </c>
      <c r="V274" s="1">
        <v>87</v>
      </c>
      <c r="W274" s="1">
        <v>-4</v>
      </c>
      <c r="X274" s="1">
        <v>0</v>
      </c>
      <c r="Y274" s="1">
        <v>0</v>
      </c>
      <c r="Z274" s="1">
        <v>0</v>
      </c>
      <c r="AA274" s="1">
        <v>0</v>
      </c>
      <c r="AB274" s="1" t="s">
        <v>71</v>
      </c>
      <c r="AC274" s="1" t="s">
        <v>71</v>
      </c>
      <c r="AD274" s="25">
        <v>37</v>
      </c>
      <c r="AE274" s="25">
        <v>24</v>
      </c>
      <c r="AF274" s="25">
        <v>105.33333333333333</v>
      </c>
      <c r="AG274" s="25">
        <v>56</v>
      </c>
      <c r="AH274" s="1">
        <v>99</v>
      </c>
      <c r="AI274" s="1">
        <v>52</v>
      </c>
      <c r="AJ274" s="1">
        <v>2</v>
      </c>
      <c r="AK274" s="1">
        <v>0</v>
      </c>
      <c r="AL274" s="1">
        <v>0</v>
      </c>
      <c r="AM274" s="1">
        <v>0</v>
      </c>
      <c r="AN274" s="1">
        <v>0.02</v>
      </c>
      <c r="AO274" s="1">
        <v>0.04</v>
      </c>
      <c r="AP274" s="1">
        <v>8.0000000000000004E-4</v>
      </c>
      <c r="AQ274" s="1">
        <v>28</v>
      </c>
      <c r="AR274" s="1">
        <v>0.01</v>
      </c>
      <c r="AS274" s="1">
        <v>5</v>
      </c>
      <c r="AT274" s="1">
        <v>0.05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5.0000000000000001E-3</v>
      </c>
      <c r="BB274" s="1">
        <v>1E-4</v>
      </c>
      <c r="BC274" s="1">
        <v>4.9999999999999998E-7</v>
      </c>
      <c r="BD274" s="1">
        <v>0</v>
      </c>
      <c r="BE274" s="1">
        <v>0</v>
      </c>
      <c r="BF274" s="1">
        <v>0</v>
      </c>
      <c r="BG274" s="1">
        <v>0</v>
      </c>
      <c r="BH274" s="1">
        <v>900</v>
      </c>
      <c r="BI274" s="1">
        <v>7</v>
      </c>
      <c r="BJ274" s="1">
        <v>2</v>
      </c>
      <c r="BK274" s="1">
        <v>2.0000000000000001E-4</v>
      </c>
      <c r="BL274" s="1">
        <f t="shared" si="88"/>
        <v>0.02</v>
      </c>
      <c r="BM274" s="1">
        <v>0.02</v>
      </c>
      <c r="BN274" s="1">
        <v>0.01</v>
      </c>
      <c r="BO274" s="1">
        <v>2</v>
      </c>
      <c r="BP274" s="1">
        <v>5</v>
      </c>
      <c r="BQ274" s="1" t="s">
        <v>71</v>
      </c>
      <c r="BR274" s="1" t="s">
        <v>71</v>
      </c>
      <c r="BS274" s="1" t="s">
        <v>71</v>
      </c>
      <c r="BT274" s="1" t="s">
        <v>71</v>
      </c>
      <c r="BU274" s="1" t="s">
        <v>71</v>
      </c>
      <c r="BV274" s="1">
        <v>3</v>
      </c>
      <c r="BW274" s="1">
        <v>0.7</v>
      </c>
      <c r="BX274" s="1" t="s">
        <v>71</v>
      </c>
      <c r="BY274" s="1" t="s">
        <v>71</v>
      </c>
      <c r="BZ274" s="3">
        <v>1.2</v>
      </c>
      <c r="CA274" s="3">
        <v>0.3</v>
      </c>
      <c r="CB274" s="3">
        <f t="shared" si="89"/>
        <v>1.666666666666667</v>
      </c>
      <c r="CC274" s="3">
        <f t="shared" si="93"/>
        <v>0.41666666666666674</v>
      </c>
      <c r="CD274" s="1">
        <f>ROUND(CB274/CB263+CC274/CC271,2)</f>
        <v>0.83</v>
      </c>
      <c r="CE274" s="1">
        <f>ROUND(CB274/CB266+CC274/CC271,2)</f>
        <v>0.66</v>
      </c>
      <c r="CF274" s="1">
        <f t="shared" si="92"/>
        <v>0.66</v>
      </c>
      <c r="CG274" s="1">
        <f>ROUND(CB274/CB263,2)</f>
        <v>0.5</v>
      </c>
      <c r="CH274" s="1">
        <f>ROUND(CB274/CB266,2)</f>
        <v>0.32</v>
      </c>
      <c r="CI274" s="1">
        <f>ROUND(CC274/CC271,2)</f>
        <v>0.33</v>
      </c>
      <c r="CJ274" s="1">
        <f>ROUND((CC274+CB274)/MAX(CC271,CB266),2)</f>
        <v>0.41</v>
      </c>
      <c r="CK274" s="1">
        <f>ROUND(LN((0.9*BZ274)/(0.1*CA274))/(BZ263/CA271),2)</f>
        <v>1.34</v>
      </c>
      <c r="CL274" s="1">
        <f>ROUND(LN((0.9*BZ274)/(0.1*CA274))/(BZ266/CA271),2)</f>
        <v>0.87</v>
      </c>
      <c r="CM274" s="1">
        <f>ROUND(LN((0.1*CA274)/(0.9*BZ274))/(CA271/BZ263),2)</f>
        <v>-9.56</v>
      </c>
      <c r="CN274" s="1">
        <f>ROUND(LN((0.1*CA274)/(0.9*BZ274))/(CA271/BZ266),2)</f>
        <v>-14.73</v>
      </c>
      <c r="CO274" s="5">
        <v>51</v>
      </c>
      <c r="CP274" s="5">
        <v>72</v>
      </c>
      <c r="CQ274" s="1">
        <v>42</v>
      </c>
      <c r="CR274" s="1">
        <v>133</v>
      </c>
      <c r="CS274" s="5">
        <v>34.700000000000003</v>
      </c>
      <c r="CT274" s="1">
        <v>8.8000000000000007</v>
      </c>
      <c r="CU274" s="1">
        <v>5.8</v>
      </c>
      <c r="CV274" s="1" t="s">
        <v>71</v>
      </c>
      <c r="CW274" s="1" t="s">
        <v>71</v>
      </c>
      <c r="CX274" t="e">
        <f>ROUND(CV274*#REF!/10,1)</f>
        <v>#VALUE!</v>
      </c>
      <c r="CY274" s="1">
        <v>10.7</v>
      </c>
      <c r="CZ274">
        <f t="shared" si="94"/>
        <v>145</v>
      </c>
      <c r="DA274">
        <f>ROUND((CY274*CB274*10),0)</f>
        <v>178</v>
      </c>
      <c r="DB274">
        <f>(CZ274+DA274)/MAX(DA266,CZ271)</f>
        <v>0.72259507829977632</v>
      </c>
      <c r="DC274" s="26">
        <v>10.7</v>
      </c>
      <c r="DD274">
        <f t="shared" si="90"/>
        <v>323</v>
      </c>
      <c r="DE274">
        <f t="shared" ref="DE274:DE279" si="96">ROUND(MAX((DB274-DF274), 0), 2)</f>
        <v>0.4</v>
      </c>
      <c r="DF274">
        <f>ROUND(CZ274/MAX(DA266,CZ271), 2)</f>
        <v>0.32</v>
      </c>
    </row>
    <row r="275" spans="1:110" x14ac:dyDescent="0.15">
      <c r="A275" s="23">
        <v>2023</v>
      </c>
      <c r="B275" s="23" t="s">
        <v>49</v>
      </c>
      <c r="C275" s="23">
        <v>14</v>
      </c>
      <c r="D275" s="23">
        <v>13</v>
      </c>
      <c r="E275" s="23" t="s">
        <v>51</v>
      </c>
      <c r="F275" s="23" t="s">
        <v>53</v>
      </c>
      <c r="G275" s="23" t="s">
        <v>5</v>
      </c>
      <c r="H275" s="23">
        <v>2</v>
      </c>
      <c r="I275" s="23" t="s">
        <v>63</v>
      </c>
      <c r="J275" s="23" t="s">
        <v>57</v>
      </c>
      <c r="K275" s="24">
        <v>45080</v>
      </c>
      <c r="L275" s="1">
        <f>K275-K267</f>
        <v>-7</v>
      </c>
      <c r="M275" s="1">
        <f>K275-K269</f>
        <v>1</v>
      </c>
      <c r="N275" s="24">
        <v>45084</v>
      </c>
      <c r="O275" s="24">
        <v>45089</v>
      </c>
      <c r="P275" s="24">
        <v>45073</v>
      </c>
      <c r="Q275" s="1">
        <f>P275-P269</f>
        <v>-3</v>
      </c>
      <c r="R275" s="1">
        <f>N275-N267</f>
        <v>2</v>
      </c>
      <c r="S275" s="1">
        <f>O275-O267</f>
        <v>0</v>
      </c>
      <c r="T275" s="1">
        <f t="shared" si="95"/>
        <v>1</v>
      </c>
      <c r="U275" s="1">
        <v>79</v>
      </c>
      <c r="V275" s="1">
        <v>87</v>
      </c>
      <c r="W275" s="1">
        <v>-8</v>
      </c>
      <c r="X275" s="1">
        <v>0</v>
      </c>
      <c r="Y275" s="1">
        <v>0</v>
      </c>
      <c r="Z275" s="1">
        <v>0</v>
      </c>
      <c r="AA275" s="1">
        <v>0</v>
      </c>
      <c r="AB275" s="1" t="s">
        <v>71</v>
      </c>
      <c r="AC275" s="1" t="s">
        <v>71</v>
      </c>
      <c r="AD275" s="25">
        <v>32</v>
      </c>
      <c r="AE275" s="25">
        <v>25</v>
      </c>
      <c r="AF275" s="25">
        <v>99</v>
      </c>
      <c r="AG275" s="25">
        <v>55.666666666666664</v>
      </c>
      <c r="AH275" s="1">
        <v>99</v>
      </c>
      <c r="AI275" s="1">
        <v>57</v>
      </c>
      <c r="AJ275" s="1">
        <v>3.7</v>
      </c>
      <c r="AK275" s="1">
        <v>0</v>
      </c>
      <c r="AL275" s="1">
        <v>0</v>
      </c>
      <c r="AM275" s="1">
        <v>0</v>
      </c>
      <c r="AN275" s="1">
        <v>0.05</v>
      </c>
      <c r="AO275" s="1">
        <v>0.05</v>
      </c>
      <c r="AP275" s="1">
        <v>2.5000000000000005E-3</v>
      </c>
      <c r="AQ275" s="1">
        <v>55</v>
      </c>
      <c r="AR275" s="1">
        <v>7.0000000000000007E-2</v>
      </c>
      <c r="AS275" s="1">
        <v>10</v>
      </c>
      <c r="AT275" s="1">
        <v>0.70000000000000007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0.01</v>
      </c>
      <c r="BB275" s="1">
        <v>1E-4</v>
      </c>
      <c r="BC275" s="1">
        <v>9.9999999999999995E-7</v>
      </c>
      <c r="BD275" s="1">
        <v>0</v>
      </c>
      <c r="BE275" s="1">
        <v>0</v>
      </c>
      <c r="BF275" s="1">
        <v>0</v>
      </c>
      <c r="BG275" s="1">
        <v>0</v>
      </c>
      <c r="BH275" s="1">
        <v>1512</v>
      </c>
      <c r="BI275" s="1">
        <v>0.5</v>
      </c>
      <c r="BJ275" s="1">
        <v>0</v>
      </c>
      <c r="BK275" s="1">
        <v>2.1000000000000003E-3</v>
      </c>
      <c r="BL275" s="1">
        <f t="shared" si="88"/>
        <v>0.21000000000000002</v>
      </c>
      <c r="BM275" s="1">
        <v>7.0000000000000007E-2</v>
      </c>
      <c r="BN275" s="1">
        <v>0.03</v>
      </c>
      <c r="BO275" s="1">
        <v>2</v>
      </c>
      <c r="BP275" s="1">
        <v>0</v>
      </c>
      <c r="BQ275" s="1" t="s">
        <v>71</v>
      </c>
      <c r="BR275" s="1" t="s">
        <v>71</v>
      </c>
      <c r="BS275" s="1" t="s">
        <v>71</v>
      </c>
      <c r="BT275" s="1" t="s">
        <v>71</v>
      </c>
      <c r="BU275" s="1" t="s">
        <v>71</v>
      </c>
      <c r="BV275" s="1">
        <v>3.7</v>
      </c>
      <c r="BW275" s="1">
        <v>0</v>
      </c>
      <c r="BX275" s="1" t="s">
        <v>71</v>
      </c>
      <c r="BY275" s="1" t="s">
        <v>71</v>
      </c>
      <c r="BZ275" s="3">
        <v>1.9</v>
      </c>
      <c r="CA275" s="3">
        <v>0.9</v>
      </c>
      <c r="CB275" s="3">
        <f t="shared" si="89"/>
        <v>2.6388888888888888</v>
      </c>
      <c r="CC275" s="3">
        <f t="shared" si="93"/>
        <v>1.2500000000000002</v>
      </c>
      <c r="CD275" s="1">
        <f>ROUND(CB275/CB264+CC275/CC269,2)</f>
        <v>2.48</v>
      </c>
      <c r="CE275" s="1">
        <f>ROUND(CB275/CB267+CC275/CC269,2)</f>
        <v>2.25</v>
      </c>
      <c r="CF275" s="1">
        <f t="shared" si="92"/>
        <v>2.25</v>
      </c>
      <c r="CG275" s="1">
        <f>ROUND(CB275/CB264,2)</f>
        <v>0.68</v>
      </c>
      <c r="CH275" s="1">
        <f>ROUND(CB275/CB267,2)</f>
        <v>0.45</v>
      </c>
      <c r="CI275" s="1">
        <f>ROUND(CC275/CC269,2)</f>
        <v>1.8</v>
      </c>
      <c r="CJ275" s="1">
        <f>ROUND((CC275+CB275)/MAX(CC269,CB267),2)</f>
        <v>0.67</v>
      </c>
      <c r="CK275" s="1">
        <f>ROUND(LN((0.9*BZ275)/(0.1*CA275))/(BZ264/CA269),2)</f>
        <v>0.53</v>
      </c>
      <c r="CL275" s="1">
        <f>ROUND(LN((0.9*BZ275)/(0.1*CA275))/(BZ267/CA269),2)</f>
        <v>0.35</v>
      </c>
      <c r="CM275" s="1">
        <f>ROUND(LN((0.1*CA275)/(0.9*BZ275))/(CA272/BZ266),2)</f>
        <v>-15.56</v>
      </c>
      <c r="CN275" s="1">
        <f>ROUND(LN((0.1*CA275)/(0.9*BZ275))/(CA269/BZ267),2)</f>
        <v>-24.73</v>
      </c>
      <c r="CO275" s="5">
        <v>49</v>
      </c>
      <c r="CP275" s="5">
        <v>76</v>
      </c>
      <c r="CQ275" s="1">
        <v>35</v>
      </c>
      <c r="CR275" s="1">
        <v>156</v>
      </c>
      <c r="CS275" s="5">
        <v>33.9</v>
      </c>
      <c r="CT275" s="1">
        <v>8.8000000000000007</v>
      </c>
      <c r="CU275" s="1">
        <v>6.4</v>
      </c>
      <c r="CV275" s="1" t="s">
        <v>71</v>
      </c>
      <c r="CW275" s="1" t="s">
        <v>71</v>
      </c>
      <c r="CX275" t="e">
        <f>ROUND(CV275*#REF!/10,1)</f>
        <v>#VALUE!</v>
      </c>
      <c r="CY275" s="1">
        <v>8.5</v>
      </c>
      <c r="CZ275">
        <f t="shared" si="94"/>
        <v>424</v>
      </c>
      <c r="DA275">
        <f>ROUND((CY275*CB275*10),0)</f>
        <v>224</v>
      </c>
      <c r="DB275">
        <f>(CZ275+DA275)/MAX(DA267,CZ269)</f>
        <v>1.3064516129032258</v>
      </c>
      <c r="DC275" s="26">
        <v>8.5</v>
      </c>
      <c r="DD275">
        <f t="shared" si="90"/>
        <v>648</v>
      </c>
      <c r="DE275">
        <f t="shared" si="96"/>
        <v>0.46</v>
      </c>
      <c r="DF275">
        <f>ROUND(CZ275/MAX(DA267,CZ269), 2)</f>
        <v>0.85</v>
      </c>
    </row>
    <row r="276" spans="1:110" ht="15" x14ac:dyDescent="0.15">
      <c r="A276" s="23">
        <v>2023</v>
      </c>
      <c r="B276" s="23" t="s">
        <v>49</v>
      </c>
      <c r="C276" s="23">
        <v>14</v>
      </c>
      <c r="D276" s="23">
        <v>14</v>
      </c>
      <c r="E276" s="23" t="s">
        <v>51</v>
      </c>
      <c r="F276" s="23" t="s">
        <v>54</v>
      </c>
      <c r="G276" s="23" t="s">
        <v>5</v>
      </c>
      <c r="H276" s="23">
        <v>2</v>
      </c>
      <c r="I276" s="23" t="s">
        <v>64</v>
      </c>
      <c r="J276" s="23" t="s">
        <v>57</v>
      </c>
      <c r="K276" s="24">
        <v>45084</v>
      </c>
      <c r="L276" s="1">
        <f>K276-K267</f>
        <v>-3</v>
      </c>
      <c r="M276" s="1">
        <f>K276-K270</f>
        <v>4</v>
      </c>
      <c r="N276" s="24">
        <v>45084</v>
      </c>
      <c r="O276" s="24">
        <v>45094</v>
      </c>
      <c r="P276" s="24">
        <v>45075</v>
      </c>
      <c r="Q276" s="1">
        <f>P276-P270</f>
        <v>0</v>
      </c>
      <c r="R276" s="1">
        <f>N276-N267</f>
        <v>2</v>
      </c>
      <c r="S276" s="1">
        <f>O276-O267</f>
        <v>5</v>
      </c>
      <c r="T276" s="1">
        <f t="shared" si="95"/>
        <v>3.5</v>
      </c>
      <c r="U276" s="1">
        <v>77</v>
      </c>
      <c r="V276" s="1">
        <v>85</v>
      </c>
      <c r="W276" s="1">
        <v>-8</v>
      </c>
      <c r="X276" s="1">
        <v>0</v>
      </c>
      <c r="Y276" s="1">
        <v>0</v>
      </c>
      <c r="Z276" s="1">
        <v>0</v>
      </c>
      <c r="AA276" s="1">
        <v>0</v>
      </c>
      <c r="AB276" s="1" t="s">
        <v>71</v>
      </c>
      <c r="AC276" s="1" t="s">
        <v>71</v>
      </c>
      <c r="AD276" s="25">
        <v>34</v>
      </c>
      <c r="AE276" s="25">
        <v>23</v>
      </c>
      <c r="AF276" s="25">
        <v>109.33333333333333</v>
      </c>
      <c r="AG276" s="25">
        <v>57</v>
      </c>
      <c r="AH276" s="1">
        <v>105</v>
      </c>
      <c r="AI276" s="1">
        <v>51</v>
      </c>
      <c r="AJ276" s="1">
        <v>1.7</v>
      </c>
      <c r="AK276" s="1">
        <v>0</v>
      </c>
      <c r="AL276" s="1">
        <v>0</v>
      </c>
      <c r="AM276" s="1">
        <v>0</v>
      </c>
      <c r="AN276" s="1">
        <v>0.05</v>
      </c>
      <c r="AO276" s="1">
        <v>2.5000000000000001E-2</v>
      </c>
      <c r="AP276" s="1">
        <v>1.2500000000000002E-3</v>
      </c>
      <c r="AQ276" s="1">
        <v>28</v>
      </c>
      <c r="AR276" s="1">
        <v>0.05</v>
      </c>
      <c r="AS276" s="1">
        <v>5</v>
      </c>
      <c r="AT276" s="1">
        <v>0.25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5.0000000000000001E-3</v>
      </c>
      <c r="BB276" s="1">
        <v>5.0000000000000002E-5</v>
      </c>
      <c r="BC276" s="1">
        <v>2.4999999999999999E-7</v>
      </c>
      <c r="BD276" s="1">
        <v>0</v>
      </c>
      <c r="BE276" s="1">
        <v>0</v>
      </c>
      <c r="BF276" s="1">
        <v>0</v>
      </c>
      <c r="BG276" s="1">
        <v>0</v>
      </c>
      <c r="BH276" s="1">
        <v>24</v>
      </c>
      <c r="BI276" s="1">
        <v>5</v>
      </c>
      <c r="BJ276" s="1">
        <v>0.1</v>
      </c>
      <c r="BK276" s="1">
        <v>1.6000000000000001E-3</v>
      </c>
      <c r="BL276" s="1">
        <f t="shared" si="88"/>
        <v>0.16</v>
      </c>
      <c r="BM276" s="1">
        <v>0.04</v>
      </c>
      <c r="BN276" s="1">
        <v>0.04</v>
      </c>
      <c r="BO276" s="1">
        <v>2</v>
      </c>
      <c r="BP276" s="1">
        <v>5</v>
      </c>
      <c r="BQ276" s="1" t="s">
        <v>71</v>
      </c>
      <c r="BR276" s="1" t="s">
        <v>71</v>
      </c>
      <c r="BS276" s="1" t="s">
        <v>71</v>
      </c>
      <c r="BT276" s="1" t="s">
        <v>71</v>
      </c>
      <c r="BU276" s="1" t="s">
        <v>71</v>
      </c>
      <c r="BV276" s="1">
        <v>4.3</v>
      </c>
      <c r="BW276" s="1">
        <v>1.3</v>
      </c>
      <c r="BX276" s="1" t="s">
        <v>71</v>
      </c>
      <c r="BY276" s="1" t="s">
        <v>71</v>
      </c>
      <c r="BZ276" s="3">
        <v>1.9</v>
      </c>
      <c r="CA276" s="3">
        <v>0.4</v>
      </c>
      <c r="CB276" s="3">
        <f t="shared" si="89"/>
        <v>2.6388888888888888</v>
      </c>
      <c r="CC276" s="3">
        <f t="shared" si="93"/>
        <v>0.55555555555555569</v>
      </c>
      <c r="CD276" s="1">
        <f>ROUND(CB276/CB264+CC276/CC270,2)</f>
        <v>0.99</v>
      </c>
      <c r="CE276" s="1">
        <f>ROUND(CB276/CB267+CC276/CC270,2)</f>
        <v>0.76</v>
      </c>
      <c r="CF276" s="1">
        <f t="shared" si="92"/>
        <v>0.76</v>
      </c>
      <c r="CG276" s="1">
        <f>ROUND(CB276/CB264,2)</f>
        <v>0.68</v>
      </c>
      <c r="CH276" s="1">
        <f>ROUND(CB276/CB267,2)</f>
        <v>0.45</v>
      </c>
      <c r="CI276" s="1">
        <f>ROUND(CC276/CC270,2)</f>
        <v>0.31</v>
      </c>
      <c r="CJ276" s="1">
        <f>ROUND((CC276+CB276)/MAX(CC270,CB267),2)</f>
        <v>0.55000000000000004</v>
      </c>
      <c r="CK276" s="1">
        <f>ROUND(LN((0.9*BZ276)/(0.1*CA276))/(BZ264/CA270),2)</f>
        <v>1.74</v>
      </c>
      <c r="CL276" s="1">
        <f>ROUND(LN((0.9*BZ276)/(0.1*CA276))/(BZ267/CA270),2)</f>
        <v>1.1599999999999999</v>
      </c>
      <c r="CM276" s="1">
        <f>ROUND(LN((0.1*CA276)/(0.9*BZ276))/(CA273/BZ266),2)</f>
        <v>-27.79</v>
      </c>
      <c r="CN276" s="1">
        <f>ROUND(LN((0.1*CA276)/(0.9*BZ276))/(CA270/BZ267),2)</f>
        <v>-12.13</v>
      </c>
      <c r="CO276" s="5">
        <v>57</v>
      </c>
      <c r="CP276" s="5">
        <v>73</v>
      </c>
      <c r="CQ276" s="1">
        <v>33</v>
      </c>
      <c r="CR276" s="1">
        <v>103</v>
      </c>
      <c r="CS276" s="5" t="s">
        <v>71</v>
      </c>
      <c r="CT276" s="1">
        <v>8.6999999999999993</v>
      </c>
      <c r="CU276" s="1">
        <v>6.1</v>
      </c>
      <c r="CV276" s="1" t="s">
        <v>71</v>
      </c>
      <c r="CW276" s="1" t="s">
        <v>71</v>
      </c>
      <c r="CX276" t="e">
        <f>ROUND(CV276*#REF!/10,1)</f>
        <v>#VALUE!</v>
      </c>
      <c r="CY276" s="1">
        <v>8</v>
      </c>
      <c r="CZ276" t="s">
        <v>71</v>
      </c>
      <c r="DA276">
        <f>ROUND((CY276*CB276*10),0)</f>
        <v>211</v>
      </c>
      <c r="DB276" t="s">
        <v>71</v>
      </c>
      <c r="DC276" s="26">
        <v>8</v>
      </c>
      <c r="DD276">
        <f t="shared" si="90"/>
        <v>211</v>
      </c>
      <c r="DE276" s="1" t="s">
        <v>71</v>
      </c>
      <c r="DF276" s="1" t="s">
        <v>71</v>
      </c>
    </row>
    <row r="277" spans="1:110" x14ac:dyDescent="0.15">
      <c r="A277" s="23">
        <v>2023</v>
      </c>
      <c r="B277" s="23" t="s">
        <v>49</v>
      </c>
      <c r="C277" s="23">
        <v>14</v>
      </c>
      <c r="D277" s="23">
        <v>15</v>
      </c>
      <c r="E277" s="23" t="s">
        <v>51</v>
      </c>
      <c r="F277" s="23" t="s">
        <v>55</v>
      </c>
      <c r="G277" s="23" t="s">
        <v>5</v>
      </c>
      <c r="H277" s="23">
        <v>2</v>
      </c>
      <c r="I277" s="23" t="s">
        <v>65</v>
      </c>
      <c r="J277" s="23" t="s">
        <v>57</v>
      </c>
      <c r="K277" s="1" t="s">
        <v>57</v>
      </c>
      <c r="L277" s="27">
        <v>10000000000</v>
      </c>
      <c r="M277" s="27">
        <v>10000000000</v>
      </c>
      <c r="N277" s="24">
        <v>45081</v>
      </c>
      <c r="O277" s="24">
        <v>45090</v>
      </c>
      <c r="P277" s="24">
        <v>45077</v>
      </c>
      <c r="Q277" s="1">
        <f>P277-P271</f>
        <v>-2</v>
      </c>
      <c r="R277" s="1">
        <f>N277-N267</f>
        <v>-1</v>
      </c>
      <c r="S277" s="1">
        <f>O277-O267</f>
        <v>1</v>
      </c>
      <c r="T277" s="1">
        <f t="shared" si="95"/>
        <v>0</v>
      </c>
      <c r="U277" s="1">
        <v>85</v>
      </c>
      <c r="V277" s="1">
        <v>87</v>
      </c>
      <c r="W277" s="1">
        <v>-2</v>
      </c>
      <c r="X277" s="1">
        <v>0</v>
      </c>
      <c r="Y277" s="1">
        <v>0</v>
      </c>
      <c r="Z277" s="1">
        <v>0</v>
      </c>
      <c r="AA277" s="1">
        <v>0</v>
      </c>
      <c r="AB277" s="1" t="s">
        <v>71</v>
      </c>
      <c r="AC277" s="1" t="s">
        <v>71</v>
      </c>
      <c r="AD277" s="25">
        <v>32</v>
      </c>
      <c r="AE277" s="25">
        <v>20</v>
      </c>
      <c r="AF277" s="25">
        <v>85.666666666666671</v>
      </c>
      <c r="AG277" s="25">
        <v>44.333333333333336</v>
      </c>
      <c r="AH277" s="1">
        <v>78</v>
      </c>
      <c r="AI277" s="1">
        <v>45</v>
      </c>
      <c r="AJ277" s="1">
        <v>2.2999999999999998</v>
      </c>
      <c r="AK277" s="1">
        <v>0</v>
      </c>
      <c r="AL277" s="1">
        <v>0</v>
      </c>
      <c r="AM277" s="1">
        <v>0</v>
      </c>
      <c r="AN277" s="1">
        <v>0.1</v>
      </c>
      <c r="AO277" s="1">
        <v>7.0000000000000007E-2</v>
      </c>
      <c r="AP277" s="1">
        <v>7.000000000000001E-3</v>
      </c>
      <c r="AQ277" s="1">
        <v>27</v>
      </c>
      <c r="AR277" s="1">
        <v>0.01</v>
      </c>
      <c r="AS277" s="1">
        <v>5</v>
      </c>
      <c r="AT277" s="1">
        <v>0.05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5.0000000000000001E-3</v>
      </c>
      <c r="BB277" s="1">
        <v>5.0000000000000001E-4</v>
      </c>
      <c r="BC277" s="1">
        <v>2.5000000000000002E-6</v>
      </c>
      <c r="BD277" s="1">
        <v>0</v>
      </c>
      <c r="BE277" s="1">
        <v>0</v>
      </c>
      <c r="BF277" s="1">
        <v>0</v>
      </c>
      <c r="BG277" s="1">
        <v>0</v>
      </c>
      <c r="BH277" s="1">
        <v>494</v>
      </c>
      <c r="BI277" s="1">
        <v>15</v>
      </c>
      <c r="BJ277" s="1">
        <v>10</v>
      </c>
      <c r="BK277" s="1">
        <v>0.04</v>
      </c>
      <c r="BL277" s="1">
        <f t="shared" si="88"/>
        <v>4</v>
      </c>
      <c r="BM277" s="1">
        <v>0.5</v>
      </c>
      <c r="BN277" s="1">
        <v>0.08</v>
      </c>
      <c r="BO277" s="1">
        <v>2</v>
      </c>
      <c r="BP277" s="1">
        <v>0</v>
      </c>
      <c r="BQ277" s="1" t="s">
        <v>71</v>
      </c>
      <c r="BR277" s="1" t="s">
        <v>71</v>
      </c>
      <c r="BS277" s="1" t="s">
        <v>71</v>
      </c>
      <c r="BT277" s="1" t="s">
        <v>71</v>
      </c>
      <c r="BU277" s="1" t="s">
        <v>71</v>
      </c>
      <c r="BV277" s="1">
        <v>3.3</v>
      </c>
      <c r="BW277" s="1">
        <v>0</v>
      </c>
      <c r="BX277" s="1" t="s">
        <v>71</v>
      </c>
      <c r="BY277" s="1" t="s">
        <v>71</v>
      </c>
      <c r="BZ277" s="3">
        <v>1.9</v>
      </c>
      <c r="CA277" s="3">
        <v>0.4</v>
      </c>
      <c r="CB277" s="3">
        <f t="shared" si="89"/>
        <v>2.6388888888888888</v>
      </c>
      <c r="CC277" s="3">
        <f t="shared" si="93"/>
        <v>0.55555555555555569</v>
      </c>
      <c r="CD277" s="1">
        <f>ROUND(CB277/CB264+CC277/CC271,2)</f>
        <v>1.1200000000000001</v>
      </c>
      <c r="CE277" s="1">
        <f>ROUND(CB277/CB267+CC277/CC271,2)</f>
        <v>0.9</v>
      </c>
      <c r="CF277" s="1">
        <f t="shared" si="92"/>
        <v>0.9</v>
      </c>
      <c r="CG277" s="1">
        <f>ROUND(CB277/CB264,2)</f>
        <v>0.68</v>
      </c>
      <c r="CH277" s="1">
        <f>ROUND(CB277/CB267,2)</f>
        <v>0.45</v>
      </c>
      <c r="CI277" s="1">
        <f>ROUND(CC277/CC271,2)</f>
        <v>0.44</v>
      </c>
      <c r="CJ277" s="1">
        <f>ROUND((CC277+CB277)/MAX(CC271,CB267),2)</f>
        <v>0.55000000000000004</v>
      </c>
      <c r="CK277" s="1">
        <f>ROUND(LN((0.9*BZ277)/(0.1*CA277))/(BZ264/CA271),2)</f>
        <v>1.21</v>
      </c>
      <c r="CL277" s="1">
        <f>ROUND(LN((0.9*BZ277)/(0.1*CA277))/(BZ267/CA271),2)</f>
        <v>0.8</v>
      </c>
      <c r="CM277" s="1">
        <f>ROUND(LN((0.1*CA277)/(0.9*BZ277))/(CA274/BZ266),2)</f>
        <v>-46.32</v>
      </c>
      <c r="CN277" s="1">
        <f>ROUND(LN((0.1*CA277)/(0.9*BZ277))/(CA271/BZ267),2)</f>
        <v>-17.53</v>
      </c>
      <c r="CO277" s="5">
        <v>48</v>
      </c>
      <c r="CP277" s="5">
        <v>72</v>
      </c>
      <c r="CQ277" s="1">
        <v>36</v>
      </c>
      <c r="CR277" s="1">
        <v>135</v>
      </c>
      <c r="CS277" s="5">
        <v>37.9</v>
      </c>
      <c r="CT277" s="1">
        <v>8.3000000000000007</v>
      </c>
      <c r="CU277" s="1">
        <v>5.7</v>
      </c>
      <c r="CV277" s="1" t="s">
        <v>71</v>
      </c>
      <c r="CW277" s="1" t="s">
        <v>71</v>
      </c>
      <c r="CX277" t="e">
        <f>ROUND(CV277*#REF!/10,1)</f>
        <v>#VALUE!</v>
      </c>
      <c r="CY277" s="1">
        <v>9</v>
      </c>
      <c r="CZ277">
        <f>ROUND((10*CC277*CS277),0)</f>
        <v>211</v>
      </c>
      <c r="DA277">
        <f>ROUND((CY277*CB277*10),0)</f>
        <v>238</v>
      </c>
      <c r="DB277">
        <f>(CZ277+DA277)/MAX(DA267,CZ271)</f>
        <v>0.905241935483871</v>
      </c>
      <c r="DC277" s="26">
        <v>9</v>
      </c>
      <c r="DD277">
        <f t="shared" si="90"/>
        <v>449</v>
      </c>
      <c r="DE277">
        <f t="shared" si="96"/>
        <v>0.48</v>
      </c>
      <c r="DF277">
        <f>ROUND(CZ277/MAX(DA267,CZ271), 2)</f>
        <v>0.43</v>
      </c>
    </row>
    <row r="278" spans="1:110" ht="15" x14ac:dyDescent="0.15">
      <c r="A278" s="23">
        <v>2023</v>
      </c>
      <c r="B278" s="23" t="s">
        <v>49</v>
      </c>
      <c r="C278" s="23">
        <v>14</v>
      </c>
      <c r="D278" s="23">
        <v>16</v>
      </c>
      <c r="E278" s="23" t="s">
        <v>52</v>
      </c>
      <c r="F278" s="23" t="s">
        <v>53</v>
      </c>
      <c r="G278" s="23" t="s">
        <v>5</v>
      </c>
      <c r="H278" s="23">
        <v>2</v>
      </c>
      <c r="I278" s="23" t="s">
        <v>66</v>
      </c>
      <c r="J278" s="23" t="s">
        <v>57</v>
      </c>
      <c r="K278" s="1" t="s">
        <v>57</v>
      </c>
      <c r="L278" s="27">
        <v>10000000000</v>
      </c>
      <c r="M278" s="27">
        <v>10000000000</v>
      </c>
      <c r="N278" s="24">
        <v>45083</v>
      </c>
      <c r="O278" s="24">
        <v>45096</v>
      </c>
      <c r="P278" s="24">
        <v>45073</v>
      </c>
      <c r="Q278" s="1">
        <f>P278-P269</f>
        <v>-3</v>
      </c>
      <c r="R278" s="1">
        <f>N278-N268</f>
        <v>2</v>
      </c>
      <c r="S278" s="1">
        <f>O278-O268</f>
        <v>6</v>
      </c>
      <c r="T278" s="1">
        <f t="shared" si="95"/>
        <v>4</v>
      </c>
      <c r="U278" s="1">
        <v>85</v>
      </c>
      <c r="V278" s="1">
        <v>85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 t="s">
        <v>71</v>
      </c>
      <c r="AC278" s="1" t="s">
        <v>71</v>
      </c>
      <c r="AD278" s="25">
        <v>31</v>
      </c>
      <c r="AE278" s="25">
        <v>20</v>
      </c>
      <c r="AF278" s="25">
        <v>76.666666666666671</v>
      </c>
      <c r="AG278" s="25">
        <v>45.333333333333336</v>
      </c>
      <c r="AH278" s="1">
        <v>74</v>
      </c>
      <c r="AI278" s="1">
        <v>45</v>
      </c>
      <c r="AJ278" s="1">
        <v>3</v>
      </c>
      <c r="AK278" s="1">
        <v>0</v>
      </c>
      <c r="AL278" s="1">
        <v>0</v>
      </c>
      <c r="AM278" s="1">
        <v>0</v>
      </c>
      <c r="AN278" s="1">
        <v>2.5000000000000001E-2</v>
      </c>
      <c r="AO278" s="1">
        <v>0.03</v>
      </c>
      <c r="AP278" s="1">
        <v>7.5000000000000002E-4</v>
      </c>
      <c r="AQ278" s="1">
        <v>42</v>
      </c>
      <c r="AR278" s="1">
        <v>0.5</v>
      </c>
      <c r="AS278" s="1">
        <v>5</v>
      </c>
      <c r="AT278" s="1">
        <v>2.5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0.1</v>
      </c>
      <c r="BA278" s="1">
        <v>0.05</v>
      </c>
      <c r="BB278" s="1">
        <v>1E-4</v>
      </c>
      <c r="BC278" s="1">
        <v>5.0000000000000004E-6</v>
      </c>
      <c r="BD278" s="1">
        <v>0</v>
      </c>
      <c r="BE278" s="1">
        <v>0</v>
      </c>
      <c r="BF278" s="1">
        <v>0</v>
      </c>
      <c r="BG278" s="1">
        <v>0</v>
      </c>
      <c r="BH278" s="1">
        <v>90</v>
      </c>
      <c r="BI278" s="1">
        <v>15</v>
      </c>
      <c r="BJ278" s="1">
        <v>8</v>
      </c>
      <c r="BK278" s="1">
        <v>1.5E-3</v>
      </c>
      <c r="BL278" s="1">
        <f t="shared" si="88"/>
        <v>0.15</v>
      </c>
      <c r="BM278" s="1">
        <v>0.15</v>
      </c>
      <c r="BN278" s="1">
        <v>0.01</v>
      </c>
      <c r="BO278" s="1">
        <v>2</v>
      </c>
      <c r="BP278" s="1">
        <v>0</v>
      </c>
      <c r="BQ278" s="1" t="s">
        <v>71</v>
      </c>
      <c r="BR278" s="1" t="s">
        <v>71</v>
      </c>
      <c r="BS278" s="1" t="s">
        <v>71</v>
      </c>
      <c r="BT278" s="1" t="s">
        <v>71</v>
      </c>
      <c r="BU278" s="1" t="s">
        <v>71</v>
      </c>
      <c r="BV278" s="1">
        <v>4.3</v>
      </c>
      <c r="BW278" s="1">
        <v>0</v>
      </c>
      <c r="BX278" s="1" t="s">
        <v>71</v>
      </c>
      <c r="BY278" s="1" t="s">
        <v>71</v>
      </c>
      <c r="BZ278" s="3" t="s">
        <v>71</v>
      </c>
      <c r="CA278" s="3" t="s">
        <v>71</v>
      </c>
      <c r="CB278" s="3" t="s">
        <v>71</v>
      </c>
      <c r="CC278" s="3" t="s">
        <v>71</v>
      </c>
      <c r="CD278" s="3" t="s">
        <v>71</v>
      </c>
      <c r="CE278" s="3" t="s">
        <v>71</v>
      </c>
      <c r="CF278" s="3" t="s">
        <v>71</v>
      </c>
      <c r="CG278" s="3" t="s">
        <v>71</v>
      </c>
      <c r="CH278" s="3" t="s">
        <v>71</v>
      </c>
      <c r="CI278" s="3" t="s">
        <v>71</v>
      </c>
      <c r="CJ278" s="3" t="s">
        <v>71</v>
      </c>
      <c r="CK278" s="3" t="s">
        <v>71</v>
      </c>
      <c r="CL278" s="3" t="s">
        <v>71</v>
      </c>
      <c r="CM278" s="3" t="s">
        <v>71</v>
      </c>
      <c r="CN278" s="3" t="s">
        <v>71</v>
      </c>
      <c r="CO278" s="5" t="s">
        <v>71</v>
      </c>
      <c r="CP278" s="5" t="s">
        <v>71</v>
      </c>
      <c r="CQ278" s="1" t="s">
        <v>71</v>
      </c>
      <c r="CR278" s="1" t="s">
        <v>71</v>
      </c>
      <c r="CS278" s="5" t="s">
        <v>71</v>
      </c>
      <c r="CT278" s="1" t="s">
        <v>71</v>
      </c>
      <c r="CU278" s="1" t="s">
        <v>71</v>
      </c>
      <c r="CV278" s="1" t="s">
        <v>71</v>
      </c>
      <c r="CW278" s="1" t="s">
        <v>71</v>
      </c>
      <c r="CX278" t="e">
        <f>ROUND(CV278*#REF!/10,1)</f>
        <v>#VALUE!</v>
      </c>
      <c r="CY278" s="1" t="s">
        <v>71</v>
      </c>
      <c r="CZ278" t="s">
        <v>71</v>
      </c>
      <c r="DA278" s="1" t="s">
        <v>71</v>
      </c>
      <c r="DB278" t="s">
        <v>71</v>
      </c>
      <c r="DC278" s="26" t="s">
        <v>71</v>
      </c>
      <c r="DD278">
        <f t="shared" si="90"/>
        <v>0</v>
      </c>
      <c r="DE278" s="1" t="s">
        <v>71</v>
      </c>
      <c r="DF278" s="1" t="s">
        <v>71</v>
      </c>
    </row>
    <row r="279" spans="1:110" x14ac:dyDescent="0.15">
      <c r="A279" s="23">
        <v>2023</v>
      </c>
      <c r="B279" s="23" t="s">
        <v>49</v>
      </c>
      <c r="C279" s="23">
        <v>14</v>
      </c>
      <c r="D279" s="23">
        <v>17</v>
      </c>
      <c r="E279" s="23" t="s">
        <v>52</v>
      </c>
      <c r="F279" s="23" t="s">
        <v>54</v>
      </c>
      <c r="G279" s="23" t="s">
        <v>5</v>
      </c>
      <c r="H279" s="23">
        <v>2</v>
      </c>
      <c r="I279" s="23" t="s">
        <v>67</v>
      </c>
      <c r="J279" s="23" t="s">
        <v>57</v>
      </c>
      <c r="K279" s="24">
        <v>45089</v>
      </c>
      <c r="L279" s="27">
        <v>10000000000</v>
      </c>
      <c r="M279" s="1">
        <f>K279-K270</f>
        <v>9</v>
      </c>
      <c r="N279" s="24">
        <v>45084</v>
      </c>
      <c r="O279" s="24">
        <v>45096</v>
      </c>
      <c r="P279" s="24">
        <v>45074</v>
      </c>
      <c r="Q279" s="1">
        <f>P279-P270</f>
        <v>-1</v>
      </c>
      <c r="R279" s="1">
        <f>N279-N268</f>
        <v>3</v>
      </c>
      <c r="S279" s="1">
        <f>O279-O268</f>
        <v>6</v>
      </c>
      <c r="T279" s="1">
        <f t="shared" si="95"/>
        <v>4.5</v>
      </c>
      <c r="U279" s="1">
        <v>77</v>
      </c>
      <c r="V279" s="1">
        <v>87</v>
      </c>
      <c r="W279" s="1">
        <v>-10</v>
      </c>
      <c r="X279" s="1">
        <v>0</v>
      </c>
      <c r="Y279" s="1">
        <v>0</v>
      </c>
      <c r="Z279" s="1">
        <v>0</v>
      </c>
      <c r="AA279" s="1">
        <v>0</v>
      </c>
      <c r="AB279" s="1" t="s">
        <v>71</v>
      </c>
      <c r="AC279" s="1" t="s">
        <v>71</v>
      </c>
      <c r="AD279" s="25">
        <v>31</v>
      </c>
      <c r="AE279" s="25">
        <v>19</v>
      </c>
      <c r="AF279" s="25">
        <v>75.666666666666671</v>
      </c>
      <c r="AG279" s="25">
        <v>45.333333333333336</v>
      </c>
      <c r="AH279" s="1">
        <v>73</v>
      </c>
      <c r="AI279" s="1">
        <v>42</v>
      </c>
      <c r="AJ279" s="1">
        <v>3.7</v>
      </c>
      <c r="AK279" s="1">
        <v>0</v>
      </c>
      <c r="AL279" s="1">
        <v>0</v>
      </c>
      <c r="AM279" s="1">
        <v>0</v>
      </c>
      <c r="AN279" s="1">
        <v>0.05</v>
      </c>
      <c r="AO279" s="1">
        <v>2.5000000000000001E-2</v>
      </c>
      <c r="AP279" s="1">
        <v>1.2500000000000002E-3</v>
      </c>
      <c r="AQ279" s="1">
        <v>37</v>
      </c>
      <c r="AR279" s="1">
        <v>7.0000000000000007E-2</v>
      </c>
      <c r="AS279" s="1">
        <v>10</v>
      </c>
      <c r="AT279" s="1">
        <v>0.70000000000000007</v>
      </c>
      <c r="AU279" s="1">
        <v>0.01</v>
      </c>
      <c r="AV279" s="1">
        <v>1</v>
      </c>
      <c r="AW279" s="1">
        <v>0.01</v>
      </c>
      <c r="AX279" s="1">
        <v>0</v>
      </c>
      <c r="AY279" s="1">
        <v>0</v>
      </c>
      <c r="AZ279" s="1">
        <v>0</v>
      </c>
      <c r="BA279" s="1">
        <v>0.02</v>
      </c>
      <c r="BB279" s="1">
        <v>5.0000000000000002E-5</v>
      </c>
      <c r="BC279" s="1">
        <v>9.9999999999999995E-7</v>
      </c>
      <c r="BD279" s="1">
        <v>0</v>
      </c>
      <c r="BE279" s="1">
        <v>0</v>
      </c>
      <c r="BF279" s="1">
        <v>0</v>
      </c>
      <c r="BG279" s="1">
        <v>0</v>
      </c>
      <c r="BH279" s="1">
        <v>473</v>
      </c>
      <c r="BI279" s="1">
        <v>10</v>
      </c>
      <c r="BJ279" s="1">
        <v>4</v>
      </c>
      <c r="BK279" s="1">
        <v>5.6000000000000008E-3</v>
      </c>
      <c r="BL279" s="1">
        <f t="shared" si="88"/>
        <v>0.56000000000000005</v>
      </c>
      <c r="BM279" s="1">
        <v>0.08</v>
      </c>
      <c r="BN279" s="1">
        <v>7.0000000000000007E-2</v>
      </c>
      <c r="BO279" s="1">
        <v>2</v>
      </c>
      <c r="BP279" s="1">
        <v>0</v>
      </c>
      <c r="BQ279" s="1" t="s">
        <v>71</v>
      </c>
      <c r="BR279" s="1" t="s">
        <v>71</v>
      </c>
      <c r="BS279" s="1" t="s">
        <v>71</v>
      </c>
      <c r="BT279" s="1" t="s">
        <v>71</v>
      </c>
      <c r="BU279" s="1" t="s">
        <v>71</v>
      </c>
      <c r="BV279" s="1">
        <v>4.3</v>
      </c>
      <c r="BW279" s="1">
        <v>0</v>
      </c>
      <c r="BX279" s="1" t="s">
        <v>71</v>
      </c>
      <c r="BY279" s="1" t="s">
        <v>71</v>
      </c>
      <c r="BZ279" s="3">
        <v>1.7</v>
      </c>
      <c r="CA279" s="3">
        <v>0.5</v>
      </c>
      <c r="CB279" s="3">
        <f t="shared" si="89"/>
        <v>2.3611111111111112</v>
      </c>
      <c r="CC279" s="3">
        <f t="shared" si="93"/>
        <v>0.69444444444444442</v>
      </c>
      <c r="CD279" s="1">
        <f>ROUND(CB279/CB265+CC279/CC270,2)</f>
        <v>1.06</v>
      </c>
      <c r="CE279" s="1">
        <f>ROUND(CB279/CB268+CC279/CC270,2)</f>
        <v>0.82</v>
      </c>
      <c r="CF279" s="1">
        <f>ROUND(CB279/(1.2*CB268)+CC279/CC270,2)</f>
        <v>0.75</v>
      </c>
      <c r="CG279" s="1">
        <f>ROUND(CB279/CB265,2)</f>
        <v>0.68</v>
      </c>
      <c r="CH279" s="1">
        <f>ROUND(CB279/CB268,2)</f>
        <v>0.44</v>
      </c>
      <c r="CI279" s="1">
        <f>ROUND(CC279/CC270,2)</f>
        <v>0.38</v>
      </c>
      <c r="CJ279" s="1">
        <f>ROUND((CC279+CB279)/MAX(CC270,CB268),2)</f>
        <v>0.56000000000000005</v>
      </c>
      <c r="CK279" s="1">
        <f>ROUND(LN((0.9*BZ279)/(0.1*CA279))/(BZ265/CA270),2)</f>
        <v>1.78</v>
      </c>
      <c r="CL279" s="1">
        <f>ROUND(LN((0.9*BZ279)/(0.1*CA279))/(BZ268/CA270),2)</f>
        <v>1.1399999999999999</v>
      </c>
      <c r="CM279" s="1">
        <f>ROUND(LN((0.1*CA279)/(0.9*BZ279))/(CA273/BZ267),2)</f>
        <v>-28.74</v>
      </c>
      <c r="CN279" s="1">
        <f>ROUND(LN((0.1*CA279)/(0.9*BZ279))/(CA270/BZ268),2)</f>
        <v>-10.26</v>
      </c>
      <c r="CO279" s="5">
        <v>44</v>
      </c>
      <c r="CP279" s="5">
        <v>31</v>
      </c>
      <c r="CQ279" s="1">
        <v>35</v>
      </c>
      <c r="CR279" s="1">
        <v>125</v>
      </c>
      <c r="CS279" s="5">
        <v>37.1</v>
      </c>
      <c r="CT279" s="1">
        <v>8.1999999999999993</v>
      </c>
      <c r="CU279" s="1">
        <v>5.6</v>
      </c>
      <c r="CV279" s="1" t="s">
        <v>71</v>
      </c>
      <c r="CW279" s="1" t="s">
        <v>71</v>
      </c>
      <c r="CX279" t="e">
        <f>ROUND(CV279*#REF!/10,1)</f>
        <v>#VALUE!</v>
      </c>
      <c r="CY279" s="1">
        <v>10.6</v>
      </c>
      <c r="CZ279">
        <f>ROUND((10*CC279*CS279),0)</f>
        <v>258</v>
      </c>
      <c r="DA279">
        <f>ROUND((CY279*CB279*10),0)</f>
        <v>250</v>
      </c>
      <c r="DB279">
        <f>(CZ279+DA279)/MAX(DA268,CZ270)</f>
        <v>0.77557251908396951</v>
      </c>
      <c r="DC279" s="26">
        <v>10.6</v>
      </c>
      <c r="DD279">
        <f t="shared" si="90"/>
        <v>508</v>
      </c>
      <c r="DE279">
        <f t="shared" si="96"/>
        <v>0.39</v>
      </c>
      <c r="DF279">
        <f>ROUND(CZ279/MAX(DA268,CZ270), 2)</f>
        <v>0.39</v>
      </c>
    </row>
    <row r="280" spans="1:110" ht="15" x14ac:dyDescent="0.15">
      <c r="A280" s="23">
        <v>2023</v>
      </c>
      <c r="B280" s="23" t="s">
        <v>49</v>
      </c>
      <c r="C280" s="23">
        <v>14</v>
      </c>
      <c r="D280" s="23">
        <v>18</v>
      </c>
      <c r="E280" s="23" t="s">
        <v>52</v>
      </c>
      <c r="F280" s="23" t="s">
        <v>55</v>
      </c>
      <c r="G280" s="23" t="s">
        <v>5</v>
      </c>
      <c r="H280" s="23">
        <v>2</v>
      </c>
      <c r="I280" s="23" t="s">
        <v>68</v>
      </c>
      <c r="J280" s="23" t="s">
        <v>57</v>
      </c>
      <c r="K280" s="24">
        <v>45084</v>
      </c>
      <c r="L280" s="27">
        <v>10000000000</v>
      </c>
      <c r="M280" s="27">
        <v>10000000000</v>
      </c>
      <c r="N280" s="24">
        <v>45085</v>
      </c>
      <c r="O280" s="24">
        <v>45096</v>
      </c>
      <c r="P280" s="24">
        <v>45072</v>
      </c>
      <c r="Q280" s="1">
        <f>P280-P271</f>
        <v>-7</v>
      </c>
      <c r="R280" s="1">
        <f>N280-N268</f>
        <v>4</v>
      </c>
      <c r="S280" s="1">
        <f>O280-O268</f>
        <v>6</v>
      </c>
      <c r="T280" s="1">
        <f t="shared" si="95"/>
        <v>5</v>
      </c>
      <c r="U280" s="1">
        <v>79</v>
      </c>
      <c r="V280" s="1">
        <v>87</v>
      </c>
      <c r="W280" s="1">
        <v>-8</v>
      </c>
      <c r="X280" s="1">
        <v>0</v>
      </c>
      <c r="Y280" s="1">
        <v>0</v>
      </c>
      <c r="Z280" s="1">
        <v>0</v>
      </c>
      <c r="AA280" s="1">
        <v>0</v>
      </c>
      <c r="AB280" s="1" t="s">
        <v>71</v>
      </c>
      <c r="AC280" s="1" t="s">
        <v>71</v>
      </c>
      <c r="AD280" s="25">
        <v>35</v>
      </c>
      <c r="AE280" s="25">
        <v>22</v>
      </c>
      <c r="AF280" s="25">
        <v>79.333333333333329</v>
      </c>
      <c r="AG280" s="25">
        <v>52.333333333333336</v>
      </c>
      <c r="AH280" s="1">
        <v>80</v>
      </c>
      <c r="AI280" s="1">
        <v>51</v>
      </c>
      <c r="AJ280" s="1">
        <v>3</v>
      </c>
      <c r="AK280" s="1">
        <v>0</v>
      </c>
      <c r="AL280" s="1">
        <v>0</v>
      </c>
      <c r="AM280" s="1">
        <v>0</v>
      </c>
      <c r="AN280" s="1">
        <v>2.5000000000000001E-2</v>
      </c>
      <c r="AO280" s="1">
        <v>0.05</v>
      </c>
      <c r="AP280" s="1">
        <v>1.2500000000000002E-3</v>
      </c>
      <c r="AQ280" s="1">
        <v>39</v>
      </c>
      <c r="AR280" s="1">
        <v>5.0000000000000001E-3</v>
      </c>
      <c r="AS280" s="1">
        <v>20</v>
      </c>
      <c r="AT280" s="1">
        <v>0.1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0.1</v>
      </c>
      <c r="BB280" s="1">
        <v>1E-4</v>
      </c>
      <c r="BC280" s="1">
        <v>1.0000000000000001E-5</v>
      </c>
      <c r="BD280" s="1">
        <v>0</v>
      </c>
      <c r="BE280" s="1">
        <v>0</v>
      </c>
      <c r="BF280" s="1">
        <v>0</v>
      </c>
      <c r="BG280" s="1">
        <v>0</v>
      </c>
      <c r="BH280" s="1">
        <v>918</v>
      </c>
      <c r="BI280" s="1">
        <v>10</v>
      </c>
      <c r="BJ280" s="1">
        <v>5</v>
      </c>
      <c r="BK280" s="1">
        <v>1.0000000000000002E-2</v>
      </c>
      <c r="BL280" s="1">
        <f t="shared" si="88"/>
        <v>1.0000000000000002</v>
      </c>
      <c r="BM280" s="1">
        <v>0.1</v>
      </c>
      <c r="BN280" s="1">
        <v>0.1</v>
      </c>
      <c r="BO280" s="1">
        <v>2</v>
      </c>
      <c r="BP280" s="1">
        <v>0</v>
      </c>
      <c r="BQ280" s="1" t="s">
        <v>71</v>
      </c>
      <c r="BR280" s="1" t="s">
        <v>71</v>
      </c>
      <c r="BS280" s="1" t="s">
        <v>71</v>
      </c>
      <c r="BT280" s="1" t="s">
        <v>71</v>
      </c>
      <c r="BU280" s="1" t="s">
        <v>71</v>
      </c>
      <c r="BV280" s="1">
        <v>4</v>
      </c>
      <c r="BW280" s="1">
        <v>0</v>
      </c>
      <c r="BX280" s="1" t="s">
        <v>71</v>
      </c>
      <c r="BY280" s="1" t="s">
        <v>71</v>
      </c>
      <c r="BZ280" s="3">
        <v>1.9</v>
      </c>
      <c r="CA280" s="3">
        <v>0.1</v>
      </c>
      <c r="CB280" s="3">
        <f t="shared" si="89"/>
        <v>2.6388888888888888</v>
      </c>
      <c r="CC280" s="3">
        <f t="shared" si="93"/>
        <v>0.13888888888888892</v>
      </c>
      <c r="CD280" s="1">
        <f>ROUND(CB280/CB265+CC280/CC271,2)</f>
        <v>0.87</v>
      </c>
      <c r="CE280" s="1">
        <f>ROUND(CB280/CB268+CC280/CC271,2)</f>
        <v>0.6</v>
      </c>
      <c r="CF280" s="1">
        <f>ROUND(CB280/(1.2*CB268)+CC280/CC271,2)</f>
        <v>0.52</v>
      </c>
      <c r="CG280" s="1">
        <f>ROUND(CB280/CB265,2)</f>
        <v>0.76</v>
      </c>
      <c r="CH280" s="1">
        <f>ROUND(CB280/CB268,2)</f>
        <v>0.49</v>
      </c>
      <c r="CI280" s="1">
        <f>ROUND(CC280/CC271,2)</f>
        <v>0.11</v>
      </c>
      <c r="CJ280" s="1">
        <f>ROUND((CC280+CB280)/MAX(CC271,CB268),2)</f>
        <v>0.51</v>
      </c>
      <c r="CK280" s="1">
        <f>ROUND(LN((0.9*BZ280)/(0.1*CA280))/(BZ265/CA271),2)</f>
        <v>1.85</v>
      </c>
      <c r="CL280" s="1">
        <f>ROUND(LN((0.9*BZ280)/(0.1*CA280))/(BZ268/CA271),2)</f>
        <v>1.19</v>
      </c>
      <c r="CM280" s="1">
        <f>ROUND(LN((0.1*CA280)/(0.9*BZ280))/(CA274/BZ267),2)</f>
        <v>-71.98</v>
      </c>
      <c r="CN280" s="1">
        <f>ROUND(LN((0.1*CA280)/(0.9*BZ280))/(CA271/BZ268),2)</f>
        <v>-22.28</v>
      </c>
      <c r="CO280" s="5">
        <v>45</v>
      </c>
      <c r="CP280" s="5">
        <v>26</v>
      </c>
      <c r="CQ280" s="1">
        <v>34</v>
      </c>
      <c r="CR280" s="1">
        <v>124</v>
      </c>
      <c r="CS280" s="5" t="s">
        <v>71</v>
      </c>
      <c r="CT280" s="1">
        <v>7.6</v>
      </c>
      <c r="CU280" s="1">
        <v>5.8</v>
      </c>
      <c r="CV280" s="1" t="s">
        <v>71</v>
      </c>
      <c r="CW280" s="1" t="s">
        <v>71</v>
      </c>
      <c r="CX280" t="e">
        <f>ROUND(CV280*#REF!/10,1)</f>
        <v>#VALUE!</v>
      </c>
      <c r="CY280" s="1">
        <v>9.3000000000000007</v>
      </c>
      <c r="CZ280" t="s">
        <v>71</v>
      </c>
      <c r="DA280">
        <f>ROUND((CY280*CB280*10),0)</f>
        <v>245</v>
      </c>
      <c r="DB280" t="s">
        <v>71</v>
      </c>
      <c r="DC280" s="26">
        <v>9.3000000000000007</v>
      </c>
      <c r="DD280">
        <f t="shared" si="90"/>
        <v>245</v>
      </c>
      <c r="DE280" s="1" t="s">
        <v>71</v>
      </c>
      <c r="DF280" s="1" t="s">
        <v>71</v>
      </c>
    </row>
    <row r="281" spans="1:110" ht="15" x14ac:dyDescent="0.15">
      <c r="A281" s="23">
        <v>2023</v>
      </c>
      <c r="B281" s="23" t="s">
        <v>49</v>
      </c>
      <c r="C281" s="23">
        <v>14</v>
      </c>
      <c r="D281" s="23">
        <v>19</v>
      </c>
      <c r="E281" s="23"/>
      <c r="F281" s="23"/>
      <c r="G281" s="23" t="s">
        <v>5</v>
      </c>
      <c r="H281" s="23">
        <v>2</v>
      </c>
      <c r="I281" s="23" t="s">
        <v>69</v>
      </c>
      <c r="J281" s="23" t="s">
        <v>57</v>
      </c>
      <c r="K281" s="24">
        <v>45082</v>
      </c>
      <c r="L281" s="1" t="s">
        <v>71</v>
      </c>
      <c r="M281" s="1" t="s">
        <v>71</v>
      </c>
      <c r="N281" s="1" t="s">
        <v>71</v>
      </c>
      <c r="O281" s="1" t="s">
        <v>71</v>
      </c>
      <c r="P281" s="24">
        <v>45076</v>
      </c>
      <c r="Q281" s="1" t="s">
        <v>71</v>
      </c>
      <c r="R281" s="1" t="s">
        <v>71</v>
      </c>
      <c r="S281" s="1" t="s">
        <v>71</v>
      </c>
      <c r="T281" s="1" t="s">
        <v>71</v>
      </c>
      <c r="U281" s="1" t="s">
        <v>71</v>
      </c>
      <c r="V281" s="1">
        <v>86</v>
      </c>
      <c r="W281" s="1" t="s">
        <v>71</v>
      </c>
      <c r="X281" s="1">
        <v>0</v>
      </c>
      <c r="Y281" s="1" t="s">
        <v>71</v>
      </c>
      <c r="Z281" s="1">
        <v>0</v>
      </c>
      <c r="AA281" s="1" t="s">
        <v>71</v>
      </c>
      <c r="AB281" s="1" t="s">
        <v>71</v>
      </c>
      <c r="AC281" s="1" t="s">
        <v>71</v>
      </c>
      <c r="AD281" s="25" t="s">
        <v>71</v>
      </c>
      <c r="AE281" s="25">
        <v>15</v>
      </c>
      <c r="AF281" s="25" t="s">
        <v>71</v>
      </c>
      <c r="AG281" s="25">
        <v>41.333333333333336</v>
      </c>
      <c r="AH281" s="1" t="s">
        <v>71</v>
      </c>
      <c r="AI281" s="1">
        <v>42</v>
      </c>
      <c r="AJ281" s="1" t="s">
        <v>71</v>
      </c>
      <c r="AK281" s="1" t="s">
        <v>71</v>
      </c>
      <c r="AL281" s="1" t="s">
        <v>71</v>
      </c>
      <c r="AM281" s="1" t="s">
        <v>71</v>
      </c>
      <c r="AN281" s="1" t="s">
        <v>71</v>
      </c>
      <c r="AO281" s="1" t="s">
        <v>71</v>
      </c>
      <c r="AP281" s="1" t="s">
        <v>71</v>
      </c>
      <c r="AQ281" s="1" t="s">
        <v>71</v>
      </c>
      <c r="AR281" s="1" t="s">
        <v>71</v>
      </c>
      <c r="AS281" s="1" t="s">
        <v>71</v>
      </c>
      <c r="AT281" s="1" t="s">
        <v>71</v>
      </c>
      <c r="AU281" s="1">
        <v>0</v>
      </c>
      <c r="AV281" s="1">
        <v>0</v>
      </c>
      <c r="AW281" s="1">
        <v>0</v>
      </c>
      <c r="AX281" s="1" t="s">
        <v>71</v>
      </c>
      <c r="AY281" s="1" t="s">
        <v>71</v>
      </c>
      <c r="AZ281" s="1">
        <v>0</v>
      </c>
      <c r="BA281" s="1" t="s">
        <v>71</v>
      </c>
      <c r="BB281" s="1" t="s">
        <v>71</v>
      </c>
      <c r="BC281" s="1" t="s">
        <v>71</v>
      </c>
      <c r="BD281" s="1" t="s">
        <v>71</v>
      </c>
      <c r="BE281" s="1" t="s">
        <v>71</v>
      </c>
      <c r="BF281" s="1" t="s">
        <v>71</v>
      </c>
      <c r="BG281" s="1" t="s">
        <v>71</v>
      </c>
      <c r="BH281" s="1">
        <v>496</v>
      </c>
      <c r="BI281" s="1">
        <v>10</v>
      </c>
      <c r="BJ281" s="1">
        <v>5</v>
      </c>
      <c r="BK281" s="1">
        <v>0.12</v>
      </c>
      <c r="BL281" s="1">
        <f t="shared" si="88"/>
        <v>12</v>
      </c>
      <c r="BM281" s="1">
        <v>0.8</v>
      </c>
      <c r="BN281" s="1">
        <v>0.15</v>
      </c>
      <c r="BO281" s="1">
        <v>2</v>
      </c>
      <c r="BP281" s="1">
        <v>10</v>
      </c>
      <c r="BQ281" s="1" t="s">
        <v>71</v>
      </c>
      <c r="BR281" s="1" t="s">
        <v>71</v>
      </c>
      <c r="BS281" s="1" t="s">
        <v>71</v>
      </c>
      <c r="BT281" s="1" t="s">
        <v>71</v>
      </c>
      <c r="BU281" s="1" t="s">
        <v>71</v>
      </c>
      <c r="BV281" s="1">
        <v>3.3</v>
      </c>
      <c r="BW281" s="1">
        <v>1.3</v>
      </c>
      <c r="BX281" s="1" t="s">
        <v>71</v>
      </c>
      <c r="BY281" s="1" t="s">
        <v>71</v>
      </c>
      <c r="BZ281" s="3" t="s">
        <v>71</v>
      </c>
      <c r="CA281" s="3" t="s">
        <v>71</v>
      </c>
      <c r="CB281" s="3" t="s">
        <v>71</v>
      </c>
      <c r="CC281" s="3" t="s">
        <v>71</v>
      </c>
      <c r="CD281" s="1" t="s">
        <v>71</v>
      </c>
      <c r="CE281" s="1" t="s">
        <v>71</v>
      </c>
      <c r="CF281" s="1" t="s">
        <v>71</v>
      </c>
      <c r="CG281" s="1" t="s">
        <v>71</v>
      </c>
      <c r="CH281" s="1" t="s">
        <v>71</v>
      </c>
      <c r="CI281" s="1" t="s">
        <v>71</v>
      </c>
      <c r="CJ281" s="1" t="s">
        <v>71</v>
      </c>
      <c r="CK281" s="1" t="s">
        <v>71</v>
      </c>
      <c r="CL281" s="3" t="s">
        <v>71</v>
      </c>
      <c r="CM281" s="3" t="s">
        <v>71</v>
      </c>
      <c r="CN281" s="3" t="s">
        <v>71</v>
      </c>
      <c r="CO281" s="5" t="s">
        <v>71</v>
      </c>
      <c r="CP281" s="5">
        <v>71</v>
      </c>
      <c r="CQ281" s="1" t="s">
        <v>71</v>
      </c>
      <c r="CR281" s="1">
        <v>158</v>
      </c>
      <c r="CS281" s="5">
        <v>37.299999999999997</v>
      </c>
      <c r="CT281" s="1" t="s">
        <v>71</v>
      </c>
      <c r="CU281" s="1" t="s">
        <v>71</v>
      </c>
      <c r="CV281" s="1" t="s">
        <v>71</v>
      </c>
      <c r="CW281" s="1" t="s">
        <v>71</v>
      </c>
      <c r="CX281" t="s">
        <v>71</v>
      </c>
      <c r="CY281" s="1" t="s">
        <v>71</v>
      </c>
      <c r="CZ281" t="s">
        <v>71</v>
      </c>
      <c r="DA281" t="s">
        <v>71</v>
      </c>
      <c r="DB281" t="s">
        <v>71</v>
      </c>
      <c r="DC281" s="26" t="s">
        <v>71</v>
      </c>
      <c r="DD281">
        <f t="shared" si="90"/>
        <v>0</v>
      </c>
      <c r="DE281" t="s">
        <v>71</v>
      </c>
      <c r="DF281" s="26" t="s">
        <v>71</v>
      </c>
    </row>
    <row r="282" spans="1:110" ht="15" x14ac:dyDescent="0.15">
      <c r="A282" s="23">
        <v>2023</v>
      </c>
      <c r="B282" s="23" t="s">
        <v>49</v>
      </c>
      <c r="C282" s="23">
        <v>14</v>
      </c>
      <c r="D282" s="23">
        <v>20</v>
      </c>
      <c r="E282" s="23"/>
      <c r="F282" s="23"/>
      <c r="G282" s="23" t="s">
        <v>5</v>
      </c>
      <c r="H282" s="23">
        <v>2</v>
      </c>
      <c r="I282" s="23" t="s">
        <v>70</v>
      </c>
      <c r="J282" s="23" t="s">
        <v>57</v>
      </c>
      <c r="K282" s="1" t="s">
        <v>57</v>
      </c>
      <c r="L282" s="1" t="s">
        <v>71</v>
      </c>
      <c r="M282" s="1" t="s">
        <v>71</v>
      </c>
      <c r="N282" s="1" t="s">
        <v>71</v>
      </c>
      <c r="O282" s="24" t="s">
        <v>71</v>
      </c>
      <c r="P282" s="24">
        <v>45077</v>
      </c>
      <c r="Q282" s="1" t="s">
        <v>71</v>
      </c>
      <c r="R282" s="1" t="s">
        <v>71</v>
      </c>
      <c r="S282" s="1" t="s">
        <v>71</v>
      </c>
      <c r="T282" s="1" t="s">
        <v>71</v>
      </c>
      <c r="U282" s="1" t="s">
        <v>71</v>
      </c>
      <c r="V282" s="1">
        <v>87</v>
      </c>
      <c r="W282" s="1" t="s">
        <v>71</v>
      </c>
      <c r="X282" s="1">
        <v>0</v>
      </c>
      <c r="Y282" s="1" t="s">
        <v>71</v>
      </c>
      <c r="Z282" s="1">
        <v>0</v>
      </c>
      <c r="AA282" s="1" t="s">
        <v>71</v>
      </c>
      <c r="AB282" s="1" t="s">
        <v>71</v>
      </c>
      <c r="AC282" s="1" t="s">
        <v>71</v>
      </c>
      <c r="AD282" s="25" t="s">
        <v>71</v>
      </c>
      <c r="AE282" s="25">
        <v>12</v>
      </c>
      <c r="AF282" s="25" t="s">
        <v>71</v>
      </c>
      <c r="AG282" s="25">
        <v>36</v>
      </c>
      <c r="AH282" s="1" t="s">
        <v>71</v>
      </c>
      <c r="AI282" s="1">
        <v>35</v>
      </c>
      <c r="AJ282" s="1" t="s">
        <v>71</v>
      </c>
      <c r="AK282" s="1" t="s">
        <v>71</v>
      </c>
      <c r="AL282" s="1" t="s">
        <v>71</v>
      </c>
      <c r="AM282" s="1" t="s">
        <v>71</v>
      </c>
      <c r="AN282" s="1" t="s">
        <v>71</v>
      </c>
      <c r="AO282" s="1" t="s">
        <v>71</v>
      </c>
      <c r="AP282" s="1" t="s">
        <v>71</v>
      </c>
      <c r="AQ282" s="1" t="s">
        <v>71</v>
      </c>
      <c r="AR282" s="1" t="s">
        <v>71</v>
      </c>
      <c r="AS282" s="1" t="s">
        <v>71</v>
      </c>
      <c r="AT282" s="1" t="s">
        <v>71</v>
      </c>
      <c r="AU282" s="1">
        <v>0</v>
      </c>
      <c r="AV282" s="1">
        <v>0</v>
      </c>
      <c r="AW282" s="1">
        <v>0</v>
      </c>
      <c r="AX282" s="1" t="s">
        <v>71</v>
      </c>
      <c r="AY282" s="1" t="s">
        <v>71</v>
      </c>
      <c r="AZ282" s="1">
        <v>0.25</v>
      </c>
      <c r="BA282" s="1" t="s">
        <v>71</v>
      </c>
      <c r="BB282" s="1" t="s">
        <v>71</v>
      </c>
      <c r="BC282" s="1" t="s">
        <v>71</v>
      </c>
      <c r="BD282" s="1" t="s">
        <v>71</v>
      </c>
      <c r="BE282" s="1" t="s">
        <v>71</v>
      </c>
      <c r="BF282" s="1" t="s">
        <v>71</v>
      </c>
      <c r="BG282" s="1" t="s">
        <v>71</v>
      </c>
      <c r="BH282" s="1">
        <v>880</v>
      </c>
      <c r="BI282" s="1">
        <v>0</v>
      </c>
      <c r="BJ282" s="1">
        <v>0</v>
      </c>
      <c r="BK282" s="1">
        <v>0.24</v>
      </c>
      <c r="BL282" s="1">
        <f t="shared" si="88"/>
        <v>24</v>
      </c>
      <c r="BM282" s="1">
        <v>1.2</v>
      </c>
      <c r="BN282" s="1">
        <v>0.2</v>
      </c>
      <c r="BO282" s="1">
        <v>2</v>
      </c>
      <c r="BP282" s="1">
        <v>0</v>
      </c>
      <c r="BQ282" s="1" t="s">
        <v>71</v>
      </c>
      <c r="BR282" s="1" t="s">
        <v>71</v>
      </c>
      <c r="BS282" s="1" t="s">
        <v>71</v>
      </c>
      <c r="BT282" s="1" t="s">
        <v>71</v>
      </c>
      <c r="BU282" s="1" t="s">
        <v>71</v>
      </c>
      <c r="BV282" s="1">
        <v>3.3</v>
      </c>
      <c r="BW282" s="1">
        <v>0</v>
      </c>
      <c r="BX282" s="1" t="s">
        <v>71</v>
      </c>
      <c r="BY282" s="1" t="s">
        <v>71</v>
      </c>
      <c r="BZ282" s="3" t="s">
        <v>71</v>
      </c>
      <c r="CA282" s="3" t="s">
        <v>71</v>
      </c>
      <c r="CB282" s="3" t="s">
        <v>71</v>
      </c>
      <c r="CC282" s="3" t="s">
        <v>71</v>
      </c>
      <c r="CD282" s="1" t="s">
        <v>71</v>
      </c>
      <c r="CE282" s="1" t="s">
        <v>71</v>
      </c>
      <c r="CF282" s="1" t="s">
        <v>71</v>
      </c>
      <c r="CG282" s="1" t="s">
        <v>71</v>
      </c>
      <c r="CH282" s="1" t="s">
        <v>71</v>
      </c>
      <c r="CI282" s="1" t="s">
        <v>71</v>
      </c>
      <c r="CJ282" s="1" t="s">
        <v>71</v>
      </c>
      <c r="CK282" s="1" t="s">
        <v>71</v>
      </c>
      <c r="CL282" s="3" t="s">
        <v>71</v>
      </c>
      <c r="CM282" s="3" t="s">
        <v>71</v>
      </c>
      <c r="CN282" s="3" t="s">
        <v>71</v>
      </c>
      <c r="CO282" s="5">
        <v>30</v>
      </c>
      <c r="CP282" s="5" t="s">
        <v>71</v>
      </c>
      <c r="CQ282" s="1" t="s">
        <v>71</v>
      </c>
      <c r="CR282" s="1">
        <v>107</v>
      </c>
      <c r="CS282" s="5" t="s">
        <v>71</v>
      </c>
      <c r="CT282" s="1" t="s">
        <v>71</v>
      </c>
      <c r="CU282" s="1">
        <v>5.2</v>
      </c>
      <c r="CV282" s="1" t="s">
        <v>71</v>
      </c>
      <c r="CW282" s="1" t="s">
        <v>71</v>
      </c>
      <c r="CX282" t="s">
        <v>71</v>
      </c>
      <c r="CY282" s="1" t="s">
        <v>71</v>
      </c>
      <c r="CZ282" t="s">
        <v>71</v>
      </c>
      <c r="DA282" t="s">
        <v>71</v>
      </c>
      <c r="DB282" t="s">
        <v>71</v>
      </c>
      <c r="DC282" s="26" t="s">
        <v>71</v>
      </c>
      <c r="DD282">
        <f t="shared" si="90"/>
        <v>0</v>
      </c>
      <c r="DE282" t="s">
        <v>71</v>
      </c>
      <c r="DF282" s="26" t="s">
        <v>71</v>
      </c>
    </row>
    <row r="283" spans="1:110" ht="15" x14ac:dyDescent="0.15">
      <c r="A283" s="23">
        <v>2023</v>
      </c>
      <c r="B283" s="23" t="s">
        <v>49</v>
      </c>
      <c r="C283" s="23">
        <v>15</v>
      </c>
      <c r="D283" s="23">
        <v>1</v>
      </c>
      <c r="E283" s="23" t="s">
        <v>50</v>
      </c>
      <c r="F283" s="23"/>
      <c r="G283" s="23" t="s">
        <v>56</v>
      </c>
      <c r="H283" s="23">
        <v>3</v>
      </c>
      <c r="I283" s="23" t="s">
        <v>50</v>
      </c>
      <c r="J283" s="23" t="s">
        <v>57</v>
      </c>
      <c r="K283" s="1" t="s">
        <v>57</v>
      </c>
      <c r="L283" s="1" t="s">
        <v>71</v>
      </c>
      <c r="M283" s="1" t="s">
        <v>71</v>
      </c>
      <c r="N283" s="24">
        <v>45077</v>
      </c>
      <c r="O283" s="24">
        <v>45084</v>
      </c>
      <c r="P283" s="1" t="s">
        <v>71</v>
      </c>
      <c r="Q283" s="1" t="s">
        <v>71</v>
      </c>
      <c r="R283" s="1" t="s">
        <v>71</v>
      </c>
      <c r="S283" s="1" t="s">
        <v>71</v>
      </c>
      <c r="T283" s="1" t="s">
        <v>71</v>
      </c>
      <c r="U283" s="1">
        <v>87</v>
      </c>
      <c r="V283" s="1" t="s">
        <v>71</v>
      </c>
      <c r="W283" s="1" t="s">
        <v>71</v>
      </c>
      <c r="X283" s="1" t="s">
        <v>71</v>
      </c>
      <c r="Y283" s="1">
        <v>0</v>
      </c>
      <c r="Z283" s="1" t="s">
        <v>71</v>
      </c>
      <c r="AA283" s="1">
        <v>0</v>
      </c>
      <c r="AB283" s="1" t="s">
        <v>71</v>
      </c>
      <c r="AC283" s="1" t="s">
        <v>71</v>
      </c>
      <c r="AD283" s="25">
        <v>38</v>
      </c>
      <c r="AE283" s="25" t="s">
        <v>71</v>
      </c>
      <c r="AF283" s="25">
        <v>86</v>
      </c>
      <c r="AG283" s="25" t="s">
        <v>71</v>
      </c>
      <c r="AH283" s="1">
        <v>87</v>
      </c>
      <c r="AI283" s="1" t="s">
        <v>71</v>
      </c>
      <c r="AJ283" s="1">
        <v>2.7</v>
      </c>
      <c r="AK283" s="1">
        <v>0</v>
      </c>
      <c r="AL283" s="1">
        <v>0</v>
      </c>
      <c r="AM283" s="1">
        <v>0</v>
      </c>
      <c r="AN283" s="1">
        <v>7.0000000000000007E-2</v>
      </c>
      <c r="AO283" s="1">
        <v>2.5000000000000001E-2</v>
      </c>
      <c r="AP283" s="1">
        <v>1.7500000000000003E-3</v>
      </c>
      <c r="AQ283" s="1">
        <v>16</v>
      </c>
      <c r="AR283" s="1">
        <v>0.05</v>
      </c>
      <c r="AS283" s="1">
        <v>10</v>
      </c>
      <c r="AT283" s="1">
        <v>0.5</v>
      </c>
      <c r="AU283" s="1" t="s">
        <v>71</v>
      </c>
      <c r="AV283" s="1" t="s">
        <v>71</v>
      </c>
      <c r="AW283" s="1" t="s">
        <v>71</v>
      </c>
      <c r="AX283" s="1">
        <v>0</v>
      </c>
      <c r="AY283" s="1">
        <v>0</v>
      </c>
      <c r="AZ283" s="1" t="s">
        <v>71</v>
      </c>
      <c r="BA283" s="1">
        <v>5.0000000000000001E-3</v>
      </c>
      <c r="BB283" s="1">
        <v>5.0000000000000002E-5</v>
      </c>
      <c r="BC283" s="1">
        <v>2.4999999999999999E-7</v>
      </c>
      <c r="BD283" s="1">
        <v>0</v>
      </c>
      <c r="BE283" s="1">
        <v>0</v>
      </c>
      <c r="BF283" s="1">
        <v>0</v>
      </c>
      <c r="BG283" s="1">
        <v>0</v>
      </c>
      <c r="BH283" s="1" t="s">
        <v>71</v>
      </c>
      <c r="BI283" s="1" t="s">
        <v>71</v>
      </c>
      <c r="BJ283" s="1" t="s">
        <v>71</v>
      </c>
      <c r="BK283" s="1">
        <v>1.0000000000000001E-5</v>
      </c>
      <c r="BL283" s="1">
        <f t="shared" si="88"/>
        <v>1E-3</v>
      </c>
      <c r="BM283" s="1">
        <v>0.01</v>
      </c>
      <c r="BN283" s="1">
        <v>1E-3</v>
      </c>
      <c r="BO283" s="1">
        <v>2</v>
      </c>
      <c r="BP283" s="1">
        <v>0</v>
      </c>
      <c r="BQ283" s="1" t="s">
        <v>71</v>
      </c>
      <c r="BR283" s="1" t="s">
        <v>71</v>
      </c>
      <c r="BS283" s="1" t="s">
        <v>71</v>
      </c>
      <c r="BT283" s="1" t="s">
        <v>71</v>
      </c>
      <c r="BU283" s="1" t="s">
        <v>71</v>
      </c>
      <c r="BV283" s="1" t="s">
        <v>71</v>
      </c>
      <c r="BW283" s="1" t="s">
        <v>71</v>
      </c>
      <c r="BX283" s="1" t="s">
        <v>71</v>
      </c>
      <c r="BY283" s="1" t="s">
        <v>71</v>
      </c>
      <c r="BZ283" s="3">
        <v>2.4</v>
      </c>
      <c r="CA283" s="3" t="s">
        <v>71</v>
      </c>
      <c r="CB283" s="3">
        <f t="shared" si="89"/>
        <v>3.3333333333333339</v>
      </c>
      <c r="CC283" s="1" t="s">
        <v>71</v>
      </c>
      <c r="CD283" s="1">
        <v>1</v>
      </c>
      <c r="CE283" s="1">
        <v>1</v>
      </c>
      <c r="CF283" s="1">
        <f>CE283</f>
        <v>1</v>
      </c>
      <c r="CG283" s="3" t="s">
        <v>71</v>
      </c>
      <c r="CH283" s="3" t="s">
        <v>71</v>
      </c>
      <c r="CI283" s="3" t="s">
        <v>71</v>
      </c>
      <c r="CJ283" s="3" t="s">
        <v>71</v>
      </c>
      <c r="CK283" s="3" t="s">
        <v>71</v>
      </c>
      <c r="CL283" s="3" t="s">
        <v>71</v>
      </c>
      <c r="CM283" s="3" t="s">
        <v>71</v>
      </c>
      <c r="CN283" s="3" t="s">
        <v>71</v>
      </c>
      <c r="CO283" s="5">
        <v>51</v>
      </c>
      <c r="CP283" s="5" t="s">
        <v>71</v>
      </c>
      <c r="CQ283" s="1">
        <v>38</v>
      </c>
      <c r="CR283" s="1" t="s">
        <v>71</v>
      </c>
      <c r="CS283" s="5" t="s">
        <v>71</v>
      </c>
      <c r="CT283" s="1">
        <v>9.1999999999999993</v>
      </c>
      <c r="CU283" s="1">
        <v>6.4</v>
      </c>
      <c r="CV283" s="1" t="s">
        <v>71</v>
      </c>
      <c r="CW283" s="1" t="s">
        <v>71</v>
      </c>
      <c r="CX283" s="1" t="s">
        <v>71</v>
      </c>
      <c r="CY283" s="1">
        <v>9.1999999999999993</v>
      </c>
      <c r="CZ283" s="1" t="s">
        <v>71</v>
      </c>
      <c r="DA283">
        <f t="shared" ref="DA283:DA288" si="97">ROUND((CY283*CB283*10),0)</f>
        <v>307</v>
      </c>
      <c r="DB283" s="1" t="s">
        <v>71</v>
      </c>
      <c r="DC283" s="26">
        <v>9.1999999999999993</v>
      </c>
      <c r="DD283">
        <f t="shared" si="90"/>
        <v>307</v>
      </c>
      <c r="DE283" s="1" t="s">
        <v>71</v>
      </c>
      <c r="DF283" s="1" t="s">
        <v>71</v>
      </c>
    </row>
    <row r="284" spans="1:110" ht="15" x14ac:dyDescent="0.15">
      <c r="A284" s="23">
        <v>2023</v>
      </c>
      <c r="B284" s="23" t="s">
        <v>49</v>
      </c>
      <c r="C284" s="23">
        <v>15</v>
      </c>
      <c r="D284" s="23">
        <v>2</v>
      </c>
      <c r="E284" s="23" t="s">
        <v>51</v>
      </c>
      <c r="F284" s="23"/>
      <c r="G284" s="23" t="s">
        <v>56</v>
      </c>
      <c r="H284" s="23">
        <v>3</v>
      </c>
      <c r="I284" s="23" t="s">
        <v>51</v>
      </c>
      <c r="J284" s="23" t="s">
        <v>57</v>
      </c>
      <c r="K284" s="1" t="s">
        <v>57</v>
      </c>
      <c r="L284" s="1" t="s">
        <v>71</v>
      </c>
      <c r="M284" s="1" t="s">
        <v>71</v>
      </c>
      <c r="N284" s="24">
        <v>45080</v>
      </c>
      <c r="O284" s="24">
        <v>45089</v>
      </c>
      <c r="P284" s="1" t="s">
        <v>71</v>
      </c>
      <c r="Q284" s="1" t="s">
        <v>71</v>
      </c>
      <c r="R284" s="1" t="s">
        <v>71</v>
      </c>
      <c r="S284" s="1" t="s">
        <v>71</v>
      </c>
      <c r="T284" s="1" t="s">
        <v>71</v>
      </c>
      <c r="U284" s="1">
        <v>85</v>
      </c>
      <c r="V284" s="1" t="s">
        <v>71</v>
      </c>
      <c r="W284" s="1" t="s">
        <v>71</v>
      </c>
      <c r="X284" s="1" t="s">
        <v>71</v>
      </c>
      <c r="Y284" s="1">
        <v>0</v>
      </c>
      <c r="Z284" s="1" t="s">
        <v>71</v>
      </c>
      <c r="AA284" s="1">
        <v>0</v>
      </c>
      <c r="AB284" s="1" t="s">
        <v>71</v>
      </c>
      <c r="AC284" s="1" t="s">
        <v>71</v>
      </c>
      <c r="AD284" s="25">
        <v>32</v>
      </c>
      <c r="AE284" s="25" t="s">
        <v>71</v>
      </c>
      <c r="AF284" s="25">
        <v>72.666666666666671</v>
      </c>
      <c r="AG284" s="25" t="s">
        <v>71</v>
      </c>
      <c r="AH284" s="1">
        <v>78</v>
      </c>
      <c r="AI284" s="1" t="s">
        <v>71</v>
      </c>
      <c r="AJ284" s="1">
        <v>1.7</v>
      </c>
      <c r="AK284" s="1">
        <v>0</v>
      </c>
      <c r="AL284" s="1">
        <v>0</v>
      </c>
      <c r="AM284" s="1">
        <v>0</v>
      </c>
      <c r="AN284" s="1">
        <v>7.0000000000000007E-2</v>
      </c>
      <c r="AO284" s="1">
        <v>0.03</v>
      </c>
      <c r="AP284" s="1">
        <v>2.1000000000000003E-3</v>
      </c>
      <c r="AQ284" s="1">
        <v>24</v>
      </c>
      <c r="AR284" s="1">
        <v>0.02</v>
      </c>
      <c r="AS284" s="1">
        <v>5</v>
      </c>
      <c r="AT284" s="1">
        <v>0.1</v>
      </c>
      <c r="AU284" s="1" t="s">
        <v>71</v>
      </c>
      <c r="AV284" s="1" t="s">
        <v>71</v>
      </c>
      <c r="AW284" s="1" t="s">
        <v>71</v>
      </c>
      <c r="AX284" s="1">
        <v>0</v>
      </c>
      <c r="AY284" s="1">
        <v>0</v>
      </c>
      <c r="AZ284" s="1" t="s">
        <v>71</v>
      </c>
      <c r="BA284" s="1">
        <v>5.0000000000000001E-3</v>
      </c>
      <c r="BB284" s="1">
        <v>5.0000000000000001E-4</v>
      </c>
      <c r="BC284" s="1">
        <v>2.5000000000000002E-6</v>
      </c>
      <c r="BD284" s="1">
        <v>0</v>
      </c>
      <c r="BE284" s="1">
        <v>0</v>
      </c>
      <c r="BF284" s="1">
        <v>0</v>
      </c>
      <c r="BG284" s="1">
        <v>0</v>
      </c>
      <c r="BH284" s="1" t="s">
        <v>71</v>
      </c>
      <c r="BI284" s="1" t="s">
        <v>71</v>
      </c>
      <c r="BJ284" s="1" t="s">
        <v>71</v>
      </c>
      <c r="BK284" s="1">
        <v>8.0000000000000007E-5</v>
      </c>
      <c r="BL284" s="1">
        <f t="shared" si="88"/>
        <v>8.0000000000000002E-3</v>
      </c>
      <c r="BM284" s="1">
        <v>0.08</v>
      </c>
      <c r="BN284" s="1">
        <v>1E-3</v>
      </c>
      <c r="BO284" s="1">
        <v>1</v>
      </c>
      <c r="BP284" s="1">
        <v>0</v>
      </c>
      <c r="BQ284" s="1" t="s">
        <v>71</v>
      </c>
      <c r="BR284" s="1" t="s">
        <v>71</v>
      </c>
      <c r="BS284" s="1" t="s">
        <v>71</v>
      </c>
      <c r="BT284" s="1" t="s">
        <v>71</v>
      </c>
      <c r="BU284" s="1" t="s">
        <v>71</v>
      </c>
      <c r="BV284" s="1" t="s">
        <v>71</v>
      </c>
      <c r="BW284" s="1" t="s">
        <v>71</v>
      </c>
      <c r="BX284" s="1" t="s">
        <v>71</v>
      </c>
      <c r="BY284" s="1" t="s">
        <v>71</v>
      </c>
      <c r="BZ284" s="3">
        <v>2.6</v>
      </c>
      <c r="CA284" s="3" t="s">
        <v>71</v>
      </c>
      <c r="CB284" s="3">
        <f t="shared" si="89"/>
        <v>3.6111111111111116</v>
      </c>
      <c r="CC284" s="1" t="s">
        <v>71</v>
      </c>
      <c r="CD284" s="1">
        <v>1</v>
      </c>
      <c r="CE284" s="1">
        <v>1</v>
      </c>
      <c r="CF284" s="1">
        <f t="shared" ref="CF284:CF297" si="98">CE284</f>
        <v>1</v>
      </c>
      <c r="CG284" s="3" t="s">
        <v>71</v>
      </c>
      <c r="CH284" s="3" t="s">
        <v>71</v>
      </c>
      <c r="CI284" s="3" t="s">
        <v>71</v>
      </c>
      <c r="CJ284" s="3" t="s">
        <v>71</v>
      </c>
      <c r="CK284" s="3" t="s">
        <v>71</v>
      </c>
      <c r="CL284" s="3" t="s">
        <v>71</v>
      </c>
      <c r="CM284" s="3" t="s">
        <v>71</v>
      </c>
      <c r="CN284" s="3" t="s">
        <v>71</v>
      </c>
      <c r="CO284" s="5">
        <v>51</v>
      </c>
      <c r="CP284" s="5" t="s">
        <v>71</v>
      </c>
      <c r="CQ284" s="1">
        <v>33</v>
      </c>
      <c r="CR284" s="1" t="s">
        <v>71</v>
      </c>
      <c r="CS284" s="5" t="s">
        <v>71</v>
      </c>
      <c r="CT284" s="1">
        <v>9.1999999999999993</v>
      </c>
      <c r="CU284" s="1" t="s">
        <v>71</v>
      </c>
      <c r="CV284" s="1" t="s">
        <v>71</v>
      </c>
      <c r="CW284" s="1" t="s">
        <v>71</v>
      </c>
      <c r="CX284" s="1" t="s">
        <v>71</v>
      </c>
      <c r="CY284" s="1">
        <v>8.1</v>
      </c>
      <c r="CZ284" s="1" t="s">
        <v>71</v>
      </c>
      <c r="DA284">
        <f t="shared" si="97"/>
        <v>293</v>
      </c>
      <c r="DB284" s="1" t="s">
        <v>71</v>
      </c>
      <c r="DC284" s="26">
        <v>8.1</v>
      </c>
      <c r="DD284">
        <f t="shared" si="90"/>
        <v>293</v>
      </c>
      <c r="DE284" s="1" t="s">
        <v>71</v>
      </c>
      <c r="DF284" s="1" t="s">
        <v>71</v>
      </c>
    </row>
    <row r="285" spans="1:110" ht="15" x14ac:dyDescent="0.15">
      <c r="A285" s="23">
        <v>2023</v>
      </c>
      <c r="B285" s="23" t="s">
        <v>49</v>
      </c>
      <c r="C285" s="23">
        <v>15</v>
      </c>
      <c r="D285" s="23">
        <v>3</v>
      </c>
      <c r="E285" s="23" t="s">
        <v>52</v>
      </c>
      <c r="F285" s="23"/>
      <c r="G285" s="23" t="s">
        <v>56</v>
      </c>
      <c r="H285" s="23">
        <v>3</v>
      </c>
      <c r="I285" s="23" t="s">
        <v>52</v>
      </c>
      <c r="J285" s="23" t="s">
        <v>57</v>
      </c>
      <c r="K285" s="1" t="s">
        <v>57</v>
      </c>
      <c r="L285" s="1" t="s">
        <v>71</v>
      </c>
      <c r="M285" s="1" t="s">
        <v>71</v>
      </c>
      <c r="N285" s="24">
        <v>45080</v>
      </c>
      <c r="O285" s="24">
        <v>45089</v>
      </c>
      <c r="P285" s="1" t="s">
        <v>71</v>
      </c>
      <c r="Q285" s="1" t="s">
        <v>71</v>
      </c>
      <c r="R285" s="1" t="s">
        <v>71</v>
      </c>
      <c r="S285" s="1" t="s">
        <v>71</v>
      </c>
      <c r="T285" s="1" t="s">
        <v>71</v>
      </c>
      <c r="U285" s="1">
        <v>83</v>
      </c>
      <c r="V285" s="1" t="s">
        <v>71</v>
      </c>
      <c r="W285" s="1" t="s">
        <v>71</v>
      </c>
      <c r="X285" s="1" t="s">
        <v>71</v>
      </c>
      <c r="Y285" s="1">
        <v>0</v>
      </c>
      <c r="Z285" s="1" t="s">
        <v>71</v>
      </c>
      <c r="AA285" s="1">
        <v>0</v>
      </c>
      <c r="AB285" s="1" t="s">
        <v>71</v>
      </c>
      <c r="AC285" s="1" t="s">
        <v>71</v>
      </c>
      <c r="AD285" s="25">
        <v>28</v>
      </c>
      <c r="AE285" s="25" t="s">
        <v>71</v>
      </c>
      <c r="AF285" s="25">
        <v>61.666666666666664</v>
      </c>
      <c r="AG285" s="25" t="s">
        <v>71</v>
      </c>
      <c r="AH285" s="1">
        <v>55</v>
      </c>
      <c r="AI285" s="1" t="s">
        <v>71</v>
      </c>
      <c r="AJ285" s="1">
        <v>2</v>
      </c>
      <c r="AK285" s="1">
        <v>0</v>
      </c>
      <c r="AL285" s="1">
        <v>0</v>
      </c>
      <c r="AM285" s="1">
        <v>0</v>
      </c>
      <c r="AN285" s="1">
        <v>0.05</v>
      </c>
      <c r="AO285" s="1">
        <v>0.03</v>
      </c>
      <c r="AP285" s="1">
        <v>1.5E-3</v>
      </c>
      <c r="AQ285" s="1">
        <v>7</v>
      </c>
      <c r="AR285" s="1">
        <v>0.02</v>
      </c>
      <c r="AS285" s="1">
        <v>5</v>
      </c>
      <c r="AT285" s="1">
        <v>0.1</v>
      </c>
      <c r="AU285" s="1" t="s">
        <v>71</v>
      </c>
      <c r="AV285" s="1" t="s">
        <v>71</v>
      </c>
      <c r="AW285" s="1" t="s">
        <v>71</v>
      </c>
      <c r="AX285" s="1">
        <v>0</v>
      </c>
      <c r="AY285" s="1">
        <v>0</v>
      </c>
      <c r="AZ285" s="1" t="s">
        <v>71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 t="s">
        <v>71</v>
      </c>
      <c r="BI285" s="1" t="s">
        <v>71</v>
      </c>
      <c r="BJ285" s="1" t="s">
        <v>71</v>
      </c>
      <c r="BK285" s="1">
        <v>1.4000000000000001E-4</v>
      </c>
      <c r="BL285" s="1">
        <f t="shared" si="88"/>
        <v>1.4000000000000002E-2</v>
      </c>
      <c r="BM285" s="1">
        <v>7.0000000000000007E-2</v>
      </c>
      <c r="BN285" s="1">
        <v>2E-3</v>
      </c>
      <c r="BO285" s="1">
        <v>2</v>
      </c>
      <c r="BP285" s="1">
        <v>0</v>
      </c>
      <c r="BQ285" s="1" t="s">
        <v>71</v>
      </c>
      <c r="BR285" s="1" t="s">
        <v>71</v>
      </c>
      <c r="BS285" s="1" t="s">
        <v>71</v>
      </c>
      <c r="BT285" s="1" t="s">
        <v>71</v>
      </c>
      <c r="BU285" s="1" t="s">
        <v>71</v>
      </c>
      <c r="BV285" s="1" t="s">
        <v>71</v>
      </c>
      <c r="BW285" s="1" t="s">
        <v>71</v>
      </c>
      <c r="BX285" s="1" t="s">
        <v>71</v>
      </c>
      <c r="BY285" s="1" t="s">
        <v>71</v>
      </c>
      <c r="BZ285" s="3">
        <v>3</v>
      </c>
      <c r="CA285" s="3" t="s">
        <v>71</v>
      </c>
      <c r="CB285" s="3">
        <f t="shared" si="89"/>
        <v>4.166666666666667</v>
      </c>
      <c r="CC285" s="1" t="s">
        <v>71</v>
      </c>
      <c r="CD285" s="1">
        <v>1</v>
      </c>
      <c r="CE285" s="1">
        <v>1</v>
      </c>
      <c r="CF285" s="1">
        <f t="shared" si="98"/>
        <v>1</v>
      </c>
      <c r="CG285" s="3" t="s">
        <v>71</v>
      </c>
      <c r="CH285" s="3" t="s">
        <v>71</v>
      </c>
      <c r="CI285" s="3" t="s">
        <v>71</v>
      </c>
      <c r="CJ285" s="3" t="s">
        <v>71</v>
      </c>
      <c r="CK285" s="3" t="s">
        <v>71</v>
      </c>
      <c r="CL285" s="3" t="s">
        <v>71</v>
      </c>
      <c r="CM285" s="3" t="s">
        <v>71</v>
      </c>
      <c r="CN285" s="3" t="s">
        <v>71</v>
      </c>
      <c r="CO285" s="5">
        <v>47</v>
      </c>
      <c r="CP285" s="5" t="s">
        <v>71</v>
      </c>
      <c r="CQ285" s="1">
        <v>34</v>
      </c>
      <c r="CR285" s="1" t="s">
        <v>71</v>
      </c>
      <c r="CS285" s="5" t="s">
        <v>71</v>
      </c>
      <c r="CT285" s="1">
        <v>8.9</v>
      </c>
      <c r="CU285" s="1" t="s">
        <v>71</v>
      </c>
      <c r="CV285" s="1" t="s">
        <v>71</v>
      </c>
      <c r="CW285" s="1" t="s">
        <v>71</v>
      </c>
      <c r="CX285" s="1" t="s">
        <v>71</v>
      </c>
      <c r="CY285" s="1">
        <v>8.1</v>
      </c>
      <c r="CZ285" s="1" t="s">
        <v>71</v>
      </c>
      <c r="DA285">
        <f t="shared" si="97"/>
        <v>338</v>
      </c>
      <c r="DB285" s="1" t="s">
        <v>71</v>
      </c>
      <c r="DC285" s="26">
        <v>8.1</v>
      </c>
      <c r="DD285">
        <f t="shared" si="90"/>
        <v>338</v>
      </c>
      <c r="DE285" s="1" t="s">
        <v>71</v>
      </c>
      <c r="DF285" s="1" t="s">
        <v>71</v>
      </c>
    </row>
    <row r="286" spans="1:110" ht="15" x14ac:dyDescent="0.15">
      <c r="A286" s="23">
        <v>2023</v>
      </c>
      <c r="B286" s="23" t="s">
        <v>49</v>
      </c>
      <c r="C286" s="23">
        <v>15</v>
      </c>
      <c r="D286" s="23">
        <v>4</v>
      </c>
      <c r="E286" s="23" t="s">
        <v>50</v>
      </c>
      <c r="F286" s="23"/>
      <c r="G286" s="23" t="s">
        <v>56</v>
      </c>
      <c r="H286" s="23">
        <v>3</v>
      </c>
      <c r="I286" s="23" t="s">
        <v>50</v>
      </c>
      <c r="J286" s="23" t="s">
        <v>58</v>
      </c>
      <c r="K286" s="24">
        <v>45082</v>
      </c>
      <c r="L286" s="1" t="s">
        <v>71</v>
      </c>
      <c r="M286" s="1" t="s">
        <v>71</v>
      </c>
      <c r="N286" s="24">
        <v>45077</v>
      </c>
      <c r="O286" s="24">
        <v>45084</v>
      </c>
      <c r="P286" s="1" t="s">
        <v>71</v>
      </c>
      <c r="Q286" s="1" t="s">
        <v>71</v>
      </c>
      <c r="R286" s="1" t="s">
        <v>71</v>
      </c>
      <c r="S286" s="1" t="s">
        <v>71</v>
      </c>
      <c r="T286" s="1" t="s">
        <v>71</v>
      </c>
      <c r="U286" s="1">
        <v>87</v>
      </c>
      <c r="V286" s="1" t="s">
        <v>71</v>
      </c>
      <c r="W286" s="1" t="s">
        <v>71</v>
      </c>
      <c r="X286" s="1" t="s">
        <v>71</v>
      </c>
      <c r="Y286" s="1">
        <v>0</v>
      </c>
      <c r="Z286" s="1" t="s">
        <v>71</v>
      </c>
      <c r="AA286" s="1">
        <v>0</v>
      </c>
      <c r="AB286" s="1" t="s">
        <v>71</v>
      </c>
      <c r="AC286" s="1" t="s">
        <v>71</v>
      </c>
      <c r="AD286" s="25">
        <v>47</v>
      </c>
      <c r="AE286" s="25" t="s">
        <v>71</v>
      </c>
      <c r="AF286" s="25">
        <v>115</v>
      </c>
      <c r="AG286" s="25" t="s">
        <v>71</v>
      </c>
      <c r="AH286" s="1">
        <v>113</v>
      </c>
      <c r="AI286" s="1" t="s">
        <v>71</v>
      </c>
      <c r="AJ286" s="1">
        <v>2.7</v>
      </c>
      <c r="AK286" s="1">
        <v>0</v>
      </c>
      <c r="AL286" s="1">
        <v>0</v>
      </c>
      <c r="AM286" s="1">
        <v>0</v>
      </c>
      <c r="AN286" s="1">
        <v>2.5000000000000001E-2</v>
      </c>
      <c r="AO286" s="1">
        <v>2.5000000000000001E-2</v>
      </c>
      <c r="AP286" s="1">
        <v>6.2500000000000012E-4</v>
      </c>
      <c r="AQ286" s="1">
        <v>9</v>
      </c>
      <c r="AR286" s="1">
        <v>0.03</v>
      </c>
      <c r="AS286" s="1">
        <v>7</v>
      </c>
      <c r="AT286" s="1">
        <v>0.21</v>
      </c>
      <c r="AU286" s="1" t="s">
        <v>71</v>
      </c>
      <c r="AV286" s="1" t="s">
        <v>71</v>
      </c>
      <c r="AW286" s="1" t="s">
        <v>71</v>
      </c>
      <c r="AX286" s="1">
        <v>0</v>
      </c>
      <c r="AY286" s="1">
        <v>0</v>
      </c>
      <c r="AZ286" s="1" t="s">
        <v>71</v>
      </c>
      <c r="BA286" s="1">
        <v>0.02</v>
      </c>
      <c r="BB286" s="1">
        <v>5.0000000000000002E-5</v>
      </c>
      <c r="BC286" s="1">
        <v>9.9999999999999995E-7</v>
      </c>
      <c r="BD286" s="1">
        <v>0</v>
      </c>
      <c r="BE286" s="1">
        <v>0</v>
      </c>
      <c r="BF286" s="1">
        <v>0</v>
      </c>
      <c r="BG286" s="1">
        <v>0</v>
      </c>
      <c r="BH286" s="1" t="s">
        <v>71</v>
      </c>
      <c r="BI286" s="1" t="s">
        <v>71</v>
      </c>
      <c r="BJ286" s="1" t="s">
        <v>71</v>
      </c>
      <c r="BK286" s="1">
        <v>1.0000000000000001E-5</v>
      </c>
      <c r="BL286" s="1">
        <f t="shared" si="88"/>
        <v>1E-3</v>
      </c>
      <c r="BM286" s="1">
        <v>0.01</v>
      </c>
      <c r="BN286" s="1">
        <v>1E-3</v>
      </c>
      <c r="BO286" s="1">
        <v>1</v>
      </c>
      <c r="BP286" s="1">
        <v>0</v>
      </c>
      <c r="BQ286" s="1" t="s">
        <v>71</v>
      </c>
      <c r="BR286" s="1" t="s">
        <v>71</v>
      </c>
      <c r="BS286" s="1" t="s">
        <v>71</v>
      </c>
      <c r="BT286" s="1" t="s">
        <v>71</v>
      </c>
      <c r="BU286" s="1" t="s">
        <v>71</v>
      </c>
      <c r="BV286" s="1" t="s">
        <v>71</v>
      </c>
      <c r="BW286" s="1" t="s">
        <v>71</v>
      </c>
      <c r="BX286" s="1" t="s">
        <v>71</v>
      </c>
      <c r="BY286" s="1" t="s">
        <v>71</v>
      </c>
      <c r="BZ286" s="3">
        <v>3.2</v>
      </c>
      <c r="CA286" s="3" t="s">
        <v>71</v>
      </c>
      <c r="CB286" s="3">
        <f t="shared" si="89"/>
        <v>4.4444444444444455</v>
      </c>
      <c r="CC286" s="1" t="s">
        <v>71</v>
      </c>
      <c r="CD286" s="1">
        <v>1</v>
      </c>
      <c r="CE286" s="1">
        <v>1</v>
      </c>
      <c r="CF286" s="1">
        <f t="shared" si="98"/>
        <v>1</v>
      </c>
      <c r="CG286" s="3" t="s">
        <v>71</v>
      </c>
      <c r="CH286" s="3" t="s">
        <v>71</v>
      </c>
      <c r="CI286" s="3" t="s">
        <v>71</v>
      </c>
      <c r="CJ286" s="3" t="s">
        <v>71</v>
      </c>
      <c r="CK286" s="3" t="s">
        <v>71</v>
      </c>
      <c r="CL286" s="3" t="s">
        <v>71</v>
      </c>
      <c r="CM286" s="3" t="s">
        <v>71</v>
      </c>
      <c r="CN286" s="3" t="s">
        <v>71</v>
      </c>
      <c r="CO286" s="5">
        <v>50</v>
      </c>
      <c r="CP286" s="5" t="s">
        <v>71</v>
      </c>
      <c r="CQ286" s="1">
        <v>37</v>
      </c>
      <c r="CR286" s="1" t="s">
        <v>71</v>
      </c>
      <c r="CS286" s="5" t="s">
        <v>71</v>
      </c>
      <c r="CT286" s="1">
        <v>8.9</v>
      </c>
      <c r="CU286" s="1" t="s">
        <v>71</v>
      </c>
      <c r="CV286" s="1" t="s">
        <v>71</v>
      </c>
      <c r="CW286" s="1" t="s">
        <v>71</v>
      </c>
      <c r="CX286" s="1" t="s">
        <v>71</v>
      </c>
      <c r="CY286" s="1">
        <v>9.1</v>
      </c>
      <c r="CZ286" s="1" t="s">
        <v>71</v>
      </c>
      <c r="DA286">
        <f t="shared" si="97"/>
        <v>404</v>
      </c>
      <c r="DB286" s="1" t="s">
        <v>71</v>
      </c>
      <c r="DC286" s="26">
        <v>9.1</v>
      </c>
      <c r="DD286">
        <f t="shared" si="90"/>
        <v>404</v>
      </c>
      <c r="DE286" s="1" t="s">
        <v>71</v>
      </c>
      <c r="DF286" s="1" t="s">
        <v>71</v>
      </c>
    </row>
    <row r="287" spans="1:110" ht="15" x14ac:dyDescent="0.15">
      <c r="A287" s="23">
        <v>2023</v>
      </c>
      <c r="B287" s="23" t="s">
        <v>49</v>
      </c>
      <c r="C287" s="23">
        <v>15</v>
      </c>
      <c r="D287" s="23">
        <v>5</v>
      </c>
      <c r="E287" s="23" t="s">
        <v>51</v>
      </c>
      <c r="F287" s="23"/>
      <c r="G287" s="23" t="s">
        <v>56</v>
      </c>
      <c r="H287" s="23">
        <v>3</v>
      </c>
      <c r="I287" s="23" t="s">
        <v>51</v>
      </c>
      <c r="J287" s="23" t="s">
        <v>58</v>
      </c>
      <c r="K287" s="24">
        <v>45087</v>
      </c>
      <c r="L287" s="1" t="s">
        <v>71</v>
      </c>
      <c r="M287" s="1" t="s">
        <v>71</v>
      </c>
      <c r="N287" s="24">
        <v>45080</v>
      </c>
      <c r="O287" s="24">
        <v>45089</v>
      </c>
      <c r="P287" s="1" t="s">
        <v>71</v>
      </c>
      <c r="Q287" s="1" t="s">
        <v>71</v>
      </c>
      <c r="R287" s="1" t="s">
        <v>71</v>
      </c>
      <c r="S287" s="1" t="s">
        <v>71</v>
      </c>
      <c r="T287" s="1" t="s">
        <v>71</v>
      </c>
      <c r="U287" s="1">
        <v>83</v>
      </c>
      <c r="V287" s="1" t="s">
        <v>71</v>
      </c>
      <c r="W287" s="1" t="s">
        <v>71</v>
      </c>
      <c r="X287" s="1" t="s">
        <v>71</v>
      </c>
      <c r="Y287" s="1">
        <v>0</v>
      </c>
      <c r="Z287" s="1" t="s">
        <v>71</v>
      </c>
      <c r="AA287" s="1">
        <v>0</v>
      </c>
      <c r="AB287" s="1" t="s">
        <v>71</v>
      </c>
      <c r="AC287" s="1" t="s">
        <v>71</v>
      </c>
      <c r="AD287" s="25">
        <v>43</v>
      </c>
      <c r="AE287" s="25" t="s">
        <v>71</v>
      </c>
      <c r="AF287" s="25">
        <v>106</v>
      </c>
      <c r="AG287" s="25" t="s">
        <v>71</v>
      </c>
      <c r="AH287" s="1">
        <v>106</v>
      </c>
      <c r="AI287" s="1" t="s">
        <v>71</v>
      </c>
      <c r="AJ287" s="1">
        <v>3</v>
      </c>
      <c r="AK287" s="1">
        <v>0</v>
      </c>
      <c r="AL287" s="1">
        <v>0</v>
      </c>
      <c r="AM287" s="1">
        <v>0</v>
      </c>
      <c r="AN287" s="1">
        <v>0.1</v>
      </c>
      <c r="AO287" s="1">
        <v>0.05</v>
      </c>
      <c r="AP287" s="1">
        <v>5.000000000000001E-3</v>
      </c>
      <c r="AQ287" s="1">
        <v>13</v>
      </c>
      <c r="AR287" s="1">
        <v>0.03</v>
      </c>
      <c r="AS287" s="1">
        <v>5</v>
      </c>
      <c r="AT287" s="1">
        <v>0.15</v>
      </c>
      <c r="AU287" s="1" t="s">
        <v>71</v>
      </c>
      <c r="AV287" s="1" t="s">
        <v>71</v>
      </c>
      <c r="AW287" s="1" t="s">
        <v>71</v>
      </c>
      <c r="AX287" s="1">
        <v>0</v>
      </c>
      <c r="AY287" s="1">
        <v>0</v>
      </c>
      <c r="AZ287" s="1" t="s">
        <v>71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 t="s">
        <v>71</v>
      </c>
      <c r="BI287" s="1" t="s">
        <v>71</v>
      </c>
      <c r="BJ287" s="1" t="s">
        <v>71</v>
      </c>
      <c r="BK287" s="1">
        <v>1E-4</v>
      </c>
      <c r="BL287" s="1">
        <f t="shared" si="88"/>
        <v>0.01</v>
      </c>
      <c r="BM287" s="1">
        <v>0.1</v>
      </c>
      <c r="BN287" s="1">
        <v>1E-3</v>
      </c>
      <c r="BO287" s="1">
        <v>1</v>
      </c>
      <c r="BP287" s="1">
        <v>0</v>
      </c>
      <c r="BQ287" s="1" t="s">
        <v>71</v>
      </c>
      <c r="BR287" s="1" t="s">
        <v>71</v>
      </c>
      <c r="BS287" s="1" t="s">
        <v>71</v>
      </c>
      <c r="BT287" s="1" t="s">
        <v>71</v>
      </c>
      <c r="BU287" s="1" t="s">
        <v>71</v>
      </c>
      <c r="BV287" s="1" t="s">
        <v>71</v>
      </c>
      <c r="BW287" s="1" t="s">
        <v>71</v>
      </c>
      <c r="BX287" s="1" t="s">
        <v>71</v>
      </c>
      <c r="BY287" s="1" t="s">
        <v>71</v>
      </c>
      <c r="BZ287" s="3">
        <v>3.7</v>
      </c>
      <c r="CA287" s="3" t="s">
        <v>71</v>
      </c>
      <c r="CB287" s="3">
        <f t="shared" si="89"/>
        <v>5.1388888888888893</v>
      </c>
      <c r="CC287" s="1" t="s">
        <v>71</v>
      </c>
      <c r="CD287" s="1">
        <v>1</v>
      </c>
      <c r="CE287" s="1">
        <v>1</v>
      </c>
      <c r="CF287" s="1">
        <f t="shared" si="98"/>
        <v>1</v>
      </c>
      <c r="CG287" s="3" t="s">
        <v>71</v>
      </c>
      <c r="CH287" s="3" t="s">
        <v>71</v>
      </c>
      <c r="CI287" s="3" t="s">
        <v>71</v>
      </c>
      <c r="CJ287" s="3" t="s">
        <v>71</v>
      </c>
      <c r="CK287" s="3" t="s">
        <v>71</v>
      </c>
      <c r="CL287" s="3" t="s">
        <v>71</v>
      </c>
      <c r="CM287" s="3" t="s">
        <v>71</v>
      </c>
      <c r="CN287" s="3" t="s">
        <v>71</v>
      </c>
      <c r="CO287" s="5">
        <v>49</v>
      </c>
      <c r="CP287" s="5" t="s">
        <v>71</v>
      </c>
      <c r="CQ287" s="1">
        <v>31</v>
      </c>
      <c r="CR287" s="1" t="s">
        <v>71</v>
      </c>
      <c r="CS287" s="5" t="s">
        <v>71</v>
      </c>
      <c r="CT287" s="1">
        <v>9.6</v>
      </c>
      <c r="CU287" s="1" t="s">
        <v>71</v>
      </c>
      <c r="CV287" s="1" t="s">
        <v>71</v>
      </c>
      <c r="CW287" s="1" t="s">
        <v>71</v>
      </c>
      <c r="CX287" s="1" t="s">
        <v>71</v>
      </c>
      <c r="CY287" s="1">
        <v>8</v>
      </c>
      <c r="CZ287" s="1" t="s">
        <v>71</v>
      </c>
      <c r="DA287">
        <f t="shared" si="97"/>
        <v>411</v>
      </c>
      <c r="DB287" s="1" t="s">
        <v>71</v>
      </c>
      <c r="DC287" s="26">
        <v>8</v>
      </c>
      <c r="DD287">
        <f t="shared" si="90"/>
        <v>411</v>
      </c>
      <c r="DE287" s="1" t="s">
        <v>71</v>
      </c>
      <c r="DF287" s="1" t="s">
        <v>71</v>
      </c>
    </row>
    <row r="288" spans="1:110" ht="15" x14ac:dyDescent="0.15">
      <c r="A288" s="23">
        <v>2023</v>
      </c>
      <c r="B288" s="23" t="s">
        <v>49</v>
      </c>
      <c r="C288" s="23">
        <v>15</v>
      </c>
      <c r="D288" s="23">
        <v>6</v>
      </c>
      <c r="E288" s="23" t="s">
        <v>52</v>
      </c>
      <c r="F288" s="23"/>
      <c r="G288" s="23" t="s">
        <v>56</v>
      </c>
      <c r="H288" s="23">
        <v>3</v>
      </c>
      <c r="I288" s="23" t="s">
        <v>52</v>
      </c>
      <c r="J288" s="23" t="s">
        <v>58</v>
      </c>
      <c r="K288" s="24" t="s">
        <v>57</v>
      </c>
      <c r="L288" s="1" t="s">
        <v>71</v>
      </c>
      <c r="M288" s="1" t="s">
        <v>71</v>
      </c>
      <c r="N288" s="24">
        <v>45082</v>
      </c>
      <c r="O288" s="24">
        <v>45091</v>
      </c>
      <c r="P288" s="1" t="s">
        <v>71</v>
      </c>
      <c r="Q288" s="1" t="s">
        <v>71</v>
      </c>
      <c r="R288" s="1" t="s">
        <v>71</v>
      </c>
      <c r="S288" s="1" t="s">
        <v>71</v>
      </c>
      <c r="T288" s="1" t="s">
        <v>71</v>
      </c>
      <c r="U288" s="1">
        <v>79</v>
      </c>
      <c r="V288" s="1" t="s">
        <v>71</v>
      </c>
      <c r="W288" s="1" t="s">
        <v>71</v>
      </c>
      <c r="X288" s="1" t="s">
        <v>71</v>
      </c>
      <c r="Y288" s="1">
        <v>0</v>
      </c>
      <c r="Z288" s="1" t="s">
        <v>71</v>
      </c>
      <c r="AA288" s="1">
        <v>0</v>
      </c>
      <c r="AB288" s="1" t="s">
        <v>71</v>
      </c>
      <c r="AC288" s="1" t="s">
        <v>71</v>
      </c>
      <c r="AD288" s="25">
        <v>40</v>
      </c>
      <c r="AE288" s="25" t="s">
        <v>71</v>
      </c>
      <c r="AF288" s="25">
        <v>86.333333333333329</v>
      </c>
      <c r="AG288" s="25" t="s">
        <v>71</v>
      </c>
      <c r="AH288" s="1">
        <v>82</v>
      </c>
      <c r="AI288" s="1" t="s">
        <v>71</v>
      </c>
      <c r="AJ288" s="1">
        <v>2.7</v>
      </c>
      <c r="AK288" s="1">
        <v>0</v>
      </c>
      <c r="AL288" s="1">
        <v>0</v>
      </c>
      <c r="AM288" s="1">
        <v>0</v>
      </c>
      <c r="AN288" s="1">
        <v>0.05</v>
      </c>
      <c r="AO288" s="1">
        <v>0.03</v>
      </c>
      <c r="AP288" s="1">
        <v>1.5E-3</v>
      </c>
      <c r="AQ288" s="1">
        <v>35</v>
      </c>
      <c r="AR288" s="1">
        <v>5.0000000000000001E-3</v>
      </c>
      <c r="AS288" s="1">
        <v>5</v>
      </c>
      <c r="AT288" s="1">
        <v>2.5000000000000001E-2</v>
      </c>
      <c r="AU288" s="1" t="s">
        <v>71</v>
      </c>
      <c r="AV288" s="1" t="s">
        <v>71</v>
      </c>
      <c r="AW288" s="1" t="s">
        <v>71</v>
      </c>
      <c r="AX288" s="1">
        <v>0</v>
      </c>
      <c r="AY288" s="1">
        <v>0</v>
      </c>
      <c r="AZ288" s="1" t="s">
        <v>71</v>
      </c>
      <c r="BA288" s="1">
        <v>0.01</v>
      </c>
      <c r="BB288" s="1">
        <v>1E-4</v>
      </c>
      <c r="BC288" s="1">
        <v>9.9999999999999995E-7</v>
      </c>
      <c r="BD288" s="1">
        <v>5.0000000000000001E-3</v>
      </c>
      <c r="BE288" s="1">
        <v>5.0000000000000002E-5</v>
      </c>
      <c r="BF288" s="1">
        <v>2.4999999999999999E-7</v>
      </c>
      <c r="BG288" s="1">
        <v>0</v>
      </c>
      <c r="BH288" s="1" t="s">
        <v>71</v>
      </c>
      <c r="BI288" s="1" t="s">
        <v>71</v>
      </c>
      <c r="BJ288" s="1" t="s">
        <v>71</v>
      </c>
      <c r="BK288" s="1">
        <v>4.0000000000000003E-5</v>
      </c>
      <c r="BL288" s="1">
        <f t="shared" si="88"/>
        <v>4.0000000000000001E-3</v>
      </c>
      <c r="BM288" s="1">
        <v>0.02</v>
      </c>
      <c r="BN288" s="1">
        <v>2E-3</v>
      </c>
      <c r="BO288" s="1">
        <v>1</v>
      </c>
      <c r="BP288" s="1">
        <v>0</v>
      </c>
      <c r="BQ288" s="1" t="s">
        <v>71</v>
      </c>
      <c r="BR288" s="1" t="s">
        <v>71</v>
      </c>
      <c r="BS288" s="1" t="s">
        <v>71</v>
      </c>
      <c r="BT288" s="1" t="s">
        <v>71</v>
      </c>
      <c r="BU288" s="1" t="s">
        <v>71</v>
      </c>
      <c r="BV288" s="1" t="s">
        <v>71</v>
      </c>
      <c r="BW288" s="1" t="s">
        <v>71</v>
      </c>
      <c r="BX288" s="1" t="s">
        <v>71</v>
      </c>
      <c r="BY288" s="1" t="s">
        <v>71</v>
      </c>
      <c r="BZ288" s="3">
        <v>3.2</v>
      </c>
      <c r="CA288" s="3" t="s">
        <v>71</v>
      </c>
      <c r="CB288" s="3">
        <f t="shared" si="89"/>
        <v>4.4444444444444455</v>
      </c>
      <c r="CC288" s="1" t="s">
        <v>71</v>
      </c>
      <c r="CD288" s="1">
        <v>1</v>
      </c>
      <c r="CE288" s="1">
        <v>1</v>
      </c>
      <c r="CF288" s="1">
        <f t="shared" si="98"/>
        <v>1</v>
      </c>
      <c r="CG288" s="3" t="s">
        <v>71</v>
      </c>
      <c r="CH288" s="3" t="s">
        <v>71</v>
      </c>
      <c r="CI288" s="3" t="s">
        <v>71</v>
      </c>
      <c r="CJ288" s="3" t="s">
        <v>71</v>
      </c>
      <c r="CK288" s="3" t="s">
        <v>71</v>
      </c>
      <c r="CL288" s="3" t="s">
        <v>71</v>
      </c>
      <c r="CM288" s="3" t="s">
        <v>71</v>
      </c>
      <c r="CN288" s="3" t="s">
        <v>71</v>
      </c>
      <c r="CO288" s="5">
        <v>46</v>
      </c>
      <c r="CP288" s="5" t="s">
        <v>71</v>
      </c>
      <c r="CQ288" s="1">
        <v>29</v>
      </c>
      <c r="CR288" s="1" t="s">
        <v>71</v>
      </c>
      <c r="CS288" s="5" t="s">
        <v>71</v>
      </c>
      <c r="CT288" s="1">
        <v>8.9</v>
      </c>
      <c r="CU288" s="1" t="s">
        <v>71</v>
      </c>
      <c r="CV288" s="1" t="s">
        <v>71</v>
      </c>
      <c r="CW288" s="1" t="s">
        <v>71</v>
      </c>
      <c r="CX288" s="1" t="s">
        <v>71</v>
      </c>
      <c r="CY288" s="1">
        <v>8.5</v>
      </c>
      <c r="CZ288" s="1" t="s">
        <v>71</v>
      </c>
      <c r="DA288">
        <f t="shared" si="97"/>
        <v>378</v>
      </c>
      <c r="DB288" s="1" t="s">
        <v>71</v>
      </c>
      <c r="DC288" s="26">
        <v>8.5</v>
      </c>
      <c r="DD288">
        <f t="shared" si="90"/>
        <v>378</v>
      </c>
      <c r="DE288" s="1" t="s">
        <v>71</v>
      </c>
      <c r="DF288" s="1" t="s">
        <v>71</v>
      </c>
    </row>
    <row r="289" spans="1:110" ht="15" x14ac:dyDescent="0.15">
      <c r="A289" s="23">
        <v>2023</v>
      </c>
      <c r="B289" s="23" t="s">
        <v>49</v>
      </c>
      <c r="C289" s="23">
        <v>15</v>
      </c>
      <c r="D289" s="23">
        <v>7</v>
      </c>
      <c r="E289" s="23"/>
      <c r="F289" s="23" t="s">
        <v>53</v>
      </c>
      <c r="G289" s="23" t="s">
        <v>56</v>
      </c>
      <c r="H289" s="23">
        <v>3</v>
      </c>
      <c r="I289" s="23" t="s">
        <v>53</v>
      </c>
      <c r="J289" s="23" t="s">
        <v>57</v>
      </c>
      <c r="K289" s="1" t="s">
        <v>57</v>
      </c>
      <c r="L289" s="1" t="s">
        <v>71</v>
      </c>
      <c r="M289" s="1" t="s">
        <v>71</v>
      </c>
      <c r="N289" s="1" t="s">
        <v>71</v>
      </c>
      <c r="O289" s="1" t="s">
        <v>71</v>
      </c>
      <c r="P289" s="24">
        <v>45077</v>
      </c>
      <c r="Q289" s="1" t="s">
        <v>71</v>
      </c>
      <c r="R289" s="1" t="s">
        <v>71</v>
      </c>
      <c r="S289" s="1" t="s">
        <v>71</v>
      </c>
      <c r="T289" s="1" t="s">
        <v>71</v>
      </c>
      <c r="U289" s="1" t="s">
        <v>71</v>
      </c>
      <c r="V289" s="1">
        <v>87</v>
      </c>
      <c r="W289" s="1" t="s">
        <v>71</v>
      </c>
      <c r="X289" s="1">
        <v>0</v>
      </c>
      <c r="Y289" s="1" t="s">
        <v>71</v>
      </c>
      <c r="Z289" s="1">
        <v>0</v>
      </c>
      <c r="AA289" s="1" t="s">
        <v>71</v>
      </c>
      <c r="AB289" s="1" t="s">
        <v>71</v>
      </c>
      <c r="AC289" s="1" t="s">
        <v>71</v>
      </c>
      <c r="AD289" s="25" t="s">
        <v>71</v>
      </c>
      <c r="AE289" s="25">
        <v>15</v>
      </c>
      <c r="AF289" s="25" t="s">
        <v>71</v>
      </c>
      <c r="AG289" s="25">
        <v>37.666666666666664</v>
      </c>
      <c r="AH289" s="1" t="s">
        <v>71</v>
      </c>
      <c r="AI289" s="1">
        <v>36</v>
      </c>
      <c r="AJ289" s="1" t="s">
        <v>71</v>
      </c>
      <c r="AK289" s="1" t="s">
        <v>71</v>
      </c>
      <c r="AL289" s="1" t="s">
        <v>71</v>
      </c>
      <c r="AM289" s="1" t="s">
        <v>71</v>
      </c>
      <c r="AN289" s="1" t="s">
        <v>71</v>
      </c>
      <c r="AO289" s="1" t="s">
        <v>71</v>
      </c>
      <c r="AP289" s="1" t="s">
        <v>71</v>
      </c>
      <c r="AQ289" s="1" t="s">
        <v>71</v>
      </c>
      <c r="AR289" s="1" t="s">
        <v>71</v>
      </c>
      <c r="AS289" s="1" t="s">
        <v>71</v>
      </c>
      <c r="AT289" s="1" t="s">
        <v>71</v>
      </c>
      <c r="AU289" s="1">
        <v>0</v>
      </c>
      <c r="AV289" s="1">
        <v>0</v>
      </c>
      <c r="AW289" s="1">
        <v>0</v>
      </c>
      <c r="AX289" s="1" t="s">
        <v>71</v>
      </c>
      <c r="AY289" s="1" t="s">
        <v>71</v>
      </c>
      <c r="AZ289" s="1">
        <v>0.1</v>
      </c>
      <c r="BA289" s="1" t="s">
        <v>71</v>
      </c>
      <c r="BB289" s="1" t="s">
        <v>71</v>
      </c>
      <c r="BC289" s="1" t="s">
        <v>71</v>
      </c>
      <c r="BD289" s="1" t="s">
        <v>71</v>
      </c>
      <c r="BE289" s="1" t="s">
        <v>71</v>
      </c>
      <c r="BF289" s="1" t="s">
        <v>71</v>
      </c>
      <c r="BG289" s="1" t="s">
        <v>71</v>
      </c>
      <c r="BH289" s="1">
        <v>348</v>
      </c>
      <c r="BI289" s="1">
        <v>10</v>
      </c>
      <c r="BJ289" s="1">
        <v>2</v>
      </c>
      <c r="BK289" s="1">
        <v>1.4999999999999999E-2</v>
      </c>
      <c r="BL289" s="1">
        <f t="shared" si="88"/>
        <v>1.5</v>
      </c>
      <c r="BM289" s="1">
        <v>1.5</v>
      </c>
      <c r="BN289" s="1">
        <v>0.01</v>
      </c>
      <c r="BO289" s="1">
        <v>2</v>
      </c>
      <c r="BP289" s="1">
        <v>0</v>
      </c>
      <c r="BQ289" s="1" t="s">
        <v>71</v>
      </c>
      <c r="BR289" s="1" t="s">
        <v>71</v>
      </c>
      <c r="BS289" s="1" t="s">
        <v>71</v>
      </c>
      <c r="BT289" s="1" t="s">
        <v>71</v>
      </c>
      <c r="BU289" s="1" t="s">
        <v>71</v>
      </c>
      <c r="BV289" s="1">
        <v>3</v>
      </c>
      <c r="BW289" s="1">
        <v>0</v>
      </c>
      <c r="BX289" s="1" t="s">
        <v>71</v>
      </c>
      <c r="BY289" s="1" t="s">
        <v>71</v>
      </c>
      <c r="BZ289" s="3" t="s">
        <v>71</v>
      </c>
      <c r="CA289" s="3">
        <v>2.4</v>
      </c>
      <c r="CB289" s="1" t="s">
        <v>71</v>
      </c>
      <c r="CC289" s="3">
        <f t="shared" si="93"/>
        <v>3.3333333333333339</v>
      </c>
      <c r="CD289" s="1">
        <v>1</v>
      </c>
      <c r="CE289" s="1">
        <v>1</v>
      </c>
      <c r="CF289" s="1">
        <f t="shared" si="98"/>
        <v>1</v>
      </c>
      <c r="CG289" s="1" t="s">
        <v>71</v>
      </c>
      <c r="CH289" s="1" t="s">
        <v>71</v>
      </c>
      <c r="CI289" s="1" t="s">
        <v>71</v>
      </c>
      <c r="CJ289" s="1" t="s">
        <v>71</v>
      </c>
      <c r="CK289" s="3" t="s">
        <v>71</v>
      </c>
      <c r="CL289" s="3" t="s">
        <v>71</v>
      </c>
      <c r="CM289" s="3" t="s">
        <v>71</v>
      </c>
      <c r="CN289" s="3" t="s">
        <v>71</v>
      </c>
      <c r="CO289" s="5" t="s">
        <v>71</v>
      </c>
      <c r="CP289" s="5">
        <v>78</v>
      </c>
      <c r="CQ289" s="1" t="s">
        <v>71</v>
      </c>
      <c r="CR289" s="1">
        <v>137</v>
      </c>
      <c r="CS289" s="5">
        <v>32.5</v>
      </c>
      <c r="CT289" s="1" t="s">
        <v>71</v>
      </c>
      <c r="CU289" s="1">
        <v>7.2</v>
      </c>
      <c r="CV289" s="1" t="s">
        <v>71</v>
      </c>
      <c r="CW289" s="1" t="s">
        <v>71</v>
      </c>
      <c r="CX289" t="e">
        <f>ROUND(CV289*#REF!/10,1)</f>
        <v>#VALUE!</v>
      </c>
      <c r="CY289" s="1" t="s">
        <v>71</v>
      </c>
      <c r="CZ289">
        <f>ROUND((10*CC289*CS289),0)</f>
        <v>1083</v>
      </c>
      <c r="DA289" s="1" t="s">
        <v>71</v>
      </c>
      <c r="DB289" s="1" t="s">
        <v>71</v>
      </c>
      <c r="DC289" s="26" t="s">
        <v>71</v>
      </c>
      <c r="DD289">
        <f t="shared" si="90"/>
        <v>1083</v>
      </c>
      <c r="DE289" s="1" t="s">
        <v>71</v>
      </c>
      <c r="DF289" s="1" t="s">
        <v>71</v>
      </c>
    </row>
    <row r="290" spans="1:110" ht="15" x14ac:dyDescent="0.15">
      <c r="A290" s="23">
        <v>2023</v>
      </c>
      <c r="B290" s="23" t="s">
        <v>49</v>
      </c>
      <c r="C290" s="23">
        <v>15</v>
      </c>
      <c r="D290" s="23">
        <v>8</v>
      </c>
      <c r="E290" s="23"/>
      <c r="F290" s="23" t="s">
        <v>54</v>
      </c>
      <c r="G290" s="23" t="s">
        <v>56</v>
      </c>
      <c r="H290" s="23">
        <v>3</v>
      </c>
      <c r="I290" s="23" t="s">
        <v>54</v>
      </c>
      <c r="J290" s="23" t="s">
        <v>57</v>
      </c>
      <c r="K290" s="24">
        <v>45084</v>
      </c>
      <c r="L290" s="1" t="s">
        <v>71</v>
      </c>
      <c r="M290" s="1" t="s">
        <v>71</v>
      </c>
      <c r="N290" s="1" t="s">
        <v>71</v>
      </c>
      <c r="O290" s="1" t="s">
        <v>71</v>
      </c>
      <c r="P290" s="24">
        <v>45080</v>
      </c>
      <c r="Q290" s="1" t="s">
        <v>71</v>
      </c>
      <c r="R290" s="1" t="s">
        <v>71</v>
      </c>
      <c r="S290" s="1" t="s">
        <v>71</v>
      </c>
      <c r="T290" s="1" t="s">
        <v>71</v>
      </c>
      <c r="U290" s="1" t="s">
        <v>71</v>
      </c>
      <c r="V290" s="1">
        <v>86</v>
      </c>
      <c r="W290" s="1" t="s">
        <v>71</v>
      </c>
      <c r="X290" s="1">
        <v>0</v>
      </c>
      <c r="Y290" s="1" t="s">
        <v>71</v>
      </c>
      <c r="Z290" s="1">
        <v>10</v>
      </c>
      <c r="AA290" s="1" t="s">
        <v>71</v>
      </c>
      <c r="AB290" s="1" t="s">
        <v>71</v>
      </c>
      <c r="AC290" s="1" t="s">
        <v>71</v>
      </c>
      <c r="AD290" s="25" t="s">
        <v>71</v>
      </c>
      <c r="AE290" s="25">
        <v>18</v>
      </c>
      <c r="AF290" s="25" t="s">
        <v>71</v>
      </c>
      <c r="AG290" s="25">
        <v>45</v>
      </c>
      <c r="AH290" s="1" t="s">
        <v>71</v>
      </c>
      <c r="AI290" s="1">
        <v>38</v>
      </c>
      <c r="AJ290" s="1" t="s">
        <v>71</v>
      </c>
      <c r="AK290" s="1" t="s">
        <v>71</v>
      </c>
      <c r="AL290" s="1" t="s">
        <v>71</v>
      </c>
      <c r="AM290" s="1" t="s">
        <v>71</v>
      </c>
      <c r="AN290" s="1" t="s">
        <v>71</v>
      </c>
      <c r="AO290" s="1" t="s">
        <v>71</v>
      </c>
      <c r="AP290" s="1" t="s">
        <v>71</v>
      </c>
      <c r="AQ290" s="1" t="s">
        <v>71</v>
      </c>
      <c r="AR290" s="1" t="s">
        <v>71</v>
      </c>
      <c r="AS290" s="1" t="s">
        <v>71</v>
      </c>
      <c r="AT290" s="1" t="s">
        <v>71</v>
      </c>
      <c r="AU290" s="1">
        <v>0.27</v>
      </c>
      <c r="AV290" s="1">
        <v>1</v>
      </c>
      <c r="AW290" s="1">
        <v>0.27</v>
      </c>
      <c r="AX290" s="1" t="s">
        <v>71</v>
      </c>
      <c r="AY290" s="1" t="s">
        <v>71</v>
      </c>
      <c r="AZ290" s="1">
        <v>0</v>
      </c>
      <c r="BA290" s="1" t="s">
        <v>71</v>
      </c>
      <c r="BB290" s="1" t="s">
        <v>71</v>
      </c>
      <c r="BC290" s="1" t="s">
        <v>71</v>
      </c>
      <c r="BD290" s="1" t="s">
        <v>71</v>
      </c>
      <c r="BE290" s="1" t="s">
        <v>71</v>
      </c>
      <c r="BF290" s="1" t="s">
        <v>71</v>
      </c>
      <c r="BG290" s="1" t="s">
        <v>71</v>
      </c>
      <c r="BH290" s="1">
        <v>234</v>
      </c>
      <c r="BI290" s="1">
        <v>10</v>
      </c>
      <c r="BJ290" s="1">
        <v>2</v>
      </c>
      <c r="BK290" s="1">
        <v>0.108</v>
      </c>
      <c r="BL290" s="1">
        <f t="shared" si="88"/>
        <v>10.8</v>
      </c>
      <c r="BM290" s="1">
        <v>0.6</v>
      </c>
      <c r="BN290" s="1">
        <v>0.18</v>
      </c>
      <c r="BO290" s="1">
        <v>2</v>
      </c>
      <c r="BP290" s="1">
        <v>5</v>
      </c>
      <c r="BQ290" s="1" t="s">
        <v>71</v>
      </c>
      <c r="BR290" s="1" t="s">
        <v>71</v>
      </c>
      <c r="BS290" s="1" t="s">
        <v>71</v>
      </c>
      <c r="BT290" s="1" t="s">
        <v>71</v>
      </c>
      <c r="BU290" s="1" t="s">
        <v>71</v>
      </c>
      <c r="BV290" s="1">
        <v>4</v>
      </c>
      <c r="BW290" s="1">
        <v>0</v>
      </c>
      <c r="BX290" s="1" t="s">
        <v>71</v>
      </c>
      <c r="BY290" s="1" t="s">
        <v>71</v>
      </c>
      <c r="BZ290" s="3" t="s">
        <v>71</v>
      </c>
      <c r="CA290" s="3" t="s">
        <v>71</v>
      </c>
      <c r="CB290" s="1" t="s">
        <v>71</v>
      </c>
      <c r="CC290" s="3" t="s">
        <v>71</v>
      </c>
      <c r="CD290" s="1">
        <v>1</v>
      </c>
      <c r="CE290" s="1">
        <v>1</v>
      </c>
      <c r="CF290" s="1">
        <f t="shared" si="98"/>
        <v>1</v>
      </c>
      <c r="CG290" s="1" t="s">
        <v>71</v>
      </c>
      <c r="CH290" s="1" t="s">
        <v>71</v>
      </c>
      <c r="CI290" s="1" t="s">
        <v>71</v>
      </c>
      <c r="CJ290" s="1" t="s">
        <v>71</v>
      </c>
      <c r="CK290" s="3" t="s">
        <v>71</v>
      </c>
      <c r="CL290" s="3" t="s">
        <v>71</v>
      </c>
      <c r="CM290" s="3" t="s">
        <v>71</v>
      </c>
      <c r="CN290" s="3" t="s">
        <v>71</v>
      </c>
      <c r="CO290" s="5">
        <v>52</v>
      </c>
      <c r="CP290" s="5" t="s">
        <v>71</v>
      </c>
      <c r="CQ290" s="1" t="s">
        <v>71</v>
      </c>
      <c r="CR290" s="1">
        <v>134</v>
      </c>
      <c r="CS290" s="5">
        <v>38.700000000000003</v>
      </c>
      <c r="CT290" s="1">
        <v>9</v>
      </c>
      <c r="CU290" s="1">
        <v>6.4</v>
      </c>
      <c r="CV290" s="1" t="s">
        <v>71</v>
      </c>
      <c r="CW290" s="1" t="s">
        <v>71</v>
      </c>
      <c r="CX290" t="e">
        <f>ROUND(CV290*#REF!/10,1)</f>
        <v>#VALUE!</v>
      </c>
      <c r="CY290" s="1" t="s">
        <v>71</v>
      </c>
      <c r="CZ290" t="s">
        <v>71</v>
      </c>
      <c r="DA290" s="1" t="s">
        <v>71</v>
      </c>
      <c r="DB290" s="1" t="s">
        <v>71</v>
      </c>
      <c r="DC290" s="26" t="s">
        <v>71</v>
      </c>
      <c r="DD290">
        <f t="shared" si="90"/>
        <v>0</v>
      </c>
      <c r="DE290" s="1" t="s">
        <v>71</v>
      </c>
      <c r="DF290" s="1" t="s">
        <v>71</v>
      </c>
    </row>
    <row r="291" spans="1:110" ht="15" x14ac:dyDescent="0.15">
      <c r="A291" s="23">
        <v>2023</v>
      </c>
      <c r="B291" s="23" t="s">
        <v>49</v>
      </c>
      <c r="C291" s="23">
        <v>15</v>
      </c>
      <c r="D291" s="23">
        <v>9</v>
      </c>
      <c r="E291" s="23"/>
      <c r="F291" s="23" t="s">
        <v>55</v>
      </c>
      <c r="G291" s="23" t="s">
        <v>56</v>
      </c>
      <c r="H291" s="23">
        <v>3</v>
      </c>
      <c r="I291" s="23" t="s">
        <v>55</v>
      </c>
      <c r="J291" s="23" t="s">
        <v>57</v>
      </c>
      <c r="K291" s="24">
        <v>45099</v>
      </c>
      <c r="L291" s="1" t="s">
        <v>71</v>
      </c>
      <c r="M291" s="1" t="s">
        <v>71</v>
      </c>
      <c r="N291" s="1" t="s">
        <v>71</v>
      </c>
      <c r="O291" s="1" t="s">
        <v>71</v>
      </c>
      <c r="P291" s="24">
        <v>45078</v>
      </c>
      <c r="Q291" s="1" t="s">
        <v>71</v>
      </c>
      <c r="R291" s="1" t="s">
        <v>71</v>
      </c>
      <c r="S291" s="1" t="s">
        <v>71</v>
      </c>
      <c r="T291" s="1" t="s">
        <v>71</v>
      </c>
      <c r="U291" s="1" t="s">
        <v>71</v>
      </c>
      <c r="V291" s="1">
        <v>85</v>
      </c>
      <c r="W291" s="1" t="s">
        <v>71</v>
      </c>
      <c r="X291" s="1">
        <v>0</v>
      </c>
      <c r="Y291" s="1" t="s">
        <v>71</v>
      </c>
      <c r="Z291" s="1">
        <v>0</v>
      </c>
      <c r="AA291" s="1" t="s">
        <v>71</v>
      </c>
      <c r="AB291" s="1" t="s">
        <v>71</v>
      </c>
      <c r="AC291" s="1" t="s">
        <v>71</v>
      </c>
      <c r="AD291" s="25" t="s">
        <v>71</v>
      </c>
      <c r="AE291" s="25">
        <v>15</v>
      </c>
      <c r="AF291" s="25" t="s">
        <v>71</v>
      </c>
      <c r="AG291" s="25">
        <v>33.333333333333336</v>
      </c>
      <c r="AH291" s="1" t="s">
        <v>71</v>
      </c>
      <c r="AI291" s="1">
        <v>33</v>
      </c>
      <c r="AJ291" s="1" t="s">
        <v>71</v>
      </c>
      <c r="AK291" s="1" t="s">
        <v>71</v>
      </c>
      <c r="AL291" s="1" t="s">
        <v>71</v>
      </c>
      <c r="AM291" s="1" t="s">
        <v>71</v>
      </c>
      <c r="AN291" s="1" t="s">
        <v>71</v>
      </c>
      <c r="AO291" s="1" t="s">
        <v>71</v>
      </c>
      <c r="AP291" s="1" t="s">
        <v>71</v>
      </c>
      <c r="AQ291" s="1" t="s">
        <v>71</v>
      </c>
      <c r="AR291" s="1" t="s">
        <v>71</v>
      </c>
      <c r="AS291" s="1" t="s">
        <v>71</v>
      </c>
      <c r="AT291" s="1" t="s">
        <v>71</v>
      </c>
      <c r="AU291" s="1">
        <v>0</v>
      </c>
      <c r="AV291" s="1">
        <v>0</v>
      </c>
      <c r="AW291" s="1">
        <v>0</v>
      </c>
      <c r="AX291" s="1" t="s">
        <v>71</v>
      </c>
      <c r="AY291" s="1" t="s">
        <v>71</v>
      </c>
      <c r="AZ291" s="1">
        <v>0.1</v>
      </c>
      <c r="BA291" s="1" t="s">
        <v>71</v>
      </c>
      <c r="BB291" s="1" t="s">
        <v>71</v>
      </c>
      <c r="BC291" s="1" t="s">
        <v>71</v>
      </c>
      <c r="BD291" s="1" t="s">
        <v>71</v>
      </c>
      <c r="BE291" s="1" t="s">
        <v>71</v>
      </c>
      <c r="BF291" s="1" t="s">
        <v>71</v>
      </c>
      <c r="BG291" s="1" t="s">
        <v>71</v>
      </c>
      <c r="BH291" s="1">
        <v>33</v>
      </c>
      <c r="BI291" s="1">
        <v>5</v>
      </c>
      <c r="BJ291" s="1">
        <v>0.1</v>
      </c>
      <c r="BK291" s="1">
        <v>0.15</v>
      </c>
      <c r="BL291" s="1">
        <f t="shared" si="88"/>
        <v>15</v>
      </c>
      <c r="BM291" s="1">
        <v>1</v>
      </c>
      <c r="BN291" s="1">
        <v>0.15</v>
      </c>
      <c r="BO291" s="1">
        <v>2</v>
      </c>
      <c r="BP291" s="1">
        <v>20</v>
      </c>
      <c r="BQ291" s="1" t="s">
        <v>71</v>
      </c>
      <c r="BR291" s="1" t="s">
        <v>71</v>
      </c>
      <c r="BS291" s="1" t="s">
        <v>71</v>
      </c>
      <c r="BT291" s="1" t="s">
        <v>71</v>
      </c>
      <c r="BU291" s="1" t="s">
        <v>71</v>
      </c>
      <c r="BV291" s="1">
        <v>3.7</v>
      </c>
      <c r="BW291" s="1">
        <v>0.3</v>
      </c>
      <c r="BX291" s="1" t="s">
        <v>71</v>
      </c>
      <c r="BY291" s="1" t="s">
        <v>71</v>
      </c>
      <c r="BZ291" s="3" t="s">
        <v>71</v>
      </c>
      <c r="CA291" s="3">
        <v>1.1000000000000001</v>
      </c>
      <c r="CB291" s="1" t="s">
        <v>71</v>
      </c>
      <c r="CC291" s="3">
        <f t="shared" si="93"/>
        <v>1.5277777777777781</v>
      </c>
      <c r="CD291" s="1">
        <v>1</v>
      </c>
      <c r="CE291" s="1">
        <v>1</v>
      </c>
      <c r="CF291" s="1">
        <f t="shared" si="98"/>
        <v>1</v>
      </c>
      <c r="CG291" s="1" t="s">
        <v>71</v>
      </c>
      <c r="CH291" s="1" t="s">
        <v>71</v>
      </c>
      <c r="CI291" s="1" t="s">
        <v>71</v>
      </c>
      <c r="CJ291" s="1" t="s">
        <v>71</v>
      </c>
      <c r="CK291" s="3" t="s">
        <v>71</v>
      </c>
      <c r="CL291" s="3" t="s">
        <v>71</v>
      </c>
      <c r="CM291" s="3" t="s">
        <v>71</v>
      </c>
      <c r="CN291" s="3" t="s">
        <v>71</v>
      </c>
      <c r="CO291" s="5" t="s">
        <v>71</v>
      </c>
      <c r="CP291" s="5">
        <v>77</v>
      </c>
      <c r="CQ291" s="1" t="s">
        <v>71</v>
      </c>
      <c r="CR291" s="1">
        <v>103</v>
      </c>
      <c r="CS291" s="5">
        <v>33.299999999999997</v>
      </c>
      <c r="CT291" s="1" t="s">
        <v>71</v>
      </c>
      <c r="CU291" s="1">
        <v>7.1</v>
      </c>
      <c r="CV291" s="1" t="s">
        <v>71</v>
      </c>
      <c r="CW291" s="1" t="s">
        <v>71</v>
      </c>
      <c r="CX291" t="e">
        <f>ROUND(CV291*#REF!/10,1)</f>
        <v>#VALUE!</v>
      </c>
      <c r="CY291" s="1" t="s">
        <v>71</v>
      </c>
      <c r="CZ291">
        <f t="shared" ref="CZ291:CZ296" si="99">ROUND((10*CC291*CS291),0)</f>
        <v>509</v>
      </c>
      <c r="DA291" s="1" t="s">
        <v>71</v>
      </c>
      <c r="DB291" s="1" t="s">
        <v>71</v>
      </c>
      <c r="DC291" s="26" t="s">
        <v>71</v>
      </c>
      <c r="DD291">
        <f t="shared" si="90"/>
        <v>509</v>
      </c>
      <c r="DE291" s="1" t="s">
        <v>71</v>
      </c>
      <c r="DF291" s="1" t="s">
        <v>71</v>
      </c>
    </row>
    <row r="292" spans="1:110" x14ac:dyDescent="0.15">
      <c r="A292" s="23">
        <v>2023</v>
      </c>
      <c r="B292" s="23" t="s">
        <v>49</v>
      </c>
      <c r="C292" s="23">
        <v>15</v>
      </c>
      <c r="D292" s="23">
        <v>10</v>
      </c>
      <c r="E292" s="23" t="s">
        <v>50</v>
      </c>
      <c r="F292" s="23" t="s">
        <v>53</v>
      </c>
      <c r="G292" s="23" t="s">
        <v>5</v>
      </c>
      <c r="H292" s="23">
        <v>3</v>
      </c>
      <c r="I292" s="23" t="s">
        <v>60</v>
      </c>
      <c r="J292" s="23" t="s">
        <v>57</v>
      </c>
      <c r="K292" s="24">
        <v>45084</v>
      </c>
      <c r="L292" s="1">
        <f>K292-K286</f>
        <v>2</v>
      </c>
      <c r="M292" s="27">
        <v>10000000000</v>
      </c>
      <c r="N292" s="24">
        <v>45077</v>
      </c>
      <c r="O292" s="24">
        <v>45084</v>
      </c>
      <c r="P292" s="24">
        <v>45074</v>
      </c>
      <c r="Q292" s="1">
        <f>P292-P289</f>
        <v>-3</v>
      </c>
      <c r="R292" s="1">
        <f>N292-N286</f>
        <v>0</v>
      </c>
      <c r="S292" s="1">
        <f>O292-O286</f>
        <v>0</v>
      </c>
      <c r="T292" s="1">
        <f>AVERAGE(R292,S292)</f>
        <v>0</v>
      </c>
      <c r="U292" s="1">
        <v>79</v>
      </c>
      <c r="V292" s="1">
        <v>85</v>
      </c>
      <c r="W292" s="1">
        <v>-6</v>
      </c>
      <c r="X292" s="1">
        <v>0</v>
      </c>
      <c r="Y292" s="1">
        <v>0</v>
      </c>
      <c r="Z292" s="1">
        <v>0</v>
      </c>
      <c r="AA292" s="1">
        <v>0</v>
      </c>
      <c r="AB292" s="1" t="s">
        <v>71</v>
      </c>
      <c r="AC292" s="1" t="s">
        <v>71</v>
      </c>
      <c r="AD292" s="25">
        <v>35</v>
      </c>
      <c r="AE292" s="25">
        <v>19</v>
      </c>
      <c r="AF292" s="25">
        <v>108.66666666666667</v>
      </c>
      <c r="AG292" s="25">
        <v>51.666666666666664</v>
      </c>
      <c r="AH292" s="1">
        <v>110</v>
      </c>
      <c r="AI292" s="1">
        <v>53</v>
      </c>
      <c r="AJ292" s="1">
        <v>2.2999999999999998</v>
      </c>
      <c r="AK292" s="1">
        <v>0</v>
      </c>
      <c r="AL292" s="1">
        <v>0</v>
      </c>
      <c r="AM292" s="1">
        <v>0</v>
      </c>
      <c r="AN292" s="1">
        <v>0.05</v>
      </c>
      <c r="AO292" s="1">
        <v>0.03</v>
      </c>
      <c r="AP292" s="1">
        <v>1.5E-3</v>
      </c>
      <c r="AQ292" s="1">
        <v>26</v>
      </c>
      <c r="AR292" s="1">
        <v>0.12</v>
      </c>
      <c r="AS292" s="1">
        <v>10</v>
      </c>
      <c r="AT292" s="1">
        <v>1.2</v>
      </c>
      <c r="AU292" s="1">
        <v>0.19</v>
      </c>
      <c r="AV292" s="1">
        <v>1</v>
      </c>
      <c r="AW292" s="1">
        <v>0.19</v>
      </c>
      <c r="AX292" s="1">
        <v>0</v>
      </c>
      <c r="AY292" s="1">
        <v>0</v>
      </c>
      <c r="AZ292" s="1">
        <v>0</v>
      </c>
      <c r="BA292" s="1">
        <v>0.01</v>
      </c>
      <c r="BB292" s="1">
        <v>1E-4</v>
      </c>
      <c r="BC292" s="1">
        <v>9.9999999999999995E-7</v>
      </c>
      <c r="BD292" s="1">
        <v>0</v>
      </c>
      <c r="BE292" s="1">
        <v>0</v>
      </c>
      <c r="BF292" s="1">
        <v>0</v>
      </c>
      <c r="BG292" s="1">
        <v>0</v>
      </c>
      <c r="BH292" s="1">
        <v>48</v>
      </c>
      <c r="BI292" s="1">
        <v>2</v>
      </c>
      <c r="BJ292" s="1">
        <v>0.2</v>
      </c>
      <c r="BK292" s="1">
        <v>4.7999999999999996E-3</v>
      </c>
      <c r="BL292" s="1">
        <f t="shared" si="88"/>
        <v>0.48</v>
      </c>
      <c r="BM292" s="1">
        <v>0.12</v>
      </c>
      <c r="BN292" s="1">
        <v>0.04</v>
      </c>
      <c r="BO292" s="1">
        <v>2</v>
      </c>
      <c r="BP292" s="1">
        <v>0</v>
      </c>
      <c r="BQ292" s="1" t="s">
        <v>71</v>
      </c>
      <c r="BR292" s="1" t="s">
        <v>71</v>
      </c>
      <c r="BS292" s="1" t="s">
        <v>71</v>
      </c>
      <c r="BT292" s="1" t="s">
        <v>71</v>
      </c>
      <c r="BU292" s="1" t="s">
        <v>71</v>
      </c>
      <c r="BV292" s="1">
        <v>3.7</v>
      </c>
      <c r="BW292" s="1">
        <v>0</v>
      </c>
      <c r="BX292" s="1" t="s">
        <v>71</v>
      </c>
      <c r="BY292" s="1" t="s">
        <v>71</v>
      </c>
      <c r="BZ292" s="3">
        <v>1.6</v>
      </c>
      <c r="CA292" s="3">
        <v>1.2</v>
      </c>
      <c r="CB292" s="3">
        <f t="shared" si="89"/>
        <v>2.2222222222222228</v>
      </c>
      <c r="CC292" s="3">
        <f t="shared" si="93"/>
        <v>1.666666666666667</v>
      </c>
      <c r="CD292" s="1">
        <f>ROUND(CB292/CB283+CC292/CC289,2)</f>
        <v>1.17</v>
      </c>
      <c r="CE292" s="1">
        <f>ROUND(CB292/CB286+CC292/CC289,2)</f>
        <v>1</v>
      </c>
      <c r="CF292" s="1">
        <f t="shared" si="98"/>
        <v>1</v>
      </c>
      <c r="CG292" s="1">
        <f>ROUND(CB292/CB283,2)</f>
        <v>0.67</v>
      </c>
      <c r="CH292" s="1">
        <f>ROUND(CB292/CB286,2)</f>
        <v>0.5</v>
      </c>
      <c r="CI292" s="1">
        <f>ROUND(CC292/CC289,2)</f>
        <v>0.5</v>
      </c>
      <c r="CJ292" s="1">
        <f>ROUND((CC292+CB292)/MAX(CC289,CB286),2)</f>
        <v>0.88</v>
      </c>
      <c r="CK292" s="1">
        <f>ROUND(LN((0.9*BZ292)/(0.1*CA292))/(BZ283/CA289),2)</f>
        <v>2.48</v>
      </c>
      <c r="CL292" s="1">
        <f>ROUND(LN((0.9*BZ292)/(0.1*CA292))/(BZ286/CA289),2)</f>
        <v>1.86</v>
      </c>
      <c r="CM292" s="1">
        <f>ROUND(LN((0.1*CA292)/(0.9*BZ292))/(CA289/BZ283),2)</f>
        <v>-2.48</v>
      </c>
      <c r="CN292" s="1">
        <f>ROUND(LN((0.1*CA292)/(0.9*BZ292))/(CA289/BZ286),2)</f>
        <v>-3.31</v>
      </c>
      <c r="CO292" s="5">
        <v>54</v>
      </c>
      <c r="CP292" s="5">
        <v>77</v>
      </c>
      <c r="CQ292" s="1">
        <v>41</v>
      </c>
      <c r="CR292" s="1">
        <v>133</v>
      </c>
      <c r="CS292" s="5">
        <v>31.2</v>
      </c>
      <c r="CT292" s="1">
        <v>8.5</v>
      </c>
      <c r="CU292" s="1" t="s">
        <v>71</v>
      </c>
      <c r="CV292" s="1" t="s">
        <v>71</v>
      </c>
      <c r="CW292" s="1" t="s">
        <v>71</v>
      </c>
      <c r="CX292" t="e">
        <f>ROUND(CV292*#REF!/10,1)</f>
        <v>#VALUE!</v>
      </c>
      <c r="CY292" s="1">
        <v>11.9</v>
      </c>
      <c r="CZ292">
        <f t="shared" si="99"/>
        <v>520</v>
      </c>
      <c r="DA292">
        <f t="shared" ref="DA292:DA300" si="100">ROUND((CY292*CB292*10),0)</f>
        <v>264</v>
      </c>
      <c r="DB292">
        <f>(CZ292+DA292)/MAX(DA286,CZ289)</f>
        <v>0.72391505078485685</v>
      </c>
      <c r="DC292" s="26">
        <v>11.9</v>
      </c>
      <c r="DD292">
        <f t="shared" si="90"/>
        <v>784</v>
      </c>
      <c r="DE292">
        <f>ROUND(MAX((DB292-DF292), 0), 2)</f>
        <v>0.24</v>
      </c>
      <c r="DF292">
        <f>ROUND(CZ292/MAX(DA286,CZ289), 2)</f>
        <v>0.48</v>
      </c>
    </row>
    <row r="293" spans="1:110" x14ac:dyDescent="0.15">
      <c r="A293" s="23">
        <v>2023</v>
      </c>
      <c r="B293" s="23" t="s">
        <v>49</v>
      </c>
      <c r="C293" s="23">
        <v>15</v>
      </c>
      <c r="D293" s="23">
        <v>11</v>
      </c>
      <c r="E293" s="23" t="s">
        <v>50</v>
      </c>
      <c r="F293" s="23" t="s">
        <v>54</v>
      </c>
      <c r="G293" s="23" t="s">
        <v>5</v>
      </c>
      <c r="H293" s="23">
        <v>3</v>
      </c>
      <c r="I293" s="23" t="s">
        <v>61</v>
      </c>
      <c r="J293" s="23" t="s">
        <v>57</v>
      </c>
      <c r="K293" s="1" t="s">
        <v>57</v>
      </c>
      <c r="L293" s="27">
        <v>10000000000</v>
      </c>
      <c r="M293" s="27">
        <v>10000000000</v>
      </c>
      <c r="N293" s="24">
        <v>45079</v>
      </c>
      <c r="O293" s="24">
        <v>45084</v>
      </c>
      <c r="P293" s="24">
        <v>45078</v>
      </c>
      <c r="Q293" s="1">
        <f>P293-P290</f>
        <v>-2</v>
      </c>
      <c r="R293" s="1">
        <f>N293-N286</f>
        <v>2</v>
      </c>
      <c r="S293" s="1">
        <f>O293-O286</f>
        <v>0</v>
      </c>
      <c r="T293" s="1">
        <f t="shared" ref="T293:T300" si="101">AVERAGE(R293,S293)</f>
        <v>1</v>
      </c>
      <c r="U293" s="1">
        <v>87</v>
      </c>
      <c r="V293" s="1">
        <v>87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 t="s">
        <v>71</v>
      </c>
      <c r="AC293" s="1" t="s">
        <v>71</v>
      </c>
      <c r="AD293" s="25">
        <v>39</v>
      </c>
      <c r="AE293" s="25">
        <v>15</v>
      </c>
      <c r="AF293" s="25">
        <v>107</v>
      </c>
      <c r="AG293" s="25">
        <v>39.666666666666664</v>
      </c>
      <c r="AH293" s="1">
        <v>104</v>
      </c>
      <c r="AI293" s="1">
        <v>38</v>
      </c>
      <c r="AJ293" s="1">
        <v>3.7</v>
      </c>
      <c r="AK293" s="1">
        <v>0</v>
      </c>
      <c r="AL293" s="1">
        <v>0</v>
      </c>
      <c r="AM293" s="1">
        <v>0</v>
      </c>
      <c r="AN293" s="1">
        <v>0.03</v>
      </c>
      <c r="AO293" s="1">
        <v>7.0000000000000007E-2</v>
      </c>
      <c r="AP293" s="1">
        <v>2.1000000000000003E-3</v>
      </c>
      <c r="AQ293" s="1">
        <v>25</v>
      </c>
      <c r="AR293" s="1">
        <v>0.1</v>
      </c>
      <c r="AS293" s="1">
        <v>15</v>
      </c>
      <c r="AT293" s="1">
        <v>1.5</v>
      </c>
      <c r="AU293" s="1">
        <v>0.08</v>
      </c>
      <c r="AV293" s="1">
        <v>1</v>
      </c>
      <c r="AW293" s="1">
        <v>0.08</v>
      </c>
      <c r="AX293" s="1">
        <v>0</v>
      </c>
      <c r="AY293" s="1">
        <v>0</v>
      </c>
      <c r="AZ293" s="1">
        <v>0.05</v>
      </c>
      <c r="BA293" s="1">
        <v>0.02</v>
      </c>
      <c r="BB293" s="1">
        <v>1.1000000000000001E-3</v>
      </c>
      <c r="BC293" s="1">
        <v>2.2000000000000003E-5</v>
      </c>
      <c r="BD293" s="1">
        <v>0</v>
      </c>
      <c r="BE293" s="1">
        <v>0</v>
      </c>
      <c r="BF293" s="1">
        <v>0</v>
      </c>
      <c r="BG293" s="1">
        <v>0.02</v>
      </c>
      <c r="BH293" s="1">
        <v>40</v>
      </c>
      <c r="BI293" s="1">
        <v>5</v>
      </c>
      <c r="BJ293" s="1">
        <v>2</v>
      </c>
      <c r="BK293" s="1">
        <v>4.0000000000000001E-3</v>
      </c>
      <c r="BL293" s="1">
        <f t="shared" si="88"/>
        <v>0.4</v>
      </c>
      <c r="BM293" s="1">
        <v>0.1</v>
      </c>
      <c r="BN293" s="1">
        <v>0.04</v>
      </c>
      <c r="BO293" s="1">
        <v>2</v>
      </c>
      <c r="BP293" s="1">
        <v>20</v>
      </c>
      <c r="BQ293" s="1" t="s">
        <v>71</v>
      </c>
      <c r="BR293" s="1" t="s">
        <v>71</v>
      </c>
      <c r="BS293" s="1" t="s">
        <v>71</v>
      </c>
      <c r="BT293" s="1" t="s">
        <v>71</v>
      </c>
      <c r="BU293" s="1" t="s">
        <v>71</v>
      </c>
      <c r="BV293" s="1">
        <v>3.3</v>
      </c>
      <c r="BW293" s="1">
        <v>0.3</v>
      </c>
      <c r="BX293" s="1" t="s">
        <v>71</v>
      </c>
      <c r="BY293" s="1" t="s">
        <v>71</v>
      </c>
      <c r="BZ293" s="3">
        <v>1.4</v>
      </c>
      <c r="CA293" s="3">
        <v>0.4</v>
      </c>
      <c r="CB293" s="3">
        <f t="shared" si="89"/>
        <v>1.9444444444444444</v>
      </c>
      <c r="CC293" s="3">
        <f t="shared" si="93"/>
        <v>0.55555555555555569</v>
      </c>
      <c r="CD293" s="3" t="s">
        <v>71</v>
      </c>
      <c r="CE293" s="3" t="s">
        <v>71</v>
      </c>
      <c r="CF293" s="1" t="str">
        <f t="shared" si="98"/>
        <v>NA</v>
      </c>
      <c r="CG293" s="1">
        <f>ROUND(CB293/CB283,2)</f>
        <v>0.57999999999999996</v>
      </c>
      <c r="CH293" s="1">
        <f>ROUND(CB293/CB286,2)</f>
        <v>0.44</v>
      </c>
      <c r="CI293" s="3" t="s">
        <v>71</v>
      </c>
      <c r="CJ293" s="1">
        <f>ROUND((CC293+CB293)/MAX(CC290,CB286),2)</f>
        <v>0.56000000000000005</v>
      </c>
      <c r="CK293" s="3" t="s">
        <v>71</v>
      </c>
      <c r="CL293" s="3" t="s">
        <v>71</v>
      </c>
      <c r="CM293" s="3" t="s">
        <v>71</v>
      </c>
      <c r="CN293" s="3" t="s">
        <v>71</v>
      </c>
      <c r="CO293" s="5">
        <v>52</v>
      </c>
      <c r="CP293" s="5">
        <v>74</v>
      </c>
      <c r="CQ293" s="1">
        <v>40</v>
      </c>
      <c r="CR293" s="1">
        <v>116</v>
      </c>
      <c r="CS293" s="5">
        <v>35</v>
      </c>
      <c r="CT293" s="1">
        <v>8.6</v>
      </c>
      <c r="CU293" s="1">
        <v>5.8</v>
      </c>
      <c r="CV293" s="1" t="s">
        <v>71</v>
      </c>
      <c r="CW293" s="1" t="s">
        <v>71</v>
      </c>
      <c r="CX293" t="e">
        <f>ROUND(CV293*#REF!/10,1)</f>
        <v>#VALUE!</v>
      </c>
      <c r="CY293" s="1">
        <v>11.2</v>
      </c>
      <c r="CZ293">
        <f t="shared" si="99"/>
        <v>194</v>
      </c>
      <c r="DA293">
        <f t="shared" si="100"/>
        <v>218</v>
      </c>
      <c r="DB293" t="s">
        <v>71</v>
      </c>
      <c r="DC293" s="26">
        <v>11.2</v>
      </c>
      <c r="DD293">
        <f t="shared" si="90"/>
        <v>412</v>
      </c>
      <c r="DE293" t="s">
        <v>71</v>
      </c>
      <c r="DF293">
        <f>ROUND(CZ293/MAX(DA286,CZ290), 2)</f>
        <v>0.48</v>
      </c>
    </row>
    <row r="294" spans="1:110" x14ac:dyDescent="0.15">
      <c r="A294" s="23">
        <v>2023</v>
      </c>
      <c r="B294" s="23" t="s">
        <v>49</v>
      </c>
      <c r="C294" s="23">
        <v>15</v>
      </c>
      <c r="D294" s="23">
        <v>12</v>
      </c>
      <c r="E294" s="23" t="s">
        <v>50</v>
      </c>
      <c r="F294" s="23" t="s">
        <v>55</v>
      </c>
      <c r="G294" s="23" t="s">
        <v>5</v>
      </c>
      <c r="H294" s="23">
        <v>3</v>
      </c>
      <c r="I294" s="23" t="s">
        <v>62</v>
      </c>
      <c r="J294" s="23" t="s">
        <v>57</v>
      </c>
      <c r="K294" s="24">
        <v>45096</v>
      </c>
      <c r="L294" s="1">
        <f>K294-K286</f>
        <v>14</v>
      </c>
      <c r="M294" s="1">
        <f>K294-K291</f>
        <v>-3</v>
      </c>
      <c r="N294" s="24">
        <v>45077</v>
      </c>
      <c r="O294" s="24">
        <v>45085</v>
      </c>
      <c r="P294" s="24">
        <v>45078</v>
      </c>
      <c r="Q294" s="1">
        <f>P294-P291</f>
        <v>0</v>
      </c>
      <c r="R294" s="1">
        <f>N294-N286</f>
        <v>0</v>
      </c>
      <c r="S294" s="1">
        <f>O294-O286</f>
        <v>1</v>
      </c>
      <c r="T294" s="1">
        <f t="shared" si="101"/>
        <v>0.5</v>
      </c>
      <c r="U294" s="1">
        <v>85</v>
      </c>
      <c r="V294" s="1">
        <v>87</v>
      </c>
      <c r="W294" s="1">
        <v>-2</v>
      </c>
      <c r="X294" s="1">
        <v>0</v>
      </c>
      <c r="Y294" s="1">
        <v>0</v>
      </c>
      <c r="Z294" s="1">
        <v>0</v>
      </c>
      <c r="AA294" s="1">
        <v>0</v>
      </c>
      <c r="AB294" s="1" t="s">
        <v>71</v>
      </c>
      <c r="AC294" s="1" t="s">
        <v>71</v>
      </c>
      <c r="AD294" s="25">
        <v>37</v>
      </c>
      <c r="AE294" s="25">
        <v>18</v>
      </c>
      <c r="AF294" s="25">
        <v>101</v>
      </c>
      <c r="AG294" s="25">
        <v>39.333333333333336</v>
      </c>
      <c r="AH294" s="1">
        <v>102</v>
      </c>
      <c r="AI294" s="1">
        <v>46</v>
      </c>
      <c r="AJ294" s="1">
        <v>3</v>
      </c>
      <c r="AK294" s="1">
        <v>0</v>
      </c>
      <c r="AL294" s="1">
        <v>0</v>
      </c>
      <c r="AM294" s="1">
        <v>0</v>
      </c>
      <c r="AN294" s="1">
        <v>1.4999999999999999E-2</v>
      </c>
      <c r="AO294" s="1">
        <v>2.5000000000000001E-2</v>
      </c>
      <c r="AP294" s="1">
        <v>3.7500000000000001E-4</v>
      </c>
      <c r="AQ294" s="1">
        <v>14</v>
      </c>
      <c r="AR294" s="1">
        <v>7.0000000000000007E-2</v>
      </c>
      <c r="AS294" s="1">
        <v>10</v>
      </c>
      <c r="AT294" s="1">
        <v>0.70000000000000007</v>
      </c>
      <c r="AU294" s="1">
        <v>0.04</v>
      </c>
      <c r="AV294" s="1">
        <v>1</v>
      </c>
      <c r="AW294" s="1">
        <v>0.04</v>
      </c>
      <c r="AX294" s="1">
        <v>0</v>
      </c>
      <c r="AY294" s="1">
        <v>0</v>
      </c>
      <c r="AZ294" s="1">
        <v>0.05</v>
      </c>
      <c r="BA294" s="1">
        <v>0.2</v>
      </c>
      <c r="BB294" s="1">
        <v>1E-4</v>
      </c>
      <c r="BC294" s="1">
        <v>2.0000000000000002E-5</v>
      </c>
      <c r="BD294" s="1">
        <v>0</v>
      </c>
      <c r="BE294" s="1">
        <v>0</v>
      </c>
      <c r="BF294" s="1">
        <v>0</v>
      </c>
      <c r="BG294" s="1">
        <v>0</v>
      </c>
      <c r="BH294" s="1">
        <v>112</v>
      </c>
      <c r="BI294" s="1">
        <v>5</v>
      </c>
      <c r="BJ294" s="1">
        <v>0</v>
      </c>
      <c r="BK294" s="1">
        <v>1.0000000000000002E-2</v>
      </c>
      <c r="BL294" s="1">
        <f t="shared" si="88"/>
        <v>1.0000000000000002</v>
      </c>
      <c r="BM294" s="1">
        <v>0.2</v>
      </c>
      <c r="BN294" s="1">
        <v>0.05</v>
      </c>
      <c r="BO294" s="1">
        <v>2</v>
      </c>
      <c r="BP294" s="1">
        <v>0</v>
      </c>
      <c r="BQ294" s="1" t="s">
        <v>71</v>
      </c>
      <c r="BR294" s="1" t="s">
        <v>71</v>
      </c>
      <c r="BS294" s="1" t="s">
        <v>71</v>
      </c>
      <c r="BT294" s="1" t="s">
        <v>71</v>
      </c>
      <c r="BU294" s="1" t="s">
        <v>71</v>
      </c>
      <c r="BV294" s="1">
        <v>2</v>
      </c>
      <c r="BW294" s="1">
        <v>0.3</v>
      </c>
      <c r="BX294" s="1" t="s">
        <v>71</v>
      </c>
      <c r="BY294" s="1" t="s">
        <v>71</v>
      </c>
      <c r="BZ294" s="3">
        <v>1.4</v>
      </c>
      <c r="CA294" s="3">
        <v>0.6</v>
      </c>
      <c r="CB294" s="3">
        <f t="shared" si="89"/>
        <v>1.9444444444444444</v>
      </c>
      <c r="CC294" s="3">
        <f t="shared" si="93"/>
        <v>0.83333333333333348</v>
      </c>
      <c r="CD294" s="1">
        <f>ROUND(CB294/CB283+CC294/CC291,2)</f>
        <v>1.1299999999999999</v>
      </c>
      <c r="CE294" s="1">
        <f>ROUND(CB294/CB286+CC294/CC291,2)</f>
        <v>0.98</v>
      </c>
      <c r="CF294" s="1">
        <f t="shared" si="98"/>
        <v>0.98</v>
      </c>
      <c r="CG294" s="1">
        <f>ROUND(CB294/CB283,2)</f>
        <v>0.57999999999999996</v>
      </c>
      <c r="CH294" s="1">
        <f>ROUND(CB294/CB286,2)</f>
        <v>0.44</v>
      </c>
      <c r="CI294" s="1">
        <f>ROUND(CC294/CC291,2)</f>
        <v>0.55000000000000004</v>
      </c>
      <c r="CJ294" s="1">
        <f>ROUND((CC294+CB294)/MAX(CC291,CB286),2)</f>
        <v>0.63</v>
      </c>
      <c r="CK294" s="1">
        <f>ROUND(LN((0.9*BZ294)/(0.1*CA294))/(BZ283/CA291),2)</f>
        <v>1.4</v>
      </c>
      <c r="CL294" s="1">
        <f>ROUND(LN((0.9*BZ294)/(0.1*CA294))/(BZ286/CA291),2)</f>
        <v>1.05</v>
      </c>
      <c r="CM294" s="1">
        <f>ROUND(LN((0.1*CA294)/(0.9*BZ294))/(CA291/BZ283),2)</f>
        <v>-6.64</v>
      </c>
      <c r="CN294" s="1">
        <f>ROUND(LN((0.1*CA294)/(0.9*BZ294))/(CA291/BZ286),2)</f>
        <v>-8.86</v>
      </c>
      <c r="CO294" s="5">
        <v>53</v>
      </c>
      <c r="CP294" s="5">
        <v>76</v>
      </c>
      <c r="CQ294" s="1">
        <v>41</v>
      </c>
      <c r="CR294" s="1">
        <v>135</v>
      </c>
      <c r="CS294" s="5">
        <v>37.299999999999997</v>
      </c>
      <c r="CT294" s="1">
        <v>9.3000000000000007</v>
      </c>
      <c r="CU294" s="1">
        <v>6</v>
      </c>
      <c r="CV294" s="1" t="s">
        <v>71</v>
      </c>
      <c r="CW294" s="1" t="s">
        <v>71</v>
      </c>
      <c r="CX294" t="e">
        <f>ROUND(CV294*#REF!/10,1)</f>
        <v>#VALUE!</v>
      </c>
      <c r="CY294" s="1">
        <v>12.1</v>
      </c>
      <c r="CZ294">
        <f t="shared" si="99"/>
        <v>311</v>
      </c>
      <c r="DA294">
        <f t="shared" si="100"/>
        <v>235</v>
      </c>
      <c r="DB294">
        <f>(CZ294+DA294)/MAX(DA286,CZ291)</f>
        <v>1.0726915520628684</v>
      </c>
      <c r="DC294" s="26">
        <v>12.1</v>
      </c>
      <c r="DD294">
        <f t="shared" si="90"/>
        <v>546</v>
      </c>
      <c r="DE294">
        <f t="shared" ref="DE294:DE300" si="102">ROUND(MAX((DB294-DF294), 0), 2)</f>
        <v>0.46</v>
      </c>
      <c r="DF294">
        <f>ROUND(CZ294/MAX(DA286,CZ291), 2)</f>
        <v>0.61</v>
      </c>
    </row>
    <row r="295" spans="1:110" x14ac:dyDescent="0.15">
      <c r="A295" s="23">
        <v>2023</v>
      </c>
      <c r="B295" s="23" t="s">
        <v>49</v>
      </c>
      <c r="C295" s="23">
        <v>15</v>
      </c>
      <c r="D295" s="23">
        <v>13</v>
      </c>
      <c r="E295" s="23" t="s">
        <v>51</v>
      </c>
      <c r="F295" s="23" t="s">
        <v>53</v>
      </c>
      <c r="G295" s="23" t="s">
        <v>5</v>
      </c>
      <c r="H295" s="23">
        <v>3</v>
      </c>
      <c r="I295" s="23" t="s">
        <v>63</v>
      </c>
      <c r="J295" s="23" t="s">
        <v>57</v>
      </c>
      <c r="K295" s="24">
        <v>45093</v>
      </c>
      <c r="L295" s="1">
        <f>K295-K287</f>
        <v>6</v>
      </c>
      <c r="M295" s="27">
        <v>10000000000</v>
      </c>
      <c r="N295" s="24">
        <v>45082</v>
      </c>
      <c r="O295" s="24">
        <v>45090</v>
      </c>
      <c r="P295" s="24">
        <v>45074</v>
      </c>
      <c r="Q295" s="1">
        <f>P295-P289</f>
        <v>-3</v>
      </c>
      <c r="R295" s="1">
        <f>N295-N287</f>
        <v>2</v>
      </c>
      <c r="S295" s="1">
        <f>O295-O287</f>
        <v>1</v>
      </c>
      <c r="T295" s="1">
        <f t="shared" si="101"/>
        <v>1.5</v>
      </c>
      <c r="U295" s="1">
        <v>79</v>
      </c>
      <c r="V295" s="1">
        <v>83</v>
      </c>
      <c r="W295" s="1">
        <v>-4</v>
      </c>
      <c r="X295" s="1">
        <v>10</v>
      </c>
      <c r="Y295" s="1">
        <v>0</v>
      </c>
      <c r="Z295" s="1">
        <v>0</v>
      </c>
      <c r="AA295" s="1">
        <v>0</v>
      </c>
      <c r="AB295" s="1" t="s">
        <v>71</v>
      </c>
      <c r="AC295" s="1" t="s">
        <v>71</v>
      </c>
      <c r="AD295" s="25">
        <v>32</v>
      </c>
      <c r="AE295" s="25">
        <v>21</v>
      </c>
      <c r="AF295" s="25">
        <v>102.66666666666667</v>
      </c>
      <c r="AG295" s="25">
        <v>50</v>
      </c>
      <c r="AH295" s="1">
        <v>101</v>
      </c>
      <c r="AI295" s="1">
        <v>53</v>
      </c>
      <c r="AJ295" s="1">
        <v>2.7</v>
      </c>
      <c r="AK295" s="1">
        <v>0</v>
      </c>
      <c r="AL295" s="1">
        <v>0</v>
      </c>
      <c r="AM295" s="1">
        <v>0</v>
      </c>
      <c r="AN295" s="1">
        <v>0.04</v>
      </c>
      <c r="AO295" s="1">
        <v>0.05</v>
      </c>
      <c r="AP295" s="1">
        <v>2E-3</v>
      </c>
      <c r="AQ295" s="1">
        <v>32</v>
      </c>
      <c r="AR295" s="1">
        <v>0.1</v>
      </c>
      <c r="AS295" s="1">
        <v>10</v>
      </c>
      <c r="AT295" s="1">
        <v>1</v>
      </c>
      <c r="AU295" s="1">
        <v>0.05</v>
      </c>
      <c r="AV295" s="1">
        <v>1</v>
      </c>
      <c r="AW295" s="1">
        <v>0.05</v>
      </c>
      <c r="AX295" s="1">
        <v>0</v>
      </c>
      <c r="AY295" s="1">
        <v>0</v>
      </c>
      <c r="AZ295" s="1">
        <v>0.1</v>
      </c>
      <c r="BA295" s="1">
        <v>5.0000000000000001E-3</v>
      </c>
      <c r="BB295" s="1">
        <v>5.0000000000000002E-5</v>
      </c>
      <c r="BC295" s="1">
        <v>2.4999999999999999E-7</v>
      </c>
      <c r="BD295" s="1">
        <v>0</v>
      </c>
      <c r="BE295" s="1">
        <v>0</v>
      </c>
      <c r="BF295" s="1">
        <v>0</v>
      </c>
      <c r="BG295" s="1">
        <v>0</v>
      </c>
      <c r="BH295" s="1">
        <v>75</v>
      </c>
      <c r="BI295" s="1">
        <v>30</v>
      </c>
      <c r="BJ295" s="1">
        <v>2</v>
      </c>
      <c r="BK295" s="1">
        <v>3.0000000000000001E-3</v>
      </c>
      <c r="BL295" s="1">
        <f t="shared" si="88"/>
        <v>0.3</v>
      </c>
      <c r="BM295" s="1">
        <v>0.1</v>
      </c>
      <c r="BN295" s="1">
        <v>0.03</v>
      </c>
      <c r="BO295" s="1">
        <v>2</v>
      </c>
      <c r="BP295" s="1">
        <v>0</v>
      </c>
      <c r="BQ295" s="1" t="s">
        <v>71</v>
      </c>
      <c r="BR295" s="1" t="s">
        <v>71</v>
      </c>
      <c r="BS295" s="1" t="s">
        <v>71</v>
      </c>
      <c r="BT295" s="1" t="s">
        <v>71</v>
      </c>
      <c r="BU295" s="1" t="s">
        <v>71</v>
      </c>
      <c r="BV295" s="1">
        <v>3.3</v>
      </c>
      <c r="BW295" s="1">
        <v>0.3</v>
      </c>
      <c r="BX295" s="1" t="s">
        <v>71</v>
      </c>
      <c r="BY295" s="1" t="s">
        <v>71</v>
      </c>
      <c r="BZ295" s="3">
        <v>1.8</v>
      </c>
      <c r="CA295" s="3">
        <v>1.1000000000000001</v>
      </c>
      <c r="CB295" s="3">
        <f t="shared" si="89"/>
        <v>2.5000000000000004</v>
      </c>
      <c r="CC295" s="3">
        <f t="shared" si="93"/>
        <v>1.5277777777777781</v>
      </c>
      <c r="CD295" s="1">
        <f>ROUND(CB295/CB284+CC295/CC289,2)</f>
        <v>1.1499999999999999</v>
      </c>
      <c r="CE295" s="1">
        <f>ROUND(CB295/CB287+CC295/CC289,2)</f>
        <v>0.94</v>
      </c>
      <c r="CF295" s="1">
        <f t="shared" si="98"/>
        <v>0.94</v>
      </c>
      <c r="CG295" s="1">
        <f>ROUND(CB295/CB284,2)</f>
        <v>0.69</v>
      </c>
      <c r="CH295" s="1">
        <f>ROUND(CB295/CB287,2)</f>
        <v>0.49</v>
      </c>
      <c r="CI295" s="1">
        <f>ROUND(CC295/CC289,2)</f>
        <v>0.46</v>
      </c>
      <c r="CJ295" s="1">
        <f>ROUND((CC295+CB295)/MAX(CC289,CB287),2)</f>
        <v>0.78</v>
      </c>
      <c r="CK295" s="1">
        <f>ROUND(LN((0.9*BZ295)/(0.1*CA295))/(BZ284/CA289),2)</f>
        <v>2.48</v>
      </c>
      <c r="CL295" s="1">
        <f>ROUND(LN((0.9*BZ295)/(0.1*CA295))/(BZ287/CA289),2)</f>
        <v>1.74</v>
      </c>
      <c r="CM295" s="1">
        <f>ROUND(LN((0.1*CA295)/(0.9*BZ295))/(CA289/BZ284),2)</f>
        <v>-2.91</v>
      </c>
      <c r="CN295" s="1">
        <f>ROUND(LN((0.1*CA295)/(0.9*BZ295))/(CA289/BZ287),2)</f>
        <v>-4.1500000000000004</v>
      </c>
      <c r="CO295" s="5">
        <v>51</v>
      </c>
      <c r="CP295" s="5">
        <v>76</v>
      </c>
      <c r="CQ295" s="1">
        <v>33</v>
      </c>
      <c r="CR295" s="1">
        <v>105</v>
      </c>
      <c r="CS295" s="5">
        <v>30.1</v>
      </c>
      <c r="CT295" s="1">
        <v>9.1</v>
      </c>
      <c r="CU295" s="1">
        <v>6.9</v>
      </c>
      <c r="CV295" s="1" t="s">
        <v>71</v>
      </c>
      <c r="CW295" s="1" t="s">
        <v>71</v>
      </c>
      <c r="CX295" t="e">
        <f>ROUND(CV295*#REF!/10,1)</f>
        <v>#VALUE!</v>
      </c>
      <c r="CY295" s="1">
        <v>10.6</v>
      </c>
      <c r="CZ295">
        <f t="shared" si="99"/>
        <v>460</v>
      </c>
      <c r="DA295">
        <f t="shared" si="100"/>
        <v>265</v>
      </c>
      <c r="DB295">
        <f>(CZ295+DA295)/MAX(DA287,CZ289)</f>
        <v>0.66943674976915979</v>
      </c>
      <c r="DC295" s="26">
        <v>10.6</v>
      </c>
      <c r="DD295">
        <f t="shared" si="90"/>
        <v>725</v>
      </c>
      <c r="DE295">
        <f t="shared" si="102"/>
        <v>0.25</v>
      </c>
      <c r="DF295">
        <f>ROUND(CZ295/MAX(DA287,CZ289), 2)</f>
        <v>0.42</v>
      </c>
    </row>
    <row r="296" spans="1:110" x14ac:dyDescent="0.15">
      <c r="A296" s="23">
        <v>2023</v>
      </c>
      <c r="B296" s="23" t="s">
        <v>49</v>
      </c>
      <c r="C296" s="23">
        <v>15</v>
      </c>
      <c r="D296" s="23">
        <v>14</v>
      </c>
      <c r="E296" s="23" t="s">
        <v>51</v>
      </c>
      <c r="F296" s="23" t="s">
        <v>54</v>
      </c>
      <c r="G296" s="23" t="s">
        <v>5</v>
      </c>
      <c r="H296" s="23">
        <v>3</v>
      </c>
      <c r="I296" s="23" t="s">
        <v>64</v>
      </c>
      <c r="J296" s="23" t="s">
        <v>57</v>
      </c>
      <c r="K296" s="24" t="s">
        <v>57</v>
      </c>
      <c r="L296" s="27">
        <v>10000000000</v>
      </c>
      <c r="M296" s="27">
        <v>10000000000</v>
      </c>
      <c r="N296" s="24">
        <v>45084</v>
      </c>
      <c r="O296" s="24">
        <v>45100</v>
      </c>
      <c r="P296" s="24">
        <v>45078</v>
      </c>
      <c r="Q296" s="1">
        <f>P296-P290</f>
        <v>-2</v>
      </c>
      <c r="R296" s="1">
        <f>N296-N287</f>
        <v>4</v>
      </c>
      <c r="S296" s="1">
        <f>O296-O287</f>
        <v>11</v>
      </c>
      <c r="T296" s="1">
        <f t="shared" si="101"/>
        <v>7.5</v>
      </c>
      <c r="U296" s="1">
        <v>77</v>
      </c>
      <c r="V296" s="1">
        <v>85</v>
      </c>
      <c r="W296" s="1">
        <v>-8</v>
      </c>
      <c r="X296" s="1">
        <v>0</v>
      </c>
      <c r="Y296" s="1">
        <v>0</v>
      </c>
      <c r="Z296" s="1">
        <v>0</v>
      </c>
      <c r="AA296" s="1">
        <v>0</v>
      </c>
      <c r="AB296" s="1" t="s">
        <v>71</v>
      </c>
      <c r="AC296" s="1" t="s">
        <v>71</v>
      </c>
      <c r="AD296" s="25">
        <v>32</v>
      </c>
      <c r="AE296" s="25">
        <v>15</v>
      </c>
      <c r="AF296" s="25">
        <v>99.666666666666671</v>
      </c>
      <c r="AG296" s="25">
        <v>42</v>
      </c>
      <c r="AH296" s="1">
        <v>100</v>
      </c>
      <c r="AI296" s="1">
        <v>42</v>
      </c>
      <c r="AJ296" s="1">
        <v>2.7</v>
      </c>
      <c r="AK296" s="1">
        <v>0</v>
      </c>
      <c r="AL296" s="1">
        <v>0</v>
      </c>
      <c r="AM296" s="1">
        <v>0</v>
      </c>
      <c r="AN296" s="1">
        <v>0.03</v>
      </c>
      <c r="AO296" s="1">
        <v>2.5000000000000001E-2</v>
      </c>
      <c r="AP296" s="1">
        <v>7.5000000000000002E-4</v>
      </c>
      <c r="AQ296" s="1">
        <v>9</v>
      </c>
      <c r="AR296" s="1">
        <v>0.03</v>
      </c>
      <c r="AS296" s="1">
        <v>5</v>
      </c>
      <c r="AT296" s="1">
        <v>0.15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0.01</v>
      </c>
      <c r="BB296" s="1">
        <v>1E-4</v>
      </c>
      <c r="BC296" s="1">
        <v>9.9999999999999995E-7</v>
      </c>
      <c r="BD296" s="1">
        <v>0</v>
      </c>
      <c r="BE296" s="1">
        <v>0</v>
      </c>
      <c r="BF296" s="1">
        <v>0</v>
      </c>
      <c r="BG296" s="1">
        <v>0</v>
      </c>
      <c r="BH296" s="1">
        <v>24</v>
      </c>
      <c r="BI296" s="1">
        <v>15</v>
      </c>
      <c r="BJ296" s="1">
        <v>4</v>
      </c>
      <c r="BK296" s="1">
        <v>1.5E-3</v>
      </c>
      <c r="BL296" s="1">
        <f t="shared" si="88"/>
        <v>0.15</v>
      </c>
      <c r="BM296" s="1">
        <v>0.05</v>
      </c>
      <c r="BN296" s="1">
        <v>0.03</v>
      </c>
      <c r="BO296" s="1">
        <v>2</v>
      </c>
      <c r="BP296" s="1">
        <v>5</v>
      </c>
      <c r="BQ296" s="1" t="s">
        <v>71</v>
      </c>
      <c r="BR296" s="1" t="s">
        <v>71</v>
      </c>
      <c r="BS296" s="1" t="s">
        <v>71</v>
      </c>
      <c r="BT296" s="1" t="s">
        <v>71</v>
      </c>
      <c r="BU296" s="1" t="s">
        <v>71</v>
      </c>
      <c r="BV296" s="1">
        <v>2.2999999999999998</v>
      </c>
      <c r="BW296" s="1">
        <v>0</v>
      </c>
      <c r="BX296" s="1" t="s">
        <v>71</v>
      </c>
      <c r="BY296" s="1" t="s">
        <v>71</v>
      </c>
      <c r="BZ296" s="3">
        <v>2</v>
      </c>
      <c r="CA296" s="3">
        <v>0.7</v>
      </c>
      <c r="CB296" s="3">
        <f t="shared" si="89"/>
        <v>2.7777777777777777</v>
      </c>
      <c r="CC296" s="3">
        <f t="shared" si="93"/>
        <v>0.97222222222222221</v>
      </c>
      <c r="CD296" s="3" t="s">
        <v>71</v>
      </c>
      <c r="CE296" s="3" t="s">
        <v>71</v>
      </c>
      <c r="CF296" s="1" t="str">
        <f t="shared" si="98"/>
        <v>NA</v>
      </c>
      <c r="CG296" s="1">
        <f>ROUND(CB296/CB284,2)</f>
        <v>0.77</v>
      </c>
      <c r="CH296" s="1">
        <f>ROUND(CB296/CB287,2)</f>
        <v>0.54</v>
      </c>
      <c r="CI296" s="3" t="s">
        <v>71</v>
      </c>
      <c r="CJ296" s="1">
        <f>ROUND((CC296+CB296)/MAX(CC290,CB287),2)</f>
        <v>0.73</v>
      </c>
      <c r="CK296" s="3" t="s">
        <v>71</v>
      </c>
      <c r="CL296" s="3" t="s">
        <v>71</v>
      </c>
      <c r="CM296" s="3" t="s">
        <v>71</v>
      </c>
      <c r="CN296" s="3" t="s">
        <v>71</v>
      </c>
      <c r="CO296" s="5">
        <v>50</v>
      </c>
      <c r="CP296" s="5">
        <v>67</v>
      </c>
      <c r="CQ296" s="1">
        <v>34</v>
      </c>
      <c r="CR296" s="1">
        <v>133</v>
      </c>
      <c r="CS296" s="5">
        <v>38.4</v>
      </c>
      <c r="CT296" s="1">
        <v>9.1999999999999993</v>
      </c>
      <c r="CU296" s="1">
        <v>6.4</v>
      </c>
      <c r="CV296" s="1" t="s">
        <v>71</v>
      </c>
      <c r="CW296" s="1" t="s">
        <v>71</v>
      </c>
      <c r="CX296" t="e">
        <f>ROUND(CV296*#REF!/10,1)</f>
        <v>#VALUE!</v>
      </c>
      <c r="CY296" s="1">
        <v>8.4</v>
      </c>
      <c r="CZ296">
        <f t="shared" si="99"/>
        <v>373</v>
      </c>
      <c r="DA296">
        <f t="shared" si="100"/>
        <v>233</v>
      </c>
      <c r="DB296" t="s">
        <v>71</v>
      </c>
      <c r="DC296" s="26">
        <v>8.4</v>
      </c>
      <c r="DD296">
        <f t="shared" si="90"/>
        <v>606</v>
      </c>
      <c r="DE296" t="s">
        <v>71</v>
      </c>
      <c r="DF296">
        <f>ROUND(CZ296/MAX(DA287,CZ290), 2)</f>
        <v>0.91</v>
      </c>
    </row>
    <row r="297" spans="1:110" ht="15" x14ac:dyDescent="0.15">
      <c r="A297" s="23">
        <v>2023</v>
      </c>
      <c r="B297" s="23" t="s">
        <v>49</v>
      </c>
      <c r="C297" s="23">
        <v>15</v>
      </c>
      <c r="D297" s="23">
        <v>15</v>
      </c>
      <c r="E297" s="23" t="s">
        <v>51</v>
      </c>
      <c r="F297" s="23" t="s">
        <v>55</v>
      </c>
      <c r="G297" s="23" t="s">
        <v>5</v>
      </c>
      <c r="H297" s="23">
        <v>3</v>
      </c>
      <c r="I297" s="23" t="s">
        <v>65</v>
      </c>
      <c r="J297" s="23" t="s">
        <v>57</v>
      </c>
      <c r="K297" s="24">
        <v>45089</v>
      </c>
      <c r="L297" s="1">
        <f>K297-K287</f>
        <v>2</v>
      </c>
      <c r="M297" s="1">
        <f>K297-K291</f>
        <v>-10</v>
      </c>
      <c r="N297" s="24">
        <v>45082</v>
      </c>
      <c r="O297" s="24">
        <v>45090</v>
      </c>
      <c r="P297" s="24">
        <v>45072</v>
      </c>
      <c r="Q297" s="1">
        <f>P297-P291</f>
        <v>-6</v>
      </c>
      <c r="R297" s="1">
        <f>N297-N287</f>
        <v>2</v>
      </c>
      <c r="S297" s="1">
        <f>O297-O287</f>
        <v>1</v>
      </c>
      <c r="T297" s="1">
        <f t="shared" si="101"/>
        <v>1.5</v>
      </c>
      <c r="U297" s="1">
        <v>77</v>
      </c>
      <c r="V297" s="1">
        <v>85</v>
      </c>
      <c r="W297" s="1">
        <v>-8</v>
      </c>
      <c r="X297" s="1">
        <v>0</v>
      </c>
      <c r="Y297" s="1">
        <v>0</v>
      </c>
      <c r="Z297" s="1">
        <v>0</v>
      </c>
      <c r="AA297" s="1">
        <v>0</v>
      </c>
      <c r="AB297" s="1" t="s">
        <v>71</v>
      </c>
      <c r="AC297" s="1" t="s">
        <v>71</v>
      </c>
      <c r="AD297" s="25">
        <v>33</v>
      </c>
      <c r="AE297" s="25">
        <v>20</v>
      </c>
      <c r="AF297" s="25">
        <v>100.66666666666667</v>
      </c>
      <c r="AG297" s="25">
        <v>47.333333333333336</v>
      </c>
      <c r="AH297" s="1">
        <v>103</v>
      </c>
      <c r="AI297" s="1">
        <v>46</v>
      </c>
      <c r="AJ297" s="1">
        <v>2.7</v>
      </c>
      <c r="AK297" s="1">
        <v>0</v>
      </c>
      <c r="AL297" s="1">
        <v>0</v>
      </c>
      <c r="AM297" s="1">
        <v>0</v>
      </c>
      <c r="AN297" s="1">
        <v>2.5000000000000001E-2</v>
      </c>
      <c r="AO297" s="1">
        <v>0.03</v>
      </c>
      <c r="AP297" s="1">
        <v>7.5000000000000002E-4</v>
      </c>
      <c r="AQ297" s="1">
        <v>26</v>
      </c>
      <c r="AR297" s="1">
        <v>0.05</v>
      </c>
      <c r="AS297" s="1">
        <v>10</v>
      </c>
      <c r="AT297" s="1">
        <v>0.5</v>
      </c>
      <c r="AU297" s="1">
        <v>0.02</v>
      </c>
      <c r="AV297" s="1">
        <v>1</v>
      </c>
      <c r="AW297" s="1">
        <v>0.02</v>
      </c>
      <c r="AX297" s="1">
        <v>0</v>
      </c>
      <c r="AY297" s="1">
        <v>0</v>
      </c>
      <c r="AZ297" s="1">
        <v>0</v>
      </c>
      <c r="BA297" s="1">
        <v>0.01</v>
      </c>
      <c r="BB297" s="1">
        <v>5.0000000000000002E-5</v>
      </c>
      <c r="BC297" s="1">
        <v>4.9999999999999998E-7</v>
      </c>
      <c r="BD297" s="1">
        <v>0</v>
      </c>
      <c r="BE297" s="1">
        <v>0</v>
      </c>
      <c r="BF297" s="1">
        <v>0</v>
      </c>
      <c r="BG297" s="1">
        <v>0</v>
      </c>
      <c r="BH297" s="1">
        <v>176</v>
      </c>
      <c r="BI297" s="1">
        <v>6</v>
      </c>
      <c r="BJ297" s="1">
        <v>2</v>
      </c>
      <c r="BK297" s="1">
        <v>5.000000000000001E-3</v>
      </c>
      <c r="BL297" s="1">
        <f t="shared" si="88"/>
        <v>0.50000000000000011</v>
      </c>
      <c r="BM297" s="1">
        <v>0.1</v>
      </c>
      <c r="BN297" s="1">
        <v>0.05</v>
      </c>
      <c r="BO297" s="1">
        <v>2</v>
      </c>
      <c r="BP297" s="1">
        <v>5</v>
      </c>
      <c r="BQ297" s="1" t="s">
        <v>71</v>
      </c>
      <c r="BR297" s="1" t="s">
        <v>71</v>
      </c>
      <c r="BS297" s="1" t="s">
        <v>71</v>
      </c>
      <c r="BT297" s="1" t="s">
        <v>71</v>
      </c>
      <c r="BU297" s="1" t="s">
        <v>71</v>
      </c>
      <c r="BV297" s="1">
        <v>3</v>
      </c>
      <c r="BW297" s="1">
        <v>0</v>
      </c>
      <c r="BX297" s="1" t="s">
        <v>71</v>
      </c>
      <c r="BY297" s="1" t="s">
        <v>71</v>
      </c>
      <c r="BZ297" s="3">
        <v>1.7</v>
      </c>
      <c r="CA297" s="3">
        <v>0.2</v>
      </c>
      <c r="CB297" s="3">
        <f t="shared" si="89"/>
        <v>2.3611111111111112</v>
      </c>
      <c r="CC297" s="3">
        <f t="shared" si="93"/>
        <v>0.27777777777777785</v>
      </c>
      <c r="CD297" s="1">
        <f>ROUND(CB297/CB284+CC297/CC291,2)</f>
        <v>0.84</v>
      </c>
      <c r="CE297" s="1">
        <f>ROUND(CB297/CB287+CC297/CC291,2)</f>
        <v>0.64</v>
      </c>
      <c r="CF297" s="1">
        <f t="shared" si="98"/>
        <v>0.64</v>
      </c>
      <c r="CG297" s="1">
        <f>ROUND(CB297/CB284,2)</f>
        <v>0.65</v>
      </c>
      <c r="CH297" s="1">
        <f>ROUND(CB297/CB287,2)</f>
        <v>0.46</v>
      </c>
      <c r="CI297" s="1">
        <f>ROUND(CC297/CC291,2)</f>
        <v>0.18</v>
      </c>
      <c r="CJ297" s="1">
        <f>ROUND((CC297+CB297)/MAX(CC291,CB287),2)</f>
        <v>0.51</v>
      </c>
      <c r="CK297" s="1">
        <f>ROUND(LN((0.9*BZ297)/(0.1*CA297))/(BZ284/CA291),2)</f>
        <v>1.84</v>
      </c>
      <c r="CL297" s="1">
        <f>ROUND(LN((0.9*BZ297)/(0.1*CA297))/(BZ287/CA291),2)</f>
        <v>1.29</v>
      </c>
      <c r="CM297" s="1">
        <f>ROUND(LN((0.1*CA297)/(0.9*BZ297))/(CA291/BZ284),2)</f>
        <v>-10.25</v>
      </c>
      <c r="CN297" s="1">
        <f>ROUND(LN((0.1*CA297)/(0.9*BZ297))/(CA291/BZ287),2)</f>
        <v>-14.59</v>
      </c>
      <c r="CO297" s="5">
        <v>50</v>
      </c>
      <c r="CP297" s="5">
        <v>60</v>
      </c>
      <c r="CQ297" s="1">
        <v>33</v>
      </c>
      <c r="CR297" s="1">
        <v>112</v>
      </c>
      <c r="CS297" s="5" t="s">
        <v>71</v>
      </c>
      <c r="CT297" s="1">
        <v>9</v>
      </c>
      <c r="CU297" s="1">
        <v>5.8</v>
      </c>
      <c r="CV297" s="1" t="s">
        <v>71</v>
      </c>
      <c r="CW297" s="1" t="s">
        <v>71</v>
      </c>
      <c r="CX297" t="e">
        <f>ROUND(CV297*#REF!/10,1)</f>
        <v>#VALUE!</v>
      </c>
      <c r="CY297" s="1">
        <v>10</v>
      </c>
      <c r="CZ297" t="s">
        <v>71</v>
      </c>
      <c r="DA297">
        <f t="shared" si="100"/>
        <v>236</v>
      </c>
      <c r="DB297" t="s">
        <v>71</v>
      </c>
      <c r="DC297" s="26">
        <v>10</v>
      </c>
      <c r="DD297">
        <f t="shared" si="90"/>
        <v>236</v>
      </c>
      <c r="DE297" t="s">
        <v>71</v>
      </c>
      <c r="DF297" t="s">
        <v>71</v>
      </c>
    </row>
    <row r="298" spans="1:110" x14ac:dyDescent="0.15">
      <c r="A298" s="23">
        <v>2023</v>
      </c>
      <c r="B298" s="23" t="s">
        <v>49</v>
      </c>
      <c r="C298" s="23">
        <v>15</v>
      </c>
      <c r="D298" s="23">
        <v>16</v>
      </c>
      <c r="E298" s="23" t="s">
        <v>52</v>
      </c>
      <c r="F298" s="23" t="s">
        <v>53</v>
      </c>
      <c r="G298" s="23" t="s">
        <v>5</v>
      </c>
      <c r="H298" s="23">
        <v>3</v>
      </c>
      <c r="I298" s="23" t="s">
        <v>66</v>
      </c>
      <c r="J298" s="23" t="s">
        <v>57</v>
      </c>
      <c r="K298" s="1" t="s">
        <v>57</v>
      </c>
      <c r="L298" s="27">
        <v>10000000000</v>
      </c>
      <c r="M298" s="27">
        <v>10000000000</v>
      </c>
      <c r="N298" s="24">
        <v>45082</v>
      </c>
      <c r="O298" s="24">
        <v>45090</v>
      </c>
      <c r="P298" s="24">
        <v>45077</v>
      </c>
      <c r="Q298" s="1">
        <f>P298-P289</f>
        <v>0</v>
      </c>
      <c r="R298" s="1">
        <f>N298-N288</f>
        <v>0</v>
      </c>
      <c r="S298" s="1">
        <f>O298-O288</f>
        <v>-1</v>
      </c>
      <c r="T298" s="1">
        <f t="shared" si="101"/>
        <v>-0.5</v>
      </c>
      <c r="U298" s="1">
        <v>77</v>
      </c>
      <c r="V298" s="1">
        <v>83</v>
      </c>
      <c r="W298" s="1">
        <v>-6</v>
      </c>
      <c r="X298" s="1">
        <v>0</v>
      </c>
      <c r="Y298" s="1">
        <v>0</v>
      </c>
      <c r="Z298" s="1">
        <v>0</v>
      </c>
      <c r="AA298" s="1">
        <v>0</v>
      </c>
      <c r="AB298" s="1" t="s">
        <v>71</v>
      </c>
      <c r="AC298" s="1" t="s">
        <v>71</v>
      </c>
      <c r="AD298" s="25">
        <v>34</v>
      </c>
      <c r="AE298" s="25">
        <v>20</v>
      </c>
      <c r="AF298" s="25">
        <v>80.333333333333329</v>
      </c>
      <c r="AG298" s="25">
        <v>40</v>
      </c>
      <c r="AH298" s="1">
        <v>78</v>
      </c>
      <c r="AI298" s="1">
        <v>45</v>
      </c>
      <c r="AJ298" s="1">
        <v>3</v>
      </c>
      <c r="AK298" s="1">
        <v>0</v>
      </c>
      <c r="AL298" s="1">
        <v>0</v>
      </c>
      <c r="AM298" s="1">
        <v>0</v>
      </c>
      <c r="AN298" s="1">
        <v>0.05</v>
      </c>
      <c r="AO298" s="1">
        <v>0.03</v>
      </c>
      <c r="AP298" s="1">
        <v>1.5E-3</v>
      </c>
      <c r="AQ298" s="1">
        <v>16</v>
      </c>
      <c r="AR298" s="1">
        <v>0.5</v>
      </c>
      <c r="AS298" s="1">
        <v>5</v>
      </c>
      <c r="AT298" s="1">
        <v>2.5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0.15</v>
      </c>
      <c r="BB298" s="1">
        <v>1E-3</v>
      </c>
      <c r="BC298" s="1">
        <v>1.4999999999999999E-4</v>
      </c>
      <c r="BD298" s="1">
        <v>0</v>
      </c>
      <c r="BE298" s="1">
        <v>0</v>
      </c>
      <c r="BF298" s="1">
        <v>0</v>
      </c>
      <c r="BG298" s="1">
        <v>0.02</v>
      </c>
      <c r="BH298" s="1">
        <v>0</v>
      </c>
      <c r="BI298" s="1">
        <v>8</v>
      </c>
      <c r="BJ298" s="1">
        <v>0.2</v>
      </c>
      <c r="BK298" s="1">
        <v>1.4999999999999999E-2</v>
      </c>
      <c r="BL298" s="1">
        <f t="shared" si="88"/>
        <v>1.5</v>
      </c>
      <c r="BM298" s="1">
        <v>0.25</v>
      </c>
      <c r="BN298" s="1">
        <v>0.06</v>
      </c>
      <c r="BO298" s="1">
        <v>2</v>
      </c>
      <c r="BP298" s="1">
        <v>0</v>
      </c>
      <c r="BQ298" s="1" t="s">
        <v>71</v>
      </c>
      <c r="BR298" s="1" t="s">
        <v>71</v>
      </c>
      <c r="BS298" s="1" t="s">
        <v>71</v>
      </c>
      <c r="BT298" s="1" t="s">
        <v>71</v>
      </c>
      <c r="BU298" s="1" t="s">
        <v>71</v>
      </c>
      <c r="BV298" s="1">
        <v>2</v>
      </c>
      <c r="BW298" s="1">
        <v>0.7</v>
      </c>
      <c r="BX298" s="1" t="s">
        <v>71</v>
      </c>
      <c r="BY298" s="1" t="s">
        <v>71</v>
      </c>
      <c r="BZ298" s="3">
        <v>1.8</v>
      </c>
      <c r="CA298" s="3">
        <v>1.2</v>
      </c>
      <c r="CB298" s="3">
        <f t="shared" si="89"/>
        <v>2.5000000000000004</v>
      </c>
      <c r="CC298" s="3">
        <f t="shared" si="93"/>
        <v>1.666666666666667</v>
      </c>
      <c r="CD298" s="1">
        <f>ROUND(CB298/CB285+CC298/CC289,2)</f>
        <v>1.1000000000000001</v>
      </c>
      <c r="CE298" s="1">
        <f>ROUND(CB298/CB288+CC298/CC289,2)</f>
        <v>1.06</v>
      </c>
      <c r="CF298" s="1">
        <f>ROUND(CB298/(1.2*CB288)+CC298/CC289,2)</f>
        <v>0.97</v>
      </c>
      <c r="CG298" s="1">
        <f>ROUND(CB298/CB285,2)</f>
        <v>0.6</v>
      </c>
      <c r="CH298" s="1">
        <f>ROUND(CB298/CB288,2)</f>
        <v>0.56000000000000005</v>
      </c>
      <c r="CI298" s="1">
        <f>ROUND(CC298/CC289,2)</f>
        <v>0.5</v>
      </c>
      <c r="CJ298" s="1">
        <f>ROUND((CC298+CB298)/MAX(CC289,CB288),2)</f>
        <v>0.94</v>
      </c>
      <c r="CK298" s="1">
        <f>ROUND(LN((0.9*BZ298)/(0.1*CA298))/(BZ285/CA289),2)</f>
        <v>2.08</v>
      </c>
      <c r="CL298" s="1">
        <f>ROUND(LN((0.9*BZ298)/(0.1*CA298))/(BZ288/CA289),2)</f>
        <v>1.95</v>
      </c>
      <c r="CM298" s="1">
        <f>ROUND(LN((0.1*CA298)/(0.9*BZ298))/(CA289/BZ285),2)</f>
        <v>-3.25</v>
      </c>
      <c r="CN298" s="1">
        <f>ROUND(LN((0.1*CA298)/(0.9*BZ298))/(CA289/BZ288),2)</f>
        <v>-3.47</v>
      </c>
      <c r="CO298" s="5">
        <v>48</v>
      </c>
      <c r="CP298" s="5">
        <v>73</v>
      </c>
      <c r="CQ298" s="1">
        <v>33</v>
      </c>
      <c r="CR298" s="1">
        <v>135</v>
      </c>
      <c r="CS298" s="5">
        <v>31.8</v>
      </c>
      <c r="CT298" s="1">
        <v>9.3000000000000007</v>
      </c>
      <c r="CU298" s="1">
        <v>6.4</v>
      </c>
      <c r="CV298" s="1" t="s">
        <v>71</v>
      </c>
      <c r="CW298" s="1" t="s">
        <v>71</v>
      </c>
      <c r="CX298" t="e">
        <f>ROUND(CV298*#REF!/10,1)</f>
        <v>#VALUE!</v>
      </c>
      <c r="CY298" s="1">
        <v>10.9</v>
      </c>
      <c r="CZ298">
        <f>ROUND((10*CC298*CS298),0)</f>
        <v>530</v>
      </c>
      <c r="DA298">
        <f t="shared" si="100"/>
        <v>273</v>
      </c>
      <c r="DB298">
        <f>(CZ298+DA298)/MAX(DA288,CZ289)</f>
        <v>0.74145891043397971</v>
      </c>
      <c r="DC298" s="26">
        <v>10.9</v>
      </c>
      <c r="DD298">
        <f t="shared" si="90"/>
        <v>803</v>
      </c>
      <c r="DE298">
        <f t="shared" si="102"/>
        <v>0.25</v>
      </c>
      <c r="DF298">
        <f>ROUND(CZ298/MAX(DA288,CZ289), 2)</f>
        <v>0.49</v>
      </c>
    </row>
    <row r="299" spans="1:110" x14ac:dyDescent="0.15">
      <c r="A299" s="23">
        <v>2023</v>
      </c>
      <c r="B299" s="23" t="s">
        <v>49</v>
      </c>
      <c r="C299" s="23">
        <v>15</v>
      </c>
      <c r="D299" s="23">
        <v>17</v>
      </c>
      <c r="E299" s="23" t="s">
        <v>52</v>
      </c>
      <c r="F299" s="23" t="s">
        <v>54</v>
      </c>
      <c r="G299" s="23" t="s">
        <v>5</v>
      </c>
      <c r="H299" s="23">
        <v>3</v>
      </c>
      <c r="I299" s="23" t="s">
        <v>67</v>
      </c>
      <c r="J299" s="23" t="s">
        <v>57</v>
      </c>
      <c r="K299" s="1" t="s">
        <v>57</v>
      </c>
      <c r="L299" s="27">
        <v>10000000000</v>
      </c>
      <c r="M299" s="27">
        <v>10000000000</v>
      </c>
      <c r="N299" s="24">
        <v>45083</v>
      </c>
      <c r="O299" s="24">
        <v>45090</v>
      </c>
      <c r="P299" s="24">
        <v>45077</v>
      </c>
      <c r="Q299" s="1">
        <f>P299-P290</f>
        <v>-3</v>
      </c>
      <c r="R299" s="1">
        <f>N299-N288</f>
        <v>1</v>
      </c>
      <c r="S299" s="1">
        <f>O299-O288</f>
        <v>-1</v>
      </c>
      <c r="T299" s="1">
        <f t="shared" si="101"/>
        <v>0</v>
      </c>
      <c r="U299" s="1">
        <v>79</v>
      </c>
      <c r="V299" s="1">
        <v>85</v>
      </c>
      <c r="W299" s="1">
        <v>-6</v>
      </c>
      <c r="X299" s="1">
        <v>0</v>
      </c>
      <c r="Y299" s="1">
        <v>0</v>
      </c>
      <c r="Z299" s="1">
        <v>0</v>
      </c>
      <c r="AA299" s="1">
        <v>0</v>
      </c>
      <c r="AB299" s="1" t="s">
        <v>71</v>
      </c>
      <c r="AC299" s="1" t="s">
        <v>71</v>
      </c>
      <c r="AD299" s="25">
        <v>30</v>
      </c>
      <c r="AE299" s="25">
        <v>16</v>
      </c>
      <c r="AF299" s="25">
        <v>74</v>
      </c>
      <c r="AG299" s="25">
        <v>36.666666666666664</v>
      </c>
      <c r="AH299" s="1">
        <v>75</v>
      </c>
      <c r="AI299" s="1">
        <v>34</v>
      </c>
      <c r="AJ299" s="1">
        <v>3.3</v>
      </c>
      <c r="AK299" s="1">
        <v>0</v>
      </c>
      <c r="AL299" s="1">
        <v>0</v>
      </c>
      <c r="AM299" s="1">
        <v>0</v>
      </c>
      <c r="AN299" s="1">
        <v>0.03</v>
      </c>
      <c r="AO299" s="1">
        <v>0.02</v>
      </c>
      <c r="AP299" s="1">
        <v>5.9999999999999995E-4</v>
      </c>
      <c r="AQ299" s="1">
        <v>24</v>
      </c>
      <c r="AR299" s="1">
        <v>0.7</v>
      </c>
      <c r="AS299" s="1">
        <v>5</v>
      </c>
      <c r="AT299" s="1">
        <v>3.5</v>
      </c>
      <c r="AU299" s="1">
        <v>0.1</v>
      </c>
      <c r="AV299" s="1">
        <v>1</v>
      </c>
      <c r="AW299" s="1">
        <v>0.1</v>
      </c>
      <c r="AX299" s="1">
        <v>0</v>
      </c>
      <c r="AY299" s="1">
        <v>0</v>
      </c>
      <c r="AZ299" s="1">
        <v>0</v>
      </c>
      <c r="BA299" s="1">
        <v>0.15</v>
      </c>
      <c r="BB299" s="1">
        <v>5.0000000000000001E-4</v>
      </c>
      <c r="BC299" s="1">
        <v>7.4999999999999993E-5</v>
      </c>
      <c r="BD299" s="1">
        <v>0</v>
      </c>
      <c r="BE299" s="1">
        <v>0</v>
      </c>
      <c r="BF299" s="1">
        <v>0</v>
      </c>
      <c r="BG299" s="1">
        <v>0.03</v>
      </c>
      <c r="BH299" s="1">
        <v>6</v>
      </c>
      <c r="BI299" s="1">
        <v>10</v>
      </c>
      <c r="BJ299" s="1">
        <v>2</v>
      </c>
      <c r="BK299" s="1">
        <v>8.0000000000000002E-3</v>
      </c>
      <c r="BL299" s="1">
        <f t="shared" si="88"/>
        <v>0.8</v>
      </c>
      <c r="BM299" s="1">
        <v>0.2</v>
      </c>
      <c r="BN299" s="1">
        <v>0.04</v>
      </c>
      <c r="BO299" s="1">
        <v>2</v>
      </c>
      <c r="BP299" s="1">
        <v>10</v>
      </c>
      <c r="BQ299" s="1" t="s">
        <v>71</v>
      </c>
      <c r="BR299" s="1" t="s">
        <v>71</v>
      </c>
      <c r="BS299" s="1" t="s">
        <v>71</v>
      </c>
      <c r="BT299" s="1" t="s">
        <v>71</v>
      </c>
      <c r="BU299" s="1" t="s">
        <v>71</v>
      </c>
      <c r="BV299" s="1">
        <v>3.3</v>
      </c>
      <c r="BW299" s="1">
        <v>0.3</v>
      </c>
      <c r="BX299" s="1" t="s">
        <v>71</v>
      </c>
      <c r="BY299" s="1" t="s">
        <v>71</v>
      </c>
      <c r="BZ299" s="3">
        <v>1.9</v>
      </c>
      <c r="CA299" s="3">
        <v>1</v>
      </c>
      <c r="CB299" s="3">
        <f t="shared" si="89"/>
        <v>2.6388888888888888</v>
      </c>
      <c r="CC299" s="3">
        <f t="shared" si="93"/>
        <v>1.3888888888888888</v>
      </c>
      <c r="CD299" s="3" t="s">
        <v>71</v>
      </c>
      <c r="CE299" s="3" t="s">
        <v>71</v>
      </c>
      <c r="CF299" s="3" t="s">
        <v>71</v>
      </c>
      <c r="CG299" s="1">
        <f>ROUND(CB299/CB285,2)</f>
        <v>0.63</v>
      </c>
      <c r="CH299" s="1">
        <f>ROUND(CB299/CB288,2)</f>
        <v>0.59</v>
      </c>
      <c r="CI299" s="3" t="s">
        <v>71</v>
      </c>
      <c r="CJ299" s="1">
        <f>ROUND((CC299+CB299)/MAX(CC290,CB288),2)</f>
        <v>0.91</v>
      </c>
      <c r="CK299" s="3" t="s">
        <v>71</v>
      </c>
      <c r="CL299" s="3" t="s">
        <v>71</v>
      </c>
      <c r="CM299" s="3" t="s">
        <v>71</v>
      </c>
      <c r="CN299" s="3" t="s">
        <v>71</v>
      </c>
      <c r="CO299" s="5">
        <v>49</v>
      </c>
      <c r="CP299" s="5">
        <v>62</v>
      </c>
      <c r="CQ299" s="1">
        <v>34</v>
      </c>
      <c r="CR299" s="1">
        <v>132</v>
      </c>
      <c r="CS299" s="5">
        <v>39.4</v>
      </c>
      <c r="CT299" s="1">
        <v>9</v>
      </c>
      <c r="CU299" s="1">
        <v>6.3</v>
      </c>
      <c r="CV299" s="1" t="s">
        <v>71</v>
      </c>
      <c r="CW299" s="1" t="s">
        <v>71</v>
      </c>
      <c r="CX299" t="e">
        <f>ROUND(CV299*#REF!/10,1)</f>
        <v>#VALUE!</v>
      </c>
      <c r="CY299" s="1">
        <v>10.9</v>
      </c>
      <c r="CZ299">
        <f>ROUND((10*CC299*CS299),0)</f>
        <v>547</v>
      </c>
      <c r="DA299">
        <f t="shared" si="100"/>
        <v>288</v>
      </c>
      <c r="DB299" t="s">
        <v>71</v>
      </c>
      <c r="DC299" s="26">
        <v>10.9</v>
      </c>
      <c r="DD299">
        <f t="shared" si="90"/>
        <v>835</v>
      </c>
      <c r="DE299" t="s">
        <v>71</v>
      </c>
      <c r="DF299">
        <f>ROUND(CZ299/MAX(DA288,CZ290), 2)</f>
        <v>1.45</v>
      </c>
    </row>
    <row r="300" spans="1:110" x14ac:dyDescent="0.15">
      <c r="A300" s="23">
        <v>2023</v>
      </c>
      <c r="B300" s="23" t="s">
        <v>49</v>
      </c>
      <c r="C300" s="23">
        <v>15</v>
      </c>
      <c r="D300" s="23">
        <v>18</v>
      </c>
      <c r="E300" s="23" t="s">
        <v>52</v>
      </c>
      <c r="F300" s="23" t="s">
        <v>55</v>
      </c>
      <c r="G300" s="23" t="s">
        <v>5</v>
      </c>
      <c r="H300" s="23">
        <v>3</v>
      </c>
      <c r="I300" s="23" t="s">
        <v>68</v>
      </c>
      <c r="J300" s="23" t="s">
        <v>57</v>
      </c>
      <c r="K300" s="1" t="s">
        <v>57</v>
      </c>
      <c r="L300" s="27">
        <v>10000000000</v>
      </c>
      <c r="M300" s="27">
        <v>10000000000</v>
      </c>
      <c r="N300" s="24">
        <v>45084</v>
      </c>
      <c r="O300" s="24">
        <v>45096</v>
      </c>
      <c r="P300" s="24">
        <v>45077</v>
      </c>
      <c r="Q300" s="1">
        <f>P300-P291</f>
        <v>-1</v>
      </c>
      <c r="R300" s="1">
        <f>N300-N288</f>
        <v>2</v>
      </c>
      <c r="S300" s="1">
        <f>O300-O288</f>
        <v>5</v>
      </c>
      <c r="T300" s="1">
        <f t="shared" si="101"/>
        <v>3.5</v>
      </c>
      <c r="U300" s="1">
        <v>83</v>
      </c>
      <c r="V300" s="1">
        <v>87</v>
      </c>
      <c r="W300" s="1">
        <v>-4</v>
      </c>
      <c r="X300" s="1">
        <v>0</v>
      </c>
      <c r="Y300" s="1">
        <v>0</v>
      </c>
      <c r="Z300" s="1">
        <v>0</v>
      </c>
      <c r="AA300" s="1">
        <v>0</v>
      </c>
      <c r="AB300" s="1" t="s">
        <v>71</v>
      </c>
      <c r="AC300" s="1" t="s">
        <v>71</v>
      </c>
      <c r="AD300" s="25">
        <v>35</v>
      </c>
      <c r="AE300" s="25">
        <v>17</v>
      </c>
      <c r="AF300" s="25">
        <v>75.666666666666671</v>
      </c>
      <c r="AG300" s="25">
        <v>32.333333333333336</v>
      </c>
      <c r="AH300" s="1">
        <v>77</v>
      </c>
      <c r="AI300" s="1">
        <v>33</v>
      </c>
      <c r="AJ300" s="1">
        <v>3</v>
      </c>
      <c r="AK300" s="1">
        <v>0</v>
      </c>
      <c r="AL300" s="1">
        <v>0</v>
      </c>
      <c r="AM300" s="1">
        <v>0</v>
      </c>
      <c r="AN300" s="1">
        <v>0.03</v>
      </c>
      <c r="AO300" s="1">
        <v>0.05</v>
      </c>
      <c r="AP300" s="1">
        <v>1.5E-3</v>
      </c>
      <c r="AQ300" s="1">
        <v>22</v>
      </c>
      <c r="AR300" s="1">
        <v>0.5</v>
      </c>
      <c r="AS300" s="1">
        <v>7</v>
      </c>
      <c r="AT300" s="1">
        <v>3.5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0.15</v>
      </c>
      <c r="BA300" s="1">
        <v>0.1</v>
      </c>
      <c r="BB300" s="1">
        <v>1E-3</v>
      </c>
      <c r="BC300" s="1">
        <v>1.0000000000000002E-4</v>
      </c>
      <c r="BD300" s="1">
        <v>0</v>
      </c>
      <c r="BE300" s="1">
        <v>0</v>
      </c>
      <c r="BF300" s="1">
        <v>0</v>
      </c>
      <c r="BG300" s="1">
        <v>0</v>
      </c>
      <c r="BH300" s="1">
        <v>8</v>
      </c>
      <c r="BI300" s="1">
        <v>10</v>
      </c>
      <c r="BJ300" s="1">
        <v>0.5</v>
      </c>
      <c r="BK300" s="1">
        <v>5.000000000000001E-3</v>
      </c>
      <c r="BL300" s="1">
        <f t="shared" si="88"/>
        <v>0.50000000000000011</v>
      </c>
      <c r="BM300" s="1">
        <v>0.1</v>
      </c>
      <c r="BN300" s="1">
        <v>0.05</v>
      </c>
      <c r="BO300" s="1">
        <v>2</v>
      </c>
      <c r="BP300" s="1">
        <v>0</v>
      </c>
      <c r="BQ300" s="1" t="s">
        <v>71</v>
      </c>
      <c r="BR300" s="1" t="s">
        <v>71</v>
      </c>
      <c r="BS300" s="1" t="s">
        <v>71</v>
      </c>
      <c r="BT300" s="1" t="s">
        <v>71</v>
      </c>
      <c r="BU300" s="1" t="s">
        <v>71</v>
      </c>
      <c r="BV300" s="1">
        <v>1</v>
      </c>
      <c r="BW300" s="1">
        <v>0</v>
      </c>
      <c r="BX300" s="1" t="s">
        <v>71</v>
      </c>
      <c r="BY300" s="1" t="s">
        <v>71</v>
      </c>
      <c r="BZ300" s="3">
        <v>1.8</v>
      </c>
      <c r="CA300" s="3">
        <v>0.9</v>
      </c>
      <c r="CB300" s="3">
        <f t="shared" si="89"/>
        <v>2.5000000000000004</v>
      </c>
      <c r="CC300" s="3">
        <f t="shared" si="93"/>
        <v>1.2500000000000002</v>
      </c>
      <c r="CD300" s="1">
        <f>ROUND(CB300/CB285+CC300/CC291,2)</f>
        <v>1.42</v>
      </c>
      <c r="CE300" s="1">
        <f>ROUND(CB300/CB288+CC300/CC291,2)</f>
        <v>1.38</v>
      </c>
      <c r="CF300" s="1">
        <f>ROUND(CB300/(1.2*CB288)+CC300/CC291,2)</f>
        <v>1.29</v>
      </c>
      <c r="CG300" s="1">
        <f>ROUND(CB300/CB285,2)</f>
        <v>0.6</v>
      </c>
      <c r="CH300" s="1">
        <f>ROUND(CB300/CB288,2)</f>
        <v>0.56000000000000005</v>
      </c>
      <c r="CI300" s="1">
        <f>ROUND(CC300/CC291,2)</f>
        <v>0.82</v>
      </c>
      <c r="CJ300" s="1">
        <f>ROUND((CC300+CB300)/MAX(CC291,CB288),2)</f>
        <v>0.84</v>
      </c>
      <c r="CK300" s="1">
        <f>ROUND(LN((0.9*BZ300)/(0.1*CA300))/(BZ285/CA291),2)</f>
        <v>1.06</v>
      </c>
      <c r="CL300" s="1">
        <f>ROUND(LN((0.9*BZ300)/(0.1*CA300))/(BZ288/CA291),2)</f>
        <v>0.99</v>
      </c>
      <c r="CM300" s="1">
        <f>ROUND(LN((0.1*CA300)/(0.9*BZ300))/(CA291/BZ285),2)</f>
        <v>-7.88</v>
      </c>
      <c r="CN300" s="1">
        <f>ROUND(LN((0.1*CA300)/(0.9*BZ300))/(CA291/BZ288),2)</f>
        <v>-8.41</v>
      </c>
      <c r="CO300" s="5">
        <v>49</v>
      </c>
      <c r="CP300" s="5">
        <v>73</v>
      </c>
      <c r="CQ300" s="1">
        <v>33</v>
      </c>
      <c r="CR300" s="1">
        <v>128</v>
      </c>
      <c r="CS300" s="5">
        <v>36.9</v>
      </c>
      <c r="CT300" s="1">
        <v>9.1</v>
      </c>
      <c r="CU300" s="1">
        <v>6.2</v>
      </c>
      <c r="CV300" s="1" t="s">
        <v>71</v>
      </c>
      <c r="CW300" s="1" t="s">
        <v>71</v>
      </c>
      <c r="CX300" t="e">
        <f>ROUND(CV300*#REF!/10,1)</f>
        <v>#VALUE!</v>
      </c>
      <c r="CY300" s="1">
        <v>11.3</v>
      </c>
      <c r="CZ300">
        <f>ROUND((10*CC300*CS300),0)</f>
        <v>461</v>
      </c>
      <c r="DA300">
        <f t="shared" si="100"/>
        <v>283</v>
      </c>
      <c r="DB300">
        <f>(CZ300+DA300)/MAX(DA288,CZ291)</f>
        <v>1.461689587426326</v>
      </c>
      <c r="DC300" s="26">
        <v>11.3</v>
      </c>
      <c r="DD300">
        <f>SUM(CZ300,DA300)</f>
        <v>744</v>
      </c>
      <c r="DE300">
        <f t="shared" si="102"/>
        <v>0.55000000000000004</v>
      </c>
      <c r="DF300">
        <f>ROUND(CZ300/MAX(DA288,CZ291), 2)</f>
        <v>0.91</v>
      </c>
    </row>
    <row r="301" spans="1:110" ht="15" x14ac:dyDescent="0.15">
      <c r="A301" s="23">
        <v>2023</v>
      </c>
      <c r="B301" s="23" t="s">
        <v>49</v>
      </c>
      <c r="C301" s="23">
        <v>15</v>
      </c>
      <c r="D301" s="23">
        <v>19</v>
      </c>
      <c r="E301" s="23"/>
      <c r="F301" s="23"/>
      <c r="G301" s="23" t="s">
        <v>5</v>
      </c>
      <c r="H301" s="23">
        <v>3</v>
      </c>
      <c r="I301" s="23" t="s">
        <v>69</v>
      </c>
      <c r="J301" s="23" t="s">
        <v>57</v>
      </c>
      <c r="K301" s="24">
        <v>45095</v>
      </c>
      <c r="L301" s="1" t="s">
        <v>71</v>
      </c>
      <c r="M301" s="1" t="s">
        <v>71</v>
      </c>
      <c r="N301" s="1" t="s">
        <v>71</v>
      </c>
      <c r="O301" s="1" t="s">
        <v>71</v>
      </c>
      <c r="P301" s="24">
        <v>45075</v>
      </c>
      <c r="Q301" s="1" t="s">
        <v>71</v>
      </c>
      <c r="R301" s="1" t="s">
        <v>71</v>
      </c>
      <c r="S301" s="1" t="s">
        <v>71</v>
      </c>
      <c r="T301" s="1" t="s">
        <v>71</v>
      </c>
      <c r="U301" s="1" t="s">
        <v>71</v>
      </c>
      <c r="V301" s="1">
        <v>83</v>
      </c>
      <c r="W301" s="1" t="s">
        <v>71</v>
      </c>
      <c r="X301" s="1">
        <v>0</v>
      </c>
      <c r="Y301" s="1" t="s">
        <v>71</v>
      </c>
      <c r="Z301" s="1">
        <v>0</v>
      </c>
      <c r="AA301" s="1" t="s">
        <v>71</v>
      </c>
      <c r="AB301" s="1" t="s">
        <v>71</v>
      </c>
      <c r="AC301" s="1" t="s">
        <v>71</v>
      </c>
      <c r="AD301" s="25" t="s">
        <v>71</v>
      </c>
      <c r="AE301" s="25">
        <v>12</v>
      </c>
      <c r="AF301" s="25" t="s">
        <v>71</v>
      </c>
      <c r="AG301" s="25">
        <v>34.333333333333336</v>
      </c>
      <c r="AH301" s="1" t="s">
        <v>71</v>
      </c>
      <c r="AI301" s="1">
        <v>37</v>
      </c>
      <c r="AJ301" s="1" t="s">
        <v>71</v>
      </c>
      <c r="AK301" s="1" t="s">
        <v>71</v>
      </c>
      <c r="AL301" s="1" t="s">
        <v>71</v>
      </c>
      <c r="AM301" s="1" t="s">
        <v>71</v>
      </c>
      <c r="AN301" s="1" t="s">
        <v>71</v>
      </c>
      <c r="AO301" s="1" t="s">
        <v>71</v>
      </c>
      <c r="AP301" s="1" t="s">
        <v>71</v>
      </c>
      <c r="AQ301" s="1" t="s">
        <v>71</v>
      </c>
      <c r="AR301" s="1" t="s">
        <v>71</v>
      </c>
      <c r="AS301" s="1" t="s">
        <v>71</v>
      </c>
      <c r="AT301" s="1" t="s">
        <v>71</v>
      </c>
      <c r="AU301" s="1">
        <v>0.17</v>
      </c>
      <c r="AV301" s="1">
        <v>1</v>
      </c>
      <c r="AW301" s="1">
        <v>0.17</v>
      </c>
      <c r="AX301" s="1" t="s">
        <v>71</v>
      </c>
      <c r="AY301" s="1" t="s">
        <v>71</v>
      </c>
      <c r="AZ301" s="1">
        <v>0.2</v>
      </c>
      <c r="BA301" s="1" t="s">
        <v>71</v>
      </c>
      <c r="BB301" s="1" t="s">
        <v>71</v>
      </c>
      <c r="BC301" s="1" t="s">
        <v>71</v>
      </c>
      <c r="BD301" s="1" t="s">
        <v>71</v>
      </c>
      <c r="BE301" s="1" t="s">
        <v>71</v>
      </c>
      <c r="BF301" s="1" t="s">
        <v>71</v>
      </c>
      <c r="BG301" s="1" t="s">
        <v>71</v>
      </c>
      <c r="BH301" s="1">
        <v>12</v>
      </c>
      <c r="BI301" s="1">
        <v>3</v>
      </c>
      <c r="BJ301" s="1">
        <v>0.2</v>
      </c>
      <c r="BK301" s="1">
        <v>0.24</v>
      </c>
      <c r="BL301" s="1">
        <f t="shared" si="88"/>
        <v>24</v>
      </c>
      <c r="BM301" s="1">
        <v>1.2</v>
      </c>
      <c r="BN301" s="1">
        <v>0.2</v>
      </c>
      <c r="BO301" s="1">
        <v>2</v>
      </c>
      <c r="BP301" s="1">
        <v>0</v>
      </c>
      <c r="BQ301" s="1" t="s">
        <v>71</v>
      </c>
      <c r="BR301" s="1" t="s">
        <v>71</v>
      </c>
      <c r="BS301" s="1" t="s">
        <v>71</v>
      </c>
      <c r="BT301" s="1" t="s">
        <v>71</v>
      </c>
      <c r="BU301" s="1" t="s">
        <v>71</v>
      </c>
      <c r="BV301" s="1">
        <v>3.3</v>
      </c>
      <c r="BW301" s="1">
        <v>0</v>
      </c>
      <c r="BX301" s="1" t="s">
        <v>71</v>
      </c>
      <c r="BY301" s="1" t="s">
        <v>71</v>
      </c>
      <c r="BZ301" s="3" t="s">
        <v>71</v>
      </c>
      <c r="CA301" s="3" t="s">
        <v>71</v>
      </c>
      <c r="CB301" s="3" t="s">
        <v>71</v>
      </c>
      <c r="CC301" s="3" t="s">
        <v>71</v>
      </c>
      <c r="CD301" s="1" t="s">
        <v>71</v>
      </c>
      <c r="CE301" s="1" t="s">
        <v>71</v>
      </c>
      <c r="CF301" s="1" t="s">
        <v>71</v>
      </c>
      <c r="CG301" s="1" t="s">
        <v>71</v>
      </c>
      <c r="CH301" s="1" t="s">
        <v>71</v>
      </c>
      <c r="CI301" s="1" t="s">
        <v>71</v>
      </c>
      <c r="CJ301" s="1" t="s">
        <v>71</v>
      </c>
      <c r="CK301" s="1" t="s">
        <v>71</v>
      </c>
      <c r="CL301" s="3" t="s">
        <v>71</v>
      </c>
      <c r="CM301" s="3" t="s">
        <v>71</v>
      </c>
      <c r="CN301" s="3" t="s">
        <v>71</v>
      </c>
      <c r="CO301" s="5" t="s">
        <v>71</v>
      </c>
      <c r="CP301" s="5">
        <v>77</v>
      </c>
      <c r="CQ301" s="1" t="s">
        <v>71</v>
      </c>
      <c r="CR301" s="1">
        <v>134</v>
      </c>
      <c r="CS301" s="5">
        <v>34.200000000000003</v>
      </c>
      <c r="CT301" s="1" t="s">
        <v>71</v>
      </c>
      <c r="CU301" s="1">
        <v>7.3</v>
      </c>
      <c r="CV301" s="1" t="s">
        <v>71</v>
      </c>
      <c r="CW301" s="1" t="s">
        <v>71</v>
      </c>
      <c r="CX301" t="s">
        <v>71</v>
      </c>
      <c r="CY301" s="1" t="s">
        <v>71</v>
      </c>
      <c r="CZ301" t="s">
        <v>71</v>
      </c>
      <c r="DA301" t="s">
        <v>71</v>
      </c>
      <c r="DB301" t="s">
        <v>71</v>
      </c>
      <c r="DC301" s="26" t="s">
        <v>71</v>
      </c>
      <c r="DD301">
        <f t="shared" si="90"/>
        <v>0</v>
      </c>
      <c r="DE301" t="s">
        <v>71</v>
      </c>
      <c r="DF301" s="26" t="s">
        <v>71</v>
      </c>
    </row>
    <row r="302" spans="1:110" ht="15" x14ac:dyDescent="0.15">
      <c r="A302" s="23">
        <v>2023</v>
      </c>
      <c r="B302" s="23" t="s">
        <v>49</v>
      </c>
      <c r="C302" s="23">
        <v>15</v>
      </c>
      <c r="D302" s="23">
        <v>20</v>
      </c>
      <c r="E302" s="23"/>
      <c r="F302" s="23"/>
      <c r="G302" s="23" t="s">
        <v>5</v>
      </c>
      <c r="H302" s="23">
        <v>3</v>
      </c>
      <c r="I302" s="23" t="s">
        <v>70</v>
      </c>
      <c r="J302" s="23" t="s">
        <v>57</v>
      </c>
      <c r="K302" s="1" t="s">
        <v>57</v>
      </c>
      <c r="L302" s="1" t="s">
        <v>71</v>
      </c>
      <c r="M302" s="1" t="s">
        <v>71</v>
      </c>
      <c r="N302" s="1" t="s">
        <v>71</v>
      </c>
      <c r="O302" s="1" t="s">
        <v>71</v>
      </c>
      <c r="P302" s="24">
        <v>45080</v>
      </c>
      <c r="Q302" s="1" t="s">
        <v>71</v>
      </c>
      <c r="R302" s="1" t="s">
        <v>71</v>
      </c>
      <c r="S302" s="1" t="s">
        <v>71</v>
      </c>
      <c r="T302" s="1" t="s">
        <v>71</v>
      </c>
      <c r="U302" s="1" t="s">
        <v>71</v>
      </c>
      <c r="V302" s="1">
        <v>85</v>
      </c>
      <c r="W302" s="1" t="s">
        <v>71</v>
      </c>
      <c r="X302" s="1">
        <v>0</v>
      </c>
      <c r="Y302" s="1" t="s">
        <v>71</v>
      </c>
      <c r="Z302" s="1">
        <v>0</v>
      </c>
      <c r="AA302" s="1" t="s">
        <v>71</v>
      </c>
      <c r="AB302" s="1" t="s">
        <v>71</v>
      </c>
      <c r="AC302" s="1" t="s">
        <v>71</v>
      </c>
      <c r="AD302" s="25" t="s">
        <v>71</v>
      </c>
      <c r="AE302" s="25">
        <v>10</v>
      </c>
      <c r="AF302" s="25" t="s">
        <v>71</v>
      </c>
      <c r="AG302" s="25">
        <v>33.666666666666664</v>
      </c>
      <c r="AH302" s="1" t="s">
        <v>71</v>
      </c>
      <c r="AI302" s="1">
        <v>32</v>
      </c>
      <c r="AJ302" s="1" t="s">
        <v>71</v>
      </c>
      <c r="AK302" s="1" t="s">
        <v>71</v>
      </c>
      <c r="AL302" s="1" t="s">
        <v>71</v>
      </c>
      <c r="AM302" s="1" t="s">
        <v>71</v>
      </c>
      <c r="AN302" s="1" t="s">
        <v>71</v>
      </c>
      <c r="AO302" s="1" t="s">
        <v>71</v>
      </c>
      <c r="AP302" s="1" t="s">
        <v>71</v>
      </c>
      <c r="AQ302" s="1" t="s">
        <v>71</v>
      </c>
      <c r="AR302" s="1" t="s">
        <v>71</v>
      </c>
      <c r="AS302" s="1" t="s">
        <v>71</v>
      </c>
      <c r="AT302" s="1" t="s">
        <v>71</v>
      </c>
      <c r="AU302" s="1">
        <v>0</v>
      </c>
      <c r="AV302" s="1">
        <v>0</v>
      </c>
      <c r="AW302" s="1">
        <v>0</v>
      </c>
      <c r="AX302" s="1" t="s">
        <v>71</v>
      </c>
      <c r="AY302" s="1" t="s">
        <v>71</v>
      </c>
      <c r="AZ302" s="1">
        <v>0.7</v>
      </c>
      <c r="BA302" s="1" t="s">
        <v>71</v>
      </c>
      <c r="BB302" s="1" t="s">
        <v>71</v>
      </c>
      <c r="BC302" s="1" t="s">
        <v>71</v>
      </c>
      <c r="BD302" s="1" t="s">
        <v>71</v>
      </c>
      <c r="BE302" s="1" t="s">
        <v>71</v>
      </c>
      <c r="BF302" s="1" t="s">
        <v>71</v>
      </c>
      <c r="BG302" s="1" t="s">
        <v>71</v>
      </c>
      <c r="BH302" s="1">
        <v>473</v>
      </c>
      <c r="BI302" s="1">
        <v>0</v>
      </c>
      <c r="BJ302" s="1">
        <v>0</v>
      </c>
      <c r="BK302" s="1">
        <v>0.42</v>
      </c>
      <c r="BL302" s="1">
        <f t="shared" si="88"/>
        <v>42</v>
      </c>
      <c r="BM302" s="1">
        <v>1.2</v>
      </c>
      <c r="BN302" s="1">
        <v>0.35</v>
      </c>
      <c r="BO302" s="1">
        <v>3</v>
      </c>
      <c r="BP302" s="1">
        <v>0</v>
      </c>
      <c r="BQ302" s="1" t="s">
        <v>71</v>
      </c>
      <c r="BR302" s="1" t="s">
        <v>71</v>
      </c>
      <c r="BS302" s="1" t="s">
        <v>71</v>
      </c>
      <c r="BT302" s="1" t="s">
        <v>71</v>
      </c>
      <c r="BU302" s="1" t="s">
        <v>71</v>
      </c>
      <c r="BV302" s="1">
        <v>4</v>
      </c>
      <c r="BW302" s="1">
        <v>0</v>
      </c>
      <c r="BX302" s="1" t="s">
        <v>71</v>
      </c>
      <c r="BY302" s="1" t="s">
        <v>71</v>
      </c>
      <c r="BZ302" s="3" t="s">
        <v>71</v>
      </c>
      <c r="CA302" s="3" t="s">
        <v>71</v>
      </c>
      <c r="CB302" s="3" t="s">
        <v>71</v>
      </c>
      <c r="CC302" s="3" t="s">
        <v>71</v>
      </c>
      <c r="CD302" s="1" t="s">
        <v>71</v>
      </c>
      <c r="CE302" s="1" t="s">
        <v>71</v>
      </c>
      <c r="CF302" s="1" t="s">
        <v>71</v>
      </c>
      <c r="CG302" s="1" t="s">
        <v>71</v>
      </c>
      <c r="CH302" s="1" t="s">
        <v>71</v>
      </c>
      <c r="CI302" s="1" t="s">
        <v>71</v>
      </c>
      <c r="CJ302" s="1" t="s">
        <v>71</v>
      </c>
      <c r="CK302" s="1" t="s">
        <v>71</v>
      </c>
      <c r="CL302" s="3" t="s">
        <v>71</v>
      </c>
      <c r="CM302" s="3" t="s">
        <v>71</v>
      </c>
      <c r="CN302" s="3" t="s">
        <v>71</v>
      </c>
      <c r="CO302" s="5" t="s">
        <v>71</v>
      </c>
      <c r="CP302" s="5">
        <v>75</v>
      </c>
      <c r="CQ302" s="1" t="s">
        <v>71</v>
      </c>
      <c r="CR302" s="1" t="s">
        <v>71</v>
      </c>
      <c r="CS302" s="5">
        <v>43.6</v>
      </c>
      <c r="CT302" s="1" t="s">
        <v>71</v>
      </c>
      <c r="CU302" s="1">
        <v>5.6</v>
      </c>
      <c r="CV302" s="1" t="s">
        <v>71</v>
      </c>
      <c r="CW302" s="1" t="s">
        <v>71</v>
      </c>
      <c r="CX302" t="s">
        <v>71</v>
      </c>
      <c r="CY302" s="1" t="s">
        <v>71</v>
      </c>
      <c r="CZ302" t="s">
        <v>71</v>
      </c>
      <c r="DA302" t="s">
        <v>71</v>
      </c>
      <c r="DB302" t="s">
        <v>71</v>
      </c>
      <c r="DC302" s="26" t="s">
        <v>71</v>
      </c>
      <c r="DD302">
        <f t="shared" si="90"/>
        <v>0</v>
      </c>
      <c r="DE302" t="s">
        <v>71</v>
      </c>
      <c r="DF302" s="26" t="s">
        <v>71</v>
      </c>
    </row>
    <row r="303" spans="1:110" ht="15" x14ac:dyDescent="0.15">
      <c r="A303" s="23">
        <v>2023</v>
      </c>
      <c r="B303" s="23" t="s">
        <v>49</v>
      </c>
      <c r="C303" s="23">
        <v>16</v>
      </c>
      <c r="D303" s="23">
        <v>1</v>
      </c>
      <c r="E303" s="23" t="s">
        <v>50</v>
      </c>
      <c r="F303" s="23"/>
      <c r="G303" s="23" t="s">
        <v>56</v>
      </c>
      <c r="H303" s="23">
        <v>4</v>
      </c>
      <c r="I303" s="23" t="s">
        <v>50</v>
      </c>
      <c r="J303" s="23" t="s">
        <v>57</v>
      </c>
      <c r="K303" s="1" t="s">
        <v>57</v>
      </c>
      <c r="L303" s="1" t="s">
        <v>71</v>
      </c>
      <c r="M303" s="1" t="s">
        <v>71</v>
      </c>
      <c r="N303" s="24">
        <v>45078</v>
      </c>
      <c r="O303" s="24">
        <v>45085</v>
      </c>
      <c r="P303" s="1" t="s">
        <v>71</v>
      </c>
      <c r="Q303" s="1" t="s">
        <v>71</v>
      </c>
      <c r="R303" s="1" t="s">
        <v>71</v>
      </c>
      <c r="S303" s="1" t="s">
        <v>71</v>
      </c>
      <c r="T303" s="1" t="s">
        <v>71</v>
      </c>
      <c r="U303" s="1">
        <v>79</v>
      </c>
      <c r="V303" s="1" t="s">
        <v>71</v>
      </c>
      <c r="W303" s="1" t="s">
        <v>71</v>
      </c>
      <c r="X303" s="1" t="s">
        <v>71</v>
      </c>
      <c r="Y303" s="1">
        <v>0</v>
      </c>
      <c r="Z303" s="1" t="s">
        <v>71</v>
      </c>
      <c r="AA303" s="1">
        <v>0</v>
      </c>
      <c r="AB303" s="1" t="s">
        <v>71</v>
      </c>
      <c r="AC303" s="1" t="s">
        <v>71</v>
      </c>
      <c r="AD303" s="25">
        <v>35</v>
      </c>
      <c r="AE303" s="25" t="s">
        <v>71</v>
      </c>
      <c r="AF303" s="25">
        <v>85.333333333333329</v>
      </c>
      <c r="AG303" s="25" t="s">
        <v>71</v>
      </c>
      <c r="AH303" s="1">
        <v>73</v>
      </c>
      <c r="AI303" s="1" t="s">
        <v>71</v>
      </c>
      <c r="AJ303" s="1">
        <v>2.7</v>
      </c>
      <c r="AK303" s="1">
        <v>0</v>
      </c>
      <c r="AL303" s="1">
        <v>0</v>
      </c>
      <c r="AM303" s="1">
        <v>0</v>
      </c>
      <c r="AN303" s="1">
        <v>0.03</v>
      </c>
      <c r="AO303" s="1">
        <v>2.5000000000000001E-2</v>
      </c>
      <c r="AP303" s="1">
        <v>7.5000000000000002E-4</v>
      </c>
      <c r="AQ303" s="1">
        <v>9</v>
      </c>
      <c r="AR303" s="1">
        <v>0.01</v>
      </c>
      <c r="AS303" s="1">
        <v>5</v>
      </c>
      <c r="AT303" s="1">
        <v>0.05</v>
      </c>
      <c r="AU303" s="1" t="s">
        <v>71</v>
      </c>
      <c r="AV303" s="1" t="s">
        <v>71</v>
      </c>
      <c r="AW303" s="1" t="s">
        <v>71</v>
      </c>
      <c r="AX303" s="1">
        <v>0</v>
      </c>
      <c r="AY303" s="1">
        <v>0</v>
      </c>
      <c r="AZ303" s="1" t="s">
        <v>71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 t="s">
        <v>71</v>
      </c>
      <c r="BI303" s="1" t="s">
        <v>71</v>
      </c>
      <c r="BJ303" s="1" t="s">
        <v>71</v>
      </c>
      <c r="BK303" s="1">
        <v>9.0000000000000002E-6</v>
      </c>
      <c r="BL303" s="1">
        <f t="shared" si="88"/>
        <v>8.9999999999999998E-4</v>
      </c>
      <c r="BM303" s="1">
        <v>3.0000000000000001E-3</v>
      </c>
      <c r="BN303" s="1">
        <v>3.0000000000000001E-3</v>
      </c>
      <c r="BO303" s="1">
        <v>2</v>
      </c>
      <c r="BP303" s="1">
        <v>0</v>
      </c>
      <c r="BQ303" s="1" t="s">
        <v>71</v>
      </c>
      <c r="BR303" s="1" t="s">
        <v>71</v>
      </c>
      <c r="BS303" s="1" t="s">
        <v>71</v>
      </c>
      <c r="BT303" s="1" t="s">
        <v>71</v>
      </c>
      <c r="BU303" s="1" t="s">
        <v>71</v>
      </c>
      <c r="BV303" s="1" t="s">
        <v>71</v>
      </c>
      <c r="BW303" s="1" t="s">
        <v>71</v>
      </c>
      <c r="BX303" s="1" t="s">
        <v>71</v>
      </c>
      <c r="BY303" s="1" t="s">
        <v>71</v>
      </c>
      <c r="BZ303" s="3">
        <v>2.8</v>
      </c>
      <c r="CA303" s="3" t="s">
        <v>71</v>
      </c>
      <c r="CB303" s="3">
        <f t="shared" si="89"/>
        <v>3.8888888888888888</v>
      </c>
      <c r="CC303" s="1" t="s">
        <v>71</v>
      </c>
      <c r="CD303" s="1">
        <v>1</v>
      </c>
      <c r="CE303" s="1">
        <v>1</v>
      </c>
      <c r="CF303" s="1">
        <f>CE303</f>
        <v>1</v>
      </c>
      <c r="CG303" s="3" t="s">
        <v>71</v>
      </c>
      <c r="CH303" s="3" t="s">
        <v>71</v>
      </c>
      <c r="CI303" s="3" t="s">
        <v>71</v>
      </c>
      <c r="CJ303" s="3" t="s">
        <v>71</v>
      </c>
      <c r="CK303" s="3" t="s">
        <v>71</v>
      </c>
      <c r="CL303" s="3" t="s">
        <v>71</v>
      </c>
      <c r="CM303" s="3" t="s">
        <v>71</v>
      </c>
      <c r="CN303" s="3" t="s">
        <v>71</v>
      </c>
      <c r="CO303" s="5">
        <v>51</v>
      </c>
      <c r="CP303" s="5" t="s">
        <v>71</v>
      </c>
      <c r="CQ303" s="1">
        <v>39</v>
      </c>
      <c r="CR303" s="1" t="s">
        <v>71</v>
      </c>
      <c r="CS303" s="5" t="s">
        <v>71</v>
      </c>
      <c r="CT303" s="1">
        <v>8.9</v>
      </c>
      <c r="CU303" s="1" t="s">
        <v>71</v>
      </c>
      <c r="CV303" s="1" t="s">
        <v>71</v>
      </c>
      <c r="CW303" s="1" t="s">
        <v>71</v>
      </c>
      <c r="CX303" s="1" t="s">
        <v>71</v>
      </c>
      <c r="CY303" s="1">
        <v>8.8000000000000007</v>
      </c>
      <c r="CZ303" s="1" t="s">
        <v>71</v>
      </c>
      <c r="DA303">
        <f t="shared" ref="DA303:DA308" si="103">ROUND((CY303*CB303*10),0)</f>
        <v>342</v>
      </c>
      <c r="DB303" s="1" t="s">
        <v>71</v>
      </c>
      <c r="DC303" s="26">
        <v>8.8000000000000007</v>
      </c>
      <c r="DD303">
        <f t="shared" si="90"/>
        <v>342</v>
      </c>
      <c r="DE303" s="1" t="s">
        <v>71</v>
      </c>
      <c r="DF303" s="1" t="s">
        <v>71</v>
      </c>
    </row>
    <row r="304" spans="1:110" ht="15" x14ac:dyDescent="0.15">
      <c r="A304" s="23">
        <v>2023</v>
      </c>
      <c r="B304" s="23" t="s">
        <v>49</v>
      </c>
      <c r="C304" s="23">
        <v>16</v>
      </c>
      <c r="D304" s="23">
        <v>2</v>
      </c>
      <c r="E304" s="23" t="s">
        <v>51</v>
      </c>
      <c r="F304" s="23"/>
      <c r="G304" s="23" t="s">
        <v>56</v>
      </c>
      <c r="H304" s="23">
        <v>4</v>
      </c>
      <c r="I304" s="23" t="s">
        <v>51</v>
      </c>
      <c r="J304" s="23" t="s">
        <v>57</v>
      </c>
      <c r="K304" s="1" t="s">
        <v>57</v>
      </c>
      <c r="L304" s="1" t="s">
        <v>71</v>
      </c>
      <c r="M304" s="1" t="s">
        <v>71</v>
      </c>
      <c r="N304" s="24">
        <v>45082</v>
      </c>
      <c r="O304" s="24">
        <v>45089</v>
      </c>
      <c r="P304" s="1" t="s">
        <v>71</v>
      </c>
      <c r="Q304" s="1" t="s">
        <v>71</v>
      </c>
      <c r="R304" s="1" t="s">
        <v>71</v>
      </c>
      <c r="S304" s="1" t="s">
        <v>71</v>
      </c>
      <c r="T304" s="1" t="s">
        <v>71</v>
      </c>
      <c r="U304" s="1">
        <v>86</v>
      </c>
      <c r="V304" s="1" t="s">
        <v>71</v>
      </c>
      <c r="W304" s="1" t="s">
        <v>71</v>
      </c>
      <c r="X304" s="1" t="s">
        <v>71</v>
      </c>
      <c r="Y304" s="1">
        <v>0</v>
      </c>
      <c r="Z304" s="1" t="s">
        <v>71</v>
      </c>
      <c r="AA304" s="1">
        <v>0</v>
      </c>
      <c r="AB304" s="1" t="s">
        <v>71</v>
      </c>
      <c r="AC304" s="1" t="s">
        <v>71</v>
      </c>
      <c r="AD304" s="25">
        <v>31</v>
      </c>
      <c r="AE304" s="25" t="s">
        <v>71</v>
      </c>
      <c r="AF304" s="25">
        <v>69.666666666666671</v>
      </c>
      <c r="AG304" s="25" t="s">
        <v>71</v>
      </c>
      <c r="AH304" s="1">
        <v>67</v>
      </c>
      <c r="AI304" s="1" t="s">
        <v>71</v>
      </c>
      <c r="AJ304" s="1">
        <v>3.7</v>
      </c>
      <c r="AK304" s="1">
        <v>0</v>
      </c>
      <c r="AL304" s="1">
        <v>0</v>
      </c>
      <c r="AM304" s="1">
        <v>0</v>
      </c>
      <c r="AN304" s="1">
        <v>2.5000000000000001E-2</v>
      </c>
      <c r="AO304" s="1">
        <v>1.4999999999999999E-2</v>
      </c>
      <c r="AP304" s="1">
        <v>3.7500000000000001E-4</v>
      </c>
      <c r="AQ304" s="1">
        <v>17</v>
      </c>
      <c r="AR304" s="1">
        <v>5.0000000000000001E-3</v>
      </c>
      <c r="AS304" s="1">
        <v>5</v>
      </c>
      <c r="AT304" s="1">
        <v>2.5000000000000001E-2</v>
      </c>
      <c r="AU304" s="1" t="s">
        <v>71</v>
      </c>
      <c r="AV304" s="1" t="s">
        <v>71</v>
      </c>
      <c r="AW304" s="1" t="s">
        <v>71</v>
      </c>
      <c r="AX304" s="1">
        <v>0</v>
      </c>
      <c r="AY304" s="1">
        <v>0</v>
      </c>
      <c r="AZ304" s="1" t="s">
        <v>71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 t="s">
        <v>71</v>
      </c>
      <c r="BI304" s="1" t="s">
        <v>71</v>
      </c>
      <c r="BJ304" s="1" t="s">
        <v>71</v>
      </c>
      <c r="BK304" s="1">
        <v>5.0000000000000001E-4</v>
      </c>
      <c r="BL304" s="1">
        <f t="shared" si="88"/>
        <v>0.05</v>
      </c>
      <c r="BM304" s="1">
        <v>0.05</v>
      </c>
      <c r="BN304" s="1">
        <v>0.01</v>
      </c>
      <c r="BO304" s="1">
        <v>2</v>
      </c>
      <c r="BP304" s="1">
        <v>10</v>
      </c>
      <c r="BQ304" s="1" t="s">
        <v>71</v>
      </c>
      <c r="BR304" s="1" t="s">
        <v>71</v>
      </c>
      <c r="BS304" s="1" t="s">
        <v>71</v>
      </c>
      <c r="BT304" s="1" t="s">
        <v>71</v>
      </c>
      <c r="BU304" s="1" t="s">
        <v>71</v>
      </c>
      <c r="BV304" s="1" t="s">
        <v>71</v>
      </c>
      <c r="BW304" s="1" t="s">
        <v>71</v>
      </c>
      <c r="BX304" s="1" t="s">
        <v>71</v>
      </c>
      <c r="BY304" s="1" t="s">
        <v>71</v>
      </c>
      <c r="BZ304" s="3">
        <v>2.9</v>
      </c>
      <c r="CA304" s="3" t="s">
        <v>71</v>
      </c>
      <c r="CB304" s="3">
        <f t="shared" si="89"/>
        <v>4.0277777777777777</v>
      </c>
      <c r="CC304" s="1" t="s">
        <v>71</v>
      </c>
      <c r="CD304" s="1">
        <v>1</v>
      </c>
      <c r="CE304" s="1">
        <v>1</v>
      </c>
      <c r="CF304" s="1">
        <f t="shared" ref="CF304:CF317" si="104">CE304</f>
        <v>1</v>
      </c>
      <c r="CG304" s="3" t="s">
        <v>71</v>
      </c>
      <c r="CH304" s="3" t="s">
        <v>71</v>
      </c>
      <c r="CI304" s="3" t="s">
        <v>71</v>
      </c>
      <c r="CJ304" s="3" t="s">
        <v>71</v>
      </c>
      <c r="CK304" s="3" t="s">
        <v>71</v>
      </c>
      <c r="CL304" s="3" t="s">
        <v>71</v>
      </c>
      <c r="CM304" s="3" t="s">
        <v>71</v>
      </c>
      <c r="CN304" s="3" t="s">
        <v>71</v>
      </c>
      <c r="CO304" s="5">
        <v>48</v>
      </c>
      <c r="CP304" s="5" t="s">
        <v>71</v>
      </c>
      <c r="CQ304" s="1">
        <v>32</v>
      </c>
      <c r="CR304" s="1" t="s">
        <v>71</v>
      </c>
      <c r="CS304" s="5" t="s">
        <v>71</v>
      </c>
      <c r="CT304" s="1">
        <v>8.6999999999999993</v>
      </c>
      <c r="CU304" s="1" t="s">
        <v>71</v>
      </c>
      <c r="CV304" s="1" t="s">
        <v>71</v>
      </c>
      <c r="CW304" s="1" t="s">
        <v>71</v>
      </c>
      <c r="CX304" s="1" t="s">
        <v>71</v>
      </c>
      <c r="CY304" s="1">
        <v>7.5</v>
      </c>
      <c r="CZ304" s="1" t="s">
        <v>71</v>
      </c>
      <c r="DA304">
        <f t="shared" si="103"/>
        <v>302</v>
      </c>
      <c r="DB304" s="1" t="s">
        <v>71</v>
      </c>
      <c r="DC304" s="26">
        <v>7.5</v>
      </c>
      <c r="DD304">
        <f>SUM(CZ304,DA304)</f>
        <v>302</v>
      </c>
      <c r="DE304" s="1" t="s">
        <v>71</v>
      </c>
      <c r="DF304" s="1" t="s">
        <v>71</v>
      </c>
    </row>
    <row r="305" spans="1:110" ht="15" x14ac:dyDescent="0.15">
      <c r="A305" s="23">
        <v>2023</v>
      </c>
      <c r="B305" s="23" t="s">
        <v>49</v>
      </c>
      <c r="C305" s="23">
        <v>16</v>
      </c>
      <c r="D305" s="23">
        <v>3</v>
      </c>
      <c r="E305" s="23" t="s">
        <v>52</v>
      </c>
      <c r="F305" s="23"/>
      <c r="G305" s="23" t="s">
        <v>56</v>
      </c>
      <c r="H305" s="23">
        <v>4</v>
      </c>
      <c r="I305" s="23" t="s">
        <v>52</v>
      </c>
      <c r="J305" s="23" t="s">
        <v>57</v>
      </c>
      <c r="K305" s="1" t="s">
        <v>57</v>
      </c>
      <c r="L305" s="1" t="s">
        <v>71</v>
      </c>
      <c r="M305" s="1" t="s">
        <v>71</v>
      </c>
      <c r="N305" s="24">
        <v>45081</v>
      </c>
      <c r="O305" s="24">
        <v>45090</v>
      </c>
      <c r="P305" s="1" t="s">
        <v>71</v>
      </c>
      <c r="Q305" s="1" t="s">
        <v>71</v>
      </c>
      <c r="R305" s="1" t="s">
        <v>71</v>
      </c>
      <c r="S305" s="1" t="s">
        <v>71</v>
      </c>
      <c r="T305" s="1" t="s">
        <v>71</v>
      </c>
      <c r="U305" s="1">
        <v>85</v>
      </c>
      <c r="V305" s="1" t="s">
        <v>71</v>
      </c>
      <c r="W305" s="1" t="s">
        <v>71</v>
      </c>
      <c r="X305" s="1" t="s">
        <v>71</v>
      </c>
      <c r="Y305" s="1">
        <v>0</v>
      </c>
      <c r="Z305" s="1" t="s">
        <v>71</v>
      </c>
      <c r="AA305" s="1">
        <v>0</v>
      </c>
      <c r="AB305" s="1" t="s">
        <v>71</v>
      </c>
      <c r="AC305" s="1" t="s">
        <v>71</v>
      </c>
      <c r="AD305" s="25">
        <v>28</v>
      </c>
      <c r="AE305" s="25" t="s">
        <v>71</v>
      </c>
      <c r="AF305" s="25">
        <v>54</v>
      </c>
      <c r="AG305" s="25" t="s">
        <v>71</v>
      </c>
      <c r="AH305" s="1">
        <v>53</v>
      </c>
      <c r="AI305" s="1" t="s">
        <v>71</v>
      </c>
      <c r="AJ305" s="1">
        <v>3</v>
      </c>
      <c r="AK305" s="1">
        <v>0</v>
      </c>
      <c r="AL305" s="1">
        <v>0</v>
      </c>
      <c r="AM305" s="1">
        <v>0</v>
      </c>
      <c r="AN305" s="1">
        <v>0.01</v>
      </c>
      <c r="AO305" s="1">
        <v>0.01</v>
      </c>
      <c r="AP305" s="1">
        <v>1E-4</v>
      </c>
      <c r="AQ305" s="1">
        <v>12</v>
      </c>
      <c r="AR305" s="1">
        <v>0.02</v>
      </c>
      <c r="AS305" s="1">
        <v>10</v>
      </c>
      <c r="AT305" s="1">
        <v>0.2</v>
      </c>
      <c r="AU305" s="1" t="s">
        <v>71</v>
      </c>
      <c r="AV305" s="1" t="s">
        <v>71</v>
      </c>
      <c r="AW305" s="1" t="s">
        <v>71</v>
      </c>
      <c r="AX305" s="1">
        <v>0</v>
      </c>
      <c r="AY305" s="1">
        <v>0</v>
      </c>
      <c r="AZ305" s="1" t="s">
        <v>71</v>
      </c>
      <c r="BA305" s="1">
        <v>5.0000000000000001E-3</v>
      </c>
      <c r="BB305" s="1">
        <v>5.0000000000000002E-5</v>
      </c>
      <c r="BC305" s="1">
        <v>2.4999999999999999E-7</v>
      </c>
      <c r="BD305" s="1">
        <v>0</v>
      </c>
      <c r="BE305" s="1">
        <v>0</v>
      </c>
      <c r="BF305" s="1">
        <v>0</v>
      </c>
      <c r="BG305" s="1">
        <v>0</v>
      </c>
      <c r="BH305" s="1" t="s">
        <v>71</v>
      </c>
      <c r="BI305" s="1" t="s">
        <v>71</v>
      </c>
      <c r="BJ305" s="1" t="s">
        <v>71</v>
      </c>
      <c r="BK305" s="1">
        <v>2.9999999999999997E-4</v>
      </c>
      <c r="BL305" s="1">
        <f t="shared" si="88"/>
        <v>0.03</v>
      </c>
      <c r="BM305" s="1">
        <v>0.03</v>
      </c>
      <c r="BN305" s="1">
        <v>0.01</v>
      </c>
      <c r="BO305" s="1">
        <v>3</v>
      </c>
      <c r="BP305" s="1">
        <v>0</v>
      </c>
      <c r="BQ305" s="1" t="s">
        <v>71</v>
      </c>
      <c r="BR305" s="1" t="s">
        <v>71</v>
      </c>
      <c r="BS305" s="1" t="s">
        <v>71</v>
      </c>
      <c r="BT305" s="1" t="s">
        <v>71</v>
      </c>
      <c r="BU305" s="1" t="s">
        <v>71</v>
      </c>
      <c r="BV305" s="1" t="s">
        <v>71</v>
      </c>
      <c r="BW305" s="1" t="s">
        <v>71</v>
      </c>
      <c r="BX305" s="1" t="s">
        <v>71</v>
      </c>
      <c r="BY305" s="1" t="s">
        <v>71</v>
      </c>
      <c r="BZ305" s="3">
        <v>2.5</v>
      </c>
      <c r="CA305" s="3" t="s">
        <v>71</v>
      </c>
      <c r="CB305" s="3">
        <f t="shared" si="89"/>
        <v>3.4722222222222228</v>
      </c>
      <c r="CC305" s="1" t="s">
        <v>71</v>
      </c>
      <c r="CD305" s="1">
        <v>1</v>
      </c>
      <c r="CE305" s="1">
        <v>1</v>
      </c>
      <c r="CF305" s="1">
        <f t="shared" si="104"/>
        <v>1</v>
      </c>
      <c r="CG305" s="3" t="s">
        <v>71</v>
      </c>
      <c r="CH305" s="3" t="s">
        <v>71</v>
      </c>
      <c r="CI305" s="3" t="s">
        <v>71</v>
      </c>
      <c r="CJ305" s="3" t="s">
        <v>71</v>
      </c>
      <c r="CK305" s="3" t="s">
        <v>71</v>
      </c>
      <c r="CL305" s="3" t="s">
        <v>71</v>
      </c>
      <c r="CM305" s="3" t="s">
        <v>71</v>
      </c>
      <c r="CN305" s="3" t="s">
        <v>71</v>
      </c>
      <c r="CO305" s="5">
        <v>47</v>
      </c>
      <c r="CP305" s="5" t="s">
        <v>71</v>
      </c>
      <c r="CQ305" s="1">
        <v>33</v>
      </c>
      <c r="CR305" s="1" t="s">
        <v>71</v>
      </c>
      <c r="CS305" s="5" t="s">
        <v>71</v>
      </c>
      <c r="CT305" s="1">
        <v>9.1999999999999993</v>
      </c>
      <c r="CU305" s="1" t="s">
        <v>71</v>
      </c>
      <c r="CV305" s="1" t="s">
        <v>71</v>
      </c>
      <c r="CW305" s="1" t="s">
        <v>71</v>
      </c>
      <c r="CX305" s="1" t="s">
        <v>71</v>
      </c>
      <c r="CY305" s="1">
        <v>8.6</v>
      </c>
      <c r="CZ305" s="1" t="s">
        <v>71</v>
      </c>
      <c r="DA305">
        <f t="shared" si="103"/>
        <v>299</v>
      </c>
      <c r="DB305" s="1" t="s">
        <v>71</v>
      </c>
      <c r="DC305" s="26">
        <v>8.6</v>
      </c>
      <c r="DD305">
        <f t="shared" si="90"/>
        <v>299</v>
      </c>
      <c r="DE305" s="1" t="s">
        <v>71</v>
      </c>
      <c r="DF305" s="1" t="s">
        <v>71</v>
      </c>
    </row>
    <row r="306" spans="1:110" ht="15" x14ac:dyDescent="0.15">
      <c r="A306" s="23">
        <v>2023</v>
      </c>
      <c r="B306" s="23" t="s">
        <v>49</v>
      </c>
      <c r="C306" s="23">
        <v>16</v>
      </c>
      <c r="D306" s="23">
        <v>4</v>
      </c>
      <c r="E306" s="23" t="s">
        <v>50</v>
      </c>
      <c r="F306" s="23"/>
      <c r="G306" s="23" t="s">
        <v>56</v>
      </c>
      <c r="H306" s="23">
        <v>4</v>
      </c>
      <c r="I306" s="23" t="s">
        <v>50</v>
      </c>
      <c r="J306" s="23" t="s">
        <v>58</v>
      </c>
      <c r="K306" s="24">
        <v>45084</v>
      </c>
      <c r="L306" s="1" t="s">
        <v>71</v>
      </c>
      <c r="M306" s="1" t="s">
        <v>71</v>
      </c>
      <c r="N306" s="24">
        <v>45077</v>
      </c>
      <c r="O306" s="24">
        <v>45084</v>
      </c>
      <c r="P306" s="1" t="s">
        <v>71</v>
      </c>
      <c r="Q306" s="1" t="s">
        <v>71</v>
      </c>
      <c r="R306" s="1" t="s">
        <v>71</v>
      </c>
      <c r="S306" s="1" t="s">
        <v>71</v>
      </c>
      <c r="T306" s="1" t="s">
        <v>71</v>
      </c>
      <c r="U306" s="1">
        <v>87</v>
      </c>
      <c r="V306" s="1" t="s">
        <v>71</v>
      </c>
      <c r="W306" s="1" t="s">
        <v>71</v>
      </c>
      <c r="X306" s="1" t="s">
        <v>71</v>
      </c>
      <c r="Y306" s="1">
        <v>0</v>
      </c>
      <c r="Z306" s="1" t="s">
        <v>71</v>
      </c>
      <c r="AA306" s="1">
        <v>0</v>
      </c>
      <c r="AB306" s="1" t="s">
        <v>71</v>
      </c>
      <c r="AC306" s="1" t="s">
        <v>71</v>
      </c>
      <c r="AD306" s="25">
        <v>52</v>
      </c>
      <c r="AE306" s="25" t="s">
        <v>71</v>
      </c>
      <c r="AF306" s="25">
        <v>100.66666666666667</v>
      </c>
      <c r="AG306" s="25" t="s">
        <v>71</v>
      </c>
      <c r="AH306" s="1">
        <v>106</v>
      </c>
      <c r="AI306" s="1" t="s">
        <v>71</v>
      </c>
      <c r="AJ306" s="1">
        <v>3.3</v>
      </c>
      <c r="AK306" s="1">
        <v>0</v>
      </c>
      <c r="AL306" s="1">
        <v>0</v>
      </c>
      <c r="AM306" s="1">
        <v>0</v>
      </c>
      <c r="AN306" s="1">
        <v>7.0000000000000007E-2</v>
      </c>
      <c r="AO306" s="1">
        <v>0.03</v>
      </c>
      <c r="AP306" s="1">
        <v>2.1000000000000003E-3</v>
      </c>
      <c r="AQ306" s="1">
        <v>23</v>
      </c>
      <c r="AR306" s="1">
        <v>0.01</v>
      </c>
      <c r="AS306" s="1">
        <v>10</v>
      </c>
      <c r="AT306" s="1">
        <v>0.1</v>
      </c>
      <c r="AU306" s="1" t="s">
        <v>71</v>
      </c>
      <c r="AV306" s="1" t="s">
        <v>71</v>
      </c>
      <c r="AW306" s="1" t="s">
        <v>71</v>
      </c>
      <c r="AX306" s="1">
        <v>0</v>
      </c>
      <c r="AY306" s="1">
        <v>0</v>
      </c>
      <c r="AZ306" s="1" t="s">
        <v>71</v>
      </c>
      <c r="BA306" s="1">
        <v>5.0000000000000001E-3</v>
      </c>
      <c r="BB306" s="1">
        <v>5.0000000000000002E-5</v>
      </c>
      <c r="BC306" s="1">
        <v>2.4999999999999999E-7</v>
      </c>
      <c r="BD306" s="1">
        <v>0</v>
      </c>
      <c r="BE306" s="1">
        <v>0</v>
      </c>
      <c r="BF306" s="1">
        <v>0</v>
      </c>
      <c r="BG306" s="1">
        <v>0</v>
      </c>
      <c r="BH306" s="1" t="s">
        <v>71</v>
      </c>
      <c r="BI306" s="1" t="s">
        <v>71</v>
      </c>
      <c r="BJ306" s="1" t="s">
        <v>71</v>
      </c>
      <c r="BK306" s="1">
        <v>2.9999999999999997E-4</v>
      </c>
      <c r="BL306" s="1">
        <f t="shared" si="88"/>
        <v>0.03</v>
      </c>
      <c r="BM306" s="1">
        <v>0.03</v>
      </c>
      <c r="BN306" s="1">
        <v>0.01</v>
      </c>
      <c r="BO306" s="1">
        <v>1</v>
      </c>
      <c r="BP306" s="1">
        <v>0</v>
      </c>
      <c r="BQ306" s="1" t="s">
        <v>71</v>
      </c>
      <c r="BR306" s="1" t="s">
        <v>71</v>
      </c>
      <c r="BS306" s="1" t="s">
        <v>71</v>
      </c>
      <c r="BT306" s="1" t="s">
        <v>71</v>
      </c>
      <c r="BU306" s="1" t="s">
        <v>71</v>
      </c>
      <c r="BV306" s="1" t="s">
        <v>71</v>
      </c>
      <c r="BW306" s="1" t="s">
        <v>71</v>
      </c>
      <c r="BX306" s="1" t="s">
        <v>71</v>
      </c>
      <c r="BY306" s="1" t="s">
        <v>71</v>
      </c>
      <c r="BZ306" s="3">
        <v>4.5999999999999996</v>
      </c>
      <c r="CA306" s="3" t="s">
        <v>71</v>
      </c>
      <c r="CB306" s="3">
        <f t="shared" si="89"/>
        <v>6.3888888888888893</v>
      </c>
      <c r="CC306" s="1" t="s">
        <v>71</v>
      </c>
      <c r="CD306" s="1">
        <v>1</v>
      </c>
      <c r="CE306" s="1">
        <v>1</v>
      </c>
      <c r="CF306" s="1">
        <f t="shared" si="104"/>
        <v>1</v>
      </c>
      <c r="CG306" s="3" t="s">
        <v>71</v>
      </c>
      <c r="CH306" s="3" t="s">
        <v>71</v>
      </c>
      <c r="CI306" s="3" t="s">
        <v>71</v>
      </c>
      <c r="CJ306" s="3" t="s">
        <v>71</v>
      </c>
      <c r="CK306" s="3" t="s">
        <v>71</v>
      </c>
      <c r="CL306" s="3" t="s">
        <v>71</v>
      </c>
      <c r="CM306" s="3" t="s">
        <v>71</v>
      </c>
      <c r="CN306" s="3" t="s">
        <v>71</v>
      </c>
      <c r="CO306" s="5">
        <v>50</v>
      </c>
      <c r="CP306" s="5" t="s">
        <v>71</v>
      </c>
      <c r="CQ306" s="1">
        <v>37</v>
      </c>
      <c r="CR306" s="1" t="s">
        <v>71</v>
      </c>
      <c r="CS306" s="5" t="s">
        <v>71</v>
      </c>
      <c r="CT306" s="1">
        <v>9.5</v>
      </c>
      <c r="CU306" s="1" t="s">
        <v>71</v>
      </c>
      <c r="CV306" s="1" t="s">
        <v>71</v>
      </c>
      <c r="CW306" s="1" t="s">
        <v>71</v>
      </c>
      <c r="CX306" s="1" t="s">
        <v>71</v>
      </c>
      <c r="CY306" s="1">
        <v>9.3000000000000007</v>
      </c>
      <c r="CZ306" s="1" t="s">
        <v>71</v>
      </c>
      <c r="DA306">
        <f t="shared" si="103"/>
        <v>594</v>
      </c>
      <c r="DB306" s="1" t="s">
        <v>71</v>
      </c>
      <c r="DC306" s="26">
        <v>9.3000000000000007</v>
      </c>
      <c r="DD306">
        <f t="shared" si="90"/>
        <v>594</v>
      </c>
      <c r="DE306" s="1" t="s">
        <v>71</v>
      </c>
      <c r="DF306" s="1" t="s">
        <v>71</v>
      </c>
    </row>
    <row r="307" spans="1:110" ht="15" x14ac:dyDescent="0.15">
      <c r="A307" s="23">
        <v>2023</v>
      </c>
      <c r="B307" s="23" t="s">
        <v>49</v>
      </c>
      <c r="C307" s="23">
        <v>16</v>
      </c>
      <c r="D307" s="23">
        <v>5</v>
      </c>
      <c r="E307" s="23" t="s">
        <v>51</v>
      </c>
      <c r="F307" s="23"/>
      <c r="G307" s="23" t="s">
        <v>56</v>
      </c>
      <c r="H307" s="23">
        <v>4</v>
      </c>
      <c r="I307" s="23" t="s">
        <v>51</v>
      </c>
      <c r="J307" s="23" t="s">
        <v>58</v>
      </c>
      <c r="K307" s="24">
        <v>45087</v>
      </c>
      <c r="L307" s="1" t="s">
        <v>71</v>
      </c>
      <c r="M307" s="1" t="s">
        <v>71</v>
      </c>
      <c r="N307" s="24">
        <v>45082</v>
      </c>
      <c r="O307" s="24">
        <v>45089</v>
      </c>
      <c r="P307" s="1" t="s">
        <v>71</v>
      </c>
      <c r="Q307" s="1" t="s">
        <v>71</v>
      </c>
      <c r="R307" s="1" t="s">
        <v>71</v>
      </c>
      <c r="S307" s="1" t="s">
        <v>71</v>
      </c>
      <c r="T307" s="1" t="s">
        <v>71</v>
      </c>
      <c r="U307" s="1">
        <v>85</v>
      </c>
      <c r="V307" s="1" t="s">
        <v>71</v>
      </c>
      <c r="W307" s="1" t="s">
        <v>71</v>
      </c>
      <c r="X307" s="1" t="s">
        <v>71</v>
      </c>
      <c r="Y307" s="1">
        <v>0</v>
      </c>
      <c r="Z307" s="1" t="s">
        <v>71</v>
      </c>
      <c r="AA307" s="1">
        <v>0</v>
      </c>
      <c r="AB307" s="1" t="s">
        <v>71</v>
      </c>
      <c r="AC307" s="1" t="s">
        <v>71</v>
      </c>
      <c r="AD307" s="25">
        <v>43</v>
      </c>
      <c r="AE307" s="25" t="s">
        <v>71</v>
      </c>
      <c r="AF307" s="25">
        <v>120.33333333333333</v>
      </c>
      <c r="AG307" s="25" t="s">
        <v>71</v>
      </c>
      <c r="AH307" s="1">
        <v>104</v>
      </c>
      <c r="AI307" s="1" t="s">
        <v>71</v>
      </c>
      <c r="AJ307" s="1">
        <v>3.3</v>
      </c>
      <c r="AK307" s="1">
        <v>0</v>
      </c>
      <c r="AL307" s="1">
        <v>0</v>
      </c>
      <c r="AM307" s="1">
        <v>0</v>
      </c>
      <c r="AN307" s="1">
        <v>0.05</v>
      </c>
      <c r="AO307" s="1">
        <v>0.03</v>
      </c>
      <c r="AP307" s="1">
        <v>1.5E-3</v>
      </c>
      <c r="AQ307" s="1">
        <v>9</v>
      </c>
      <c r="AR307" s="1">
        <v>0.03</v>
      </c>
      <c r="AS307" s="1">
        <v>10</v>
      </c>
      <c r="AT307" s="1">
        <v>0.3</v>
      </c>
      <c r="AU307" s="1" t="s">
        <v>71</v>
      </c>
      <c r="AV307" s="1" t="s">
        <v>71</v>
      </c>
      <c r="AW307" s="1" t="s">
        <v>71</v>
      </c>
      <c r="AX307" s="1">
        <v>0</v>
      </c>
      <c r="AY307" s="1">
        <v>0</v>
      </c>
      <c r="AZ307" s="1" t="s">
        <v>71</v>
      </c>
      <c r="BA307" s="1">
        <v>5.0000000000000001E-3</v>
      </c>
      <c r="BB307" s="1">
        <v>5.0000000000000002E-5</v>
      </c>
      <c r="BC307" s="1">
        <v>2.4999999999999999E-7</v>
      </c>
      <c r="BD307" s="1">
        <v>0.01</v>
      </c>
      <c r="BE307" s="1">
        <v>5.0000000000000001E-3</v>
      </c>
      <c r="BF307" s="1">
        <v>5.0000000000000002E-5</v>
      </c>
      <c r="BG307" s="1">
        <v>0</v>
      </c>
      <c r="BH307" s="1" t="s">
        <v>71</v>
      </c>
      <c r="BI307" s="1" t="s">
        <v>71</v>
      </c>
      <c r="BJ307" s="1" t="s">
        <v>71</v>
      </c>
      <c r="BK307" s="1">
        <v>8.0000000000000007E-5</v>
      </c>
      <c r="BL307" s="1">
        <f t="shared" si="88"/>
        <v>8.0000000000000002E-3</v>
      </c>
      <c r="BM307" s="1">
        <v>0.1</v>
      </c>
      <c r="BN307" s="1">
        <v>8.0000000000000004E-4</v>
      </c>
      <c r="BO307" s="1">
        <v>1</v>
      </c>
      <c r="BP307" s="1">
        <v>10</v>
      </c>
      <c r="BQ307" s="1" t="s">
        <v>71</v>
      </c>
      <c r="BR307" s="1" t="s">
        <v>71</v>
      </c>
      <c r="BS307" s="1" t="s">
        <v>71</v>
      </c>
      <c r="BT307" s="1" t="s">
        <v>71</v>
      </c>
      <c r="BU307" s="1" t="s">
        <v>71</v>
      </c>
      <c r="BV307" s="1" t="s">
        <v>71</v>
      </c>
      <c r="BW307" s="1" t="s">
        <v>71</v>
      </c>
      <c r="BX307" s="1" t="s">
        <v>71</v>
      </c>
      <c r="BY307" s="1" t="s">
        <v>71</v>
      </c>
      <c r="BZ307" s="3">
        <v>4.0999999999999996</v>
      </c>
      <c r="CA307" s="3" t="s">
        <v>71</v>
      </c>
      <c r="CB307" s="3">
        <f t="shared" si="89"/>
        <v>5.6944444444444446</v>
      </c>
      <c r="CC307" s="1" t="s">
        <v>71</v>
      </c>
      <c r="CD307" s="1">
        <v>1</v>
      </c>
      <c r="CE307" s="1">
        <v>1</v>
      </c>
      <c r="CF307" s="1">
        <f t="shared" si="104"/>
        <v>1</v>
      </c>
      <c r="CG307" s="3" t="s">
        <v>71</v>
      </c>
      <c r="CH307" s="3" t="s">
        <v>71</v>
      </c>
      <c r="CI307" s="3" t="s">
        <v>71</v>
      </c>
      <c r="CJ307" s="3" t="s">
        <v>71</v>
      </c>
      <c r="CK307" s="3" t="s">
        <v>71</v>
      </c>
      <c r="CL307" s="3" t="s">
        <v>71</v>
      </c>
      <c r="CM307" s="3" t="s">
        <v>71</v>
      </c>
      <c r="CN307" s="3" t="s">
        <v>71</v>
      </c>
      <c r="CO307" s="5">
        <v>50</v>
      </c>
      <c r="CP307" s="5">
        <v>75</v>
      </c>
      <c r="CQ307" s="1">
        <v>29</v>
      </c>
      <c r="CR307" s="1" t="s">
        <v>71</v>
      </c>
      <c r="CS307" s="5" t="s">
        <v>71</v>
      </c>
      <c r="CT307" s="1">
        <v>8.4</v>
      </c>
      <c r="CU307" s="1">
        <v>5.7</v>
      </c>
      <c r="CV307" s="1" t="s">
        <v>71</v>
      </c>
      <c r="CW307" s="1" t="s">
        <v>71</v>
      </c>
      <c r="CX307" s="1" t="s">
        <v>71</v>
      </c>
      <c r="CY307" s="1">
        <v>8.1999999999999993</v>
      </c>
      <c r="CZ307" s="1" t="s">
        <v>71</v>
      </c>
      <c r="DA307">
        <f t="shared" si="103"/>
        <v>467</v>
      </c>
      <c r="DB307" s="1" t="s">
        <v>71</v>
      </c>
      <c r="DC307" s="26">
        <v>8.1999999999999993</v>
      </c>
      <c r="DD307">
        <f t="shared" si="90"/>
        <v>467</v>
      </c>
      <c r="DE307" s="1" t="s">
        <v>71</v>
      </c>
      <c r="DF307" s="1" t="s">
        <v>71</v>
      </c>
    </row>
    <row r="308" spans="1:110" ht="15" x14ac:dyDescent="0.15">
      <c r="A308" s="23">
        <v>2023</v>
      </c>
      <c r="B308" s="23" t="s">
        <v>49</v>
      </c>
      <c r="C308" s="23">
        <v>16</v>
      </c>
      <c r="D308" s="23">
        <v>6</v>
      </c>
      <c r="E308" s="23" t="s">
        <v>52</v>
      </c>
      <c r="F308" s="23"/>
      <c r="G308" s="23" t="s">
        <v>56</v>
      </c>
      <c r="H308" s="23">
        <v>4</v>
      </c>
      <c r="I308" s="23" t="s">
        <v>52</v>
      </c>
      <c r="J308" s="23" t="s">
        <v>58</v>
      </c>
      <c r="K308" s="24">
        <v>45103</v>
      </c>
      <c r="L308" s="1" t="s">
        <v>71</v>
      </c>
      <c r="M308" s="1" t="s">
        <v>71</v>
      </c>
      <c r="N308" s="24">
        <v>45082</v>
      </c>
      <c r="O308" s="24">
        <v>45092</v>
      </c>
      <c r="P308" s="1" t="s">
        <v>71</v>
      </c>
      <c r="Q308" s="1" t="s">
        <v>71</v>
      </c>
      <c r="R308" s="1" t="s">
        <v>71</v>
      </c>
      <c r="S308" s="1" t="s">
        <v>71</v>
      </c>
      <c r="T308" s="1" t="s">
        <v>71</v>
      </c>
      <c r="U308" s="1">
        <v>83</v>
      </c>
      <c r="V308" s="1" t="s">
        <v>71</v>
      </c>
      <c r="W308" s="1" t="s">
        <v>71</v>
      </c>
      <c r="X308" s="1" t="s">
        <v>71</v>
      </c>
      <c r="Y308" s="1">
        <v>0</v>
      </c>
      <c r="Z308" s="1" t="s">
        <v>71</v>
      </c>
      <c r="AA308" s="1">
        <v>0</v>
      </c>
      <c r="AB308" s="1" t="s">
        <v>71</v>
      </c>
      <c r="AC308" s="1" t="s">
        <v>71</v>
      </c>
      <c r="AD308" s="25">
        <v>37</v>
      </c>
      <c r="AE308" s="25" t="s">
        <v>71</v>
      </c>
      <c r="AF308" s="25">
        <v>77.333333333333329</v>
      </c>
      <c r="AG308" s="25" t="s">
        <v>71</v>
      </c>
      <c r="AH308" s="1">
        <v>72</v>
      </c>
      <c r="AI308" s="1" t="s">
        <v>71</v>
      </c>
      <c r="AJ308" s="1">
        <v>2.2999999999999998</v>
      </c>
      <c r="AK308" s="1">
        <v>0</v>
      </c>
      <c r="AL308" s="1">
        <v>0</v>
      </c>
      <c r="AM308" s="1">
        <v>0</v>
      </c>
      <c r="AN308" s="1">
        <v>7.0000000000000007E-2</v>
      </c>
      <c r="AO308" s="1">
        <v>0.03</v>
      </c>
      <c r="AP308" s="1">
        <v>2.1000000000000003E-3</v>
      </c>
      <c r="AQ308" s="1">
        <v>28</v>
      </c>
      <c r="AR308" s="1">
        <v>0.02</v>
      </c>
      <c r="AS308" s="1">
        <v>5</v>
      </c>
      <c r="AT308" s="1">
        <v>0.1</v>
      </c>
      <c r="AU308" s="1" t="s">
        <v>71</v>
      </c>
      <c r="AV308" s="1" t="s">
        <v>71</v>
      </c>
      <c r="AW308" s="1" t="s">
        <v>71</v>
      </c>
      <c r="AX308" s="1">
        <v>0</v>
      </c>
      <c r="AY308" s="1">
        <v>0</v>
      </c>
      <c r="AZ308" s="1" t="s">
        <v>71</v>
      </c>
      <c r="BA308" s="1">
        <v>1E-3</v>
      </c>
      <c r="BB308" s="1">
        <v>5.0000000000000002E-5</v>
      </c>
      <c r="BC308" s="1">
        <v>5.0000000000000004E-8</v>
      </c>
      <c r="BD308" s="1">
        <v>0</v>
      </c>
      <c r="BE308" s="1">
        <v>0</v>
      </c>
      <c r="BF308" s="1">
        <v>0</v>
      </c>
      <c r="BG308" s="1">
        <v>0</v>
      </c>
      <c r="BH308" s="1" t="s">
        <v>71</v>
      </c>
      <c r="BI308" s="1" t="s">
        <v>71</v>
      </c>
      <c r="BJ308" s="1" t="s">
        <v>71</v>
      </c>
      <c r="BK308" s="1">
        <v>1E-3</v>
      </c>
      <c r="BL308" s="1">
        <f t="shared" si="88"/>
        <v>0.1</v>
      </c>
      <c r="BM308" s="1">
        <v>0.05</v>
      </c>
      <c r="BN308" s="1">
        <v>0.02</v>
      </c>
      <c r="BO308" s="1">
        <v>2</v>
      </c>
      <c r="BP308" s="1">
        <v>0</v>
      </c>
      <c r="BQ308" s="1" t="s">
        <v>71</v>
      </c>
      <c r="BR308" s="1" t="s">
        <v>71</v>
      </c>
      <c r="BS308" s="1" t="s">
        <v>71</v>
      </c>
      <c r="BT308" s="1" t="s">
        <v>71</v>
      </c>
      <c r="BU308" s="1" t="s">
        <v>71</v>
      </c>
      <c r="BV308" s="1" t="s">
        <v>71</v>
      </c>
      <c r="BW308" s="1" t="s">
        <v>71</v>
      </c>
      <c r="BX308" s="1" t="s">
        <v>71</v>
      </c>
      <c r="BY308" s="1" t="s">
        <v>71</v>
      </c>
      <c r="BZ308" s="3">
        <v>3.7</v>
      </c>
      <c r="CA308" s="3" t="s">
        <v>71</v>
      </c>
      <c r="CB308" s="3">
        <f t="shared" si="89"/>
        <v>5.1388888888888893</v>
      </c>
      <c r="CC308" s="1" t="s">
        <v>71</v>
      </c>
      <c r="CD308" s="1">
        <v>1</v>
      </c>
      <c r="CE308" s="1">
        <v>1</v>
      </c>
      <c r="CF308" s="1">
        <f t="shared" si="104"/>
        <v>1</v>
      </c>
      <c r="CG308" s="3" t="s">
        <v>71</v>
      </c>
      <c r="CH308" s="3" t="s">
        <v>71</v>
      </c>
      <c r="CI308" s="3" t="s">
        <v>71</v>
      </c>
      <c r="CJ308" s="3" t="s">
        <v>71</v>
      </c>
      <c r="CK308" s="3" t="s">
        <v>71</v>
      </c>
      <c r="CL308" s="3" t="s">
        <v>71</v>
      </c>
      <c r="CM308" s="3" t="s">
        <v>71</v>
      </c>
      <c r="CN308" s="3" t="s">
        <v>71</v>
      </c>
      <c r="CO308" s="5">
        <v>45</v>
      </c>
      <c r="CP308" s="5" t="s">
        <v>71</v>
      </c>
      <c r="CQ308" s="1">
        <v>31</v>
      </c>
      <c r="CR308" s="1" t="s">
        <v>71</v>
      </c>
      <c r="CS308" s="5" t="s">
        <v>71</v>
      </c>
      <c r="CT308" s="1">
        <v>8.9</v>
      </c>
      <c r="CU308" s="1" t="s">
        <v>71</v>
      </c>
      <c r="CV308" s="1" t="s">
        <v>71</v>
      </c>
      <c r="CW308" s="1" t="s">
        <v>71</v>
      </c>
      <c r="CX308" s="1" t="s">
        <v>71</v>
      </c>
      <c r="CY308" s="1">
        <v>9</v>
      </c>
      <c r="CZ308" s="1" t="s">
        <v>71</v>
      </c>
      <c r="DA308">
        <f t="shared" si="103"/>
        <v>463</v>
      </c>
      <c r="DB308" s="1" t="s">
        <v>71</v>
      </c>
      <c r="DC308" s="26">
        <v>9</v>
      </c>
      <c r="DD308">
        <f t="shared" si="90"/>
        <v>463</v>
      </c>
      <c r="DE308" s="1" t="s">
        <v>71</v>
      </c>
      <c r="DF308" s="1" t="s">
        <v>71</v>
      </c>
    </row>
    <row r="309" spans="1:110" ht="15" x14ac:dyDescent="0.15">
      <c r="A309" s="23">
        <v>2023</v>
      </c>
      <c r="B309" s="23" t="s">
        <v>49</v>
      </c>
      <c r="C309" s="23">
        <v>16</v>
      </c>
      <c r="D309" s="23">
        <v>7</v>
      </c>
      <c r="E309" s="23"/>
      <c r="F309" s="23" t="s">
        <v>53</v>
      </c>
      <c r="G309" s="23" t="s">
        <v>56</v>
      </c>
      <c r="H309" s="23">
        <v>4</v>
      </c>
      <c r="I309" s="23" t="s">
        <v>53</v>
      </c>
      <c r="J309" s="23" t="s">
        <v>57</v>
      </c>
      <c r="K309" s="24">
        <v>45084</v>
      </c>
      <c r="L309" s="1" t="s">
        <v>71</v>
      </c>
      <c r="M309" s="1" t="s">
        <v>71</v>
      </c>
      <c r="N309" s="24" t="s">
        <v>71</v>
      </c>
      <c r="O309" s="1" t="s">
        <v>71</v>
      </c>
      <c r="P309" s="24">
        <v>45078</v>
      </c>
      <c r="Q309" s="1" t="s">
        <v>71</v>
      </c>
      <c r="R309" s="1" t="s">
        <v>71</v>
      </c>
      <c r="S309" s="1" t="s">
        <v>71</v>
      </c>
      <c r="T309" s="1" t="s">
        <v>71</v>
      </c>
      <c r="U309" s="1" t="s">
        <v>71</v>
      </c>
      <c r="V309" s="1">
        <v>85</v>
      </c>
      <c r="W309" s="1" t="s">
        <v>71</v>
      </c>
      <c r="X309" s="1">
        <v>0</v>
      </c>
      <c r="Y309" s="1" t="s">
        <v>71</v>
      </c>
      <c r="Z309" s="1">
        <v>0</v>
      </c>
      <c r="AA309" s="1" t="s">
        <v>71</v>
      </c>
      <c r="AB309" s="1" t="s">
        <v>71</v>
      </c>
      <c r="AC309" s="1" t="s">
        <v>71</v>
      </c>
      <c r="AD309" s="25" t="s">
        <v>71</v>
      </c>
      <c r="AE309" s="25">
        <v>17</v>
      </c>
      <c r="AF309" s="25" t="s">
        <v>71</v>
      </c>
      <c r="AG309" s="25">
        <v>34.333333333333336</v>
      </c>
      <c r="AH309" s="1" t="s">
        <v>71</v>
      </c>
      <c r="AI309" s="1">
        <v>33</v>
      </c>
      <c r="AJ309" s="1" t="s">
        <v>71</v>
      </c>
      <c r="AK309" s="1" t="s">
        <v>71</v>
      </c>
      <c r="AL309" s="1" t="s">
        <v>71</v>
      </c>
      <c r="AM309" s="1" t="s">
        <v>71</v>
      </c>
      <c r="AN309" s="1" t="s">
        <v>71</v>
      </c>
      <c r="AO309" s="1" t="s">
        <v>71</v>
      </c>
      <c r="AP309" s="1" t="s">
        <v>71</v>
      </c>
      <c r="AQ309" s="1" t="s">
        <v>71</v>
      </c>
      <c r="AR309" s="1" t="s">
        <v>71</v>
      </c>
      <c r="AS309" s="1" t="s">
        <v>71</v>
      </c>
      <c r="AT309" s="1" t="s">
        <v>71</v>
      </c>
      <c r="AU309" s="1">
        <v>0.02</v>
      </c>
      <c r="AV309" s="1">
        <v>1</v>
      </c>
      <c r="AW309" s="1">
        <v>0.02</v>
      </c>
      <c r="AX309" s="1" t="s">
        <v>71</v>
      </c>
      <c r="AY309" s="1" t="s">
        <v>71</v>
      </c>
      <c r="AZ309" s="1">
        <v>0</v>
      </c>
      <c r="BA309" s="1" t="s">
        <v>71</v>
      </c>
      <c r="BB309" s="1" t="s">
        <v>71</v>
      </c>
      <c r="BC309" s="1" t="s">
        <v>71</v>
      </c>
      <c r="BD309" s="1" t="s">
        <v>71</v>
      </c>
      <c r="BE309" s="1" t="s">
        <v>71</v>
      </c>
      <c r="BF309" s="1" t="s">
        <v>71</v>
      </c>
      <c r="BG309" s="1" t="s">
        <v>71</v>
      </c>
      <c r="BH309" s="1">
        <v>200</v>
      </c>
      <c r="BI309" s="1">
        <v>40</v>
      </c>
      <c r="BJ309" s="1">
        <v>20</v>
      </c>
      <c r="BK309" s="1">
        <v>0.12</v>
      </c>
      <c r="BL309" s="1">
        <f t="shared" si="88"/>
        <v>12</v>
      </c>
      <c r="BM309" s="1">
        <v>1</v>
      </c>
      <c r="BN309" s="1">
        <v>0.12</v>
      </c>
      <c r="BO309" s="1">
        <v>2</v>
      </c>
      <c r="BP309" s="1">
        <v>5</v>
      </c>
      <c r="BQ309" s="1" t="s">
        <v>71</v>
      </c>
      <c r="BR309" s="1" t="s">
        <v>71</v>
      </c>
      <c r="BS309" s="1" t="s">
        <v>71</v>
      </c>
      <c r="BT309" s="1" t="s">
        <v>71</v>
      </c>
      <c r="BU309" s="1" t="s">
        <v>71</v>
      </c>
      <c r="BV309" s="1">
        <v>3</v>
      </c>
      <c r="BW309" s="1">
        <v>0</v>
      </c>
      <c r="BX309" s="1" t="s">
        <v>71</v>
      </c>
      <c r="BY309" s="1" t="s">
        <v>71</v>
      </c>
      <c r="BZ309" s="3" t="s">
        <v>71</v>
      </c>
      <c r="CA309" s="3">
        <v>3.6</v>
      </c>
      <c r="CB309" s="1" t="s">
        <v>71</v>
      </c>
      <c r="CC309" s="3">
        <f t="shared" si="93"/>
        <v>5.0000000000000009</v>
      </c>
      <c r="CD309" s="1">
        <v>1</v>
      </c>
      <c r="CE309" s="1">
        <v>1</v>
      </c>
      <c r="CF309" s="1">
        <f t="shared" si="104"/>
        <v>1</v>
      </c>
      <c r="CG309" s="1" t="s">
        <v>71</v>
      </c>
      <c r="CH309" s="1" t="s">
        <v>71</v>
      </c>
      <c r="CI309" s="1" t="s">
        <v>71</v>
      </c>
      <c r="CJ309" s="1" t="s">
        <v>71</v>
      </c>
      <c r="CK309" s="3" t="s">
        <v>71</v>
      </c>
      <c r="CL309" s="3" t="s">
        <v>71</v>
      </c>
      <c r="CM309" s="3" t="s">
        <v>71</v>
      </c>
      <c r="CN309" s="3" t="s">
        <v>71</v>
      </c>
      <c r="CO309" s="5" t="s">
        <v>71</v>
      </c>
      <c r="CP309" s="5">
        <v>74</v>
      </c>
      <c r="CQ309" s="1" t="s">
        <v>71</v>
      </c>
      <c r="CR309" s="1">
        <v>155</v>
      </c>
      <c r="CS309" s="5">
        <v>34.9</v>
      </c>
      <c r="CT309" s="1" t="s">
        <v>71</v>
      </c>
      <c r="CU309" s="1">
        <v>6.7</v>
      </c>
      <c r="CV309" s="1" t="s">
        <v>71</v>
      </c>
      <c r="CW309" s="1" t="s">
        <v>71</v>
      </c>
      <c r="CX309" t="e">
        <f>ROUND(CV309*#REF!/10,1)</f>
        <v>#VALUE!</v>
      </c>
      <c r="CY309" s="1" t="s">
        <v>71</v>
      </c>
      <c r="CZ309">
        <f t="shared" ref="CZ309:CZ315" si="105">ROUND((10*CC309*CS309),0)</f>
        <v>1745</v>
      </c>
      <c r="DA309" s="1" t="s">
        <v>71</v>
      </c>
      <c r="DB309" s="1" t="s">
        <v>71</v>
      </c>
      <c r="DC309" s="26" t="s">
        <v>71</v>
      </c>
      <c r="DD309">
        <f t="shared" si="90"/>
        <v>1745</v>
      </c>
      <c r="DE309" s="1" t="s">
        <v>71</v>
      </c>
      <c r="DF309" s="1" t="s">
        <v>71</v>
      </c>
    </row>
    <row r="310" spans="1:110" ht="15" x14ac:dyDescent="0.15">
      <c r="A310" s="23">
        <v>2023</v>
      </c>
      <c r="B310" s="23" t="s">
        <v>49</v>
      </c>
      <c r="C310" s="23">
        <v>16</v>
      </c>
      <c r="D310" s="23">
        <v>8</v>
      </c>
      <c r="E310" s="23"/>
      <c r="F310" s="23" t="s">
        <v>54</v>
      </c>
      <c r="G310" s="23" t="s">
        <v>56</v>
      </c>
      <c r="H310" s="23">
        <v>4</v>
      </c>
      <c r="I310" s="23" t="s">
        <v>54</v>
      </c>
      <c r="J310" s="23" t="s">
        <v>57</v>
      </c>
      <c r="K310" s="1" t="s">
        <v>57</v>
      </c>
      <c r="L310" s="1" t="s">
        <v>71</v>
      </c>
      <c r="M310" s="1" t="s">
        <v>71</v>
      </c>
      <c r="N310" s="24" t="s">
        <v>71</v>
      </c>
      <c r="O310" s="1" t="s">
        <v>71</v>
      </c>
      <c r="P310" s="24">
        <v>45079</v>
      </c>
      <c r="Q310" s="1" t="s">
        <v>71</v>
      </c>
      <c r="R310" s="1" t="s">
        <v>71</v>
      </c>
      <c r="S310" s="1" t="s">
        <v>71</v>
      </c>
      <c r="T310" s="1" t="s">
        <v>71</v>
      </c>
      <c r="U310" s="1" t="s">
        <v>71</v>
      </c>
      <c r="V310" s="1">
        <v>85</v>
      </c>
      <c r="W310" s="1" t="s">
        <v>71</v>
      </c>
      <c r="X310" s="1">
        <v>0</v>
      </c>
      <c r="Y310" s="1" t="s">
        <v>71</v>
      </c>
      <c r="Z310" s="1">
        <v>0</v>
      </c>
      <c r="AA310" s="1" t="s">
        <v>71</v>
      </c>
      <c r="AB310" s="1" t="s">
        <v>71</v>
      </c>
      <c r="AC310" s="1" t="s">
        <v>71</v>
      </c>
      <c r="AD310" s="25" t="s">
        <v>71</v>
      </c>
      <c r="AE310" s="25">
        <v>13</v>
      </c>
      <c r="AF310" s="25" t="s">
        <v>71</v>
      </c>
      <c r="AG310" s="25">
        <v>30.666666666666668</v>
      </c>
      <c r="AH310" s="1" t="s">
        <v>71</v>
      </c>
      <c r="AI310" s="1">
        <v>29</v>
      </c>
      <c r="AJ310" s="1" t="s">
        <v>71</v>
      </c>
      <c r="AK310" s="1" t="s">
        <v>71</v>
      </c>
      <c r="AL310" s="1" t="s">
        <v>71</v>
      </c>
      <c r="AM310" s="1" t="s">
        <v>71</v>
      </c>
      <c r="AN310" s="1" t="s">
        <v>71</v>
      </c>
      <c r="AO310" s="1" t="s">
        <v>71</v>
      </c>
      <c r="AP310" s="1" t="s">
        <v>71</v>
      </c>
      <c r="AQ310" s="1" t="s">
        <v>71</v>
      </c>
      <c r="AR310" s="1" t="s">
        <v>71</v>
      </c>
      <c r="AS310" s="1" t="s">
        <v>71</v>
      </c>
      <c r="AT310" s="1" t="s">
        <v>71</v>
      </c>
      <c r="AU310" s="1">
        <v>0</v>
      </c>
      <c r="AV310" s="1">
        <v>0</v>
      </c>
      <c r="AW310" s="1">
        <v>0</v>
      </c>
      <c r="AX310" s="1" t="s">
        <v>71</v>
      </c>
      <c r="AY310" s="1" t="s">
        <v>71</v>
      </c>
      <c r="AZ310" s="1">
        <v>0</v>
      </c>
      <c r="BA310" s="1" t="s">
        <v>71</v>
      </c>
      <c r="BB310" s="1" t="s">
        <v>71</v>
      </c>
      <c r="BC310" s="1" t="s">
        <v>71</v>
      </c>
      <c r="BD310" s="1" t="s">
        <v>71</v>
      </c>
      <c r="BE310" s="1" t="s">
        <v>71</v>
      </c>
      <c r="BF310" s="1" t="s">
        <v>71</v>
      </c>
      <c r="BG310" s="1" t="s">
        <v>71</v>
      </c>
      <c r="BH310" s="1">
        <v>5</v>
      </c>
      <c r="BI310" s="1">
        <v>40</v>
      </c>
      <c r="BJ310" s="1">
        <v>20</v>
      </c>
      <c r="BK310" s="1">
        <v>1.9199999999999998E-2</v>
      </c>
      <c r="BL310" s="1">
        <f t="shared" si="88"/>
        <v>1.92</v>
      </c>
      <c r="BM310" s="1">
        <v>0.16</v>
      </c>
      <c r="BN310" s="1">
        <v>0.12</v>
      </c>
      <c r="BO310" s="1">
        <v>2</v>
      </c>
      <c r="BP310" s="1">
        <v>0</v>
      </c>
      <c r="BQ310" s="1" t="s">
        <v>71</v>
      </c>
      <c r="BR310" s="1" t="s">
        <v>71</v>
      </c>
      <c r="BS310" s="1" t="s">
        <v>71</v>
      </c>
      <c r="BT310" s="1" t="s">
        <v>71</v>
      </c>
      <c r="BU310" s="1" t="s">
        <v>71</v>
      </c>
      <c r="BV310" s="1">
        <v>1.7</v>
      </c>
      <c r="BW310" s="1">
        <v>0</v>
      </c>
      <c r="BX310" s="1" t="s">
        <v>71</v>
      </c>
      <c r="BY310" s="1" t="s">
        <v>71</v>
      </c>
      <c r="BZ310" s="3" t="s">
        <v>71</v>
      </c>
      <c r="CA310" s="3">
        <v>3.1</v>
      </c>
      <c r="CB310" s="1" t="s">
        <v>71</v>
      </c>
      <c r="CC310" s="3">
        <f t="shared" si="93"/>
        <v>4.3055555555555562</v>
      </c>
      <c r="CD310" s="1">
        <v>1</v>
      </c>
      <c r="CE310" s="1">
        <v>1</v>
      </c>
      <c r="CF310" s="1">
        <f t="shared" si="104"/>
        <v>1</v>
      </c>
      <c r="CG310" s="1" t="s">
        <v>71</v>
      </c>
      <c r="CH310" s="1" t="s">
        <v>71</v>
      </c>
      <c r="CI310" s="1" t="s">
        <v>71</v>
      </c>
      <c r="CJ310" s="1" t="s">
        <v>71</v>
      </c>
      <c r="CK310" s="3" t="s">
        <v>71</v>
      </c>
      <c r="CL310" s="3" t="s">
        <v>71</v>
      </c>
      <c r="CM310" s="3" t="s">
        <v>71</v>
      </c>
      <c r="CN310" s="3" t="s">
        <v>71</v>
      </c>
      <c r="CO310" s="5" t="s">
        <v>71</v>
      </c>
      <c r="CP310" s="5">
        <v>74</v>
      </c>
      <c r="CQ310" s="1" t="s">
        <v>71</v>
      </c>
      <c r="CR310" s="1">
        <v>149</v>
      </c>
      <c r="CS310" s="5">
        <v>41.1</v>
      </c>
      <c r="CT310" s="1" t="s">
        <v>71</v>
      </c>
      <c r="CU310" s="1">
        <v>5.8</v>
      </c>
      <c r="CV310" s="1" t="s">
        <v>71</v>
      </c>
      <c r="CW310" s="1" t="s">
        <v>71</v>
      </c>
      <c r="CX310" t="e">
        <f>ROUND(CV310*#REF!/10,1)</f>
        <v>#VALUE!</v>
      </c>
      <c r="CY310" s="1" t="s">
        <v>71</v>
      </c>
      <c r="CZ310">
        <f t="shared" si="105"/>
        <v>1770</v>
      </c>
      <c r="DA310" s="1" t="s">
        <v>71</v>
      </c>
      <c r="DB310" s="1" t="s">
        <v>71</v>
      </c>
      <c r="DC310" s="26" t="s">
        <v>71</v>
      </c>
      <c r="DD310">
        <f t="shared" si="90"/>
        <v>1770</v>
      </c>
      <c r="DE310" s="1" t="s">
        <v>71</v>
      </c>
      <c r="DF310" s="1" t="s">
        <v>71</v>
      </c>
    </row>
    <row r="311" spans="1:110" ht="15" x14ac:dyDescent="0.15">
      <c r="A311" s="23">
        <v>2023</v>
      </c>
      <c r="B311" s="23" t="s">
        <v>49</v>
      </c>
      <c r="C311" s="23">
        <v>16</v>
      </c>
      <c r="D311" s="23">
        <v>9</v>
      </c>
      <c r="E311" s="23"/>
      <c r="F311" s="23" t="s">
        <v>55</v>
      </c>
      <c r="G311" s="23" t="s">
        <v>56</v>
      </c>
      <c r="H311" s="23">
        <v>4</v>
      </c>
      <c r="I311" s="23" t="s">
        <v>55</v>
      </c>
      <c r="J311" s="23" t="s">
        <v>57</v>
      </c>
      <c r="K311" s="24">
        <v>45086</v>
      </c>
      <c r="L311" s="1" t="s">
        <v>71</v>
      </c>
      <c r="M311" s="1" t="s">
        <v>71</v>
      </c>
      <c r="N311" s="1" t="s">
        <v>71</v>
      </c>
      <c r="O311" s="1" t="s">
        <v>71</v>
      </c>
      <c r="P311" s="24">
        <v>45078</v>
      </c>
      <c r="Q311" s="1" t="s">
        <v>71</v>
      </c>
      <c r="R311" s="1" t="s">
        <v>71</v>
      </c>
      <c r="S311" s="1" t="s">
        <v>71</v>
      </c>
      <c r="T311" s="1" t="s">
        <v>71</v>
      </c>
      <c r="U311" s="1" t="s">
        <v>71</v>
      </c>
      <c r="V311" s="1">
        <v>86</v>
      </c>
      <c r="W311" s="1" t="s">
        <v>71</v>
      </c>
      <c r="X311" s="1">
        <v>0</v>
      </c>
      <c r="Y311" s="1" t="s">
        <v>71</v>
      </c>
      <c r="Z311" s="1">
        <v>0</v>
      </c>
      <c r="AA311" s="1" t="s">
        <v>71</v>
      </c>
      <c r="AB311" s="1" t="s">
        <v>71</v>
      </c>
      <c r="AC311" s="1" t="s">
        <v>71</v>
      </c>
      <c r="AD311" s="25" t="s">
        <v>71</v>
      </c>
      <c r="AE311" s="25">
        <v>20</v>
      </c>
      <c r="AF311" s="25" t="s">
        <v>71</v>
      </c>
      <c r="AG311" s="25">
        <v>43</v>
      </c>
      <c r="AH311" s="1" t="s">
        <v>71</v>
      </c>
      <c r="AI311" s="1">
        <v>45</v>
      </c>
      <c r="AJ311" s="1" t="s">
        <v>71</v>
      </c>
      <c r="AK311" s="1" t="s">
        <v>71</v>
      </c>
      <c r="AL311" s="1" t="s">
        <v>71</v>
      </c>
      <c r="AM311" s="1" t="s">
        <v>71</v>
      </c>
      <c r="AN311" s="1">
        <v>0</v>
      </c>
      <c r="AO311" s="1">
        <v>0</v>
      </c>
      <c r="AP311" s="1">
        <v>0</v>
      </c>
      <c r="AQ311" s="1" t="s">
        <v>71</v>
      </c>
      <c r="AR311" s="1" t="s">
        <v>71</v>
      </c>
      <c r="AS311" s="1" t="s">
        <v>71</v>
      </c>
      <c r="AT311" s="1" t="s">
        <v>71</v>
      </c>
      <c r="AU311" s="1">
        <v>0.03</v>
      </c>
      <c r="AV311" s="1">
        <v>1</v>
      </c>
      <c r="AW311" s="1">
        <v>0.03</v>
      </c>
      <c r="AX311" s="1" t="s">
        <v>71</v>
      </c>
      <c r="AY311" s="1" t="s">
        <v>71</v>
      </c>
      <c r="AZ311" s="1">
        <v>0.05</v>
      </c>
      <c r="BA311" s="1" t="s">
        <v>71</v>
      </c>
      <c r="BB311" s="1" t="s">
        <v>71</v>
      </c>
      <c r="BC311" s="1" t="s">
        <v>71</v>
      </c>
      <c r="BD311" s="1" t="s">
        <v>71</v>
      </c>
      <c r="BE311" s="1" t="s">
        <v>71</v>
      </c>
      <c r="BF311" s="1" t="s">
        <v>71</v>
      </c>
      <c r="BG311" s="1" t="s">
        <v>71</v>
      </c>
      <c r="BH311" s="1">
        <v>238</v>
      </c>
      <c r="BI311" s="1">
        <v>12</v>
      </c>
      <c r="BJ311" s="1">
        <v>5</v>
      </c>
      <c r="BK311" s="1">
        <v>0.216</v>
      </c>
      <c r="BL311" s="1">
        <f t="shared" si="88"/>
        <v>21.6</v>
      </c>
      <c r="BM311" s="1">
        <v>1.2</v>
      </c>
      <c r="BN311" s="1">
        <v>0.18</v>
      </c>
      <c r="BO311" s="1">
        <v>2</v>
      </c>
      <c r="BP311" s="1">
        <v>0</v>
      </c>
      <c r="BQ311" s="1" t="s">
        <v>71</v>
      </c>
      <c r="BR311" s="1" t="s">
        <v>71</v>
      </c>
      <c r="BS311" s="1" t="s">
        <v>71</v>
      </c>
      <c r="BT311" s="1" t="s">
        <v>71</v>
      </c>
      <c r="BU311" s="1" t="s">
        <v>71</v>
      </c>
      <c r="BV311" s="1">
        <v>3.3</v>
      </c>
      <c r="BW311" s="1">
        <v>0.3</v>
      </c>
      <c r="BX311" s="1" t="s">
        <v>71</v>
      </c>
      <c r="BY311" s="1" t="s">
        <v>71</v>
      </c>
      <c r="BZ311" s="3" t="s">
        <v>71</v>
      </c>
      <c r="CA311" s="3">
        <v>2.2000000000000002</v>
      </c>
      <c r="CB311" s="1" t="s">
        <v>71</v>
      </c>
      <c r="CC311" s="3">
        <f t="shared" si="93"/>
        <v>3.0555555555555562</v>
      </c>
      <c r="CD311" s="1">
        <v>1</v>
      </c>
      <c r="CE311" s="1">
        <v>1</v>
      </c>
      <c r="CF311" s="1">
        <f t="shared" si="104"/>
        <v>1</v>
      </c>
      <c r="CG311" s="1" t="s">
        <v>71</v>
      </c>
      <c r="CH311" s="1" t="s">
        <v>71</v>
      </c>
      <c r="CI311" s="1" t="s">
        <v>71</v>
      </c>
      <c r="CJ311" s="1" t="s">
        <v>71</v>
      </c>
      <c r="CK311" s="3" t="s">
        <v>71</v>
      </c>
      <c r="CL311" s="3" t="s">
        <v>71</v>
      </c>
      <c r="CM311" s="3" t="s">
        <v>71</v>
      </c>
      <c r="CN311" s="3" t="s">
        <v>71</v>
      </c>
      <c r="CO311" s="5" t="s">
        <v>71</v>
      </c>
      <c r="CP311" s="5">
        <v>77</v>
      </c>
      <c r="CQ311" s="1" t="s">
        <v>71</v>
      </c>
      <c r="CR311" s="1">
        <v>152</v>
      </c>
      <c r="CS311" s="5">
        <v>36.799999999999997</v>
      </c>
      <c r="CT311" s="1" t="s">
        <v>71</v>
      </c>
      <c r="CU311" s="1">
        <v>7</v>
      </c>
      <c r="CV311" s="1" t="s">
        <v>71</v>
      </c>
      <c r="CW311" s="1" t="s">
        <v>71</v>
      </c>
      <c r="CX311" t="e">
        <f>ROUND(CV311*#REF!/10,1)</f>
        <v>#VALUE!</v>
      </c>
      <c r="CY311" s="1" t="s">
        <v>71</v>
      </c>
      <c r="CZ311">
        <f t="shared" si="105"/>
        <v>1124</v>
      </c>
      <c r="DA311" s="1" t="s">
        <v>71</v>
      </c>
      <c r="DB311" s="1" t="s">
        <v>71</v>
      </c>
      <c r="DC311" s="26" t="s">
        <v>71</v>
      </c>
      <c r="DD311">
        <f t="shared" si="90"/>
        <v>1124</v>
      </c>
      <c r="DE311" s="1" t="s">
        <v>71</v>
      </c>
      <c r="DF311" s="1" t="s">
        <v>71</v>
      </c>
    </row>
    <row r="312" spans="1:110" x14ac:dyDescent="0.15">
      <c r="A312" s="23">
        <v>2023</v>
      </c>
      <c r="B312" s="23" t="s">
        <v>49</v>
      </c>
      <c r="C312" s="23">
        <v>16</v>
      </c>
      <c r="D312" s="23">
        <v>10</v>
      </c>
      <c r="E312" s="23" t="s">
        <v>50</v>
      </c>
      <c r="F312" s="23" t="s">
        <v>53</v>
      </c>
      <c r="G312" s="23" t="s">
        <v>5</v>
      </c>
      <c r="H312" s="23">
        <v>4</v>
      </c>
      <c r="I312" s="23" t="s">
        <v>60</v>
      </c>
      <c r="J312" s="23" t="s">
        <v>57</v>
      </c>
      <c r="K312" s="1" t="s">
        <v>57</v>
      </c>
      <c r="L312" s="27">
        <v>10000000000</v>
      </c>
      <c r="M312" s="27">
        <v>10000000000</v>
      </c>
      <c r="N312" s="24">
        <v>45078</v>
      </c>
      <c r="O312" s="24">
        <v>45085</v>
      </c>
      <c r="P312" s="24">
        <v>45079</v>
      </c>
      <c r="Q312" s="1">
        <f>P312-P309</f>
        <v>1</v>
      </c>
      <c r="R312" s="1">
        <f>N312-N306</f>
        <v>1</v>
      </c>
      <c r="S312" s="1">
        <f>O312-O306</f>
        <v>1</v>
      </c>
      <c r="T312" s="1">
        <f>AVERAGE(R312,S312)</f>
        <v>1</v>
      </c>
      <c r="U312" s="1">
        <v>79</v>
      </c>
      <c r="V312" s="1">
        <v>83</v>
      </c>
      <c r="W312" s="1">
        <v>-4</v>
      </c>
      <c r="X312" s="1">
        <v>0</v>
      </c>
      <c r="Y312" s="1">
        <v>0</v>
      </c>
      <c r="Z312" s="1">
        <v>0</v>
      </c>
      <c r="AA312" s="1">
        <v>0</v>
      </c>
      <c r="AB312" s="1" t="s">
        <v>71</v>
      </c>
      <c r="AC312" s="1" t="s">
        <v>71</v>
      </c>
      <c r="AD312" s="25">
        <v>35</v>
      </c>
      <c r="AE312" s="25">
        <v>21</v>
      </c>
      <c r="AF312" s="25">
        <v>104</v>
      </c>
      <c r="AG312" s="25">
        <v>48.333333333333336</v>
      </c>
      <c r="AH312" s="1">
        <v>101</v>
      </c>
      <c r="AI312" s="1">
        <v>55</v>
      </c>
      <c r="AJ312" s="1">
        <v>2.2999999999999998</v>
      </c>
      <c r="AK312" s="1">
        <v>0</v>
      </c>
      <c r="AL312" s="1">
        <v>0</v>
      </c>
      <c r="AM312" s="1">
        <v>0</v>
      </c>
      <c r="AN312" s="1">
        <v>0.04</v>
      </c>
      <c r="AO312" s="1">
        <v>0.05</v>
      </c>
      <c r="AP312" s="1">
        <v>2E-3</v>
      </c>
      <c r="AQ312" s="1">
        <v>20</v>
      </c>
      <c r="AR312" s="1">
        <v>0.1</v>
      </c>
      <c r="AS312" s="1">
        <v>15</v>
      </c>
      <c r="AT312" s="1">
        <v>1.5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0.03</v>
      </c>
      <c r="BB312" s="1">
        <v>1E-4</v>
      </c>
      <c r="BC312" s="1">
        <v>2.9999999999999997E-6</v>
      </c>
      <c r="BD312" s="1">
        <v>0</v>
      </c>
      <c r="BE312" s="1">
        <v>0</v>
      </c>
      <c r="BF312" s="1">
        <v>0</v>
      </c>
      <c r="BG312" s="1">
        <v>0</v>
      </c>
      <c r="BH312" s="1">
        <v>108</v>
      </c>
      <c r="BI312" s="1">
        <v>15</v>
      </c>
      <c r="BJ312" s="1">
        <v>10</v>
      </c>
      <c r="BK312" s="1">
        <v>2E-3</v>
      </c>
      <c r="BL312" s="1">
        <f t="shared" si="88"/>
        <v>0.2</v>
      </c>
      <c r="BM312" s="1">
        <v>0.05</v>
      </c>
      <c r="BN312" s="1">
        <v>0.04</v>
      </c>
      <c r="BO312" s="1">
        <v>2</v>
      </c>
      <c r="BP312" s="1">
        <v>0</v>
      </c>
      <c r="BQ312" s="1" t="s">
        <v>71</v>
      </c>
      <c r="BR312" s="1" t="s">
        <v>71</v>
      </c>
      <c r="BS312" s="1" t="s">
        <v>71</v>
      </c>
      <c r="BT312" s="1" t="s">
        <v>71</v>
      </c>
      <c r="BU312" s="1" t="s">
        <v>71</v>
      </c>
      <c r="BV312" s="1">
        <v>3</v>
      </c>
      <c r="BW312" s="1">
        <v>0</v>
      </c>
      <c r="BX312" s="1" t="s">
        <v>71</v>
      </c>
      <c r="BY312" s="1" t="s">
        <v>71</v>
      </c>
      <c r="BZ312" s="3">
        <v>1.7</v>
      </c>
      <c r="CA312" s="3">
        <v>1.5</v>
      </c>
      <c r="CB312" s="3">
        <f t="shared" si="89"/>
        <v>2.3611111111111112</v>
      </c>
      <c r="CC312" s="3">
        <f t="shared" si="93"/>
        <v>2.0833333333333335</v>
      </c>
      <c r="CD312" s="1">
        <f>ROUND(CB312/CB303+CC312/CC309,2)</f>
        <v>1.02</v>
      </c>
      <c r="CE312" s="1">
        <f>ROUND(CB312/CB306+CC312/CC309,2)</f>
        <v>0.79</v>
      </c>
      <c r="CF312" s="1">
        <f t="shared" si="104"/>
        <v>0.79</v>
      </c>
      <c r="CG312" s="1">
        <f>ROUND(CB312/CB303,2)</f>
        <v>0.61</v>
      </c>
      <c r="CH312" s="1">
        <f>ROUND(CB312/CB306,2)</f>
        <v>0.37</v>
      </c>
      <c r="CI312" s="1">
        <f>ROUND(CC312/CC309,2)</f>
        <v>0.42</v>
      </c>
      <c r="CJ312" s="1">
        <f>ROUND((CC312+CB312)/MAX(CC309,CB306),2)</f>
        <v>0.7</v>
      </c>
      <c r="CK312" s="1">
        <f>ROUND(LN((0.9*BZ312)/(0.1*CA312))/(BZ303/CA309),2)</f>
        <v>2.99</v>
      </c>
      <c r="CL312" s="1">
        <f>ROUND(LN((0.9*BZ312)/(0.1*CA312))/(BZ306/CA309),2)</f>
        <v>1.82</v>
      </c>
      <c r="CM312" s="1">
        <f>ROUND(LN((0.1*CA312)/(0.9*BZ312))/(CA309/BZ303),2)</f>
        <v>-1.81</v>
      </c>
      <c r="CN312" s="1">
        <f>ROUND(LN((0.1*CA312)/(0.9*BZ312))/(CA309/BZ306),2)</f>
        <v>-2.97</v>
      </c>
      <c r="CO312" s="5">
        <v>51</v>
      </c>
      <c r="CP312" s="5">
        <v>76</v>
      </c>
      <c r="CQ312" s="1">
        <v>41</v>
      </c>
      <c r="CR312" s="1">
        <v>146</v>
      </c>
      <c r="CS312" s="5">
        <v>33.200000000000003</v>
      </c>
      <c r="CT312" s="1">
        <v>8.9</v>
      </c>
      <c r="CU312" s="1">
        <v>6.9</v>
      </c>
      <c r="CV312" s="1" t="s">
        <v>71</v>
      </c>
      <c r="CW312" s="1" t="s">
        <v>71</v>
      </c>
      <c r="CX312" t="e">
        <f>ROUND(CV312*#REF!/10,1)</f>
        <v>#VALUE!</v>
      </c>
      <c r="CY312" s="1">
        <v>12.8</v>
      </c>
      <c r="CZ312">
        <f t="shared" si="105"/>
        <v>692</v>
      </c>
      <c r="DA312">
        <f>ROUND((CY312*CB312*10),0)</f>
        <v>302</v>
      </c>
      <c r="DB312">
        <f>(CZ312+DA312)/MAX(DA306,CZ309)</f>
        <v>0.56962750716332378</v>
      </c>
      <c r="DC312" s="26">
        <v>12.8</v>
      </c>
      <c r="DD312">
        <f>SUM(CZ312,DA312)</f>
        <v>994</v>
      </c>
      <c r="DE312">
        <f>ROUND(MAX((DB312-DF312), 0), 2)</f>
        <v>0.17</v>
      </c>
      <c r="DF312">
        <f>ROUND(CZ312/MAX(DA306,CZ309), 2)</f>
        <v>0.4</v>
      </c>
    </row>
    <row r="313" spans="1:110" ht="15" x14ac:dyDescent="0.15">
      <c r="A313" s="23">
        <v>2023</v>
      </c>
      <c r="B313" s="23" t="s">
        <v>49</v>
      </c>
      <c r="C313" s="23">
        <v>16</v>
      </c>
      <c r="D313" s="23">
        <v>11</v>
      </c>
      <c r="E313" s="23" t="s">
        <v>50</v>
      </c>
      <c r="F313" s="23" t="s">
        <v>54</v>
      </c>
      <c r="G313" s="23" t="s">
        <v>5</v>
      </c>
      <c r="H313" s="23">
        <v>4</v>
      </c>
      <c r="I313" s="23" t="s">
        <v>61</v>
      </c>
      <c r="J313" s="23" t="s">
        <v>57</v>
      </c>
      <c r="K313" s="24">
        <v>45103</v>
      </c>
      <c r="L313" s="1">
        <f>K313-K306</f>
        <v>19</v>
      </c>
      <c r="M313" s="27">
        <v>10000000000</v>
      </c>
      <c r="N313" s="24">
        <v>45077</v>
      </c>
      <c r="O313" s="24">
        <v>45085</v>
      </c>
      <c r="P313" s="24">
        <v>45079</v>
      </c>
      <c r="Q313" s="1">
        <f>P313-P310</f>
        <v>0</v>
      </c>
      <c r="R313" s="1">
        <f>N313-N306</f>
        <v>0</v>
      </c>
      <c r="S313" s="1">
        <f>O313-O306</f>
        <v>1</v>
      </c>
      <c r="T313" s="1">
        <f t="shared" ref="T313:T320" si="106">AVERAGE(R313,S313)</f>
        <v>0.5</v>
      </c>
      <c r="U313" s="1">
        <v>87</v>
      </c>
      <c r="V313" s="1">
        <v>87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 t="s">
        <v>71</v>
      </c>
      <c r="AC313" s="1" t="s">
        <v>71</v>
      </c>
      <c r="AD313" s="25">
        <v>38</v>
      </c>
      <c r="AE313" s="25">
        <v>17</v>
      </c>
      <c r="AF313" s="25">
        <v>108.66666666666667</v>
      </c>
      <c r="AG313" s="25">
        <v>43</v>
      </c>
      <c r="AH313" s="1">
        <v>105</v>
      </c>
      <c r="AI313" s="1">
        <v>41</v>
      </c>
      <c r="AJ313" s="1">
        <v>2</v>
      </c>
      <c r="AK313" s="1">
        <v>0</v>
      </c>
      <c r="AL313" s="1">
        <v>0</v>
      </c>
      <c r="AM313" s="1">
        <v>0</v>
      </c>
      <c r="AN313" s="1">
        <v>0.03</v>
      </c>
      <c r="AO313" s="1">
        <v>0.05</v>
      </c>
      <c r="AP313" s="1">
        <v>1.5E-3</v>
      </c>
      <c r="AQ313" s="1">
        <v>15</v>
      </c>
      <c r="AR313" s="1">
        <v>0.05</v>
      </c>
      <c r="AS313" s="1">
        <v>10</v>
      </c>
      <c r="AT313" s="1">
        <v>0.5</v>
      </c>
      <c r="AU313" s="1">
        <v>0.39</v>
      </c>
      <c r="AV313" s="1">
        <v>1</v>
      </c>
      <c r="AW313" s="1">
        <v>0.39</v>
      </c>
      <c r="AX313" s="1">
        <v>0</v>
      </c>
      <c r="AY313" s="1">
        <v>0</v>
      </c>
      <c r="AZ313" s="1">
        <v>0</v>
      </c>
      <c r="BA313" s="1">
        <v>0.05</v>
      </c>
      <c r="BB313" s="1">
        <v>1E-4</v>
      </c>
      <c r="BC313" s="1">
        <v>5.0000000000000004E-6</v>
      </c>
      <c r="BD313" s="1">
        <v>0</v>
      </c>
      <c r="BE313" s="1">
        <v>0</v>
      </c>
      <c r="BF313" s="1">
        <v>0</v>
      </c>
      <c r="BG313" s="1">
        <v>0</v>
      </c>
      <c r="BH313" s="1">
        <v>299</v>
      </c>
      <c r="BI313" s="1">
        <v>10</v>
      </c>
      <c r="BJ313" s="1">
        <v>0.2</v>
      </c>
      <c r="BK313" s="1">
        <v>2.3999999999999998E-3</v>
      </c>
      <c r="BL313" s="1">
        <f t="shared" si="88"/>
        <v>0.24</v>
      </c>
      <c r="BM313" s="1">
        <v>0.08</v>
      </c>
      <c r="BN313" s="1">
        <v>0.03</v>
      </c>
      <c r="BO313" s="1">
        <v>2</v>
      </c>
      <c r="BP313" s="1">
        <v>5</v>
      </c>
      <c r="BQ313" s="1" t="s">
        <v>71</v>
      </c>
      <c r="BR313" s="1" t="s">
        <v>71</v>
      </c>
      <c r="BS313" s="1" t="s">
        <v>71</v>
      </c>
      <c r="BT313" s="1" t="s">
        <v>71</v>
      </c>
      <c r="BU313" s="1" t="s">
        <v>71</v>
      </c>
      <c r="BV313" s="1">
        <v>3</v>
      </c>
      <c r="BW313" s="1">
        <v>0</v>
      </c>
      <c r="BX313" s="1" t="s">
        <v>71</v>
      </c>
      <c r="BY313" s="1" t="s">
        <v>71</v>
      </c>
      <c r="BZ313" s="3">
        <v>1.4</v>
      </c>
      <c r="CA313" s="3">
        <v>1.6</v>
      </c>
      <c r="CB313" s="3">
        <f t="shared" si="89"/>
        <v>1.9444444444444444</v>
      </c>
      <c r="CC313" s="3">
        <f t="shared" si="93"/>
        <v>2.2222222222222228</v>
      </c>
      <c r="CD313" s="1">
        <f>ROUND(CB313/CB303+CC313/CC310,2)</f>
        <v>1.02</v>
      </c>
      <c r="CE313" s="1">
        <f>ROUND(CB313/CB306+CC313/CC310,2)</f>
        <v>0.82</v>
      </c>
      <c r="CF313" s="1">
        <f t="shared" si="104"/>
        <v>0.82</v>
      </c>
      <c r="CG313" s="1">
        <f>ROUND(CB313/CB303,2)</f>
        <v>0.5</v>
      </c>
      <c r="CH313" s="1">
        <f>ROUND(CB313/CB306,2)</f>
        <v>0.3</v>
      </c>
      <c r="CI313" s="1">
        <f>ROUND(CC313/CC310,2)</f>
        <v>0.52</v>
      </c>
      <c r="CJ313" s="1">
        <f>ROUND((CC313+CB313)/MAX(CC310,CB306),2)</f>
        <v>0.65</v>
      </c>
      <c r="CK313" s="1">
        <f>ROUND(LN((0.9*BZ313)/(0.1*CA313))/(BZ303/CA310),2)</f>
        <v>2.2799999999999998</v>
      </c>
      <c r="CL313" s="1">
        <f>ROUND(LN((0.9*BZ313)/(0.1*CA313))/(BZ306/CA310),2)</f>
        <v>1.39</v>
      </c>
      <c r="CM313" s="1">
        <f>ROUND(LN((0.1*CA313)/(0.9*BZ313))/(CA310/BZ303),2)</f>
        <v>-1.86</v>
      </c>
      <c r="CN313" s="1">
        <f>ROUND(LN((0.1*CA313)/(0.9*BZ313))/(CA310/BZ306),2)</f>
        <v>-3.06</v>
      </c>
      <c r="CO313" s="5" t="s">
        <v>71</v>
      </c>
      <c r="CP313" s="5">
        <v>48</v>
      </c>
      <c r="CQ313" s="1">
        <v>39</v>
      </c>
      <c r="CR313" s="1">
        <v>149</v>
      </c>
      <c r="CS313" s="5">
        <v>41.8</v>
      </c>
      <c r="CT313" s="1">
        <v>8.9</v>
      </c>
      <c r="CU313" s="1">
        <v>6.1</v>
      </c>
      <c r="CV313" s="1" t="s">
        <v>71</v>
      </c>
      <c r="CW313" s="1" t="s">
        <v>71</v>
      </c>
      <c r="CX313" t="e">
        <f>ROUND(CV313*#REF!/10,1)</f>
        <v>#VALUE!</v>
      </c>
      <c r="CY313" s="1">
        <v>11.2</v>
      </c>
      <c r="CZ313">
        <f t="shared" si="105"/>
        <v>929</v>
      </c>
      <c r="DA313">
        <f>ROUND((CY313*CB313*10),0)</f>
        <v>218</v>
      </c>
      <c r="DB313">
        <f>(CZ313+DA313)/MAX(DA306,CZ310)</f>
        <v>0.64802259887005653</v>
      </c>
      <c r="DC313" s="26">
        <v>11.2</v>
      </c>
      <c r="DD313">
        <f t="shared" si="90"/>
        <v>1147</v>
      </c>
      <c r="DE313">
        <f t="shared" ref="DE313:DE320" si="107">ROUND(MAX((DB313-DF313), 0), 2)</f>
        <v>0.13</v>
      </c>
      <c r="DF313">
        <f>ROUND(CZ313/MAX(DA306,CZ310), 2)</f>
        <v>0.52</v>
      </c>
    </row>
    <row r="314" spans="1:110" x14ac:dyDescent="0.15">
      <c r="A314" s="23">
        <v>2023</v>
      </c>
      <c r="B314" s="23" t="s">
        <v>49</v>
      </c>
      <c r="C314" s="23">
        <v>16</v>
      </c>
      <c r="D314" s="23">
        <v>12</v>
      </c>
      <c r="E314" s="23" t="s">
        <v>50</v>
      </c>
      <c r="F314" s="23" t="s">
        <v>55</v>
      </c>
      <c r="G314" s="23" t="s">
        <v>5</v>
      </c>
      <c r="H314" s="23">
        <v>4</v>
      </c>
      <c r="I314" s="23" t="s">
        <v>62</v>
      </c>
      <c r="J314" s="23" t="s">
        <v>57</v>
      </c>
      <c r="K314" s="1" t="s">
        <v>57</v>
      </c>
      <c r="L314" s="27">
        <v>10000000000</v>
      </c>
      <c r="M314" s="27">
        <v>10000000000</v>
      </c>
      <c r="N314" s="24">
        <v>45077</v>
      </c>
      <c r="O314" s="24">
        <v>45085</v>
      </c>
      <c r="P314" s="24">
        <v>45078</v>
      </c>
      <c r="Q314" s="1">
        <f>P314-P311</f>
        <v>0</v>
      </c>
      <c r="R314" s="1">
        <f>N314-N306</f>
        <v>0</v>
      </c>
      <c r="S314" s="1">
        <f>O314-O306</f>
        <v>1</v>
      </c>
      <c r="T314" s="1">
        <f t="shared" si="106"/>
        <v>0.5</v>
      </c>
      <c r="U314" s="1">
        <v>85</v>
      </c>
      <c r="V314" s="1">
        <v>85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 t="s">
        <v>71</v>
      </c>
      <c r="AC314" s="1" t="s">
        <v>71</v>
      </c>
      <c r="AD314" s="25">
        <v>41</v>
      </c>
      <c r="AE314" s="25">
        <v>22</v>
      </c>
      <c r="AF314" s="25">
        <v>106.33333333333333</v>
      </c>
      <c r="AG314" s="25">
        <v>35.333333333333336</v>
      </c>
      <c r="AH314" s="1">
        <v>105</v>
      </c>
      <c r="AI314" s="1">
        <v>37</v>
      </c>
      <c r="AJ314" s="1">
        <v>3</v>
      </c>
      <c r="AK314" s="1">
        <v>0</v>
      </c>
      <c r="AL314" s="1">
        <v>0</v>
      </c>
      <c r="AM314" s="1">
        <v>0</v>
      </c>
      <c r="AN314" s="1">
        <v>0.02</v>
      </c>
      <c r="AO314" s="1">
        <v>2.5000000000000001E-2</v>
      </c>
      <c r="AP314" s="1">
        <v>5.0000000000000001E-4</v>
      </c>
      <c r="AQ314" s="1">
        <v>11</v>
      </c>
      <c r="AR314" s="1">
        <v>7.0000000000000007E-2</v>
      </c>
      <c r="AS314" s="1">
        <v>15</v>
      </c>
      <c r="AT314" s="1">
        <v>1.05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0.05</v>
      </c>
      <c r="BA314" s="1">
        <v>5.0000000000000001E-3</v>
      </c>
      <c r="BB314" s="1">
        <v>5.0000000000000002E-5</v>
      </c>
      <c r="BC314" s="1">
        <v>2.4999999999999999E-7</v>
      </c>
      <c r="BD314" s="1">
        <v>0</v>
      </c>
      <c r="BE314" s="1">
        <v>0</v>
      </c>
      <c r="BF314" s="1">
        <v>0</v>
      </c>
      <c r="BG314" s="1">
        <v>0</v>
      </c>
      <c r="BH314" s="1">
        <v>85</v>
      </c>
      <c r="BI314" s="1">
        <v>30</v>
      </c>
      <c r="BJ314" s="1">
        <v>5</v>
      </c>
      <c r="BK314" s="1">
        <v>7.4999999999999997E-3</v>
      </c>
      <c r="BL314" s="1">
        <f t="shared" si="88"/>
        <v>0.75</v>
      </c>
      <c r="BM314" s="1">
        <v>0.15</v>
      </c>
      <c r="BN314" s="1">
        <v>0.05</v>
      </c>
      <c r="BO314" s="1">
        <v>2</v>
      </c>
      <c r="BP314" s="1">
        <v>0</v>
      </c>
      <c r="BQ314" s="1" t="s">
        <v>71</v>
      </c>
      <c r="BR314" s="1" t="s">
        <v>71</v>
      </c>
      <c r="BS314" s="1" t="s">
        <v>71</v>
      </c>
      <c r="BT314" s="1" t="s">
        <v>71</v>
      </c>
      <c r="BU314" s="1" t="s">
        <v>71</v>
      </c>
      <c r="BV314" s="1">
        <v>2</v>
      </c>
      <c r="BW314" s="1">
        <v>0</v>
      </c>
      <c r="BX314" s="1" t="s">
        <v>71</v>
      </c>
      <c r="BY314" s="1" t="s">
        <v>71</v>
      </c>
      <c r="BZ314" s="3">
        <v>1.4</v>
      </c>
      <c r="CA314" s="3">
        <v>1.7</v>
      </c>
      <c r="CB314" s="3">
        <f t="shared" si="89"/>
        <v>1.9444444444444444</v>
      </c>
      <c r="CC314" s="3">
        <f t="shared" si="93"/>
        <v>2.3611111111111112</v>
      </c>
      <c r="CD314" s="1">
        <f>ROUND(CB314/CB303+CC314/CC311,2)</f>
        <v>1.27</v>
      </c>
      <c r="CE314" s="1">
        <f>ROUND(CB314/CB306+CC314/CC311,2)</f>
        <v>1.08</v>
      </c>
      <c r="CF314" s="1">
        <f t="shared" si="104"/>
        <v>1.08</v>
      </c>
      <c r="CG314" s="1">
        <f>ROUND(CB314/CB303,2)</f>
        <v>0.5</v>
      </c>
      <c r="CH314" s="1">
        <f>ROUND(CB314/CB306,2)</f>
        <v>0.3</v>
      </c>
      <c r="CI314" s="1">
        <f>ROUND(CC314/CC311,2)</f>
        <v>0.77</v>
      </c>
      <c r="CJ314" s="1">
        <f>ROUND((CC314+CB314)/MAX(CC311,CB306),2)</f>
        <v>0.67</v>
      </c>
      <c r="CK314" s="1">
        <f>ROUND(LN((0.9*BZ314)/(0.1*CA314))/(BZ303/CA311),2)</f>
        <v>1.57</v>
      </c>
      <c r="CL314" s="1">
        <f>ROUND(LN((0.9*BZ314)/(0.1*CA314))/(BZ306/CA311),2)</f>
        <v>0.96</v>
      </c>
      <c r="CM314" s="1">
        <f>ROUND(LN((0.1*CA314)/(0.9*BZ314))/(CA311/BZ303),2)</f>
        <v>-2.5499999999999998</v>
      </c>
      <c r="CN314" s="1">
        <f>ROUND(LN((0.1*CA314)/(0.9*BZ314))/(CA311/BZ306),2)</f>
        <v>-4.1900000000000004</v>
      </c>
      <c r="CO314" s="5">
        <v>52</v>
      </c>
      <c r="CP314" s="5">
        <v>76</v>
      </c>
      <c r="CQ314" s="1">
        <v>41</v>
      </c>
      <c r="CR314" s="1">
        <v>159</v>
      </c>
      <c r="CS314" s="5">
        <v>37.4</v>
      </c>
      <c r="CT314" s="1">
        <v>9.4</v>
      </c>
      <c r="CU314" s="1">
        <v>6.1</v>
      </c>
      <c r="CV314" s="1" t="s">
        <v>71</v>
      </c>
      <c r="CW314" s="1" t="s">
        <v>71</v>
      </c>
      <c r="CX314" t="e">
        <f>ROUND(CV314*#REF!/10,1)</f>
        <v>#VALUE!</v>
      </c>
      <c r="CY314" s="1">
        <v>12</v>
      </c>
      <c r="CZ314">
        <f t="shared" si="105"/>
        <v>883</v>
      </c>
      <c r="DA314">
        <f>ROUND((CY314*CB314*10),0)</f>
        <v>233</v>
      </c>
      <c r="DB314">
        <f>(CZ314+DA314)/MAX(DA306,CZ311)</f>
        <v>0.99288256227758009</v>
      </c>
      <c r="DC314" s="26">
        <v>12</v>
      </c>
      <c r="DD314">
        <f t="shared" si="90"/>
        <v>1116</v>
      </c>
      <c r="DE314">
        <f t="shared" si="107"/>
        <v>0.2</v>
      </c>
      <c r="DF314">
        <f>ROUND(CZ314/MAX(DA306,CZ311), 2)</f>
        <v>0.79</v>
      </c>
    </row>
    <row r="315" spans="1:110" x14ac:dyDescent="0.15">
      <c r="A315" s="23">
        <v>2023</v>
      </c>
      <c r="B315" s="23" t="s">
        <v>49</v>
      </c>
      <c r="C315" s="23">
        <v>16</v>
      </c>
      <c r="D315" s="23">
        <v>13</v>
      </c>
      <c r="E315" s="23" t="s">
        <v>51</v>
      </c>
      <c r="F315" s="23" t="s">
        <v>53</v>
      </c>
      <c r="G315" s="23" t="s">
        <v>5</v>
      </c>
      <c r="H315" s="23">
        <v>4</v>
      </c>
      <c r="I315" s="23" t="s">
        <v>63</v>
      </c>
      <c r="J315" s="23" t="s">
        <v>57</v>
      </c>
      <c r="K315" s="1" t="s">
        <v>57</v>
      </c>
      <c r="L315" s="27">
        <v>10000000000</v>
      </c>
      <c r="M315" s="27">
        <v>10000000000</v>
      </c>
      <c r="N315" s="24">
        <v>45083</v>
      </c>
      <c r="O315" s="24">
        <v>45092</v>
      </c>
      <c r="P315" s="24">
        <v>45079</v>
      </c>
      <c r="Q315" s="1">
        <f>P315-P309</f>
        <v>1</v>
      </c>
      <c r="R315" s="1">
        <f>N315-N307</f>
        <v>1</v>
      </c>
      <c r="S315" s="1">
        <f>O315-O307</f>
        <v>3</v>
      </c>
      <c r="T315" s="1">
        <f t="shared" si="106"/>
        <v>2</v>
      </c>
      <c r="U315" s="1">
        <v>87</v>
      </c>
      <c r="V315" s="1">
        <v>86</v>
      </c>
      <c r="W315" s="1">
        <v>1</v>
      </c>
      <c r="X315" s="1">
        <v>0</v>
      </c>
      <c r="Y315" s="1">
        <v>0</v>
      </c>
      <c r="Z315" s="1">
        <v>0</v>
      </c>
      <c r="AA315" s="1">
        <v>0</v>
      </c>
      <c r="AB315" s="1" t="s">
        <v>71</v>
      </c>
      <c r="AC315" s="1" t="s">
        <v>71</v>
      </c>
      <c r="AD315" s="25">
        <v>34</v>
      </c>
      <c r="AE315" s="25">
        <v>22</v>
      </c>
      <c r="AF315" s="25">
        <v>100</v>
      </c>
      <c r="AG315" s="25">
        <v>46.666666666666664</v>
      </c>
      <c r="AH315" s="1">
        <v>99</v>
      </c>
      <c r="AI315" s="1">
        <v>50</v>
      </c>
      <c r="AJ315" s="1">
        <v>1.7</v>
      </c>
      <c r="AK315" s="1">
        <v>0</v>
      </c>
      <c r="AL315" s="1">
        <v>0</v>
      </c>
      <c r="AM315" s="1">
        <v>0</v>
      </c>
      <c r="AN315" s="1">
        <v>0.03</v>
      </c>
      <c r="AO315" s="1">
        <v>0.05</v>
      </c>
      <c r="AP315" s="1">
        <v>1.5E-3</v>
      </c>
      <c r="AQ315" s="1">
        <v>11</v>
      </c>
      <c r="AR315" s="1">
        <v>0.01</v>
      </c>
      <c r="AS315" s="1">
        <v>10</v>
      </c>
      <c r="AT315" s="1">
        <v>0.1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0.01</v>
      </c>
      <c r="BB315" s="1">
        <v>5.0000000000000002E-5</v>
      </c>
      <c r="BC315" s="1">
        <v>4.9999999999999998E-7</v>
      </c>
      <c r="BD315" s="1">
        <v>0</v>
      </c>
      <c r="BE315" s="1">
        <v>0</v>
      </c>
      <c r="BF315" s="1">
        <v>0</v>
      </c>
      <c r="BG315" s="1">
        <v>0</v>
      </c>
      <c r="BH315" s="1">
        <v>24</v>
      </c>
      <c r="BI315" s="1">
        <v>8</v>
      </c>
      <c r="BJ315" s="1">
        <v>1</v>
      </c>
      <c r="BK315" s="1">
        <v>5.000000000000001E-3</v>
      </c>
      <c r="BL315" s="1">
        <f t="shared" si="88"/>
        <v>0.50000000000000011</v>
      </c>
      <c r="BM315" s="1">
        <v>0.1</v>
      </c>
      <c r="BN315" s="1">
        <v>0.05</v>
      </c>
      <c r="BO315" s="1">
        <v>2</v>
      </c>
      <c r="BP315" s="1">
        <v>0</v>
      </c>
      <c r="BQ315" s="1" t="s">
        <v>71</v>
      </c>
      <c r="BR315" s="1" t="s">
        <v>71</v>
      </c>
      <c r="BS315" s="1" t="s">
        <v>71</v>
      </c>
      <c r="BT315" s="1" t="s">
        <v>71</v>
      </c>
      <c r="BU315" s="1" t="s">
        <v>71</v>
      </c>
      <c r="BV315" s="1">
        <v>2.2999999999999998</v>
      </c>
      <c r="BW315" s="1">
        <v>0.7</v>
      </c>
      <c r="BX315" s="1" t="s">
        <v>71</v>
      </c>
      <c r="BY315" s="1" t="s">
        <v>71</v>
      </c>
      <c r="BZ315" s="3">
        <v>1.4</v>
      </c>
      <c r="CA315" s="3">
        <v>1.6</v>
      </c>
      <c r="CB315" s="3">
        <f t="shared" si="89"/>
        <v>1.9444444444444444</v>
      </c>
      <c r="CC315" s="3">
        <f t="shared" si="93"/>
        <v>2.2222222222222228</v>
      </c>
      <c r="CD315" s="1">
        <f>ROUND(CB315/CB304+CC315/CC309,2)</f>
        <v>0.93</v>
      </c>
      <c r="CE315" s="1">
        <f>ROUND(CB315/CB307+CC315/CC309,2)</f>
        <v>0.79</v>
      </c>
      <c r="CF315" s="1">
        <f t="shared" si="104"/>
        <v>0.79</v>
      </c>
      <c r="CG315" s="1">
        <f>ROUND(CB315/CB304,2)</f>
        <v>0.48</v>
      </c>
      <c r="CH315" s="1">
        <f>ROUND(CB315/CB307,2)</f>
        <v>0.34</v>
      </c>
      <c r="CI315" s="1">
        <f>ROUND(CC315/CC309,2)</f>
        <v>0.44</v>
      </c>
      <c r="CJ315" s="1">
        <f>ROUND((CC315+CB315)/MAX(CC309,CB307),2)</f>
        <v>0.73</v>
      </c>
      <c r="CK315" s="1">
        <f>ROUND(LN((0.9*BZ315)/(0.1*CA315))/(BZ304/CA309),2)</f>
        <v>2.56</v>
      </c>
      <c r="CL315" s="1">
        <f>ROUND(LN((0.9*BZ315)/(0.1*CA315))/(BZ307/CA309),2)</f>
        <v>1.81</v>
      </c>
      <c r="CM315" s="1">
        <f>ROUND(LN((0.1*CA315)/(0.9*BZ315))/(CA309/BZ304),2)</f>
        <v>-1.66</v>
      </c>
      <c r="CN315" s="1">
        <f>ROUND(LN((0.1*CA315)/(0.9*BZ315))/(CA309/BZ307),2)</f>
        <v>-2.35</v>
      </c>
      <c r="CO315" s="5">
        <v>50</v>
      </c>
      <c r="CP315" s="5">
        <v>75</v>
      </c>
      <c r="CQ315" s="1">
        <v>34</v>
      </c>
      <c r="CR315" s="1">
        <v>128</v>
      </c>
      <c r="CS315" s="5">
        <v>30.8</v>
      </c>
      <c r="CT315" s="1">
        <v>8.5</v>
      </c>
      <c r="CU315" s="1">
        <v>6.8</v>
      </c>
      <c r="CV315" s="1" t="s">
        <v>71</v>
      </c>
      <c r="CW315" s="1" t="s">
        <v>71</v>
      </c>
      <c r="CX315" t="e">
        <f>ROUND(CV315*#REF!/10,1)</f>
        <v>#VALUE!</v>
      </c>
      <c r="CY315" s="1">
        <v>10.1</v>
      </c>
      <c r="CZ315">
        <f t="shared" si="105"/>
        <v>684</v>
      </c>
      <c r="DA315">
        <f>ROUND((CY315*CB315*10),0)</f>
        <v>196</v>
      </c>
      <c r="DB315">
        <f>(CZ315+DA315)/MAX(DA307,CZ309)</f>
        <v>0.50429799426934097</v>
      </c>
      <c r="DC315" s="26">
        <v>10.1</v>
      </c>
      <c r="DD315">
        <f t="shared" si="90"/>
        <v>880</v>
      </c>
      <c r="DE315">
        <f t="shared" si="107"/>
        <v>0.11</v>
      </c>
      <c r="DF315">
        <f>ROUND(CZ315/MAX(DA307,CZ309), 2)</f>
        <v>0.39</v>
      </c>
    </row>
    <row r="316" spans="1:110" ht="15" x14ac:dyDescent="0.15">
      <c r="A316" s="23">
        <v>2023</v>
      </c>
      <c r="B316" s="23" t="s">
        <v>49</v>
      </c>
      <c r="C316" s="23">
        <v>16</v>
      </c>
      <c r="D316" s="23">
        <v>14</v>
      </c>
      <c r="E316" s="23" t="s">
        <v>51</v>
      </c>
      <c r="F316" s="23" t="s">
        <v>54</v>
      </c>
      <c r="G316" s="23" t="s">
        <v>5</v>
      </c>
      <c r="H316" s="23">
        <v>4</v>
      </c>
      <c r="I316" s="23" t="s">
        <v>64</v>
      </c>
      <c r="J316" s="23" t="s">
        <v>57</v>
      </c>
      <c r="K316" s="1" t="s">
        <v>57</v>
      </c>
      <c r="L316" s="27">
        <v>10000000000</v>
      </c>
      <c r="M316" s="27">
        <v>10000000000</v>
      </c>
      <c r="N316" s="24">
        <v>45084</v>
      </c>
      <c r="O316" s="24">
        <v>45094</v>
      </c>
      <c r="P316" s="24">
        <v>45080</v>
      </c>
      <c r="Q316" s="1">
        <f>P316-P310</f>
        <v>1</v>
      </c>
      <c r="R316" s="1">
        <f>N316-N307</f>
        <v>2</v>
      </c>
      <c r="S316" s="1">
        <f>O316-O307</f>
        <v>5</v>
      </c>
      <c r="T316" s="1">
        <f t="shared" si="106"/>
        <v>3.5</v>
      </c>
      <c r="U316" s="1">
        <v>77</v>
      </c>
      <c r="V316" s="1">
        <v>85</v>
      </c>
      <c r="W316" s="1">
        <v>-8</v>
      </c>
      <c r="X316" s="1">
        <v>0</v>
      </c>
      <c r="Y316" s="1">
        <v>0</v>
      </c>
      <c r="Z316" s="1">
        <v>0</v>
      </c>
      <c r="AA316" s="1">
        <v>0</v>
      </c>
      <c r="AB316" s="1" t="s">
        <v>71</v>
      </c>
      <c r="AC316" s="1" t="s">
        <v>71</v>
      </c>
      <c r="AD316" s="25">
        <v>30</v>
      </c>
      <c r="AE316" s="25">
        <v>14</v>
      </c>
      <c r="AF316" s="25">
        <v>93.333333333333329</v>
      </c>
      <c r="AG316" s="25">
        <v>33.333333333333336</v>
      </c>
      <c r="AH316" s="1">
        <v>93</v>
      </c>
      <c r="AI316" s="1">
        <v>34</v>
      </c>
      <c r="AJ316" s="1">
        <v>3</v>
      </c>
      <c r="AK316" s="1">
        <v>0</v>
      </c>
      <c r="AL316" s="1">
        <v>0</v>
      </c>
      <c r="AM316" s="1">
        <v>0</v>
      </c>
      <c r="AN316" s="1">
        <v>0.03</v>
      </c>
      <c r="AO316" s="1">
        <v>2.5000000000000001E-2</v>
      </c>
      <c r="AP316" s="1">
        <v>7.5000000000000002E-4</v>
      </c>
      <c r="AQ316" s="1">
        <v>12</v>
      </c>
      <c r="AR316" s="1">
        <v>0.05</v>
      </c>
      <c r="AS316" s="1">
        <v>10</v>
      </c>
      <c r="AT316" s="1">
        <v>0.5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5.0000000000000001E-3</v>
      </c>
      <c r="BB316" s="1">
        <v>5.0000000000000002E-5</v>
      </c>
      <c r="BC316" s="1">
        <v>2.4999999999999999E-7</v>
      </c>
      <c r="BD316" s="1">
        <v>0</v>
      </c>
      <c r="BE316" s="1">
        <v>0</v>
      </c>
      <c r="BF316" s="1">
        <v>0</v>
      </c>
      <c r="BG316" s="1">
        <v>0</v>
      </c>
      <c r="BH316" s="1">
        <v>90</v>
      </c>
      <c r="BI316" s="1">
        <v>20</v>
      </c>
      <c r="BJ316" s="1">
        <v>7</v>
      </c>
      <c r="BK316" s="1">
        <v>1.0000000000000002E-2</v>
      </c>
      <c r="BL316" s="1">
        <f t="shared" si="88"/>
        <v>1.0000000000000002</v>
      </c>
      <c r="BM316" s="1">
        <v>0.2</v>
      </c>
      <c r="BN316" s="1">
        <v>0.05</v>
      </c>
      <c r="BO316" s="1">
        <v>2</v>
      </c>
      <c r="BP316" s="1">
        <v>0</v>
      </c>
      <c r="BQ316" s="1" t="s">
        <v>71</v>
      </c>
      <c r="BR316" s="1" t="s">
        <v>71</v>
      </c>
      <c r="BS316" s="1" t="s">
        <v>71</v>
      </c>
      <c r="BT316" s="1" t="s">
        <v>71</v>
      </c>
      <c r="BU316" s="1" t="s">
        <v>71</v>
      </c>
      <c r="BV316" s="1">
        <v>2.2999999999999998</v>
      </c>
      <c r="BW316" s="1">
        <v>0</v>
      </c>
      <c r="BX316" s="1" t="s">
        <v>71</v>
      </c>
      <c r="BY316" s="1" t="s">
        <v>71</v>
      </c>
      <c r="BZ316" s="3">
        <v>2.2000000000000002</v>
      </c>
      <c r="CA316" s="3" t="s">
        <v>71</v>
      </c>
      <c r="CB316" s="3" t="s">
        <v>71</v>
      </c>
      <c r="CC316" s="3" t="s">
        <v>71</v>
      </c>
      <c r="CD316" s="3" t="s">
        <v>71</v>
      </c>
      <c r="CE316" s="3" t="s">
        <v>71</v>
      </c>
      <c r="CF316" s="1" t="str">
        <f t="shared" si="104"/>
        <v>NA</v>
      </c>
      <c r="CG316" s="3" t="s">
        <v>71</v>
      </c>
      <c r="CH316" s="3" t="s">
        <v>71</v>
      </c>
      <c r="CI316" s="3" t="s">
        <v>71</v>
      </c>
      <c r="CJ316" s="3" t="s">
        <v>71</v>
      </c>
      <c r="CK316" s="3" t="s">
        <v>71</v>
      </c>
      <c r="CL316" s="3" t="s">
        <v>71</v>
      </c>
      <c r="CM316" s="3" t="s">
        <v>71</v>
      </c>
      <c r="CN316" s="3" t="s">
        <v>71</v>
      </c>
      <c r="CO316" s="5">
        <v>48</v>
      </c>
      <c r="CP316" s="5" t="s">
        <v>71</v>
      </c>
      <c r="CQ316" s="1">
        <v>33</v>
      </c>
      <c r="CR316" s="1">
        <v>130</v>
      </c>
      <c r="CS316" s="5">
        <v>36.700000000000003</v>
      </c>
      <c r="CT316" s="1">
        <v>8</v>
      </c>
      <c r="CU316" s="1" t="s">
        <v>71</v>
      </c>
      <c r="CV316" s="1" t="s">
        <v>71</v>
      </c>
      <c r="CW316" s="1" t="s">
        <v>71</v>
      </c>
      <c r="CX316" t="e">
        <f>ROUND(CV316*#REF!/10,1)</f>
        <v>#VALUE!</v>
      </c>
      <c r="CY316" s="1">
        <v>8.6999999999999993</v>
      </c>
      <c r="CZ316" s="1" t="s">
        <v>71</v>
      </c>
      <c r="DA316" s="1" t="s">
        <v>71</v>
      </c>
      <c r="DB316" s="1" t="s">
        <v>71</v>
      </c>
      <c r="DC316" s="26">
        <v>8.6999999999999993</v>
      </c>
      <c r="DD316">
        <f t="shared" si="90"/>
        <v>0</v>
      </c>
      <c r="DE316" t="s">
        <v>71</v>
      </c>
      <c r="DF316" s="26" t="s">
        <v>71</v>
      </c>
    </row>
    <row r="317" spans="1:110" x14ac:dyDescent="0.15">
      <c r="A317" s="23">
        <v>2023</v>
      </c>
      <c r="B317" s="23" t="s">
        <v>49</v>
      </c>
      <c r="C317" s="23">
        <v>16</v>
      </c>
      <c r="D317" s="23">
        <v>15</v>
      </c>
      <c r="E317" s="23" t="s">
        <v>51</v>
      </c>
      <c r="F317" s="23" t="s">
        <v>55</v>
      </c>
      <c r="G317" s="23" t="s">
        <v>5</v>
      </c>
      <c r="H317" s="23">
        <v>4</v>
      </c>
      <c r="I317" s="23" t="s">
        <v>65</v>
      </c>
      <c r="J317" s="23" t="s">
        <v>57</v>
      </c>
      <c r="K317" s="1" t="s">
        <v>57</v>
      </c>
      <c r="L317" s="27">
        <v>10000000000</v>
      </c>
      <c r="M317" s="27">
        <v>10000000000</v>
      </c>
      <c r="N317" s="24">
        <v>45084</v>
      </c>
      <c r="O317" s="24">
        <v>45092</v>
      </c>
      <c r="P317" s="24">
        <v>45078</v>
      </c>
      <c r="Q317" s="1">
        <f>P317-P311</f>
        <v>0</v>
      </c>
      <c r="R317" s="1">
        <f>N317-N307</f>
        <v>2</v>
      </c>
      <c r="S317" s="1">
        <f>O317-O307</f>
        <v>3</v>
      </c>
      <c r="T317" s="1">
        <f t="shared" si="106"/>
        <v>2.5</v>
      </c>
      <c r="U317" s="1">
        <v>80</v>
      </c>
      <c r="V317" s="1">
        <v>85</v>
      </c>
      <c r="W317" s="1">
        <v>-5</v>
      </c>
      <c r="X317" s="1">
        <v>0</v>
      </c>
      <c r="Y317" s="1">
        <v>0</v>
      </c>
      <c r="Z317" s="1">
        <v>0</v>
      </c>
      <c r="AA317" s="1">
        <v>0</v>
      </c>
      <c r="AB317" s="1" t="s">
        <v>71</v>
      </c>
      <c r="AC317" s="1" t="s">
        <v>71</v>
      </c>
      <c r="AD317" s="25">
        <v>34</v>
      </c>
      <c r="AE317" s="25">
        <v>64</v>
      </c>
      <c r="AF317" s="25">
        <v>97.666666666666671</v>
      </c>
      <c r="AG317" s="25">
        <v>34.666666666666664</v>
      </c>
      <c r="AH317" s="1">
        <v>93</v>
      </c>
      <c r="AI317" s="1">
        <v>37</v>
      </c>
      <c r="AJ317" s="1">
        <v>2.7</v>
      </c>
      <c r="AK317" s="1">
        <v>0</v>
      </c>
      <c r="AL317" s="1">
        <v>0</v>
      </c>
      <c r="AM317" s="1">
        <v>0</v>
      </c>
      <c r="AN317" s="1">
        <v>0.05</v>
      </c>
      <c r="AO317" s="1">
        <v>0.04</v>
      </c>
      <c r="AP317" s="1">
        <v>2E-3</v>
      </c>
      <c r="AQ317" s="1">
        <v>17</v>
      </c>
      <c r="AR317" s="1">
        <v>0.03</v>
      </c>
      <c r="AS317" s="1">
        <v>5</v>
      </c>
      <c r="AT317" s="1">
        <v>0.15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0.02</v>
      </c>
      <c r="BB317" s="1">
        <v>1E-4</v>
      </c>
      <c r="BC317" s="1">
        <v>1.9999999999999999E-6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12</v>
      </c>
      <c r="BJ317" s="1">
        <v>4</v>
      </c>
      <c r="BK317" s="1">
        <v>1.0500000000000001E-2</v>
      </c>
      <c r="BL317" s="1">
        <f t="shared" si="88"/>
        <v>1.05</v>
      </c>
      <c r="BM317" s="1">
        <v>0.15</v>
      </c>
      <c r="BN317" s="1">
        <v>7.0000000000000007E-2</v>
      </c>
      <c r="BO317" s="1">
        <v>2</v>
      </c>
      <c r="BP317" s="1">
        <v>0</v>
      </c>
      <c r="BQ317" s="1" t="s">
        <v>71</v>
      </c>
      <c r="BR317" s="1" t="s">
        <v>71</v>
      </c>
      <c r="BS317" s="1" t="s">
        <v>71</v>
      </c>
      <c r="BT317" s="1" t="s">
        <v>71</v>
      </c>
      <c r="BU317" s="1" t="s">
        <v>71</v>
      </c>
      <c r="BV317" s="1">
        <v>1.3</v>
      </c>
      <c r="BW317" s="1">
        <v>0</v>
      </c>
      <c r="BX317" s="1" t="s">
        <v>71</v>
      </c>
      <c r="BY317" s="1" t="s">
        <v>71</v>
      </c>
      <c r="BZ317" s="3">
        <v>1.8</v>
      </c>
      <c r="CA317" s="3">
        <v>1.1000000000000001</v>
      </c>
      <c r="CB317" s="3">
        <f t="shared" si="89"/>
        <v>2.5000000000000004</v>
      </c>
      <c r="CC317" s="3">
        <f t="shared" si="93"/>
        <v>1.5277777777777781</v>
      </c>
      <c r="CD317" s="1">
        <f>ROUND(CB317/CB304+CC317/CC311,2)</f>
        <v>1.1200000000000001</v>
      </c>
      <c r="CE317" s="1">
        <f>ROUND(CB317/CB307+CC317/CC311,2)</f>
        <v>0.94</v>
      </c>
      <c r="CF317" s="1">
        <f t="shared" si="104"/>
        <v>0.94</v>
      </c>
      <c r="CG317" s="1">
        <f>ROUND(CB317/CB304,2)</f>
        <v>0.62</v>
      </c>
      <c r="CH317" s="1">
        <f>ROUND(CB317/CB307,2)</f>
        <v>0.44</v>
      </c>
      <c r="CI317" s="1">
        <f>ROUND(CC317/CC311,2)</f>
        <v>0.5</v>
      </c>
      <c r="CJ317" s="1">
        <f>ROUND((CC317+CB317)/MAX(CC311,CB307),2)</f>
        <v>0.71</v>
      </c>
      <c r="CK317" s="1">
        <f>ROUND(LN((0.9*BZ317)/(0.1*CA317))/(BZ304/CA311),2)</f>
        <v>2.04</v>
      </c>
      <c r="CL317" s="1">
        <f>ROUND(LN((0.9*BZ317)/(0.1*CA317))/(BZ307/CA311),2)</f>
        <v>1.44</v>
      </c>
      <c r="CM317" s="1">
        <f>ROUND(LN((0.1*CA317)/(0.9*BZ317))/(CA311/BZ304),2)</f>
        <v>-3.55</v>
      </c>
      <c r="CN317" s="1">
        <f>ROUND(LN((0.1*CA317)/(0.9*BZ317))/(CA311/BZ307),2)</f>
        <v>-5.01</v>
      </c>
      <c r="CO317" s="5">
        <v>50</v>
      </c>
      <c r="CP317" s="5">
        <v>73</v>
      </c>
      <c r="CQ317" s="1">
        <v>33</v>
      </c>
      <c r="CR317" s="1" t="s">
        <v>71</v>
      </c>
      <c r="CS317" s="5">
        <v>32.799999999999997</v>
      </c>
      <c r="CT317" s="1">
        <v>9</v>
      </c>
      <c r="CU317" s="1">
        <v>6.6</v>
      </c>
      <c r="CV317" s="1" t="s">
        <v>71</v>
      </c>
      <c r="CW317" s="1" t="s">
        <v>71</v>
      </c>
      <c r="CX317" t="e">
        <f>ROUND(CV317*#REF!/10,1)</f>
        <v>#VALUE!</v>
      </c>
      <c r="CY317" s="1">
        <v>10.1</v>
      </c>
      <c r="CZ317">
        <f>ROUND((10*CC317*CS317),0)</f>
        <v>501</v>
      </c>
      <c r="DA317">
        <f>ROUND((CY317*CB317*10),0)</f>
        <v>253</v>
      </c>
      <c r="DB317">
        <f>(CZ317+DA317)/MAX(DA307,CZ311)</f>
        <v>0.6708185053380783</v>
      </c>
      <c r="DC317" s="26">
        <v>10.1</v>
      </c>
      <c r="DD317">
        <f t="shared" si="90"/>
        <v>754</v>
      </c>
      <c r="DE317">
        <f t="shared" si="107"/>
        <v>0.22</v>
      </c>
      <c r="DF317">
        <f>ROUND(CZ317/MAX(DA307,CZ311), 2)</f>
        <v>0.45</v>
      </c>
    </row>
    <row r="318" spans="1:110" x14ac:dyDescent="0.15">
      <c r="A318" s="23">
        <v>2023</v>
      </c>
      <c r="B318" s="23" t="s">
        <v>49</v>
      </c>
      <c r="C318" s="23">
        <v>16</v>
      </c>
      <c r="D318" s="23">
        <v>16</v>
      </c>
      <c r="E318" s="23" t="s">
        <v>52</v>
      </c>
      <c r="F318" s="23" t="s">
        <v>53</v>
      </c>
      <c r="G318" s="23" t="s">
        <v>5</v>
      </c>
      <c r="H318" s="23">
        <v>4</v>
      </c>
      <c r="I318" s="23" t="s">
        <v>66</v>
      </c>
      <c r="J318" s="23" t="s">
        <v>57</v>
      </c>
      <c r="K318" s="1" t="s">
        <v>57</v>
      </c>
      <c r="L318" s="27">
        <v>10000000000</v>
      </c>
      <c r="M318" s="27">
        <v>10000000000</v>
      </c>
      <c r="N318" s="24">
        <v>45083</v>
      </c>
      <c r="O318" s="24">
        <v>45096</v>
      </c>
      <c r="P318" s="24">
        <v>45075</v>
      </c>
      <c r="Q318" s="1">
        <f>P318-P309</f>
        <v>-3</v>
      </c>
      <c r="R318" s="1">
        <f>N318-N308</f>
        <v>1</v>
      </c>
      <c r="S318" s="1">
        <f>O318-O308</f>
        <v>4</v>
      </c>
      <c r="T318" s="1">
        <f t="shared" si="106"/>
        <v>2.5</v>
      </c>
      <c r="U318" s="1">
        <v>85</v>
      </c>
      <c r="V318" s="1">
        <v>85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 t="s">
        <v>71</v>
      </c>
      <c r="AC318" s="1" t="s">
        <v>71</v>
      </c>
      <c r="AD318" s="25">
        <v>30</v>
      </c>
      <c r="AE318" s="25">
        <v>21</v>
      </c>
      <c r="AF318" s="25">
        <v>81</v>
      </c>
      <c r="AG318" s="25">
        <v>53.333333333333336</v>
      </c>
      <c r="AH318" s="1">
        <v>74</v>
      </c>
      <c r="AI318" s="1">
        <v>48</v>
      </c>
      <c r="AJ318" s="1">
        <v>3</v>
      </c>
      <c r="AK318" s="1">
        <v>0</v>
      </c>
      <c r="AL318" s="1">
        <v>0</v>
      </c>
      <c r="AM318" s="1">
        <v>0</v>
      </c>
      <c r="AN318" s="1">
        <v>1.4999999999999999E-2</v>
      </c>
      <c r="AO318" s="1">
        <v>5.0000000000000001E-3</v>
      </c>
      <c r="AP318" s="1">
        <v>7.4999999999999993E-5</v>
      </c>
      <c r="AQ318" s="1">
        <v>8</v>
      </c>
      <c r="AR318" s="1">
        <v>7.0000000000000007E-2</v>
      </c>
      <c r="AS318" s="1">
        <v>10</v>
      </c>
      <c r="AT318" s="1">
        <v>0.70000000000000007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0.05</v>
      </c>
      <c r="BA318" s="1">
        <v>0.03</v>
      </c>
      <c r="BB318" s="1">
        <v>1E-4</v>
      </c>
      <c r="BC318" s="1">
        <v>2.9999999999999997E-6</v>
      </c>
      <c r="BD318" s="1">
        <v>0</v>
      </c>
      <c r="BE318" s="1">
        <v>0</v>
      </c>
      <c r="BF318" s="1">
        <v>0</v>
      </c>
      <c r="BG318" s="1">
        <v>0</v>
      </c>
      <c r="BH318" s="1">
        <v>504</v>
      </c>
      <c r="BI318" s="1">
        <v>25</v>
      </c>
      <c r="BJ318" s="1">
        <v>15</v>
      </c>
      <c r="BK318" s="1">
        <v>1.7499999999999998E-2</v>
      </c>
      <c r="BL318" s="1">
        <f t="shared" si="88"/>
        <v>1.7499999999999998</v>
      </c>
      <c r="BM318" s="1">
        <v>0.35</v>
      </c>
      <c r="BN318" s="1">
        <v>0.05</v>
      </c>
      <c r="BO318" s="1">
        <v>2</v>
      </c>
      <c r="BP318" s="1">
        <v>0</v>
      </c>
      <c r="BQ318" s="1" t="s">
        <v>71</v>
      </c>
      <c r="BR318" s="1" t="s">
        <v>71</v>
      </c>
      <c r="BS318" s="1" t="s">
        <v>71</v>
      </c>
      <c r="BT318" s="1" t="s">
        <v>71</v>
      </c>
      <c r="BU318" s="1" t="s">
        <v>71</v>
      </c>
      <c r="BV318" s="1">
        <v>3.3</v>
      </c>
      <c r="BW318" s="1">
        <v>0</v>
      </c>
      <c r="BX318" s="1" t="s">
        <v>71</v>
      </c>
      <c r="BY318" s="1" t="s">
        <v>71</v>
      </c>
      <c r="BZ318" s="3">
        <v>1.2</v>
      </c>
      <c r="CA318" s="3">
        <v>2.6</v>
      </c>
      <c r="CB318" s="3">
        <f t="shared" si="89"/>
        <v>1.666666666666667</v>
      </c>
      <c r="CC318" s="3">
        <f t="shared" si="93"/>
        <v>3.6111111111111116</v>
      </c>
      <c r="CD318" s="1">
        <f>ROUND(CB318/CB305+CC318/CC309,2)</f>
        <v>1.2</v>
      </c>
      <c r="CE318" s="1">
        <f>ROUND(CB318/CB308+CC318/CC309,2)</f>
        <v>1.05</v>
      </c>
      <c r="CF318" s="1">
        <f>ROUND(CB318/(1.2*CB308)+CC318/CC309,2)</f>
        <v>0.99</v>
      </c>
      <c r="CG318" s="1">
        <f>ROUND(CB318/CB305,2)</f>
        <v>0.48</v>
      </c>
      <c r="CH318" s="1">
        <f>ROUND(CB318/CB308,2)</f>
        <v>0.32</v>
      </c>
      <c r="CI318" s="1">
        <f>ROUND(CC318/CC309,2)</f>
        <v>0.72</v>
      </c>
      <c r="CJ318" s="1">
        <f>ROUND((CC318+CB318)/MAX(CC309,CB308),2)</f>
        <v>1.03</v>
      </c>
      <c r="CK318" s="1">
        <f>ROUND(LN((0.9*BZ318)/(0.1*CA318))/(BZ305/CA309),2)</f>
        <v>2.0499999999999998</v>
      </c>
      <c r="CL318" s="1">
        <f>ROUND(LN((0.9*BZ318)/(0.1*CA318))/(BZ308/CA309),2)</f>
        <v>1.39</v>
      </c>
      <c r="CM318" s="1">
        <f>ROUND(LN((0.1*CA318)/(0.9*BZ318))/(CA309/BZ305),2)</f>
        <v>-0.99</v>
      </c>
      <c r="CN318" s="1">
        <f>ROUND(LN((0.1*CA318)/(0.9*BZ318))/(CA309/BZ308),2)</f>
        <v>-1.46</v>
      </c>
      <c r="CO318" s="5">
        <v>47</v>
      </c>
      <c r="CP318" s="5">
        <v>73</v>
      </c>
      <c r="CQ318" s="1">
        <v>32</v>
      </c>
      <c r="CR318" s="1">
        <v>154</v>
      </c>
      <c r="CS318" s="5">
        <v>34.1</v>
      </c>
      <c r="CT318" s="1">
        <v>9</v>
      </c>
      <c r="CU318" s="1">
        <v>6.1</v>
      </c>
      <c r="CV318" s="1" t="s">
        <v>71</v>
      </c>
      <c r="CW318" s="1" t="s">
        <v>71</v>
      </c>
      <c r="CX318" t="e">
        <f>ROUND(CV318*#REF!/10,1)</f>
        <v>#VALUE!</v>
      </c>
      <c r="CY318" s="1">
        <v>11.1</v>
      </c>
      <c r="CZ318">
        <f>ROUND((10*CC318*CS318),0)</f>
        <v>1231</v>
      </c>
      <c r="DA318">
        <f>ROUND((CY318*CB318*10),0)</f>
        <v>185</v>
      </c>
      <c r="DB318">
        <f>(CZ318+DA318)/MAX(DA308,CZ309)</f>
        <v>0.81146131805157595</v>
      </c>
      <c r="DC318" s="26">
        <v>11.1</v>
      </c>
      <c r="DD318">
        <f t="shared" si="90"/>
        <v>1416</v>
      </c>
      <c r="DE318">
        <f t="shared" si="107"/>
        <v>0.1</v>
      </c>
      <c r="DF318">
        <f>ROUND(CZ318/MAX(DA308,CZ309), 2)</f>
        <v>0.71</v>
      </c>
    </row>
    <row r="319" spans="1:110" x14ac:dyDescent="0.15">
      <c r="A319" s="23">
        <v>2023</v>
      </c>
      <c r="B319" s="23" t="s">
        <v>49</v>
      </c>
      <c r="C319" s="23">
        <v>16</v>
      </c>
      <c r="D319" s="23">
        <v>17</v>
      </c>
      <c r="E319" s="23" t="s">
        <v>52</v>
      </c>
      <c r="F319" s="23" t="s">
        <v>54</v>
      </c>
      <c r="G319" s="23" t="s">
        <v>5</v>
      </c>
      <c r="H319" s="23">
        <v>4</v>
      </c>
      <c r="I319" s="23" t="s">
        <v>67</v>
      </c>
      <c r="J319" s="23" t="s">
        <v>57</v>
      </c>
      <c r="K319" s="1" t="s">
        <v>57</v>
      </c>
      <c r="L319" s="27">
        <v>10000000000</v>
      </c>
      <c r="M319" s="27">
        <v>10000000000</v>
      </c>
      <c r="N319" s="24">
        <v>45083</v>
      </c>
      <c r="O319" s="24">
        <v>45096</v>
      </c>
      <c r="P319" s="24">
        <v>45078</v>
      </c>
      <c r="Q319" s="1">
        <f>P319-P310</f>
        <v>-1</v>
      </c>
      <c r="R319" s="1">
        <f>N319-N308</f>
        <v>1</v>
      </c>
      <c r="S319" s="1">
        <f>O319-O308</f>
        <v>4</v>
      </c>
      <c r="T319" s="1">
        <f t="shared" si="106"/>
        <v>2.5</v>
      </c>
      <c r="U319" s="1">
        <v>85</v>
      </c>
      <c r="V319" s="1">
        <v>86</v>
      </c>
      <c r="W319" s="1">
        <v>-1</v>
      </c>
      <c r="X319" s="1">
        <v>0</v>
      </c>
      <c r="Y319" s="1">
        <v>0</v>
      </c>
      <c r="Z319" s="1">
        <v>0</v>
      </c>
      <c r="AA319" s="1">
        <v>0</v>
      </c>
      <c r="AB319" s="1" t="s">
        <v>71</v>
      </c>
      <c r="AC319" s="1" t="s">
        <v>71</v>
      </c>
      <c r="AD319" s="25">
        <v>30</v>
      </c>
      <c r="AE319" s="25">
        <v>16</v>
      </c>
      <c r="AF319" s="25">
        <v>74.666666666666671</v>
      </c>
      <c r="AG319" s="25">
        <v>36.666666666666664</v>
      </c>
      <c r="AH319" s="1">
        <v>79</v>
      </c>
      <c r="AI319" s="1">
        <v>43</v>
      </c>
      <c r="AJ319" s="1">
        <v>3.3</v>
      </c>
      <c r="AK319" s="1">
        <v>0</v>
      </c>
      <c r="AL319" s="1">
        <v>0</v>
      </c>
      <c r="AM319" s="1">
        <v>0</v>
      </c>
      <c r="AN319" s="1">
        <v>2.5000000000000001E-2</v>
      </c>
      <c r="AO319" s="1">
        <v>0.03</v>
      </c>
      <c r="AP319" s="1">
        <v>7.5000000000000002E-4</v>
      </c>
      <c r="AQ319" s="1">
        <v>18</v>
      </c>
      <c r="AR319" s="1">
        <v>0.05</v>
      </c>
      <c r="AS319" s="1">
        <v>10</v>
      </c>
      <c r="AT319" s="1">
        <v>0.5</v>
      </c>
      <c r="AU319" s="1">
        <v>0.02</v>
      </c>
      <c r="AV319" s="1">
        <v>1</v>
      </c>
      <c r="AW319" s="1">
        <v>0.02</v>
      </c>
      <c r="AX319" s="1">
        <v>0</v>
      </c>
      <c r="AY319" s="1">
        <v>0</v>
      </c>
      <c r="AZ319" s="1">
        <v>0.05</v>
      </c>
      <c r="BA319" s="1">
        <v>0.03</v>
      </c>
      <c r="BB319" s="1">
        <v>1E-4</v>
      </c>
      <c r="BC319" s="1">
        <v>2.9999999999999997E-6</v>
      </c>
      <c r="BD319" s="1">
        <v>0</v>
      </c>
      <c r="BE319" s="1">
        <v>0</v>
      </c>
      <c r="BF319" s="1">
        <v>0</v>
      </c>
      <c r="BG319" s="1">
        <v>0</v>
      </c>
      <c r="BH319" s="1">
        <v>400</v>
      </c>
      <c r="BI319" s="1">
        <v>35</v>
      </c>
      <c r="BJ319" s="1">
        <v>22</v>
      </c>
      <c r="BK319" s="1">
        <v>3.2000000000000001E-2</v>
      </c>
      <c r="BL319" s="1">
        <f t="shared" si="88"/>
        <v>3.2</v>
      </c>
      <c r="BM319" s="1">
        <v>0.4</v>
      </c>
      <c r="BN319" s="1">
        <v>0.08</v>
      </c>
      <c r="BO319" s="1">
        <v>2</v>
      </c>
      <c r="BP319" s="1">
        <v>0</v>
      </c>
      <c r="BQ319" s="1" t="s">
        <v>71</v>
      </c>
      <c r="BR319" s="1" t="s">
        <v>71</v>
      </c>
      <c r="BS319" s="1" t="s">
        <v>71</v>
      </c>
      <c r="BT319" s="1" t="s">
        <v>71</v>
      </c>
      <c r="BU319" s="1" t="s">
        <v>71</v>
      </c>
      <c r="BV319" s="1">
        <v>2.7</v>
      </c>
      <c r="BW319" s="1">
        <v>0</v>
      </c>
      <c r="BX319" s="1" t="s">
        <v>71</v>
      </c>
      <c r="BY319" s="1" t="s">
        <v>71</v>
      </c>
      <c r="BZ319" s="3">
        <v>1.6</v>
      </c>
      <c r="CA319" s="3">
        <v>1.6</v>
      </c>
      <c r="CB319" s="3">
        <f t="shared" si="89"/>
        <v>2.2222222222222228</v>
      </c>
      <c r="CC319" s="3">
        <f t="shared" si="93"/>
        <v>2.2222222222222228</v>
      </c>
      <c r="CD319" s="1">
        <f>ROUND(CB319/CB305+CC319/CC310,2)</f>
        <v>1.1599999999999999</v>
      </c>
      <c r="CE319" s="1">
        <f>ROUND(CB319/CB308+CC319/CC310,2)</f>
        <v>0.95</v>
      </c>
      <c r="CF319" s="1">
        <f>ROUND(CB319/(1.2*CB308)+CC319/CC310,2)</f>
        <v>0.88</v>
      </c>
      <c r="CG319" s="1">
        <f>ROUND(CB319/CB305,2)</f>
        <v>0.64</v>
      </c>
      <c r="CH319" s="1">
        <f>ROUND(CB319/CB308,2)</f>
        <v>0.43</v>
      </c>
      <c r="CI319" s="1">
        <f>ROUND(CC319/CC310,2)</f>
        <v>0.52</v>
      </c>
      <c r="CJ319" s="1">
        <f>ROUND((CC319+CB319)/MAX(CC310,CB308),2)</f>
        <v>0.86</v>
      </c>
      <c r="CK319" s="1">
        <f>ROUND(LN((0.9*BZ319)/(0.1*CA319))/(BZ305/CA310),2)</f>
        <v>2.72</v>
      </c>
      <c r="CL319" s="1">
        <f>ROUND(LN((0.9*BZ319)/(0.1*CA319))/(BZ308/CA310),2)</f>
        <v>1.84</v>
      </c>
      <c r="CM319" s="1">
        <f>ROUND(LN((0.1*CA319)/(0.9*BZ319))/(CA310/BZ305),2)</f>
        <v>-1.77</v>
      </c>
      <c r="CN319" s="1">
        <f>ROUND(LN((0.1*CA319)/(0.9*BZ319))/(CA310/BZ308),2)</f>
        <v>-2.62</v>
      </c>
      <c r="CO319" s="5">
        <v>48</v>
      </c>
      <c r="CP319" s="5">
        <v>72</v>
      </c>
      <c r="CQ319" s="1">
        <v>31</v>
      </c>
      <c r="CR319" s="1">
        <v>112</v>
      </c>
      <c r="CS319" s="5">
        <v>37.1</v>
      </c>
      <c r="CT319" s="1">
        <v>8.4</v>
      </c>
      <c r="CU319" s="1">
        <v>6.1</v>
      </c>
      <c r="CV319" s="1" t="s">
        <v>71</v>
      </c>
      <c r="CW319" s="1" t="s">
        <v>71</v>
      </c>
      <c r="CX319" t="e">
        <f>ROUND(CV319*#REF!/10,1)</f>
        <v>#VALUE!</v>
      </c>
      <c r="CY319" s="1">
        <v>9.8000000000000007</v>
      </c>
      <c r="CZ319">
        <f>ROUND((10*CC319*CS319),0)</f>
        <v>824</v>
      </c>
      <c r="DA319">
        <f>ROUND((CY319*CB319*10),0)</f>
        <v>218</v>
      </c>
      <c r="DB319">
        <f>(CZ319+DA319)/MAX(DA308,CZ310)</f>
        <v>0.58870056497175138</v>
      </c>
      <c r="DC319" s="26">
        <v>9.8000000000000007</v>
      </c>
      <c r="DD319">
        <f t="shared" si="90"/>
        <v>1042</v>
      </c>
      <c r="DE319">
        <f t="shared" si="107"/>
        <v>0.12</v>
      </c>
      <c r="DF319">
        <f>ROUND(CZ319/MAX(DA308,CZ310), 2)</f>
        <v>0.47</v>
      </c>
    </row>
    <row r="320" spans="1:110" x14ac:dyDescent="0.15">
      <c r="A320" s="23">
        <v>2023</v>
      </c>
      <c r="B320" s="23" t="s">
        <v>49</v>
      </c>
      <c r="C320" s="23">
        <v>16</v>
      </c>
      <c r="D320" s="23">
        <v>18</v>
      </c>
      <c r="E320" s="23" t="s">
        <v>52</v>
      </c>
      <c r="F320" s="23" t="s">
        <v>55</v>
      </c>
      <c r="G320" s="23" t="s">
        <v>5</v>
      </c>
      <c r="H320" s="23">
        <v>4</v>
      </c>
      <c r="I320" s="23" t="s">
        <v>68</v>
      </c>
      <c r="J320" s="23" t="s">
        <v>57</v>
      </c>
      <c r="K320" s="1" t="s">
        <v>57</v>
      </c>
      <c r="L320" s="27">
        <v>10000000000</v>
      </c>
      <c r="M320" s="27">
        <v>10000000000</v>
      </c>
      <c r="N320" s="24">
        <v>45082</v>
      </c>
      <c r="O320" s="24">
        <v>45096</v>
      </c>
      <c r="P320" s="24">
        <v>45078</v>
      </c>
      <c r="Q320" s="1">
        <f>P320-P311</f>
        <v>0</v>
      </c>
      <c r="R320" s="1">
        <f>N320-N308</f>
        <v>0</v>
      </c>
      <c r="S320" s="1">
        <f>O320-O308</f>
        <v>4</v>
      </c>
      <c r="T320" s="1">
        <f t="shared" si="106"/>
        <v>2</v>
      </c>
      <c r="U320" s="1">
        <v>85</v>
      </c>
      <c r="V320" s="1">
        <v>86</v>
      </c>
      <c r="W320" s="1">
        <v>-1</v>
      </c>
      <c r="X320" s="1">
        <v>0</v>
      </c>
      <c r="Y320" s="1">
        <v>0</v>
      </c>
      <c r="Z320" s="1">
        <v>0</v>
      </c>
      <c r="AA320" s="1">
        <v>0</v>
      </c>
      <c r="AB320" s="1" t="s">
        <v>71</v>
      </c>
      <c r="AC320" s="1" t="s">
        <v>71</v>
      </c>
      <c r="AD320" s="25">
        <v>31</v>
      </c>
      <c r="AE320" s="25">
        <v>15</v>
      </c>
      <c r="AF320" s="25">
        <v>67</v>
      </c>
      <c r="AG320" s="25">
        <v>43.666666666666664</v>
      </c>
      <c r="AH320" s="1">
        <v>68</v>
      </c>
      <c r="AI320" s="1">
        <v>35</v>
      </c>
      <c r="AJ320" s="1">
        <v>3</v>
      </c>
      <c r="AK320" s="1">
        <v>0</v>
      </c>
      <c r="AL320" s="1">
        <v>0</v>
      </c>
      <c r="AM320" s="1">
        <v>0</v>
      </c>
      <c r="AN320" s="1">
        <v>2.5000000000000001E-2</v>
      </c>
      <c r="AO320" s="1">
        <v>2.5000000000000001E-2</v>
      </c>
      <c r="AP320" s="1">
        <v>6.2500000000000012E-4</v>
      </c>
      <c r="AQ320" s="1">
        <v>12</v>
      </c>
      <c r="AR320" s="1">
        <v>0.03</v>
      </c>
      <c r="AS320" s="1">
        <v>5</v>
      </c>
      <c r="AT320" s="1">
        <v>0.15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341</v>
      </c>
      <c r="BI320" s="1">
        <v>30</v>
      </c>
      <c r="BJ320" s="1">
        <v>10</v>
      </c>
      <c r="BK320" s="1">
        <v>6.0000000000000001E-3</v>
      </c>
      <c r="BL320" s="1">
        <f t="shared" si="88"/>
        <v>0.6</v>
      </c>
      <c r="BM320" s="1">
        <v>0.12</v>
      </c>
      <c r="BN320" s="1">
        <v>0.05</v>
      </c>
      <c r="BO320" s="1">
        <v>2</v>
      </c>
      <c r="BP320" s="1">
        <v>10</v>
      </c>
      <c r="BQ320" s="1" t="s">
        <v>71</v>
      </c>
      <c r="BR320" s="1" t="s">
        <v>71</v>
      </c>
      <c r="BS320" s="1" t="s">
        <v>71</v>
      </c>
      <c r="BT320" s="1" t="s">
        <v>71</v>
      </c>
      <c r="BU320" s="1" t="s">
        <v>71</v>
      </c>
      <c r="BV320" s="1">
        <v>2.7</v>
      </c>
      <c r="BW320" s="1">
        <v>0</v>
      </c>
      <c r="BX320" s="1" t="s">
        <v>71</v>
      </c>
      <c r="BY320" s="1" t="s">
        <v>71</v>
      </c>
      <c r="BZ320" s="3">
        <v>1.9</v>
      </c>
      <c r="CA320" s="3">
        <v>1.2</v>
      </c>
      <c r="CB320" s="3">
        <f t="shared" si="89"/>
        <v>2.6388888888888888</v>
      </c>
      <c r="CC320" s="3">
        <f t="shared" si="93"/>
        <v>1.666666666666667</v>
      </c>
      <c r="CD320" s="1">
        <f>ROUND(CB320/CB305+CC320/CC311,2)</f>
        <v>1.31</v>
      </c>
      <c r="CE320" s="1">
        <f>ROUND(CB320/CB308+CC320/CC311,2)</f>
        <v>1.06</v>
      </c>
      <c r="CF320" s="1">
        <f>ROUND(CB320/(1.2*CB308)+CC320/CC311,2)</f>
        <v>0.97</v>
      </c>
      <c r="CG320" s="1">
        <f>ROUND(CB320/CB305,2)</f>
        <v>0.76</v>
      </c>
      <c r="CH320" s="1">
        <f>ROUND(CB320/CB308,2)</f>
        <v>0.51</v>
      </c>
      <c r="CI320" s="1">
        <f>ROUND(CC320/CC311,2)</f>
        <v>0.55000000000000004</v>
      </c>
      <c r="CJ320" s="1">
        <f>ROUND((CC320+CB320)/MAX(CC311,CB308),2)</f>
        <v>0.84</v>
      </c>
      <c r="CK320" s="1">
        <f>ROUND(LN((0.9*BZ320)/(0.1*CA320))/(BZ305/CA311),2)</f>
        <v>2.34</v>
      </c>
      <c r="CL320" s="1">
        <f>ROUND(LN((0.9*BZ320)/(0.1*CA320))/(BZ308/CA311),2)</f>
        <v>1.58</v>
      </c>
      <c r="CM320" s="1">
        <f>ROUND(LN((0.1*CA320)/(0.9*BZ320))/(CA311/BZ305),2)</f>
        <v>-3.02</v>
      </c>
      <c r="CN320" s="1">
        <f>ROUND(LN((0.1*CA320)/(0.9*BZ320))/(CA311/BZ308),2)</f>
        <v>-4.47</v>
      </c>
      <c r="CO320" s="5">
        <v>45</v>
      </c>
      <c r="CP320" s="5">
        <v>74</v>
      </c>
      <c r="CQ320" s="1">
        <v>29</v>
      </c>
      <c r="CR320" s="1">
        <v>137</v>
      </c>
      <c r="CS320" s="5">
        <v>36.5</v>
      </c>
      <c r="CT320" s="1">
        <v>8.4</v>
      </c>
      <c r="CU320" s="1">
        <v>5.8</v>
      </c>
      <c r="CV320" s="1" t="s">
        <v>71</v>
      </c>
      <c r="CW320" s="1" t="s">
        <v>71</v>
      </c>
      <c r="CX320" t="e">
        <f>ROUND(CV320*#REF!/10,1)</f>
        <v>#VALUE!</v>
      </c>
      <c r="CY320" s="1">
        <v>11.4</v>
      </c>
      <c r="CZ320">
        <f>ROUND((10*CC320*CS320),0)</f>
        <v>608</v>
      </c>
      <c r="DA320">
        <f>ROUND((CY320*CB320*10),0)</f>
        <v>301</v>
      </c>
      <c r="DB320">
        <f>(CZ320+DA320)/MAX(DA308,CZ311)</f>
        <v>0.80871886120996439</v>
      </c>
      <c r="DC320" s="26">
        <v>11.4</v>
      </c>
      <c r="DD320">
        <f>SUM(CZ320,DA320)</f>
        <v>909</v>
      </c>
      <c r="DE320">
        <f t="shared" si="107"/>
        <v>0.27</v>
      </c>
      <c r="DF320">
        <f>ROUND(CZ320/MAX(DA308,CZ311), 2)</f>
        <v>0.54</v>
      </c>
    </row>
    <row r="321" spans="1:110" ht="15" x14ac:dyDescent="0.15">
      <c r="A321" s="23">
        <v>2023</v>
      </c>
      <c r="B321" s="23" t="s">
        <v>49</v>
      </c>
      <c r="C321" s="23">
        <v>16</v>
      </c>
      <c r="D321" s="23">
        <v>19</v>
      </c>
      <c r="E321" s="23"/>
      <c r="F321" s="23"/>
      <c r="G321" s="23" t="s">
        <v>5</v>
      </c>
      <c r="H321" s="23">
        <v>4</v>
      </c>
      <c r="I321" s="23" t="s">
        <v>69</v>
      </c>
      <c r="J321" s="23" t="s">
        <v>57</v>
      </c>
      <c r="K321" s="24">
        <v>45086</v>
      </c>
      <c r="L321" s="1" t="s">
        <v>71</v>
      </c>
      <c r="M321" s="1" t="s">
        <v>71</v>
      </c>
      <c r="N321" s="1" t="s">
        <v>71</v>
      </c>
      <c r="O321" s="1" t="s">
        <v>71</v>
      </c>
      <c r="P321" s="24">
        <v>45079</v>
      </c>
      <c r="Q321" s="1" t="s">
        <v>71</v>
      </c>
      <c r="R321" s="1" t="s">
        <v>71</v>
      </c>
      <c r="S321" s="1" t="s">
        <v>71</v>
      </c>
      <c r="T321" s="1" t="s">
        <v>71</v>
      </c>
      <c r="U321" s="1" t="s">
        <v>71</v>
      </c>
      <c r="V321" s="1">
        <v>86</v>
      </c>
      <c r="W321" s="1" t="s">
        <v>71</v>
      </c>
      <c r="X321" s="1">
        <v>0</v>
      </c>
      <c r="Y321" s="1" t="s">
        <v>71</v>
      </c>
      <c r="Z321" s="1">
        <v>0</v>
      </c>
      <c r="AA321" s="1" t="s">
        <v>71</v>
      </c>
      <c r="AB321" s="1" t="s">
        <v>71</v>
      </c>
      <c r="AC321" s="1" t="s">
        <v>71</v>
      </c>
      <c r="AD321" s="25" t="s">
        <v>71</v>
      </c>
      <c r="AE321" s="25">
        <v>12</v>
      </c>
      <c r="AF321" s="25" t="s">
        <v>71</v>
      </c>
      <c r="AG321" s="25">
        <v>41.666666666666664</v>
      </c>
      <c r="AH321" s="1" t="s">
        <v>71</v>
      </c>
      <c r="AI321" s="1">
        <v>35</v>
      </c>
      <c r="AJ321" s="1" t="s">
        <v>71</v>
      </c>
      <c r="AK321" s="1" t="s">
        <v>71</v>
      </c>
      <c r="AL321" s="1" t="s">
        <v>71</v>
      </c>
      <c r="AM321" s="1" t="s">
        <v>71</v>
      </c>
      <c r="AN321" s="1" t="s">
        <v>71</v>
      </c>
      <c r="AO321" s="1" t="s">
        <v>71</v>
      </c>
      <c r="AP321" s="1" t="s">
        <v>71</v>
      </c>
      <c r="AQ321" s="1" t="s">
        <v>71</v>
      </c>
      <c r="AR321" s="1" t="s">
        <v>71</v>
      </c>
      <c r="AS321" s="1" t="s">
        <v>71</v>
      </c>
      <c r="AT321" s="1" t="s">
        <v>71</v>
      </c>
      <c r="AU321" s="1">
        <v>0.34</v>
      </c>
      <c r="AV321" s="1">
        <v>1</v>
      </c>
      <c r="AW321" s="1">
        <v>0.34</v>
      </c>
      <c r="AX321" s="1" t="s">
        <v>71</v>
      </c>
      <c r="AY321" s="1" t="s">
        <v>71</v>
      </c>
      <c r="AZ321" s="1">
        <v>0</v>
      </c>
      <c r="BA321" s="1" t="s">
        <v>71</v>
      </c>
      <c r="BB321" s="1" t="s">
        <v>71</v>
      </c>
      <c r="BC321" s="1" t="s">
        <v>71</v>
      </c>
      <c r="BD321" s="1" t="s">
        <v>71</v>
      </c>
      <c r="BE321" s="1" t="s">
        <v>71</v>
      </c>
      <c r="BF321" s="1" t="s">
        <v>71</v>
      </c>
      <c r="BG321" s="1" t="s">
        <v>71</v>
      </c>
      <c r="BH321" s="1">
        <v>175</v>
      </c>
      <c r="BI321" s="1">
        <v>10</v>
      </c>
      <c r="BJ321" s="1">
        <v>6</v>
      </c>
      <c r="BK321" s="1">
        <v>0.09</v>
      </c>
      <c r="BL321" s="1">
        <f t="shared" si="88"/>
        <v>9</v>
      </c>
      <c r="BM321" s="1">
        <v>0.6</v>
      </c>
      <c r="BN321" s="1">
        <v>0.15</v>
      </c>
      <c r="BO321" s="1">
        <v>2</v>
      </c>
      <c r="BP321" s="1">
        <v>0</v>
      </c>
      <c r="BQ321" s="1" t="s">
        <v>71</v>
      </c>
      <c r="BR321" s="1" t="s">
        <v>71</v>
      </c>
      <c r="BS321" s="1" t="s">
        <v>71</v>
      </c>
      <c r="BT321" s="1" t="s">
        <v>71</v>
      </c>
      <c r="BU321" s="1" t="s">
        <v>71</v>
      </c>
      <c r="BV321" s="1">
        <v>5</v>
      </c>
      <c r="BW321" s="1">
        <v>0.3</v>
      </c>
      <c r="BX321" s="1" t="s">
        <v>71</v>
      </c>
      <c r="BY321" s="1" t="s">
        <v>71</v>
      </c>
      <c r="BZ321" s="3" t="s">
        <v>71</v>
      </c>
      <c r="CA321" s="3" t="s">
        <v>71</v>
      </c>
      <c r="CB321" s="3" t="s">
        <v>71</v>
      </c>
      <c r="CC321" s="3" t="s">
        <v>71</v>
      </c>
      <c r="CD321" s="1" t="s">
        <v>71</v>
      </c>
      <c r="CE321" s="1" t="s">
        <v>71</v>
      </c>
      <c r="CF321" s="1" t="s">
        <v>71</v>
      </c>
      <c r="CG321" s="1" t="s">
        <v>71</v>
      </c>
      <c r="CH321" s="1" t="s">
        <v>71</v>
      </c>
      <c r="CI321" s="1" t="s">
        <v>71</v>
      </c>
      <c r="CJ321" s="1" t="s">
        <v>71</v>
      </c>
      <c r="CK321" s="1" t="s">
        <v>71</v>
      </c>
      <c r="CL321" s="1" t="s">
        <v>71</v>
      </c>
      <c r="CM321" s="1" t="s">
        <v>71</v>
      </c>
      <c r="CN321" s="1" t="s">
        <v>71</v>
      </c>
      <c r="CO321" s="5" t="s">
        <v>71</v>
      </c>
      <c r="CP321" s="5">
        <v>74</v>
      </c>
      <c r="CQ321" s="1" t="s">
        <v>71</v>
      </c>
      <c r="CR321" s="1">
        <v>165</v>
      </c>
      <c r="CS321" s="5">
        <v>35.1</v>
      </c>
      <c r="CT321" s="1" t="s">
        <v>71</v>
      </c>
      <c r="CU321" s="1">
        <v>6.1</v>
      </c>
      <c r="CV321" s="1" t="s">
        <v>71</v>
      </c>
      <c r="CW321" s="1" t="s">
        <v>71</v>
      </c>
      <c r="CX321" t="s">
        <v>71</v>
      </c>
      <c r="CY321" s="1" t="s">
        <v>71</v>
      </c>
      <c r="CZ321" t="s">
        <v>71</v>
      </c>
      <c r="DA321" t="s">
        <v>71</v>
      </c>
      <c r="DB321" t="s">
        <v>71</v>
      </c>
      <c r="DC321" s="26" t="s">
        <v>71</v>
      </c>
      <c r="DD321">
        <f t="shared" si="90"/>
        <v>0</v>
      </c>
      <c r="DE321" t="s">
        <v>71</v>
      </c>
      <c r="DF321" s="26" t="s">
        <v>71</v>
      </c>
    </row>
    <row r="322" spans="1:110" ht="15" x14ac:dyDescent="0.15">
      <c r="A322" s="23">
        <v>2023</v>
      </c>
      <c r="B322" s="23" t="s">
        <v>49</v>
      </c>
      <c r="C322" s="23">
        <v>16</v>
      </c>
      <c r="D322" s="23">
        <v>20</v>
      </c>
      <c r="E322" s="23"/>
      <c r="F322" s="23"/>
      <c r="G322" s="23" t="s">
        <v>5</v>
      </c>
      <c r="H322" s="23">
        <v>4</v>
      </c>
      <c r="I322" s="23" t="s">
        <v>70</v>
      </c>
      <c r="J322" s="23" t="s">
        <v>57</v>
      </c>
      <c r="K322" s="1" t="s">
        <v>57</v>
      </c>
      <c r="L322" s="1" t="s">
        <v>71</v>
      </c>
      <c r="M322" s="1" t="s">
        <v>71</v>
      </c>
      <c r="N322" s="1" t="s">
        <v>71</v>
      </c>
      <c r="O322" s="1" t="s">
        <v>71</v>
      </c>
      <c r="P322" s="24">
        <v>45080</v>
      </c>
      <c r="Q322" s="1" t="s">
        <v>71</v>
      </c>
      <c r="R322" s="1" t="s">
        <v>71</v>
      </c>
      <c r="S322" s="1" t="s">
        <v>71</v>
      </c>
      <c r="T322" s="1" t="s">
        <v>71</v>
      </c>
      <c r="U322" s="1" t="s">
        <v>71</v>
      </c>
      <c r="V322" s="1">
        <v>83</v>
      </c>
      <c r="W322" s="1" t="s">
        <v>71</v>
      </c>
      <c r="X322" s="1">
        <v>0</v>
      </c>
      <c r="Y322" s="1" t="s">
        <v>71</v>
      </c>
      <c r="Z322" s="1">
        <v>0</v>
      </c>
      <c r="AA322" s="1" t="s">
        <v>71</v>
      </c>
      <c r="AB322" s="1" t="s">
        <v>71</v>
      </c>
      <c r="AC322" s="1" t="s">
        <v>71</v>
      </c>
      <c r="AD322" s="25" t="s">
        <v>71</v>
      </c>
      <c r="AE322" s="25">
        <v>12</v>
      </c>
      <c r="AF322" s="25" t="s">
        <v>71</v>
      </c>
      <c r="AG322" s="25">
        <v>30</v>
      </c>
      <c r="AH322" s="1" t="s">
        <v>71</v>
      </c>
      <c r="AI322" s="1">
        <v>32</v>
      </c>
      <c r="AJ322" s="1" t="s">
        <v>71</v>
      </c>
      <c r="AK322" s="1" t="s">
        <v>71</v>
      </c>
      <c r="AL322" s="1" t="s">
        <v>71</v>
      </c>
      <c r="AM322" s="1" t="s">
        <v>71</v>
      </c>
      <c r="AN322" s="1" t="s">
        <v>71</v>
      </c>
      <c r="AO322" s="1" t="s">
        <v>71</v>
      </c>
      <c r="AP322" s="1" t="s">
        <v>71</v>
      </c>
      <c r="AQ322" s="1" t="s">
        <v>71</v>
      </c>
      <c r="AR322" s="1" t="s">
        <v>71</v>
      </c>
      <c r="AS322" s="1" t="s">
        <v>71</v>
      </c>
      <c r="AT322" s="1" t="s">
        <v>71</v>
      </c>
      <c r="AU322" s="1">
        <v>0</v>
      </c>
      <c r="AV322" s="1">
        <v>0</v>
      </c>
      <c r="AW322" s="1">
        <v>0</v>
      </c>
      <c r="AX322" s="1" t="s">
        <v>71</v>
      </c>
      <c r="AY322" s="1" t="s">
        <v>71</v>
      </c>
      <c r="AZ322" s="1">
        <v>0.35</v>
      </c>
      <c r="BA322" s="1" t="s">
        <v>71</v>
      </c>
      <c r="BB322" s="1" t="s">
        <v>71</v>
      </c>
      <c r="BC322" s="1" t="s">
        <v>71</v>
      </c>
      <c r="BD322" s="1" t="s">
        <v>71</v>
      </c>
      <c r="BE322" s="1" t="s">
        <v>71</v>
      </c>
      <c r="BF322" s="1" t="s">
        <v>71</v>
      </c>
      <c r="BG322" s="1" t="s">
        <v>71</v>
      </c>
      <c r="BH322" s="1">
        <v>4500</v>
      </c>
      <c r="BI322" s="1">
        <v>10</v>
      </c>
      <c r="BJ322" s="1">
        <v>2</v>
      </c>
      <c r="BK322" s="1">
        <v>0.6</v>
      </c>
      <c r="BL322" s="1">
        <f t="shared" si="88"/>
        <v>60</v>
      </c>
      <c r="BM322" s="1">
        <v>2</v>
      </c>
      <c r="BN322" s="1">
        <v>0.3</v>
      </c>
      <c r="BO322" s="1">
        <v>2</v>
      </c>
      <c r="BP322" s="1">
        <v>0</v>
      </c>
      <c r="BQ322" s="1" t="s">
        <v>71</v>
      </c>
      <c r="BR322" s="1" t="s">
        <v>71</v>
      </c>
      <c r="BS322" s="1" t="s">
        <v>71</v>
      </c>
      <c r="BT322" s="1" t="s">
        <v>71</v>
      </c>
      <c r="BU322" s="1" t="s">
        <v>71</v>
      </c>
      <c r="BV322" s="1">
        <v>2.7</v>
      </c>
      <c r="BW322" s="1">
        <v>0</v>
      </c>
      <c r="BX322" s="1" t="s">
        <v>71</v>
      </c>
      <c r="BY322" s="1" t="s">
        <v>71</v>
      </c>
      <c r="BZ322" s="3" t="s">
        <v>71</v>
      </c>
      <c r="CA322" s="3" t="s">
        <v>71</v>
      </c>
      <c r="CB322" s="3" t="s">
        <v>71</v>
      </c>
      <c r="CC322" s="3" t="s">
        <v>71</v>
      </c>
      <c r="CD322" s="1" t="s">
        <v>71</v>
      </c>
      <c r="CE322" s="1" t="s">
        <v>71</v>
      </c>
      <c r="CF322" s="1" t="s">
        <v>71</v>
      </c>
      <c r="CG322" s="1" t="s">
        <v>71</v>
      </c>
      <c r="CH322" s="1" t="s">
        <v>71</v>
      </c>
      <c r="CI322" s="1" t="s">
        <v>71</v>
      </c>
      <c r="CJ322" s="1" t="s">
        <v>71</v>
      </c>
      <c r="CK322" s="1" t="s">
        <v>71</v>
      </c>
      <c r="CL322" s="1" t="s">
        <v>71</v>
      </c>
      <c r="CM322" s="1" t="s">
        <v>71</v>
      </c>
      <c r="CN322" s="1" t="s">
        <v>71</v>
      </c>
      <c r="CO322" s="5" t="s">
        <v>71</v>
      </c>
      <c r="CP322" s="5">
        <v>78</v>
      </c>
      <c r="CQ322" s="1" t="s">
        <v>71</v>
      </c>
      <c r="CR322" s="1">
        <v>131</v>
      </c>
      <c r="CS322" s="5">
        <v>48</v>
      </c>
      <c r="CT322" s="1" t="s">
        <v>71</v>
      </c>
      <c r="CU322" s="1">
        <v>5.0999999999999996</v>
      </c>
      <c r="CV322" s="1" t="s">
        <v>71</v>
      </c>
      <c r="CW322" s="1" t="s">
        <v>71</v>
      </c>
      <c r="CX322" t="s">
        <v>71</v>
      </c>
      <c r="CY322" s="1" t="s">
        <v>71</v>
      </c>
      <c r="CZ322" t="s">
        <v>71</v>
      </c>
      <c r="DA322" t="s">
        <v>71</v>
      </c>
      <c r="DB322" t="s">
        <v>71</v>
      </c>
      <c r="DC322" s="26" t="s">
        <v>71</v>
      </c>
      <c r="DD322">
        <f t="shared" si="90"/>
        <v>0</v>
      </c>
      <c r="DE322" t="s">
        <v>71</v>
      </c>
      <c r="DF322" s="26" t="s">
        <v>71</v>
      </c>
    </row>
  </sheetData>
  <phoneticPr fontId="6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6E58-BAA4-F54E-9735-A565E8AEFF23}">
  <dimension ref="A1:H16375"/>
  <sheetViews>
    <sheetView topLeftCell="A21" zoomScale="117" workbookViewId="0">
      <selection activeCell="E37" sqref="E37"/>
    </sheetView>
  </sheetViews>
  <sheetFormatPr baseColWidth="10" defaultRowHeight="14" x14ac:dyDescent="0.15"/>
  <cols>
    <col min="1" max="1" width="56.6640625" customWidth="1"/>
    <col min="2" max="2" width="16.6640625" customWidth="1"/>
    <col min="3" max="3" width="9.1640625" customWidth="1"/>
    <col min="4" max="4" width="15" customWidth="1"/>
  </cols>
  <sheetData>
    <row r="1" spans="1:4" x14ac:dyDescent="0.15">
      <c r="A1" t="s">
        <v>139</v>
      </c>
      <c r="B1" t="s">
        <v>171</v>
      </c>
    </row>
    <row r="2" spans="1:4" ht="15" x14ac:dyDescent="0.15">
      <c r="A2" s="12" t="s">
        <v>14</v>
      </c>
      <c r="B2" s="8"/>
      <c r="D2" t="s">
        <v>140</v>
      </c>
    </row>
    <row r="3" spans="1:4" ht="15" x14ac:dyDescent="0.15">
      <c r="A3" s="16" t="s">
        <v>15</v>
      </c>
      <c r="B3" s="8" t="s">
        <v>172</v>
      </c>
      <c r="D3" t="s">
        <v>157</v>
      </c>
    </row>
    <row r="4" spans="1:4" ht="15" x14ac:dyDescent="0.15">
      <c r="A4" s="16" t="s">
        <v>37</v>
      </c>
      <c r="B4" s="8" t="s">
        <v>172</v>
      </c>
    </row>
    <row r="5" spans="1:4" ht="15" x14ac:dyDescent="0.15">
      <c r="A5" s="12" t="s">
        <v>16</v>
      </c>
      <c r="B5" s="8"/>
    </row>
    <row r="6" spans="1:4" ht="15" x14ac:dyDescent="0.15">
      <c r="A6" s="12" t="s">
        <v>17</v>
      </c>
      <c r="B6" s="8"/>
    </row>
    <row r="7" spans="1:4" ht="15" x14ac:dyDescent="0.15">
      <c r="A7" s="12" t="s">
        <v>38</v>
      </c>
      <c r="B7" s="8"/>
    </row>
    <row r="8" spans="1:4" ht="15" x14ac:dyDescent="0.15">
      <c r="A8" s="16" t="s">
        <v>39</v>
      </c>
      <c r="B8" s="8" t="s">
        <v>172</v>
      </c>
    </row>
    <row r="9" spans="1:4" ht="15" x14ac:dyDescent="0.15">
      <c r="A9" s="12" t="s">
        <v>18</v>
      </c>
      <c r="B9" s="8"/>
    </row>
    <row r="10" spans="1:4" ht="15" x14ac:dyDescent="0.15">
      <c r="A10" s="12" t="s">
        <v>19</v>
      </c>
      <c r="B10" s="8"/>
    </row>
    <row r="11" spans="1:4" ht="15" x14ac:dyDescent="0.15">
      <c r="A11" s="16" t="s">
        <v>20</v>
      </c>
      <c r="B11" s="8" t="s">
        <v>172</v>
      </c>
    </row>
    <row r="12" spans="1:4" ht="15" x14ac:dyDescent="0.15">
      <c r="A12" s="12" t="s">
        <v>117</v>
      </c>
      <c r="B12" s="8"/>
    </row>
    <row r="13" spans="1:4" ht="15" x14ac:dyDescent="0.15">
      <c r="A13" s="12" t="s">
        <v>118</v>
      </c>
      <c r="B13" s="8"/>
    </row>
    <row r="14" spans="1:4" ht="15" x14ac:dyDescent="0.15">
      <c r="A14" s="16" t="s">
        <v>40</v>
      </c>
      <c r="B14" s="8" t="s">
        <v>172</v>
      </c>
    </row>
    <row r="15" spans="1:4" ht="15" x14ac:dyDescent="0.15">
      <c r="A15" s="16" t="s">
        <v>72</v>
      </c>
      <c r="B15" s="8" t="s">
        <v>172</v>
      </c>
    </row>
    <row r="16" spans="1:4" ht="15" x14ac:dyDescent="0.15">
      <c r="A16" s="16" t="s">
        <v>73</v>
      </c>
      <c r="B16" s="8" t="s">
        <v>172</v>
      </c>
    </row>
    <row r="17" spans="1:8" ht="15" x14ac:dyDescent="0.15">
      <c r="A17" s="12" t="s">
        <v>74</v>
      </c>
      <c r="B17" s="8"/>
      <c r="C17" t="s">
        <v>158</v>
      </c>
    </row>
    <row r="18" spans="1:8" ht="15" x14ac:dyDescent="0.15">
      <c r="A18" s="12" t="s">
        <v>75</v>
      </c>
      <c r="B18" s="8"/>
      <c r="C18" t="s">
        <v>159</v>
      </c>
    </row>
    <row r="19" spans="1:8" ht="15" x14ac:dyDescent="0.15">
      <c r="A19" s="12" t="s">
        <v>76</v>
      </c>
      <c r="B19" s="8"/>
      <c r="C19" t="s">
        <v>160</v>
      </c>
    </row>
    <row r="20" spans="1:8" ht="15" x14ac:dyDescent="0.15">
      <c r="A20" s="12" t="s">
        <v>128</v>
      </c>
      <c r="B20" s="8"/>
      <c r="C20" t="s">
        <v>161</v>
      </c>
    </row>
    <row r="21" spans="1:8" ht="15" x14ac:dyDescent="0.15">
      <c r="A21" s="16" t="s">
        <v>85</v>
      </c>
      <c r="B21" s="8" t="s">
        <v>172</v>
      </c>
    </row>
    <row r="22" spans="1:8" ht="15" x14ac:dyDescent="0.15">
      <c r="A22" s="16" t="s">
        <v>86</v>
      </c>
      <c r="B22" s="8" t="s">
        <v>172</v>
      </c>
    </row>
    <row r="23" spans="1:8" ht="15" x14ac:dyDescent="0.15">
      <c r="A23" s="16" t="s">
        <v>87</v>
      </c>
      <c r="B23" s="8" t="s">
        <v>172</v>
      </c>
    </row>
    <row r="24" spans="1:8" ht="15" x14ac:dyDescent="0.15">
      <c r="A24" s="16" t="s">
        <v>88</v>
      </c>
      <c r="B24" s="8" t="s">
        <v>172</v>
      </c>
    </row>
    <row r="25" spans="1:8" ht="15" x14ac:dyDescent="0.15">
      <c r="A25" s="16" t="s">
        <v>89</v>
      </c>
      <c r="B25" s="8" t="s">
        <v>172</v>
      </c>
    </row>
    <row r="26" spans="1:8" ht="15" x14ac:dyDescent="0.15">
      <c r="A26" s="16" t="s">
        <v>90</v>
      </c>
      <c r="B26" s="8" t="s">
        <v>172</v>
      </c>
    </row>
    <row r="27" spans="1:8" ht="15" x14ac:dyDescent="0.15">
      <c r="A27" s="16" t="s">
        <v>21</v>
      </c>
      <c r="B27" s="8" t="s">
        <v>172</v>
      </c>
      <c r="C27" t="s">
        <v>174</v>
      </c>
      <c r="D27" t="s">
        <v>145</v>
      </c>
      <c r="E27" t="s">
        <v>147</v>
      </c>
      <c r="F27" t="s">
        <v>148</v>
      </c>
    </row>
    <row r="28" spans="1:8" ht="15" x14ac:dyDescent="0.15">
      <c r="A28" s="12" t="s">
        <v>93</v>
      </c>
      <c r="B28" s="8"/>
      <c r="C28">
        <v>6</v>
      </c>
      <c r="D28">
        <v>0.05</v>
      </c>
      <c r="E28" t="s">
        <v>182</v>
      </c>
      <c r="F28">
        <f>C28/234</f>
        <v>2.564102564102564E-2</v>
      </c>
    </row>
    <row r="29" spans="1:8" ht="15" x14ac:dyDescent="0.15">
      <c r="A29" s="12" t="s">
        <v>94</v>
      </c>
      <c r="B29" s="8"/>
      <c r="C29">
        <v>6</v>
      </c>
      <c r="D29">
        <v>0.1</v>
      </c>
      <c r="E29" t="s">
        <v>182</v>
      </c>
      <c r="F29">
        <f t="shared" ref="F29:F49" si="0">C29/234</f>
        <v>2.564102564102564E-2</v>
      </c>
    </row>
    <row r="30" spans="1:8" ht="15" x14ac:dyDescent="0.15">
      <c r="A30" s="12" t="s">
        <v>23</v>
      </c>
      <c r="B30" s="8"/>
      <c r="C30">
        <v>6</v>
      </c>
      <c r="D30">
        <v>1E-3</v>
      </c>
      <c r="E30" t="s">
        <v>182</v>
      </c>
      <c r="F30">
        <f t="shared" si="0"/>
        <v>2.564102564102564E-2</v>
      </c>
      <c r="H30" t="s">
        <v>173</v>
      </c>
    </row>
    <row r="31" spans="1:8" ht="15" x14ac:dyDescent="0.15">
      <c r="A31" s="12" t="s">
        <v>91</v>
      </c>
      <c r="B31" s="8"/>
      <c r="C31">
        <v>204</v>
      </c>
      <c r="D31">
        <v>0.15</v>
      </c>
      <c r="E31" t="s">
        <v>182</v>
      </c>
      <c r="F31">
        <f t="shared" si="0"/>
        <v>0.87179487179487181</v>
      </c>
      <c r="H31" t="s">
        <v>177</v>
      </c>
    </row>
    <row r="32" spans="1:8" ht="15" x14ac:dyDescent="0.15">
      <c r="A32" s="12" t="s">
        <v>92</v>
      </c>
      <c r="B32" s="8"/>
      <c r="C32">
        <v>204</v>
      </c>
      <c r="D32">
        <v>0.2</v>
      </c>
      <c r="E32" t="s">
        <v>182</v>
      </c>
      <c r="F32">
        <f t="shared" si="0"/>
        <v>0.87179487179487181</v>
      </c>
    </row>
    <row r="33" spans="1:8" ht="15" x14ac:dyDescent="0.15">
      <c r="A33" s="12" t="s">
        <v>24</v>
      </c>
      <c r="B33" s="8"/>
      <c r="C33">
        <v>204</v>
      </c>
      <c r="D33">
        <v>1.2E-2</v>
      </c>
      <c r="E33" t="s">
        <v>182</v>
      </c>
      <c r="F33">
        <f t="shared" si="0"/>
        <v>0.87179487179487181</v>
      </c>
    </row>
    <row r="34" spans="1:8" ht="15" x14ac:dyDescent="0.15">
      <c r="A34" s="16" t="s">
        <v>25</v>
      </c>
      <c r="B34" s="8"/>
      <c r="C34">
        <v>242</v>
      </c>
      <c r="D34">
        <v>55</v>
      </c>
      <c r="E34" t="s">
        <v>141</v>
      </c>
      <c r="F34">
        <f t="shared" si="0"/>
        <v>1.0341880341880343</v>
      </c>
      <c r="H34" t="s">
        <v>175</v>
      </c>
    </row>
    <row r="35" spans="1:8" ht="15" x14ac:dyDescent="0.15">
      <c r="A35" s="12" t="s">
        <v>103</v>
      </c>
      <c r="B35" s="8"/>
      <c r="C35">
        <v>105</v>
      </c>
      <c r="D35">
        <v>0.7</v>
      </c>
      <c r="F35">
        <f t="shared" si="0"/>
        <v>0.44871794871794873</v>
      </c>
      <c r="H35" t="s">
        <v>176</v>
      </c>
    </row>
    <row r="36" spans="1:8" ht="15" x14ac:dyDescent="0.15">
      <c r="A36" s="12" t="s">
        <v>104</v>
      </c>
      <c r="B36" s="8"/>
      <c r="C36">
        <v>105</v>
      </c>
      <c r="D36">
        <v>20</v>
      </c>
      <c r="F36">
        <f t="shared" si="0"/>
        <v>0.44871794871794873</v>
      </c>
      <c r="H36" t="s">
        <v>176</v>
      </c>
    </row>
    <row r="37" spans="1:8" ht="15" x14ac:dyDescent="0.15">
      <c r="A37" s="12" t="s">
        <v>26</v>
      </c>
      <c r="B37" s="8"/>
      <c r="C37">
        <v>105</v>
      </c>
      <c r="D37">
        <v>10</v>
      </c>
      <c r="F37">
        <f t="shared" si="0"/>
        <v>0.44871794871794873</v>
      </c>
      <c r="H37" t="s">
        <v>176</v>
      </c>
    </row>
    <row r="38" spans="1:8" ht="15" x14ac:dyDescent="0.15">
      <c r="A38" s="12" t="s">
        <v>101</v>
      </c>
      <c r="B38" s="8"/>
      <c r="C38">
        <v>16</v>
      </c>
      <c r="D38">
        <v>0.39</v>
      </c>
      <c r="F38">
        <f t="shared" si="0"/>
        <v>6.8376068376068383E-2</v>
      </c>
      <c r="H38" t="s">
        <v>178</v>
      </c>
    </row>
    <row r="39" spans="1:8" ht="15" x14ac:dyDescent="0.15">
      <c r="A39" s="12" t="s">
        <v>102</v>
      </c>
      <c r="B39" s="8"/>
      <c r="C39">
        <v>16</v>
      </c>
      <c r="D39">
        <v>1</v>
      </c>
      <c r="F39">
        <f t="shared" si="0"/>
        <v>6.8376068376068383E-2</v>
      </c>
      <c r="H39" t="s">
        <v>178</v>
      </c>
    </row>
    <row r="40" spans="1:8" ht="15" x14ac:dyDescent="0.15">
      <c r="A40" s="12" t="s">
        <v>42</v>
      </c>
      <c r="B40" s="8"/>
      <c r="C40">
        <v>16</v>
      </c>
      <c r="D40">
        <v>0.39</v>
      </c>
      <c r="F40">
        <f t="shared" si="0"/>
        <v>6.8376068376068383E-2</v>
      </c>
      <c r="H40" t="s">
        <v>178</v>
      </c>
    </row>
    <row r="41" spans="1:8" ht="15" x14ac:dyDescent="0.15">
      <c r="A41" s="12" t="s">
        <v>107</v>
      </c>
      <c r="B41" s="8"/>
      <c r="C41">
        <v>1</v>
      </c>
      <c r="D41">
        <v>1</v>
      </c>
      <c r="F41">
        <f t="shared" si="0"/>
        <v>4.2735042735042739E-3</v>
      </c>
    </row>
    <row r="42" spans="1:8" ht="15" x14ac:dyDescent="0.15">
      <c r="A42" s="12" t="s">
        <v>108</v>
      </c>
      <c r="B42" s="8"/>
      <c r="C42">
        <v>3</v>
      </c>
      <c r="D42">
        <v>0.05</v>
      </c>
      <c r="F42">
        <f t="shared" si="0"/>
        <v>1.282051282051282E-2</v>
      </c>
    </row>
    <row r="43" spans="1:8" ht="15" x14ac:dyDescent="0.15">
      <c r="A43" s="16" t="s">
        <v>100</v>
      </c>
      <c r="B43" s="8" t="s">
        <v>142</v>
      </c>
      <c r="C43">
        <v>19</v>
      </c>
      <c r="D43">
        <v>0.7</v>
      </c>
      <c r="E43" t="s">
        <v>143</v>
      </c>
      <c r="F43">
        <f t="shared" si="0"/>
        <v>8.11965811965812E-2</v>
      </c>
    </row>
    <row r="44" spans="1:8" ht="15" x14ac:dyDescent="0.15">
      <c r="A44" s="16" t="s">
        <v>95</v>
      </c>
      <c r="B44" s="8" t="s">
        <v>172</v>
      </c>
      <c r="C44">
        <v>49</v>
      </c>
      <c r="D44">
        <v>0.2</v>
      </c>
      <c r="E44" t="s">
        <v>182</v>
      </c>
      <c r="F44">
        <f t="shared" si="0"/>
        <v>0.20940170940170941</v>
      </c>
    </row>
    <row r="45" spans="1:8" ht="15" x14ac:dyDescent="0.15">
      <c r="A45" s="12" t="s">
        <v>96</v>
      </c>
      <c r="B45" s="8"/>
      <c r="C45">
        <v>49</v>
      </c>
      <c r="D45">
        <v>3.0000000000000001E-3</v>
      </c>
      <c r="E45" t="s">
        <v>182</v>
      </c>
      <c r="F45">
        <f t="shared" si="0"/>
        <v>0.20940170940170941</v>
      </c>
    </row>
    <row r="46" spans="1:8" ht="15" x14ac:dyDescent="0.15">
      <c r="A46" s="12" t="s">
        <v>97</v>
      </c>
      <c r="B46" s="8"/>
      <c r="C46">
        <v>49</v>
      </c>
      <c r="D46">
        <v>1.4999999999999999E-4</v>
      </c>
      <c r="E46" t="s">
        <v>182</v>
      </c>
      <c r="F46">
        <f t="shared" si="0"/>
        <v>0.20940170940170941</v>
      </c>
    </row>
    <row r="47" spans="1:8" ht="15" x14ac:dyDescent="0.15">
      <c r="A47" s="12" t="s">
        <v>98</v>
      </c>
      <c r="B47" s="8"/>
      <c r="C47">
        <v>2</v>
      </c>
      <c r="D47">
        <v>0.01</v>
      </c>
      <c r="E47" t="s">
        <v>182</v>
      </c>
      <c r="F47">
        <f t="shared" si="0"/>
        <v>8.5470085470085479E-3</v>
      </c>
    </row>
    <row r="48" spans="1:8" ht="15" x14ac:dyDescent="0.15">
      <c r="A48" s="12" t="s">
        <v>99</v>
      </c>
      <c r="B48" s="8"/>
      <c r="C48">
        <v>2</v>
      </c>
      <c r="D48">
        <v>5.0000000000000001E-3</v>
      </c>
      <c r="E48" t="s">
        <v>182</v>
      </c>
      <c r="F48">
        <f t="shared" si="0"/>
        <v>8.5470085470085479E-3</v>
      </c>
    </row>
    <row r="49" spans="1:6" ht="15" x14ac:dyDescent="0.15">
      <c r="A49" s="12" t="s">
        <v>22</v>
      </c>
      <c r="B49" s="8"/>
      <c r="C49">
        <v>2</v>
      </c>
      <c r="D49">
        <v>5.0000000000000002E-5</v>
      </c>
      <c r="E49" t="s">
        <v>57</v>
      </c>
      <c r="F49">
        <f t="shared" si="0"/>
        <v>8.5470085470085479E-3</v>
      </c>
    </row>
    <row r="50" spans="1:6" ht="15" x14ac:dyDescent="0.15">
      <c r="A50" s="12" t="s">
        <v>109</v>
      </c>
      <c r="B50" s="8"/>
      <c r="C50" t="s">
        <v>57</v>
      </c>
    </row>
    <row r="51" spans="1:6" ht="15" x14ac:dyDescent="0.15">
      <c r="A51" s="16" t="s">
        <v>119</v>
      </c>
      <c r="B51" s="8" t="s">
        <v>172</v>
      </c>
      <c r="E51" s="7" t="s">
        <v>146</v>
      </c>
    </row>
    <row r="52" spans="1:6" ht="15" x14ac:dyDescent="0.15">
      <c r="A52" s="12" t="s">
        <v>105</v>
      </c>
      <c r="B52" s="8"/>
    </row>
    <row r="53" spans="1:6" ht="15" x14ac:dyDescent="0.15">
      <c r="A53" s="12" t="s">
        <v>106</v>
      </c>
      <c r="B53" s="8"/>
    </row>
    <row r="54" spans="1:6" ht="15" x14ac:dyDescent="0.15">
      <c r="A54" s="16" t="s">
        <v>78</v>
      </c>
      <c r="B54" s="8" t="s">
        <v>172</v>
      </c>
      <c r="C54" s="7" t="s">
        <v>144</v>
      </c>
    </row>
    <row r="55" spans="1:6" ht="15" x14ac:dyDescent="0.15">
      <c r="A55" s="12" t="s">
        <v>136</v>
      </c>
      <c r="B55" s="8"/>
    </row>
    <row r="56" spans="1:6" ht="15" x14ac:dyDescent="0.15">
      <c r="A56" s="12" t="s">
        <v>77</v>
      </c>
      <c r="B56" s="8"/>
    </row>
    <row r="57" spans="1:6" ht="15" x14ac:dyDescent="0.15">
      <c r="A57" s="12" t="s">
        <v>79</v>
      </c>
      <c r="B57" s="8"/>
    </row>
    <row r="58" spans="1:6" ht="15" x14ac:dyDescent="0.15">
      <c r="A58" s="12" t="s">
        <v>80</v>
      </c>
      <c r="B58" s="8"/>
    </row>
    <row r="59" spans="1:6" ht="15" x14ac:dyDescent="0.15">
      <c r="A59" s="16" t="s">
        <v>81</v>
      </c>
      <c r="B59" s="21" t="s">
        <v>172</v>
      </c>
      <c r="C59" s="7" t="s">
        <v>170</v>
      </c>
    </row>
    <row r="60" spans="1:6" ht="15" x14ac:dyDescent="0.15">
      <c r="A60" s="12" t="s">
        <v>137</v>
      </c>
      <c r="B60" s="8"/>
    </row>
    <row r="61" spans="1:6" ht="15" x14ac:dyDescent="0.15">
      <c r="A61" s="12" t="s">
        <v>82</v>
      </c>
      <c r="B61" s="8"/>
    </row>
    <row r="62" spans="1:6" ht="15" x14ac:dyDescent="0.15">
      <c r="A62" s="12" t="s">
        <v>83</v>
      </c>
      <c r="B62" s="8"/>
    </row>
    <row r="63" spans="1:6" ht="15" x14ac:dyDescent="0.15">
      <c r="A63" s="12" t="s">
        <v>84</v>
      </c>
      <c r="B63" s="8"/>
    </row>
    <row r="64" spans="1:6" ht="15" x14ac:dyDescent="0.15">
      <c r="A64" s="12" t="s">
        <v>27</v>
      </c>
      <c r="B64" s="8"/>
    </row>
    <row r="65" spans="1:3" x14ac:dyDescent="0.15">
      <c r="A65" s="17" t="s">
        <v>138</v>
      </c>
      <c r="B65" s="19"/>
    </row>
    <row r="66" spans="1:3" ht="15" x14ac:dyDescent="0.15">
      <c r="A66" s="12" t="s">
        <v>110</v>
      </c>
      <c r="B66" s="8"/>
      <c r="C66" t="s">
        <v>164</v>
      </c>
    </row>
    <row r="67" spans="1:3" ht="15" x14ac:dyDescent="0.15">
      <c r="A67" s="12" t="s">
        <v>111</v>
      </c>
      <c r="B67" s="8"/>
      <c r="C67" t="s">
        <v>164</v>
      </c>
    </row>
    <row r="68" spans="1:3" ht="15" x14ac:dyDescent="0.15">
      <c r="A68" s="12" t="s">
        <v>112</v>
      </c>
      <c r="B68" s="8"/>
      <c r="C68" t="s">
        <v>164</v>
      </c>
    </row>
    <row r="69" spans="1:3" ht="15" x14ac:dyDescent="0.15">
      <c r="A69" s="12" t="s">
        <v>113</v>
      </c>
      <c r="B69" s="8"/>
    </row>
    <row r="70" spans="1:3" ht="15" x14ac:dyDescent="0.15">
      <c r="A70" s="12" t="s">
        <v>114</v>
      </c>
      <c r="B70" s="8"/>
    </row>
    <row r="71" spans="1:3" ht="15" x14ac:dyDescent="0.15">
      <c r="A71" s="16" t="s">
        <v>115</v>
      </c>
      <c r="B71" s="8"/>
      <c r="C71" s="7" t="s">
        <v>142</v>
      </c>
    </row>
    <row r="72" spans="1:3" ht="15" x14ac:dyDescent="0.15">
      <c r="A72" s="16" t="s">
        <v>116</v>
      </c>
      <c r="B72" s="8"/>
      <c r="C72" s="7" t="s">
        <v>142</v>
      </c>
    </row>
    <row r="73" spans="1:3" ht="15" x14ac:dyDescent="0.15">
      <c r="A73" s="12" t="s">
        <v>120</v>
      </c>
      <c r="B73" s="8"/>
      <c r="C73" t="s">
        <v>164</v>
      </c>
    </row>
    <row r="74" spans="1:3" ht="15" x14ac:dyDescent="0.15">
      <c r="A74" s="12" t="s">
        <v>121</v>
      </c>
      <c r="B74" s="8"/>
      <c r="C74" t="s">
        <v>164</v>
      </c>
    </row>
    <row r="75" spans="1:3" ht="15" x14ac:dyDescent="0.15">
      <c r="A75" s="12" t="s">
        <v>28</v>
      </c>
      <c r="B75" s="8"/>
    </row>
    <row r="76" spans="1:3" ht="15" x14ac:dyDescent="0.15">
      <c r="A76" s="12" t="s">
        <v>43</v>
      </c>
      <c r="B76" s="8"/>
    </row>
    <row r="77" spans="1:3" ht="15" x14ac:dyDescent="0.15">
      <c r="A77" s="16" t="s">
        <v>29</v>
      </c>
      <c r="B77" s="8"/>
      <c r="C77" s="7" t="s">
        <v>165</v>
      </c>
    </row>
    <row r="78" spans="1:3" ht="15" x14ac:dyDescent="0.15">
      <c r="A78" s="16" t="s">
        <v>44</v>
      </c>
      <c r="B78" s="8"/>
      <c r="C78" s="7" t="s">
        <v>165</v>
      </c>
    </row>
    <row r="79" spans="1:3" ht="15" x14ac:dyDescent="0.15">
      <c r="A79" s="12" t="s">
        <v>30</v>
      </c>
      <c r="B79" s="8"/>
    </row>
    <row r="80" spans="1:3" ht="15" x14ac:dyDescent="0.15">
      <c r="A80" s="16" t="s">
        <v>31</v>
      </c>
      <c r="B80" s="8" t="s">
        <v>172</v>
      </c>
    </row>
    <row r="81" spans="1:3" ht="15" x14ac:dyDescent="0.15">
      <c r="A81" s="12" t="s">
        <v>32</v>
      </c>
      <c r="B81" s="8"/>
    </row>
    <row r="82" spans="1:3" ht="15" x14ac:dyDescent="0.15">
      <c r="A82" s="16" t="s">
        <v>33</v>
      </c>
      <c r="B82" s="8" t="s">
        <v>172</v>
      </c>
    </row>
    <row r="83" spans="1:3" ht="15" x14ac:dyDescent="0.15">
      <c r="A83" s="16" t="s">
        <v>45</v>
      </c>
      <c r="B83" s="8" t="s">
        <v>172</v>
      </c>
    </row>
    <row r="84" spans="1:3" ht="15" x14ac:dyDescent="0.15">
      <c r="A84" s="12" t="s">
        <v>34</v>
      </c>
      <c r="B84" s="8"/>
    </row>
    <row r="85" spans="1:3" ht="15" x14ac:dyDescent="0.15">
      <c r="A85" s="12" t="s">
        <v>134</v>
      </c>
      <c r="B85" s="8"/>
    </row>
    <row r="86" spans="1:3" ht="15" x14ac:dyDescent="0.15">
      <c r="A86" s="12" t="s">
        <v>132</v>
      </c>
      <c r="B86" s="8"/>
    </row>
    <row r="87" spans="1:3" ht="15" x14ac:dyDescent="0.15">
      <c r="A87" s="12" t="s">
        <v>135</v>
      </c>
      <c r="B87" s="8"/>
    </row>
    <row r="88" spans="1:3" ht="15" x14ac:dyDescent="0.15">
      <c r="A88" s="12" t="s">
        <v>133</v>
      </c>
      <c r="B88" s="8"/>
    </row>
    <row r="89" spans="1:3" ht="15" x14ac:dyDescent="0.15">
      <c r="A89" s="16" t="s">
        <v>35</v>
      </c>
      <c r="B89" s="8" t="s">
        <v>172</v>
      </c>
    </row>
    <row r="90" spans="1:3" ht="15" x14ac:dyDescent="0.15">
      <c r="A90" s="12" t="s">
        <v>122</v>
      </c>
      <c r="B90" s="8"/>
    </row>
    <row r="91" spans="1:3" ht="15" x14ac:dyDescent="0.15">
      <c r="A91" s="16" t="s">
        <v>36</v>
      </c>
      <c r="B91" s="8" t="s">
        <v>172</v>
      </c>
    </row>
    <row r="92" spans="1:3" ht="15" x14ac:dyDescent="0.15">
      <c r="A92" s="16" t="s">
        <v>46</v>
      </c>
      <c r="B92" s="8" t="s">
        <v>172</v>
      </c>
    </row>
    <row r="93" spans="1:3" ht="15" x14ac:dyDescent="0.15">
      <c r="A93" s="16" t="s">
        <v>47</v>
      </c>
      <c r="B93" s="8" t="s">
        <v>172</v>
      </c>
      <c r="C93" s="7" t="s">
        <v>168</v>
      </c>
    </row>
    <row r="94" spans="1:3" ht="15" x14ac:dyDescent="0.15">
      <c r="A94" s="12" t="s">
        <v>123</v>
      </c>
      <c r="B94" s="8"/>
      <c r="C94" s="7" t="s">
        <v>167</v>
      </c>
    </row>
    <row r="95" spans="1:3" ht="15" x14ac:dyDescent="0.15">
      <c r="A95" s="12" t="s">
        <v>124</v>
      </c>
      <c r="B95" s="8"/>
      <c r="C95" s="7" t="s">
        <v>167</v>
      </c>
    </row>
    <row r="96" spans="1:3" ht="15" x14ac:dyDescent="0.15">
      <c r="A96" s="12" t="s">
        <v>130</v>
      </c>
      <c r="B96" s="8"/>
    </row>
    <row r="97" spans="1:3" ht="15" x14ac:dyDescent="0.15">
      <c r="A97" s="12" t="s">
        <v>131</v>
      </c>
      <c r="B97" s="8"/>
    </row>
    <row r="98" spans="1:3" ht="15" x14ac:dyDescent="0.15">
      <c r="A98" s="16" t="s">
        <v>156</v>
      </c>
      <c r="B98" s="8"/>
      <c r="C98" s="7" t="s">
        <v>169</v>
      </c>
    </row>
    <row r="99" spans="1:3" ht="15" x14ac:dyDescent="0.15">
      <c r="A99" s="16" t="s">
        <v>155</v>
      </c>
      <c r="B99" s="8"/>
      <c r="C99" s="7" t="s">
        <v>169</v>
      </c>
    </row>
    <row r="100" spans="1:3" ht="15" x14ac:dyDescent="0.15">
      <c r="A100" s="16" t="s">
        <v>149</v>
      </c>
      <c r="B100" s="8" t="s">
        <v>172</v>
      </c>
    </row>
    <row r="101" spans="1:3" x14ac:dyDescent="0.15">
      <c r="A101" s="18" t="s">
        <v>166</v>
      </c>
      <c r="B101" s="20" t="s">
        <v>172</v>
      </c>
    </row>
    <row r="102" spans="1:3" x14ac:dyDescent="0.15">
      <c r="A102" s="15"/>
      <c r="B102" s="15"/>
    </row>
    <row r="103" spans="1:3" x14ac:dyDescent="0.15">
      <c r="A103" s="15"/>
      <c r="B103" s="15"/>
    </row>
    <row r="104" spans="1:3" x14ac:dyDescent="0.15">
      <c r="A104" s="15"/>
      <c r="B104" s="15"/>
    </row>
    <row r="105" spans="1:3" x14ac:dyDescent="0.15">
      <c r="A105" s="15"/>
      <c r="B105" s="15"/>
    </row>
    <row r="106" spans="1:3" x14ac:dyDescent="0.15">
      <c r="A106" s="15"/>
      <c r="B106" s="15"/>
    </row>
    <row r="107" spans="1:3" x14ac:dyDescent="0.15">
      <c r="A107" s="15"/>
      <c r="B107" s="15"/>
    </row>
    <row r="108" spans="1:3" x14ac:dyDescent="0.15">
      <c r="A108" s="15"/>
      <c r="B108" s="15"/>
    </row>
    <row r="109" spans="1:3" x14ac:dyDescent="0.15">
      <c r="A109" s="15"/>
      <c r="B109" s="15"/>
    </row>
    <row r="110" spans="1:3" x14ac:dyDescent="0.15">
      <c r="A110" s="15"/>
      <c r="B110" s="15"/>
    </row>
    <row r="111" spans="1:3" x14ac:dyDescent="0.15">
      <c r="A111" s="15"/>
      <c r="B111" s="15"/>
    </row>
    <row r="112" spans="1:3" x14ac:dyDescent="0.15">
      <c r="A112" s="15"/>
      <c r="B112" s="15"/>
    </row>
    <row r="113" spans="1:2" x14ac:dyDescent="0.15">
      <c r="A113" s="15"/>
      <c r="B113" s="15"/>
    </row>
    <row r="114" spans="1:2" x14ac:dyDescent="0.15">
      <c r="A114" s="15"/>
      <c r="B114" s="15"/>
    </row>
    <row r="115" spans="1:2" x14ac:dyDescent="0.15">
      <c r="A115" s="15"/>
      <c r="B115" s="15"/>
    </row>
    <row r="116" spans="1:2" x14ac:dyDescent="0.15">
      <c r="A116" s="15"/>
      <c r="B116" s="15"/>
    </row>
    <row r="117" spans="1:2" x14ac:dyDescent="0.15">
      <c r="A117" s="15"/>
      <c r="B117" s="15"/>
    </row>
    <row r="118" spans="1:2" x14ac:dyDescent="0.15">
      <c r="A118" s="15"/>
      <c r="B118" s="15"/>
    </row>
    <row r="119" spans="1:2" x14ac:dyDescent="0.15">
      <c r="A119" s="15"/>
      <c r="B119" s="15"/>
    </row>
    <row r="120" spans="1:2" x14ac:dyDescent="0.15">
      <c r="A120" s="15"/>
      <c r="B120" s="15"/>
    </row>
    <row r="121" spans="1:2" x14ac:dyDescent="0.15">
      <c r="A121" s="15"/>
      <c r="B121" s="15"/>
    </row>
    <row r="122" spans="1:2" x14ac:dyDescent="0.15">
      <c r="A122" s="15"/>
      <c r="B122" s="15"/>
    </row>
    <row r="123" spans="1:2" x14ac:dyDescent="0.15">
      <c r="A123" s="15"/>
      <c r="B123" s="15"/>
    </row>
    <row r="124" spans="1:2" x14ac:dyDescent="0.15">
      <c r="A124" s="15"/>
      <c r="B124" s="15"/>
    </row>
    <row r="125" spans="1:2" x14ac:dyDescent="0.15">
      <c r="A125" s="15"/>
      <c r="B125" s="15"/>
    </row>
    <row r="126" spans="1:2" x14ac:dyDescent="0.15">
      <c r="A126" s="15"/>
      <c r="B126" s="15"/>
    </row>
    <row r="127" spans="1:2" x14ac:dyDescent="0.15">
      <c r="A127" s="15"/>
      <c r="B127" s="15"/>
    </row>
    <row r="128" spans="1:2" x14ac:dyDescent="0.15">
      <c r="A128" s="15"/>
      <c r="B128" s="15"/>
    </row>
    <row r="129" spans="1:2" x14ac:dyDescent="0.15">
      <c r="A129" s="15"/>
      <c r="B129" s="15"/>
    </row>
    <row r="130" spans="1:2" x14ac:dyDescent="0.15">
      <c r="A130" s="15"/>
      <c r="B130" s="15"/>
    </row>
    <row r="131" spans="1:2" x14ac:dyDescent="0.15">
      <c r="A131" s="15"/>
      <c r="B131" s="15"/>
    </row>
    <row r="132" spans="1:2" x14ac:dyDescent="0.15">
      <c r="A132" s="15"/>
      <c r="B132" s="15"/>
    </row>
    <row r="133" spans="1:2" x14ac:dyDescent="0.15">
      <c r="A133" s="15"/>
      <c r="B133" s="15"/>
    </row>
    <row r="134" spans="1:2" x14ac:dyDescent="0.15">
      <c r="A134" s="15"/>
      <c r="B134" s="15"/>
    </row>
    <row r="135" spans="1:2" x14ac:dyDescent="0.15">
      <c r="A135" s="15"/>
      <c r="B135" s="15"/>
    </row>
    <row r="136" spans="1:2" x14ac:dyDescent="0.15">
      <c r="A136" s="15"/>
      <c r="B136" s="15"/>
    </row>
    <row r="137" spans="1:2" x14ac:dyDescent="0.15">
      <c r="A137" s="15"/>
      <c r="B137" s="15"/>
    </row>
    <row r="138" spans="1:2" x14ac:dyDescent="0.15">
      <c r="A138" s="15"/>
      <c r="B138" s="15"/>
    </row>
    <row r="139" spans="1:2" x14ac:dyDescent="0.15">
      <c r="A139" s="15"/>
      <c r="B139" s="15"/>
    </row>
    <row r="140" spans="1:2" x14ac:dyDescent="0.15">
      <c r="A140" s="15"/>
      <c r="B140" s="15"/>
    </row>
    <row r="141" spans="1:2" x14ac:dyDescent="0.15">
      <c r="A141" s="15"/>
      <c r="B141" s="15"/>
    </row>
    <row r="142" spans="1:2" x14ac:dyDescent="0.15">
      <c r="A142" s="15"/>
      <c r="B142" s="15"/>
    </row>
    <row r="143" spans="1:2" x14ac:dyDescent="0.15">
      <c r="A143" s="15"/>
      <c r="B143" s="15"/>
    </row>
    <row r="144" spans="1:2" x14ac:dyDescent="0.15">
      <c r="A144" s="15"/>
      <c r="B144" s="15"/>
    </row>
    <row r="145" spans="1:2" x14ac:dyDescent="0.15">
      <c r="A145" s="15"/>
      <c r="B145" s="15"/>
    </row>
    <row r="146" spans="1:2" x14ac:dyDescent="0.15">
      <c r="A146" s="15"/>
      <c r="B146" s="15"/>
    </row>
    <row r="147" spans="1:2" x14ac:dyDescent="0.15">
      <c r="A147" s="15"/>
      <c r="B147" s="15"/>
    </row>
    <row r="148" spans="1:2" x14ac:dyDescent="0.15">
      <c r="A148" s="15"/>
      <c r="B148" s="15"/>
    </row>
    <row r="149" spans="1:2" x14ac:dyDescent="0.15">
      <c r="A149" s="15"/>
      <c r="B149" s="15"/>
    </row>
    <row r="150" spans="1:2" x14ac:dyDescent="0.15">
      <c r="A150" s="15"/>
      <c r="B150" s="15"/>
    </row>
    <row r="151" spans="1:2" x14ac:dyDescent="0.15">
      <c r="A151" s="15"/>
      <c r="B151" s="15"/>
    </row>
    <row r="152" spans="1:2" x14ac:dyDescent="0.15">
      <c r="A152" s="15"/>
      <c r="B152" s="15"/>
    </row>
    <row r="153" spans="1:2" x14ac:dyDescent="0.15">
      <c r="A153" s="15"/>
      <c r="B153" s="15"/>
    </row>
    <row r="154" spans="1:2" x14ac:dyDescent="0.15">
      <c r="A154" s="15"/>
      <c r="B154" s="15"/>
    </row>
    <row r="155" spans="1:2" x14ac:dyDescent="0.15">
      <c r="A155" s="15"/>
      <c r="B155" s="15"/>
    </row>
    <row r="156" spans="1:2" x14ac:dyDescent="0.15">
      <c r="A156" s="15"/>
      <c r="B156" s="15"/>
    </row>
    <row r="157" spans="1:2" x14ac:dyDescent="0.15">
      <c r="A157" s="15"/>
      <c r="B157" s="15"/>
    </row>
    <row r="158" spans="1:2" x14ac:dyDescent="0.15">
      <c r="A158" s="15"/>
      <c r="B158" s="15"/>
    </row>
    <row r="159" spans="1:2" x14ac:dyDescent="0.15">
      <c r="A159" s="15"/>
      <c r="B159" s="15"/>
    </row>
    <row r="160" spans="1:2" x14ac:dyDescent="0.15">
      <c r="A160" s="15"/>
      <c r="B160" s="15"/>
    </row>
    <row r="161" spans="1:2" x14ac:dyDescent="0.15">
      <c r="A161" s="15"/>
      <c r="B161" s="15"/>
    </row>
    <row r="162" spans="1:2" x14ac:dyDescent="0.15">
      <c r="A162" s="15"/>
      <c r="B162" s="15"/>
    </row>
    <row r="163" spans="1:2" x14ac:dyDescent="0.15">
      <c r="A163" s="15"/>
      <c r="B163" s="15"/>
    </row>
    <row r="164" spans="1:2" x14ac:dyDescent="0.15">
      <c r="A164" s="15"/>
      <c r="B164" s="15"/>
    </row>
    <row r="165" spans="1:2" x14ac:dyDescent="0.15">
      <c r="A165" s="15"/>
      <c r="B165" s="15"/>
    </row>
    <row r="166" spans="1:2" x14ac:dyDescent="0.15">
      <c r="A166" s="15"/>
      <c r="B166" s="15"/>
    </row>
    <row r="167" spans="1:2" x14ac:dyDescent="0.15">
      <c r="A167" s="15"/>
      <c r="B167" s="15"/>
    </row>
    <row r="168" spans="1:2" x14ac:dyDescent="0.15">
      <c r="A168" s="15"/>
      <c r="B168" s="15"/>
    </row>
    <row r="169" spans="1:2" x14ac:dyDescent="0.15">
      <c r="A169" s="15"/>
      <c r="B169" s="15"/>
    </row>
    <row r="170" spans="1:2" x14ac:dyDescent="0.15">
      <c r="A170" s="15"/>
      <c r="B170" s="15"/>
    </row>
    <row r="171" spans="1:2" x14ac:dyDescent="0.15">
      <c r="A171" s="15"/>
      <c r="B171" s="15"/>
    </row>
    <row r="172" spans="1:2" x14ac:dyDescent="0.15">
      <c r="A172" s="15"/>
      <c r="B172" s="15"/>
    </row>
    <row r="173" spans="1:2" x14ac:dyDescent="0.15">
      <c r="A173" s="15"/>
      <c r="B173" s="15"/>
    </row>
    <row r="174" spans="1:2" x14ac:dyDescent="0.15">
      <c r="A174" s="15"/>
      <c r="B174" s="15"/>
    </row>
    <row r="175" spans="1:2" x14ac:dyDescent="0.15">
      <c r="A175" s="15"/>
      <c r="B175" s="15"/>
    </row>
    <row r="176" spans="1:2" x14ac:dyDescent="0.15">
      <c r="A176" s="15"/>
      <c r="B176" s="15"/>
    </row>
    <row r="177" spans="1:2" x14ac:dyDescent="0.15">
      <c r="A177" s="15"/>
      <c r="B177" s="15"/>
    </row>
    <row r="178" spans="1:2" x14ac:dyDescent="0.15">
      <c r="A178" s="15"/>
      <c r="B178" s="15"/>
    </row>
    <row r="179" spans="1:2" x14ac:dyDescent="0.15">
      <c r="A179" s="15"/>
      <c r="B179" s="15"/>
    </row>
    <row r="180" spans="1:2" x14ac:dyDescent="0.15">
      <c r="A180" s="15"/>
      <c r="B180" s="15"/>
    </row>
    <row r="181" spans="1:2" x14ac:dyDescent="0.15">
      <c r="A181" s="15"/>
      <c r="B181" s="15"/>
    </row>
    <row r="182" spans="1:2" x14ac:dyDescent="0.15">
      <c r="A182" s="15"/>
      <c r="B182" s="15"/>
    </row>
    <row r="183" spans="1:2" x14ac:dyDescent="0.15">
      <c r="A183" s="15"/>
      <c r="B183" s="15"/>
    </row>
    <row r="184" spans="1:2" x14ac:dyDescent="0.15">
      <c r="A184" s="15"/>
      <c r="B184" s="15"/>
    </row>
    <row r="185" spans="1:2" x14ac:dyDescent="0.15">
      <c r="A185" s="15"/>
      <c r="B185" s="15"/>
    </row>
    <row r="186" spans="1:2" x14ac:dyDescent="0.15">
      <c r="A186" s="15"/>
      <c r="B186" s="15"/>
    </row>
    <row r="187" spans="1:2" x14ac:dyDescent="0.15">
      <c r="A187" s="15"/>
      <c r="B187" s="15"/>
    </row>
    <row r="188" spans="1:2" x14ac:dyDescent="0.15">
      <c r="A188" s="15"/>
      <c r="B188" s="15"/>
    </row>
    <row r="189" spans="1:2" x14ac:dyDescent="0.15">
      <c r="A189" s="15"/>
      <c r="B189" s="15"/>
    </row>
    <row r="190" spans="1:2" x14ac:dyDescent="0.15">
      <c r="A190" s="15"/>
      <c r="B190" s="15"/>
    </row>
    <row r="191" spans="1:2" x14ac:dyDescent="0.15">
      <c r="A191" s="15"/>
      <c r="B191" s="15"/>
    </row>
    <row r="192" spans="1:2" x14ac:dyDescent="0.15">
      <c r="A192" s="15"/>
      <c r="B192" s="15"/>
    </row>
    <row r="193" spans="1:2" x14ac:dyDescent="0.15">
      <c r="A193" s="15"/>
      <c r="B193" s="15"/>
    </row>
    <row r="194" spans="1:2" x14ac:dyDescent="0.15">
      <c r="A194" s="15"/>
      <c r="B194" s="15"/>
    </row>
    <row r="195" spans="1:2" x14ac:dyDescent="0.15">
      <c r="A195" s="15"/>
      <c r="B195" s="15"/>
    </row>
    <row r="196" spans="1:2" x14ac:dyDescent="0.15">
      <c r="A196" s="15"/>
      <c r="B196" s="15"/>
    </row>
    <row r="197" spans="1:2" x14ac:dyDescent="0.15">
      <c r="A197" s="15"/>
      <c r="B197" s="15"/>
    </row>
    <row r="198" spans="1:2" x14ac:dyDescent="0.15">
      <c r="A198" s="15"/>
      <c r="B198" s="15"/>
    </row>
    <row r="199" spans="1:2" x14ac:dyDescent="0.15">
      <c r="A199" s="15"/>
      <c r="B199" s="15"/>
    </row>
    <row r="200" spans="1:2" x14ac:dyDescent="0.15">
      <c r="A200" s="15"/>
      <c r="B200" s="15"/>
    </row>
    <row r="201" spans="1:2" x14ac:dyDescent="0.15">
      <c r="A201" s="15"/>
      <c r="B201" s="15"/>
    </row>
    <row r="202" spans="1:2" x14ac:dyDescent="0.15">
      <c r="A202" s="15"/>
      <c r="B202" s="15"/>
    </row>
    <row r="203" spans="1:2" x14ac:dyDescent="0.15">
      <c r="A203" s="15"/>
      <c r="B203" s="15"/>
    </row>
    <row r="204" spans="1:2" x14ac:dyDescent="0.15">
      <c r="A204" s="15"/>
      <c r="B204" s="15"/>
    </row>
    <row r="205" spans="1:2" x14ac:dyDescent="0.15">
      <c r="A205" s="15"/>
      <c r="B205" s="15"/>
    </row>
    <row r="206" spans="1:2" x14ac:dyDescent="0.15">
      <c r="A206" s="15"/>
      <c r="B206" s="15"/>
    </row>
    <row r="207" spans="1:2" x14ac:dyDescent="0.15">
      <c r="A207" s="15"/>
      <c r="B207" s="15"/>
    </row>
    <row r="208" spans="1:2" x14ac:dyDescent="0.15">
      <c r="A208" s="15"/>
      <c r="B208" s="15"/>
    </row>
    <row r="209" spans="1:2" x14ac:dyDescent="0.15">
      <c r="A209" s="15"/>
      <c r="B209" s="15"/>
    </row>
    <row r="210" spans="1:2" x14ac:dyDescent="0.15">
      <c r="A210" s="15"/>
      <c r="B210" s="15"/>
    </row>
    <row r="211" spans="1:2" x14ac:dyDescent="0.15">
      <c r="A211" s="15"/>
      <c r="B211" s="15"/>
    </row>
    <row r="212" spans="1:2" x14ac:dyDescent="0.15">
      <c r="A212" s="15"/>
      <c r="B212" s="15"/>
    </row>
    <row r="213" spans="1:2" x14ac:dyDescent="0.15">
      <c r="A213" s="15"/>
      <c r="B213" s="15"/>
    </row>
    <row r="214" spans="1:2" x14ac:dyDescent="0.15">
      <c r="A214" s="15"/>
      <c r="B214" s="15"/>
    </row>
    <row r="215" spans="1:2" x14ac:dyDescent="0.15">
      <c r="A215" s="15"/>
      <c r="B215" s="15"/>
    </row>
    <row r="216" spans="1:2" x14ac:dyDescent="0.15">
      <c r="A216" s="15"/>
      <c r="B216" s="15"/>
    </row>
    <row r="217" spans="1:2" x14ac:dyDescent="0.15">
      <c r="A217" s="15"/>
      <c r="B217" s="15"/>
    </row>
    <row r="218" spans="1:2" x14ac:dyDescent="0.15">
      <c r="A218" s="15"/>
      <c r="B218" s="15"/>
    </row>
    <row r="219" spans="1:2" x14ac:dyDescent="0.15">
      <c r="A219" s="15"/>
      <c r="B219" s="15"/>
    </row>
    <row r="220" spans="1:2" x14ac:dyDescent="0.15">
      <c r="A220" s="15"/>
      <c r="B220" s="15"/>
    </row>
    <row r="221" spans="1:2" x14ac:dyDescent="0.15">
      <c r="A221" s="15"/>
      <c r="B221" s="15"/>
    </row>
    <row r="222" spans="1:2" x14ac:dyDescent="0.15">
      <c r="A222" s="15"/>
      <c r="B222" s="15"/>
    </row>
    <row r="223" spans="1:2" x14ac:dyDescent="0.15">
      <c r="A223" s="15"/>
      <c r="B223" s="15"/>
    </row>
    <row r="224" spans="1:2" x14ac:dyDescent="0.15">
      <c r="A224" s="15"/>
      <c r="B224" s="15"/>
    </row>
    <row r="225" spans="1:2" x14ac:dyDescent="0.15">
      <c r="A225" s="15"/>
      <c r="B225" s="15"/>
    </row>
    <row r="226" spans="1:2" x14ac:dyDescent="0.15">
      <c r="A226" s="15"/>
      <c r="B226" s="15"/>
    </row>
    <row r="227" spans="1:2" x14ac:dyDescent="0.15">
      <c r="A227" s="15"/>
      <c r="B227" s="15"/>
    </row>
    <row r="228" spans="1:2" x14ac:dyDescent="0.15">
      <c r="A228" s="15"/>
      <c r="B228" s="15"/>
    </row>
    <row r="229" spans="1:2" x14ac:dyDescent="0.15">
      <c r="A229" s="15"/>
      <c r="B229" s="15"/>
    </row>
    <row r="230" spans="1:2" x14ac:dyDescent="0.15">
      <c r="A230" s="15"/>
      <c r="B230" s="15"/>
    </row>
    <row r="231" spans="1:2" x14ac:dyDescent="0.15">
      <c r="A231" s="15"/>
      <c r="B231" s="15"/>
    </row>
    <row r="232" spans="1:2" x14ac:dyDescent="0.15">
      <c r="A232" s="15"/>
      <c r="B232" s="15"/>
    </row>
    <row r="233" spans="1:2" x14ac:dyDescent="0.15">
      <c r="A233" s="15"/>
      <c r="B233" s="15"/>
    </row>
    <row r="234" spans="1:2" x14ac:dyDescent="0.15">
      <c r="A234" s="15"/>
      <c r="B234" s="15"/>
    </row>
    <row r="235" spans="1:2" x14ac:dyDescent="0.15">
      <c r="A235" s="15"/>
      <c r="B235" s="15"/>
    </row>
    <row r="236" spans="1:2" x14ac:dyDescent="0.15">
      <c r="A236" s="15"/>
      <c r="B236" s="15"/>
    </row>
    <row r="237" spans="1:2" x14ac:dyDescent="0.15">
      <c r="A237" s="15"/>
      <c r="B237" s="15"/>
    </row>
    <row r="238" spans="1:2" x14ac:dyDescent="0.15">
      <c r="A238" s="15"/>
      <c r="B238" s="15"/>
    </row>
    <row r="239" spans="1:2" x14ac:dyDescent="0.15">
      <c r="A239" s="15"/>
      <c r="B239" s="15"/>
    </row>
    <row r="240" spans="1:2" x14ac:dyDescent="0.15">
      <c r="A240" s="15"/>
      <c r="B240" s="15"/>
    </row>
    <row r="241" spans="1:2" x14ac:dyDescent="0.15">
      <c r="A241" s="15"/>
      <c r="B241" s="15"/>
    </row>
    <row r="242" spans="1:2" x14ac:dyDescent="0.15">
      <c r="A242" s="15"/>
      <c r="B242" s="15"/>
    </row>
    <row r="243" spans="1:2" x14ac:dyDescent="0.15">
      <c r="A243" s="15"/>
      <c r="B243" s="15"/>
    </row>
    <row r="244" spans="1:2" x14ac:dyDescent="0.15">
      <c r="A244" s="15"/>
      <c r="B244" s="15"/>
    </row>
    <row r="245" spans="1:2" x14ac:dyDescent="0.15">
      <c r="A245" s="15"/>
      <c r="B245" s="15"/>
    </row>
    <row r="246" spans="1:2" x14ac:dyDescent="0.15">
      <c r="A246" s="15"/>
      <c r="B246" s="15"/>
    </row>
    <row r="247" spans="1:2" x14ac:dyDescent="0.15">
      <c r="A247" s="15"/>
      <c r="B247" s="15"/>
    </row>
    <row r="248" spans="1:2" x14ac:dyDescent="0.15">
      <c r="A248" s="15"/>
      <c r="B248" s="15"/>
    </row>
    <row r="249" spans="1:2" x14ac:dyDescent="0.15">
      <c r="A249" s="15"/>
      <c r="B249" s="15"/>
    </row>
    <row r="250" spans="1:2" x14ac:dyDescent="0.15">
      <c r="A250" s="15"/>
      <c r="B250" s="15"/>
    </row>
    <row r="251" spans="1:2" x14ac:dyDescent="0.15">
      <c r="A251" s="15"/>
      <c r="B251" s="15"/>
    </row>
    <row r="252" spans="1:2" x14ac:dyDescent="0.15">
      <c r="A252" s="15"/>
      <c r="B252" s="15"/>
    </row>
    <row r="253" spans="1:2" x14ac:dyDescent="0.15">
      <c r="A253" s="15"/>
      <c r="B253" s="15"/>
    </row>
    <row r="254" spans="1:2" x14ac:dyDescent="0.15">
      <c r="A254" s="15"/>
      <c r="B254" s="15"/>
    </row>
    <row r="255" spans="1:2" x14ac:dyDescent="0.15">
      <c r="A255" s="15"/>
      <c r="B255" s="15"/>
    </row>
    <row r="256" spans="1:2" x14ac:dyDescent="0.15">
      <c r="A256" s="15"/>
      <c r="B256" s="15"/>
    </row>
    <row r="257" spans="1:2" x14ac:dyDescent="0.15">
      <c r="A257" s="15"/>
      <c r="B257" s="15"/>
    </row>
    <row r="258" spans="1:2" x14ac:dyDescent="0.15">
      <c r="A258" s="15"/>
      <c r="B258" s="15"/>
    </row>
    <row r="259" spans="1:2" x14ac:dyDescent="0.15">
      <c r="A259" s="15"/>
      <c r="B259" s="15"/>
    </row>
    <row r="260" spans="1:2" x14ac:dyDescent="0.15">
      <c r="A260" s="15"/>
      <c r="B260" s="15"/>
    </row>
    <row r="261" spans="1:2" x14ac:dyDescent="0.15">
      <c r="A261" s="15"/>
      <c r="B261" s="15"/>
    </row>
    <row r="262" spans="1:2" x14ac:dyDescent="0.15">
      <c r="A262" s="15"/>
      <c r="B262" s="15"/>
    </row>
    <row r="263" spans="1:2" x14ac:dyDescent="0.15">
      <c r="A263" s="15"/>
      <c r="B263" s="15"/>
    </row>
    <row r="264" spans="1:2" x14ac:dyDescent="0.15">
      <c r="A264" s="15"/>
      <c r="B264" s="15"/>
    </row>
    <row r="265" spans="1:2" x14ac:dyDescent="0.15">
      <c r="A265" s="15"/>
      <c r="B265" s="15"/>
    </row>
    <row r="266" spans="1:2" x14ac:dyDescent="0.15">
      <c r="A266" s="15"/>
      <c r="B266" s="15"/>
    </row>
    <row r="267" spans="1:2" x14ac:dyDescent="0.15">
      <c r="A267" s="15"/>
      <c r="B267" s="15"/>
    </row>
    <row r="268" spans="1:2" x14ac:dyDescent="0.15">
      <c r="A268" s="15"/>
      <c r="B268" s="15"/>
    </row>
    <row r="269" spans="1:2" x14ac:dyDescent="0.15">
      <c r="A269" s="15"/>
      <c r="B269" s="15"/>
    </row>
    <row r="270" spans="1:2" x14ac:dyDescent="0.15">
      <c r="A270" s="15"/>
      <c r="B270" s="15"/>
    </row>
    <row r="271" spans="1:2" x14ac:dyDescent="0.15">
      <c r="A271" s="15"/>
      <c r="B271" s="15"/>
    </row>
    <row r="272" spans="1:2" x14ac:dyDescent="0.15">
      <c r="A272" s="15"/>
      <c r="B272" s="15"/>
    </row>
    <row r="273" spans="1:2" x14ac:dyDescent="0.15">
      <c r="A273" s="15"/>
      <c r="B273" s="15"/>
    </row>
    <row r="274" spans="1:2" x14ac:dyDescent="0.15">
      <c r="A274" s="15"/>
      <c r="B274" s="15"/>
    </row>
    <row r="275" spans="1:2" x14ac:dyDescent="0.15">
      <c r="A275" s="15"/>
      <c r="B275" s="15"/>
    </row>
    <row r="276" spans="1:2" x14ac:dyDescent="0.15">
      <c r="A276" s="15"/>
      <c r="B276" s="15"/>
    </row>
    <row r="277" spans="1:2" x14ac:dyDescent="0.15">
      <c r="A277" s="15"/>
      <c r="B277" s="15"/>
    </row>
    <row r="278" spans="1:2" x14ac:dyDescent="0.15">
      <c r="A278" s="15"/>
      <c r="B278" s="15"/>
    </row>
    <row r="279" spans="1:2" x14ac:dyDescent="0.15">
      <c r="A279" s="15"/>
      <c r="B279" s="15"/>
    </row>
    <row r="280" spans="1:2" x14ac:dyDescent="0.15">
      <c r="A280" s="15"/>
      <c r="B280" s="15"/>
    </row>
    <row r="281" spans="1:2" x14ac:dyDescent="0.15">
      <c r="A281" s="15"/>
      <c r="B281" s="15"/>
    </row>
    <row r="282" spans="1:2" x14ac:dyDescent="0.15">
      <c r="A282" s="15"/>
      <c r="B282" s="15"/>
    </row>
    <row r="283" spans="1:2" x14ac:dyDescent="0.15">
      <c r="A283" s="15"/>
      <c r="B283" s="15"/>
    </row>
    <row r="284" spans="1:2" x14ac:dyDescent="0.15">
      <c r="A284" s="15"/>
      <c r="B284" s="15"/>
    </row>
    <row r="285" spans="1:2" x14ac:dyDescent="0.15">
      <c r="A285" s="15"/>
      <c r="B285" s="15"/>
    </row>
    <row r="286" spans="1:2" x14ac:dyDescent="0.15">
      <c r="A286" s="15"/>
      <c r="B286" s="15"/>
    </row>
    <row r="287" spans="1:2" x14ac:dyDescent="0.15">
      <c r="A287" s="15"/>
      <c r="B287" s="15"/>
    </row>
    <row r="288" spans="1:2" x14ac:dyDescent="0.15">
      <c r="A288" s="15"/>
      <c r="B288" s="15"/>
    </row>
    <row r="289" spans="1:2" x14ac:dyDescent="0.15">
      <c r="A289" s="15"/>
      <c r="B289" s="15"/>
    </row>
    <row r="290" spans="1:2" x14ac:dyDescent="0.15">
      <c r="A290" s="15"/>
      <c r="B290" s="15"/>
    </row>
    <row r="291" spans="1:2" x14ac:dyDescent="0.15">
      <c r="A291" s="15"/>
      <c r="B291" s="15"/>
    </row>
    <row r="292" spans="1:2" x14ac:dyDescent="0.15">
      <c r="A292" s="15"/>
      <c r="B292" s="15"/>
    </row>
    <row r="293" spans="1:2" x14ac:dyDescent="0.15">
      <c r="A293" s="15"/>
      <c r="B293" s="15"/>
    </row>
    <row r="294" spans="1:2" x14ac:dyDescent="0.15">
      <c r="A294" s="15"/>
      <c r="B294" s="15"/>
    </row>
    <row r="295" spans="1:2" x14ac:dyDescent="0.15">
      <c r="A295" s="15"/>
      <c r="B295" s="15"/>
    </row>
    <row r="296" spans="1:2" x14ac:dyDescent="0.15">
      <c r="A296" s="15"/>
      <c r="B296" s="15"/>
    </row>
    <row r="297" spans="1:2" x14ac:dyDescent="0.15">
      <c r="A297" s="15"/>
      <c r="B297" s="15"/>
    </row>
    <row r="298" spans="1:2" x14ac:dyDescent="0.15">
      <c r="A298" s="15"/>
      <c r="B298" s="15"/>
    </row>
    <row r="299" spans="1:2" x14ac:dyDescent="0.15">
      <c r="A299" s="15"/>
      <c r="B299" s="15"/>
    </row>
    <row r="300" spans="1:2" x14ac:dyDescent="0.15">
      <c r="A300" s="15"/>
      <c r="B300" s="15"/>
    </row>
    <row r="301" spans="1:2" x14ac:dyDescent="0.15">
      <c r="A301" s="15"/>
      <c r="B301" s="15"/>
    </row>
    <row r="302" spans="1:2" x14ac:dyDescent="0.15">
      <c r="A302" s="15"/>
      <c r="B302" s="15"/>
    </row>
    <row r="303" spans="1:2" x14ac:dyDescent="0.15">
      <c r="A303" s="15"/>
      <c r="B303" s="15"/>
    </row>
    <row r="304" spans="1:2" x14ac:dyDescent="0.15">
      <c r="A304" s="15"/>
      <c r="B304" s="15"/>
    </row>
    <row r="305" spans="1:2" x14ac:dyDescent="0.15">
      <c r="A305" s="15"/>
      <c r="B305" s="15"/>
    </row>
    <row r="306" spans="1:2" x14ac:dyDescent="0.15">
      <c r="A306" s="15"/>
      <c r="B306" s="15"/>
    </row>
    <row r="307" spans="1:2" x14ac:dyDescent="0.15">
      <c r="A307" s="15"/>
      <c r="B307" s="15"/>
    </row>
    <row r="308" spans="1:2" x14ac:dyDescent="0.15">
      <c r="A308" s="15"/>
      <c r="B308" s="15"/>
    </row>
    <row r="309" spans="1:2" x14ac:dyDescent="0.15">
      <c r="A309" s="15"/>
      <c r="B309" s="15"/>
    </row>
    <row r="310" spans="1:2" x14ac:dyDescent="0.15">
      <c r="A310" s="15"/>
      <c r="B310" s="15"/>
    </row>
    <row r="311" spans="1:2" x14ac:dyDescent="0.15">
      <c r="A311" s="15"/>
      <c r="B311" s="15"/>
    </row>
    <row r="312" spans="1:2" x14ac:dyDescent="0.15">
      <c r="A312" s="15"/>
      <c r="B312" s="15"/>
    </row>
    <row r="313" spans="1:2" x14ac:dyDescent="0.15">
      <c r="A313" s="15"/>
      <c r="B313" s="15"/>
    </row>
    <row r="314" spans="1:2" x14ac:dyDescent="0.15">
      <c r="A314" s="15"/>
      <c r="B314" s="15"/>
    </row>
    <row r="315" spans="1:2" x14ac:dyDescent="0.15">
      <c r="A315" s="15"/>
      <c r="B315" s="15"/>
    </row>
    <row r="316" spans="1:2" x14ac:dyDescent="0.15">
      <c r="A316" s="15"/>
      <c r="B316" s="15"/>
    </row>
    <row r="317" spans="1:2" x14ac:dyDescent="0.15">
      <c r="A317" s="15"/>
      <c r="B317" s="15"/>
    </row>
    <row r="318" spans="1:2" x14ac:dyDescent="0.15">
      <c r="A318" s="15"/>
      <c r="B318" s="15"/>
    </row>
    <row r="319" spans="1:2" x14ac:dyDescent="0.15">
      <c r="A319" s="15"/>
      <c r="B319" s="15"/>
    </row>
    <row r="320" spans="1:2" x14ac:dyDescent="0.15">
      <c r="A320" s="15"/>
      <c r="B320" s="15"/>
    </row>
    <row r="321" spans="1:2" x14ac:dyDescent="0.15">
      <c r="A321" s="15"/>
      <c r="B321" s="15"/>
    </row>
    <row r="322" spans="1:2" x14ac:dyDescent="0.15">
      <c r="A322" s="15"/>
      <c r="B322" s="15"/>
    </row>
    <row r="323" spans="1:2" x14ac:dyDescent="0.15">
      <c r="A323" s="15"/>
      <c r="B323" s="15"/>
    </row>
    <row r="324" spans="1:2" x14ac:dyDescent="0.15">
      <c r="A324" s="15"/>
      <c r="B324" s="15"/>
    </row>
    <row r="325" spans="1:2" x14ac:dyDescent="0.15">
      <c r="A325" s="15"/>
      <c r="B325" s="15"/>
    </row>
    <row r="326" spans="1:2" x14ac:dyDescent="0.15">
      <c r="A326" s="15"/>
      <c r="B326" s="15"/>
    </row>
    <row r="327" spans="1:2" x14ac:dyDescent="0.15">
      <c r="A327" s="15"/>
      <c r="B327" s="15"/>
    </row>
    <row r="328" spans="1:2" x14ac:dyDescent="0.15">
      <c r="A328" s="15"/>
      <c r="B328" s="15"/>
    </row>
    <row r="329" spans="1:2" x14ac:dyDescent="0.15">
      <c r="A329" s="15"/>
      <c r="B329" s="15"/>
    </row>
    <row r="330" spans="1:2" x14ac:dyDescent="0.15">
      <c r="A330" s="15"/>
      <c r="B330" s="15"/>
    </row>
    <row r="331" spans="1:2" x14ac:dyDescent="0.15">
      <c r="A331" s="15"/>
      <c r="B331" s="15"/>
    </row>
    <row r="332" spans="1:2" x14ac:dyDescent="0.15">
      <c r="A332" s="15"/>
      <c r="B332" s="15"/>
    </row>
    <row r="333" spans="1:2" x14ac:dyDescent="0.15">
      <c r="A333" s="15"/>
      <c r="B333" s="15"/>
    </row>
    <row r="334" spans="1:2" x14ac:dyDescent="0.15">
      <c r="A334" s="15"/>
      <c r="B334" s="15"/>
    </row>
    <row r="335" spans="1:2" x14ac:dyDescent="0.15">
      <c r="A335" s="15"/>
      <c r="B335" s="15"/>
    </row>
    <row r="336" spans="1:2" x14ac:dyDescent="0.15">
      <c r="A336" s="15"/>
      <c r="B336" s="15"/>
    </row>
    <row r="337" spans="1:2" x14ac:dyDescent="0.15">
      <c r="A337" s="15"/>
      <c r="B337" s="15"/>
    </row>
    <row r="338" spans="1:2" x14ac:dyDescent="0.15">
      <c r="A338" s="15"/>
      <c r="B338" s="15"/>
    </row>
    <row r="339" spans="1:2" x14ac:dyDescent="0.15">
      <c r="A339" s="15"/>
      <c r="B339" s="15"/>
    </row>
    <row r="340" spans="1:2" x14ac:dyDescent="0.15">
      <c r="A340" s="15"/>
      <c r="B340" s="15"/>
    </row>
    <row r="341" spans="1:2" x14ac:dyDescent="0.15">
      <c r="A341" s="15"/>
      <c r="B341" s="15"/>
    </row>
    <row r="342" spans="1:2" x14ac:dyDescent="0.15">
      <c r="A342" s="15"/>
      <c r="B342" s="15"/>
    </row>
    <row r="343" spans="1:2" x14ac:dyDescent="0.15">
      <c r="A343" s="15"/>
      <c r="B343" s="15"/>
    </row>
    <row r="344" spans="1:2" x14ac:dyDescent="0.15">
      <c r="A344" s="15"/>
      <c r="B344" s="15"/>
    </row>
    <row r="345" spans="1:2" x14ac:dyDescent="0.15">
      <c r="A345" s="15"/>
      <c r="B345" s="15"/>
    </row>
    <row r="346" spans="1:2" x14ac:dyDescent="0.15">
      <c r="A346" s="15"/>
      <c r="B346" s="15"/>
    </row>
    <row r="347" spans="1:2" x14ac:dyDescent="0.15">
      <c r="A347" s="15"/>
      <c r="B347" s="15"/>
    </row>
    <row r="348" spans="1:2" x14ac:dyDescent="0.15">
      <c r="A348" s="15"/>
      <c r="B348" s="15"/>
    </row>
    <row r="349" spans="1:2" x14ac:dyDescent="0.15">
      <c r="A349" s="15"/>
      <c r="B349" s="15"/>
    </row>
    <row r="350" spans="1:2" x14ac:dyDescent="0.15">
      <c r="A350" s="15"/>
      <c r="B350" s="15"/>
    </row>
    <row r="351" spans="1:2" x14ac:dyDescent="0.15">
      <c r="A351" s="15"/>
      <c r="B351" s="15"/>
    </row>
    <row r="352" spans="1:2" x14ac:dyDescent="0.15">
      <c r="A352" s="15"/>
      <c r="B352" s="15"/>
    </row>
    <row r="353" spans="1:2" x14ac:dyDescent="0.15">
      <c r="A353" s="15"/>
      <c r="B353" s="15"/>
    </row>
    <row r="354" spans="1:2" x14ac:dyDescent="0.15">
      <c r="A354" s="15"/>
      <c r="B354" s="15"/>
    </row>
    <row r="355" spans="1:2" x14ac:dyDescent="0.15">
      <c r="A355" s="15"/>
      <c r="B355" s="15"/>
    </row>
    <row r="356" spans="1:2" x14ac:dyDescent="0.15">
      <c r="A356" s="15"/>
      <c r="B356" s="15"/>
    </row>
    <row r="357" spans="1:2" x14ac:dyDescent="0.15">
      <c r="A357" s="15"/>
      <c r="B357" s="15"/>
    </row>
    <row r="358" spans="1:2" x14ac:dyDescent="0.15">
      <c r="A358" s="15"/>
      <c r="B358" s="15"/>
    </row>
    <row r="359" spans="1:2" x14ac:dyDescent="0.15">
      <c r="A359" s="15"/>
      <c r="B359" s="15"/>
    </row>
    <row r="360" spans="1:2" x14ac:dyDescent="0.15">
      <c r="A360" s="15"/>
      <c r="B360" s="15"/>
    </row>
    <row r="361" spans="1:2" x14ac:dyDescent="0.15">
      <c r="A361" s="15"/>
      <c r="B361" s="15"/>
    </row>
    <row r="362" spans="1:2" x14ac:dyDescent="0.15">
      <c r="A362" s="15"/>
      <c r="B362" s="15"/>
    </row>
    <row r="363" spans="1:2" x14ac:dyDescent="0.15">
      <c r="A363" s="15"/>
      <c r="B363" s="15"/>
    </row>
    <row r="364" spans="1:2" x14ac:dyDescent="0.15">
      <c r="A364" s="15"/>
      <c r="B364" s="15"/>
    </row>
    <row r="365" spans="1:2" x14ac:dyDescent="0.15">
      <c r="A365" s="15"/>
      <c r="B365" s="15"/>
    </row>
    <row r="366" spans="1:2" x14ac:dyDescent="0.15">
      <c r="A366" s="15"/>
      <c r="B366" s="15"/>
    </row>
    <row r="367" spans="1:2" x14ac:dyDescent="0.15">
      <c r="A367" s="15"/>
      <c r="B367" s="15"/>
    </row>
    <row r="368" spans="1:2" x14ac:dyDescent="0.15">
      <c r="A368" s="15"/>
      <c r="B368" s="15"/>
    </row>
    <row r="369" spans="1:2" x14ac:dyDescent="0.15">
      <c r="A369" s="15"/>
      <c r="B369" s="15"/>
    </row>
    <row r="370" spans="1:2" x14ac:dyDescent="0.15">
      <c r="A370" s="15"/>
      <c r="B370" s="15"/>
    </row>
    <row r="371" spans="1:2" x14ac:dyDescent="0.15">
      <c r="A371" s="15"/>
      <c r="B371" s="15"/>
    </row>
    <row r="372" spans="1:2" x14ac:dyDescent="0.15">
      <c r="A372" s="15"/>
      <c r="B372" s="15"/>
    </row>
    <row r="373" spans="1:2" x14ac:dyDescent="0.15">
      <c r="A373" s="15"/>
      <c r="B373" s="15"/>
    </row>
    <row r="374" spans="1:2" x14ac:dyDescent="0.15">
      <c r="A374" s="15"/>
      <c r="B374" s="15"/>
    </row>
    <row r="375" spans="1:2" x14ac:dyDescent="0.15">
      <c r="A375" s="15"/>
      <c r="B375" s="15"/>
    </row>
    <row r="376" spans="1:2" x14ac:dyDescent="0.15">
      <c r="A376" s="15"/>
      <c r="B376" s="15"/>
    </row>
    <row r="377" spans="1:2" x14ac:dyDescent="0.15">
      <c r="A377" s="15"/>
      <c r="B377" s="15"/>
    </row>
    <row r="378" spans="1:2" x14ac:dyDescent="0.15">
      <c r="A378" s="15"/>
      <c r="B378" s="15"/>
    </row>
    <row r="379" spans="1:2" x14ac:dyDescent="0.15">
      <c r="A379" s="15"/>
      <c r="B379" s="15"/>
    </row>
    <row r="380" spans="1:2" x14ac:dyDescent="0.15">
      <c r="A380" s="15"/>
      <c r="B380" s="15"/>
    </row>
    <row r="381" spans="1:2" x14ac:dyDescent="0.15">
      <c r="A381" s="15"/>
      <c r="B381" s="15"/>
    </row>
    <row r="382" spans="1:2" x14ac:dyDescent="0.15">
      <c r="A382" s="15"/>
      <c r="B382" s="15"/>
    </row>
    <row r="383" spans="1:2" x14ac:dyDescent="0.15">
      <c r="A383" s="15"/>
      <c r="B383" s="15"/>
    </row>
    <row r="384" spans="1:2" x14ac:dyDescent="0.15">
      <c r="A384" s="15"/>
      <c r="B384" s="15"/>
    </row>
    <row r="385" spans="1:2" x14ac:dyDescent="0.15">
      <c r="A385" s="15"/>
      <c r="B385" s="15"/>
    </row>
    <row r="386" spans="1:2" x14ac:dyDescent="0.15">
      <c r="A386" s="15"/>
      <c r="B386" s="15"/>
    </row>
    <row r="387" spans="1:2" x14ac:dyDescent="0.15">
      <c r="A387" s="15"/>
      <c r="B387" s="15"/>
    </row>
    <row r="388" spans="1:2" x14ac:dyDescent="0.15">
      <c r="A388" s="15"/>
      <c r="B388" s="15"/>
    </row>
    <row r="389" spans="1:2" x14ac:dyDescent="0.15">
      <c r="A389" s="15"/>
      <c r="B389" s="15"/>
    </row>
    <row r="390" spans="1:2" x14ac:dyDescent="0.15">
      <c r="A390" s="15"/>
      <c r="B390" s="15"/>
    </row>
    <row r="391" spans="1:2" x14ac:dyDescent="0.15">
      <c r="A391" s="15"/>
      <c r="B391" s="15"/>
    </row>
    <row r="392" spans="1:2" x14ac:dyDescent="0.15">
      <c r="A392" s="15"/>
      <c r="B392" s="15"/>
    </row>
    <row r="393" spans="1:2" x14ac:dyDescent="0.15">
      <c r="A393" s="15"/>
      <c r="B393" s="15"/>
    </row>
    <row r="394" spans="1:2" x14ac:dyDescent="0.15">
      <c r="A394" s="15"/>
      <c r="B394" s="15"/>
    </row>
    <row r="395" spans="1:2" x14ac:dyDescent="0.15">
      <c r="A395" s="15"/>
      <c r="B395" s="15"/>
    </row>
    <row r="396" spans="1:2" x14ac:dyDescent="0.15">
      <c r="A396" s="15"/>
      <c r="B396" s="15"/>
    </row>
    <row r="397" spans="1:2" x14ac:dyDescent="0.15">
      <c r="A397" s="15"/>
      <c r="B397" s="15"/>
    </row>
    <row r="398" spans="1:2" x14ac:dyDescent="0.15">
      <c r="A398" s="15"/>
      <c r="B398" s="15"/>
    </row>
    <row r="399" spans="1:2" x14ac:dyDescent="0.15">
      <c r="A399" s="15"/>
      <c r="B399" s="15"/>
    </row>
    <row r="400" spans="1:2" x14ac:dyDescent="0.15">
      <c r="A400" s="15"/>
      <c r="B400" s="15"/>
    </row>
    <row r="401" spans="1:2" x14ac:dyDescent="0.15">
      <c r="A401" s="15"/>
      <c r="B401" s="15"/>
    </row>
    <row r="402" spans="1:2" x14ac:dyDescent="0.15">
      <c r="A402" s="15"/>
      <c r="B402" s="15"/>
    </row>
    <row r="403" spans="1:2" x14ac:dyDescent="0.15">
      <c r="A403" s="15"/>
      <c r="B403" s="15"/>
    </row>
    <row r="404" spans="1:2" x14ac:dyDescent="0.15">
      <c r="A404" s="15"/>
      <c r="B404" s="15"/>
    </row>
    <row r="405" spans="1:2" x14ac:dyDescent="0.15">
      <c r="A405" s="15"/>
      <c r="B405" s="15"/>
    </row>
    <row r="406" spans="1:2" x14ac:dyDescent="0.15">
      <c r="A406" s="15"/>
      <c r="B406" s="15"/>
    </row>
    <row r="407" spans="1:2" x14ac:dyDescent="0.15">
      <c r="A407" s="15"/>
      <c r="B407" s="15"/>
    </row>
    <row r="408" spans="1:2" x14ac:dyDescent="0.15">
      <c r="A408" s="15"/>
      <c r="B408" s="15"/>
    </row>
    <row r="409" spans="1:2" x14ac:dyDescent="0.15">
      <c r="A409" s="15"/>
      <c r="B409" s="15"/>
    </row>
    <row r="410" spans="1:2" x14ac:dyDescent="0.15">
      <c r="A410" s="15"/>
      <c r="B410" s="15"/>
    </row>
    <row r="411" spans="1:2" x14ac:dyDescent="0.15">
      <c r="A411" s="15"/>
      <c r="B411" s="15"/>
    </row>
    <row r="412" spans="1:2" x14ac:dyDescent="0.15">
      <c r="A412" s="15"/>
      <c r="B412" s="15"/>
    </row>
    <row r="413" spans="1:2" x14ac:dyDescent="0.15">
      <c r="A413" s="15"/>
      <c r="B413" s="15"/>
    </row>
    <row r="414" spans="1:2" x14ac:dyDescent="0.15">
      <c r="A414" s="15"/>
      <c r="B414" s="15"/>
    </row>
    <row r="415" spans="1:2" x14ac:dyDescent="0.15">
      <c r="A415" s="15"/>
      <c r="B415" s="15"/>
    </row>
    <row r="416" spans="1:2" x14ac:dyDescent="0.15">
      <c r="A416" s="15"/>
      <c r="B416" s="15"/>
    </row>
    <row r="417" spans="1:2" x14ac:dyDescent="0.15">
      <c r="A417" s="15"/>
      <c r="B417" s="15"/>
    </row>
    <row r="418" spans="1:2" x14ac:dyDescent="0.15">
      <c r="A418" s="15"/>
      <c r="B418" s="15"/>
    </row>
    <row r="419" spans="1:2" x14ac:dyDescent="0.15">
      <c r="A419" s="15"/>
      <c r="B419" s="15"/>
    </row>
    <row r="420" spans="1:2" x14ac:dyDescent="0.15">
      <c r="A420" s="15"/>
      <c r="B420" s="15"/>
    </row>
    <row r="421" spans="1:2" x14ac:dyDescent="0.15">
      <c r="A421" s="15"/>
      <c r="B421" s="15"/>
    </row>
    <row r="422" spans="1:2" x14ac:dyDescent="0.15">
      <c r="A422" s="15"/>
      <c r="B422" s="15"/>
    </row>
    <row r="423" spans="1:2" x14ac:dyDescent="0.15">
      <c r="A423" s="15"/>
      <c r="B423" s="15"/>
    </row>
    <row r="424" spans="1:2" x14ac:dyDescent="0.15">
      <c r="A424" s="15"/>
      <c r="B424" s="15"/>
    </row>
    <row r="425" spans="1:2" x14ac:dyDescent="0.15">
      <c r="A425" s="15"/>
      <c r="B425" s="15"/>
    </row>
    <row r="426" spans="1:2" x14ac:dyDescent="0.15">
      <c r="A426" s="15"/>
      <c r="B426" s="15"/>
    </row>
    <row r="427" spans="1:2" x14ac:dyDescent="0.15">
      <c r="A427" s="15"/>
      <c r="B427" s="15"/>
    </row>
    <row r="428" spans="1:2" x14ac:dyDescent="0.15">
      <c r="A428" s="15"/>
      <c r="B428" s="15"/>
    </row>
    <row r="429" spans="1:2" x14ac:dyDescent="0.15">
      <c r="A429" s="15"/>
      <c r="B429" s="15"/>
    </row>
    <row r="430" spans="1:2" x14ac:dyDescent="0.15">
      <c r="A430" s="15"/>
      <c r="B430" s="15"/>
    </row>
    <row r="431" spans="1:2" x14ac:dyDescent="0.15">
      <c r="A431" s="15"/>
      <c r="B431" s="15"/>
    </row>
    <row r="432" spans="1:2" x14ac:dyDescent="0.15">
      <c r="A432" s="15"/>
      <c r="B432" s="15"/>
    </row>
    <row r="433" spans="1:2" x14ac:dyDescent="0.15">
      <c r="A433" s="15"/>
      <c r="B433" s="15"/>
    </row>
    <row r="434" spans="1:2" x14ac:dyDescent="0.15">
      <c r="A434" s="15"/>
      <c r="B434" s="15"/>
    </row>
    <row r="435" spans="1:2" x14ac:dyDescent="0.15">
      <c r="A435" s="15"/>
      <c r="B435" s="15"/>
    </row>
    <row r="436" spans="1:2" x14ac:dyDescent="0.15">
      <c r="A436" s="15"/>
      <c r="B436" s="15"/>
    </row>
    <row r="437" spans="1:2" x14ac:dyDescent="0.15">
      <c r="A437" s="15"/>
      <c r="B437" s="15"/>
    </row>
    <row r="438" spans="1:2" x14ac:dyDescent="0.15">
      <c r="A438" s="15"/>
      <c r="B438" s="15"/>
    </row>
    <row r="439" spans="1:2" x14ac:dyDescent="0.15">
      <c r="A439" s="15"/>
      <c r="B439" s="15"/>
    </row>
    <row r="440" spans="1:2" x14ac:dyDescent="0.15">
      <c r="A440" s="15"/>
      <c r="B440" s="15"/>
    </row>
    <row r="441" spans="1:2" x14ac:dyDescent="0.15">
      <c r="A441" s="15"/>
      <c r="B441" s="15"/>
    </row>
    <row r="442" spans="1:2" x14ac:dyDescent="0.15">
      <c r="A442" s="15"/>
      <c r="B442" s="15"/>
    </row>
    <row r="443" spans="1:2" x14ac:dyDescent="0.15">
      <c r="A443" s="15"/>
      <c r="B443" s="15"/>
    </row>
    <row r="444" spans="1:2" x14ac:dyDescent="0.15">
      <c r="A444" s="15"/>
      <c r="B444" s="15"/>
    </row>
    <row r="445" spans="1:2" x14ac:dyDescent="0.15">
      <c r="A445" s="15"/>
      <c r="B445" s="15"/>
    </row>
    <row r="446" spans="1:2" x14ac:dyDescent="0.15">
      <c r="A446" s="15"/>
      <c r="B446" s="15"/>
    </row>
    <row r="447" spans="1:2" x14ac:dyDescent="0.15">
      <c r="A447" s="15"/>
      <c r="B447" s="15"/>
    </row>
    <row r="448" spans="1:2" x14ac:dyDescent="0.15">
      <c r="A448" s="15"/>
      <c r="B448" s="15"/>
    </row>
    <row r="449" spans="1:2" x14ac:dyDescent="0.15">
      <c r="A449" s="15"/>
      <c r="B449" s="15"/>
    </row>
    <row r="450" spans="1:2" x14ac:dyDescent="0.15">
      <c r="A450" s="15"/>
      <c r="B450" s="15"/>
    </row>
    <row r="451" spans="1:2" x14ac:dyDescent="0.15">
      <c r="A451" s="15"/>
      <c r="B451" s="15"/>
    </row>
    <row r="452" spans="1:2" x14ac:dyDescent="0.15">
      <c r="A452" s="15"/>
      <c r="B452" s="15"/>
    </row>
    <row r="453" spans="1:2" x14ac:dyDescent="0.15">
      <c r="A453" s="15"/>
      <c r="B453" s="15"/>
    </row>
    <row r="454" spans="1:2" x14ac:dyDescent="0.15">
      <c r="A454" s="15"/>
      <c r="B454" s="15"/>
    </row>
    <row r="455" spans="1:2" x14ac:dyDescent="0.15">
      <c r="A455" s="15"/>
      <c r="B455" s="15"/>
    </row>
    <row r="456" spans="1:2" x14ac:dyDescent="0.15">
      <c r="A456" s="15"/>
      <c r="B456" s="15"/>
    </row>
    <row r="457" spans="1:2" x14ac:dyDescent="0.15">
      <c r="A457" s="15"/>
      <c r="B457" s="15"/>
    </row>
    <row r="458" spans="1:2" x14ac:dyDescent="0.15">
      <c r="A458" s="15"/>
      <c r="B458" s="15"/>
    </row>
    <row r="459" spans="1:2" x14ac:dyDescent="0.15">
      <c r="A459" s="15"/>
      <c r="B459" s="15"/>
    </row>
    <row r="460" spans="1:2" x14ac:dyDescent="0.15">
      <c r="A460" s="15"/>
      <c r="B460" s="15"/>
    </row>
    <row r="461" spans="1:2" x14ac:dyDescent="0.15">
      <c r="A461" s="15"/>
      <c r="B461" s="15"/>
    </row>
    <row r="462" spans="1:2" x14ac:dyDescent="0.15">
      <c r="A462" s="15"/>
      <c r="B462" s="15"/>
    </row>
    <row r="463" spans="1:2" x14ac:dyDescent="0.15">
      <c r="A463" s="15"/>
      <c r="B463" s="15"/>
    </row>
    <row r="464" spans="1:2" x14ac:dyDescent="0.15">
      <c r="A464" s="15"/>
      <c r="B464" s="15"/>
    </row>
    <row r="465" spans="1:2" x14ac:dyDescent="0.15">
      <c r="A465" s="15"/>
      <c r="B465" s="15"/>
    </row>
    <row r="466" spans="1:2" x14ac:dyDescent="0.15">
      <c r="A466" s="15"/>
      <c r="B466" s="15"/>
    </row>
    <row r="467" spans="1:2" x14ac:dyDescent="0.15">
      <c r="A467" s="15"/>
      <c r="B467" s="15"/>
    </row>
    <row r="468" spans="1:2" x14ac:dyDescent="0.15">
      <c r="A468" s="15"/>
      <c r="B468" s="15"/>
    </row>
    <row r="469" spans="1:2" x14ac:dyDescent="0.15">
      <c r="A469" s="15"/>
      <c r="B469" s="15"/>
    </row>
    <row r="470" spans="1:2" x14ac:dyDescent="0.15">
      <c r="A470" s="15"/>
      <c r="B470" s="15"/>
    </row>
    <row r="471" spans="1:2" x14ac:dyDescent="0.15">
      <c r="A471" s="15"/>
      <c r="B471" s="15"/>
    </row>
    <row r="472" spans="1:2" x14ac:dyDescent="0.15">
      <c r="A472" s="15"/>
      <c r="B472" s="15"/>
    </row>
    <row r="473" spans="1:2" x14ac:dyDescent="0.15">
      <c r="A473" s="15"/>
      <c r="B473" s="15"/>
    </row>
    <row r="474" spans="1:2" x14ac:dyDescent="0.15">
      <c r="A474" s="15"/>
      <c r="B474" s="15"/>
    </row>
    <row r="475" spans="1:2" x14ac:dyDescent="0.15">
      <c r="A475" s="15"/>
      <c r="B475" s="15"/>
    </row>
    <row r="476" spans="1:2" x14ac:dyDescent="0.15">
      <c r="A476" s="15"/>
      <c r="B476" s="15"/>
    </row>
    <row r="477" spans="1:2" x14ac:dyDescent="0.15">
      <c r="A477" s="15"/>
      <c r="B477" s="15"/>
    </row>
    <row r="478" spans="1:2" x14ac:dyDescent="0.15">
      <c r="A478" s="15"/>
      <c r="B478" s="15"/>
    </row>
    <row r="479" spans="1:2" x14ac:dyDescent="0.15">
      <c r="A479" s="15"/>
      <c r="B479" s="15"/>
    </row>
    <row r="480" spans="1:2" x14ac:dyDescent="0.15">
      <c r="A480" s="15"/>
      <c r="B480" s="15"/>
    </row>
    <row r="481" spans="1:2" x14ac:dyDescent="0.15">
      <c r="A481" s="15"/>
      <c r="B481" s="15"/>
    </row>
    <row r="482" spans="1:2" x14ac:dyDescent="0.15">
      <c r="A482" s="15"/>
      <c r="B482" s="15"/>
    </row>
    <row r="483" spans="1:2" x14ac:dyDescent="0.15">
      <c r="A483" s="15"/>
      <c r="B483" s="15"/>
    </row>
    <row r="484" spans="1:2" x14ac:dyDescent="0.15">
      <c r="A484" s="15"/>
      <c r="B484" s="15"/>
    </row>
    <row r="485" spans="1:2" x14ac:dyDescent="0.15">
      <c r="A485" s="15"/>
      <c r="B485" s="15"/>
    </row>
    <row r="486" spans="1:2" x14ac:dyDescent="0.15">
      <c r="A486" s="15"/>
      <c r="B486" s="15"/>
    </row>
    <row r="487" spans="1:2" x14ac:dyDescent="0.15">
      <c r="A487" s="15"/>
      <c r="B487" s="15"/>
    </row>
    <row r="488" spans="1:2" x14ac:dyDescent="0.15">
      <c r="A488" s="15"/>
      <c r="B488" s="15"/>
    </row>
    <row r="489" spans="1:2" x14ac:dyDescent="0.15">
      <c r="A489" s="15"/>
      <c r="B489" s="15"/>
    </row>
    <row r="490" spans="1:2" x14ac:dyDescent="0.15">
      <c r="A490" s="15"/>
      <c r="B490" s="15"/>
    </row>
    <row r="491" spans="1:2" x14ac:dyDescent="0.15">
      <c r="A491" s="15"/>
      <c r="B491" s="15"/>
    </row>
    <row r="492" spans="1:2" x14ac:dyDescent="0.15">
      <c r="A492" s="15"/>
      <c r="B492" s="15"/>
    </row>
    <row r="493" spans="1:2" x14ac:dyDescent="0.15">
      <c r="A493" s="15"/>
      <c r="B493" s="15"/>
    </row>
    <row r="494" spans="1:2" x14ac:dyDescent="0.15">
      <c r="A494" s="15"/>
      <c r="B494" s="15"/>
    </row>
    <row r="495" spans="1:2" x14ac:dyDescent="0.15">
      <c r="A495" s="15"/>
      <c r="B495" s="15"/>
    </row>
    <row r="496" spans="1:2" x14ac:dyDescent="0.15">
      <c r="A496" s="15"/>
      <c r="B496" s="15"/>
    </row>
    <row r="497" spans="1:2" x14ac:dyDescent="0.15">
      <c r="A497" s="15"/>
      <c r="B497" s="15"/>
    </row>
    <row r="498" spans="1:2" x14ac:dyDescent="0.15">
      <c r="A498" s="15"/>
      <c r="B498" s="15"/>
    </row>
    <row r="499" spans="1:2" x14ac:dyDescent="0.15">
      <c r="A499" s="15"/>
      <c r="B499" s="15"/>
    </row>
    <row r="500" spans="1:2" x14ac:dyDescent="0.15">
      <c r="A500" s="15"/>
      <c r="B500" s="15"/>
    </row>
    <row r="501" spans="1:2" x14ac:dyDescent="0.15">
      <c r="A501" s="15"/>
      <c r="B501" s="15"/>
    </row>
    <row r="502" spans="1:2" x14ac:dyDescent="0.15">
      <c r="A502" s="15"/>
      <c r="B502" s="15"/>
    </row>
    <row r="503" spans="1:2" x14ac:dyDescent="0.15">
      <c r="A503" s="15"/>
      <c r="B503" s="15"/>
    </row>
    <row r="504" spans="1:2" x14ac:dyDescent="0.15">
      <c r="A504" s="15"/>
      <c r="B504" s="15"/>
    </row>
    <row r="505" spans="1:2" x14ac:dyDescent="0.15">
      <c r="A505" s="15"/>
      <c r="B505" s="15"/>
    </row>
    <row r="506" spans="1:2" x14ac:dyDescent="0.15">
      <c r="A506" s="15"/>
      <c r="B506" s="15"/>
    </row>
    <row r="507" spans="1:2" x14ac:dyDescent="0.15">
      <c r="A507" s="15"/>
      <c r="B507" s="15"/>
    </row>
    <row r="508" spans="1:2" x14ac:dyDescent="0.15">
      <c r="A508" s="15"/>
      <c r="B508" s="15"/>
    </row>
    <row r="509" spans="1:2" x14ac:dyDescent="0.15">
      <c r="A509" s="15"/>
      <c r="B509" s="15"/>
    </row>
    <row r="510" spans="1:2" x14ac:dyDescent="0.15">
      <c r="A510" s="15"/>
      <c r="B510" s="15"/>
    </row>
    <row r="511" spans="1:2" x14ac:dyDescent="0.15">
      <c r="A511" s="15"/>
      <c r="B511" s="15"/>
    </row>
    <row r="512" spans="1:2" x14ac:dyDescent="0.15">
      <c r="A512" s="15"/>
      <c r="B512" s="15"/>
    </row>
    <row r="513" spans="1:2" x14ac:dyDescent="0.15">
      <c r="A513" s="15"/>
      <c r="B513" s="15"/>
    </row>
    <row r="514" spans="1:2" x14ac:dyDescent="0.15">
      <c r="A514" s="15"/>
      <c r="B514" s="15"/>
    </row>
    <row r="515" spans="1:2" x14ac:dyDescent="0.15">
      <c r="A515" s="15"/>
      <c r="B515" s="15"/>
    </row>
    <row r="516" spans="1:2" x14ac:dyDescent="0.15">
      <c r="A516" s="15"/>
      <c r="B516" s="15"/>
    </row>
    <row r="517" spans="1:2" x14ac:dyDescent="0.15">
      <c r="A517" s="15"/>
      <c r="B517" s="15"/>
    </row>
    <row r="518" spans="1:2" x14ac:dyDescent="0.15">
      <c r="A518" s="15"/>
      <c r="B518" s="15"/>
    </row>
    <row r="519" spans="1:2" x14ac:dyDescent="0.15">
      <c r="A519" s="15"/>
      <c r="B519" s="15"/>
    </row>
    <row r="520" spans="1:2" x14ac:dyDescent="0.15">
      <c r="A520" s="15"/>
      <c r="B520" s="15"/>
    </row>
    <row r="521" spans="1:2" x14ac:dyDescent="0.15">
      <c r="A521" s="15"/>
      <c r="B521" s="15"/>
    </row>
    <row r="522" spans="1:2" x14ac:dyDescent="0.15">
      <c r="A522" s="15"/>
      <c r="B522" s="15"/>
    </row>
    <row r="523" spans="1:2" x14ac:dyDescent="0.15">
      <c r="A523" s="15"/>
      <c r="B523" s="15"/>
    </row>
    <row r="524" spans="1:2" x14ac:dyDescent="0.15">
      <c r="A524" s="15"/>
      <c r="B524" s="15"/>
    </row>
    <row r="525" spans="1:2" x14ac:dyDescent="0.15">
      <c r="A525" s="15"/>
      <c r="B525" s="15"/>
    </row>
    <row r="526" spans="1:2" x14ac:dyDescent="0.15">
      <c r="A526" s="15"/>
      <c r="B526" s="15"/>
    </row>
    <row r="527" spans="1:2" x14ac:dyDescent="0.15">
      <c r="A527" s="15"/>
      <c r="B527" s="15"/>
    </row>
    <row r="528" spans="1:2" x14ac:dyDescent="0.15">
      <c r="A528" s="15"/>
      <c r="B528" s="15"/>
    </row>
    <row r="529" spans="1:2" x14ac:dyDescent="0.15">
      <c r="A529" s="15"/>
      <c r="B529" s="15"/>
    </row>
    <row r="530" spans="1:2" x14ac:dyDescent="0.15">
      <c r="A530" s="15"/>
      <c r="B530" s="15"/>
    </row>
    <row r="531" spans="1:2" x14ac:dyDescent="0.15">
      <c r="A531" s="15"/>
      <c r="B531" s="15"/>
    </row>
    <row r="532" spans="1:2" x14ac:dyDescent="0.15">
      <c r="A532" s="15"/>
      <c r="B532" s="15"/>
    </row>
    <row r="533" spans="1:2" x14ac:dyDescent="0.15">
      <c r="A533" s="15"/>
      <c r="B533" s="15"/>
    </row>
    <row r="534" spans="1:2" x14ac:dyDescent="0.15">
      <c r="A534" s="15"/>
      <c r="B534" s="15"/>
    </row>
    <row r="535" spans="1:2" x14ac:dyDescent="0.15">
      <c r="A535" s="15"/>
      <c r="B535" s="15"/>
    </row>
    <row r="536" spans="1:2" x14ac:dyDescent="0.15">
      <c r="A536" s="15"/>
      <c r="B536" s="15"/>
    </row>
    <row r="537" spans="1:2" x14ac:dyDescent="0.15">
      <c r="A537" s="15"/>
      <c r="B537" s="15"/>
    </row>
    <row r="538" spans="1:2" x14ac:dyDescent="0.15">
      <c r="A538" s="15"/>
      <c r="B538" s="15"/>
    </row>
    <row r="539" spans="1:2" x14ac:dyDescent="0.15">
      <c r="A539" s="15"/>
      <c r="B539" s="15"/>
    </row>
    <row r="540" spans="1:2" x14ac:dyDescent="0.15">
      <c r="A540" s="15"/>
      <c r="B540" s="15"/>
    </row>
    <row r="541" spans="1:2" x14ac:dyDescent="0.15">
      <c r="A541" s="15"/>
      <c r="B541" s="15"/>
    </row>
    <row r="542" spans="1:2" x14ac:dyDescent="0.15">
      <c r="A542" s="15"/>
      <c r="B542" s="15"/>
    </row>
    <row r="543" spans="1:2" x14ac:dyDescent="0.15">
      <c r="A543" s="15"/>
      <c r="B543" s="15"/>
    </row>
    <row r="544" spans="1:2" x14ac:dyDescent="0.15">
      <c r="A544" s="15"/>
      <c r="B544" s="15"/>
    </row>
    <row r="545" spans="1:2" x14ac:dyDescent="0.15">
      <c r="A545" s="15"/>
      <c r="B545" s="15"/>
    </row>
    <row r="546" spans="1:2" x14ac:dyDescent="0.15">
      <c r="A546" s="15"/>
      <c r="B546" s="15"/>
    </row>
    <row r="547" spans="1:2" x14ac:dyDescent="0.15">
      <c r="A547" s="15"/>
      <c r="B547" s="15"/>
    </row>
    <row r="548" spans="1:2" x14ac:dyDescent="0.15">
      <c r="A548" s="15"/>
      <c r="B548" s="15"/>
    </row>
    <row r="549" spans="1:2" x14ac:dyDescent="0.15">
      <c r="A549" s="15"/>
      <c r="B549" s="15"/>
    </row>
    <row r="550" spans="1:2" x14ac:dyDescent="0.15">
      <c r="A550" s="15"/>
      <c r="B550" s="15"/>
    </row>
    <row r="551" spans="1:2" x14ac:dyDescent="0.15">
      <c r="A551" s="15"/>
      <c r="B551" s="15"/>
    </row>
    <row r="552" spans="1:2" x14ac:dyDescent="0.15">
      <c r="A552" s="15"/>
      <c r="B552" s="15"/>
    </row>
    <row r="553" spans="1:2" x14ac:dyDescent="0.15">
      <c r="A553" s="15"/>
      <c r="B553" s="15"/>
    </row>
    <row r="554" spans="1:2" x14ac:dyDescent="0.15">
      <c r="A554" s="15"/>
      <c r="B554" s="15"/>
    </row>
    <row r="555" spans="1:2" x14ac:dyDescent="0.15">
      <c r="A555" s="15"/>
      <c r="B555" s="15"/>
    </row>
    <row r="556" spans="1:2" x14ac:dyDescent="0.15">
      <c r="A556" s="15"/>
      <c r="B556" s="15"/>
    </row>
    <row r="557" spans="1:2" x14ac:dyDescent="0.15">
      <c r="A557" s="15"/>
      <c r="B557" s="15"/>
    </row>
    <row r="558" spans="1:2" x14ac:dyDescent="0.15">
      <c r="A558" s="15"/>
      <c r="B558" s="15"/>
    </row>
    <row r="559" spans="1:2" x14ac:dyDescent="0.15">
      <c r="A559" s="15"/>
      <c r="B559" s="15"/>
    </row>
    <row r="560" spans="1:2" x14ac:dyDescent="0.15">
      <c r="A560" s="15"/>
      <c r="B560" s="15"/>
    </row>
    <row r="561" spans="1:2" x14ac:dyDescent="0.15">
      <c r="A561" s="15"/>
      <c r="B561" s="15"/>
    </row>
    <row r="562" spans="1:2" x14ac:dyDescent="0.15">
      <c r="A562" s="15"/>
      <c r="B562" s="15"/>
    </row>
    <row r="563" spans="1:2" x14ac:dyDescent="0.15">
      <c r="A563" s="15"/>
      <c r="B563" s="15"/>
    </row>
    <row r="564" spans="1:2" x14ac:dyDescent="0.15">
      <c r="A564" s="15"/>
      <c r="B564" s="15"/>
    </row>
    <row r="565" spans="1:2" x14ac:dyDescent="0.15">
      <c r="A565" s="15"/>
      <c r="B565" s="15"/>
    </row>
    <row r="566" spans="1:2" x14ac:dyDescent="0.15">
      <c r="A566" s="15"/>
      <c r="B566" s="15"/>
    </row>
    <row r="567" spans="1:2" x14ac:dyDescent="0.15">
      <c r="A567" s="15"/>
      <c r="B567" s="15"/>
    </row>
    <row r="568" spans="1:2" x14ac:dyDescent="0.15">
      <c r="A568" s="15"/>
      <c r="B568" s="15"/>
    </row>
    <row r="569" spans="1:2" x14ac:dyDescent="0.15">
      <c r="A569" s="15"/>
      <c r="B569" s="15"/>
    </row>
    <row r="570" spans="1:2" x14ac:dyDescent="0.15">
      <c r="A570" s="15"/>
      <c r="B570" s="15"/>
    </row>
    <row r="571" spans="1:2" x14ac:dyDescent="0.15">
      <c r="A571" s="15"/>
      <c r="B571" s="15"/>
    </row>
    <row r="572" spans="1:2" x14ac:dyDescent="0.15">
      <c r="A572" s="15"/>
      <c r="B572" s="15"/>
    </row>
    <row r="573" spans="1:2" x14ac:dyDescent="0.15">
      <c r="A573" s="15"/>
      <c r="B573" s="15"/>
    </row>
    <row r="574" spans="1:2" x14ac:dyDescent="0.15">
      <c r="A574" s="15"/>
      <c r="B574" s="15"/>
    </row>
    <row r="575" spans="1:2" x14ac:dyDescent="0.15">
      <c r="A575" s="15"/>
      <c r="B575" s="15"/>
    </row>
    <row r="576" spans="1:2" x14ac:dyDescent="0.15">
      <c r="A576" s="15"/>
      <c r="B576" s="15"/>
    </row>
    <row r="577" spans="1:2" x14ac:dyDescent="0.15">
      <c r="A577" s="15"/>
      <c r="B577" s="15"/>
    </row>
    <row r="578" spans="1:2" x14ac:dyDescent="0.15">
      <c r="A578" s="15"/>
      <c r="B578" s="15"/>
    </row>
    <row r="579" spans="1:2" x14ac:dyDescent="0.15">
      <c r="A579" s="15"/>
      <c r="B579" s="15"/>
    </row>
    <row r="580" spans="1:2" x14ac:dyDescent="0.15">
      <c r="A580" s="15"/>
      <c r="B580" s="15"/>
    </row>
    <row r="581" spans="1:2" x14ac:dyDescent="0.15">
      <c r="A581" s="15"/>
      <c r="B581" s="15"/>
    </row>
    <row r="582" spans="1:2" x14ac:dyDescent="0.15">
      <c r="A582" s="15"/>
      <c r="B582" s="15"/>
    </row>
    <row r="583" spans="1:2" x14ac:dyDescent="0.15">
      <c r="A583" s="15"/>
      <c r="B583" s="15"/>
    </row>
    <row r="584" spans="1:2" x14ac:dyDescent="0.15">
      <c r="A584" s="15"/>
      <c r="B584" s="15"/>
    </row>
    <row r="585" spans="1:2" x14ac:dyDescent="0.15">
      <c r="A585" s="15"/>
      <c r="B585" s="15"/>
    </row>
    <row r="586" spans="1:2" x14ac:dyDescent="0.15">
      <c r="A586" s="15"/>
      <c r="B586" s="15"/>
    </row>
    <row r="587" spans="1:2" x14ac:dyDescent="0.15">
      <c r="A587" s="15"/>
      <c r="B587" s="15"/>
    </row>
    <row r="588" spans="1:2" x14ac:dyDescent="0.15">
      <c r="A588" s="15"/>
      <c r="B588" s="15"/>
    </row>
    <row r="589" spans="1:2" x14ac:dyDescent="0.15">
      <c r="A589" s="15"/>
      <c r="B589" s="15"/>
    </row>
    <row r="590" spans="1:2" x14ac:dyDescent="0.15">
      <c r="A590" s="15"/>
      <c r="B590" s="15"/>
    </row>
    <row r="591" spans="1:2" x14ac:dyDescent="0.15">
      <c r="A591" s="15"/>
      <c r="B591" s="15"/>
    </row>
    <row r="592" spans="1:2" x14ac:dyDescent="0.15">
      <c r="A592" s="15"/>
      <c r="B592" s="15"/>
    </row>
    <row r="593" spans="1:2" x14ac:dyDescent="0.15">
      <c r="A593" s="15"/>
      <c r="B593" s="15"/>
    </row>
    <row r="594" spans="1:2" x14ac:dyDescent="0.15">
      <c r="A594" s="15"/>
      <c r="B594" s="15"/>
    </row>
    <row r="595" spans="1:2" x14ac:dyDescent="0.15">
      <c r="A595" s="15"/>
      <c r="B595" s="15"/>
    </row>
    <row r="596" spans="1:2" x14ac:dyDescent="0.15">
      <c r="A596" s="15"/>
      <c r="B596" s="15"/>
    </row>
    <row r="597" spans="1:2" x14ac:dyDescent="0.15">
      <c r="A597" s="15"/>
      <c r="B597" s="15"/>
    </row>
    <row r="598" spans="1:2" x14ac:dyDescent="0.15">
      <c r="A598" s="15"/>
      <c r="B598" s="15"/>
    </row>
    <row r="599" spans="1:2" x14ac:dyDescent="0.15">
      <c r="A599" s="15"/>
      <c r="B599" s="15"/>
    </row>
    <row r="600" spans="1:2" x14ac:dyDescent="0.15">
      <c r="A600" s="15"/>
      <c r="B600" s="15"/>
    </row>
    <row r="601" spans="1:2" x14ac:dyDescent="0.15">
      <c r="A601" s="15"/>
      <c r="B601" s="15"/>
    </row>
    <row r="602" spans="1:2" x14ac:dyDescent="0.15">
      <c r="A602" s="15"/>
      <c r="B602" s="15"/>
    </row>
    <row r="603" spans="1:2" x14ac:dyDescent="0.15">
      <c r="A603" s="15"/>
      <c r="B603" s="15"/>
    </row>
    <row r="604" spans="1:2" x14ac:dyDescent="0.15">
      <c r="A604" s="15"/>
      <c r="B604" s="15"/>
    </row>
    <row r="605" spans="1:2" x14ac:dyDescent="0.15">
      <c r="A605" s="15"/>
      <c r="B605" s="15"/>
    </row>
    <row r="606" spans="1:2" x14ac:dyDescent="0.15">
      <c r="A606" s="15"/>
      <c r="B606" s="15"/>
    </row>
    <row r="607" spans="1:2" x14ac:dyDescent="0.15">
      <c r="A607" s="15"/>
      <c r="B607" s="15"/>
    </row>
    <row r="608" spans="1:2" x14ac:dyDescent="0.15">
      <c r="A608" s="15"/>
      <c r="B608" s="15"/>
    </row>
    <row r="609" spans="1:2" x14ac:dyDescent="0.15">
      <c r="A609" s="15"/>
      <c r="B609" s="15"/>
    </row>
    <row r="610" spans="1:2" x14ac:dyDescent="0.15">
      <c r="A610" s="15"/>
      <c r="B610" s="15"/>
    </row>
    <row r="611" spans="1:2" x14ac:dyDescent="0.15">
      <c r="A611" s="15"/>
      <c r="B611" s="15"/>
    </row>
    <row r="612" spans="1:2" x14ac:dyDescent="0.15">
      <c r="A612" s="15"/>
      <c r="B612" s="15"/>
    </row>
    <row r="613" spans="1:2" x14ac:dyDescent="0.15">
      <c r="A613" s="15"/>
      <c r="B613" s="15"/>
    </row>
    <row r="614" spans="1:2" x14ac:dyDescent="0.15">
      <c r="A614" s="15"/>
      <c r="B614" s="15"/>
    </row>
    <row r="615" spans="1:2" x14ac:dyDescent="0.15">
      <c r="A615" s="15"/>
      <c r="B615" s="15"/>
    </row>
    <row r="616" spans="1:2" x14ac:dyDescent="0.15">
      <c r="A616" s="15"/>
      <c r="B616" s="15"/>
    </row>
    <row r="617" spans="1:2" x14ac:dyDescent="0.15">
      <c r="A617" s="15"/>
      <c r="B617" s="15"/>
    </row>
    <row r="618" spans="1:2" x14ac:dyDescent="0.15">
      <c r="A618" s="15"/>
      <c r="B618" s="15"/>
    </row>
    <row r="619" spans="1:2" x14ac:dyDescent="0.15">
      <c r="A619" s="15"/>
      <c r="B619" s="15"/>
    </row>
    <row r="620" spans="1:2" x14ac:dyDescent="0.15">
      <c r="A620" s="15"/>
      <c r="B620" s="15"/>
    </row>
    <row r="621" spans="1:2" x14ac:dyDescent="0.15">
      <c r="A621" s="15"/>
      <c r="B621" s="15"/>
    </row>
    <row r="622" spans="1:2" x14ac:dyDescent="0.15">
      <c r="A622" s="15"/>
      <c r="B622" s="15"/>
    </row>
    <row r="623" spans="1:2" x14ac:dyDescent="0.15">
      <c r="A623" s="15"/>
      <c r="B623" s="15"/>
    </row>
    <row r="624" spans="1:2" x14ac:dyDescent="0.15">
      <c r="A624" s="15"/>
      <c r="B624" s="15"/>
    </row>
    <row r="625" spans="1:2" x14ac:dyDescent="0.15">
      <c r="A625" s="15"/>
      <c r="B625" s="15"/>
    </row>
    <row r="626" spans="1:2" x14ac:dyDescent="0.15">
      <c r="A626" s="15"/>
      <c r="B626" s="15"/>
    </row>
    <row r="627" spans="1:2" x14ac:dyDescent="0.15">
      <c r="A627" s="15"/>
      <c r="B627" s="15"/>
    </row>
    <row r="628" spans="1:2" x14ac:dyDescent="0.15">
      <c r="A628" s="15"/>
      <c r="B628" s="15"/>
    </row>
    <row r="629" spans="1:2" x14ac:dyDescent="0.15">
      <c r="A629" s="15"/>
      <c r="B629" s="15"/>
    </row>
    <row r="630" spans="1:2" x14ac:dyDescent="0.15">
      <c r="A630" s="15"/>
      <c r="B630" s="15"/>
    </row>
    <row r="631" spans="1:2" x14ac:dyDescent="0.15">
      <c r="A631" s="15"/>
      <c r="B631" s="15"/>
    </row>
    <row r="632" spans="1:2" x14ac:dyDescent="0.15">
      <c r="A632" s="15"/>
      <c r="B632" s="15"/>
    </row>
    <row r="633" spans="1:2" x14ac:dyDescent="0.15">
      <c r="A633" s="15"/>
      <c r="B633" s="15"/>
    </row>
    <row r="634" spans="1:2" x14ac:dyDescent="0.15">
      <c r="A634" s="15"/>
      <c r="B634" s="15"/>
    </row>
    <row r="635" spans="1:2" x14ac:dyDescent="0.15">
      <c r="A635" s="15"/>
      <c r="B635" s="15"/>
    </row>
    <row r="636" spans="1:2" x14ac:dyDescent="0.15">
      <c r="A636" s="15"/>
      <c r="B636" s="15"/>
    </row>
    <row r="637" spans="1:2" x14ac:dyDescent="0.15">
      <c r="A637" s="15"/>
      <c r="B637" s="15"/>
    </row>
    <row r="638" spans="1:2" x14ac:dyDescent="0.15">
      <c r="A638" s="15"/>
      <c r="B638" s="15"/>
    </row>
    <row r="639" spans="1:2" x14ac:dyDescent="0.15">
      <c r="A639" s="15"/>
      <c r="B639" s="15"/>
    </row>
    <row r="640" spans="1:2" x14ac:dyDescent="0.15">
      <c r="A640" s="15"/>
      <c r="B640" s="15"/>
    </row>
    <row r="641" spans="1:2" x14ac:dyDescent="0.15">
      <c r="A641" s="15"/>
      <c r="B641" s="15"/>
    </row>
    <row r="642" spans="1:2" x14ac:dyDescent="0.15">
      <c r="A642" s="15"/>
      <c r="B642" s="15"/>
    </row>
    <row r="643" spans="1:2" x14ac:dyDescent="0.15">
      <c r="A643" s="15"/>
      <c r="B643" s="15"/>
    </row>
    <row r="644" spans="1:2" x14ac:dyDescent="0.15">
      <c r="A644" s="15"/>
      <c r="B644" s="15"/>
    </row>
    <row r="645" spans="1:2" x14ac:dyDescent="0.15">
      <c r="A645" s="15"/>
      <c r="B645" s="15"/>
    </row>
    <row r="646" spans="1:2" x14ac:dyDescent="0.15">
      <c r="A646" s="15"/>
      <c r="B646" s="15"/>
    </row>
    <row r="647" spans="1:2" x14ac:dyDescent="0.15">
      <c r="A647" s="15"/>
      <c r="B647" s="15"/>
    </row>
    <row r="648" spans="1:2" x14ac:dyDescent="0.15">
      <c r="A648" s="15"/>
      <c r="B648" s="15"/>
    </row>
    <row r="649" spans="1:2" x14ac:dyDescent="0.15">
      <c r="A649" s="15"/>
      <c r="B649" s="15"/>
    </row>
    <row r="650" spans="1:2" x14ac:dyDescent="0.15">
      <c r="A650" s="15"/>
      <c r="B650" s="15"/>
    </row>
    <row r="651" spans="1:2" x14ac:dyDescent="0.15">
      <c r="A651" s="15"/>
      <c r="B651" s="15"/>
    </row>
    <row r="652" spans="1:2" x14ac:dyDescent="0.15">
      <c r="A652" s="15"/>
      <c r="B652" s="15"/>
    </row>
    <row r="653" spans="1:2" x14ac:dyDescent="0.15">
      <c r="A653" s="15"/>
      <c r="B653" s="15"/>
    </row>
    <row r="654" spans="1:2" x14ac:dyDescent="0.15">
      <c r="A654" s="15"/>
      <c r="B654" s="15"/>
    </row>
    <row r="655" spans="1:2" x14ac:dyDescent="0.15">
      <c r="A655" s="15"/>
      <c r="B655" s="15"/>
    </row>
    <row r="656" spans="1:2" x14ac:dyDescent="0.15">
      <c r="A656" s="15"/>
      <c r="B656" s="15"/>
    </row>
    <row r="657" spans="1:2" x14ac:dyDescent="0.15">
      <c r="A657" s="15"/>
      <c r="B657" s="15"/>
    </row>
    <row r="658" spans="1:2" x14ac:dyDescent="0.15">
      <c r="A658" s="15"/>
      <c r="B658" s="15"/>
    </row>
    <row r="659" spans="1:2" x14ac:dyDescent="0.15">
      <c r="A659" s="15"/>
      <c r="B659" s="15"/>
    </row>
    <row r="660" spans="1:2" x14ac:dyDescent="0.15">
      <c r="A660" s="15"/>
      <c r="B660" s="15"/>
    </row>
    <row r="661" spans="1:2" x14ac:dyDescent="0.15">
      <c r="A661" s="15"/>
      <c r="B661" s="15"/>
    </row>
    <row r="662" spans="1:2" x14ac:dyDescent="0.15">
      <c r="A662" s="15"/>
      <c r="B662" s="15"/>
    </row>
    <row r="663" spans="1:2" x14ac:dyDescent="0.15">
      <c r="A663" s="15"/>
      <c r="B663" s="15"/>
    </row>
    <row r="664" spans="1:2" x14ac:dyDescent="0.15">
      <c r="A664" s="15"/>
      <c r="B664" s="15"/>
    </row>
    <row r="665" spans="1:2" x14ac:dyDescent="0.15">
      <c r="A665" s="15"/>
      <c r="B665" s="15"/>
    </row>
    <row r="666" spans="1:2" x14ac:dyDescent="0.15">
      <c r="A666" s="15"/>
      <c r="B666" s="15"/>
    </row>
    <row r="667" spans="1:2" x14ac:dyDescent="0.15">
      <c r="A667" s="15"/>
      <c r="B667" s="15"/>
    </row>
    <row r="668" spans="1:2" x14ac:dyDescent="0.15">
      <c r="A668" s="15"/>
      <c r="B668" s="15"/>
    </row>
    <row r="669" spans="1:2" x14ac:dyDescent="0.15">
      <c r="A669" s="15"/>
      <c r="B669" s="15"/>
    </row>
    <row r="670" spans="1:2" x14ac:dyDescent="0.15">
      <c r="A670" s="15"/>
      <c r="B670" s="15"/>
    </row>
    <row r="671" spans="1:2" x14ac:dyDescent="0.15">
      <c r="A671" s="15"/>
      <c r="B671" s="15"/>
    </row>
    <row r="672" spans="1:2" x14ac:dyDescent="0.15">
      <c r="A672" s="15"/>
      <c r="B672" s="15"/>
    </row>
    <row r="673" spans="1:2" x14ac:dyDescent="0.15">
      <c r="A673" s="15"/>
      <c r="B673" s="15"/>
    </row>
    <row r="674" spans="1:2" x14ac:dyDescent="0.15">
      <c r="A674" s="15"/>
      <c r="B674" s="15"/>
    </row>
    <row r="675" spans="1:2" x14ac:dyDescent="0.15">
      <c r="A675" s="15"/>
      <c r="B675" s="15"/>
    </row>
    <row r="676" spans="1:2" x14ac:dyDescent="0.15">
      <c r="A676" s="15"/>
      <c r="B676" s="15"/>
    </row>
    <row r="677" spans="1:2" x14ac:dyDescent="0.15">
      <c r="A677" s="15"/>
      <c r="B677" s="15"/>
    </row>
    <row r="678" spans="1:2" x14ac:dyDescent="0.15">
      <c r="A678" s="15"/>
      <c r="B678" s="15"/>
    </row>
    <row r="679" spans="1:2" x14ac:dyDescent="0.15">
      <c r="A679" s="15"/>
      <c r="B679" s="15"/>
    </row>
    <row r="680" spans="1:2" x14ac:dyDescent="0.15">
      <c r="A680" s="15"/>
      <c r="B680" s="15"/>
    </row>
    <row r="681" spans="1:2" x14ac:dyDescent="0.15">
      <c r="A681" s="15"/>
      <c r="B681" s="15"/>
    </row>
    <row r="682" spans="1:2" x14ac:dyDescent="0.15">
      <c r="A682" s="15"/>
      <c r="B682" s="15"/>
    </row>
    <row r="683" spans="1:2" x14ac:dyDescent="0.15">
      <c r="A683" s="15"/>
      <c r="B683" s="15"/>
    </row>
    <row r="684" spans="1:2" x14ac:dyDescent="0.15">
      <c r="A684" s="15"/>
      <c r="B684" s="15"/>
    </row>
    <row r="685" spans="1:2" x14ac:dyDescent="0.15">
      <c r="A685" s="15"/>
      <c r="B685" s="15"/>
    </row>
    <row r="686" spans="1:2" x14ac:dyDescent="0.15">
      <c r="A686" s="15"/>
      <c r="B686" s="15"/>
    </row>
    <row r="687" spans="1:2" x14ac:dyDescent="0.15">
      <c r="A687" s="15"/>
      <c r="B687" s="15"/>
    </row>
    <row r="688" spans="1:2" x14ac:dyDescent="0.15">
      <c r="A688" s="15"/>
      <c r="B688" s="15"/>
    </row>
    <row r="689" spans="1:2" x14ac:dyDescent="0.15">
      <c r="A689" s="15"/>
      <c r="B689" s="15"/>
    </row>
    <row r="690" spans="1:2" x14ac:dyDescent="0.15">
      <c r="A690" s="15"/>
      <c r="B690" s="15"/>
    </row>
    <row r="691" spans="1:2" x14ac:dyDescent="0.15">
      <c r="A691" s="15"/>
      <c r="B691" s="15"/>
    </row>
    <row r="692" spans="1:2" x14ac:dyDescent="0.15">
      <c r="A692" s="15"/>
      <c r="B692" s="15"/>
    </row>
    <row r="693" spans="1:2" x14ac:dyDescent="0.15">
      <c r="A693" s="15"/>
      <c r="B693" s="15"/>
    </row>
    <row r="694" spans="1:2" x14ac:dyDescent="0.15">
      <c r="A694" s="15"/>
      <c r="B694" s="15"/>
    </row>
    <row r="695" spans="1:2" x14ac:dyDescent="0.15">
      <c r="A695" s="15"/>
      <c r="B695" s="15"/>
    </row>
    <row r="696" spans="1:2" x14ac:dyDescent="0.15">
      <c r="A696" s="15"/>
      <c r="B696" s="15"/>
    </row>
    <row r="697" spans="1:2" x14ac:dyDescent="0.15">
      <c r="A697" s="15"/>
      <c r="B697" s="15"/>
    </row>
    <row r="698" spans="1:2" x14ac:dyDescent="0.15">
      <c r="A698" s="15"/>
      <c r="B698" s="15"/>
    </row>
    <row r="699" spans="1:2" x14ac:dyDescent="0.15">
      <c r="A699" s="15"/>
      <c r="B699" s="15"/>
    </row>
    <row r="700" spans="1:2" x14ac:dyDescent="0.15">
      <c r="A700" s="15"/>
      <c r="B700" s="15"/>
    </row>
    <row r="701" spans="1:2" x14ac:dyDescent="0.15">
      <c r="A701" s="15"/>
      <c r="B701" s="15"/>
    </row>
    <row r="702" spans="1:2" x14ac:dyDescent="0.15">
      <c r="A702" s="15"/>
      <c r="B702" s="15"/>
    </row>
    <row r="703" spans="1:2" x14ac:dyDescent="0.15">
      <c r="A703" s="15"/>
      <c r="B703" s="15"/>
    </row>
    <row r="704" spans="1:2" x14ac:dyDescent="0.15">
      <c r="A704" s="15"/>
      <c r="B704" s="15"/>
    </row>
    <row r="705" spans="1:2" x14ac:dyDescent="0.15">
      <c r="A705" s="15"/>
      <c r="B705" s="15"/>
    </row>
    <row r="706" spans="1:2" x14ac:dyDescent="0.15">
      <c r="A706" s="15"/>
      <c r="B706" s="15"/>
    </row>
    <row r="707" spans="1:2" x14ac:dyDescent="0.15">
      <c r="A707" s="15"/>
      <c r="B707" s="15"/>
    </row>
    <row r="708" spans="1:2" x14ac:dyDescent="0.15">
      <c r="A708" s="15"/>
      <c r="B708" s="15"/>
    </row>
    <row r="709" spans="1:2" x14ac:dyDescent="0.15">
      <c r="A709" s="15"/>
      <c r="B709" s="15"/>
    </row>
    <row r="710" spans="1:2" x14ac:dyDescent="0.15">
      <c r="A710" s="15"/>
      <c r="B710" s="15"/>
    </row>
    <row r="711" spans="1:2" x14ac:dyDescent="0.15">
      <c r="A711" s="15"/>
      <c r="B711" s="15"/>
    </row>
    <row r="712" spans="1:2" x14ac:dyDescent="0.15">
      <c r="A712" s="15"/>
      <c r="B712" s="15"/>
    </row>
    <row r="713" spans="1:2" x14ac:dyDescent="0.15">
      <c r="A713" s="15"/>
      <c r="B713" s="15"/>
    </row>
    <row r="714" spans="1:2" x14ac:dyDescent="0.15">
      <c r="A714" s="15"/>
      <c r="B714" s="15"/>
    </row>
    <row r="715" spans="1:2" x14ac:dyDescent="0.15">
      <c r="A715" s="15"/>
      <c r="B715" s="15"/>
    </row>
    <row r="716" spans="1:2" x14ac:dyDescent="0.15">
      <c r="A716" s="15"/>
      <c r="B716" s="15"/>
    </row>
    <row r="717" spans="1:2" x14ac:dyDescent="0.15">
      <c r="A717" s="15"/>
      <c r="B717" s="15"/>
    </row>
    <row r="718" spans="1:2" x14ac:dyDescent="0.15">
      <c r="A718" s="15"/>
      <c r="B718" s="15"/>
    </row>
    <row r="719" spans="1:2" x14ac:dyDescent="0.15">
      <c r="A719" s="15"/>
      <c r="B719" s="15"/>
    </row>
    <row r="720" spans="1:2" x14ac:dyDescent="0.15">
      <c r="A720" s="15"/>
      <c r="B720" s="15"/>
    </row>
    <row r="721" spans="1:2" x14ac:dyDescent="0.15">
      <c r="A721" s="15"/>
      <c r="B721" s="15"/>
    </row>
    <row r="722" spans="1:2" x14ac:dyDescent="0.15">
      <c r="A722" s="15"/>
      <c r="B722" s="15"/>
    </row>
    <row r="723" spans="1:2" x14ac:dyDescent="0.15">
      <c r="A723" s="15"/>
      <c r="B723" s="15"/>
    </row>
    <row r="724" spans="1:2" x14ac:dyDescent="0.15">
      <c r="A724" s="15"/>
      <c r="B724" s="15"/>
    </row>
    <row r="725" spans="1:2" x14ac:dyDescent="0.15">
      <c r="A725" s="15"/>
      <c r="B725" s="15"/>
    </row>
    <row r="726" spans="1:2" x14ac:dyDescent="0.15">
      <c r="A726" s="15"/>
      <c r="B726" s="15"/>
    </row>
    <row r="727" spans="1:2" x14ac:dyDescent="0.15">
      <c r="A727" s="15"/>
      <c r="B727" s="15"/>
    </row>
    <row r="728" spans="1:2" x14ac:dyDescent="0.15">
      <c r="A728" s="15"/>
      <c r="B728" s="15"/>
    </row>
    <row r="729" spans="1:2" x14ac:dyDescent="0.15">
      <c r="A729" s="15"/>
      <c r="B729" s="15"/>
    </row>
    <row r="730" spans="1:2" x14ac:dyDescent="0.15">
      <c r="A730" s="15"/>
      <c r="B730" s="15"/>
    </row>
    <row r="731" spans="1:2" x14ac:dyDescent="0.15">
      <c r="A731" s="15"/>
      <c r="B731" s="15"/>
    </row>
    <row r="732" spans="1:2" x14ac:dyDescent="0.15">
      <c r="A732" s="15"/>
      <c r="B732" s="15"/>
    </row>
    <row r="733" spans="1:2" x14ac:dyDescent="0.15">
      <c r="A733" s="15"/>
      <c r="B733" s="15"/>
    </row>
    <row r="734" spans="1:2" x14ac:dyDescent="0.15">
      <c r="A734" s="15"/>
      <c r="B734" s="15"/>
    </row>
    <row r="735" spans="1:2" x14ac:dyDescent="0.15">
      <c r="A735" s="15"/>
      <c r="B735" s="15"/>
    </row>
    <row r="736" spans="1:2" x14ac:dyDescent="0.15">
      <c r="A736" s="15"/>
      <c r="B736" s="15"/>
    </row>
    <row r="737" spans="1:2" x14ac:dyDescent="0.15">
      <c r="A737" s="15"/>
      <c r="B737" s="15"/>
    </row>
    <row r="738" spans="1:2" x14ac:dyDescent="0.15">
      <c r="A738" s="15"/>
      <c r="B738" s="15"/>
    </row>
    <row r="739" spans="1:2" x14ac:dyDescent="0.15">
      <c r="A739" s="15"/>
      <c r="B739" s="15"/>
    </row>
    <row r="740" spans="1:2" x14ac:dyDescent="0.15">
      <c r="A740" s="15"/>
      <c r="B740" s="15"/>
    </row>
    <row r="741" spans="1:2" x14ac:dyDescent="0.15">
      <c r="A741" s="15"/>
      <c r="B741" s="15"/>
    </row>
    <row r="742" spans="1:2" x14ac:dyDescent="0.15">
      <c r="A742" s="15"/>
      <c r="B742" s="15"/>
    </row>
    <row r="743" spans="1:2" x14ac:dyDescent="0.15">
      <c r="A743" s="15"/>
      <c r="B743" s="15"/>
    </row>
    <row r="744" spans="1:2" x14ac:dyDescent="0.15">
      <c r="A744" s="15"/>
      <c r="B744" s="15"/>
    </row>
    <row r="745" spans="1:2" x14ac:dyDescent="0.15">
      <c r="A745" s="15"/>
      <c r="B745" s="15"/>
    </row>
    <row r="746" spans="1:2" x14ac:dyDescent="0.15">
      <c r="A746" s="15"/>
      <c r="B746" s="15"/>
    </row>
    <row r="747" spans="1:2" x14ac:dyDescent="0.15">
      <c r="A747" s="15"/>
      <c r="B747" s="15"/>
    </row>
    <row r="748" spans="1:2" x14ac:dyDescent="0.15">
      <c r="A748" s="15"/>
      <c r="B748" s="15"/>
    </row>
    <row r="749" spans="1:2" x14ac:dyDescent="0.15">
      <c r="A749" s="15"/>
      <c r="B749" s="15"/>
    </row>
    <row r="750" spans="1:2" x14ac:dyDescent="0.15">
      <c r="A750" s="15"/>
      <c r="B750" s="15"/>
    </row>
    <row r="751" spans="1:2" x14ac:dyDescent="0.15">
      <c r="A751" s="15"/>
      <c r="B751" s="15"/>
    </row>
    <row r="752" spans="1:2" x14ac:dyDescent="0.15">
      <c r="A752" s="15"/>
      <c r="B752" s="15"/>
    </row>
    <row r="753" spans="1:2" x14ac:dyDescent="0.15">
      <c r="A753" s="15"/>
      <c r="B753" s="15"/>
    </row>
    <row r="754" spans="1:2" x14ac:dyDescent="0.15">
      <c r="A754" s="15"/>
      <c r="B754" s="15"/>
    </row>
    <row r="755" spans="1:2" x14ac:dyDescent="0.15">
      <c r="A755" s="15"/>
      <c r="B755" s="15"/>
    </row>
    <row r="756" spans="1:2" x14ac:dyDescent="0.15">
      <c r="A756" s="15"/>
      <c r="B756" s="15"/>
    </row>
    <row r="757" spans="1:2" x14ac:dyDescent="0.15">
      <c r="A757" s="15"/>
      <c r="B757" s="15"/>
    </row>
    <row r="758" spans="1:2" x14ac:dyDescent="0.15">
      <c r="A758" s="15"/>
      <c r="B758" s="15"/>
    </row>
    <row r="759" spans="1:2" x14ac:dyDescent="0.15">
      <c r="A759" s="15"/>
      <c r="B759" s="15"/>
    </row>
    <row r="760" spans="1:2" x14ac:dyDescent="0.15">
      <c r="A760" s="15"/>
      <c r="B760" s="15"/>
    </row>
    <row r="761" spans="1:2" x14ac:dyDescent="0.15">
      <c r="A761" s="15"/>
      <c r="B761" s="15"/>
    </row>
    <row r="762" spans="1:2" x14ac:dyDescent="0.15">
      <c r="A762" s="15"/>
      <c r="B762" s="15"/>
    </row>
    <row r="763" spans="1:2" x14ac:dyDescent="0.15">
      <c r="A763" s="15"/>
      <c r="B763" s="15"/>
    </row>
    <row r="764" spans="1:2" x14ac:dyDescent="0.15">
      <c r="A764" s="15"/>
      <c r="B764" s="15"/>
    </row>
    <row r="765" spans="1:2" x14ac:dyDescent="0.15">
      <c r="A765" s="15"/>
      <c r="B765" s="15"/>
    </row>
    <row r="766" spans="1:2" x14ac:dyDescent="0.15">
      <c r="A766" s="15"/>
      <c r="B766" s="15"/>
    </row>
    <row r="767" spans="1:2" x14ac:dyDescent="0.15">
      <c r="A767" s="15"/>
      <c r="B767" s="15"/>
    </row>
    <row r="768" spans="1:2" x14ac:dyDescent="0.15">
      <c r="A768" s="15"/>
      <c r="B768" s="15"/>
    </row>
    <row r="769" spans="1:2" x14ac:dyDescent="0.15">
      <c r="A769" s="15"/>
      <c r="B769" s="15"/>
    </row>
    <row r="770" spans="1:2" x14ac:dyDescent="0.15">
      <c r="A770" s="15"/>
      <c r="B770" s="15"/>
    </row>
    <row r="771" spans="1:2" x14ac:dyDescent="0.15">
      <c r="A771" s="15"/>
      <c r="B771" s="15"/>
    </row>
    <row r="772" spans="1:2" x14ac:dyDescent="0.15">
      <c r="A772" s="15"/>
      <c r="B772" s="15"/>
    </row>
    <row r="773" spans="1:2" x14ac:dyDescent="0.15">
      <c r="A773" s="15"/>
      <c r="B773" s="15"/>
    </row>
    <row r="774" spans="1:2" x14ac:dyDescent="0.15">
      <c r="A774" s="15"/>
      <c r="B774" s="15"/>
    </row>
    <row r="775" spans="1:2" x14ac:dyDescent="0.15">
      <c r="A775" s="15"/>
      <c r="B775" s="15"/>
    </row>
    <row r="776" spans="1:2" x14ac:dyDescent="0.15">
      <c r="A776" s="15"/>
      <c r="B776" s="15"/>
    </row>
    <row r="777" spans="1:2" x14ac:dyDescent="0.15">
      <c r="A777" s="15"/>
      <c r="B777" s="15"/>
    </row>
    <row r="778" spans="1:2" x14ac:dyDescent="0.15">
      <c r="A778" s="15"/>
      <c r="B778" s="15"/>
    </row>
    <row r="779" spans="1:2" x14ac:dyDescent="0.15">
      <c r="A779" s="15"/>
      <c r="B779" s="15"/>
    </row>
    <row r="780" spans="1:2" x14ac:dyDescent="0.15">
      <c r="A780" s="15"/>
      <c r="B780" s="15"/>
    </row>
    <row r="781" spans="1:2" x14ac:dyDescent="0.15">
      <c r="A781" s="15"/>
      <c r="B781" s="15"/>
    </row>
    <row r="782" spans="1:2" x14ac:dyDescent="0.15">
      <c r="A782" s="15"/>
      <c r="B782" s="15"/>
    </row>
    <row r="783" spans="1:2" x14ac:dyDescent="0.15">
      <c r="A783" s="15"/>
      <c r="B783" s="15"/>
    </row>
    <row r="784" spans="1:2" x14ac:dyDescent="0.15">
      <c r="A784" s="15"/>
      <c r="B784" s="15"/>
    </row>
    <row r="785" spans="1:2" x14ac:dyDescent="0.15">
      <c r="A785" s="15"/>
      <c r="B785" s="15"/>
    </row>
    <row r="786" spans="1:2" x14ac:dyDescent="0.15">
      <c r="A786" s="15"/>
      <c r="B786" s="15"/>
    </row>
    <row r="787" spans="1:2" x14ac:dyDescent="0.15">
      <c r="A787" s="15"/>
      <c r="B787" s="15"/>
    </row>
    <row r="788" spans="1:2" x14ac:dyDescent="0.15">
      <c r="A788" s="15"/>
      <c r="B788" s="15"/>
    </row>
    <row r="789" spans="1:2" x14ac:dyDescent="0.15">
      <c r="A789" s="15"/>
      <c r="B789" s="15"/>
    </row>
    <row r="790" spans="1:2" x14ac:dyDescent="0.15">
      <c r="A790" s="15"/>
      <c r="B790" s="15"/>
    </row>
    <row r="791" spans="1:2" x14ac:dyDescent="0.15">
      <c r="A791" s="15"/>
      <c r="B791" s="15"/>
    </row>
    <row r="792" spans="1:2" x14ac:dyDescent="0.15">
      <c r="A792" s="15"/>
      <c r="B792" s="15"/>
    </row>
    <row r="793" spans="1:2" x14ac:dyDescent="0.15">
      <c r="A793" s="15"/>
      <c r="B793" s="15"/>
    </row>
    <row r="794" spans="1:2" x14ac:dyDescent="0.15">
      <c r="A794" s="15"/>
      <c r="B794" s="15"/>
    </row>
    <row r="795" spans="1:2" x14ac:dyDescent="0.15">
      <c r="A795" s="15"/>
      <c r="B795" s="15"/>
    </row>
    <row r="796" spans="1:2" x14ac:dyDescent="0.15">
      <c r="A796" s="15"/>
      <c r="B796" s="15"/>
    </row>
    <row r="797" spans="1:2" x14ac:dyDescent="0.15">
      <c r="A797" s="15"/>
      <c r="B797" s="15"/>
    </row>
    <row r="798" spans="1:2" x14ac:dyDescent="0.15">
      <c r="A798" s="15"/>
      <c r="B798" s="15"/>
    </row>
    <row r="799" spans="1:2" x14ac:dyDescent="0.15">
      <c r="A799" s="15"/>
      <c r="B799" s="15"/>
    </row>
    <row r="800" spans="1:2" x14ac:dyDescent="0.15">
      <c r="A800" s="15"/>
      <c r="B800" s="15"/>
    </row>
    <row r="801" spans="1:2" x14ac:dyDescent="0.15">
      <c r="A801" s="15"/>
      <c r="B801" s="15"/>
    </row>
    <row r="802" spans="1:2" x14ac:dyDescent="0.15">
      <c r="A802" s="15"/>
      <c r="B802" s="15"/>
    </row>
    <row r="803" spans="1:2" x14ac:dyDescent="0.15">
      <c r="A803" s="15"/>
      <c r="B803" s="15"/>
    </row>
    <row r="804" spans="1:2" x14ac:dyDescent="0.15">
      <c r="A804" s="15"/>
      <c r="B804" s="15"/>
    </row>
    <row r="805" spans="1:2" x14ac:dyDescent="0.15">
      <c r="A805" s="15"/>
      <c r="B805" s="15"/>
    </row>
    <row r="806" spans="1:2" x14ac:dyDescent="0.15">
      <c r="A806" s="15"/>
      <c r="B806" s="15"/>
    </row>
    <row r="807" spans="1:2" x14ac:dyDescent="0.15">
      <c r="A807" s="15"/>
      <c r="B807" s="15"/>
    </row>
    <row r="808" spans="1:2" x14ac:dyDescent="0.15">
      <c r="A808" s="15"/>
      <c r="B808" s="15"/>
    </row>
    <row r="809" spans="1:2" x14ac:dyDescent="0.15">
      <c r="A809" s="15"/>
      <c r="B809" s="15"/>
    </row>
    <row r="810" spans="1:2" x14ac:dyDescent="0.15">
      <c r="A810" s="15"/>
      <c r="B810" s="15"/>
    </row>
    <row r="811" spans="1:2" x14ac:dyDescent="0.15">
      <c r="A811" s="15"/>
      <c r="B811" s="15"/>
    </row>
    <row r="812" spans="1:2" x14ac:dyDescent="0.15">
      <c r="A812" s="15"/>
      <c r="B812" s="15"/>
    </row>
    <row r="813" spans="1:2" x14ac:dyDescent="0.15">
      <c r="A813" s="15"/>
      <c r="B813" s="15"/>
    </row>
    <row r="814" spans="1:2" x14ac:dyDescent="0.15">
      <c r="A814" s="15"/>
      <c r="B814" s="15"/>
    </row>
    <row r="815" spans="1:2" x14ac:dyDescent="0.15">
      <c r="A815" s="15"/>
      <c r="B815" s="15"/>
    </row>
    <row r="816" spans="1:2" x14ac:dyDescent="0.15">
      <c r="A816" s="15"/>
      <c r="B816" s="15"/>
    </row>
    <row r="817" spans="1:2" x14ac:dyDescent="0.15">
      <c r="A817" s="15"/>
      <c r="B817" s="15"/>
    </row>
    <row r="818" spans="1:2" x14ac:dyDescent="0.15">
      <c r="A818" s="15"/>
      <c r="B818" s="15"/>
    </row>
    <row r="819" spans="1:2" x14ac:dyDescent="0.15">
      <c r="A819" s="15"/>
      <c r="B819" s="15"/>
    </row>
    <row r="820" spans="1:2" x14ac:dyDescent="0.15">
      <c r="A820" s="15"/>
      <c r="B820" s="15"/>
    </row>
    <row r="821" spans="1:2" x14ac:dyDescent="0.15">
      <c r="A821" s="15"/>
      <c r="B821" s="15"/>
    </row>
    <row r="822" spans="1:2" x14ac:dyDescent="0.15">
      <c r="A822" s="15"/>
      <c r="B822" s="15"/>
    </row>
    <row r="823" spans="1:2" x14ac:dyDescent="0.15">
      <c r="A823" s="15"/>
      <c r="B823" s="15"/>
    </row>
    <row r="824" spans="1:2" x14ac:dyDescent="0.15">
      <c r="A824" s="15"/>
      <c r="B824" s="15"/>
    </row>
    <row r="825" spans="1:2" x14ac:dyDescent="0.15">
      <c r="A825" s="15"/>
      <c r="B825" s="15"/>
    </row>
    <row r="826" spans="1:2" x14ac:dyDescent="0.15">
      <c r="A826" s="15"/>
      <c r="B826" s="15"/>
    </row>
    <row r="827" spans="1:2" x14ac:dyDescent="0.15">
      <c r="A827" s="15"/>
      <c r="B827" s="15"/>
    </row>
    <row r="828" spans="1:2" x14ac:dyDescent="0.15">
      <c r="A828" s="15"/>
      <c r="B828" s="15"/>
    </row>
    <row r="829" spans="1:2" x14ac:dyDescent="0.15">
      <c r="A829" s="15"/>
      <c r="B829" s="15"/>
    </row>
    <row r="830" spans="1:2" x14ac:dyDescent="0.15">
      <c r="A830" s="15"/>
      <c r="B830" s="15"/>
    </row>
    <row r="831" spans="1:2" x14ac:dyDescent="0.15">
      <c r="A831" s="15"/>
      <c r="B831" s="15"/>
    </row>
    <row r="832" spans="1:2" x14ac:dyDescent="0.15">
      <c r="A832" s="15"/>
      <c r="B832" s="15"/>
    </row>
    <row r="833" spans="1:2" x14ac:dyDescent="0.15">
      <c r="A833" s="15"/>
      <c r="B833" s="15"/>
    </row>
    <row r="834" spans="1:2" x14ac:dyDescent="0.15">
      <c r="A834" s="15"/>
      <c r="B834" s="15"/>
    </row>
    <row r="835" spans="1:2" x14ac:dyDescent="0.15">
      <c r="A835" s="15"/>
      <c r="B835" s="15"/>
    </row>
    <row r="836" spans="1:2" x14ac:dyDescent="0.15">
      <c r="A836" s="15"/>
      <c r="B836" s="15"/>
    </row>
    <row r="837" spans="1:2" x14ac:dyDescent="0.15">
      <c r="A837" s="15"/>
      <c r="B837" s="15"/>
    </row>
    <row r="838" spans="1:2" x14ac:dyDescent="0.15">
      <c r="A838" s="15"/>
      <c r="B838" s="15"/>
    </row>
    <row r="839" spans="1:2" x14ac:dyDescent="0.15">
      <c r="A839" s="15"/>
      <c r="B839" s="15"/>
    </row>
    <row r="840" spans="1:2" x14ac:dyDescent="0.15">
      <c r="A840" s="15"/>
      <c r="B840" s="15"/>
    </row>
    <row r="841" spans="1:2" x14ac:dyDescent="0.15">
      <c r="A841" s="15"/>
      <c r="B841" s="15"/>
    </row>
    <row r="842" spans="1:2" x14ac:dyDescent="0.15">
      <c r="A842" s="15"/>
      <c r="B842" s="15"/>
    </row>
    <row r="843" spans="1:2" x14ac:dyDescent="0.15">
      <c r="A843" s="15"/>
      <c r="B843" s="15"/>
    </row>
    <row r="844" spans="1:2" x14ac:dyDescent="0.15">
      <c r="A844" s="15"/>
      <c r="B844" s="15"/>
    </row>
    <row r="845" spans="1:2" x14ac:dyDescent="0.15">
      <c r="A845" s="15"/>
      <c r="B845" s="15"/>
    </row>
    <row r="846" spans="1:2" x14ac:dyDescent="0.15">
      <c r="A846" s="15"/>
      <c r="B846" s="15"/>
    </row>
    <row r="847" spans="1:2" x14ac:dyDescent="0.15">
      <c r="A847" s="15"/>
      <c r="B847" s="15"/>
    </row>
    <row r="848" spans="1:2" x14ac:dyDescent="0.15">
      <c r="A848" s="15"/>
      <c r="B848" s="15"/>
    </row>
    <row r="849" spans="1:2" x14ac:dyDescent="0.15">
      <c r="A849" s="15"/>
      <c r="B849" s="15"/>
    </row>
    <row r="850" spans="1:2" x14ac:dyDescent="0.15">
      <c r="A850" s="15"/>
      <c r="B850" s="15"/>
    </row>
    <row r="851" spans="1:2" x14ac:dyDescent="0.15">
      <c r="A851" s="15"/>
      <c r="B851" s="15"/>
    </row>
    <row r="852" spans="1:2" x14ac:dyDescent="0.15">
      <c r="A852" s="15"/>
      <c r="B852" s="15"/>
    </row>
    <row r="853" spans="1:2" x14ac:dyDescent="0.15">
      <c r="A853" s="15"/>
      <c r="B853" s="15"/>
    </row>
    <row r="854" spans="1:2" x14ac:dyDescent="0.15">
      <c r="A854" s="15"/>
      <c r="B854" s="15"/>
    </row>
    <row r="855" spans="1:2" x14ac:dyDescent="0.15">
      <c r="A855" s="15"/>
      <c r="B855" s="15"/>
    </row>
    <row r="856" spans="1:2" x14ac:dyDescent="0.15">
      <c r="A856" s="15"/>
      <c r="B856" s="15"/>
    </row>
    <row r="857" spans="1:2" x14ac:dyDescent="0.15">
      <c r="A857" s="15"/>
      <c r="B857" s="15"/>
    </row>
    <row r="858" spans="1:2" x14ac:dyDescent="0.15">
      <c r="A858" s="15"/>
      <c r="B858" s="15"/>
    </row>
    <row r="859" spans="1:2" x14ac:dyDescent="0.15">
      <c r="A859" s="15"/>
      <c r="B859" s="15"/>
    </row>
    <row r="860" spans="1:2" x14ac:dyDescent="0.15">
      <c r="A860" s="15"/>
      <c r="B860" s="15"/>
    </row>
    <row r="861" spans="1:2" x14ac:dyDescent="0.15">
      <c r="A861" s="15"/>
      <c r="B861" s="15"/>
    </row>
    <row r="862" spans="1:2" x14ac:dyDescent="0.15">
      <c r="A862" s="15"/>
      <c r="B862" s="15"/>
    </row>
    <row r="863" spans="1:2" x14ac:dyDescent="0.15">
      <c r="A863" s="15"/>
      <c r="B863" s="15"/>
    </row>
    <row r="864" spans="1:2" x14ac:dyDescent="0.15">
      <c r="A864" s="15"/>
      <c r="B864" s="15"/>
    </row>
    <row r="865" spans="1:2" x14ac:dyDescent="0.15">
      <c r="A865" s="15"/>
      <c r="B865" s="15"/>
    </row>
    <row r="866" spans="1:2" x14ac:dyDescent="0.15">
      <c r="A866" s="15"/>
      <c r="B866" s="15"/>
    </row>
    <row r="867" spans="1:2" x14ac:dyDescent="0.15">
      <c r="A867" s="15"/>
      <c r="B867" s="15"/>
    </row>
    <row r="868" spans="1:2" x14ac:dyDescent="0.15">
      <c r="A868" s="15"/>
      <c r="B868" s="15"/>
    </row>
    <row r="869" spans="1:2" x14ac:dyDescent="0.15">
      <c r="A869" s="15"/>
      <c r="B869" s="15"/>
    </row>
    <row r="870" spans="1:2" x14ac:dyDescent="0.15">
      <c r="A870" s="15"/>
      <c r="B870" s="15"/>
    </row>
    <row r="871" spans="1:2" x14ac:dyDescent="0.15">
      <c r="A871" s="15"/>
      <c r="B871" s="15"/>
    </row>
    <row r="872" spans="1:2" x14ac:dyDescent="0.15">
      <c r="A872" s="15"/>
      <c r="B872" s="15"/>
    </row>
    <row r="873" spans="1:2" x14ac:dyDescent="0.15">
      <c r="A873" s="15"/>
      <c r="B873" s="15"/>
    </row>
    <row r="874" spans="1:2" x14ac:dyDescent="0.15">
      <c r="A874" s="15"/>
      <c r="B874" s="15"/>
    </row>
    <row r="875" spans="1:2" x14ac:dyDescent="0.15">
      <c r="A875" s="15"/>
      <c r="B875" s="15"/>
    </row>
    <row r="876" spans="1:2" x14ac:dyDescent="0.15">
      <c r="A876" s="15"/>
      <c r="B876" s="15"/>
    </row>
    <row r="877" spans="1:2" x14ac:dyDescent="0.15">
      <c r="A877" s="15"/>
      <c r="B877" s="15"/>
    </row>
    <row r="878" spans="1:2" x14ac:dyDescent="0.15">
      <c r="A878" s="15"/>
      <c r="B878" s="15"/>
    </row>
    <row r="879" spans="1:2" x14ac:dyDescent="0.15">
      <c r="A879" s="15"/>
      <c r="B879" s="15"/>
    </row>
    <row r="880" spans="1:2" x14ac:dyDescent="0.15">
      <c r="A880" s="15"/>
      <c r="B880" s="15"/>
    </row>
    <row r="881" spans="1:2" x14ac:dyDescent="0.15">
      <c r="A881" s="15"/>
      <c r="B881" s="15"/>
    </row>
    <row r="882" spans="1:2" x14ac:dyDescent="0.15">
      <c r="A882" s="15"/>
      <c r="B882" s="15"/>
    </row>
    <row r="883" spans="1:2" x14ac:dyDescent="0.15">
      <c r="A883" s="15"/>
      <c r="B883" s="15"/>
    </row>
    <row r="884" spans="1:2" x14ac:dyDescent="0.15">
      <c r="A884" s="15"/>
      <c r="B884" s="15"/>
    </row>
    <row r="885" spans="1:2" x14ac:dyDescent="0.15">
      <c r="A885" s="15"/>
      <c r="B885" s="15"/>
    </row>
    <row r="886" spans="1:2" x14ac:dyDescent="0.15">
      <c r="A886" s="15"/>
      <c r="B886" s="15"/>
    </row>
    <row r="887" spans="1:2" x14ac:dyDescent="0.15">
      <c r="A887" s="15"/>
      <c r="B887" s="15"/>
    </row>
    <row r="888" spans="1:2" x14ac:dyDescent="0.15">
      <c r="A888" s="15"/>
      <c r="B888" s="15"/>
    </row>
    <row r="889" spans="1:2" x14ac:dyDescent="0.15">
      <c r="A889" s="15"/>
      <c r="B889" s="15"/>
    </row>
    <row r="890" spans="1:2" x14ac:dyDescent="0.15">
      <c r="A890" s="15"/>
      <c r="B890" s="15"/>
    </row>
    <row r="891" spans="1:2" x14ac:dyDescent="0.15">
      <c r="A891" s="15"/>
      <c r="B891" s="15"/>
    </row>
    <row r="892" spans="1:2" x14ac:dyDescent="0.15">
      <c r="A892" s="15"/>
      <c r="B892" s="15"/>
    </row>
    <row r="893" spans="1:2" x14ac:dyDescent="0.15">
      <c r="A893" s="15"/>
      <c r="B893" s="15"/>
    </row>
    <row r="894" spans="1:2" x14ac:dyDescent="0.15">
      <c r="A894" s="15"/>
      <c r="B894" s="15"/>
    </row>
    <row r="895" spans="1:2" x14ac:dyDescent="0.15">
      <c r="A895" s="15"/>
      <c r="B895" s="15"/>
    </row>
    <row r="896" spans="1:2" x14ac:dyDescent="0.15">
      <c r="A896" s="15"/>
      <c r="B896" s="15"/>
    </row>
    <row r="897" spans="1:2" x14ac:dyDescent="0.15">
      <c r="A897" s="15"/>
      <c r="B897" s="15"/>
    </row>
    <row r="898" spans="1:2" x14ac:dyDescent="0.15">
      <c r="A898" s="15"/>
      <c r="B898" s="15"/>
    </row>
    <row r="899" spans="1:2" x14ac:dyDescent="0.15">
      <c r="A899" s="15"/>
      <c r="B899" s="15"/>
    </row>
    <row r="900" spans="1:2" x14ac:dyDescent="0.15">
      <c r="A900" s="15"/>
      <c r="B900" s="15"/>
    </row>
    <row r="901" spans="1:2" x14ac:dyDescent="0.15">
      <c r="A901" s="15"/>
      <c r="B901" s="15"/>
    </row>
    <row r="902" spans="1:2" x14ac:dyDescent="0.15">
      <c r="A902" s="15"/>
      <c r="B902" s="15"/>
    </row>
    <row r="903" spans="1:2" x14ac:dyDescent="0.15">
      <c r="A903" s="15"/>
      <c r="B903" s="15"/>
    </row>
    <row r="904" spans="1:2" x14ac:dyDescent="0.15">
      <c r="A904" s="15"/>
      <c r="B904" s="15"/>
    </row>
    <row r="905" spans="1:2" x14ac:dyDescent="0.15">
      <c r="A905" s="15"/>
      <c r="B905" s="15"/>
    </row>
    <row r="906" spans="1:2" x14ac:dyDescent="0.15">
      <c r="A906" s="15"/>
      <c r="B906" s="15"/>
    </row>
    <row r="907" spans="1:2" x14ac:dyDescent="0.15">
      <c r="A907" s="15"/>
      <c r="B907" s="15"/>
    </row>
    <row r="908" spans="1:2" x14ac:dyDescent="0.15">
      <c r="A908" s="15"/>
      <c r="B908" s="15"/>
    </row>
    <row r="909" spans="1:2" x14ac:dyDescent="0.15">
      <c r="A909" s="15"/>
      <c r="B909" s="15"/>
    </row>
    <row r="910" spans="1:2" x14ac:dyDescent="0.15">
      <c r="A910" s="15"/>
      <c r="B910" s="15"/>
    </row>
    <row r="911" spans="1:2" x14ac:dyDescent="0.15">
      <c r="A911" s="15"/>
      <c r="B911" s="15"/>
    </row>
    <row r="912" spans="1:2" x14ac:dyDescent="0.15">
      <c r="A912" s="15"/>
      <c r="B912" s="15"/>
    </row>
    <row r="913" spans="1:2" x14ac:dyDescent="0.15">
      <c r="A913" s="15"/>
      <c r="B913" s="15"/>
    </row>
    <row r="914" spans="1:2" x14ac:dyDescent="0.15">
      <c r="A914" s="15"/>
      <c r="B914" s="15"/>
    </row>
    <row r="915" spans="1:2" x14ac:dyDescent="0.15">
      <c r="A915" s="15"/>
      <c r="B915" s="15"/>
    </row>
    <row r="916" spans="1:2" x14ac:dyDescent="0.15">
      <c r="A916" s="15"/>
      <c r="B916" s="15"/>
    </row>
    <row r="917" spans="1:2" x14ac:dyDescent="0.15">
      <c r="A917" s="15"/>
      <c r="B917" s="15"/>
    </row>
    <row r="918" spans="1:2" x14ac:dyDescent="0.15">
      <c r="A918" s="15"/>
      <c r="B918" s="15"/>
    </row>
    <row r="919" spans="1:2" x14ac:dyDescent="0.15">
      <c r="A919" s="15"/>
      <c r="B919" s="15"/>
    </row>
    <row r="920" spans="1:2" x14ac:dyDescent="0.15">
      <c r="A920" s="15"/>
      <c r="B920" s="15"/>
    </row>
    <row r="921" spans="1:2" x14ac:dyDescent="0.15">
      <c r="A921" s="15"/>
      <c r="B921" s="15"/>
    </row>
    <row r="922" spans="1:2" x14ac:dyDescent="0.15">
      <c r="A922" s="15"/>
      <c r="B922" s="15"/>
    </row>
    <row r="923" spans="1:2" x14ac:dyDescent="0.15">
      <c r="A923" s="15"/>
      <c r="B923" s="15"/>
    </row>
    <row r="924" spans="1:2" x14ac:dyDescent="0.15">
      <c r="A924" s="15"/>
      <c r="B924" s="15"/>
    </row>
    <row r="925" spans="1:2" x14ac:dyDescent="0.15">
      <c r="A925" s="15"/>
      <c r="B925" s="15"/>
    </row>
    <row r="926" spans="1:2" x14ac:dyDescent="0.15">
      <c r="A926" s="15"/>
      <c r="B926" s="15"/>
    </row>
    <row r="927" spans="1:2" x14ac:dyDescent="0.15">
      <c r="A927" s="15"/>
      <c r="B927" s="15"/>
    </row>
    <row r="928" spans="1:2" x14ac:dyDescent="0.15">
      <c r="A928" s="15"/>
      <c r="B928" s="15"/>
    </row>
    <row r="929" spans="1:2" x14ac:dyDescent="0.15">
      <c r="A929" s="15"/>
      <c r="B929" s="15"/>
    </row>
    <row r="930" spans="1:2" x14ac:dyDescent="0.15">
      <c r="A930" s="15"/>
      <c r="B930" s="15"/>
    </row>
    <row r="931" spans="1:2" x14ac:dyDescent="0.15">
      <c r="A931" s="15"/>
      <c r="B931" s="15"/>
    </row>
    <row r="932" spans="1:2" x14ac:dyDescent="0.15">
      <c r="A932" s="15"/>
      <c r="B932" s="15"/>
    </row>
    <row r="933" spans="1:2" x14ac:dyDescent="0.15">
      <c r="A933" s="15"/>
      <c r="B933" s="15"/>
    </row>
    <row r="934" spans="1:2" x14ac:dyDescent="0.15">
      <c r="A934" s="15"/>
      <c r="B934" s="15"/>
    </row>
    <row r="935" spans="1:2" x14ac:dyDescent="0.15">
      <c r="A935" s="15"/>
      <c r="B935" s="15"/>
    </row>
    <row r="936" spans="1:2" x14ac:dyDescent="0.15">
      <c r="A936" s="15"/>
      <c r="B936" s="15"/>
    </row>
    <row r="937" spans="1:2" x14ac:dyDescent="0.15">
      <c r="A937" s="15"/>
      <c r="B937" s="15"/>
    </row>
    <row r="938" spans="1:2" x14ac:dyDescent="0.15">
      <c r="A938" s="15"/>
      <c r="B938" s="15"/>
    </row>
    <row r="939" spans="1:2" x14ac:dyDescent="0.15">
      <c r="A939" s="15"/>
      <c r="B939" s="15"/>
    </row>
    <row r="940" spans="1:2" x14ac:dyDescent="0.15">
      <c r="A940" s="15"/>
      <c r="B940" s="15"/>
    </row>
    <row r="941" spans="1:2" x14ac:dyDescent="0.15">
      <c r="A941" s="15"/>
      <c r="B941" s="15"/>
    </row>
    <row r="942" spans="1:2" x14ac:dyDescent="0.15">
      <c r="A942" s="15"/>
      <c r="B942" s="15"/>
    </row>
    <row r="943" spans="1:2" x14ac:dyDescent="0.15">
      <c r="A943" s="15"/>
      <c r="B943" s="15"/>
    </row>
    <row r="944" spans="1:2" x14ac:dyDescent="0.15">
      <c r="A944" s="15"/>
      <c r="B944" s="15"/>
    </row>
    <row r="945" spans="1:2" x14ac:dyDescent="0.15">
      <c r="A945" s="15"/>
      <c r="B945" s="15"/>
    </row>
    <row r="946" spans="1:2" x14ac:dyDescent="0.15">
      <c r="A946" s="15"/>
      <c r="B946" s="15"/>
    </row>
    <row r="947" spans="1:2" x14ac:dyDescent="0.15">
      <c r="A947" s="15"/>
      <c r="B947" s="15"/>
    </row>
    <row r="948" spans="1:2" x14ac:dyDescent="0.15">
      <c r="A948" s="15"/>
      <c r="B948" s="15"/>
    </row>
    <row r="949" spans="1:2" x14ac:dyDescent="0.15">
      <c r="A949" s="15"/>
      <c r="B949" s="15"/>
    </row>
    <row r="950" spans="1:2" x14ac:dyDescent="0.15">
      <c r="A950" s="15"/>
      <c r="B950" s="15"/>
    </row>
    <row r="951" spans="1:2" x14ac:dyDescent="0.15">
      <c r="A951" s="15"/>
      <c r="B951" s="15"/>
    </row>
    <row r="952" spans="1:2" x14ac:dyDescent="0.15">
      <c r="A952" s="15"/>
      <c r="B952" s="15"/>
    </row>
    <row r="953" spans="1:2" x14ac:dyDescent="0.15">
      <c r="A953" s="15"/>
      <c r="B953" s="15"/>
    </row>
    <row r="954" spans="1:2" x14ac:dyDescent="0.15">
      <c r="A954" s="15"/>
      <c r="B954" s="15"/>
    </row>
    <row r="955" spans="1:2" x14ac:dyDescent="0.15">
      <c r="A955" s="15"/>
      <c r="B955" s="15"/>
    </row>
    <row r="956" spans="1:2" x14ac:dyDescent="0.15">
      <c r="A956" s="15"/>
      <c r="B956" s="15"/>
    </row>
    <row r="957" spans="1:2" x14ac:dyDescent="0.15">
      <c r="A957" s="15"/>
      <c r="B957" s="15"/>
    </row>
    <row r="958" spans="1:2" x14ac:dyDescent="0.15">
      <c r="A958" s="15"/>
      <c r="B958" s="15"/>
    </row>
    <row r="959" spans="1:2" x14ac:dyDescent="0.15">
      <c r="A959" s="15"/>
      <c r="B959" s="15"/>
    </row>
    <row r="960" spans="1:2" x14ac:dyDescent="0.15">
      <c r="A960" s="15"/>
      <c r="B960" s="15"/>
    </row>
    <row r="961" spans="1:2" x14ac:dyDescent="0.15">
      <c r="A961" s="15"/>
      <c r="B961" s="15"/>
    </row>
    <row r="962" spans="1:2" x14ac:dyDescent="0.15">
      <c r="A962" s="15"/>
      <c r="B962" s="15"/>
    </row>
    <row r="963" spans="1:2" x14ac:dyDescent="0.15">
      <c r="A963" s="15"/>
      <c r="B963" s="15"/>
    </row>
    <row r="964" spans="1:2" x14ac:dyDescent="0.15">
      <c r="A964" s="15"/>
      <c r="B964" s="15"/>
    </row>
    <row r="965" spans="1:2" x14ac:dyDescent="0.15">
      <c r="A965" s="15"/>
      <c r="B965" s="15"/>
    </row>
    <row r="966" spans="1:2" x14ac:dyDescent="0.15">
      <c r="A966" s="15"/>
      <c r="B966" s="15"/>
    </row>
    <row r="967" spans="1:2" x14ac:dyDescent="0.15">
      <c r="A967" s="15"/>
      <c r="B967" s="15"/>
    </row>
    <row r="968" spans="1:2" x14ac:dyDescent="0.15">
      <c r="A968" s="15"/>
      <c r="B968" s="15"/>
    </row>
    <row r="969" spans="1:2" x14ac:dyDescent="0.15">
      <c r="A969" s="15"/>
      <c r="B969" s="15"/>
    </row>
    <row r="970" spans="1:2" x14ac:dyDescent="0.15">
      <c r="A970" s="15"/>
      <c r="B970" s="15"/>
    </row>
    <row r="971" spans="1:2" x14ac:dyDescent="0.15">
      <c r="A971" s="15"/>
      <c r="B971" s="15"/>
    </row>
    <row r="972" spans="1:2" x14ac:dyDescent="0.15">
      <c r="A972" s="15"/>
      <c r="B972" s="15"/>
    </row>
    <row r="973" spans="1:2" x14ac:dyDescent="0.15">
      <c r="A973" s="15"/>
      <c r="B973" s="15"/>
    </row>
    <row r="974" spans="1:2" x14ac:dyDescent="0.15">
      <c r="A974" s="15"/>
      <c r="B974" s="15"/>
    </row>
    <row r="975" spans="1:2" x14ac:dyDescent="0.15">
      <c r="A975" s="15"/>
      <c r="B975" s="15"/>
    </row>
    <row r="976" spans="1:2" x14ac:dyDescent="0.15">
      <c r="A976" s="15"/>
      <c r="B976" s="15"/>
    </row>
    <row r="977" spans="1:2" x14ac:dyDescent="0.15">
      <c r="A977" s="15"/>
      <c r="B977" s="15"/>
    </row>
    <row r="978" spans="1:2" x14ac:dyDescent="0.15">
      <c r="A978" s="15"/>
      <c r="B978" s="15"/>
    </row>
    <row r="979" spans="1:2" x14ac:dyDescent="0.15">
      <c r="A979" s="15"/>
      <c r="B979" s="15"/>
    </row>
    <row r="980" spans="1:2" x14ac:dyDescent="0.15">
      <c r="A980" s="15"/>
      <c r="B980" s="15"/>
    </row>
    <row r="981" spans="1:2" x14ac:dyDescent="0.15">
      <c r="A981" s="15"/>
      <c r="B981" s="15"/>
    </row>
    <row r="982" spans="1:2" x14ac:dyDescent="0.15">
      <c r="A982" s="15"/>
      <c r="B982" s="15"/>
    </row>
    <row r="983" spans="1:2" x14ac:dyDescent="0.15">
      <c r="A983" s="15"/>
      <c r="B983" s="15"/>
    </row>
    <row r="984" spans="1:2" x14ac:dyDescent="0.15">
      <c r="A984" s="15"/>
      <c r="B984" s="15"/>
    </row>
    <row r="985" spans="1:2" x14ac:dyDescent="0.15">
      <c r="A985" s="15"/>
      <c r="B985" s="15"/>
    </row>
    <row r="986" spans="1:2" x14ac:dyDescent="0.15">
      <c r="A986" s="15"/>
      <c r="B986" s="15"/>
    </row>
    <row r="987" spans="1:2" x14ac:dyDescent="0.15">
      <c r="A987" s="15"/>
      <c r="B987" s="15"/>
    </row>
    <row r="988" spans="1:2" x14ac:dyDescent="0.15">
      <c r="A988" s="15"/>
      <c r="B988" s="15"/>
    </row>
    <row r="989" spans="1:2" x14ac:dyDescent="0.15">
      <c r="A989" s="15"/>
      <c r="B989" s="15"/>
    </row>
    <row r="990" spans="1:2" x14ac:dyDescent="0.15">
      <c r="A990" s="15"/>
      <c r="B990" s="15"/>
    </row>
    <row r="991" spans="1:2" x14ac:dyDescent="0.15">
      <c r="A991" s="15"/>
      <c r="B991" s="15"/>
    </row>
    <row r="992" spans="1:2" x14ac:dyDescent="0.15">
      <c r="A992" s="15"/>
      <c r="B992" s="15"/>
    </row>
    <row r="993" spans="1:2" x14ac:dyDescent="0.15">
      <c r="A993" s="15"/>
      <c r="B993" s="15"/>
    </row>
    <row r="994" spans="1:2" x14ac:dyDescent="0.15">
      <c r="A994" s="15"/>
      <c r="B994" s="15"/>
    </row>
    <row r="995" spans="1:2" x14ac:dyDescent="0.15">
      <c r="A995" s="15"/>
      <c r="B995" s="15"/>
    </row>
    <row r="996" spans="1:2" x14ac:dyDescent="0.15">
      <c r="A996" s="15"/>
      <c r="B996" s="15"/>
    </row>
    <row r="997" spans="1:2" x14ac:dyDescent="0.15">
      <c r="A997" s="15"/>
      <c r="B997" s="15"/>
    </row>
    <row r="998" spans="1:2" x14ac:dyDescent="0.15">
      <c r="A998" s="15"/>
      <c r="B998" s="15"/>
    </row>
    <row r="999" spans="1:2" x14ac:dyDescent="0.15">
      <c r="A999" s="15"/>
      <c r="B999" s="15"/>
    </row>
    <row r="1000" spans="1:2" x14ac:dyDescent="0.15">
      <c r="A1000" s="15"/>
      <c r="B1000" s="15"/>
    </row>
    <row r="1001" spans="1:2" x14ac:dyDescent="0.15">
      <c r="A1001" s="15"/>
      <c r="B1001" s="15"/>
    </row>
    <row r="1002" spans="1:2" x14ac:dyDescent="0.15">
      <c r="A1002" s="15"/>
      <c r="B1002" s="15"/>
    </row>
    <row r="1003" spans="1:2" x14ac:dyDescent="0.15">
      <c r="A1003" s="15"/>
      <c r="B1003" s="15"/>
    </row>
    <row r="1004" spans="1:2" x14ac:dyDescent="0.15">
      <c r="A1004" s="15"/>
      <c r="B1004" s="15"/>
    </row>
    <row r="1005" spans="1:2" x14ac:dyDescent="0.15">
      <c r="A1005" s="15"/>
      <c r="B1005" s="15"/>
    </row>
    <row r="1006" spans="1:2" x14ac:dyDescent="0.15">
      <c r="A1006" s="15"/>
      <c r="B1006" s="15"/>
    </row>
    <row r="1007" spans="1:2" x14ac:dyDescent="0.15">
      <c r="A1007" s="15"/>
      <c r="B1007" s="15"/>
    </row>
    <row r="1008" spans="1:2" x14ac:dyDescent="0.15">
      <c r="A1008" s="15"/>
      <c r="B1008" s="15"/>
    </row>
    <row r="1009" spans="1:2" x14ac:dyDescent="0.15">
      <c r="A1009" s="15"/>
      <c r="B1009" s="15"/>
    </row>
    <row r="1010" spans="1:2" x14ac:dyDescent="0.15">
      <c r="A1010" s="15"/>
      <c r="B1010" s="15"/>
    </row>
    <row r="1011" spans="1:2" x14ac:dyDescent="0.15">
      <c r="A1011" s="15"/>
      <c r="B1011" s="15"/>
    </row>
    <row r="1012" spans="1:2" x14ac:dyDescent="0.15">
      <c r="A1012" s="15"/>
      <c r="B1012" s="15"/>
    </row>
    <row r="1013" spans="1:2" x14ac:dyDescent="0.15">
      <c r="A1013" s="15"/>
      <c r="B1013" s="15"/>
    </row>
    <row r="1014" spans="1:2" x14ac:dyDescent="0.15">
      <c r="A1014" s="15"/>
      <c r="B1014" s="15"/>
    </row>
    <row r="1015" spans="1:2" x14ac:dyDescent="0.15">
      <c r="A1015" s="15"/>
      <c r="B1015" s="15"/>
    </row>
    <row r="1016" spans="1:2" x14ac:dyDescent="0.15">
      <c r="A1016" s="15"/>
      <c r="B1016" s="15"/>
    </row>
    <row r="1017" spans="1:2" x14ac:dyDescent="0.15">
      <c r="A1017" s="15"/>
      <c r="B1017" s="15"/>
    </row>
    <row r="1018" spans="1:2" x14ac:dyDescent="0.15">
      <c r="A1018" s="15"/>
      <c r="B1018" s="15"/>
    </row>
    <row r="1019" spans="1:2" x14ac:dyDescent="0.15">
      <c r="A1019" s="15"/>
      <c r="B1019" s="15"/>
    </row>
    <row r="1020" spans="1:2" x14ac:dyDescent="0.15">
      <c r="A1020" s="15"/>
      <c r="B1020" s="15"/>
    </row>
    <row r="1021" spans="1:2" x14ac:dyDescent="0.15">
      <c r="A1021" s="15"/>
      <c r="B1021" s="15"/>
    </row>
    <row r="1022" spans="1:2" x14ac:dyDescent="0.15">
      <c r="A1022" s="15"/>
      <c r="B1022" s="15"/>
    </row>
    <row r="1023" spans="1:2" x14ac:dyDescent="0.15">
      <c r="A1023" s="15"/>
      <c r="B1023" s="15"/>
    </row>
    <row r="1024" spans="1:2" x14ac:dyDescent="0.15">
      <c r="A1024" s="15"/>
      <c r="B1024" s="15"/>
    </row>
    <row r="1025" spans="1:2" x14ac:dyDescent="0.15">
      <c r="A1025" s="15"/>
      <c r="B1025" s="15"/>
    </row>
    <row r="1026" spans="1:2" x14ac:dyDescent="0.15">
      <c r="A1026" s="15"/>
      <c r="B1026" s="15"/>
    </row>
    <row r="1027" spans="1:2" x14ac:dyDescent="0.15">
      <c r="A1027" s="15"/>
      <c r="B1027" s="15"/>
    </row>
    <row r="1028" spans="1:2" x14ac:dyDescent="0.15">
      <c r="A1028" s="15"/>
      <c r="B1028" s="15"/>
    </row>
    <row r="1029" spans="1:2" x14ac:dyDescent="0.15">
      <c r="A1029" s="15"/>
      <c r="B1029" s="15"/>
    </row>
    <row r="1030" spans="1:2" x14ac:dyDescent="0.15">
      <c r="A1030" s="15"/>
      <c r="B1030" s="15"/>
    </row>
    <row r="1031" spans="1:2" x14ac:dyDescent="0.15">
      <c r="A1031" s="15"/>
      <c r="B1031" s="15"/>
    </row>
    <row r="1032" spans="1:2" x14ac:dyDescent="0.15">
      <c r="A1032" s="15"/>
      <c r="B1032" s="15"/>
    </row>
    <row r="1033" spans="1:2" x14ac:dyDescent="0.15">
      <c r="A1033" s="15"/>
      <c r="B1033" s="15"/>
    </row>
    <row r="1034" spans="1:2" x14ac:dyDescent="0.15">
      <c r="A1034" s="15"/>
      <c r="B1034" s="15"/>
    </row>
    <row r="1035" spans="1:2" x14ac:dyDescent="0.15">
      <c r="A1035" s="15"/>
      <c r="B1035" s="15"/>
    </row>
    <row r="1036" spans="1:2" x14ac:dyDescent="0.15">
      <c r="A1036" s="15"/>
      <c r="B1036" s="15"/>
    </row>
    <row r="1037" spans="1:2" x14ac:dyDescent="0.15">
      <c r="A1037" s="15"/>
      <c r="B1037" s="15"/>
    </row>
    <row r="1038" spans="1:2" x14ac:dyDescent="0.15">
      <c r="A1038" s="15"/>
      <c r="B1038" s="15"/>
    </row>
    <row r="1039" spans="1:2" x14ac:dyDescent="0.15">
      <c r="A1039" s="15"/>
      <c r="B1039" s="15"/>
    </row>
    <row r="1040" spans="1:2" x14ac:dyDescent="0.15">
      <c r="A1040" s="15"/>
      <c r="B1040" s="15"/>
    </row>
    <row r="1041" spans="1:2" x14ac:dyDescent="0.15">
      <c r="A1041" s="15"/>
      <c r="B1041" s="15"/>
    </row>
    <row r="1042" spans="1:2" x14ac:dyDescent="0.15">
      <c r="A1042" s="15"/>
      <c r="B1042" s="15"/>
    </row>
    <row r="1043" spans="1:2" x14ac:dyDescent="0.15">
      <c r="A1043" s="15"/>
      <c r="B1043" s="15"/>
    </row>
    <row r="1044" spans="1:2" x14ac:dyDescent="0.15">
      <c r="A1044" s="15"/>
      <c r="B1044" s="15"/>
    </row>
    <row r="1045" spans="1:2" x14ac:dyDescent="0.15">
      <c r="A1045" s="15"/>
      <c r="B1045" s="15"/>
    </row>
    <row r="1046" spans="1:2" x14ac:dyDescent="0.15">
      <c r="A1046" s="15"/>
      <c r="B1046" s="15"/>
    </row>
    <row r="1047" spans="1:2" x14ac:dyDescent="0.15">
      <c r="A1047" s="15"/>
      <c r="B1047" s="15"/>
    </row>
    <row r="1048" spans="1:2" x14ac:dyDescent="0.15">
      <c r="A1048" s="15"/>
      <c r="B1048" s="15"/>
    </row>
    <row r="1049" spans="1:2" x14ac:dyDescent="0.15">
      <c r="A1049" s="15"/>
      <c r="B1049" s="15"/>
    </row>
    <row r="1050" spans="1:2" x14ac:dyDescent="0.15">
      <c r="A1050" s="15"/>
      <c r="B1050" s="15"/>
    </row>
    <row r="1051" spans="1:2" x14ac:dyDescent="0.15">
      <c r="A1051" s="15"/>
      <c r="B1051" s="15"/>
    </row>
    <row r="1052" spans="1:2" x14ac:dyDescent="0.15">
      <c r="A1052" s="15"/>
      <c r="B1052" s="15"/>
    </row>
    <row r="1053" spans="1:2" x14ac:dyDescent="0.15">
      <c r="A1053" s="15"/>
      <c r="B1053" s="15"/>
    </row>
    <row r="1054" spans="1:2" x14ac:dyDescent="0.15">
      <c r="A1054" s="15"/>
      <c r="B1054" s="15"/>
    </row>
    <row r="1055" spans="1:2" x14ac:dyDescent="0.15">
      <c r="A1055" s="15"/>
      <c r="B1055" s="15"/>
    </row>
    <row r="1056" spans="1:2" x14ac:dyDescent="0.15">
      <c r="A1056" s="15"/>
      <c r="B1056" s="15"/>
    </row>
    <row r="1057" spans="1:2" x14ac:dyDescent="0.15">
      <c r="A1057" s="15"/>
      <c r="B1057" s="15"/>
    </row>
    <row r="1058" spans="1:2" x14ac:dyDescent="0.15">
      <c r="A1058" s="15"/>
      <c r="B1058" s="15"/>
    </row>
    <row r="1059" spans="1:2" x14ac:dyDescent="0.15">
      <c r="A1059" s="15"/>
      <c r="B1059" s="15"/>
    </row>
    <row r="1060" spans="1:2" x14ac:dyDescent="0.15">
      <c r="A1060" s="15"/>
      <c r="B1060" s="15"/>
    </row>
    <row r="1061" spans="1:2" x14ac:dyDescent="0.15">
      <c r="A1061" s="15"/>
      <c r="B1061" s="15"/>
    </row>
    <row r="1062" spans="1:2" x14ac:dyDescent="0.15">
      <c r="A1062" s="15"/>
      <c r="B1062" s="15"/>
    </row>
    <row r="1063" spans="1:2" x14ac:dyDescent="0.15">
      <c r="A1063" s="15"/>
      <c r="B1063" s="15"/>
    </row>
    <row r="1064" spans="1:2" x14ac:dyDescent="0.15">
      <c r="A1064" s="15"/>
      <c r="B1064" s="15"/>
    </row>
    <row r="1065" spans="1:2" x14ac:dyDescent="0.15">
      <c r="A1065" s="15"/>
      <c r="B1065" s="15"/>
    </row>
    <row r="1066" spans="1:2" x14ac:dyDescent="0.15">
      <c r="A1066" s="15"/>
      <c r="B1066" s="15"/>
    </row>
    <row r="1067" spans="1:2" x14ac:dyDescent="0.15">
      <c r="A1067" s="15"/>
      <c r="B1067" s="15"/>
    </row>
    <row r="1068" spans="1:2" x14ac:dyDescent="0.15">
      <c r="A1068" s="15"/>
      <c r="B1068" s="15"/>
    </row>
    <row r="1069" spans="1:2" x14ac:dyDescent="0.15">
      <c r="A1069" s="15"/>
      <c r="B1069" s="15"/>
    </row>
    <row r="1070" spans="1:2" x14ac:dyDescent="0.15">
      <c r="A1070" s="15"/>
      <c r="B1070" s="15"/>
    </row>
    <row r="1071" spans="1:2" x14ac:dyDescent="0.15">
      <c r="A1071" s="15"/>
      <c r="B1071" s="15"/>
    </row>
    <row r="1072" spans="1:2" x14ac:dyDescent="0.15">
      <c r="A1072" s="15"/>
      <c r="B1072" s="15"/>
    </row>
    <row r="1073" spans="1:2" x14ac:dyDescent="0.15">
      <c r="A1073" s="15"/>
      <c r="B1073" s="15"/>
    </row>
    <row r="1074" spans="1:2" x14ac:dyDescent="0.15">
      <c r="A1074" s="15"/>
      <c r="B1074" s="15"/>
    </row>
    <row r="1075" spans="1:2" x14ac:dyDescent="0.15">
      <c r="A1075" s="15"/>
      <c r="B1075" s="15"/>
    </row>
    <row r="1076" spans="1:2" x14ac:dyDescent="0.15">
      <c r="A1076" s="15"/>
      <c r="B1076" s="15"/>
    </row>
    <row r="1077" spans="1:2" x14ac:dyDescent="0.15">
      <c r="A1077" s="15"/>
      <c r="B1077" s="15"/>
    </row>
    <row r="1078" spans="1:2" x14ac:dyDescent="0.15">
      <c r="A1078" s="15"/>
      <c r="B1078" s="15"/>
    </row>
    <row r="1079" spans="1:2" x14ac:dyDescent="0.15">
      <c r="A1079" s="15"/>
      <c r="B1079" s="15"/>
    </row>
    <row r="1080" spans="1:2" x14ac:dyDescent="0.15">
      <c r="A1080" s="15"/>
      <c r="B1080" s="15"/>
    </row>
    <row r="1081" spans="1:2" x14ac:dyDescent="0.15">
      <c r="A1081" s="15"/>
      <c r="B1081" s="15"/>
    </row>
    <row r="1082" spans="1:2" x14ac:dyDescent="0.15">
      <c r="A1082" s="15"/>
      <c r="B1082" s="15"/>
    </row>
    <row r="1083" spans="1:2" x14ac:dyDescent="0.15">
      <c r="A1083" s="15"/>
      <c r="B1083" s="15"/>
    </row>
    <row r="1084" spans="1:2" x14ac:dyDescent="0.15">
      <c r="A1084" s="15"/>
      <c r="B1084" s="15"/>
    </row>
    <row r="1085" spans="1:2" x14ac:dyDescent="0.15">
      <c r="A1085" s="15"/>
      <c r="B1085" s="15"/>
    </row>
    <row r="1086" spans="1:2" x14ac:dyDescent="0.15">
      <c r="A1086" s="15"/>
      <c r="B1086" s="15"/>
    </row>
    <row r="1087" spans="1:2" x14ac:dyDescent="0.15">
      <c r="A1087" s="15"/>
      <c r="B1087" s="15"/>
    </row>
    <row r="1088" spans="1:2" x14ac:dyDescent="0.15">
      <c r="A1088" s="15"/>
      <c r="B1088" s="15"/>
    </row>
    <row r="1089" spans="1:2" x14ac:dyDescent="0.15">
      <c r="A1089" s="15"/>
      <c r="B1089" s="15"/>
    </row>
    <row r="1090" spans="1:2" x14ac:dyDescent="0.15">
      <c r="A1090" s="15"/>
      <c r="B1090" s="15"/>
    </row>
    <row r="1091" spans="1:2" x14ac:dyDescent="0.15">
      <c r="A1091" s="15"/>
      <c r="B1091" s="15"/>
    </row>
    <row r="1092" spans="1:2" x14ac:dyDescent="0.15">
      <c r="A1092" s="15"/>
      <c r="B1092" s="15"/>
    </row>
    <row r="1093" spans="1:2" x14ac:dyDescent="0.15">
      <c r="A1093" s="15"/>
      <c r="B1093" s="15"/>
    </row>
    <row r="1094" spans="1:2" x14ac:dyDescent="0.15">
      <c r="A1094" s="15"/>
      <c r="B1094" s="15"/>
    </row>
    <row r="1095" spans="1:2" x14ac:dyDescent="0.15">
      <c r="A1095" s="15"/>
      <c r="B1095" s="15"/>
    </row>
    <row r="1096" spans="1:2" x14ac:dyDescent="0.15">
      <c r="A1096" s="15"/>
      <c r="B1096" s="15"/>
    </row>
    <row r="1097" spans="1:2" x14ac:dyDescent="0.15">
      <c r="A1097" s="15"/>
      <c r="B1097" s="15"/>
    </row>
    <row r="1098" spans="1:2" x14ac:dyDescent="0.15">
      <c r="A1098" s="15"/>
      <c r="B1098" s="15"/>
    </row>
    <row r="1099" spans="1:2" x14ac:dyDescent="0.15">
      <c r="A1099" s="15"/>
      <c r="B1099" s="15"/>
    </row>
    <row r="1100" spans="1:2" x14ac:dyDescent="0.15">
      <c r="A1100" s="15"/>
      <c r="B1100" s="15"/>
    </row>
    <row r="1101" spans="1:2" x14ac:dyDescent="0.15">
      <c r="A1101" s="15"/>
      <c r="B1101" s="15"/>
    </row>
    <row r="1102" spans="1:2" x14ac:dyDescent="0.15">
      <c r="A1102" s="15"/>
      <c r="B1102" s="15"/>
    </row>
    <row r="1103" spans="1:2" x14ac:dyDescent="0.15">
      <c r="A1103" s="15"/>
      <c r="B1103" s="15"/>
    </row>
    <row r="1104" spans="1:2" x14ac:dyDescent="0.15">
      <c r="A1104" s="15"/>
      <c r="B1104" s="15"/>
    </row>
    <row r="1105" spans="1:2" x14ac:dyDescent="0.15">
      <c r="A1105" s="15"/>
      <c r="B1105" s="15"/>
    </row>
    <row r="1106" spans="1:2" x14ac:dyDescent="0.15">
      <c r="A1106" s="15"/>
      <c r="B1106" s="15"/>
    </row>
    <row r="1107" spans="1:2" x14ac:dyDescent="0.15">
      <c r="A1107" s="15"/>
      <c r="B1107" s="15"/>
    </row>
    <row r="1108" spans="1:2" x14ac:dyDescent="0.15">
      <c r="A1108" s="15"/>
      <c r="B1108" s="15"/>
    </row>
    <row r="1109" spans="1:2" x14ac:dyDescent="0.15">
      <c r="A1109" s="15"/>
      <c r="B1109" s="15"/>
    </row>
    <row r="1110" spans="1:2" x14ac:dyDescent="0.15">
      <c r="A1110" s="15"/>
      <c r="B1110" s="15"/>
    </row>
    <row r="1111" spans="1:2" x14ac:dyDescent="0.15">
      <c r="A1111" s="15"/>
      <c r="B1111" s="15"/>
    </row>
    <row r="1112" spans="1:2" x14ac:dyDescent="0.15">
      <c r="A1112" s="15"/>
      <c r="B1112" s="15"/>
    </row>
    <row r="1113" spans="1:2" x14ac:dyDescent="0.15">
      <c r="A1113" s="15"/>
      <c r="B1113" s="15"/>
    </row>
    <row r="1114" spans="1:2" x14ac:dyDescent="0.15">
      <c r="A1114" s="15"/>
      <c r="B1114" s="15"/>
    </row>
    <row r="1115" spans="1:2" x14ac:dyDescent="0.15">
      <c r="A1115" s="15"/>
      <c r="B1115" s="15"/>
    </row>
    <row r="1116" spans="1:2" x14ac:dyDescent="0.15">
      <c r="A1116" s="15"/>
      <c r="B1116" s="15"/>
    </row>
    <row r="1117" spans="1:2" x14ac:dyDescent="0.15">
      <c r="A1117" s="15"/>
      <c r="B1117" s="15"/>
    </row>
    <row r="1118" spans="1:2" x14ac:dyDescent="0.15">
      <c r="A1118" s="15"/>
      <c r="B1118" s="15"/>
    </row>
    <row r="1119" spans="1:2" x14ac:dyDescent="0.15">
      <c r="A1119" s="15"/>
      <c r="B1119" s="15"/>
    </row>
    <row r="1120" spans="1:2" x14ac:dyDescent="0.15">
      <c r="A1120" s="15"/>
      <c r="B1120" s="15"/>
    </row>
    <row r="1121" spans="1:2" x14ac:dyDescent="0.15">
      <c r="A1121" s="15"/>
      <c r="B1121" s="15"/>
    </row>
    <row r="1122" spans="1:2" x14ac:dyDescent="0.15">
      <c r="A1122" s="15"/>
      <c r="B1122" s="15"/>
    </row>
    <row r="1123" spans="1:2" x14ac:dyDescent="0.15">
      <c r="A1123" s="15"/>
      <c r="B1123" s="15"/>
    </row>
    <row r="1124" spans="1:2" x14ac:dyDescent="0.15">
      <c r="A1124" s="15"/>
      <c r="B1124" s="15"/>
    </row>
    <row r="1125" spans="1:2" x14ac:dyDescent="0.15">
      <c r="A1125" s="15"/>
      <c r="B1125" s="15"/>
    </row>
    <row r="1126" spans="1:2" x14ac:dyDescent="0.15">
      <c r="A1126" s="15"/>
      <c r="B1126" s="15"/>
    </row>
    <row r="1127" spans="1:2" x14ac:dyDescent="0.15">
      <c r="A1127" s="15"/>
      <c r="B1127" s="15"/>
    </row>
    <row r="1128" spans="1:2" x14ac:dyDescent="0.15">
      <c r="A1128" s="15"/>
      <c r="B1128" s="15"/>
    </row>
    <row r="1129" spans="1:2" x14ac:dyDescent="0.15">
      <c r="A1129" s="15"/>
      <c r="B1129" s="15"/>
    </row>
    <row r="1130" spans="1:2" x14ac:dyDescent="0.15">
      <c r="A1130" s="15"/>
      <c r="B1130" s="15"/>
    </row>
    <row r="1131" spans="1:2" x14ac:dyDescent="0.15">
      <c r="A1131" s="15"/>
      <c r="B1131" s="15"/>
    </row>
    <row r="1132" spans="1:2" x14ac:dyDescent="0.15">
      <c r="A1132" s="15"/>
      <c r="B1132" s="15"/>
    </row>
    <row r="1133" spans="1:2" x14ac:dyDescent="0.15">
      <c r="A1133" s="15"/>
      <c r="B1133" s="15"/>
    </row>
    <row r="1134" spans="1:2" x14ac:dyDescent="0.15">
      <c r="A1134" s="15"/>
      <c r="B1134" s="15"/>
    </row>
    <row r="1135" spans="1:2" x14ac:dyDescent="0.15">
      <c r="A1135" s="15"/>
      <c r="B1135" s="15"/>
    </row>
    <row r="1136" spans="1:2" x14ac:dyDescent="0.15">
      <c r="A1136" s="15"/>
      <c r="B1136" s="15"/>
    </row>
    <row r="1137" spans="1:2" x14ac:dyDescent="0.15">
      <c r="A1137" s="15"/>
      <c r="B1137" s="15"/>
    </row>
    <row r="1138" spans="1:2" x14ac:dyDescent="0.15">
      <c r="A1138" s="15"/>
      <c r="B1138" s="15"/>
    </row>
    <row r="1139" spans="1:2" x14ac:dyDescent="0.15">
      <c r="A1139" s="15"/>
      <c r="B1139" s="15"/>
    </row>
    <row r="1140" spans="1:2" x14ac:dyDescent="0.15">
      <c r="A1140" s="15"/>
      <c r="B1140" s="15"/>
    </row>
    <row r="1141" spans="1:2" x14ac:dyDescent="0.15">
      <c r="A1141" s="15"/>
      <c r="B1141" s="15"/>
    </row>
    <row r="1142" spans="1:2" x14ac:dyDescent="0.15">
      <c r="A1142" s="15"/>
      <c r="B1142" s="15"/>
    </row>
    <row r="1143" spans="1:2" x14ac:dyDescent="0.15">
      <c r="A1143" s="15"/>
      <c r="B1143" s="15"/>
    </row>
    <row r="1144" spans="1:2" x14ac:dyDescent="0.15">
      <c r="A1144" s="15"/>
      <c r="B1144" s="15"/>
    </row>
    <row r="1145" spans="1:2" x14ac:dyDescent="0.15">
      <c r="A1145" s="15"/>
      <c r="B1145" s="15"/>
    </row>
    <row r="1146" spans="1:2" x14ac:dyDescent="0.15">
      <c r="A1146" s="15"/>
      <c r="B1146" s="15"/>
    </row>
    <row r="1147" spans="1:2" x14ac:dyDescent="0.15">
      <c r="A1147" s="15"/>
      <c r="B1147" s="15"/>
    </row>
    <row r="1148" spans="1:2" x14ac:dyDescent="0.15">
      <c r="A1148" s="15"/>
      <c r="B1148" s="15"/>
    </row>
    <row r="1149" spans="1:2" x14ac:dyDescent="0.15">
      <c r="A1149" s="15"/>
      <c r="B1149" s="15"/>
    </row>
    <row r="1150" spans="1:2" x14ac:dyDescent="0.15">
      <c r="A1150" s="15"/>
      <c r="B1150" s="15"/>
    </row>
    <row r="1151" spans="1:2" x14ac:dyDescent="0.15">
      <c r="A1151" s="15"/>
      <c r="B1151" s="15"/>
    </row>
    <row r="1152" spans="1:2" x14ac:dyDescent="0.15">
      <c r="A1152" s="15"/>
      <c r="B1152" s="15"/>
    </row>
    <row r="1153" spans="1:2" x14ac:dyDescent="0.15">
      <c r="A1153" s="15"/>
      <c r="B1153" s="15"/>
    </row>
    <row r="1154" spans="1:2" x14ac:dyDescent="0.15">
      <c r="A1154" s="15"/>
      <c r="B1154" s="15"/>
    </row>
    <row r="1155" spans="1:2" x14ac:dyDescent="0.15">
      <c r="A1155" s="15"/>
      <c r="B1155" s="15"/>
    </row>
    <row r="1156" spans="1:2" x14ac:dyDescent="0.15">
      <c r="A1156" s="15"/>
      <c r="B1156" s="15"/>
    </row>
    <row r="1157" spans="1:2" x14ac:dyDescent="0.15">
      <c r="A1157" s="15"/>
      <c r="B1157" s="15"/>
    </row>
    <row r="1158" spans="1:2" x14ac:dyDescent="0.15">
      <c r="A1158" s="15"/>
      <c r="B1158" s="15"/>
    </row>
    <row r="1159" spans="1:2" x14ac:dyDescent="0.15">
      <c r="A1159" s="15"/>
      <c r="B1159" s="15"/>
    </row>
    <row r="1160" spans="1:2" x14ac:dyDescent="0.15">
      <c r="A1160" s="15"/>
      <c r="B1160" s="15"/>
    </row>
    <row r="1161" spans="1:2" x14ac:dyDescent="0.15">
      <c r="A1161" s="15"/>
      <c r="B1161" s="15"/>
    </row>
    <row r="1162" spans="1:2" x14ac:dyDescent="0.15">
      <c r="A1162" s="15"/>
      <c r="B1162" s="15"/>
    </row>
    <row r="1163" spans="1:2" x14ac:dyDescent="0.15">
      <c r="A1163" s="15"/>
      <c r="B1163" s="15"/>
    </row>
    <row r="1164" spans="1:2" x14ac:dyDescent="0.15">
      <c r="A1164" s="15"/>
      <c r="B1164" s="15"/>
    </row>
    <row r="1165" spans="1:2" x14ac:dyDescent="0.15">
      <c r="A1165" s="15"/>
      <c r="B1165" s="15"/>
    </row>
    <row r="1166" spans="1:2" x14ac:dyDescent="0.15">
      <c r="A1166" s="15"/>
      <c r="B1166" s="15"/>
    </row>
    <row r="1167" spans="1:2" x14ac:dyDescent="0.15">
      <c r="A1167" s="15"/>
      <c r="B1167" s="15"/>
    </row>
    <row r="1168" spans="1:2" x14ac:dyDescent="0.15">
      <c r="A1168" s="15"/>
      <c r="B1168" s="15"/>
    </row>
    <row r="1169" spans="1:2" x14ac:dyDescent="0.15">
      <c r="A1169" s="15"/>
      <c r="B1169" s="15"/>
    </row>
    <row r="1170" spans="1:2" x14ac:dyDescent="0.15">
      <c r="A1170" s="15"/>
      <c r="B1170" s="15"/>
    </row>
    <row r="1171" spans="1:2" x14ac:dyDescent="0.15">
      <c r="A1171" s="15"/>
      <c r="B1171" s="15"/>
    </row>
    <row r="1172" spans="1:2" x14ac:dyDescent="0.15">
      <c r="A1172" s="15"/>
      <c r="B1172" s="15"/>
    </row>
    <row r="1173" spans="1:2" x14ac:dyDescent="0.15">
      <c r="A1173" s="15"/>
      <c r="B1173" s="15"/>
    </row>
    <row r="1174" spans="1:2" x14ac:dyDescent="0.15">
      <c r="A1174" s="15"/>
      <c r="B1174" s="15"/>
    </row>
    <row r="1175" spans="1:2" x14ac:dyDescent="0.15">
      <c r="A1175" s="15"/>
      <c r="B1175" s="15"/>
    </row>
    <row r="1176" spans="1:2" x14ac:dyDescent="0.15">
      <c r="A1176" s="15"/>
      <c r="B1176" s="15"/>
    </row>
    <row r="1177" spans="1:2" x14ac:dyDescent="0.15">
      <c r="A1177" s="15"/>
      <c r="B1177" s="15"/>
    </row>
    <row r="1178" spans="1:2" x14ac:dyDescent="0.15">
      <c r="A1178" s="15"/>
      <c r="B1178" s="15"/>
    </row>
    <row r="1179" spans="1:2" x14ac:dyDescent="0.15">
      <c r="A1179" s="15"/>
      <c r="B1179" s="15"/>
    </row>
    <row r="1180" spans="1:2" x14ac:dyDescent="0.15">
      <c r="A1180" s="15"/>
      <c r="B1180" s="15"/>
    </row>
    <row r="1181" spans="1:2" x14ac:dyDescent="0.15">
      <c r="A1181" s="15"/>
      <c r="B1181" s="15"/>
    </row>
    <row r="1182" spans="1:2" x14ac:dyDescent="0.15">
      <c r="A1182" s="15"/>
      <c r="B1182" s="15"/>
    </row>
    <row r="1183" spans="1:2" x14ac:dyDescent="0.15">
      <c r="A1183" s="15"/>
      <c r="B1183" s="15"/>
    </row>
    <row r="1184" spans="1:2" x14ac:dyDescent="0.15">
      <c r="A1184" s="15"/>
      <c r="B1184" s="15"/>
    </row>
    <row r="1185" spans="1:2" x14ac:dyDescent="0.15">
      <c r="A1185" s="15"/>
      <c r="B1185" s="15"/>
    </row>
    <row r="1186" spans="1:2" x14ac:dyDescent="0.15">
      <c r="A1186" s="15"/>
      <c r="B1186" s="15"/>
    </row>
    <row r="1187" spans="1:2" x14ac:dyDescent="0.15">
      <c r="A1187" s="15"/>
      <c r="B1187" s="15"/>
    </row>
    <row r="1188" spans="1:2" x14ac:dyDescent="0.15">
      <c r="A1188" s="15"/>
      <c r="B1188" s="15"/>
    </row>
    <row r="1189" spans="1:2" x14ac:dyDescent="0.15">
      <c r="A1189" s="15"/>
      <c r="B1189" s="15"/>
    </row>
    <row r="1190" spans="1:2" x14ac:dyDescent="0.15">
      <c r="A1190" s="15"/>
      <c r="B1190" s="15"/>
    </row>
    <row r="1191" spans="1:2" x14ac:dyDescent="0.15">
      <c r="A1191" s="15"/>
      <c r="B1191" s="15"/>
    </row>
    <row r="1192" spans="1:2" x14ac:dyDescent="0.15">
      <c r="A1192" s="15"/>
      <c r="B1192" s="15"/>
    </row>
    <row r="1193" spans="1:2" x14ac:dyDescent="0.15">
      <c r="A1193" s="15"/>
      <c r="B1193" s="15"/>
    </row>
    <row r="1194" spans="1:2" x14ac:dyDescent="0.15">
      <c r="A1194" s="15"/>
      <c r="B1194" s="15"/>
    </row>
    <row r="1195" spans="1:2" x14ac:dyDescent="0.15">
      <c r="A1195" s="15"/>
      <c r="B1195" s="15"/>
    </row>
    <row r="1196" spans="1:2" x14ac:dyDescent="0.15">
      <c r="A1196" s="15"/>
      <c r="B1196" s="15"/>
    </row>
    <row r="1197" spans="1:2" x14ac:dyDescent="0.15">
      <c r="A1197" s="15"/>
      <c r="B1197" s="15"/>
    </row>
    <row r="1198" spans="1:2" x14ac:dyDescent="0.15">
      <c r="A1198" s="15"/>
      <c r="B1198" s="15"/>
    </row>
    <row r="1199" spans="1:2" x14ac:dyDescent="0.15">
      <c r="A1199" s="15"/>
      <c r="B1199" s="15"/>
    </row>
    <row r="1200" spans="1:2" x14ac:dyDescent="0.15">
      <c r="A1200" s="15"/>
      <c r="B1200" s="15"/>
    </row>
    <row r="1201" spans="1:2" x14ac:dyDescent="0.15">
      <c r="A1201" s="15"/>
      <c r="B1201" s="15"/>
    </row>
    <row r="1202" spans="1:2" x14ac:dyDescent="0.15">
      <c r="A1202" s="15"/>
      <c r="B1202" s="15"/>
    </row>
    <row r="1203" spans="1:2" x14ac:dyDescent="0.15">
      <c r="A1203" s="15"/>
      <c r="B1203" s="15"/>
    </row>
    <row r="1204" spans="1:2" x14ac:dyDescent="0.15">
      <c r="A1204" s="15"/>
      <c r="B1204" s="15"/>
    </row>
    <row r="1205" spans="1:2" x14ac:dyDescent="0.15">
      <c r="A1205" s="15"/>
      <c r="B1205" s="15"/>
    </row>
    <row r="1206" spans="1:2" x14ac:dyDescent="0.15">
      <c r="A1206" s="15"/>
      <c r="B1206" s="15"/>
    </row>
    <row r="1207" spans="1:2" x14ac:dyDescent="0.15">
      <c r="A1207" s="15"/>
      <c r="B1207" s="15"/>
    </row>
    <row r="1208" spans="1:2" x14ac:dyDescent="0.15">
      <c r="A1208" s="15"/>
      <c r="B1208" s="15"/>
    </row>
    <row r="1209" spans="1:2" x14ac:dyDescent="0.15">
      <c r="A1209" s="15"/>
      <c r="B1209" s="15"/>
    </row>
    <row r="1210" spans="1:2" x14ac:dyDescent="0.15">
      <c r="A1210" s="15"/>
      <c r="B1210" s="15"/>
    </row>
    <row r="1211" spans="1:2" x14ac:dyDescent="0.15">
      <c r="A1211" s="15"/>
      <c r="B1211" s="15"/>
    </row>
    <row r="1212" spans="1:2" x14ac:dyDescent="0.15">
      <c r="A1212" s="15"/>
      <c r="B1212" s="15"/>
    </row>
    <row r="1213" spans="1:2" x14ac:dyDescent="0.15">
      <c r="A1213" s="15"/>
      <c r="B1213" s="15"/>
    </row>
    <row r="1214" spans="1:2" x14ac:dyDescent="0.15">
      <c r="A1214" s="15"/>
      <c r="B1214" s="15"/>
    </row>
    <row r="1215" spans="1:2" x14ac:dyDescent="0.15">
      <c r="A1215" s="15"/>
      <c r="B1215" s="15"/>
    </row>
    <row r="1216" spans="1:2" x14ac:dyDescent="0.15">
      <c r="A1216" s="15"/>
      <c r="B1216" s="15"/>
    </row>
    <row r="1217" spans="1:2" x14ac:dyDescent="0.15">
      <c r="A1217" s="15"/>
      <c r="B1217" s="15"/>
    </row>
    <row r="1218" spans="1:2" x14ac:dyDescent="0.15">
      <c r="A1218" s="15"/>
      <c r="B1218" s="15"/>
    </row>
    <row r="1219" spans="1:2" x14ac:dyDescent="0.15">
      <c r="A1219" s="15"/>
      <c r="B1219" s="15"/>
    </row>
    <row r="1220" spans="1:2" x14ac:dyDescent="0.15">
      <c r="A1220" s="15"/>
      <c r="B1220" s="15"/>
    </row>
    <row r="1221" spans="1:2" x14ac:dyDescent="0.15">
      <c r="A1221" s="15"/>
      <c r="B1221" s="15"/>
    </row>
    <row r="1222" spans="1:2" x14ac:dyDescent="0.15">
      <c r="A1222" s="15"/>
      <c r="B1222" s="15"/>
    </row>
    <row r="1223" spans="1:2" x14ac:dyDescent="0.15">
      <c r="A1223" s="15"/>
      <c r="B1223" s="15"/>
    </row>
    <row r="1224" spans="1:2" x14ac:dyDescent="0.15">
      <c r="A1224" s="15"/>
      <c r="B1224" s="15"/>
    </row>
    <row r="1225" spans="1:2" x14ac:dyDescent="0.15">
      <c r="A1225" s="15"/>
      <c r="B1225" s="15"/>
    </row>
    <row r="1226" spans="1:2" x14ac:dyDescent="0.15">
      <c r="A1226" s="15"/>
      <c r="B1226" s="15"/>
    </row>
    <row r="1227" spans="1:2" x14ac:dyDescent="0.15">
      <c r="A1227" s="15"/>
      <c r="B1227" s="15"/>
    </row>
    <row r="1228" spans="1:2" x14ac:dyDescent="0.15">
      <c r="A1228" s="15"/>
      <c r="B1228" s="15"/>
    </row>
    <row r="1229" spans="1:2" x14ac:dyDescent="0.15">
      <c r="A1229" s="15"/>
      <c r="B1229" s="15"/>
    </row>
    <row r="1230" spans="1:2" x14ac:dyDescent="0.15">
      <c r="A1230" s="15"/>
      <c r="B1230" s="15"/>
    </row>
    <row r="1231" spans="1:2" x14ac:dyDescent="0.15">
      <c r="A1231" s="15"/>
      <c r="B1231" s="15"/>
    </row>
    <row r="1232" spans="1:2" x14ac:dyDescent="0.15">
      <c r="A1232" s="15"/>
      <c r="B1232" s="15"/>
    </row>
    <row r="1233" spans="1:2" x14ac:dyDescent="0.15">
      <c r="A1233" s="15"/>
      <c r="B1233" s="15"/>
    </row>
    <row r="1234" spans="1:2" x14ac:dyDescent="0.15">
      <c r="A1234" s="15"/>
      <c r="B1234" s="15"/>
    </row>
    <row r="1235" spans="1:2" x14ac:dyDescent="0.15">
      <c r="A1235" s="15"/>
      <c r="B1235" s="15"/>
    </row>
    <row r="1236" spans="1:2" x14ac:dyDescent="0.15">
      <c r="A1236" s="15"/>
      <c r="B1236" s="15"/>
    </row>
    <row r="1237" spans="1:2" x14ac:dyDescent="0.15">
      <c r="A1237" s="15"/>
      <c r="B1237" s="15"/>
    </row>
    <row r="1238" spans="1:2" x14ac:dyDescent="0.15">
      <c r="A1238" s="15"/>
      <c r="B1238" s="15"/>
    </row>
    <row r="1239" spans="1:2" x14ac:dyDescent="0.15">
      <c r="A1239" s="15"/>
      <c r="B1239" s="15"/>
    </row>
    <row r="1240" spans="1:2" x14ac:dyDescent="0.15">
      <c r="A1240" s="15"/>
      <c r="B1240" s="15"/>
    </row>
    <row r="1241" spans="1:2" x14ac:dyDescent="0.15">
      <c r="A1241" s="15"/>
      <c r="B1241" s="15"/>
    </row>
    <row r="1242" spans="1:2" x14ac:dyDescent="0.15">
      <c r="A1242" s="15"/>
      <c r="B1242" s="15"/>
    </row>
    <row r="1243" spans="1:2" x14ac:dyDescent="0.15">
      <c r="A1243" s="15"/>
      <c r="B1243" s="15"/>
    </row>
    <row r="1244" spans="1:2" x14ac:dyDescent="0.15">
      <c r="A1244" s="15"/>
      <c r="B1244" s="15"/>
    </row>
    <row r="1245" spans="1:2" x14ac:dyDescent="0.15">
      <c r="A1245" s="15"/>
      <c r="B1245" s="15"/>
    </row>
    <row r="1246" spans="1:2" x14ac:dyDescent="0.15">
      <c r="A1246" s="15"/>
      <c r="B1246" s="15"/>
    </row>
    <row r="1247" spans="1:2" x14ac:dyDescent="0.15">
      <c r="A1247" s="15"/>
      <c r="B1247" s="15"/>
    </row>
    <row r="1248" spans="1:2" x14ac:dyDescent="0.15">
      <c r="A1248" s="15"/>
      <c r="B1248" s="15"/>
    </row>
    <row r="1249" spans="1:2" x14ac:dyDescent="0.15">
      <c r="A1249" s="15"/>
      <c r="B1249" s="15"/>
    </row>
    <row r="1250" spans="1:2" x14ac:dyDescent="0.15">
      <c r="A1250" s="15"/>
      <c r="B1250" s="15"/>
    </row>
    <row r="1251" spans="1:2" x14ac:dyDescent="0.15">
      <c r="A1251" s="15"/>
      <c r="B1251" s="15"/>
    </row>
    <row r="1252" spans="1:2" x14ac:dyDescent="0.15">
      <c r="A1252" s="15"/>
      <c r="B1252" s="15"/>
    </row>
    <row r="1253" spans="1:2" x14ac:dyDescent="0.15">
      <c r="A1253" s="15"/>
      <c r="B1253" s="15"/>
    </row>
    <row r="1254" spans="1:2" x14ac:dyDescent="0.15">
      <c r="A1254" s="15"/>
      <c r="B1254" s="15"/>
    </row>
    <row r="1255" spans="1:2" x14ac:dyDescent="0.15">
      <c r="A1255" s="15"/>
      <c r="B1255" s="15"/>
    </row>
    <row r="1256" spans="1:2" x14ac:dyDescent="0.15">
      <c r="A1256" s="15"/>
      <c r="B1256" s="15"/>
    </row>
    <row r="1257" spans="1:2" x14ac:dyDescent="0.15">
      <c r="A1257" s="15"/>
      <c r="B1257" s="15"/>
    </row>
    <row r="1258" spans="1:2" x14ac:dyDescent="0.15">
      <c r="A1258" s="15"/>
      <c r="B1258" s="15"/>
    </row>
    <row r="1259" spans="1:2" x14ac:dyDescent="0.15">
      <c r="A1259" s="15"/>
      <c r="B1259" s="15"/>
    </row>
    <row r="1260" spans="1:2" x14ac:dyDescent="0.15">
      <c r="A1260" s="15"/>
      <c r="B1260" s="15"/>
    </row>
    <row r="1261" spans="1:2" x14ac:dyDescent="0.15">
      <c r="A1261" s="15"/>
      <c r="B1261" s="15"/>
    </row>
    <row r="1262" spans="1:2" x14ac:dyDescent="0.15">
      <c r="A1262" s="15"/>
      <c r="B1262" s="15"/>
    </row>
    <row r="1263" spans="1:2" x14ac:dyDescent="0.15">
      <c r="A1263" s="15"/>
      <c r="B1263" s="15"/>
    </row>
    <row r="1264" spans="1:2" x14ac:dyDescent="0.15">
      <c r="A1264" s="15"/>
      <c r="B1264" s="15"/>
    </row>
    <row r="1265" spans="1:2" x14ac:dyDescent="0.15">
      <c r="A1265" s="15"/>
      <c r="B1265" s="15"/>
    </row>
    <row r="1266" spans="1:2" x14ac:dyDescent="0.15">
      <c r="A1266" s="15"/>
      <c r="B1266" s="15"/>
    </row>
    <row r="1267" spans="1:2" x14ac:dyDescent="0.15">
      <c r="A1267" s="15"/>
      <c r="B1267" s="15"/>
    </row>
    <row r="1268" spans="1:2" x14ac:dyDescent="0.15">
      <c r="A1268" s="15"/>
      <c r="B1268" s="15"/>
    </row>
    <row r="1269" spans="1:2" x14ac:dyDescent="0.15">
      <c r="A1269" s="15"/>
      <c r="B1269" s="15"/>
    </row>
    <row r="1270" spans="1:2" x14ac:dyDescent="0.15">
      <c r="A1270" s="15"/>
      <c r="B1270" s="15"/>
    </row>
    <row r="1271" spans="1:2" x14ac:dyDescent="0.15">
      <c r="A1271" s="15"/>
      <c r="B1271" s="15"/>
    </row>
    <row r="1272" spans="1:2" x14ac:dyDescent="0.15">
      <c r="A1272" s="15"/>
      <c r="B1272" s="15"/>
    </row>
    <row r="1273" spans="1:2" x14ac:dyDescent="0.15">
      <c r="A1273" s="15"/>
      <c r="B1273" s="15"/>
    </row>
    <row r="1274" spans="1:2" x14ac:dyDescent="0.15">
      <c r="A1274" s="15"/>
      <c r="B1274" s="15"/>
    </row>
    <row r="1275" spans="1:2" x14ac:dyDescent="0.15">
      <c r="A1275" s="15"/>
      <c r="B1275" s="15"/>
    </row>
    <row r="1276" spans="1:2" x14ac:dyDescent="0.15">
      <c r="A1276" s="15"/>
      <c r="B1276" s="15"/>
    </row>
    <row r="1277" spans="1:2" x14ac:dyDescent="0.15">
      <c r="A1277" s="15"/>
      <c r="B1277" s="15"/>
    </row>
    <row r="1278" spans="1:2" x14ac:dyDescent="0.15">
      <c r="A1278" s="15"/>
      <c r="B1278" s="15"/>
    </row>
    <row r="1279" spans="1:2" x14ac:dyDescent="0.15">
      <c r="A1279" s="15"/>
      <c r="B1279" s="15"/>
    </row>
    <row r="1280" spans="1:2" x14ac:dyDescent="0.15">
      <c r="A1280" s="15"/>
      <c r="B1280" s="15"/>
    </row>
    <row r="1281" spans="1:2" x14ac:dyDescent="0.15">
      <c r="A1281" s="15"/>
      <c r="B1281" s="15"/>
    </row>
    <row r="1282" spans="1:2" x14ac:dyDescent="0.15">
      <c r="A1282" s="15"/>
      <c r="B1282" s="15"/>
    </row>
    <row r="1283" spans="1:2" x14ac:dyDescent="0.15">
      <c r="A1283" s="15"/>
      <c r="B1283" s="15"/>
    </row>
    <row r="1284" spans="1:2" x14ac:dyDescent="0.15">
      <c r="A1284" s="15"/>
      <c r="B1284" s="15"/>
    </row>
    <row r="1285" spans="1:2" x14ac:dyDescent="0.15">
      <c r="A1285" s="15"/>
      <c r="B1285" s="15"/>
    </row>
    <row r="1286" spans="1:2" x14ac:dyDescent="0.15">
      <c r="A1286" s="15"/>
      <c r="B1286" s="15"/>
    </row>
    <row r="1287" spans="1:2" x14ac:dyDescent="0.15">
      <c r="A1287" s="15"/>
      <c r="B1287" s="15"/>
    </row>
    <row r="1288" spans="1:2" x14ac:dyDescent="0.15">
      <c r="A1288" s="15"/>
      <c r="B1288" s="15"/>
    </row>
    <row r="1289" spans="1:2" x14ac:dyDescent="0.15">
      <c r="A1289" s="15"/>
      <c r="B1289" s="15"/>
    </row>
    <row r="1290" spans="1:2" x14ac:dyDescent="0.15">
      <c r="A1290" s="15"/>
      <c r="B1290" s="15"/>
    </row>
    <row r="1291" spans="1:2" x14ac:dyDescent="0.15">
      <c r="A1291" s="15"/>
      <c r="B1291" s="15"/>
    </row>
    <row r="1292" spans="1:2" x14ac:dyDescent="0.15">
      <c r="A1292" s="15"/>
      <c r="B1292" s="15"/>
    </row>
    <row r="1293" spans="1:2" x14ac:dyDescent="0.15">
      <c r="A1293" s="15"/>
      <c r="B1293" s="15"/>
    </row>
    <row r="1294" spans="1:2" x14ac:dyDescent="0.15">
      <c r="A1294" s="15"/>
      <c r="B1294" s="15"/>
    </row>
    <row r="1295" spans="1:2" x14ac:dyDescent="0.15">
      <c r="A1295" s="15"/>
      <c r="B1295" s="15"/>
    </row>
    <row r="1296" spans="1:2" x14ac:dyDescent="0.15">
      <c r="A1296" s="15"/>
      <c r="B1296" s="15"/>
    </row>
    <row r="1297" spans="1:2" x14ac:dyDescent="0.15">
      <c r="A1297" s="15"/>
      <c r="B1297" s="15"/>
    </row>
    <row r="1298" spans="1:2" x14ac:dyDescent="0.15">
      <c r="A1298" s="15"/>
      <c r="B1298" s="15"/>
    </row>
    <row r="1299" spans="1:2" x14ac:dyDescent="0.15">
      <c r="A1299" s="15"/>
      <c r="B1299" s="15"/>
    </row>
    <row r="1300" spans="1:2" x14ac:dyDescent="0.15">
      <c r="A1300" s="15"/>
      <c r="B1300" s="15"/>
    </row>
    <row r="1301" spans="1:2" x14ac:dyDescent="0.15">
      <c r="A1301" s="15"/>
      <c r="B1301" s="15"/>
    </row>
    <row r="1302" spans="1:2" x14ac:dyDescent="0.15">
      <c r="A1302" s="15"/>
      <c r="B1302" s="15"/>
    </row>
    <row r="1303" spans="1:2" x14ac:dyDescent="0.15">
      <c r="A1303" s="15"/>
      <c r="B1303" s="15"/>
    </row>
    <row r="1304" spans="1:2" x14ac:dyDescent="0.15">
      <c r="A1304" s="15"/>
      <c r="B1304" s="15"/>
    </row>
    <row r="1305" spans="1:2" x14ac:dyDescent="0.15">
      <c r="A1305" s="15"/>
      <c r="B1305" s="15"/>
    </row>
    <row r="1306" spans="1:2" x14ac:dyDescent="0.15">
      <c r="A1306" s="15"/>
      <c r="B1306" s="15"/>
    </row>
    <row r="1307" spans="1:2" x14ac:dyDescent="0.15">
      <c r="A1307" s="15"/>
      <c r="B1307" s="15"/>
    </row>
    <row r="1308" spans="1:2" x14ac:dyDescent="0.15">
      <c r="A1308" s="15"/>
      <c r="B1308" s="15"/>
    </row>
    <row r="1309" spans="1:2" x14ac:dyDescent="0.15">
      <c r="A1309" s="15"/>
      <c r="B1309" s="15"/>
    </row>
    <row r="1310" spans="1:2" x14ac:dyDescent="0.15">
      <c r="A1310" s="15"/>
      <c r="B1310" s="15"/>
    </row>
    <row r="1311" spans="1:2" x14ac:dyDescent="0.15">
      <c r="A1311" s="15"/>
      <c r="B1311" s="15"/>
    </row>
    <row r="1312" spans="1:2" x14ac:dyDescent="0.15">
      <c r="A1312" s="15"/>
      <c r="B1312" s="15"/>
    </row>
    <row r="1313" spans="1:2" x14ac:dyDescent="0.15">
      <c r="A1313" s="15"/>
      <c r="B1313" s="15"/>
    </row>
    <row r="1314" spans="1:2" x14ac:dyDescent="0.15">
      <c r="A1314" s="15"/>
      <c r="B1314" s="15"/>
    </row>
    <row r="1315" spans="1:2" x14ac:dyDescent="0.15">
      <c r="A1315" s="15"/>
      <c r="B1315" s="15"/>
    </row>
    <row r="1316" spans="1:2" x14ac:dyDescent="0.15">
      <c r="A1316" s="15"/>
      <c r="B1316" s="15"/>
    </row>
    <row r="1317" spans="1:2" x14ac:dyDescent="0.15">
      <c r="A1317" s="15"/>
      <c r="B1317" s="15"/>
    </row>
    <row r="1318" spans="1:2" x14ac:dyDescent="0.15">
      <c r="A1318" s="15"/>
      <c r="B1318" s="15"/>
    </row>
    <row r="1319" spans="1:2" x14ac:dyDescent="0.15">
      <c r="A1319" s="15"/>
      <c r="B1319" s="15"/>
    </row>
    <row r="1320" spans="1:2" x14ac:dyDescent="0.15">
      <c r="A1320" s="15"/>
      <c r="B1320" s="15"/>
    </row>
    <row r="1321" spans="1:2" x14ac:dyDescent="0.15">
      <c r="A1321" s="15"/>
      <c r="B1321" s="15"/>
    </row>
    <row r="1322" spans="1:2" x14ac:dyDescent="0.15">
      <c r="A1322" s="15"/>
      <c r="B1322" s="15"/>
    </row>
    <row r="1323" spans="1:2" x14ac:dyDescent="0.15">
      <c r="A1323" s="15"/>
      <c r="B1323" s="15"/>
    </row>
    <row r="1324" spans="1:2" x14ac:dyDescent="0.15">
      <c r="A1324" s="15"/>
      <c r="B1324" s="15"/>
    </row>
    <row r="1325" spans="1:2" x14ac:dyDescent="0.15">
      <c r="A1325" s="15"/>
      <c r="B1325" s="15"/>
    </row>
    <row r="1326" spans="1:2" x14ac:dyDescent="0.15">
      <c r="A1326" s="15"/>
      <c r="B1326" s="15"/>
    </row>
    <row r="1327" spans="1:2" x14ac:dyDescent="0.15">
      <c r="A1327" s="15"/>
      <c r="B1327" s="15"/>
    </row>
    <row r="1328" spans="1:2" x14ac:dyDescent="0.15">
      <c r="A1328" s="15"/>
      <c r="B1328" s="15"/>
    </row>
    <row r="1329" spans="1:2" x14ac:dyDescent="0.15">
      <c r="A1329" s="15"/>
      <c r="B1329" s="15"/>
    </row>
    <row r="1330" spans="1:2" x14ac:dyDescent="0.15">
      <c r="A1330" s="15"/>
      <c r="B1330" s="15"/>
    </row>
    <row r="1331" spans="1:2" x14ac:dyDescent="0.15">
      <c r="A1331" s="15"/>
      <c r="B1331" s="15"/>
    </row>
    <row r="1332" spans="1:2" x14ac:dyDescent="0.15">
      <c r="A1332" s="15"/>
      <c r="B1332" s="15"/>
    </row>
    <row r="1333" spans="1:2" x14ac:dyDescent="0.15">
      <c r="A1333" s="15"/>
      <c r="B1333" s="15"/>
    </row>
    <row r="1334" spans="1:2" x14ac:dyDescent="0.15">
      <c r="A1334" s="15"/>
      <c r="B1334" s="15"/>
    </row>
    <row r="1335" spans="1:2" x14ac:dyDescent="0.15">
      <c r="A1335" s="15"/>
      <c r="B1335" s="15"/>
    </row>
    <row r="1336" spans="1:2" x14ac:dyDescent="0.15">
      <c r="A1336" s="15"/>
      <c r="B1336" s="15"/>
    </row>
    <row r="1337" spans="1:2" x14ac:dyDescent="0.15">
      <c r="A1337" s="15"/>
      <c r="B1337" s="15"/>
    </row>
    <row r="1338" spans="1:2" x14ac:dyDescent="0.15">
      <c r="A1338" s="15"/>
      <c r="B1338" s="15"/>
    </row>
    <row r="1339" spans="1:2" x14ac:dyDescent="0.15">
      <c r="A1339" s="15"/>
      <c r="B1339" s="15"/>
    </row>
    <row r="1340" spans="1:2" x14ac:dyDescent="0.15">
      <c r="A1340" s="15"/>
      <c r="B1340" s="15"/>
    </row>
    <row r="1341" spans="1:2" x14ac:dyDescent="0.15">
      <c r="A1341" s="15"/>
      <c r="B1341" s="15"/>
    </row>
    <row r="1342" spans="1:2" x14ac:dyDescent="0.15">
      <c r="A1342" s="15"/>
      <c r="B1342" s="15"/>
    </row>
    <row r="1343" spans="1:2" x14ac:dyDescent="0.15">
      <c r="A1343" s="15"/>
      <c r="B1343" s="15"/>
    </row>
    <row r="1344" spans="1:2" x14ac:dyDescent="0.15">
      <c r="A1344" s="15"/>
      <c r="B1344" s="15"/>
    </row>
    <row r="1345" spans="1:2" x14ac:dyDescent="0.15">
      <c r="A1345" s="15"/>
      <c r="B1345" s="15"/>
    </row>
    <row r="1346" spans="1:2" x14ac:dyDescent="0.15">
      <c r="A1346" s="15"/>
      <c r="B1346" s="15"/>
    </row>
    <row r="1347" spans="1:2" x14ac:dyDescent="0.15">
      <c r="A1347" s="15"/>
      <c r="B1347" s="15"/>
    </row>
    <row r="1348" spans="1:2" x14ac:dyDescent="0.15">
      <c r="A1348" s="15"/>
      <c r="B1348" s="15"/>
    </row>
    <row r="1349" spans="1:2" x14ac:dyDescent="0.15">
      <c r="A1349" s="15"/>
      <c r="B1349" s="15"/>
    </row>
    <row r="1350" spans="1:2" x14ac:dyDescent="0.15">
      <c r="A1350" s="15"/>
      <c r="B1350" s="15"/>
    </row>
    <row r="1351" spans="1:2" x14ac:dyDescent="0.15">
      <c r="A1351" s="15"/>
      <c r="B1351" s="15"/>
    </row>
    <row r="1352" spans="1:2" x14ac:dyDescent="0.15">
      <c r="A1352" s="15"/>
      <c r="B1352" s="15"/>
    </row>
    <row r="1353" spans="1:2" x14ac:dyDescent="0.15">
      <c r="A1353" s="15"/>
      <c r="B1353" s="15"/>
    </row>
    <row r="1354" spans="1:2" x14ac:dyDescent="0.15">
      <c r="A1354" s="15"/>
      <c r="B1354" s="15"/>
    </row>
    <row r="1355" spans="1:2" x14ac:dyDescent="0.15">
      <c r="A1355" s="15"/>
      <c r="B1355" s="15"/>
    </row>
    <row r="1356" spans="1:2" x14ac:dyDescent="0.15">
      <c r="A1356" s="15"/>
      <c r="B1356" s="15"/>
    </row>
    <row r="1357" spans="1:2" x14ac:dyDescent="0.15">
      <c r="A1357" s="15"/>
      <c r="B1357" s="15"/>
    </row>
    <row r="1358" spans="1:2" x14ac:dyDescent="0.15">
      <c r="A1358" s="15"/>
      <c r="B1358" s="15"/>
    </row>
    <row r="1359" spans="1:2" x14ac:dyDescent="0.15">
      <c r="A1359" s="15"/>
      <c r="B1359" s="15"/>
    </row>
    <row r="1360" spans="1:2" x14ac:dyDescent="0.15">
      <c r="A1360" s="15"/>
      <c r="B1360" s="15"/>
    </row>
    <row r="1361" spans="1:2" x14ac:dyDescent="0.15">
      <c r="A1361" s="15"/>
      <c r="B1361" s="15"/>
    </row>
    <row r="1362" spans="1:2" x14ac:dyDescent="0.15">
      <c r="A1362" s="15"/>
      <c r="B1362" s="15"/>
    </row>
    <row r="1363" spans="1:2" x14ac:dyDescent="0.15">
      <c r="A1363" s="15"/>
      <c r="B1363" s="15"/>
    </row>
    <row r="1364" spans="1:2" x14ac:dyDescent="0.15">
      <c r="A1364" s="15"/>
      <c r="B1364" s="15"/>
    </row>
    <row r="1365" spans="1:2" x14ac:dyDescent="0.15">
      <c r="A1365" s="15"/>
      <c r="B1365" s="15"/>
    </row>
    <row r="1366" spans="1:2" x14ac:dyDescent="0.15">
      <c r="A1366" s="15"/>
      <c r="B1366" s="15"/>
    </row>
    <row r="1367" spans="1:2" x14ac:dyDescent="0.15">
      <c r="A1367" s="15"/>
      <c r="B1367" s="15"/>
    </row>
    <row r="1368" spans="1:2" x14ac:dyDescent="0.15">
      <c r="A1368" s="15"/>
      <c r="B1368" s="15"/>
    </row>
    <row r="1369" spans="1:2" x14ac:dyDescent="0.15">
      <c r="A1369" s="15"/>
      <c r="B1369" s="15"/>
    </row>
    <row r="1370" spans="1:2" x14ac:dyDescent="0.15">
      <c r="A1370" s="15"/>
      <c r="B1370" s="15"/>
    </row>
    <row r="1371" spans="1:2" x14ac:dyDescent="0.15">
      <c r="A1371" s="15"/>
      <c r="B1371" s="15"/>
    </row>
    <row r="1372" spans="1:2" x14ac:dyDescent="0.15">
      <c r="A1372" s="15"/>
      <c r="B1372" s="15"/>
    </row>
    <row r="1373" spans="1:2" x14ac:dyDescent="0.15">
      <c r="A1373" s="15"/>
      <c r="B1373" s="15"/>
    </row>
    <row r="1374" spans="1:2" x14ac:dyDescent="0.15">
      <c r="A1374" s="15"/>
      <c r="B1374" s="15"/>
    </row>
    <row r="1375" spans="1:2" x14ac:dyDescent="0.15">
      <c r="A1375" s="15"/>
      <c r="B1375" s="15"/>
    </row>
    <row r="1376" spans="1:2" x14ac:dyDescent="0.15">
      <c r="A1376" s="15"/>
      <c r="B1376" s="15"/>
    </row>
    <row r="1377" spans="1:2" x14ac:dyDescent="0.15">
      <c r="A1377" s="15"/>
      <c r="B1377" s="15"/>
    </row>
    <row r="1378" spans="1:2" x14ac:dyDescent="0.15">
      <c r="A1378" s="15"/>
      <c r="B1378" s="15"/>
    </row>
    <row r="1379" spans="1:2" x14ac:dyDescent="0.15">
      <c r="A1379" s="15"/>
      <c r="B1379" s="15"/>
    </row>
    <row r="1380" spans="1:2" x14ac:dyDescent="0.15">
      <c r="A1380" s="15"/>
      <c r="B1380" s="15"/>
    </row>
    <row r="1381" spans="1:2" x14ac:dyDescent="0.15">
      <c r="A1381" s="15"/>
      <c r="B1381" s="15"/>
    </row>
    <row r="1382" spans="1:2" x14ac:dyDescent="0.15">
      <c r="A1382" s="15"/>
      <c r="B1382" s="15"/>
    </row>
    <row r="1383" spans="1:2" x14ac:dyDescent="0.15">
      <c r="A1383" s="15"/>
      <c r="B1383" s="15"/>
    </row>
    <row r="1384" spans="1:2" x14ac:dyDescent="0.15">
      <c r="A1384" s="15"/>
      <c r="B1384" s="15"/>
    </row>
    <row r="1385" spans="1:2" x14ac:dyDescent="0.15">
      <c r="A1385" s="15"/>
      <c r="B1385" s="15"/>
    </row>
    <row r="1386" spans="1:2" x14ac:dyDescent="0.15">
      <c r="A1386" s="15"/>
      <c r="B1386" s="15"/>
    </row>
    <row r="1387" spans="1:2" x14ac:dyDescent="0.15">
      <c r="A1387" s="15"/>
      <c r="B1387" s="15"/>
    </row>
    <row r="1388" spans="1:2" x14ac:dyDescent="0.15">
      <c r="A1388" s="15"/>
      <c r="B1388" s="15"/>
    </row>
    <row r="1389" spans="1:2" x14ac:dyDescent="0.15">
      <c r="A1389" s="15"/>
      <c r="B1389" s="15"/>
    </row>
    <row r="1390" spans="1:2" x14ac:dyDescent="0.15">
      <c r="A1390" s="15"/>
      <c r="B1390" s="15"/>
    </row>
    <row r="1391" spans="1:2" x14ac:dyDescent="0.15">
      <c r="A1391" s="15"/>
      <c r="B1391" s="15"/>
    </row>
    <row r="1392" spans="1:2" x14ac:dyDescent="0.15">
      <c r="A1392" s="15"/>
      <c r="B1392" s="15"/>
    </row>
    <row r="1393" spans="1:2" x14ac:dyDescent="0.15">
      <c r="A1393" s="15"/>
      <c r="B1393" s="15"/>
    </row>
    <row r="1394" spans="1:2" x14ac:dyDescent="0.15">
      <c r="A1394" s="15"/>
      <c r="B1394" s="15"/>
    </row>
    <row r="1395" spans="1:2" x14ac:dyDescent="0.15">
      <c r="A1395" s="15"/>
      <c r="B1395" s="15"/>
    </row>
    <row r="1396" spans="1:2" x14ac:dyDescent="0.15">
      <c r="A1396" s="15"/>
      <c r="B1396" s="15"/>
    </row>
    <row r="1397" spans="1:2" x14ac:dyDescent="0.15">
      <c r="A1397" s="15"/>
      <c r="B1397" s="15"/>
    </row>
    <row r="1398" spans="1:2" x14ac:dyDescent="0.15">
      <c r="A1398" s="15"/>
      <c r="B1398" s="15"/>
    </row>
    <row r="1399" spans="1:2" x14ac:dyDescent="0.15">
      <c r="A1399" s="15"/>
      <c r="B1399" s="15"/>
    </row>
    <row r="1400" spans="1:2" x14ac:dyDescent="0.15">
      <c r="A1400" s="15"/>
      <c r="B1400" s="15"/>
    </row>
    <row r="1401" spans="1:2" x14ac:dyDescent="0.15">
      <c r="A1401" s="15"/>
      <c r="B1401" s="15"/>
    </row>
    <row r="1402" spans="1:2" x14ac:dyDescent="0.15">
      <c r="A1402" s="15"/>
      <c r="B1402" s="15"/>
    </row>
    <row r="1403" spans="1:2" x14ac:dyDescent="0.15">
      <c r="A1403" s="15"/>
      <c r="B1403" s="15"/>
    </row>
    <row r="1404" spans="1:2" x14ac:dyDescent="0.15">
      <c r="A1404" s="15"/>
      <c r="B1404" s="15"/>
    </row>
    <row r="1405" spans="1:2" x14ac:dyDescent="0.15">
      <c r="A1405" s="15"/>
      <c r="B1405" s="15"/>
    </row>
    <row r="1406" spans="1:2" x14ac:dyDescent="0.15">
      <c r="A1406" s="15"/>
      <c r="B1406" s="15"/>
    </row>
    <row r="1407" spans="1:2" x14ac:dyDescent="0.15">
      <c r="A1407" s="15"/>
      <c r="B1407" s="15"/>
    </row>
    <row r="1408" spans="1:2" x14ac:dyDescent="0.15">
      <c r="A1408" s="15"/>
      <c r="B1408" s="15"/>
    </row>
    <row r="1409" spans="1:2" x14ac:dyDescent="0.15">
      <c r="A1409" s="15"/>
      <c r="B1409" s="15"/>
    </row>
    <row r="1410" spans="1:2" x14ac:dyDescent="0.15">
      <c r="A1410" s="15"/>
      <c r="B1410" s="15"/>
    </row>
    <row r="1411" spans="1:2" x14ac:dyDescent="0.15">
      <c r="A1411" s="15"/>
      <c r="B1411" s="15"/>
    </row>
    <row r="1412" spans="1:2" x14ac:dyDescent="0.15">
      <c r="A1412" s="15"/>
      <c r="B1412" s="15"/>
    </row>
    <row r="1413" spans="1:2" x14ac:dyDescent="0.15">
      <c r="A1413" s="15"/>
      <c r="B1413" s="15"/>
    </row>
    <row r="1414" spans="1:2" x14ac:dyDescent="0.15">
      <c r="A1414" s="15"/>
      <c r="B1414" s="15"/>
    </row>
    <row r="1415" spans="1:2" x14ac:dyDescent="0.15">
      <c r="A1415" s="15"/>
      <c r="B1415" s="15"/>
    </row>
    <row r="1416" spans="1:2" x14ac:dyDescent="0.15">
      <c r="A1416" s="15"/>
      <c r="B1416" s="15"/>
    </row>
    <row r="1417" spans="1:2" x14ac:dyDescent="0.15">
      <c r="A1417" s="15"/>
      <c r="B1417" s="15"/>
    </row>
    <row r="1418" spans="1:2" x14ac:dyDescent="0.15">
      <c r="A1418" s="15"/>
      <c r="B1418" s="15"/>
    </row>
    <row r="1419" spans="1:2" x14ac:dyDescent="0.15">
      <c r="A1419" s="15"/>
      <c r="B1419" s="15"/>
    </row>
    <row r="1420" spans="1:2" x14ac:dyDescent="0.15">
      <c r="A1420" s="15"/>
      <c r="B1420" s="15"/>
    </row>
    <row r="1421" spans="1:2" x14ac:dyDescent="0.15">
      <c r="A1421" s="15"/>
      <c r="B1421" s="15"/>
    </row>
    <row r="1422" spans="1:2" x14ac:dyDescent="0.15">
      <c r="A1422" s="15"/>
      <c r="B1422" s="15"/>
    </row>
    <row r="1423" spans="1:2" x14ac:dyDescent="0.15">
      <c r="A1423" s="15"/>
      <c r="B1423" s="15"/>
    </row>
    <row r="1424" spans="1:2" x14ac:dyDescent="0.15">
      <c r="A1424" s="15"/>
      <c r="B1424" s="15"/>
    </row>
    <row r="1425" spans="1:2" x14ac:dyDescent="0.15">
      <c r="A1425" s="15"/>
      <c r="B1425" s="15"/>
    </row>
    <row r="1426" spans="1:2" x14ac:dyDescent="0.15">
      <c r="A1426" s="15"/>
      <c r="B1426" s="15"/>
    </row>
    <row r="1427" spans="1:2" x14ac:dyDescent="0.15">
      <c r="A1427" s="15"/>
      <c r="B1427" s="15"/>
    </row>
    <row r="1428" spans="1:2" x14ac:dyDescent="0.15">
      <c r="A1428" s="15"/>
      <c r="B1428" s="15"/>
    </row>
    <row r="1429" spans="1:2" x14ac:dyDescent="0.15">
      <c r="A1429" s="15"/>
      <c r="B1429" s="15"/>
    </row>
    <row r="1430" spans="1:2" x14ac:dyDescent="0.15">
      <c r="A1430" s="15"/>
      <c r="B1430" s="15"/>
    </row>
    <row r="1431" spans="1:2" x14ac:dyDescent="0.15">
      <c r="A1431" s="15"/>
      <c r="B1431" s="15"/>
    </row>
    <row r="1432" spans="1:2" x14ac:dyDescent="0.15">
      <c r="A1432" s="15"/>
      <c r="B1432" s="15"/>
    </row>
    <row r="1433" spans="1:2" x14ac:dyDescent="0.15">
      <c r="A1433" s="15"/>
      <c r="B1433" s="15"/>
    </row>
    <row r="1434" spans="1:2" x14ac:dyDescent="0.15">
      <c r="A1434" s="15"/>
      <c r="B1434" s="15"/>
    </row>
    <row r="1435" spans="1:2" x14ac:dyDescent="0.15">
      <c r="A1435" s="15"/>
      <c r="B1435" s="15"/>
    </row>
    <row r="1436" spans="1:2" x14ac:dyDescent="0.15">
      <c r="A1436" s="15"/>
      <c r="B1436" s="15"/>
    </row>
    <row r="1437" spans="1:2" x14ac:dyDescent="0.15">
      <c r="A1437" s="15"/>
      <c r="B1437" s="15"/>
    </row>
    <row r="1438" spans="1:2" x14ac:dyDescent="0.15">
      <c r="A1438" s="15"/>
      <c r="B1438" s="15"/>
    </row>
    <row r="1439" spans="1:2" x14ac:dyDescent="0.15">
      <c r="A1439" s="15"/>
      <c r="B1439" s="15"/>
    </row>
    <row r="1440" spans="1:2" x14ac:dyDescent="0.15">
      <c r="A1440" s="15"/>
      <c r="B1440" s="15"/>
    </row>
    <row r="1441" spans="1:2" x14ac:dyDescent="0.15">
      <c r="A1441" s="15"/>
      <c r="B1441" s="15"/>
    </row>
    <row r="1442" spans="1:2" x14ac:dyDescent="0.15">
      <c r="A1442" s="15"/>
      <c r="B1442" s="15"/>
    </row>
    <row r="1443" spans="1:2" x14ac:dyDescent="0.15">
      <c r="A1443" s="15"/>
      <c r="B1443" s="15"/>
    </row>
    <row r="1444" spans="1:2" x14ac:dyDescent="0.15">
      <c r="A1444" s="15"/>
      <c r="B1444" s="15"/>
    </row>
    <row r="1445" spans="1:2" x14ac:dyDescent="0.15">
      <c r="A1445" s="15"/>
      <c r="B1445" s="15"/>
    </row>
    <row r="1446" spans="1:2" x14ac:dyDescent="0.15">
      <c r="A1446" s="15"/>
      <c r="B1446" s="15"/>
    </row>
    <row r="1447" spans="1:2" x14ac:dyDescent="0.15">
      <c r="A1447" s="15"/>
      <c r="B1447" s="15"/>
    </row>
    <row r="1448" spans="1:2" x14ac:dyDescent="0.15">
      <c r="A1448" s="15"/>
      <c r="B1448" s="15"/>
    </row>
    <row r="1449" spans="1:2" x14ac:dyDescent="0.15">
      <c r="A1449" s="15"/>
      <c r="B1449" s="15"/>
    </row>
    <row r="1450" spans="1:2" x14ac:dyDescent="0.15">
      <c r="A1450" s="15"/>
      <c r="B1450" s="15"/>
    </row>
    <row r="1451" spans="1:2" x14ac:dyDescent="0.15">
      <c r="A1451" s="15"/>
      <c r="B1451" s="15"/>
    </row>
    <row r="1452" spans="1:2" x14ac:dyDescent="0.15">
      <c r="A1452" s="15"/>
      <c r="B1452" s="15"/>
    </row>
    <row r="1453" spans="1:2" x14ac:dyDescent="0.15">
      <c r="A1453" s="15"/>
      <c r="B1453" s="15"/>
    </row>
    <row r="1454" spans="1:2" x14ac:dyDescent="0.15">
      <c r="A1454" s="15"/>
      <c r="B1454" s="15"/>
    </row>
    <row r="1455" spans="1:2" x14ac:dyDescent="0.15">
      <c r="A1455" s="15"/>
      <c r="B1455" s="15"/>
    </row>
    <row r="1456" spans="1:2" x14ac:dyDescent="0.15">
      <c r="A1456" s="15"/>
      <c r="B1456" s="15"/>
    </row>
    <row r="1457" spans="1:2" x14ac:dyDescent="0.15">
      <c r="A1457" s="15"/>
      <c r="B1457" s="15"/>
    </row>
    <row r="1458" spans="1:2" x14ac:dyDescent="0.15">
      <c r="A1458" s="15"/>
      <c r="B1458" s="15"/>
    </row>
    <row r="1459" spans="1:2" x14ac:dyDescent="0.15">
      <c r="A1459" s="15"/>
      <c r="B1459" s="15"/>
    </row>
    <row r="1460" spans="1:2" x14ac:dyDescent="0.15">
      <c r="A1460" s="15"/>
      <c r="B1460" s="15"/>
    </row>
    <row r="1461" spans="1:2" x14ac:dyDescent="0.15">
      <c r="A1461" s="15"/>
      <c r="B1461" s="15"/>
    </row>
    <row r="1462" spans="1:2" x14ac:dyDescent="0.15">
      <c r="A1462" s="15"/>
      <c r="B1462" s="15"/>
    </row>
    <row r="1463" spans="1:2" x14ac:dyDescent="0.15">
      <c r="A1463" s="15"/>
      <c r="B1463" s="15"/>
    </row>
    <row r="1464" spans="1:2" x14ac:dyDescent="0.15">
      <c r="A1464" s="15"/>
      <c r="B1464" s="15"/>
    </row>
    <row r="1465" spans="1:2" x14ac:dyDescent="0.15">
      <c r="A1465" s="15"/>
      <c r="B1465" s="15"/>
    </row>
    <row r="1466" spans="1:2" x14ac:dyDescent="0.15">
      <c r="A1466" s="15"/>
      <c r="B1466" s="15"/>
    </row>
    <row r="1467" spans="1:2" x14ac:dyDescent="0.15">
      <c r="A1467" s="15"/>
      <c r="B1467" s="15"/>
    </row>
    <row r="1468" spans="1:2" x14ac:dyDescent="0.15">
      <c r="A1468" s="15"/>
      <c r="B1468" s="15"/>
    </row>
    <row r="1469" spans="1:2" x14ac:dyDescent="0.15">
      <c r="A1469" s="15"/>
      <c r="B1469" s="15"/>
    </row>
    <row r="1470" spans="1:2" x14ac:dyDescent="0.15">
      <c r="A1470" s="15"/>
      <c r="B1470" s="15"/>
    </row>
    <row r="1471" spans="1:2" x14ac:dyDescent="0.15">
      <c r="A1471" s="15"/>
      <c r="B1471" s="15"/>
    </row>
    <row r="1472" spans="1:2" x14ac:dyDescent="0.15">
      <c r="A1472" s="15"/>
      <c r="B1472" s="15"/>
    </row>
    <row r="1473" spans="1:2" x14ac:dyDescent="0.15">
      <c r="A1473" s="15"/>
      <c r="B1473" s="15"/>
    </row>
    <row r="1474" spans="1:2" x14ac:dyDescent="0.15">
      <c r="A1474" s="15"/>
      <c r="B1474" s="15"/>
    </row>
    <row r="1475" spans="1:2" x14ac:dyDescent="0.15">
      <c r="A1475" s="15"/>
      <c r="B1475" s="15"/>
    </row>
    <row r="1476" spans="1:2" x14ac:dyDescent="0.15">
      <c r="A1476" s="15"/>
      <c r="B1476" s="15"/>
    </row>
    <row r="1477" spans="1:2" x14ac:dyDescent="0.15">
      <c r="A1477" s="15"/>
      <c r="B1477" s="15"/>
    </row>
    <row r="1478" spans="1:2" x14ac:dyDescent="0.15">
      <c r="A1478" s="15"/>
      <c r="B1478" s="15"/>
    </row>
    <row r="1479" spans="1:2" x14ac:dyDescent="0.15">
      <c r="A1479" s="15"/>
      <c r="B1479" s="15"/>
    </row>
    <row r="1480" spans="1:2" x14ac:dyDescent="0.15">
      <c r="A1480" s="15"/>
      <c r="B1480" s="15"/>
    </row>
    <row r="1481" spans="1:2" x14ac:dyDescent="0.15">
      <c r="A1481" s="15"/>
      <c r="B1481" s="15"/>
    </row>
    <row r="1482" spans="1:2" x14ac:dyDescent="0.15">
      <c r="A1482" s="15"/>
      <c r="B1482" s="15"/>
    </row>
    <row r="1483" spans="1:2" x14ac:dyDescent="0.15">
      <c r="A1483" s="15"/>
      <c r="B1483" s="15"/>
    </row>
    <row r="1484" spans="1:2" x14ac:dyDescent="0.15">
      <c r="A1484" s="15"/>
      <c r="B1484" s="15"/>
    </row>
    <row r="1485" spans="1:2" x14ac:dyDescent="0.15">
      <c r="A1485" s="15"/>
      <c r="B1485" s="15"/>
    </row>
    <row r="1486" spans="1:2" x14ac:dyDescent="0.15">
      <c r="A1486" s="15"/>
      <c r="B1486" s="15"/>
    </row>
    <row r="1487" spans="1:2" x14ac:dyDescent="0.15">
      <c r="A1487" s="15"/>
      <c r="B1487" s="15"/>
    </row>
    <row r="1488" spans="1:2" x14ac:dyDescent="0.15">
      <c r="A1488" s="15"/>
      <c r="B1488" s="15"/>
    </row>
    <row r="1489" spans="1:2" x14ac:dyDescent="0.15">
      <c r="A1489" s="15"/>
      <c r="B1489" s="15"/>
    </row>
    <row r="1490" spans="1:2" x14ac:dyDescent="0.15">
      <c r="A1490" s="15"/>
      <c r="B1490" s="15"/>
    </row>
    <row r="1491" spans="1:2" x14ac:dyDescent="0.15">
      <c r="A1491" s="15"/>
      <c r="B1491" s="15"/>
    </row>
    <row r="1492" spans="1:2" x14ac:dyDescent="0.15">
      <c r="A1492" s="15"/>
      <c r="B1492" s="15"/>
    </row>
    <row r="1493" spans="1:2" x14ac:dyDescent="0.15">
      <c r="A1493" s="15"/>
      <c r="B1493" s="15"/>
    </row>
    <row r="1494" spans="1:2" x14ac:dyDescent="0.15">
      <c r="A1494" s="15"/>
      <c r="B1494" s="15"/>
    </row>
    <row r="1495" spans="1:2" x14ac:dyDescent="0.15">
      <c r="A1495" s="15"/>
      <c r="B1495" s="15"/>
    </row>
    <row r="1496" spans="1:2" x14ac:dyDescent="0.15">
      <c r="A1496" s="15"/>
      <c r="B1496" s="15"/>
    </row>
    <row r="1497" spans="1:2" x14ac:dyDescent="0.15">
      <c r="A1497" s="15"/>
      <c r="B1497" s="15"/>
    </row>
    <row r="1498" spans="1:2" x14ac:dyDescent="0.15">
      <c r="A1498" s="15"/>
      <c r="B1498" s="15"/>
    </row>
    <row r="1499" spans="1:2" x14ac:dyDescent="0.15">
      <c r="A1499" s="15"/>
      <c r="B1499" s="15"/>
    </row>
    <row r="1500" spans="1:2" x14ac:dyDescent="0.15">
      <c r="A1500" s="15"/>
      <c r="B1500" s="15"/>
    </row>
    <row r="1501" spans="1:2" x14ac:dyDescent="0.15">
      <c r="A1501" s="15"/>
      <c r="B1501" s="15"/>
    </row>
    <row r="1502" spans="1:2" x14ac:dyDescent="0.15">
      <c r="A1502" s="15"/>
      <c r="B1502" s="15"/>
    </row>
    <row r="1503" spans="1:2" x14ac:dyDescent="0.15">
      <c r="A1503" s="15"/>
      <c r="B1503" s="15"/>
    </row>
    <row r="1504" spans="1:2" x14ac:dyDescent="0.15">
      <c r="A1504" s="15"/>
      <c r="B1504" s="15"/>
    </row>
    <row r="1505" spans="1:2" x14ac:dyDescent="0.15">
      <c r="A1505" s="15"/>
      <c r="B1505" s="15"/>
    </row>
    <row r="1506" spans="1:2" x14ac:dyDescent="0.15">
      <c r="A1506" s="15"/>
      <c r="B1506" s="15"/>
    </row>
    <row r="1507" spans="1:2" x14ac:dyDescent="0.15">
      <c r="A1507" s="15"/>
      <c r="B1507" s="15"/>
    </row>
    <row r="1508" spans="1:2" x14ac:dyDescent="0.15">
      <c r="A1508" s="15"/>
      <c r="B1508" s="15"/>
    </row>
    <row r="1509" spans="1:2" x14ac:dyDescent="0.15">
      <c r="A1509" s="15"/>
      <c r="B1509" s="15"/>
    </row>
    <row r="1510" spans="1:2" x14ac:dyDescent="0.15">
      <c r="A1510" s="15"/>
      <c r="B1510" s="15"/>
    </row>
    <row r="1511" spans="1:2" x14ac:dyDescent="0.15">
      <c r="A1511" s="15"/>
      <c r="B1511" s="15"/>
    </row>
    <row r="1512" spans="1:2" x14ac:dyDescent="0.15">
      <c r="A1512" s="15"/>
      <c r="B1512" s="15"/>
    </row>
    <row r="1513" spans="1:2" x14ac:dyDescent="0.15">
      <c r="A1513" s="15"/>
      <c r="B1513" s="15"/>
    </row>
    <row r="1514" spans="1:2" x14ac:dyDescent="0.15">
      <c r="A1514" s="15"/>
      <c r="B1514" s="15"/>
    </row>
    <row r="1515" spans="1:2" x14ac:dyDescent="0.15">
      <c r="A1515" s="15"/>
      <c r="B1515" s="15"/>
    </row>
    <row r="1516" spans="1:2" x14ac:dyDescent="0.15">
      <c r="A1516" s="15"/>
      <c r="B1516" s="15"/>
    </row>
    <row r="1517" spans="1:2" x14ac:dyDescent="0.15">
      <c r="A1517" s="15"/>
      <c r="B1517" s="15"/>
    </row>
    <row r="1518" spans="1:2" x14ac:dyDescent="0.15">
      <c r="A1518" s="15"/>
      <c r="B1518" s="15"/>
    </row>
    <row r="1519" spans="1:2" x14ac:dyDescent="0.15">
      <c r="A1519" s="15"/>
      <c r="B1519" s="15"/>
    </row>
    <row r="1520" spans="1:2" x14ac:dyDescent="0.15">
      <c r="A1520" s="15"/>
      <c r="B1520" s="15"/>
    </row>
    <row r="1521" spans="1:2" x14ac:dyDescent="0.15">
      <c r="A1521" s="15"/>
      <c r="B1521" s="15"/>
    </row>
    <row r="1522" spans="1:2" x14ac:dyDescent="0.15">
      <c r="A1522" s="15"/>
      <c r="B1522" s="15"/>
    </row>
    <row r="1523" spans="1:2" x14ac:dyDescent="0.15">
      <c r="A1523" s="15"/>
      <c r="B1523" s="15"/>
    </row>
    <row r="1524" spans="1:2" x14ac:dyDescent="0.15">
      <c r="A1524" s="15"/>
      <c r="B1524" s="15"/>
    </row>
    <row r="1525" spans="1:2" x14ac:dyDescent="0.15">
      <c r="A1525" s="15"/>
      <c r="B1525" s="15"/>
    </row>
    <row r="1526" spans="1:2" x14ac:dyDescent="0.15">
      <c r="A1526" s="15"/>
      <c r="B1526" s="15"/>
    </row>
    <row r="1527" spans="1:2" x14ac:dyDescent="0.15">
      <c r="A1527" s="15"/>
      <c r="B1527" s="15"/>
    </row>
    <row r="1528" spans="1:2" x14ac:dyDescent="0.15">
      <c r="A1528" s="15"/>
      <c r="B1528" s="15"/>
    </row>
    <row r="1529" spans="1:2" x14ac:dyDescent="0.15">
      <c r="A1529" s="15"/>
      <c r="B1529" s="15"/>
    </row>
    <row r="1530" spans="1:2" x14ac:dyDescent="0.15">
      <c r="A1530" s="15"/>
      <c r="B1530" s="15"/>
    </row>
    <row r="1531" spans="1:2" x14ac:dyDescent="0.15">
      <c r="A1531" s="15"/>
      <c r="B1531" s="15"/>
    </row>
    <row r="1532" spans="1:2" x14ac:dyDescent="0.15">
      <c r="A1532" s="15"/>
      <c r="B1532" s="15"/>
    </row>
    <row r="1533" spans="1:2" x14ac:dyDescent="0.15">
      <c r="A1533" s="15"/>
      <c r="B1533" s="15"/>
    </row>
    <row r="1534" spans="1:2" x14ac:dyDescent="0.15">
      <c r="A1534" s="15"/>
      <c r="B1534" s="15"/>
    </row>
    <row r="1535" spans="1:2" x14ac:dyDescent="0.15">
      <c r="A1535" s="15"/>
      <c r="B1535" s="15"/>
    </row>
    <row r="1536" spans="1:2" x14ac:dyDescent="0.15">
      <c r="A1536" s="15"/>
      <c r="B1536" s="15"/>
    </row>
    <row r="1537" spans="1:2" x14ac:dyDescent="0.15">
      <c r="A1537" s="15"/>
      <c r="B1537" s="15"/>
    </row>
    <row r="1538" spans="1:2" x14ac:dyDescent="0.15">
      <c r="A1538" s="15"/>
      <c r="B1538" s="15"/>
    </row>
    <row r="1539" spans="1:2" x14ac:dyDescent="0.15">
      <c r="A1539" s="15"/>
      <c r="B1539" s="15"/>
    </row>
    <row r="1540" spans="1:2" x14ac:dyDescent="0.15">
      <c r="A1540" s="15"/>
      <c r="B1540" s="15"/>
    </row>
    <row r="1541" spans="1:2" x14ac:dyDescent="0.15">
      <c r="A1541" s="15"/>
      <c r="B1541" s="15"/>
    </row>
    <row r="1542" spans="1:2" x14ac:dyDescent="0.15">
      <c r="A1542" s="15"/>
      <c r="B1542" s="15"/>
    </row>
    <row r="1543" spans="1:2" x14ac:dyDescent="0.15">
      <c r="A1543" s="15"/>
      <c r="B1543" s="15"/>
    </row>
    <row r="1544" spans="1:2" x14ac:dyDescent="0.15">
      <c r="A1544" s="15"/>
      <c r="B1544" s="15"/>
    </row>
    <row r="1545" spans="1:2" x14ac:dyDescent="0.15">
      <c r="A1545" s="15"/>
      <c r="B1545" s="15"/>
    </row>
    <row r="1546" spans="1:2" x14ac:dyDescent="0.15">
      <c r="A1546" s="15"/>
      <c r="B1546" s="15"/>
    </row>
    <row r="1547" spans="1:2" x14ac:dyDescent="0.15">
      <c r="A1547" s="15"/>
      <c r="B1547" s="15"/>
    </row>
    <row r="1548" spans="1:2" x14ac:dyDescent="0.15">
      <c r="A1548" s="15"/>
      <c r="B1548" s="15"/>
    </row>
    <row r="1549" spans="1:2" x14ac:dyDescent="0.15">
      <c r="A1549" s="15"/>
      <c r="B1549" s="15"/>
    </row>
    <row r="1550" spans="1:2" x14ac:dyDescent="0.15">
      <c r="A1550" s="15"/>
      <c r="B1550" s="15"/>
    </row>
    <row r="1551" spans="1:2" x14ac:dyDescent="0.15">
      <c r="A1551" s="15"/>
      <c r="B1551" s="15"/>
    </row>
    <row r="1552" spans="1:2" x14ac:dyDescent="0.15">
      <c r="A1552" s="15"/>
      <c r="B1552" s="15"/>
    </row>
    <row r="1553" spans="1:2" x14ac:dyDescent="0.15">
      <c r="A1553" s="15"/>
      <c r="B1553" s="15"/>
    </row>
    <row r="1554" spans="1:2" x14ac:dyDescent="0.15">
      <c r="A1554" s="15"/>
      <c r="B1554" s="15"/>
    </row>
    <row r="1555" spans="1:2" x14ac:dyDescent="0.15">
      <c r="A1555" s="15"/>
      <c r="B1555" s="15"/>
    </row>
    <row r="1556" spans="1:2" x14ac:dyDescent="0.15">
      <c r="A1556" s="15"/>
      <c r="B1556" s="15"/>
    </row>
    <row r="1557" spans="1:2" x14ac:dyDescent="0.15">
      <c r="A1557" s="15"/>
      <c r="B1557" s="15"/>
    </row>
    <row r="1558" spans="1:2" x14ac:dyDescent="0.15">
      <c r="A1558" s="15"/>
      <c r="B1558" s="15"/>
    </row>
    <row r="1559" spans="1:2" x14ac:dyDescent="0.15">
      <c r="A1559" s="15"/>
      <c r="B1559" s="15"/>
    </row>
    <row r="1560" spans="1:2" x14ac:dyDescent="0.15">
      <c r="A1560" s="15"/>
      <c r="B1560" s="15"/>
    </row>
    <row r="1561" spans="1:2" x14ac:dyDescent="0.15">
      <c r="A1561" s="15"/>
      <c r="B1561" s="15"/>
    </row>
    <row r="1562" spans="1:2" x14ac:dyDescent="0.15">
      <c r="A1562" s="15"/>
      <c r="B1562" s="15"/>
    </row>
    <row r="1563" spans="1:2" x14ac:dyDescent="0.15">
      <c r="A1563" s="15"/>
      <c r="B1563" s="15"/>
    </row>
    <row r="1564" spans="1:2" x14ac:dyDescent="0.15">
      <c r="A1564" s="15"/>
      <c r="B1564" s="15"/>
    </row>
    <row r="1565" spans="1:2" x14ac:dyDescent="0.15">
      <c r="A1565" s="15"/>
      <c r="B1565" s="15"/>
    </row>
    <row r="1566" spans="1:2" x14ac:dyDescent="0.15">
      <c r="A1566" s="15"/>
      <c r="B1566" s="15"/>
    </row>
    <row r="1567" spans="1:2" x14ac:dyDescent="0.15">
      <c r="A1567" s="15"/>
      <c r="B1567" s="15"/>
    </row>
    <row r="1568" spans="1:2" x14ac:dyDescent="0.15">
      <c r="A1568" s="15"/>
      <c r="B1568" s="15"/>
    </row>
    <row r="1569" spans="1:2" x14ac:dyDescent="0.15">
      <c r="A1569" s="15"/>
      <c r="B1569" s="15"/>
    </row>
    <row r="1570" spans="1:2" x14ac:dyDescent="0.15">
      <c r="A1570" s="15"/>
      <c r="B1570" s="15"/>
    </row>
    <row r="1571" spans="1:2" x14ac:dyDescent="0.15">
      <c r="A1571" s="15"/>
      <c r="B1571" s="15"/>
    </row>
    <row r="1572" spans="1:2" x14ac:dyDescent="0.15">
      <c r="A1572" s="15"/>
      <c r="B1572" s="15"/>
    </row>
    <row r="1573" spans="1:2" x14ac:dyDescent="0.15">
      <c r="A1573" s="15"/>
      <c r="B1573" s="15"/>
    </row>
    <row r="1574" spans="1:2" x14ac:dyDescent="0.15">
      <c r="A1574" s="15"/>
      <c r="B1574" s="15"/>
    </row>
    <row r="1575" spans="1:2" x14ac:dyDescent="0.15">
      <c r="A1575" s="15"/>
      <c r="B1575" s="15"/>
    </row>
    <row r="1576" spans="1:2" x14ac:dyDescent="0.15">
      <c r="A1576" s="15"/>
      <c r="B1576" s="15"/>
    </row>
    <row r="1577" spans="1:2" x14ac:dyDescent="0.15">
      <c r="A1577" s="15"/>
      <c r="B1577" s="15"/>
    </row>
    <row r="1578" spans="1:2" x14ac:dyDescent="0.15">
      <c r="A1578" s="15"/>
      <c r="B1578" s="15"/>
    </row>
    <row r="1579" spans="1:2" x14ac:dyDescent="0.15">
      <c r="A1579" s="15"/>
      <c r="B1579" s="15"/>
    </row>
    <row r="1580" spans="1:2" x14ac:dyDescent="0.15">
      <c r="A1580" s="15"/>
      <c r="B1580" s="15"/>
    </row>
    <row r="1581" spans="1:2" x14ac:dyDescent="0.15">
      <c r="A1581" s="15"/>
      <c r="B1581" s="15"/>
    </row>
    <row r="1582" spans="1:2" x14ac:dyDescent="0.15">
      <c r="A1582" s="15"/>
      <c r="B1582" s="15"/>
    </row>
    <row r="1583" spans="1:2" x14ac:dyDescent="0.15">
      <c r="A1583" s="15"/>
      <c r="B1583" s="15"/>
    </row>
    <row r="1584" spans="1:2" x14ac:dyDescent="0.15">
      <c r="A1584" s="15"/>
      <c r="B1584" s="15"/>
    </row>
    <row r="1585" spans="1:2" x14ac:dyDescent="0.15">
      <c r="A1585" s="15"/>
      <c r="B1585" s="15"/>
    </row>
    <row r="1586" spans="1:2" x14ac:dyDescent="0.15">
      <c r="A1586" s="15"/>
      <c r="B1586" s="15"/>
    </row>
    <row r="1587" spans="1:2" x14ac:dyDescent="0.15">
      <c r="A1587" s="15"/>
      <c r="B1587" s="15"/>
    </row>
    <row r="1588" spans="1:2" x14ac:dyDescent="0.15">
      <c r="A1588" s="15"/>
      <c r="B1588" s="15"/>
    </row>
    <row r="1589" spans="1:2" x14ac:dyDescent="0.15">
      <c r="A1589" s="15"/>
      <c r="B1589" s="15"/>
    </row>
    <row r="1590" spans="1:2" x14ac:dyDescent="0.15">
      <c r="A1590" s="15"/>
      <c r="B1590" s="15"/>
    </row>
    <row r="1591" spans="1:2" x14ac:dyDescent="0.15">
      <c r="A1591" s="15"/>
      <c r="B1591" s="15"/>
    </row>
    <row r="1592" spans="1:2" x14ac:dyDescent="0.15">
      <c r="A1592" s="15"/>
      <c r="B1592" s="15"/>
    </row>
    <row r="1593" spans="1:2" x14ac:dyDescent="0.15">
      <c r="A1593" s="15"/>
      <c r="B1593" s="15"/>
    </row>
    <row r="1594" spans="1:2" x14ac:dyDescent="0.15">
      <c r="A1594" s="15"/>
      <c r="B1594" s="15"/>
    </row>
    <row r="1595" spans="1:2" x14ac:dyDescent="0.15">
      <c r="A1595" s="15"/>
      <c r="B1595" s="15"/>
    </row>
    <row r="1596" spans="1:2" x14ac:dyDescent="0.15">
      <c r="A1596" s="15"/>
      <c r="B1596" s="15"/>
    </row>
    <row r="1597" spans="1:2" x14ac:dyDescent="0.15">
      <c r="A1597" s="15"/>
      <c r="B1597" s="15"/>
    </row>
    <row r="1598" spans="1:2" x14ac:dyDescent="0.15">
      <c r="A1598" s="15"/>
      <c r="B1598" s="15"/>
    </row>
    <row r="1599" spans="1:2" x14ac:dyDescent="0.15">
      <c r="A1599" s="15"/>
      <c r="B1599" s="15"/>
    </row>
    <row r="1600" spans="1:2" x14ac:dyDescent="0.15">
      <c r="A1600" s="15"/>
      <c r="B1600" s="15"/>
    </row>
    <row r="1601" spans="1:2" x14ac:dyDescent="0.15">
      <c r="A1601" s="15"/>
      <c r="B1601" s="15"/>
    </row>
    <row r="1602" spans="1:2" x14ac:dyDescent="0.15">
      <c r="A1602" s="15"/>
      <c r="B1602" s="15"/>
    </row>
    <row r="1603" spans="1:2" x14ac:dyDescent="0.15">
      <c r="A1603" s="15"/>
      <c r="B1603" s="15"/>
    </row>
    <row r="1604" spans="1:2" x14ac:dyDescent="0.15">
      <c r="A1604" s="15"/>
      <c r="B1604" s="15"/>
    </row>
    <row r="1605" spans="1:2" x14ac:dyDescent="0.15">
      <c r="A1605" s="15"/>
      <c r="B1605" s="15"/>
    </row>
    <row r="1606" spans="1:2" x14ac:dyDescent="0.15">
      <c r="A1606" s="15"/>
      <c r="B1606" s="15"/>
    </row>
    <row r="1607" spans="1:2" x14ac:dyDescent="0.15">
      <c r="A1607" s="15"/>
      <c r="B1607" s="15"/>
    </row>
    <row r="1608" spans="1:2" x14ac:dyDescent="0.15">
      <c r="A1608" s="15"/>
      <c r="B1608" s="15"/>
    </row>
    <row r="1609" spans="1:2" x14ac:dyDescent="0.15">
      <c r="A1609" s="15"/>
      <c r="B1609" s="15"/>
    </row>
    <row r="1610" spans="1:2" x14ac:dyDescent="0.15">
      <c r="A1610" s="15"/>
      <c r="B1610" s="15"/>
    </row>
    <row r="1611" spans="1:2" x14ac:dyDescent="0.15">
      <c r="A1611" s="15"/>
      <c r="B1611" s="15"/>
    </row>
    <row r="1612" spans="1:2" x14ac:dyDescent="0.15">
      <c r="A1612" s="15"/>
      <c r="B1612" s="15"/>
    </row>
    <row r="1613" spans="1:2" x14ac:dyDescent="0.15">
      <c r="A1613" s="15"/>
      <c r="B1613" s="15"/>
    </row>
    <row r="1614" spans="1:2" x14ac:dyDescent="0.15">
      <c r="A1614" s="15"/>
      <c r="B1614" s="15"/>
    </row>
    <row r="1615" spans="1:2" x14ac:dyDescent="0.15">
      <c r="A1615" s="15"/>
      <c r="B1615" s="15"/>
    </row>
    <row r="1616" spans="1:2" x14ac:dyDescent="0.15">
      <c r="A1616" s="15"/>
      <c r="B1616" s="15"/>
    </row>
    <row r="1617" spans="1:2" x14ac:dyDescent="0.15">
      <c r="A1617" s="15"/>
      <c r="B1617" s="15"/>
    </row>
    <row r="1618" spans="1:2" x14ac:dyDescent="0.15">
      <c r="A1618" s="15"/>
      <c r="B1618" s="15"/>
    </row>
    <row r="1619" spans="1:2" x14ac:dyDescent="0.15">
      <c r="A1619" s="15"/>
      <c r="B1619" s="15"/>
    </row>
    <row r="1620" spans="1:2" x14ac:dyDescent="0.15">
      <c r="A1620" s="15"/>
      <c r="B1620" s="15"/>
    </row>
    <row r="1621" spans="1:2" x14ac:dyDescent="0.15">
      <c r="A1621" s="15"/>
      <c r="B1621" s="15"/>
    </row>
    <row r="1622" spans="1:2" x14ac:dyDescent="0.15">
      <c r="A1622" s="15"/>
      <c r="B1622" s="15"/>
    </row>
    <row r="1623" spans="1:2" x14ac:dyDescent="0.15">
      <c r="A1623" s="15"/>
      <c r="B1623" s="15"/>
    </row>
    <row r="1624" spans="1:2" x14ac:dyDescent="0.15">
      <c r="A1624" s="15"/>
      <c r="B1624" s="15"/>
    </row>
    <row r="1625" spans="1:2" x14ac:dyDescent="0.15">
      <c r="A1625" s="15"/>
      <c r="B1625" s="15"/>
    </row>
    <row r="1626" spans="1:2" x14ac:dyDescent="0.15">
      <c r="A1626" s="15"/>
      <c r="B1626" s="15"/>
    </row>
    <row r="1627" spans="1:2" x14ac:dyDescent="0.15">
      <c r="A1627" s="15"/>
      <c r="B1627" s="15"/>
    </row>
    <row r="1628" spans="1:2" x14ac:dyDescent="0.15">
      <c r="A1628" s="15"/>
      <c r="B1628" s="15"/>
    </row>
    <row r="1629" spans="1:2" x14ac:dyDescent="0.15">
      <c r="A1629" s="15"/>
      <c r="B1629" s="15"/>
    </row>
    <row r="1630" spans="1:2" x14ac:dyDescent="0.15">
      <c r="A1630" s="15"/>
      <c r="B1630" s="15"/>
    </row>
    <row r="1631" spans="1:2" x14ac:dyDescent="0.15">
      <c r="A1631" s="15"/>
      <c r="B1631" s="15"/>
    </row>
    <row r="1632" spans="1:2" x14ac:dyDescent="0.15">
      <c r="A1632" s="15"/>
      <c r="B1632" s="15"/>
    </row>
    <row r="1633" spans="1:2" x14ac:dyDescent="0.15">
      <c r="A1633" s="15"/>
      <c r="B1633" s="15"/>
    </row>
    <row r="1634" spans="1:2" x14ac:dyDescent="0.15">
      <c r="A1634" s="15"/>
      <c r="B1634" s="15"/>
    </row>
    <row r="1635" spans="1:2" x14ac:dyDescent="0.15">
      <c r="A1635" s="15"/>
      <c r="B1635" s="15"/>
    </row>
    <row r="1636" spans="1:2" x14ac:dyDescent="0.15">
      <c r="A1636" s="15"/>
      <c r="B1636" s="15"/>
    </row>
    <row r="1637" spans="1:2" x14ac:dyDescent="0.15">
      <c r="A1637" s="15"/>
      <c r="B1637" s="15"/>
    </row>
    <row r="1638" spans="1:2" x14ac:dyDescent="0.15">
      <c r="A1638" s="15"/>
      <c r="B1638" s="15"/>
    </row>
    <row r="1639" spans="1:2" x14ac:dyDescent="0.15">
      <c r="A1639" s="15"/>
      <c r="B1639" s="15"/>
    </row>
    <row r="1640" spans="1:2" x14ac:dyDescent="0.15">
      <c r="A1640" s="15"/>
      <c r="B1640" s="15"/>
    </row>
    <row r="1641" spans="1:2" x14ac:dyDescent="0.15">
      <c r="A1641" s="15"/>
      <c r="B1641" s="15"/>
    </row>
    <row r="1642" spans="1:2" x14ac:dyDescent="0.15">
      <c r="A1642" s="15"/>
      <c r="B1642" s="15"/>
    </row>
    <row r="1643" spans="1:2" x14ac:dyDescent="0.15">
      <c r="A1643" s="15"/>
      <c r="B1643" s="15"/>
    </row>
    <row r="1644" spans="1:2" x14ac:dyDescent="0.15">
      <c r="A1644" s="15"/>
      <c r="B1644" s="15"/>
    </row>
    <row r="1645" spans="1:2" x14ac:dyDescent="0.15">
      <c r="A1645" s="15"/>
      <c r="B1645" s="15"/>
    </row>
    <row r="1646" spans="1:2" x14ac:dyDescent="0.15">
      <c r="A1646" s="15"/>
      <c r="B1646" s="15"/>
    </row>
    <row r="1647" spans="1:2" x14ac:dyDescent="0.15">
      <c r="A1647" s="15"/>
      <c r="B1647" s="15"/>
    </row>
    <row r="1648" spans="1:2" x14ac:dyDescent="0.15">
      <c r="A1648" s="15"/>
      <c r="B1648" s="15"/>
    </row>
    <row r="1649" spans="1:2" x14ac:dyDescent="0.15">
      <c r="A1649" s="15"/>
      <c r="B1649" s="15"/>
    </row>
    <row r="1650" spans="1:2" x14ac:dyDescent="0.15">
      <c r="A1650" s="15"/>
      <c r="B1650" s="15"/>
    </row>
    <row r="1651" spans="1:2" x14ac:dyDescent="0.15">
      <c r="A1651" s="15"/>
      <c r="B1651" s="15"/>
    </row>
    <row r="1652" spans="1:2" x14ac:dyDescent="0.15">
      <c r="A1652" s="15"/>
      <c r="B1652" s="15"/>
    </row>
    <row r="1653" spans="1:2" x14ac:dyDescent="0.15">
      <c r="A1653" s="15"/>
      <c r="B1653" s="15"/>
    </row>
    <row r="1654" spans="1:2" x14ac:dyDescent="0.15">
      <c r="A1654" s="15"/>
      <c r="B1654" s="15"/>
    </row>
    <row r="1655" spans="1:2" x14ac:dyDescent="0.15">
      <c r="A1655" s="15"/>
      <c r="B1655" s="15"/>
    </row>
    <row r="1656" spans="1:2" x14ac:dyDescent="0.15">
      <c r="A1656" s="15"/>
      <c r="B1656" s="15"/>
    </row>
    <row r="1657" spans="1:2" x14ac:dyDescent="0.15">
      <c r="A1657" s="15"/>
      <c r="B1657" s="15"/>
    </row>
    <row r="1658" spans="1:2" x14ac:dyDescent="0.15">
      <c r="A1658" s="15"/>
      <c r="B1658" s="15"/>
    </row>
    <row r="1659" spans="1:2" x14ac:dyDescent="0.15">
      <c r="A1659" s="15"/>
      <c r="B1659" s="15"/>
    </row>
    <row r="1660" spans="1:2" x14ac:dyDescent="0.15">
      <c r="A1660" s="15"/>
      <c r="B1660" s="15"/>
    </row>
    <row r="1661" spans="1:2" x14ac:dyDescent="0.15">
      <c r="A1661" s="15"/>
      <c r="B1661" s="15"/>
    </row>
    <row r="1662" spans="1:2" x14ac:dyDescent="0.15">
      <c r="A1662" s="15"/>
      <c r="B1662" s="15"/>
    </row>
    <row r="1663" spans="1:2" x14ac:dyDescent="0.15">
      <c r="A1663" s="15"/>
      <c r="B1663" s="15"/>
    </row>
    <row r="1664" spans="1:2" x14ac:dyDescent="0.15">
      <c r="A1664" s="15"/>
      <c r="B1664" s="15"/>
    </row>
    <row r="1665" spans="1:2" x14ac:dyDescent="0.15">
      <c r="A1665" s="15"/>
      <c r="B1665" s="15"/>
    </row>
    <row r="1666" spans="1:2" x14ac:dyDescent="0.15">
      <c r="A1666" s="15"/>
      <c r="B1666" s="15"/>
    </row>
    <row r="1667" spans="1:2" x14ac:dyDescent="0.15">
      <c r="A1667" s="15"/>
      <c r="B1667" s="15"/>
    </row>
    <row r="1668" spans="1:2" x14ac:dyDescent="0.15">
      <c r="A1668" s="15"/>
      <c r="B1668" s="15"/>
    </row>
    <row r="1669" spans="1:2" x14ac:dyDescent="0.15">
      <c r="A1669" s="15"/>
      <c r="B1669" s="15"/>
    </row>
    <row r="1670" spans="1:2" x14ac:dyDescent="0.15">
      <c r="A1670" s="15"/>
      <c r="B1670" s="15"/>
    </row>
    <row r="1671" spans="1:2" x14ac:dyDescent="0.15">
      <c r="A1671" s="15"/>
      <c r="B1671" s="15"/>
    </row>
    <row r="1672" spans="1:2" x14ac:dyDescent="0.15">
      <c r="A1672" s="15"/>
      <c r="B1672" s="15"/>
    </row>
    <row r="1673" spans="1:2" x14ac:dyDescent="0.15">
      <c r="A1673" s="15"/>
      <c r="B1673" s="15"/>
    </row>
    <row r="1674" spans="1:2" x14ac:dyDescent="0.15">
      <c r="A1674" s="15"/>
      <c r="B1674" s="15"/>
    </row>
    <row r="1675" spans="1:2" x14ac:dyDescent="0.15">
      <c r="A1675" s="15"/>
      <c r="B1675" s="15"/>
    </row>
    <row r="1676" spans="1:2" x14ac:dyDescent="0.15">
      <c r="A1676" s="15"/>
      <c r="B1676" s="15"/>
    </row>
    <row r="1677" spans="1:2" x14ac:dyDescent="0.15">
      <c r="A1677" s="15"/>
      <c r="B1677" s="15"/>
    </row>
    <row r="1678" spans="1:2" x14ac:dyDescent="0.15">
      <c r="A1678" s="15"/>
      <c r="B1678" s="15"/>
    </row>
    <row r="1679" spans="1:2" x14ac:dyDescent="0.15">
      <c r="A1679" s="15"/>
      <c r="B1679" s="15"/>
    </row>
    <row r="1680" spans="1:2" x14ac:dyDescent="0.15">
      <c r="A1680" s="15"/>
      <c r="B1680" s="15"/>
    </row>
    <row r="1681" spans="1:2" x14ac:dyDescent="0.15">
      <c r="A1681" s="15"/>
      <c r="B1681" s="15"/>
    </row>
    <row r="1682" spans="1:2" x14ac:dyDescent="0.15">
      <c r="A1682" s="15"/>
      <c r="B1682" s="15"/>
    </row>
    <row r="1683" spans="1:2" x14ac:dyDescent="0.15">
      <c r="A1683" s="15"/>
      <c r="B1683" s="15"/>
    </row>
    <row r="1684" spans="1:2" x14ac:dyDescent="0.15">
      <c r="A1684" s="15"/>
      <c r="B1684" s="15"/>
    </row>
    <row r="1685" spans="1:2" x14ac:dyDescent="0.15">
      <c r="A1685" s="15"/>
      <c r="B1685" s="15"/>
    </row>
    <row r="1686" spans="1:2" x14ac:dyDescent="0.15">
      <c r="A1686" s="15"/>
      <c r="B1686" s="15"/>
    </row>
    <row r="1687" spans="1:2" x14ac:dyDescent="0.15">
      <c r="A1687" s="15"/>
      <c r="B1687" s="15"/>
    </row>
    <row r="1688" spans="1:2" x14ac:dyDescent="0.15">
      <c r="A1688" s="15"/>
      <c r="B1688" s="15"/>
    </row>
    <row r="1689" spans="1:2" x14ac:dyDescent="0.15">
      <c r="A1689" s="15"/>
      <c r="B1689" s="15"/>
    </row>
    <row r="1690" spans="1:2" x14ac:dyDescent="0.15">
      <c r="A1690" s="15"/>
      <c r="B1690" s="15"/>
    </row>
    <row r="1691" spans="1:2" x14ac:dyDescent="0.15">
      <c r="A1691" s="15"/>
      <c r="B1691" s="15"/>
    </row>
    <row r="1692" spans="1:2" x14ac:dyDescent="0.15">
      <c r="A1692" s="15"/>
      <c r="B1692" s="15"/>
    </row>
    <row r="1693" spans="1:2" x14ac:dyDescent="0.15">
      <c r="A1693" s="15"/>
      <c r="B1693" s="15"/>
    </row>
    <row r="1694" spans="1:2" x14ac:dyDescent="0.15">
      <c r="A1694" s="15"/>
      <c r="B1694" s="15"/>
    </row>
    <row r="1695" spans="1:2" x14ac:dyDescent="0.15">
      <c r="A1695" s="15"/>
      <c r="B1695" s="15"/>
    </row>
    <row r="1696" spans="1:2" x14ac:dyDescent="0.15">
      <c r="A1696" s="15"/>
      <c r="B1696" s="15"/>
    </row>
    <row r="1697" spans="1:2" x14ac:dyDescent="0.15">
      <c r="A1697" s="15"/>
      <c r="B1697" s="15"/>
    </row>
    <row r="1698" spans="1:2" x14ac:dyDescent="0.15">
      <c r="A1698" s="15"/>
      <c r="B1698" s="15"/>
    </row>
    <row r="1699" spans="1:2" x14ac:dyDescent="0.15">
      <c r="A1699" s="15"/>
      <c r="B1699" s="15"/>
    </row>
    <row r="1700" spans="1:2" x14ac:dyDescent="0.15">
      <c r="A1700" s="15"/>
      <c r="B1700" s="15"/>
    </row>
    <row r="1701" spans="1:2" x14ac:dyDescent="0.15">
      <c r="A1701" s="15"/>
      <c r="B1701" s="15"/>
    </row>
    <row r="1702" spans="1:2" x14ac:dyDescent="0.15">
      <c r="A1702" s="15"/>
      <c r="B1702" s="15"/>
    </row>
    <row r="1703" spans="1:2" x14ac:dyDescent="0.15">
      <c r="A1703" s="15"/>
      <c r="B1703" s="15"/>
    </row>
    <row r="1704" spans="1:2" x14ac:dyDescent="0.15">
      <c r="A1704" s="15"/>
      <c r="B1704" s="15"/>
    </row>
    <row r="1705" spans="1:2" x14ac:dyDescent="0.15">
      <c r="A1705" s="15"/>
      <c r="B1705" s="15"/>
    </row>
    <row r="1706" spans="1:2" x14ac:dyDescent="0.15">
      <c r="A1706" s="15"/>
      <c r="B1706" s="15"/>
    </row>
    <row r="1707" spans="1:2" x14ac:dyDescent="0.15">
      <c r="A1707" s="15"/>
      <c r="B1707" s="15"/>
    </row>
    <row r="1708" spans="1:2" x14ac:dyDescent="0.15">
      <c r="A1708" s="15"/>
      <c r="B1708" s="15"/>
    </row>
    <row r="1709" spans="1:2" x14ac:dyDescent="0.15">
      <c r="A1709" s="15"/>
      <c r="B1709" s="15"/>
    </row>
    <row r="1710" spans="1:2" x14ac:dyDescent="0.15">
      <c r="A1710" s="15"/>
      <c r="B1710" s="15"/>
    </row>
    <row r="1711" spans="1:2" x14ac:dyDescent="0.15">
      <c r="A1711" s="15"/>
      <c r="B1711" s="15"/>
    </row>
    <row r="1712" spans="1:2" x14ac:dyDescent="0.15">
      <c r="A1712" s="15"/>
      <c r="B1712" s="15"/>
    </row>
    <row r="1713" spans="1:2" x14ac:dyDescent="0.15">
      <c r="A1713" s="15"/>
      <c r="B1713" s="15"/>
    </row>
    <row r="1714" spans="1:2" x14ac:dyDescent="0.15">
      <c r="A1714" s="15"/>
      <c r="B1714" s="15"/>
    </row>
    <row r="1715" spans="1:2" x14ac:dyDescent="0.15">
      <c r="A1715" s="15"/>
      <c r="B1715" s="15"/>
    </row>
    <row r="1716" spans="1:2" x14ac:dyDescent="0.15">
      <c r="A1716" s="15"/>
      <c r="B1716" s="15"/>
    </row>
    <row r="1717" spans="1:2" x14ac:dyDescent="0.15">
      <c r="A1717" s="15"/>
      <c r="B1717" s="15"/>
    </row>
    <row r="1718" spans="1:2" x14ac:dyDescent="0.15">
      <c r="A1718" s="15"/>
      <c r="B1718" s="15"/>
    </row>
    <row r="1719" spans="1:2" x14ac:dyDescent="0.15">
      <c r="A1719" s="15"/>
      <c r="B1719" s="15"/>
    </row>
    <row r="1720" spans="1:2" x14ac:dyDescent="0.15">
      <c r="A1720" s="15"/>
      <c r="B1720" s="15"/>
    </row>
    <row r="1721" spans="1:2" x14ac:dyDescent="0.15">
      <c r="A1721" s="15"/>
      <c r="B1721" s="15"/>
    </row>
    <row r="1722" spans="1:2" x14ac:dyDescent="0.15">
      <c r="A1722" s="15"/>
      <c r="B1722" s="15"/>
    </row>
    <row r="1723" spans="1:2" x14ac:dyDescent="0.15">
      <c r="A1723" s="15"/>
      <c r="B1723" s="15"/>
    </row>
    <row r="1724" spans="1:2" x14ac:dyDescent="0.15">
      <c r="A1724" s="15"/>
      <c r="B1724" s="15"/>
    </row>
    <row r="1725" spans="1:2" x14ac:dyDescent="0.15">
      <c r="A1725" s="15"/>
      <c r="B1725" s="15"/>
    </row>
    <row r="1726" spans="1:2" x14ac:dyDescent="0.15">
      <c r="A1726" s="15"/>
      <c r="B1726" s="15"/>
    </row>
    <row r="1727" spans="1:2" x14ac:dyDescent="0.15">
      <c r="A1727" s="15"/>
      <c r="B1727" s="15"/>
    </row>
    <row r="1728" spans="1:2" x14ac:dyDescent="0.15">
      <c r="A1728" s="15"/>
      <c r="B1728" s="15"/>
    </row>
    <row r="1729" spans="1:2" x14ac:dyDescent="0.15">
      <c r="A1729" s="15"/>
      <c r="B1729" s="15"/>
    </row>
    <row r="1730" spans="1:2" x14ac:dyDescent="0.15">
      <c r="A1730" s="15"/>
      <c r="B1730" s="15"/>
    </row>
    <row r="1731" spans="1:2" x14ac:dyDescent="0.15">
      <c r="A1731" s="15"/>
      <c r="B1731" s="15"/>
    </row>
    <row r="1732" spans="1:2" x14ac:dyDescent="0.15">
      <c r="A1732" s="15"/>
      <c r="B1732" s="15"/>
    </row>
    <row r="1733" spans="1:2" x14ac:dyDescent="0.15">
      <c r="A1733" s="15"/>
      <c r="B1733" s="15"/>
    </row>
    <row r="1734" spans="1:2" x14ac:dyDescent="0.15">
      <c r="A1734" s="15"/>
      <c r="B1734" s="15"/>
    </row>
    <row r="1735" spans="1:2" x14ac:dyDescent="0.15">
      <c r="A1735" s="15"/>
      <c r="B1735" s="15"/>
    </row>
    <row r="1736" spans="1:2" x14ac:dyDescent="0.15">
      <c r="A1736" s="15"/>
      <c r="B1736" s="15"/>
    </row>
    <row r="1737" spans="1:2" x14ac:dyDescent="0.15">
      <c r="A1737" s="15"/>
      <c r="B1737" s="15"/>
    </row>
    <row r="1738" spans="1:2" x14ac:dyDescent="0.15">
      <c r="A1738" s="15"/>
      <c r="B1738" s="15"/>
    </row>
    <row r="1739" spans="1:2" x14ac:dyDescent="0.15">
      <c r="A1739" s="15"/>
      <c r="B1739" s="15"/>
    </row>
    <row r="1740" spans="1:2" x14ac:dyDescent="0.15">
      <c r="A1740" s="15"/>
      <c r="B1740" s="15"/>
    </row>
    <row r="1741" spans="1:2" x14ac:dyDescent="0.15">
      <c r="A1741" s="15"/>
      <c r="B1741" s="15"/>
    </row>
    <row r="1742" spans="1:2" x14ac:dyDescent="0.15">
      <c r="A1742" s="15"/>
      <c r="B1742" s="15"/>
    </row>
    <row r="1743" spans="1:2" x14ac:dyDescent="0.15">
      <c r="A1743" s="15"/>
      <c r="B1743" s="15"/>
    </row>
    <row r="1744" spans="1:2" x14ac:dyDescent="0.15">
      <c r="A1744" s="15"/>
      <c r="B1744" s="15"/>
    </row>
    <row r="1745" spans="1:2" x14ac:dyDescent="0.15">
      <c r="A1745" s="15"/>
      <c r="B1745" s="15"/>
    </row>
    <row r="1746" spans="1:2" x14ac:dyDescent="0.15">
      <c r="A1746" s="15"/>
      <c r="B1746" s="15"/>
    </row>
    <row r="1747" spans="1:2" x14ac:dyDescent="0.15">
      <c r="A1747" s="15"/>
      <c r="B1747" s="15"/>
    </row>
    <row r="1748" spans="1:2" x14ac:dyDescent="0.15">
      <c r="A1748" s="15"/>
      <c r="B1748" s="15"/>
    </row>
    <row r="1749" spans="1:2" x14ac:dyDescent="0.15">
      <c r="A1749" s="15"/>
      <c r="B1749" s="15"/>
    </row>
    <row r="1750" spans="1:2" x14ac:dyDescent="0.15">
      <c r="A1750" s="15"/>
      <c r="B1750" s="15"/>
    </row>
    <row r="1751" spans="1:2" x14ac:dyDescent="0.15">
      <c r="A1751" s="15"/>
      <c r="B1751" s="15"/>
    </row>
    <row r="1752" spans="1:2" x14ac:dyDescent="0.15">
      <c r="A1752" s="15"/>
      <c r="B1752" s="15"/>
    </row>
    <row r="1753" spans="1:2" x14ac:dyDescent="0.15">
      <c r="A1753" s="15"/>
      <c r="B1753" s="15"/>
    </row>
    <row r="1754" spans="1:2" x14ac:dyDescent="0.15">
      <c r="A1754" s="15"/>
      <c r="B1754" s="15"/>
    </row>
    <row r="1755" spans="1:2" x14ac:dyDescent="0.15">
      <c r="A1755" s="15"/>
      <c r="B1755" s="15"/>
    </row>
    <row r="1756" spans="1:2" x14ac:dyDescent="0.15">
      <c r="A1756" s="15"/>
      <c r="B1756" s="15"/>
    </row>
    <row r="1757" spans="1:2" x14ac:dyDescent="0.15">
      <c r="A1757" s="15"/>
      <c r="B1757" s="15"/>
    </row>
    <row r="1758" spans="1:2" x14ac:dyDescent="0.15">
      <c r="A1758" s="15"/>
      <c r="B1758" s="15"/>
    </row>
    <row r="1759" spans="1:2" x14ac:dyDescent="0.15">
      <c r="A1759" s="15"/>
      <c r="B1759" s="15"/>
    </row>
    <row r="1760" spans="1:2" x14ac:dyDescent="0.15">
      <c r="A1760" s="15"/>
      <c r="B1760" s="15"/>
    </row>
    <row r="1761" spans="1:2" x14ac:dyDescent="0.15">
      <c r="A1761" s="15"/>
      <c r="B1761" s="15"/>
    </row>
    <row r="1762" spans="1:2" x14ac:dyDescent="0.15">
      <c r="A1762" s="15"/>
      <c r="B1762" s="15"/>
    </row>
    <row r="1763" spans="1:2" x14ac:dyDescent="0.15">
      <c r="A1763" s="15"/>
      <c r="B1763" s="15"/>
    </row>
    <row r="1764" spans="1:2" x14ac:dyDescent="0.15">
      <c r="A1764" s="15"/>
      <c r="B1764" s="15"/>
    </row>
    <row r="1765" spans="1:2" x14ac:dyDescent="0.15">
      <c r="A1765" s="15"/>
      <c r="B1765" s="15"/>
    </row>
    <row r="1766" spans="1:2" x14ac:dyDescent="0.15">
      <c r="A1766" s="15"/>
      <c r="B1766" s="15"/>
    </row>
    <row r="1767" spans="1:2" x14ac:dyDescent="0.15">
      <c r="A1767" s="15"/>
      <c r="B1767" s="15"/>
    </row>
    <row r="1768" spans="1:2" x14ac:dyDescent="0.15">
      <c r="A1768" s="15"/>
      <c r="B1768" s="15"/>
    </row>
    <row r="1769" spans="1:2" x14ac:dyDescent="0.15">
      <c r="A1769" s="15"/>
      <c r="B1769" s="15"/>
    </row>
    <row r="1770" spans="1:2" x14ac:dyDescent="0.15">
      <c r="A1770" s="15"/>
      <c r="B1770" s="15"/>
    </row>
    <row r="1771" spans="1:2" x14ac:dyDescent="0.15">
      <c r="A1771" s="15"/>
      <c r="B1771" s="15"/>
    </row>
    <row r="1772" spans="1:2" x14ac:dyDescent="0.15">
      <c r="A1772" s="15"/>
      <c r="B1772" s="15"/>
    </row>
    <row r="1773" spans="1:2" x14ac:dyDescent="0.15">
      <c r="A1773" s="15"/>
      <c r="B1773" s="15"/>
    </row>
    <row r="1774" spans="1:2" x14ac:dyDescent="0.15">
      <c r="A1774" s="15"/>
      <c r="B1774" s="15"/>
    </row>
    <row r="1775" spans="1:2" x14ac:dyDescent="0.15">
      <c r="A1775" s="15"/>
      <c r="B1775" s="15"/>
    </row>
    <row r="1776" spans="1:2" x14ac:dyDescent="0.15">
      <c r="A1776" s="15"/>
      <c r="B1776" s="15"/>
    </row>
    <row r="1777" spans="1:2" x14ac:dyDescent="0.15">
      <c r="A1777" s="15"/>
      <c r="B1777" s="15"/>
    </row>
    <row r="1778" spans="1:2" x14ac:dyDescent="0.15">
      <c r="A1778" s="15"/>
      <c r="B1778" s="15"/>
    </row>
    <row r="1779" spans="1:2" x14ac:dyDescent="0.15">
      <c r="A1779" s="15"/>
      <c r="B1779" s="15"/>
    </row>
    <row r="1780" spans="1:2" x14ac:dyDescent="0.15">
      <c r="A1780" s="15"/>
      <c r="B1780" s="15"/>
    </row>
    <row r="1781" spans="1:2" x14ac:dyDescent="0.15">
      <c r="A1781" s="15"/>
      <c r="B1781" s="15"/>
    </row>
    <row r="1782" spans="1:2" x14ac:dyDescent="0.15">
      <c r="A1782" s="15"/>
      <c r="B1782" s="15"/>
    </row>
    <row r="1783" spans="1:2" x14ac:dyDescent="0.15">
      <c r="A1783" s="15"/>
      <c r="B1783" s="15"/>
    </row>
    <row r="1784" spans="1:2" x14ac:dyDescent="0.15">
      <c r="A1784" s="15"/>
      <c r="B1784" s="15"/>
    </row>
    <row r="1785" spans="1:2" x14ac:dyDescent="0.15">
      <c r="A1785" s="15"/>
      <c r="B1785" s="15"/>
    </row>
    <row r="1786" spans="1:2" x14ac:dyDescent="0.15">
      <c r="A1786" s="15"/>
      <c r="B1786" s="15"/>
    </row>
    <row r="1787" spans="1:2" x14ac:dyDescent="0.15">
      <c r="A1787" s="15"/>
      <c r="B1787" s="15"/>
    </row>
    <row r="1788" spans="1:2" x14ac:dyDescent="0.15">
      <c r="A1788" s="15"/>
      <c r="B1788" s="15"/>
    </row>
    <row r="1789" spans="1:2" x14ac:dyDescent="0.15">
      <c r="A1789" s="15"/>
      <c r="B1789" s="15"/>
    </row>
    <row r="1790" spans="1:2" x14ac:dyDescent="0.15">
      <c r="A1790" s="15"/>
      <c r="B1790" s="15"/>
    </row>
    <row r="1791" spans="1:2" x14ac:dyDescent="0.15">
      <c r="A1791" s="15"/>
      <c r="B1791" s="15"/>
    </row>
    <row r="1792" spans="1:2" x14ac:dyDescent="0.15">
      <c r="A1792" s="15"/>
      <c r="B1792" s="15"/>
    </row>
    <row r="1793" spans="1:2" x14ac:dyDescent="0.15">
      <c r="A1793" s="15"/>
      <c r="B1793" s="15"/>
    </row>
    <row r="1794" spans="1:2" x14ac:dyDescent="0.15">
      <c r="A1794" s="15"/>
      <c r="B1794" s="15"/>
    </row>
    <row r="1795" spans="1:2" x14ac:dyDescent="0.15">
      <c r="A1795" s="15"/>
      <c r="B1795" s="15"/>
    </row>
    <row r="1796" spans="1:2" x14ac:dyDescent="0.15">
      <c r="A1796" s="15"/>
      <c r="B1796" s="15"/>
    </row>
    <row r="1797" spans="1:2" x14ac:dyDescent="0.15">
      <c r="A1797" s="15"/>
      <c r="B1797" s="15"/>
    </row>
    <row r="1798" spans="1:2" x14ac:dyDescent="0.15">
      <c r="A1798" s="15"/>
      <c r="B1798" s="15"/>
    </row>
    <row r="1799" spans="1:2" x14ac:dyDescent="0.15">
      <c r="A1799" s="15"/>
      <c r="B1799" s="15"/>
    </row>
    <row r="1800" spans="1:2" x14ac:dyDescent="0.15">
      <c r="A1800" s="15"/>
      <c r="B1800" s="15"/>
    </row>
    <row r="1801" spans="1:2" x14ac:dyDescent="0.15">
      <c r="A1801" s="15"/>
      <c r="B1801" s="15"/>
    </row>
    <row r="1802" spans="1:2" x14ac:dyDescent="0.15">
      <c r="A1802" s="15"/>
      <c r="B1802" s="15"/>
    </row>
    <row r="1803" spans="1:2" x14ac:dyDescent="0.15">
      <c r="A1803" s="15"/>
      <c r="B1803" s="15"/>
    </row>
    <row r="1804" spans="1:2" x14ac:dyDescent="0.15">
      <c r="A1804" s="15"/>
      <c r="B1804" s="15"/>
    </row>
    <row r="1805" spans="1:2" x14ac:dyDescent="0.15">
      <c r="A1805" s="15"/>
      <c r="B1805" s="15"/>
    </row>
    <row r="1806" spans="1:2" x14ac:dyDescent="0.15">
      <c r="A1806" s="15"/>
      <c r="B1806" s="15"/>
    </row>
    <row r="1807" spans="1:2" x14ac:dyDescent="0.15">
      <c r="A1807" s="15"/>
      <c r="B1807" s="15"/>
    </row>
    <row r="1808" spans="1:2" x14ac:dyDescent="0.15">
      <c r="A1808" s="15"/>
      <c r="B1808" s="15"/>
    </row>
    <row r="1809" spans="1:2" x14ac:dyDescent="0.15">
      <c r="A1809" s="15"/>
      <c r="B1809" s="15"/>
    </row>
    <row r="1810" spans="1:2" x14ac:dyDescent="0.15">
      <c r="A1810" s="15"/>
      <c r="B1810" s="15"/>
    </row>
    <row r="1811" spans="1:2" x14ac:dyDescent="0.15">
      <c r="A1811" s="15"/>
      <c r="B1811" s="15"/>
    </row>
    <row r="1812" spans="1:2" x14ac:dyDescent="0.15">
      <c r="A1812" s="15"/>
      <c r="B1812" s="15"/>
    </row>
    <row r="1813" spans="1:2" x14ac:dyDescent="0.15">
      <c r="A1813" s="15"/>
      <c r="B1813" s="15"/>
    </row>
    <row r="1814" spans="1:2" x14ac:dyDescent="0.15">
      <c r="A1814" s="15"/>
      <c r="B1814" s="15"/>
    </row>
    <row r="1815" spans="1:2" x14ac:dyDescent="0.15">
      <c r="A1815" s="15"/>
      <c r="B1815" s="15"/>
    </row>
    <row r="1816" spans="1:2" x14ac:dyDescent="0.15">
      <c r="A1816" s="15"/>
      <c r="B1816" s="15"/>
    </row>
    <row r="1817" spans="1:2" x14ac:dyDescent="0.15">
      <c r="A1817" s="15"/>
      <c r="B1817" s="15"/>
    </row>
    <row r="1818" spans="1:2" x14ac:dyDescent="0.15">
      <c r="A1818" s="15"/>
      <c r="B1818" s="15"/>
    </row>
    <row r="1819" spans="1:2" x14ac:dyDescent="0.15">
      <c r="A1819" s="15"/>
      <c r="B1819" s="15"/>
    </row>
    <row r="1820" spans="1:2" x14ac:dyDescent="0.15">
      <c r="A1820" s="15"/>
      <c r="B1820" s="15"/>
    </row>
    <row r="1821" spans="1:2" x14ac:dyDescent="0.15">
      <c r="A1821" s="15"/>
      <c r="B1821" s="15"/>
    </row>
    <row r="1822" spans="1:2" x14ac:dyDescent="0.15">
      <c r="A1822" s="15"/>
      <c r="B1822" s="15"/>
    </row>
    <row r="1823" spans="1:2" x14ac:dyDescent="0.15">
      <c r="A1823" s="15"/>
      <c r="B1823" s="15"/>
    </row>
    <row r="1824" spans="1:2" x14ac:dyDescent="0.15">
      <c r="A1824" s="15"/>
      <c r="B1824" s="15"/>
    </row>
    <row r="1825" spans="1:2" x14ac:dyDescent="0.15">
      <c r="A1825" s="15"/>
      <c r="B1825" s="15"/>
    </row>
    <row r="1826" spans="1:2" x14ac:dyDescent="0.15">
      <c r="A1826" s="15"/>
      <c r="B1826" s="15"/>
    </row>
    <row r="1827" spans="1:2" x14ac:dyDescent="0.15">
      <c r="A1827" s="15"/>
      <c r="B1827" s="15"/>
    </row>
    <row r="1828" spans="1:2" x14ac:dyDescent="0.15">
      <c r="A1828" s="15"/>
      <c r="B1828" s="15"/>
    </row>
    <row r="1829" spans="1:2" x14ac:dyDescent="0.15">
      <c r="A1829" s="15"/>
      <c r="B1829" s="15"/>
    </row>
    <row r="1830" spans="1:2" x14ac:dyDescent="0.15">
      <c r="A1830" s="15"/>
      <c r="B1830" s="15"/>
    </row>
    <row r="1831" spans="1:2" x14ac:dyDescent="0.15">
      <c r="A1831" s="15"/>
      <c r="B1831" s="15"/>
    </row>
    <row r="1832" spans="1:2" x14ac:dyDescent="0.15">
      <c r="A1832" s="15"/>
      <c r="B1832" s="15"/>
    </row>
    <row r="1833" spans="1:2" x14ac:dyDescent="0.15">
      <c r="A1833" s="15"/>
      <c r="B1833" s="15"/>
    </row>
    <row r="1834" spans="1:2" x14ac:dyDescent="0.15">
      <c r="A1834" s="15"/>
      <c r="B1834" s="15"/>
    </row>
    <row r="1835" spans="1:2" x14ac:dyDescent="0.15">
      <c r="A1835" s="15"/>
      <c r="B1835" s="15"/>
    </row>
    <row r="1836" spans="1:2" x14ac:dyDescent="0.15">
      <c r="A1836" s="15"/>
      <c r="B1836" s="15"/>
    </row>
    <row r="1837" spans="1:2" x14ac:dyDescent="0.15">
      <c r="A1837" s="15"/>
      <c r="B1837" s="15"/>
    </row>
    <row r="1838" spans="1:2" x14ac:dyDescent="0.15">
      <c r="A1838" s="15"/>
      <c r="B1838" s="15"/>
    </row>
    <row r="1839" spans="1:2" x14ac:dyDescent="0.15">
      <c r="A1839" s="15"/>
      <c r="B1839" s="15"/>
    </row>
    <row r="1840" spans="1:2" x14ac:dyDescent="0.15">
      <c r="A1840" s="15"/>
      <c r="B1840" s="15"/>
    </row>
    <row r="1841" spans="1:2" x14ac:dyDescent="0.15">
      <c r="A1841" s="15"/>
      <c r="B1841" s="15"/>
    </row>
    <row r="1842" spans="1:2" x14ac:dyDescent="0.15">
      <c r="A1842" s="15"/>
      <c r="B1842" s="15"/>
    </row>
    <row r="1843" spans="1:2" x14ac:dyDescent="0.15">
      <c r="A1843" s="15"/>
      <c r="B1843" s="15"/>
    </row>
    <row r="1844" spans="1:2" x14ac:dyDescent="0.15">
      <c r="A1844" s="15"/>
      <c r="B1844" s="15"/>
    </row>
    <row r="1845" spans="1:2" x14ac:dyDescent="0.15">
      <c r="A1845" s="15"/>
      <c r="B1845" s="15"/>
    </row>
    <row r="1846" spans="1:2" x14ac:dyDescent="0.15">
      <c r="A1846" s="15"/>
      <c r="B1846" s="15"/>
    </row>
    <row r="1847" spans="1:2" x14ac:dyDescent="0.15">
      <c r="A1847" s="15"/>
      <c r="B1847" s="15"/>
    </row>
    <row r="1848" spans="1:2" x14ac:dyDescent="0.15">
      <c r="A1848" s="15"/>
      <c r="B1848" s="15"/>
    </row>
    <row r="1849" spans="1:2" x14ac:dyDescent="0.15">
      <c r="A1849" s="15"/>
      <c r="B1849" s="15"/>
    </row>
    <row r="1850" spans="1:2" x14ac:dyDescent="0.15">
      <c r="A1850" s="15"/>
      <c r="B1850" s="15"/>
    </row>
    <row r="1851" spans="1:2" x14ac:dyDescent="0.15">
      <c r="A1851" s="15"/>
      <c r="B1851" s="15"/>
    </row>
    <row r="1852" spans="1:2" x14ac:dyDescent="0.15">
      <c r="A1852" s="15"/>
      <c r="B1852" s="15"/>
    </row>
    <row r="1853" spans="1:2" x14ac:dyDescent="0.15">
      <c r="A1853" s="15"/>
      <c r="B1853" s="15"/>
    </row>
    <row r="1854" spans="1:2" x14ac:dyDescent="0.15">
      <c r="A1854" s="15"/>
      <c r="B1854" s="15"/>
    </row>
    <row r="1855" spans="1:2" x14ac:dyDescent="0.15">
      <c r="A1855" s="15"/>
      <c r="B1855" s="15"/>
    </row>
    <row r="1856" spans="1:2" x14ac:dyDescent="0.15">
      <c r="A1856" s="15"/>
      <c r="B1856" s="15"/>
    </row>
    <row r="1857" spans="1:2" x14ac:dyDescent="0.15">
      <c r="A1857" s="15"/>
      <c r="B1857" s="15"/>
    </row>
    <row r="1858" spans="1:2" x14ac:dyDescent="0.15">
      <c r="A1858" s="15"/>
      <c r="B1858" s="15"/>
    </row>
    <row r="1859" spans="1:2" x14ac:dyDescent="0.15">
      <c r="A1859" s="15"/>
      <c r="B1859" s="15"/>
    </row>
    <row r="1860" spans="1:2" x14ac:dyDescent="0.15">
      <c r="A1860" s="15"/>
      <c r="B1860" s="15"/>
    </row>
    <row r="1861" spans="1:2" x14ac:dyDescent="0.15">
      <c r="A1861" s="15"/>
      <c r="B1861" s="15"/>
    </row>
    <row r="1862" spans="1:2" x14ac:dyDescent="0.15">
      <c r="A1862" s="15"/>
      <c r="B1862" s="15"/>
    </row>
    <row r="1863" spans="1:2" x14ac:dyDescent="0.15">
      <c r="A1863" s="15"/>
      <c r="B1863" s="15"/>
    </row>
    <row r="1864" spans="1:2" x14ac:dyDescent="0.15">
      <c r="A1864" s="15"/>
      <c r="B1864" s="15"/>
    </row>
    <row r="1865" spans="1:2" x14ac:dyDescent="0.15">
      <c r="A1865" s="15"/>
      <c r="B1865" s="15"/>
    </row>
    <row r="1866" spans="1:2" x14ac:dyDescent="0.15">
      <c r="A1866" s="15"/>
      <c r="B1866" s="15"/>
    </row>
    <row r="1867" spans="1:2" x14ac:dyDescent="0.15">
      <c r="A1867" s="15"/>
      <c r="B1867" s="15"/>
    </row>
    <row r="1868" spans="1:2" x14ac:dyDescent="0.15">
      <c r="A1868" s="15"/>
      <c r="B1868" s="15"/>
    </row>
    <row r="1869" spans="1:2" x14ac:dyDescent="0.15">
      <c r="A1869" s="15"/>
      <c r="B1869" s="15"/>
    </row>
    <row r="1870" spans="1:2" x14ac:dyDescent="0.15">
      <c r="A1870" s="15"/>
      <c r="B1870" s="15"/>
    </row>
    <row r="1871" spans="1:2" x14ac:dyDescent="0.15">
      <c r="A1871" s="15"/>
      <c r="B1871" s="15"/>
    </row>
    <row r="1872" spans="1:2" x14ac:dyDescent="0.15">
      <c r="A1872" s="15"/>
      <c r="B1872" s="15"/>
    </row>
    <row r="1873" spans="1:2" x14ac:dyDescent="0.15">
      <c r="A1873" s="15"/>
      <c r="B1873" s="15"/>
    </row>
    <row r="1874" spans="1:2" x14ac:dyDescent="0.15">
      <c r="A1874" s="15"/>
      <c r="B1874" s="15"/>
    </row>
    <row r="1875" spans="1:2" x14ac:dyDescent="0.15">
      <c r="A1875" s="15"/>
      <c r="B1875" s="15"/>
    </row>
    <row r="1876" spans="1:2" x14ac:dyDescent="0.15">
      <c r="A1876" s="15"/>
      <c r="B1876" s="15"/>
    </row>
    <row r="1877" spans="1:2" x14ac:dyDescent="0.15">
      <c r="A1877" s="15"/>
      <c r="B1877" s="15"/>
    </row>
    <row r="1878" spans="1:2" x14ac:dyDescent="0.15">
      <c r="A1878" s="15"/>
      <c r="B1878" s="15"/>
    </row>
    <row r="1879" spans="1:2" x14ac:dyDescent="0.15">
      <c r="A1879" s="15"/>
      <c r="B1879" s="15"/>
    </row>
    <row r="1880" spans="1:2" x14ac:dyDescent="0.15">
      <c r="A1880" s="15"/>
      <c r="B1880" s="15"/>
    </row>
    <row r="1881" spans="1:2" x14ac:dyDescent="0.15">
      <c r="A1881" s="15"/>
      <c r="B1881" s="15"/>
    </row>
    <row r="1882" spans="1:2" x14ac:dyDescent="0.15">
      <c r="A1882" s="15"/>
      <c r="B1882" s="15"/>
    </row>
    <row r="1883" spans="1:2" x14ac:dyDescent="0.15">
      <c r="A1883" s="15"/>
      <c r="B1883" s="15"/>
    </row>
    <row r="1884" spans="1:2" x14ac:dyDescent="0.15">
      <c r="A1884" s="15"/>
      <c r="B1884" s="15"/>
    </row>
    <row r="1885" spans="1:2" x14ac:dyDescent="0.15">
      <c r="A1885" s="15"/>
      <c r="B1885" s="15"/>
    </row>
    <row r="1886" spans="1:2" x14ac:dyDescent="0.15">
      <c r="A1886" s="15"/>
      <c r="B1886" s="15"/>
    </row>
    <row r="1887" spans="1:2" x14ac:dyDescent="0.15">
      <c r="A1887" s="15"/>
      <c r="B1887" s="15"/>
    </row>
    <row r="1888" spans="1:2" x14ac:dyDescent="0.15">
      <c r="A1888" s="15"/>
      <c r="B1888" s="15"/>
    </row>
    <row r="1889" spans="1:2" x14ac:dyDescent="0.15">
      <c r="A1889" s="15"/>
      <c r="B1889" s="15"/>
    </row>
    <row r="1890" spans="1:2" x14ac:dyDescent="0.15">
      <c r="A1890" s="15"/>
      <c r="B1890" s="15"/>
    </row>
    <row r="1891" spans="1:2" x14ac:dyDescent="0.15">
      <c r="A1891" s="15"/>
      <c r="B1891" s="15"/>
    </row>
    <row r="1892" spans="1:2" x14ac:dyDescent="0.15">
      <c r="A1892" s="15"/>
      <c r="B1892" s="15"/>
    </row>
    <row r="1893" spans="1:2" x14ac:dyDescent="0.15">
      <c r="A1893" s="15"/>
      <c r="B1893" s="15"/>
    </row>
    <row r="1894" spans="1:2" x14ac:dyDescent="0.15">
      <c r="A1894" s="15"/>
      <c r="B1894" s="15"/>
    </row>
    <row r="1895" spans="1:2" x14ac:dyDescent="0.15">
      <c r="A1895" s="15"/>
      <c r="B1895" s="15"/>
    </row>
    <row r="1896" spans="1:2" x14ac:dyDescent="0.15">
      <c r="A1896" s="15"/>
      <c r="B1896" s="15"/>
    </row>
    <row r="1897" spans="1:2" x14ac:dyDescent="0.15">
      <c r="A1897" s="15"/>
      <c r="B1897" s="15"/>
    </row>
    <row r="1898" spans="1:2" x14ac:dyDescent="0.15">
      <c r="A1898" s="15"/>
      <c r="B1898" s="15"/>
    </row>
    <row r="1899" spans="1:2" x14ac:dyDescent="0.15">
      <c r="A1899" s="15"/>
      <c r="B1899" s="15"/>
    </row>
    <row r="1900" spans="1:2" x14ac:dyDescent="0.15">
      <c r="A1900" s="15"/>
      <c r="B1900" s="15"/>
    </row>
    <row r="1901" spans="1:2" x14ac:dyDescent="0.15">
      <c r="A1901" s="15"/>
      <c r="B1901" s="15"/>
    </row>
    <row r="1902" spans="1:2" x14ac:dyDescent="0.15">
      <c r="A1902" s="15"/>
      <c r="B1902" s="15"/>
    </row>
    <row r="1903" spans="1:2" x14ac:dyDescent="0.15">
      <c r="A1903" s="15"/>
      <c r="B1903" s="15"/>
    </row>
    <row r="1904" spans="1:2" x14ac:dyDescent="0.15">
      <c r="A1904" s="15"/>
      <c r="B1904" s="15"/>
    </row>
    <row r="1905" spans="1:2" x14ac:dyDescent="0.15">
      <c r="A1905" s="15"/>
      <c r="B1905" s="15"/>
    </row>
    <row r="1906" spans="1:2" x14ac:dyDescent="0.15">
      <c r="A1906" s="15"/>
      <c r="B1906" s="15"/>
    </row>
    <row r="1907" spans="1:2" x14ac:dyDescent="0.15">
      <c r="A1907" s="15"/>
      <c r="B1907" s="15"/>
    </row>
    <row r="1908" spans="1:2" x14ac:dyDescent="0.15">
      <c r="A1908" s="15"/>
      <c r="B1908" s="15"/>
    </row>
    <row r="1909" spans="1:2" x14ac:dyDescent="0.15">
      <c r="A1909" s="15"/>
      <c r="B1909" s="15"/>
    </row>
    <row r="1910" spans="1:2" x14ac:dyDescent="0.15">
      <c r="A1910" s="15"/>
      <c r="B1910" s="15"/>
    </row>
    <row r="1911" spans="1:2" x14ac:dyDescent="0.15">
      <c r="A1911" s="15"/>
      <c r="B1911" s="15"/>
    </row>
    <row r="1912" spans="1:2" x14ac:dyDescent="0.15">
      <c r="A1912" s="15"/>
      <c r="B1912" s="15"/>
    </row>
    <row r="1913" spans="1:2" x14ac:dyDescent="0.15">
      <c r="A1913" s="15"/>
      <c r="B1913" s="15"/>
    </row>
    <row r="1914" spans="1:2" x14ac:dyDescent="0.15">
      <c r="A1914" s="15"/>
      <c r="B1914" s="15"/>
    </row>
    <row r="1915" spans="1:2" x14ac:dyDescent="0.15">
      <c r="A1915" s="15"/>
      <c r="B1915" s="15"/>
    </row>
    <row r="1916" spans="1:2" x14ac:dyDescent="0.15">
      <c r="A1916" s="15"/>
      <c r="B1916" s="15"/>
    </row>
    <row r="1917" spans="1:2" x14ac:dyDescent="0.15">
      <c r="A1917" s="15"/>
      <c r="B1917" s="15"/>
    </row>
    <row r="1918" spans="1:2" x14ac:dyDescent="0.15">
      <c r="A1918" s="15"/>
      <c r="B1918" s="15"/>
    </row>
    <row r="1919" spans="1:2" x14ac:dyDescent="0.15">
      <c r="A1919" s="15"/>
      <c r="B1919" s="15"/>
    </row>
    <row r="1920" spans="1:2" x14ac:dyDescent="0.15">
      <c r="A1920" s="15"/>
      <c r="B1920" s="15"/>
    </row>
    <row r="1921" spans="1:2" x14ac:dyDescent="0.15">
      <c r="A1921" s="15"/>
      <c r="B1921" s="15"/>
    </row>
    <row r="1922" spans="1:2" x14ac:dyDescent="0.15">
      <c r="A1922" s="15"/>
      <c r="B1922" s="15"/>
    </row>
    <row r="1923" spans="1:2" x14ac:dyDescent="0.15">
      <c r="A1923" s="15"/>
      <c r="B1923" s="15"/>
    </row>
    <row r="1924" spans="1:2" x14ac:dyDescent="0.15">
      <c r="A1924" s="15"/>
      <c r="B1924" s="15"/>
    </row>
    <row r="1925" spans="1:2" x14ac:dyDescent="0.15">
      <c r="A1925" s="15"/>
      <c r="B1925" s="15"/>
    </row>
    <row r="1926" spans="1:2" x14ac:dyDescent="0.15">
      <c r="A1926" s="15"/>
      <c r="B1926" s="15"/>
    </row>
    <row r="1927" spans="1:2" x14ac:dyDescent="0.15">
      <c r="A1927" s="15"/>
      <c r="B1927" s="15"/>
    </row>
    <row r="1928" spans="1:2" x14ac:dyDescent="0.15">
      <c r="A1928" s="15"/>
      <c r="B1928" s="15"/>
    </row>
    <row r="1929" spans="1:2" x14ac:dyDescent="0.15">
      <c r="A1929" s="15"/>
      <c r="B1929" s="15"/>
    </row>
    <row r="1930" spans="1:2" x14ac:dyDescent="0.15">
      <c r="A1930" s="15"/>
      <c r="B1930" s="15"/>
    </row>
    <row r="1931" spans="1:2" x14ac:dyDescent="0.15">
      <c r="A1931" s="15"/>
      <c r="B1931" s="15"/>
    </row>
    <row r="1932" spans="1:2" x14ac:dyDescent="0.15">
      <c r="A1932" s="15"/>
      <c r="B1932" s="15"/>
    </row>
    <row r="1933" spans="1:2" x14ac:dyDescent="0.15">
      <c r="A1933" s="15"/>
      <c r="B1933" s="15"/>
    </row>
    <row r="1934" spans="1:2" x14ac:dyDescent="0.15">
      <c r="A1934" s="15"/>
      <c r="B1934" s="15"/>
    </row>
    <row r="1935" spans="1:2" x14ac:dyDescent="0.15">
      <c r="A1935" s="15"/>
      <c r="B1935" s="15"/>
    </row>
    <row r="1936" spans="1:2" x14ac:dyDescent="0.15">
      <c r="A1936" s="15"/>
      <c r="B1936" s="15"/>
    </row>
    <row r="1937" spans="1:2" x14ac:dyDescent="0.15">
      <c r="A1937" s="15"/>
      <c r="B1937" s="15"/>
    </row>
    <row r="1938" spans="1:2" x14ac:dyDescent="0.15">
      <c r="A1938" s="15"/>
      <c r="B1938" s="15"/>
    </row>
    <row r="1939" spans="1:2" x14ac:dyDescent="0.15">
      <c r="A1939" s="15"/>
      <c r="B1939" s="15"/>
    </row>
    <row r="1940" spans="1:2" x14ac:dyDescent="0.15">
      <c r="A1940" s="15"/>
      <c r="B1940" s="15"/>
    </row>
    <row r="1941" spans="1:2" x14ac:dyDescent="0.15">
      <c r="A1941" s="15"/>
      <c r="B1941" s="15"/>
    </row>
    <row r="1942" spans="1:2" x14ac:dyDescent="0.15">
      <c r="A1942" s="15"/>
      <c r="B1942" s="15"/>
    </row>
    <row r="1943" spans="1:2" x14ac:dyDescent="0.15">
      <c r="A1943" s="15"/>
      <c r="B1943" s="15"/>
    </row>
    <row r="1944" spans="1:2" x14ac:dyDescent="0.15">
      <c r="A1944" s="15"/>
      <c r="B1944" s="15"/>
    </row>
    <row r="1945" spans="1:2" x14ac:dyDescent="0.15">
      <c r="A1945" s="15"/>
      <c r="B1945" s="15"/>
    </row>
    <row r="1946" spans="1:2" x14ac:dyDescent="0.15">
      <c r="A1946" s="15"/>
      <c r="B1946" s="15"/>
    </row>
    <row r="1947" spans="1:2" x14ac:dyDescent="0.15">
      <c r="A1947" s="15"/>
      <c r="B1947" s="15"/>
    </row>
    <row r="1948" spans="1:2" x14ac:dyDescent="0.15">
      <c r="A1948" s="15"/>
      <c r="B1948" s="15"/>
    </row>
    <row r="1949" spans="1:2" x14ac:dyDescent="0.15">
      <c r="A1949" s="15"/>
      <c r="B1949" s="15"/>
    </row>
    <row r="1950" spans="1:2" x14ac:dyDescent="0.15">
      <c r="A1950" s="15"/>
      <c r="B1950" s="15"/>
    </row>
    <row r="1951" spans="1:2" x14ac:dyDescent="0.15">
      <c r="A1951" s="15"/>
      <c r="B1951" s="15"/>
    </row>
    <row r="1952" spans="1:2" x14ac:dyDescent="0.15">
      <c r="A1952" s="15"/>
      <c r="B1952" s="15"/>
    </row>
    <row r="1953" spans="1:2" x14ac:dyDescent="0.15">
      <c r="A1953" s="15"/>
      <c r="B1953" s="15"/>
    </row>
    <row r="1954" spans="1:2" x14ac:dyDescent="0.15">
      <c r="A1954" s="15"/>
      <c r="B1954" s="15"/>
    </row>
    <row r="1955" spans="1:2" x14ac:dyDescent="0.15">
      <c r="A1955" s="15"/>
      <c r="B1955" s="15"/>
    </row>
    <row r="1956" spans="1:2" x14ac:dyDescent="0.15">
      <c r="A1956" s="15"/>
      <c r="B1956" s="15"/>
    </row>
    <row r="1957" spans="1:2" x14ac:dyDescent="0.15">
      <c r="A1957" s="15"/>
      <c r="B1957" s="15"/>
    </row>
    <row r="1958" spans="1:2" x14ac:dyDescent="0.15">
      <c r="A1958" s="15"/>
      <c r="B1958" s="15"/>
    </row>
    <row r="1959" spans="1:2" x14ac:dyDescent="0.15">
      <c r="A1959" s="15"/>
      <c r="B1959" s="15"/>
    </row>
    <row r="1960" spans="1:2" x14ac:dyDescent="0.15">
      <c r="A1960" s="15"/>
      <c r="B1960" s="15"/>
    </row>
    <row r="1961" spans="1:2" x14ac:dyDescent="0.15">
      <c r="A1961" s="15"/>
      <c r="B1961" s="15"/>
    </row>
    <row r="1962" spans="1:2" x14ac:dyDescent="0.15">
      <c r="A1962" s="15"/>
      <c r="B1962" s="15"/>
    </row>
    <row r="1963" spans="1:2" x14ac:dyDescent="0.15">
      <c r="A1963" s="15"/>
      <c r="B1963" s="15"/>
    </row>
    <row r="1964" spans="1:2" x14ac:dyDescent="0.15">
      <c r="A1964" s="15"/>
      <c r="B1964" s="15"/>
    </row>
    <row r="1965" spans="1:2" x14ac:dyDescent="0.15">
      <c r="A1965" s="15"/>
      <c r="B1965" s="15"/>
    </row>
    <row r="1966" spans="1:2" x14ac:dyDescent="0.15">
      <c r="A1966" s="15"/>
      <c r="B1966" s="15"/>
    </row>
    <row r="1967" spans="1:2" x14ac:dyDescent="0.15">
      <c r="A1967" s="15"/>
      <c r="B1967" s="15"/>
    </row>
    <row r="1968" spans="1:2" x14ac:dyDescent="0.15">
      <c r="A1968" s="15"/>
      <c r="B1968" s="15"/>
    </row>
    <row r="1969" spans="1:2" x14ac:dyDescent="0.15">
      <c r="A1969" s="15"/>
      <c r="B1969" s="15"/>
    </row>
    <row r="1970" spans="1:2" x14ac:dyDescent="0.15">
      <c r="A1970" s="15"/>
      <c r="B1970" s="15"/>
    </row>
    <row r="1971" spans="1:2" x14ac:dyDescent="0.15">
      <c r="A1971" s="15"/>
      <c r="B1971" s="15"/>
    </row>
    <row r="1972" spans="1:2" x14ac:dyDescent="0.15">
      <c r="A1972" s="15"/>
      <c r="B1972" s="15"/>
    </row>
    <row r="1973" spans="1:2" x14ac:dyDescent="0.15">
      <c r="A1973" s="15"/>
      <c r="B1973" s="15"/>
    </row>
    <row r="1974" spans="1:2" x14ac:dyDescent="0.15">
      <c r="A1974" s="15"/>
      <c r="B1974" s="15"/>
    </row>
    <row r="1975" spans="1:2" x14ac:dyDescent="0.15">
      <c r="A1975" s="15"/>
      <c r="B1975" s="15"/>
    </row>
    <row r="1976" spans="1:2" x14ac:dyDescent="0.15">
      <c r="A1976" s="15"/>
      <c r="B1976" s="15"/>
    </row>
    <row r="1977" spans="1:2" x14ac:dyDescent="0.15">
      <c r="A1977" s="15"/>
      <c r="B1977" s="15"/>
    </row>
    <row r="1978" spans="1:2" x14ac:dyDescent="0.15">
      <c r="A1978" s="15"/>
      <c r="B1978" s="15"/>
    </row>
    <row r="1979" spans="1:2" x14ac:dyDescent="0.15">
      <c r="A1979" s="15"/>
      <c r="B1979" s="15"/>
    </row>
    <row r="1980" spans="1:2" x14ac:dyDescent="0.15">
      <c r="A1980" s="15"/>
      <c r="B1980" s="15"/>
    </row>
    <row r="1981" spans="1:2" x14ac:dyDescent="0.15">
      <c r="A1981" s="15"/>
      <c r="B1981" s="15"/>
    </row>
    <row r="1982" spans="1:2" x14ac:dyDescent="0.15">
      <c r="A1982" s="15"/>
      <c r="B1982" s="15"/>
    </row>
    <row r="1983" spans="1:2" x14ac:dyDescent="0.15">
      <c r="A1983" s="15"/>
      <c r="B1983" s="15"/>
    </row>
    <row r="1984" spans="1:2" x14ac:dyDescent="0.15">
      <c r="A1984" s="15"/>
      <c r="B1984" s="15"/>
    </row>
    <row r="1985" spans="1:2" x14ac:dyDescent="0.15">
      <c r="A1985" s="15"/>
      <c r="B1985" s="15"/>
    </row>
    <row r="1986" spans="1:2" x14ac:dyDescent="0.15">
      <c r="A1986" s="15"/>
      <c r="B1986" s="15"/>
    </row>
    <row r="1987" spans="1:2" x14ac:dyDescent="0.15">
      <c r="A1987" s="15"/>
      <c r="B1987" s="15"/>
    </row>
    <row r="1988" spans="1:2" x14ac:dyDescent="0.15">
      <c r="A1988" s="15"/>
      <c r="B1988" s="15"/>
    </row>
    <row r="1989" spans="1:2" x14ac:dyDescent="0.15">
      <c r="A1989" s="15"/>
      <c r="B1989" s="15"/>
    </row>
    <row r="1990" spans="1:2" x14ac:dyDescent="0.15">
      <c r="A1990" s="15"/>
      <c r="B1990" s="15"/>
    </row>
    <row r="1991" spans="1:2" x14ac:dyDescent="0.15">
      <c r="A1991" s="15"/>
      <c r="B1991" s="15"/>
    </row>
    <row r="1992" spans="1:2" x14ac:dyDescent="0.15">
      <c r="A1992" s="15"/>
      <c r="B1992" s="15"/>
    </row>
    <row r="1993" spans="1:2" x14ac:dyDescent="0.15">
      <c r="A1993" s="15"/>
      <c r="B1993" s="15"/>
    </row>
    <row r="1994" spans="1:2" x14ac:dyDescent="0.15">
      <c r="A1994" s="15"/>
      <c r="B1994" s="15"/>
    </row>
    <row r="1995" spans="1:2" x14ac:dyDescent="0.15">
      <c r="A1995" s="15"/>
      <c r="B1995" s="15"/>
    </row>
    <row r="1996" spans="1:2" x14ac:dyDescent="0.15">
      <c r="A1996" s="15"/>
      <c r="B1996" s="15"/>
    </row>
    <row r="1997" spans="1:2" x14ac:dyDescent="0.15">
      <c r="A1997" s="15"/>
      <c r="B1997" s="15"/>
    </row>
    <row r="1998" spans="1:2" x14ac:dyDescent="0.15">
      <c r="A1998" s="15"/>
      <c r="B1998" s="15"/>
    </row>
    <row r="1999" spans="1:2" x14ac:dyDescent="0.15">
      <c r="A1999" s="15"/>
      <c r="B1999" s="15"/>
    </row>
    <row r="2000" spans="1:2" x14ac:dyDescent="0.15">
      <c r="A2000" s="15"/>
      <c r="B2000" s="15"/>
    </row>
    <row r="2001" spans="1:2" x14ac:dyDescent="0.15">
      <c r="A2001" s="15"/>
      <c r="B2001" s="15"/>
    </row>
    <row r="2002" spans="1:2" x14ac:dyDescent="0.15">
      <c r="A2002" s="15"/>
      <c r="B2002" s="15"/>
    </row>
    <row r="2003" spans="1:2" x14ac:dyDescent="0.15">
      <c r="A2003" s="15"/>
      <c r="B2003" s="15"/>
    </row>
    <row r="2004" spans="1:2" x14ac:dyDescent="0.15">
      <c r="A2004" s="15"/>
      <c r="B2004" s="15"/>
    </row>
    <row r="2005" spans="1:2" x14ac:dyDescent="0.15">
      <c r="A2005" s="15"/>
      <c r="B2005" s="15"/>
    </row>
    <row r="2006" spans="1:2" x14ac:dyDescent="0.15">
      <c r="A2006" s="15"/>
      <c r="B2006" s="15"/>
    </row>
    <row r="2007" spans="1:2" x14ac:dyDescent="0.15">
      <c r="A2007" s="15"/>
      <c r="B2007" s="15"/>
    </row>
    <row r="2008" spans="1:2" x14ac:dyDescent="0.15">
      <c r="A2008" s="15"/>
      <c r="B2008" s="15"/>
    </row>
    <row r="2009" spans="1:2" x14ac:dyDescent="0.15">
      <c r="A2009" s="15"/>
      <c r="B2009" s="15"/>
    </row>
    <row r="2010" spans="1:2" x14ac:dyDescent="0.15">
      <c r="A2010" s="15"/>
      <c r="B2010" s="15"/>
    </row>
    <row r="2011" spans="1:2" x14ac:dyDescent="0.15">
      <c r="A2011" s="15"/>
      <c r="B2011" s="15"/>
    </row>
    <row r="2012" spans="1:2" x14ac:dyDescent="0.15">
      <c r="A2012" s="15"/>
      <c r="B2012" s="15"/>
    </row>
    <row r="2013" spans="1:2" x14ac:dyDescent="0.15">
      <c r="A2013" s="15"/>
      <c r="B2013" s="15"/>
    </row>
    <row r="2014" spans="1:2" x14ac:dyDescent="0.15">
      <c r="A2014" s="15"/>
      <c r="B2014" s="15"/>
    </row>
    <row r="2015" spans="1:2" x14ac:dyDescent="0.15">
      <c r="A2015" s="15"/>
      <c r="B2015" s="15"/>
    </row>
    <row r="2016" spans="1:2" x14ac:dyDescent="0.15">
      <c r="A2016" s="15"/>
      <c r="B2016" s="15"/>
    </row>
    <row r="2017" spans="1:2" x14ac:dyDescent="0.15">
      <c r="A2017" s="15"/>
      <c r="B2017" s="15"/>
    </row>
    <row r="2018" spans="1:2" x14ac:dyDescent="0.15">
      <c r="A2018" s="15"/>
      <c r="B2018" s="15"/>
    </row>
    <row r="2019" spans="1:2" x14ac:dyDescent="0.15">
      <c r="A2019" s="15"/>
      <c r="B2019" s="15"/>
    </row>
    <row r="2020" spans="1:2" x14ac:dyDescent="0.15">
      <c r="A2020" s="15"/>
      <c r="B2020" s="15"/>
    </row>
    <row r="2021" spans="1:2" x14ac:dyDescent="0.15">
      <c r="A2021" s="15"/>
      <c r="B2021" s="15"/>
    </row>
    <row r="2022" spans="1:2" x14ac:dyDescent="0.15">
      <c r="A2022" s="15"/>
      <c r="B2022" s="15"/>
    </row>
    <row r="2023" spans="1:2" x14ac:dyDescent="0.15">
      <c r="A2023" s="15"/>
      <c r="B2023" s="15"/>
    </row>
    <row r="2024" spans="1:2" x14ac:dyDescent="0.15">
      <c r="A2024" s="15"/>
      <c r="B2024" s="15"/>
    </row>
    <row r="2025" spans="1:2" x14ac:dyDescent="0.15">
      <c r="A2025" s="15"/>
      <c r="B2025" s="15"/>
    </row>
    <row r="2026" spans="1:2" x14ac:dyDescent="0.15">
      <c r="A2026" s="15"/>
      <c r="B2026" s="15"/>
    </row>
    <row r="2027" spans="1:2" x14ac:dyDescent="0.15">
      <c r="A2027" s="15"/>
      <c r="B2027" s="15"/>
    </row>
    <row r="2028" spans="1:2" x14ac:dyDescent="0.15">
      <c r="A2028" s="15"/>
      <c r="B2028" s="15"/>
    </row>
    <row r="2029" spans="1:2" x14ac:dyDescent="0.15">
      <c r="A2029" s="15"/>
      <c r="B2029" s="15"/>
    </row>
    <row r="2030" spans="1:2" x14ac:dyDescent="0.15">
      <c r="A2030" s="15"/>
      <c r="B2030" s="15"/>
    </row>
    <row r="2031" spans="1:2" x14ac:dyDescent="0.15">
      <c r="A2031" s="15"/>
      <c r="B2031" s="15"/>
    </row>
    <row r="2032" spans="1:2" x14ac:dyDescent="0.15">
      <c r="A2032" s="15"/>
      <c r="B2032" s="15"/>
    </row>
    <row r="2033" spans="1:2" x14ac:dyDescent="0.15">
      <c r="A2033" s="15"/>
      <c r="B2033" s="15"/>
    </row>
    <row r="2034" spans="1:2" x14ac:dyDescent="0.15">
      <c r="A2034" s="15"/>
      <c r="B2034" s="15"/>
    </row>
    <row r="2035" spans="1:2" x14ac:dyDescent="0.15">
      <c r="A2035" s="15"/>
      <c r="B2035" s="15"/>
    </row>
    <row r="2036" spans="1:2" x14ac:dyDescent="0.15">
      <c r="A2036" s="15"/>
      <c r="B2036" s="15"/>
    </row>
    <row r="2037" spans="1:2" x14ac:dyDescent="0.15">
      <c r="A2037" s="15"/>
      <c r="B2037" s="15"/>
    </row>
    <row r="2038" spans="1:2" x14ac:dyDescent="0.15">
      <c r="A2038" s="15"/>
      <c r="B2038" s="15"/>
    </row>
    <row r="2039" spans="1:2" x14ac:dyDescent="0.15">
      <c r="A2039" s="15"/>
      <c r="B2039" s="15"/>
    </row>
    <row r="2040" spans="1:2" x14ac:dyDescent="0.15">
      <c r="A2040" s="15"/>
      <c r="B2040" s="15"/>
    </row>
    <row r="2041" spans="1:2" x14ac:dyDescent="0.15">
      <c r="A2041" s="15"/>
      <c r="B2041" s="15"/>
    </row>
    <row r="2042" spans="1:2" x14ac:dyDescent="0.15">
      <c r="A2042" s="15"/>
      <c r="B2042" s="15"/>
    </row>
    <row r="2043" spans="1:2" x14ac:dyDescent="0.15">
      <c r="A2043" s="15"/>
      <c r="B2043" s="15"/>
    </row>
    <row r="2044" spans="1:2" x14ac:dyDescent="0.15">
      <c r="A2044" s="15"/>
      <c r="B2044" s="15"/>
    </row>
    <row r="2045" spans="1:2" x14ac:dyDescent="0.15">
      <c r="A2045" s="15"/>
      <c r="B2045" s="15"/>
    </row>
    <row r="2046" spans="1:2" x14ac:dyDescent="0.15">
      <c r="A2046" s="15"/>
      <c r="B2046" s="15"/>
    </row>
    <row r="2047" spans="1:2" x14ac:dyDescent="0.15">
      <c r="A2047" s="15"/>
      <c r="B2047" s="15"/>
    </row>
    <row r="2048" spans="1:2" x14ac:dyDescent="0.15">
      <c r="A2048" s="15"/>
      <c r="B2048" s="15"/>
    </row>
    <row r="2049" spans="1:2" x14ac:dyDescent="0.15">
      <c r="A2049" s="15"/>
      <c r="B2049" s="15"/>
    </row>
    <row r="2050" spans="1:2" x14ac:dyDescent="0.15">
      <c r="A2050" s="15"/>
      <c r="B2050" s="15"/>
    </row>
    <row r="2051" spans="1:2" x14ac:dyDescent="0.15">
      <c r="A2051" s="15"/>
      <c r="B2051" s="15"/>
    </row>
    <row r="2052" spans="1:2" x14ac:dyDescent="0.15">
      <c r="A2052" s="15"/>
      <c r="B2052" s="15"/>
    </row>
    <row r="2053" spans="1:2" x14ac:dyDescent="0.15">
      <c r="A2053" s="15"/>
      <c r="B2053" s="15"/>
    </row>
    <row r="2054" spans="1:2" x14ac:dyDescent="0.15">
      <c r="A2054" s="15"/>
      <c r="B2054" s="15"/>
    </row>
    <row r="2055" spans="1:2" x14ac:dyDescent="0.15">
      <c r="A2055" s="15"/>
      <c r="B2055" s="15"/>
    </row>
    <row r="2056" spans="1:2" x14ac:dyDescent="0.15">
      <c r="A2056" s="15"/>
      <c r="B2056" s="15"/>
    </row>
    <row r="2057" spans="1:2" x14ac:dyDescent="0.15">
      <c r="A2057" s="15"/>
      <c r="B2057" s="15"/>
    </row>
    <row r="2058" spans="1:2" x14ac:dyDescent="0.15">
      <c r="A2058" s="15"/>
      <c r="B2058" s="15"/>
    </row>
    <row r="2059" spans="1:2" x14ac:dyDescent="0.15">
      <c r="A2059" s="15"/>
      <c r="B2059" s="15"/>
    </row>
    <row r="2060" spans="1:2" x14ac:dyDescent="0.15">
      <c r="A2060" s="15"/>
      <c r="B2060" s="15"/>
    </row>
    <row r="2061" spans="1:2" x14ac:dyDescent="0.15">
      <c r="A2061" s="15"/>
      <c r="B2061" s="15"/>
    </row>
    <row r="2062" spans="1:2" x14ac:dyDescent="0.15">
      <c r="A2062" s="15"/>
      <c r="B2062" s="15"/>
    </row>
    <row r="2063" spans="1:2" x14ac:dyDescent="0.15">
      <c r="A2063" s="15"/>
      <c r="B2063" s="15"/>
    </row>
    <row r="2064" spans="1:2" x14ac:dyDescent="0.15">
      <c r="A2064" s="15"/>
      <c r="B2064" s="15"/>
    </row>
    <row r="2065" spans="1:2" x14ac:dyDescent="0.15">
      <c r="A2065" s="15"/>
      <c r="B2065" s="15"/>
    </row>
    <row r="2066" spans="1:2" x14ac:dyDescent="0.15">
      <c r="A2066" s="15"/>
      <c r="B2066" s="15"/>
    </row>
    <row r="2067" spans="1:2" x14ac:dyDescent="0.15">
      <c r="A2067" s="15"/>
      <c r="B2067" s="15"/>
    </row>
    <row r="2068" spans="1:2" x14ac:dyDescent="0.15">
      <c r="A2068" s="15"/>
      <c r="B2068" s="15"/>
    </row>
    <row r="2069" spans="1:2" x14ac:dyDescent="0.15">
      <c r="A2069" s="15"/>
      <c r="B2069" s="15"/>
    </row>
    <row r="2070" spans="1:2" x14ac:dyDescent="0.15">
      <c r="A2070" s="15"/>
      <c r="B2070" s="15"/>
    </row>
    <row r="2071" spans="1:2" x14ac:dyDescent="0.15">
      <c r="A2071" s="15"/>
      <c r="B2071" s="15"/>
    </row>
    <row r="2072" spans="1:2" x14ac:dyDescent="0.15">
      <c r="A2072" s="15"/>
      <c r="B2072" s="15"/>
    </row>
    <row r="2073" spans="1:2" x14ac:dyDescent="0.15">
      <c r="A2073" s="15"/>
      <c r="B2073" s="15"/>
    </row>
    <row r="2074" spans="1:2" x14ac:dyDescent="0.15">
      <c r="A2074" s="15"/>
      <c r="B2074" s="15"/>
    </row>
    <row r="2075" spans="1:2" x14ac:dyDescent="0.15">
      <c r="A2075" s="15"/>
      <c r="B2075" s="15"/>
    </row>
    <row r="2076" spans="1:2" x14ac:dyDescent="0.15">
      <c r="A2076" s="15"/>
      <c r="B2076" s="15"/>
    </row>
    <row r="2077" spans="1:2" x14ac:dyDescent="0.15">
      <c r="A2077" s="15"/>
      <c r="B2077" s="15"/>
    </row>
    <row r="2078" spans="1:2" x14ac:dyDescent="0.15">
      <c r="A2078" s="15"/>
      <c r="B2078" s="15"/>
    </row>
    <row r="2079" spans="1:2" x14ac:dyDescent="0.15">
      <c r="A2079" s="15"/>
      <c r="B2079" s="15"/>
    </row>
    <row r="2080" spans="1:2" x14ac:dyDescent="0.15">
      <c r="A2080" s="15"/>
      <c r="B2080" s="15"/>
    </row>
    <row r="2081" spans="1:2" x14ac:dyDescent="0.15">
      <c r="A2081" s="15"/>
      <c r="B2081" s="15"/>
    </row>
    <row r="2082" spans="1:2" x14ac:dyDescent="0.15">
      <c r="A2082" s="15"/>
      <c r="B2082" s="15"/>
    </row>
    <row r="2083" spans="1:2" x14ac:dyDescent="0.15">
      <c r="A2083" s="15"/>
      <c r="B2083" s="15"/>
    </row>
    <row r="2084" spans="1:2" x14ac:dyDescent="0.15">
      <c r="A2084" s="15"/>
      <c r="B2084" s="15"/>
    </row>
    <row r="2085" spans="1:2" x14ac:dyDescent="0.15">
      <c r="A2085" s="15"/>
      <c r="B2085" s="15"/>
    </row>
    <row r="2086" spans="1:2" x14ac:dyDescent="0.15">
      <c r="A2086" s="15"/>
      <c r="B2086" s="15"/>
    </row>
    <row r="2087" spans="1:2" x14ac:dyDescent="0.15">
      <c r="A2087" s="15"/>
      <c r="B2087" s="15"/>
    </row>
    <row r="2088" spans="1:2" x14ac:dyDescent="0.15">
      <c r="A2088" s="15"/>
      <c r="B2088" s="15"/>
    </row>
    <row r="2089" spans="1:2" x14ac:dyDescent="0.15">
      <c r="A2089" s="15"/>
      <c r="B2089" s="15"/>
    </row>
    <row r="2090" spans="1:2" x14ac:dyDescent="0.15">
      <c r="A2090" s="15"/>
      <c r="B2090" s="15"/>
    </row>
    <row r="2091" spans="1:2" x14ac:dyDescent="0.15">
      <c r="A2091" s="15"/>
      <c r="B2091" s="15"/>
    </row>
    <row r="2092" spans="1:2" x14ac:dyDescent="0.15">
      <c r="A2092" s="15"/>
      <c r="B2092" s="15"/>
    </row>
    <row r="2093" spans="1:2" x14ac:dyDescent="0.15">
      <c r="A2093" s="15"/>
      <c r="B2093" s="15"/>
    </row>
    <row r="2094" spans="1:2" x14ac:dyDescent="0.15">
      <c r="A2094" s="15"/>
      <c r="B2094" s="15"/>
    </row>
    <row r="2095" spans="1:2" x14ac:dyDescent="0.15">
      <c r="A2095" s="15"/>
      <c r="B2095" s="15"/>
    </row>
    <row r="2096" spans="1:2" x14ac:dyDescent="0.15">
      <c r="A2096" s="15"/>
      <c r="B2096" s="15"/>
    </row>
    <row r="2097" spans="1:2" x14ac:dyDescent="0.15">
      <c r="A2097" s="15"/>
      <c r="B2097" s="15"/>
    </row>
    <row r="2098" spans="1:2" x14ac:dyDescent="0.15">
      <c r="A2098" s="15"/>
      <c r="B2098" s="15"/>
    </row>
    <row r="2099" spans="1:2" x14ac:dyDescent="0.15">
      <c r="A2099" s="15"/>
      <c r="B2099" s="15"/>
    </row>
    <row r="2100" spans="1:2" x14ac:dyDescent="0.15">
      <c r="A2100" s="15"/>
      <c r="B2100" s="15"/>
    </row>
    <row r="2101" spans="1:2" x14ac:dyDescent="0.15">
      <c r="A2101" s="15"/>
      <c r="B2101" s="15"/>
    </row>
    <row r="2102" spans="1:2" x14ac:dyDescent="0.15">
      <c r="A2102" s="15"/>
      <c r="B2102" s="15"/>
    </row>
    <row r="2103" spans="1:2" x14ac:dyDescent="0.15">
      <c r="A2103" s="15"/>
      <c r="B2103" s="15"/>
    </row>
    <row r="2104" spans="1:2" x14ac:dyDescent="0.15">
      <c r="A2104" s="15"/>
      <c r="B2104" s="15"/>
    </row>
    <row r="2105" spans="1:2" x14ac:dyDescent="0.15">
      <c r="A2105" s="15"/>
      <c r="B2105" s="15"/>
    </row>
    <row r="2106" spans="1:2" x14ac:dyDescent="0.15">
      <c r="A2106" s="15"/>
      <c r="B2106" s="15"/>
    </row>
    <row r="2107" spans="1:2" x14ac:dyDescent="0.15">
      <c r="A2107" s="15"/>
      <c r="B2107" s="15"/>
    </row>
    <row r="2108" spans="1:2" x14ac:dyDescent="0.15">
      <c r="A2108" s="15"/>
      <c r="B2108" s="15"/>
    </row>
    <row r="2109" spans="1:2" x14ac:dyDescent="0.15">
      <c r="A2109" s="15"/>
      <c r="B2109" s="15"/>
    </row>
    <row r="2110" spans="1:2" x14ac:dyDescent="0.15">
      <c r="A2110" s="15"/>
      <c r="B2110" s="15"/>
    </row>
    <row r="2111" spans="1:2" x14ac:dyDescent="0.15">
      <c r="A2111" s="15"/>
      <c r="B2111" s="15"/>
    </row>
    <row r="2112" spans="1:2" x14ac:dyDescent="0.15">
      <c r="A2112" s="15"/>
      <c r="B2112" s="15"/>
    </row>
    <row r="2113" spans="1:2" x14ac:dyDescent="0.15">
      <c r="A2113" s="15"/>
      <c r="B2113" s="15"/>
    </row>
    <row r="2114" spans="1:2" x14ac:dyDescent="0.15">
      <c r="A2114" s="15"/>
      <c r="B2114" s="15"/>
    </row>
    <row r="2115" spans="1:2" x14ac:dyDescent="0.15">
      <c r="A2115" s="15"/>
      <c r="B2115" s="15"/>
    </row>
    <row r="2116" spans="1:2" x14ac:dyDescent="0.15">
      <c r="A2116" s="15"/>
      <c r="B2116" s="15"/>
    </row>
    <row r="2117" spans="1:2" x14ac:dyDescent="0.15">
      <c r="A2117" s="15"/>
      <c r="B2117" s="15"/>
    </row>
    <row r="2118" spans="1:2" x14ac:dyDescent="0.15">
      <c r="A2118" s="15"/>
      <c r="B2118" s="15"/>
    </row>
    <row r="2119" spans="1:2" x14ac:dyDescent="0.15">
      <c r="A2119" s="15"/>
      <c r="B2119" s="15"/>
    </row>
    <row r="2120" spans="1:2" x14ac:dyDescent="0.15">
      <c r="A2120" s="15"/>
      <c r="B2120" s="15"/>
    </row>
    <row r="2121" spans="1:2" x14ac:dyDescent="0.15">
      <c r="A2121" s="15"/>
      <c r="B2121" s="15"/>
    </row>
    <row r="2122" spans="1:2" x14ac:dyDescent="0.15">
      <c r="A2122" s="15"/>
      <c r="B2122" s="15"/>
    </row>
    <row r="2123" spans="1:2" x14ac:dyDescent="0.15">
      <c r="A2123" s="15"/>
      <c r="B2123" s="15"/>
    </row>
    <row r="2124" spans="1:2" x14ac:dyDescent="0.15">
      <c r="A2124" s="15"/>
      <c r="B2124" s="15"/>
    </row>
    <row r="2125" spans="1:2" x14ac:dyDescent="0.15">
      <c r="A2125" s="15"/>
      <c r="B2125" s="15"/>
    </row>
    <row r="2126" spans="1:2" x14ac:dyDescent="0.15">
      <c r="A2126" s="15"/>
      <c r="B2126" s="15"/>
    </row>
    <row r="2127" spans="1:2" x14ac:dyDescent="0.15">
      <c r="A2127" s="15"/>
      <c r="B2127" s="15"/>
    </row>
    <row r="2128" spans="1:2" x14ac:dyDescent="0.15">
      <c r="A2128" s="15"/>
      <c r="B2128" s="15"/>
    </row>
    <row r="2129" spans="1:2" x14ac:dyDescent="0.15">
      <c r="A2129" s="15"/>
      <c r="B2129" s="15"/>
    </row>
    <row r="2130" spans="1:2" x14ac:dyDescent="0.15">
      <c r="A2130" s="15"/>
      <c r="B2130" s="15"/>
    </row>
    <row r="2131" spans="1:2" x14ac:dyDescent="0.15">
      <c r="A2131" s="15"/>
      <c r="B2131" s="15"/>
    </row>
    <row r="2132" spans="1:2" x14ac:dyDescent="0.15">
      <c r="A2132" s="15"/>
      <c r="B2132" s="15"/>
    </row>
    <row r="2133" spans="1:2" x14ac:dyDescent="0.15">
      <c r="A2133" s="15"/>
      <c r="B2133" s="15"/>
    </row>
    <row r="2134" spans="1:2" x14ac:dyDescent="0.15">
      <c r="A2134" s="15"/>
      <c r="B2134" s="15"/>
    </row>
    <row r="2135" spans="1:2" x14ac:dyDescent="0.15">
      <c r="A2135" s="15"/>
      <c r="B2135" s="15"/>
    </row>
    <row r="2136" spans="1:2" x14ac:dyDescent="0.15">
      <c r="A2136" s="15"/>
      <c r="B2136" s="15"/>
    </row>
    <row r="2137" spans="1:2" x14ac:dyDescent="0.15">
      <c r="A2137" s="15"/>
      <c r="B2137" s="15"/>
    </row>
    <row r="2138" spans="1:2" x14ac:dyDescent="0.15">
      <c r="A2138" s="15"/>
      <c r="B2138" s="15"/>
    </row>
    <row r="2139" spans="1:2" x14ac:dyDescent="0.15">
      <c r="A2139" s="15"/>
      <c r="B2139" s="15"/>
    </row>
    <row r="2140" spans="1:2" x14ac:dyDescent="0.15">
      <c r="A2140" s="15"/>
      <c r="B2140" s="15"/>
    </row>
    <row r="2141" spans="1:2" x14ac:dyDescent="0.15">
      <c r="A2141" s="15"/>
      <c r="B2141" s="15"/>
    </row>
    <row r="2142" spans="1:2" x14ac:dyDescent="0.15">
      <c r="A2142" s="15"/>
      <c r="B2142" s="15"/>
    </row>
    <row r="2143" spans="1:2" x14ac:dyDescent="0.15">
      <c r="A2143" s="15"/>
      <c r="B2143" s="15"/>
    </row>
    <row r="2144" spans="1:2" x14ac:dyDescent="0.15">
      <c r="A2144" s="15"/>
      <c r="B2144" s="15"/>
    </row>
    <row r="2145" spans="1:2" x14ac:dyDescent="0.15">
      <c r="A2145" s="15"/>
      <c r="B2145" s="15"/>
    </row>
    <row r="2146" spans="1:2" x14ac:dyDescent="0.15">
      <c r="A2146" s="15"/>
      <c r="B2146" s="15"/>
    </row>
    <row r="2147" spans="1:2" x14ac:dyDescent="0.15">
      <c r="A2147" s="15"/>
      <c r="B2147" s="15"/>
    </row>
    <row r="2148" spans="1:2" x14ac:dyDescent="0.15">
      <c r="A2148" s="15"/>
      <c r="B2148" s="15"/>
    </row>
    <row r="2149" spans="1:2" x14ac:dyDescent="0.15">
      <c r="A2149" s="15"/>
      <c r="B2149" s="15"/>
    </row>
    <row r="2150" spans="1:2" x14ac:dyDescent="0.15">
      <c r="A2150" s="15"/>
      <c r="B2150" s="15"/>
    </row>
    <row r="2151" spans="1:2" x14ac:dyDescent="0.15">
      <c r="A2151" s="15"/>
      <c r="B2151" s="15"/>
    </row>
    <row r="2152" spans="1:2" x14ac:dyDescent="0.15">
      <c r="A2152" s="15"/>
      <c r="B2152" s="15"/>
    </row>
    <row r="2153" spans="1:2" x14ac:dyDescent="0.15">
      <c r="A2153" s="15"/>
      <c r="B2153" s="15"/>
    </row>
    <row r="2154" spans="1:2" x14ac:dyDescent="0.15">
      <c r="A2154" s="15"/>
      <c r="B2154" s="15"/>
    </row>
    <row r="2155" spans="1:2" x14ac:dyDescent="0.15">
      <c r="A2155" s="15"/>
      <c r="B2155" s="15"/>
    </row>
    <row r="2156" spans="1:2" x14ac:dyDescent="0.15">
      <c r="A2156" s="15"/>
      <c r="B2156" s="15"/>
    </row>
    <row r="2157" spans="1:2" x14ac:dyDescent="0.15">
      <c r="A2157" s="15"/>
      <c r="B2157" s="15"/>
    </row>
    <row r="2158" spans="1:2" x14ac:dyDescent="0.15">
      <c r="A2158" s="15"/>
      <c r="B2158" s="15"/>
    </row>
    <row r="2159" spans="1:2" x14ac:dyDescent="0.15">
      <c r="A2159" s="15"/>
      <c r="B2159" s="15"/>
    </row>
    <row r="2160" spans="1:2" x14ac:dyDescent="0.15">
      <c r="A2160" s="15"/>
      <c r="B2160" s="15"/>
    </row>
    <row r="2161" spans="1:2" x14ac:dyDescent="0.15">
      <c r="A2161" s="15"/>
      <c r="B2161" s="15"/>
    </row>
    <row r="2162" spans="1:2" x14ac:dyDescent="0.15">
      <c r="A2162" s="15"/>
      <c r="B2162" s="15"/>
    </row>
    <row r="2163" spans="1:2" x14ac:dyDescent="0.15">
      <c r="A2163" s="15"/>
      <c r="B2163" s="15"/>
    </row>
    <row r="2164" spans="1:2" x14ac:dyDescent="0.15">
      <c r="A2164" s="15"/>
      <c r="B2164" s="15"/>
    </row>
    <row r="2165" spans="1:2" x14ac:dyDescent="0.15">
      <c r="A2165" s="15"/>
      <c r="B2165" s="15"/>
    </row>
    <row r="2166" spans="1:2" x14ac:dyDescent="0.15">
      <c r="A2166" s="15"/>
      <c r="B2166" s="15"/>
    </row>
    <row r="2167" spans="1:2" x14ac:dyDescent="0.15">
      <c r="A2167" s="15"/>
      <c r="B2167" s="15"/>
    </row>
    <row r="2168" spans="1:2" x14ac:dyDescent="0.15">
      <c r="A2168" s="15"/>
      <c r="B2168" s="15"/>
    </row>
    <row r="2169" spans="1:2" x14ac:dyDescent="0.15">
      <c r="A2169" s="15"/>
      <c r="B2169" s="15"/>
    </row>
    <row r="2170" spans="1:2" x14ac:dyDescent="0.15">
      <c r="A2170" s="15"/>
      <c r="B2170" s="15"/>
    </row>
    <row r="2171" spans="1:2" x14ac:dyDescent="0.15">
      <c r="A2171" s="15"/>
      <c r="B2171" s="15"/>
    </row>
    <row r="2172" spans="1:2" x14ac:dyDescent="0.15">
      <c r="A2172" s="15"/>
      <c r="B2172" s="15"/>
    </row>
    <row r="2173" spans="1:2" x14ac:dyDescent="0.15">
      <c r="A2173" s="15"/>
      <c r="B2173" s="15"/>
    </row>
    <row r="2174" spans="1:2" x14ac:dyDescent="0.15">
      <c r="A2174" s="15"/>
      <c r="B2174" s="15"/>
    </row>
    <row r="2175" spans="1:2" x14ac:dyDescent="0.15">
      <c r="A2175" s="15"/>
      <c r="B2175" s="15"/>
    </row>
    <row r="2176" spans="1:2" x14ac:dyDescent="0.15">
      <c r="A2176" s="15"/>
      <c r="B2176" s="15"/>
    </row>
    <row r="2177" spans="1:2" x14ac:dyDescent="0.15">
      <c r="A2177" s="15"/>
      <c r="B2177" s="15"/>
    </row>
    <row r="2178" spans="1:2" x14ac:dyDescent="0.15">
      <c r="A2178" s="15"/>
      <c r="B2178" s="15"/>
    </row>
    <row r="2179" spans="1:2" x14ac:dyDescent="0.15">
      <c r="A2179" s="15"/>
      <c r="B2179" s="15"/>
    </row>
    <row r="2180" spans="1:2" x14ac:dyDescent="0.15">
      <c r="A2180" s="15"/>
      <c r="B2180" s="15"/>
    </row>
    <row r="2181" spans="1:2" x14ac:dyDescent="0.15">
      <c r="A2181" s="15"/>
      <c r="B2181" s="15"/>
    </row>
    <row r="2182" spans="1:2" x14ac:dyDescent="0.15">
      <c r="A2182" s="15"/>
      <c r="B2182" s="15"/>
    </row>
    <row r="2183" spans="1:2" x14ac:dyDescent="0.15">
      <c r="A2183" s="15"/>
      <c r="B2183" s="15"/>
    </row>
    <row r="2184" spans="1:2" x14ac:dyDescent="0.15">
      <c r="A2184" s="15"/>
      <c r="B2184" s="15"/>
    </row>
    <row r="2185" spans="1:2" x14ac:dyDescent="0.15">
      <c r="A2185" s="15"/>
      <c r="B2185" s="15"/>
    </row>
    <row r="2186" spans="1:2" x14ac:dyDescent="0.15">
      <c r="A2186" s="15"/>
      <c r="B2186" s="15"/>
    </row>
    <row r="2187" spans="1:2" x14ac:dyDescent="0.15">
      <c r="A2187" s="15"/>
      <c r="B2187" s="15"/>
    </row>
    <row r="2188" spans="1:2" x14ac:dyDescent="0.15">
      <c r="A2188" s="15"/>
      <c r="B2188" s="15"/>
    </row>
    <row r="2189" spans="1:2" x14ac:dyDescent="0.15">
      <c r="A2189" s="15"/>
      <c r="B2189" s="15"/>
    </row>
    <row r="2190" spans="1:2" x14ac:dyDescent="0.15">
      <c r="A2190" s="15"/>
      <c r="B2190" s="15"/>
    </row>
    <row r="2191" spans="1:2" x14ac:dyDescent="0.15">
      <c r="A2191" s="15"/>
      <c r="B2191" s="15"/>
    </row>
    <row r="2192" spans="1:2" x14ac:dyDescent="0.15">
      <c r="A2192" s="15"/>
      <c r="B2192" s="15"/>
    </row>
    <row r="2193" spans="1:2" x14ac:dyDescent="0.15">
      <c r="A2193" s="15"/>
      <c r="B2193" s="15"/>
    </row>
    <row r="2194" spans="1:2" x14ac:dyDescent="0.15">
      <c r="A2194" s="15"/>
      <c r="B2194" s="15"/>
    </row>
    <row r="2195" spans="1:2" x14ac:dyDescent="0.15">
      <c r="A2195" s="15"/>
      <c r="B2195" s="15"/>
    </row>
    <row r="2196" spans="1:2" x14ac:dyDescent="0.15">
      <c r="A2196" s="15"/>
      <c r="B2196" s="15"/>
    </row>
    <row r="2197" spans="1:2" x14ac:dyDescent="0.15">
      <c r="A2197" s="15"/>
      <c r="B2197" s="15"/>
    </row>
    <row r="2198" spans="1:2" x14ac:dyDescent="0.15">
      <c r="A2198" s="15"/>
      <c r="B2198" s="15"/>
    </row>
    <row r="2199" spans="1:2" x14ac:dyDescent="0.15">
      <c r="A2199" s="15"/>
      <c r="B2199" s="15"/>
    </row>
    <row r="2200" spans="1:2" x14ac:dyDescent="0.15">
      <c r="A2200" s="15"/>
      <c r="B2200" s="15"/>
    </row>
    <row r="2201" spans="1:2" x14ac:dyDescent="0.15">
      <c r="A2201" s="15"/>
      <c r="B2201" s="15"/>
    </row>
    <row r="2202" spans="1:2" x14ac:dyDescent="0.15">
      <c r="A2202" s="15"/>
      <c r="B2202" s="15"/>
    </row>
    <row r="2203" spans="1:2" x14ac:dyDescent="0.15">
      <c r="A2203" s="15"/>
      <c r="B2203" s="15"/>
    </row>
    <row r="2204" spans="1:2" x14ac:dyDescent="0.15">
      <c r="A2204" s="15"/>
      <c r="B2204" s="15"/>
    </row>
    <row r="2205" spans="1:2" x14ac:dyDescent="0.15">
      <c r="A2205" s="15"/>
      <c r="B2205" s="15"/>
    </row>
    <row r="2206" spans="1:2" x14ac:dyDescent="0.15">
      <c r="A2206" s="15"/>
      <c r="B2206" s="15"/>
    </row>
    <row r="2207" spans="1:2" x14ac:dyDescent="0.15">
      <c r="A2207" s="15"/>
      <c r="B2207" s="15"/>
    </row>
    <row r="2208" spans="1:2" x14ac:dyDescent="0.15">
      <c r="A2208" s="15"/>
      <c r="B2208" s="15"/>
    </row>
    <row r="2209" spans="1:2" x14ac:dyDescent="0.15">
      <c r="A2209" s="15"/>
      <c r="B2209" s="15"/>
    </row>
    <row r="2210" spans="1:2" x14ac:dyDescent="0.15">
      <c r="A2210" s="15"/>
      <c r="B2210" s="15"/>
    </row>
    <row r="2211" spans="1:2" x14ac:dyDescent="0.15">
      <c r="A2211" s="15"/>
      <c r="B2211" s="15"/>
    </row>
    <row r="2212" spans="1:2" x14ac:dyDescent="0.15">
      <c r="A2212" s="15"/>
      <c r="B2212" s="15"/>
    </row>
    <row r="2213" spans="1:2" x14ac:dyDescent="0.15">
      <c r="A2213" s="15"/>
      <c r="B2213" s="15"/>
    </row>
    <row r="2214" spans="1:2" x14ac:dyDescent="0.15">
      <c r="A2214" s="15"/>
      <c r="B2214" s="15"/>
    </row>
    <row r="2215" spans="1:2" x14ac:dyDescent="0.15">
      <c r="A2215" s="15"/>
      <c r="B2215" s="15"/>
    </row>
    <row r="2216" spans="1:2" x14ac:dyDescent="0.15">
      <c r="A2216" s="15"/>
      <c r="B2216" s="15"/>
    </row>
    <row r="2217" spans="1:2" x14ac:dyDescent="0.15">
      <c r="A2217" s="15"/>
      <c r="B2217" s="15"/>
    </row>
    <row r="2218" spans="1:2" x14ac:dyDescent="0.15">
      <c r="A2218" s="15"/>
      <c r="B2218" s="15"/>
    </row>
    <row r="2219" spans="1:2" x14ac:dyDescent="0.15">
      <c r="A2219" s="15"/>
      <c r="B2219" s="15"/>
    </row>
    <row r="2220" spans="1:2" x14ac:dyDescent="0.15">
      <c r="A2220" s="15"/>
      <c r="B2220" s="15"/>
    </row>
    <row r="2221" spans="1:2" x14ac:dyDescent="0.15">
      <c r="A2221" s="15"/>
      <c r="B2221" s="15"/>
    </row>
    <row r="2222" spans="1:2" x14ac:dyDescent="0.15">
      <c r="A2222" s="15"/>
      <c r="B2222" s="15"/>
    </row>
    <row r="2223" spans="1:2" x14ac:dyDescent="0.15">
      <c r="A2223" s="15"/>
      <c r="B2223" s="15"/>
    </row>
    <row r="2224" spans="1:2" x14ac:dyDescent="0.15">
      <c r="A2224" s="15"/>
      <c r="B2224" s="15"/>
    </row>
    <row r="2225" spans="1:2" x14ac:dyDescent="0.15">
      <c r="A2225" s="15"/>
      <c r="B2225" s="15"/>
    </row>
    <row r="2226" spans="1:2" x14ac:dyDescent="0.15">
      <c r="A2226" s="15"/>
      <c r="B2226" s="15"/>
    </row>
    <row r="2227" spans="1:2" x14ac:dyDescent="0.15">
      <c r="A2227" s="15"/>
      <c r="B2227" s="15"/>
    </row>
    <row r="2228" spans="1:2" x14ac:dyDescent="0.15">
      <c r="A2228" s="15"/>
      <c r="B2228" s="15"/>
    </row>
    <row r="2229" spans="1:2" x14ac:dyDescent="0.15">
      <c r="A2229" s="15"/>
      <c r="B2229" s="15"/>
    </row>
    <row r="2230" spans="1:2" x14ac:dyDescent="0.15">
      <c r="A2230" s="15"/>
      <c r="B2230" s="15"/>
    </row>
    <row r="2231" spans="1:2" x14ac:dyDescent="0.15">
      <c r="A2231" s="15"/>
      <c r="B2231" s="15"/>
    </row>
    <row r="2232" spans="1:2" x14ac:dyDescent="0.15">
      <c r="A2232" s="15"/>
      <c r="B2232" s="15"/>
    </row>
    <row r="2233" spans="1:2" x14ac:dyDescent="0.15">
      <c r="A2233" s="15"/>
      <c r="B2233" s="15"/>
    </row>
    <row r="2234" spans="1:2" x14ac:dyDescent="0.15">
      <c r="A2234" s="15"/>
      <c r="B2234" s="15"/>
    </row>
    <row r="2235" spans="1:2" x14ac:dyDescent="0.15">
      <c r="A2235" s="15"/>
      <c r="B2235" s="15"/>
    </row>
    <row r="2236" spans="1:2" x14ac:dyDescent="0.15">
      <c r="A2236" s="15"/>
      <c r="B2236" s="15"/>
    </row>
    <row r="2237" spans="1:2" x14ac:dyDescent="0.15">
      <c r="A2237" s="15"/>
      <c r="B2237" s="15"/>
    </row>
    <row r="2238" spans="1:2" x14ac:dyDescent="0.15">
      <c r="A2238" s="15"/>
      <c r="B2238" s="15"/>
    </row>
    <row r="2239" spans="1:2" x14ac:dyDescent="0.15">
      <c r="A2239" s="15"/>
      <c r="B2239" s="15"/>
    </row>
    <row r="2240" spans="1:2" x14ac:dyDescent="0.15">
      <c r="A2240" s="15"/>
      <c r="B2240" s="15"/>
    </row>
    <row r="2241" spans="1:2" x14ac:dyDescent="0.15">
      <c r="A2241" s="15"/>
      <c r="B2241" s="15"/>
    </row>
    <row r="2242" spans="1:2" x14ac:dyDescent="0.15">
      <c r="A2242" s="15"/>
      <c r="B2242" s="15"/>
    </row>
    <row r="2243" spans="1:2" x14ac:dyDescent="0.15">
      <c r="A2243" s="15"/>
      <c r="B2243" s="15"/>
    </row>
    <row r="2244" spans="1:2" x14ac:dyDescent="0.15">
      <c r="A2244" s="15"/>
      <c r="B2244" s="15"/>
    </row>
    <row r="2245" spans="1:2" x14ac:dyDescent="0.15">
      <c r="A2245" s="15"/>
      <c r="B2245" s="15"/>
    </row>
    <row r="2246" spans="1:2" x14ac:dyDescent="0.15">
      <c r="A2246" s="15"/>
      <c r="B2246" s="15"/>
    </row>
    <row r="2247" spans="1:2" x14ac:dyDescent="0.15">
      <c r="A2247" s="15"/>
      <c r="B2247" s="15"/>
    </row>
    <row r="2248" spans="1:2" x14ac:dyDescent="0.15">
      <c r="A2248" s="15"/>
      <c r="B2248" s="15"/>
    </row>
    <row r="2249" spans="1:2" x14ac:dyDescent="0.15">
      <c r="A2249" s="15"/>
      <c r="B2249" s="15"/>
    </row>
    <row r="2250" spans="1:2" x14ac:dyDescent="0.15">
      <c r="A2250" s="15"/>
      <c r="B2250" s="15"/>
    </row>
    <row r="2251" spans="1:2" x14ac:dyDescent="0.15">
      <c r="A2251" s="15"/>
      <c r="B2251" s="15"/>
    </row>
    <row r="2252" spans="1:2" x14ac:dyDescent="0.15">
      <c r="A2252" s="15"/>
      <c r="B2252" s="15"/>
    </row>
    <row r="2253" spans="1:2" x14ac:dyDescent="0.15">
      <c r="A2253" s="15"/>
      <c r="B2253" s="15"/>
    </row>
    <row r="2254" spans="1:2" x14ac:dyDescent="0.15">
      <c r="A2254" s="15"/>
      <c r="B2254" s="15"/>
    </row>
    <row r="2255" spans="1:2" x14ac:dyDescent="0.15">
      <c r="A2255" s="15"/>
      <c r="B2255" s="15"/>
    </row>
    <row r="2256" spans="1:2" x14ac:dyDescent="0.15">
      <c r="A2256" s="15"/>
      <c r="B2256" s="15"/>
    </row>
    <row r="2257" spans="1:2" x14ac:dyDescent="0.15">
      <c r="A2257" s="15"/>
      <c r="B2257" s="15"/>
    </row>
    <row r="2258" spans="1:2" x14ac:dyDescent="0.15">
      <c r="A2258" s="15"/>
      <c r="B2258" s="15"/>
    </row>
    <row r="2259" spans="1:2" x14ac:dyDescent="0.15">
      <c r="A2259" s="15"/>
      <c r="B2259" s="15"/>
    </row>
    <row r="2260" spans="1:2" x14ac:dyDescent="0.15">
      <c r="A2260" s="15"/>
      <c r="B2260" s="15"/>
    </row>
    <row r="2261" spans="1:2" x14ac:dyDescent="0.15">
      <c r="A2261" s="15"/>
      <c r="B2261" s="15"/>
    </row>
    <row r="2262" spans="1:2" x14ac:dyDescent="0.15">
      <c r="A2262" s="15"/>
      <c r="B2262" s="15"/>
    </row>
    <row r="2263" spans="1:2" x14ac:dyDescent="0.15">
      <c r="A2263" s="15"/>
      <c r="B2263" s="15"/>
    </row>
    <row r="2264" spans="1:2" x14ac:dyDescent="0.15">
      <c r="A2264" s="15"/>
      <c r="B2264" s="15"/>
    </row>
    <row r="2265" spans="1:2" x14ac:dyDescent="0.15">
      <c r="A2265" s="15"/>
      <c r="B2265" s="15"/>
    </row>
    <row r="2266" spans="1:2" x14ac:dyDescent="0.15">
      <c r="A2266" s="15"/>
      <c r="B2266" s="15"/>
    </row>
    <row r="2267" spans="1:2" x14ac:dyDescent="0.15">
      <c r="A2267" s="15"/>
      <c r="B2267" s="15"/>
    </row>
    <row r="2268" spans="1:2" x14ac:dyDescent="0.15">
      <c r="A2268" s="15"/>
      <c r="B2268" s="15"/>
    </row>
    <row r="2269" spans="1:2" x14ac:dyDescent="0.15">
      <c r="A2269" s="15"/>
      <c r="B2269" s="15"/>
    </row>
    <row r="2270" spans="1:2" x14ac:dyDescent="0.15">
      <c r="A2270" s="15"/>
      <c r="B2270" s="15"/>
    </row>
    <row r="2271" spans="1:2" x14ac:dyDescent="0.15">
      <c r="A2271" s="15"/>
      <c r="B2271" s="15"/>
    </row>
    <row r="2272" spans="1:2" x14ac:dyDescent="0.15">
      <c r="A2272" s="15"/>
      <c r="B2272" s="15"/>
    </row>
    <row r="2273" spans="1:2" x14ac:dyDescent="0.15">
      <c r="A2273" s="15"/>
      <c r="B2273" s="15"/>
    </row>
    <row r="2274" spans="1:2" x14ac:dyDescent="0.15">
      <c r="A2274" s="15"/>
      <c r="B2274" s="15"/>
    </row>
    <row r="2275" spans="1:2" x14ac:dyDescent="0.15">
      <c r="A2275" s="15"/>
      <c r="B2275" s="15"/>
    </row>
    <row r="2276" spans="1:2" x14ac:dyDescent="0.15">
      <c r="A2276" s="15"/>
      <c r="B2276" s="15"/>
    </row>
    <row r="2277" spans="1:2" x14ac:dyDescent="0.15">
      <c r="A2277" s="15"/>
      <c r="B2277" s="15"/>
    </row>
    <row r="2278" spans="1:2" x14ac:dyDescent="0.15">
      <c r="A2278" s="15"/>
      <c r="B2278" s="15"/>
    </row>
    <row r="2279" spans="1:2" x14ac:dyDescent="0.15">
      <c r="A2279" s="15"/>
      <c r="B2279" s="15"/>
    </row>
    <row r="2280" spans="1:2" x14ac:dyDescent="0.15">
      <c r="A2280" s="15"/>
      <c r="B2280" s="15"/>
    </row>
    <row r="2281" spans="1:2" x14ac:dyDescent="0.15">
      <c r="A2281" s="15"/>
      <c r="B2281" s="15"/>
    </row>
    <row r="2282" spans="1:2" x14ac:dyDescent="0.15">
      <c r="A2282" s="15"/>
      <c r="B2282" s="15"/>
    </row>
    <row r="2283" spans="1:2" x14ac:dyDescent="0.15">
      <c r="A2283" s="15"/>
      <c r="B2283" s="15"/>
    </row>
    <row r="2284" spans="1:2" x14ac:dyDescent="0.15">
      <c r="A2284" s="15"/>
      <c r="B2284" s="15"/>
    </row>
    <row r="2285" spans="1:2" x14ac:dyDescent="0.15">
      <c r="A2285" s="15"/>
      <c r="B2285" s="15"/>
    </row>
    <row r="2286" spans="1:2" x14ac:dyDescent="0.15">
      <c r="A2286" s="15"/>
      <c r="B2286" s="15"/>
    </row>
    <row r="2287" spans="1:2" x14ac:dyDescent="0.15">
      <c r="A2287" s="15"/>
      <c r="B2287" s="15"/>
    </row>
    <row r="2288" spans="1:2" x14ac:dyDescent="0.15">
      <c r="A2288" s="15"/>
      <c r="B2288" s="15"/>
    </row>
    <row r="2289" spans="1:2" x14ac:dyDescent="0.15">
      <c r="A2289" s="15"/>
      <c r="B2289" s="15"/>
    </row>
    <row r="2290" spans="1:2" x14ac:dyDescent="0.15">
      <c r="A2290" s="15"/>
      <c r="B2290" s="15"/>
    </row>
    <row r="2291" spans="1:2" x14ac:dyDescent="0.15">
      <c r="A2291" s="15"/>
      <c r="B2291" s="15"/>
    </row>
    <row r="2292" spans="1:2" x14ac:dyDescent="0.15">
      <c r="A2292" s="15"/>
      <c r="B2292" s="15"/>
    </row>
    <row r="2293" spans="1:2" x14ac:dyDescent="0.15">
      <c r="A2293" s="15"/>
      <c r="B2293" s="15"/>
    </row>
    <row r="2294" spans="1:2" x14ac:dyDescent="0.15">
      <c r="A2294" s="15"/>
      <c r="B2294" s="15"/>
    </row>
    <row r="2295" spans="1:2" x14ac:dyDescent="0.15">
      <c r="A2295" s="15"/>
      <c r="B2295" s="15"/>
    </row>
    <row r="2296" spans="1:2" x14ac:dyDescent="0.15">
      <c r="A2296" s="15"/>
      <c r="B2296" s="15"/>
    </row>
    <row r="2297" spans="1:2" x14ac:dyDescent="0.15">
      <c r="A2297" s="15"/>
      <c r="B2297" s="15"/>
    </row>
    <row r="2298" spans="1:2" x14ac:dyDescent="0.15">
      <c r="A2298" s="15"/>
      <c r="B2298" s="15"/>
    </row>
    <row r="2299" spans="1:2" x14ac:dyDescent="0.15">
      <c r="A2299" s="15"/>
      <c r="B2299" s="15"/>
    </row>
    <row r="2300" spans="1:2" x14ac:dyDescent="0.15">
      <c r="A2300" s="15"/>
      <c r="B2300" s="15"/>
    </row>
    <row r="2301" spans="1:2" x14ac:dyDescent="0.15">
      <c r="A2301" s="15"/>
      <c r="B2301" s="15"/>
    </row>
    <row r="2302" spans="1:2" x14ac:dyDescent="0.15">
      <c r="A2302" s="15"/>
      <c r="B2302" s="15"/>
    </row>
    <row r="2303" spans="1:2" x14ac:dyDescent="0.15">
      <c r="A2303" s="15"/>
      <c r="B2303" s="15"/>
    </row>
    <row r="2304" spans="1:2" x14ac:dyDescent="0.15">
      <c r="A2304" s="15"/>
      <c r="B2304" s="15"/>
    </row>
    <row r="2305" spans="1:2" x14ac:dyDescent="0.15">
      <c r="A2305" s="15"/>
      <c r="B2305" s="15"/>
    </row>
    <row r="2306" spans="1:2" x14ac:dyDescent="0.15">
      <c r="A2306" s="15"/>
      <c r="B2306" s="15"/>
    </row>
    <row r="2307" spans="1:2" x14ac:dyDescent="0.15">
      <c r="A2307" s="15"/>
      <c r="B2307" s="15"/>
    </row>
    <row r="2308" spans="1:2" x14ac:dyDescent="0.15">
      <c r="A2308" s="15"/>
      <c r="B2308" s="15"/>
    </row>
    <row r="2309" spans="1:2" x14ac:dyDescent="0.15">
      <c r="A2309" s="15"/>
      <c r="B2309" s="15"/>
    </row>
    <row r="2310" spans="1:2" x14ac:dyDescent="0.15">
      <c r="A2310" s="15"/>
      <c r="B2310" s="15"/>
    </row>
    <row r="2311" spans="1:2" x14ac:dyDescent="0.15">
      <c r="A2311" s="15"/>
      <c r="B2311" s="15"/>
    </row>
    <row r="2312" spans="1:2" x14ac:dyDescent="0.15">
      <c r="A2312" s="15"/>
      <c r="B2312" s="15"/>
    </row>
    <row r="2313" spans="1:2" x14ac:dyDescent="0.15">
      <c r="A2313" s="15"/>
      <c r="B2313" s="15"/>
    </row>
    <row r="2314" spans="1:2" x14ac:dyDescent="0.15">
      <c r="A2314" s="15"/>
      <c r="B2314" s="15"/>
    </row>
    <row r="2315" spans="1:2" x14ac:dyDescent="0.15">
      <c r="A2315" s="15"/>
      <c r="B2315" s="15"/>
    </row>
    <row r="2316" spans="1:2" x14ac:dyDescent="0.15">
      <c r="A2316" s="15"/>
      <c r="B2316" s="15"/>
    </row>
    <row r="2317" spans="1:2" x14ac:dyDescent="0.15">
      <c r="A2317" s="15"/>
      <c r="B2317" s="15"/>
    </row>
    <row r="2318" spans="1:2" x14ac:dyDescent="0.15">
      <c r="A2318" s="15"/>
      <c r="B2318" s="15"/>
    </row>
    <row r="2319" spans="1:2" x14ac:dyDescent="0.15">
      <c r="A2319" s="15"/>
      <c r="B2319" s="15"/>
    </row>
    <row r="2320" spans="1:2" x14ac:dyDescent="0.15">
      <c r="A2320" s="15"/>
      <c r="B2320" s="15"/>
    </row>
    <row r="2321" spans="1:2" x14ac:dyDescent="0.15">
      <c r="A2321" s="15"/>
      <c r="B2321" s="15"/>
    </row>
    <row r="2322" spans="1:2" x14ac:dyDescent="0.15">
      <c r="A2322" s="15"/>
      <c r="B2322" s="15"/>
    </row>
    <row r="2323" spans="1:2" x14ac:dyDescent="0.15">
      <c r="A2323" s="15"/>
      <c r="B2323" s="15"/>
    </row>
    <row r="2324" spans="1:2" x14ac:dyDescent="0.15">
      <c r="A2324" s="15"/>
      <c r="B2324" s="15"/>
    </row>
    <row r="2325" spans="1:2" x14ac:dyDescent="0.15">
      <c r="A2325" s="15"/>
      <c r="B2325" s="15"/>
    </row>
    <row r="2326" spans="1:2" x14ac:dyDescent="0.15">
      <c r="A2326" s="15"/>
      <c r="B2326" s="15"/>
    </row>
    <row r="2327" spans="1:2" x14ac:dyDescent="0.15">
      <c r="A2327" s="15"/>
      <c r="B2327" s="15"/>
    </row>
    <row r="2328" spans="1:2" x14ac:dyDescent="0.15">
      <c r="A2328" s="15"/>
      <c r="B2328" s="15"/>
    </row>
    <row r="2329" spans="1:2" x14ac:dyDescent="0.15">
      <c r="A2329" s="15"/>
      <c r="B2329" s="15"/>
    </row>
    <row r="2330" spans="1:2" x14ac:dyDescent="0.15">
      <c r="A2330" s="15"/>
      <c r="B2330" s="15"/>
    </row>
    <row r="2331" spans="1:2" x14ac:dyDescent="0.15">
      <c r="A2331" s="15"/>
      <c r="B2331" s="15"/>
    </row>
    <row r="2332" spans="1:2" x14ac:dyDescent="0.15">
      <c r="A2332" s="15"/>
      <c r="B2332" s="15"/>
    </row>
    <row r="2333" spans="1:2" x14ac:dyDescent="0.15">
      <c r="A2333" s="15"/>
      <c r="B2333" s="15"/>
    </row>
    <row r="2334" spans="1:2" x14ac:dyDescent="0.15">
      <c r="A2334" s="15"/>
      <c r="B2334" s="15"/>
    </row>
    <row r="2335" spans="1:2" x14ac:dyDescent="0.15">
      <c r="A2335" s="15"/>
      <c r="B2335" s="15"/>
    </row>
    <row r="2336" spans="1:2" x14ac:dyDescent="0.15">
      <c r="A2336" s="15"/>
      <c r="B2336" s="15"/>
    </row>
    <row r="2337" spans="1:2" x14ac:dyDescent="0.15">
      <c r="A2337" s="15"/>
      <c r="B2337" s="15"/>
    </row>
    <row r="2338" spans="1:2" x14ac:dyDescent="0.15">
      <c r="A2338" s="15"/>
      <c r="B2338" s="15"/>
    </row>
    <row r="2339" spans="1:2" x14ac:dyDescent="0.15">
      <c r="A2339" s="15"/>
      <c r="B2339" s="15"/>
    </row>
    <row r="2340" spans="1:2" x14ac:dyDescent="0.15">
      <c r="A2340" s="15"/>
      <c r="B2340" s="15"/>
    </row>
    <row r="2341" spans="1:2" x14ac:dyDescent="0.15">
      <c r="A2341" s="15"/>
      <c r="B2341" s="15"/>
    </row>
    <row r="2342" spans="1:2" x14ac:dyDescent="0.15">
      <c r="A2342" s="15"/>
      <c r="B2342" s="15"/>
    </row>
    <row r="2343" spans="1:2" x14ac:dyDescent="0.15">
      <c r="A2343" s="15"/>
      <c r="B2343" s="15"/>
    </row>
    <row r="2344" spans="1:2" x14ac:dyDescent="0.15">
      <c r="A2344" s="15"/>
      <c r="B2344" s="15"/>
    </row>
    <row r="2345" spans="1:2" x14ac:dyDescent="0.15">
      <c r="A2345" s="15"/>
      <c r="B2345" s="15"/>
    </row>
    <row r="2346" spans="1:2" x14ac:dyDescent="0.15">
      <c r="A2346" s="15"/>
      <c r="B2346" s="15"/>
    </row>
    <row r="2347" spans="1:2" x14ac:dyDescent="0.15">
      <c r="A2347" s="15"/>
      <c r="B2347" s="15"/>
    </row>
    <row r="2348" spans="1:2" x14ac:dyDescent="0.15">
      <c r="A2348" s="15"/>
      <c r="B2348" s="15"/>
    </row>
    <row r="2349" spans="1:2" x14ac:dyDescent="0.15">
      <c r="A2349" s="15"/>
      <c r="B2349" s="15"/>
    </row>
    <row r="2350" spans="1:2" x14ac:dyDescent="0.15">
      <c r="A2350" s="15"/>
      <c r="B2350" s="15"/>
    </row>
    <row r="2351" spans="1:2" x14ac:dyDescent="0.15">
      <c r="A2351" s="15"/>
      <c r="B2351" s="15"/>
    </row>
    <row r="2352" spans="1:2" x14ac:dyDescent="0.15">
      <c r="A2352" s="15"/>
      <c r="B2352" s="15"/>
    </row>
    <row r="2353" spans="1:2" x14ac:dyDescent="0.15">
      <c r="A2353" s="15"/>
      <c r="B2353" s="15"/>
    </row>
    <row r="2354" spans="1:2" x14ac:dyDescent="0.15">
      <c r="A2354" s="15"/>
      <c r="B2354" s="15"/>
    </row>
    <row r="2355" spans="1:2" x14ac:dyDescent="0.15">
      <c r="A2355" s="15"/>
      <c r="B2355" s="15"/>
    </row>
    <row r="2356" spans="1:2" x14ac:dyDescent="0.15">
      <c r="A2356" s="15"/>
      <c r="B2356" s="15"/>
    </row>
    <row r="2357" spans="1:2" x14ac:dyDescent="0.15">
      <c r="A2357" s="15"/>
      <c r="B2357" s="15"/>
    </row>
    <row r="2358" spans="1:2" x14ac:dyDescent="0.15">
      <c r="A2358" s="15"/>
      <c r="B2358" s="15"/>
    </row>
    <row r="2359" spans="1:2" x14ac:dyDescent="0.15">
      <c r="A2359" s="15"/>
      <c r="B2359" s="15"/>
    </row>
    <row r="2360" spans="1:2" x14ac:dyDescent="0.15">
      <c r="A2360" s="15"/>
      <c r="B2360" s="15"/>
    </row>
    <row r="2361" spans="1:2" x14ac:dyDescent="0.15">
      <c r="A2361" s="15"/>
      <c r="B2361" s="15"/>
    </row>
    <row r="2362" spans="1:2" x14ac:dyDescent="0.15">
      <c r="A2362" s="15"/>
      <c r="B2362" s="15"/>
    </row>
    <row r="2363" spans="1:2" x14ac:dyDescent="0.15">
      <c r="A2363" s="15"/>
      <c r="B2363" s="15"/>
    </row>
    <row r="2364" spans="1:2" x14ac:dyDescent="0.15">
      <c r="A2364" s="15"/>
      <c r="B2364" s="15"/>
    </row>
    <row r="2365" spans="1:2" x14ac:dyDescent="0.15">
      <c r="A2365" s="15"/>
      <c r="B2365" s="15"/>
    </row>
    <row r="2366" spans="1:2" x14ac:dyDescent="0.15">
      <c r="A2366" s="15"/>
      <c r="B2366" s="15"/>
    </row>
    <row r="2367" spans="1:2" x14ac:dyDescent="0.15">
      <c r="A2367" s="15"/>
      <c r="B2367" s="15"/>
    </row>
    <row r="2368" spans="1:2" x14ac:dyDescent="0.15">
      <c r="A2368" s="15"/>
      <c r="B2368" s="15"/>
    </row>
    <row r="2369" spans="1:2" x14ac:dyDescent="0.15">
      <c r="A2369" s="15"/>
      <c r="B2369" s="15"/>
    </row>
    <row r="2370" spans="1:2" x14ac:dyDescent="0.15">
      <c r="A2370" s="15"/>
      <c r="B2370" s="15"/>
    </row>
    <row r="2371" spans="1:2" x14ac:dyDescent="0.15">
      <c r="A2371" s="15"/>
      <c r="B2371" s="15"/>
    </row>
    <row r="2372" spans="1:2" x14ac:dyDescent="0.15">
      <c r="A2372" s="15"/>
      <c r="B2372" s="15"/>
    </row>
    <row r="2373" spans="1:2" x14ac:dyDescent="0.15">
      <c r="A2373" s="15"/>
      <c r="B2373" s="15"/>
    </row>
    <row r="2374" spans="1:2" x14ac:dyDescent="0.15">
      <c r="A2374" s="15"/>
      <c r="B2374" s="15"/>
    </row>
    <row r="2375" spans="1:2" x14ac:dyDescent="0.15">
      <c r="A2375" s="15"/>
      <c r="B2375" s="15"/>
    </row>
    <row r="2376" spans="1:2" x14ac:dyDescent="0.15">
      <c r="A2376" s="15"/>
      <c r="B2376" s="15"/>
    </row>
    <row r="2377" spans="1:2" x14ac:dyDescent="0.15">
      <c r="A2377" s="15"/>
      <c r="B2377" s="15"/>
    </row>
    <row r="2378" spans="1:2" x14ac:dyDescent="0.15">
      <c r="A2378" s="15"/>
      <c r="B2378" s="15"/>
    </row>
    <row r="2379" spans="1:2" x14ac:dyDescent="0.15">
      <c r="A2379" s="15"/>
      <c r="B2379" s="15"/>
    </row>
    <row r="2380" spans="1:2" x14ac:dyDescent="0.15">
      <c r="A2380" s="15"/>
      <c r="B2380" s="15"/>
    </row>
    <row r="2381" spans="1:2" x14ac:dyDescent="0.15">
      <c r="A2381" s="15"/>
      <c r="B2381" s="15"/>
    </row>
    <row r="2382" spans="1:2" x14ac:dyDescent="0.15">
      <c r="A2382" s="15"/>
      <c r="B2382" s="15"/>
    </row>
    <row r="2383" spans="1:2" x14ac:dyDescent="0.15">
      <c r="A2383" s="15"/>
      <c r="B2383" s="15"/>
    </row>
    <row r="2384" spans="1:2" x14ac:dyDescent="0.15">
      <c r="A2384" s="15"/>
      <c r="B2384" s="15"/>
    </row>
    <row r="2385" spans="1:2" x14ac:dyDescent="0.15">
      <c r="A2385" s="15"/>
      <c r="B2385" s="15"/>
    </row>
    <row r="2386" spans="1:2" x14ac:dyDescent="0.15">
      <c r="A2386" s="15"/>
      <c r="B2386" s="15"/>
    </row>
    <row r="2387" spans="1:2" x14ac:dyDescent="0.15">
      <c r="A2387" s="15"/>
      <c r="B2387" s="15"/>
    </row>
    <row r="2388" spans="1:2" x14ac:dyDescent="0.15">
      <c r="A2388" s="15"/>
      <c r="B2388" s="15"/>
    </row>
    <row r="2389" spans="1:2" x14ac:dyDescent="0.15">
      <c r="A2389" s="15"/>
      <c r="B2389" s="15"/>
    </row>
    <row r="2390" spans="1:2" x14ac:dyDescent="0.15">
      <c r="A2390" s="15"/>
      <c r="B2390" s="15"/>
    </row>
    <row r="2391" spans="1:2" x14ac:dyDescent="0.15">
      <c r="A2391" s="15"/>
      <c r="B2391" s="15"/>
    </row>
    <row r="2392" spans="1:2" x14ac:dyDescent="0.15">
      <c r="A2392" s="15"/>
      <c r="B2392" s="15"/>
    </row>
    <row r="2393" spans="1:2" x14ac:dyDescent="0.15">
      <c r="A2393" s="15"/>
      <c r="B2393" s="15"/>
    </row>
    <row r="2394" spans="1:2" x14ac:dyDescent="0.15">
      <c r="A2394" s="15"/>
      <c r="B2394" s="15"/>
    </row>
    <row r="2395" spans="1:2" x14ac:dyDescent="0.15">
      <c r="A2395" s="15"/>
      <c r="B2395" s="15"/>
    </row>
    <row r="2396" spans="1:2" x14ac:dyDescent="0.15">
      <c r="A2396" s="15"/>
      <c r="B2396" s="15"/>
    </row>
    <row r="2397" spans="1:2" x14ac:dyDescent="0.15">
      <c r="A2397" s="15"/>
      <c r="B2397" s="15"/>
    </row>
    <row r="2398" spans="1:2" x14ac:dyDescent="0.15">
      <c r="A2398" s="15"/>
      <c r="B2398" s="15"/>
    </row>
    <row r="2399" spans="1:2" x14ac:dyDescent="0.15">
      <c r="A2399" s="15"/>
      <c r="B2399" s="15"/>
    </row>
    <row r="2400" spans="1:2" x14ac:dyDescent="0.15">
      <c r="A2400" s="15"/>
      <c r="B2400" s="15"/>
    </row>
    <row r="2401" spans="1:2" x14ac:dyDescent="0.15">
      <c r="A2401" s="15"/>
      <c r="B2401" s="15"/>
    </row>
    <row r="2402" spans="1:2" x14ac:dyDescent="0.15">
      <c r="A2402" s="15"/>
      <c r="B2402" s="15"/>
    </row>
    <row r="2403" spans="1:2" x14ac:dyDescent="0.15">
      <c r="A2403" s="15"/>
      <c r="B2403" s="15"/>
    </row>
    <row r="2404" spans="1:2" x14ac:dyDescent="0.15">
      <c r="A2404" s="15"/>
      <c r="B2404" s="15"/>
    </row>
    <row r="2405" spans="1:2" x14ac:dyDescent="0.15">
      <c r="A2405" s="15"/>
      <c r="B2405" s="15"/>
    </row>
    <row r="2406" spans="1:2" x14ac:dyDescent="0.15">
      <c r="A2406" s="15"/>
      <c r="B2406" s="15"/>
    </row>
    <row r="2407" spans="1:2" x14ac:dyDescent="0.15">
      <c r="A2407" s="15"/>
      <c r="B2407" s="15"/>
    </row>
    <row r="2408" spans="1:2" x14ac:dyDescent="0.15">
      <c r="A2408" s="15"/>
      <c r="B2408" s="15"/>
    </row>
    <row r="2409" spans="1:2" x14ac:dyDescent="0.15">
      <c r="A2409" s="15"/>
      <c r="B2409" s="15"/>
    </row>
    <row r="2410" spans="1:2" x14ac:dyDescent="0.15">
      <c r="A2410" s="15"/>
      <c r="B2410" s="15"/>
    </row>
    <row r="2411" spans="1:2" x14ac:dyDescent="0.15">
      <c r="A2411" s="15"/>
      <c r="B2411" s="15"/>
    </row>
    <row r="2412" spans="1:2" x14ac:dyDescent="0.15">
      <c r="A2412" s="15"/>
      <c r="B2412" s="15"/>
    </row>
    <row r="2413" spans="1:2" x14ac:dyDescent="0.15">
      <c r="A2413" s="15"/>
      <c r="B2413" s="15"/>
    </row>
    <row r="2414" spans="1:2" x14ac:dyDescent="0.15">
      <c r="A2414" s="15"/>
      <c r="B2414" s="15"/>
    </row>
    <row r="2415" spans="1:2" x14ac:dyDescent="0.15">
      <c r="A2415" s="15"/>
      <c r="B2415" s="15"/>
    </row>
    <row r="2416" spans="1:2" x14ac:dyDescent="0.15">
      <c r="A2416" s="15"/>
      <c r="B2416" s="15"/>
    </row>
    <row r="2417" spans="1:2" x14ac:dyDescent="0.15">
      <c r="A2417" s="15"/>
      <c r="B2417" s="15"/>
    </row>
    <row r="2418" spans="1:2" x14ac:dyDescent="0.15">
      <c r="A2418" s="15"/>
      <c r="B2418" s="15"/>
    </row>
    <row r="2419" spans="1:2" x14ac:dyDescent="0.15">
      <c r="A2419" s="15"/>
      <c r="B2419" s="15"/>
    </row>
    <row r="2420" spans="1:2" x14ac:dyDescent="0.15">
      <c r="A2420" s="15"/>
      <c r="B2420" s="15"/>
    </row>
    <row r="2421" spans="1:2" x14ac:dyDescent="0.15">
      <c r="A2421" s="15"/>
      <c r="B2421" s="15"/>
    </row>
    <row r="2422" spans="1:2" x14ac:dyDescent="0.15">
      <c r="A2422" s="15"/>
      <c r="B2422" s="15"/>
    </row>
    <row r="2423" spans="1:2" x14ac:dyDescent="0.15">
      <c r="A2423" s="15"/>
      <c r="B2423" s="15"/>
    </row>
    <row r="2424" spans="1:2" x14ac:dyDescent="0.15">
      <c r="A2424" s="15"/>
      <c r="B2424" s="15"/>
    </row>
    <row r="2425" spans="1:2" x14ac:dyDescent="0.15">
      <c r="A2425" s="15"/>
      <c r="B2425" s="15"/>
    </row>
    <row r="2426" spans="1:2" x14ac:dyDescent="0.15">
      <c r="A2426" s="15"/>
      <c r="B2426" s="15"/>
    </row>
    <row r="2427" spans="1:2" x14ac:dyDescent="0.15">
      <c r="A2427" s="15"/>
      <c r="B2427" s="15"/>
    </row>
    <row r="2428" spans="1:2" x14ac:dyDescent="0.15">
      <c r="A2428" s="15"/>
      <c r="B2428" s="15"/>
    </row>
    <row r="2429" spans="1:2" x14ac:dyDescent="0.15">
      <c r="A2429" s="15"/>
      <c r="B2429" s="15"/>
    </row>
    <row r="2430" spans="1:2" x14ac:dyDescent="0.15">
      <c r="A2430" s="15"/>
      <c r="B2430" s="15"/>
    </row>
    <row r="2431" spans="1:2" x14ac:dyDescent="0.15">
      <c r="A2431" s="15"/>
      <c r="B2431" s="15"/>
    </row>
    <row r="2432" spans="1:2" x14ac:dyDescent="0.15">
      <c r="A2432" s="15"/>
      <c r="B2432" s="15"/>
    </row>
    <row r="2433" spans="1:2" x14ac:dyDescent="0.15">
      <c r="A2433" s="15"/>
      <c r="B2433" s="15"/>
    </row>
    <row r="2434" spans="1:2" x14ac:dyDescent="0.15">
      <c r="A2434" s="15"/>
      <c r="B2434" s="15"/>
    </row>
    <row r="2435" spans="1:2" x14ac:dyDescent="0.15">
      <c r="A2435" s="15"/>
      <c r="B2435" s="15"/>
    </row>
    <row r="2436" spans="1:2" x14ac:dyDescent="0.15">
      <c r="A2436" s="15"/>
      <c r="B2436" s="15"/>
    </row>
    <row r="2437" spans="1:2" x14ac:dyDescent="0.15">
      <c r="A2437" s="15"/>
      <c r="B2437" s="15"/>
    </row>
    <row r="2438" spans="1:2" x14ac:dyDescent="0.15">
      <c r="A2438" s="15"/>
      <c r="B2438" s="15"/>
    </row>
    <row r="2439" spans="1:2" x14ac:dyDescent="0.15">
      <c r="A2439" s="15"/>
      <c r="B2439" s="15"/>
    </row>
    <row r="2440" spans="1:2" x14ac:dyDescent="0.15">
      <c r="A2440" s="15"/>
      <c r="B2440" s="15"/>
    </row>
    <row r="2441" spans="1:2" x14ac:dyDescent="0.15">
      <c r="A2441" s="15"/>
      <c r="B2441" s="15"/>
    </row>
    <row r="2442" spans="1:2" x14ac:dyDescent="0.15">
      <c r="A2442" s="15"/>
      <c r="B2442" s="15"/>
    </row>
    <row r="2443" spans="1:2" x14ac:dyDescent="0.15">
      <c r="A2443" s="15"/>
      <c r="B2443" s="15"/>
    </row>
    <row r="2444" spans="1:2" x14ac:dyDescent="0.15">
      <c r="A2444" s="15"/>
      <c r="B2444" s="15"/>
    </row>
    <row r="2445" spans="1:2" x14ac:dyDescent="0.15">
      <c r="A2445" s="15"/>
      <c r="B2445" s="15"/>
    </row>
    <row r="2446" spans="1:2" x14ac:dyDescent="0.15">
      <c r="A2446" s="15"/>
      <c r="B2446" s="15"/>
    </row>
    <row r="2447" spans="1:2" x14ac:dyDescent="0.15">
      <c r="A2447" s="15"/>
      <c r="B2447" s="15"/>
    </row>
    <row r="2448" spans="1:2" x14ac:dyDescent="0.15">
      <c r="A2448" s="15"/>
      <c r="B2448" s="15"/>
    </row>
    <row r="2449" spans="1:2" x14ac:dyDescent="0.15">
      <c r="A2449" s="15"/>
      <c r="B2449" s="15"/>
    </row>
    <row r="2450" spans="1:2" x14ac:dyDescent="0.15">
      <c r="A2450" s="15"/>
      <c r="B2450" s="15"/>
    </row>
    <row r="2451" spans="1:2" x14ac:dyDescent="0.15">
      <c r="A2451" s="15"/>
      <c r="B2451" s="15"/>
    </row>
    <row r="2452" spans="1:2" x14ac:dyDescent="0.15">
      <c r="A2452" s="15"/>
      <c r="B2452" s="15"/>
    </row>
    <row r="2453" spans="1:2" x14ac:dyDescent="0.15">
      <c r="A2453" s="15"/>
      <c r="B2453" s="15"/>
    </row>
    <row r="2454" spans="1:2" x14ac:dyDescent="0.15">
      <c r="A2454" s="15"/>
      <c r="B2454" s="15"/>
    </row>
    <row r="2455" spans="1:2" x14ac:dyDescent="0.15">
      <c r="A2455" s="15"/>
      <c r="B2455" s="15"/>
    </row>
    <row r="2456" spans="1:2" x14ac:dyDescent="0.15">
      <c r="A2456" s="15"/>
      <c r="B2456" s="15"/>
    </row>
    <row r="2457" spans="1:2" x14ac:dyDescent="0.15">
      <c r="A2457" s="15"/>
      <c r="B2457" s="15"/>
    </row>
    <row r="2458" spans="1:2" x14ac:dyDescent="0.15">
      <c r="A2458" s="15"/>
      <c r="B2458" s="15"/>
    </row>
    <row r="2459" spans="1:2" x14ac:dyDescent="0.15">
      <c r="A2459" s="15"/>
      <c r="B2459" s="15"/>
    </row>
    <row r="2460" spans="1:2" x14ac:dyDescent="0.15">
      <c r="A2460" s="15"/>
      <c r="B2460" s="15"/>
    </row>
    <row r="2461" spans="1:2" x14ac:dyDescent="0.15">
      <c r="A2461" s="15"/>
      <c r="B2461" s="15"/>
    </row>
    <row r="2462" spans="1:2" x14ac:dyDescent="0.15">
      <c r="A2462" s="15"/>
      <c r="B2462" s="15"/>
    </row>
    <row r="2463" spans="1:2" x14ac:dyDescent="0.15">
      <c r="A2463" s="15"/>
      <c r="B2463" s="15"/>
    </row>
    <row r="2464" spans="1:2" x14ac:dyDescent="0.15">
      <c r="A2464" s="15"/>
      <c r="B2464" s="15"/>
    </row>
    <row r="2465" spans="1:2" x14ac:dyDescent="0.15">
      <c r="A2465" s="15"/>
      <c r="B2465" s="15"/>
    </row>
    <row r="2466" spans="1:2" x14ac:dyDescent="0.15">
      <c r="A2466" s="15"/>
      <c r="B2466" s="15"/>
    </row>
    <row r="2467" spans="1:2" x14ac:dyDescent="0.15">
      <c r="A2467" s="15"/>
      <c r="B2467" s="15"/>
    </row>
    <row r="2468" spans="1:2" x14ac:dyDescent="0.15">
      <c r="A2468" s="15"/>
      <c r="B2468" s="15"/>
    </row>
    <row r="2469" spans="1:2" x14ac:dyDescent="0.15">
      <c r="A2469" s="15"/>
      <c r="B2469" s="15"/>
    </row>
    <row r="2470" spans="1:2" x14ac:dyDescent="0.15">
      <c r="A2470" s="15"/>
      <c r="B2470" s="15"/>
    </row>
    <row r="2471" spans="1:2" x14ac:dyDescent="0.15">
      <c r="A2471" s="15"/>
      <c r="B2471" s="15"/>
    </row>
    <row r="2472" spans="1:2" x14ac:dyDescent="0.15">
      <c r="A2472" s="15"/>
      <c r="B2472" s="15"/>
    </row>
    <row r="2473" spans="1:2" x14ac:dyDescent="0.15">
      <c r="A2473" s="15"/>
      <c r="B2473" s="15"/>
    </row>
    <row r="2474" spans="1:2" x14ac:dyDescent="0.15">
      <c r="A2474" s="15"/>
      <c r="B2474" s="15"/>
    </row>
    <row r="2475" spans="1:2" x14ac:dyDescent="0.15">
      <c r="A2475" s="15"/>
      <c r="B2475" s="15"/>
    </row>
    <row r="2476" spans="1:2" x14ac:dyDescent="0.15">
      <c r="A2476" s="15"/>
      <c r="B2476" s="15"/>
    </row>
    <row r="2477" spans="1:2" x14ac:dyDescent="0.15">
      <c r="A2477" s="15"/>
      <c r="B2477" s="15"/>
    </row>
    <row r="2478" spans="1:2" x14ac:dyDescent="0.15">
      <c r="A2478" s="15"/>
      <c r="B2478" s="15"/>
    </row>
    <row r="2479" spans="1:2" x14ac:dyDescent="0.15">
      <c r="A2479" s="15"/>
      <c r="B2479" s="15"/>
    </row>
    <row r="2480" spans="1:2" x14ac:dyDescent="0.15">
      <c r="A2480" s="15"/>
      <c r="B2480" s="15"/>
    </row>
    <row r="2481" spans="1:2" x14ac:dyDescent="0.15">
      <c r="A2481" s="15"/>
      <c r="B2481" s="15"/>
    </row>
    <row r="2482" spans="1:2" x14ac:dyDescent="0.15">
      <c r="A2482" s="15"/>
      <c r="B2482" s="15"/>
    </row>
    <row r="2483" spans="1:2" x14ac:dyDescent="0.15">
      <c r="A2483" s="15"/>
      <c r="B2483" s="15"/>
    </row>
    <row r="2484" spans="1:2" x14ac:dyDescent="0.15">
      <c r="A2484" s="15"/>
      <c r="B2484" s="15"/>
    </row>
    <row r="2485" spans="1:2" x14ac:dyDescent="0.15">
      <c r="A2485" s="15"/>
      <c r="B2485" s="15"/>
    </row>
    <row r="2486" spans="1:2" x14ac:dyDescent="0.15">
      <c r="A2486" s="15"/>
      <c r="B2486" s="15"/>
    </row>
    <row r="2487" spans="1:2" x14ac:dyDescent="0.15">
      <c r="A2487" s="15"/>
      <c r="B2487" s="15"/>
    </row>
    <row r="2488" spans="1:2" x14ac:dyDescent="0.15">
      <c r="A2488" s="15"/>
      <c r="B2488" s="15"/>
    </row>
    <row r="2489" spans="1:2" x14ac:dyDescent="0.15">
      <c r="A2489" s="15"/>
      <c r="B2489" s="15"/>
    </row>
    <row r="2490" spans="1:2" x14ac:dyDescent="0.15">
      <c r="A2490" s="15"/>
      <c r="B2490" s="15"/>
    </row>
    <row r="2491" spans="1:2" x14ac:dyDescent="0.15">
      <c r="A2491" s="15"/>
      <c r="B2491" s="15"/>
    </row>
    <row r="2492" spans="1:2" x14ac:dyDescent="0.15">
      <c r="A2492" s="15"/>
      <c r="B2492" s="15"/>
    </row>
    <row r="2493" spans="1:2" x14ac:dyDescent="0.15">
      <c r="A2493" s="15"/>
      <c r="B2493" s="15"/>
    </row>
    <row r="2494" spans="1:2" x14ac:dyDescent="0.15">
      <c r="A2494" s="15"/>
      <c r="B2494" s="15"/>
    </row>
    <row r="2495" spans="1:2" x14ac:dyDescent="0.15">
      <c r="A2495" s="15"/>
      <c r="B2495" s="15"/>
    </row>
    <row r="2496" spans="1:2" x14ac:dyDescent="0.15">
      <c r="A2496" s="15"/>
      <c r="B2496" s="15"/>
    </row>
    <row r="2497" spans="1:2" x14ac:dyDescent="0.15">
      <c r="A2497" s="15"/>
      <c r="B2497" s="15"/>
    </row>
    <row r="2498" spans="1:2" x14ac:dyDescent="0.15">
      <c r="A2498" s="15"/>
      <c r="B2498" s="15"/>
    </row>
    <row r="2499" spans="1:2" x14ac:dyDescent="0.15">
      <c r="A2499" s="15"/>
      <c r="B2499" s="15"/>
    </row>
    <row r="2500" spans="1:2" x14ac:dyDescent="0.15">
      <c r="A2500" s="15"/>
      <c r="B2500" s="15"/>
    </row>
    <row r="2501" spans="1:2" x14ac:dyDescent="0.15">
      <c r="A2501" s="15"/>
      <c r="B2501" s="15"/>
    </row>
    <row r="2502" spans="1:2" x14ac:dyDescent="0.15">
      <c r="A2502" s="15"/>
      <c r="B2502" s="15"/>
    </row>
    <row r="2503" spans="1:2" x14ac:dyDescent="0.15">
      <c r="A2503" s="15"/>
      <c r="B2503" s="15"/>
    </row>
    <row r="2504" spans="1:2" x14ac:dyDescent="0.15">
      <c r="A2504" s="15"/>
      <c r="B2504" s="15"/>
    </row>
    <row r="2505" spans="1:2" x14ac:dyDescent="0.15">
      <c r="A2505" s="15"/>
      <c r="B2505" s="15"/>
    </row>
    <row r="2506" spans="1:2" x14ac:dyDescent="0.15">
      <c r="A2506" s="15"/>
      <c r="B2506" s="15"/>
    </row>
    <row r="2507" spans="1:2" x14ac:dyDescent="0.15">
      <c r="A2507" s="15"/>
      <c r="B2507" s="15"/>
    </row>
    <row r="2508" spans="1:2" x14ac:dyDescent="0.15">
      <c r="A2508" s="15"/>
      <c r="B2508" s="15"/>
    </row>
    <row r="2509" spans="1:2" x14ac:dyDescent="0.15">
      <c r="A2509" s="15"/>
      <c r="B2509" s="15"/>
    </row>
    <row r="2510" spans="1:2" x14ac:dyDescent="0.15">
      <c r="A2510" s="15"/>
      <c r="B2510" s="15"/>
    </row>
    <row r="2511" spans="1:2" x14ac:dyDescent="0.15">
      <c r="A2511" s="15"/>
      <c r="B2511" s="15"/>
    </row>
    <row r="2512" spans="1:2" x14ac:dyDescent="0.15">
      <c r="A2512" s="15"/>
      <c r="B2512" s="15"/>
    </row>
    <row r="2513" spans="1:2" x14ac:dyDescent="0.15">
      <c r="A2513" s="15"/>
      <c r="B2513" s="15"/>
    </row>
    <row r="2514" spans="1:2" x14ac:dyDescent="0.15">
      <c r="A2514" s="15"/>
      <c r="B2514" s="15"/>
    </row>
    <row r="2515" spans="1:2" x14ac:dyDescent="0.15">
      <c r="A2515" s="15"/>
      <c r="B2515" s="15"/>
    </row>
    <row r="2516" spans="1:2" x14ac:dyDescent="0.15">
      <c r="A2516" s="15"/>
      <c r="B2516" s="15"/>
    </row>
    <row r="2517" spans="1:2" x14ac:dyDescent="0.15">
      <c r="A2517" s="15"/>
      <c r="B2517" s="15"/>
    </row>
    <row r="2518" spans="1:2" x14ac:dyDescent="0.15">
      <c r="A2518" s="15"/>
      <c r="B2518" s="15"/>
    </row>
    <row r="2519" spans="1:2" x14ac:dyDescent="0.15">
      <c r="A2519" s="15"/>
      <c r="B2519" s="15"/>
    </row>
    <row r="2520" spans="1:2" x14ac:dyDescent="0.15">
      <c r="A2520" s="15"/>
      <c r="B2520" s="15"/>
    </row>
    <row r="2521" spans="1:2" x14ac:dyDescent="0.15">
      <c r="A2521" s="15"/>
      <c r="B2521" s="15"/>
    </row>
    <row r="2522" spans="1:2" x14ac:dyDescent="0.15">
      <c r="A2522" s="15"/>
      <c r="B2522" s="15"/>
    </row>
    <row r="2523" spans="1:2" x14ac:dyDescent="0.15">
      <c r="A2523" s="15"/>
      <c r="B2523" s="15"/>
    </row>
    <row r="2524" spans="1:2" x14ac:dyDescent="0.15">
      <c r="A2524" s="15"/>
      <c r="B2524" s="15"/>
    </row>
    <row r="2525" spans="1:2" x14ac:dyDescent="0.15">
      <c r="A2525" s="15"/>
      <c r="B2525" s="15"/>
    </row>
    <row r="2526" spans="1:2" x14ac:dyDescent="0.15">
      <c r="A2526" s="15"/>
      <c r="B2526" s="15"/>
    </row>
    <row r="2527" spans="1:2" x14ac:dyDescent="0.15">
      <c r="A2527" s="15"/>
      <c r="B2527" s="15"/>
    </row>
    <row r="2528" spans="1:2" x14ac:dyDescent="0.15">
      <c r="A2528" s="15"/>
      <c r="B2528" s="15"/>
    </row>
    <row r="2529" spans="1:2" x14ac:dyDescent="0.15">
      <c r="A2529" s="15"/>
      <c r="B2529" s="15"/>
    </row>
    <row r="2530" spans="1:2" x14ac:dyDescent="0.15">
      <c r="A2530" s="15"/>
      <c r="B2530" s="15"/>
    </row>
    <row r="2531" spans="1:2" x14ac:dyDescent="0.15">
      <c r="A2531" s="15"/>
      <c r="B2531" s="15"/>
    </row>
    <row r="2532" spans="1:2" x14ac:dyDescent="0.15">
      <c r="A2532" s="15"/>
      <c r="B2532" s="15"/>
    </row>
    <row r="2533" spans="1:2" x14ac:dyDescent="0.15">
      <c r="A2533" s="15"/>
      <c r="B2533" s="15"/>
    </row>
    <row r="2534" spans="1:2" x14ac:dyDescent="0.15">
      <c r="A2534" s="15"/>
      <c r="B2534" s="15"/>
    </row>
    <row r="2535" spans="1:2" x14ac:dyDescent="0.15">
      <c r="A2535" s="15"/>
      <c r="B2535" s="15"/>
    </row>
    <row r="2536" spans="1:2" x14ac:dyDescent="0.15">
      <c r="A2536" s="15"/>
      <c r="B2536" s="15"/>
    </row>
    <row r="2537" spans="1:2" x14ac:dyDescent="0.15">
      <c r="A2537" s="15"/>
      <c r="B2537" s="15"/>
    </row>
    <row r="2538" spans="1:2" x14ac:dyDescent="0.15">
      <c r="A2538" s="15"/>
      <c r="B2538" s="15"/>
    </row>
    <row r="2539" spans="1:2" x14ac:dyDescent="0.15">
      <c r="A2539" s="15"/>
      <c r="B2539" s="15"/>
    </row>
    <row r="2540" spans="1:2" x14ac:dyDescent="0.15">
      <c r="A2540" s="15"/>
      <c r="B2540" s="15"/>
    </row>
    <row r="2541" spans="1:2" x14ac:dyDescent="0.15">
      <c r="A2541" s="15"/>
      <c r="B2541" s="15"/>
    </row>
    <row r="2542" spans="1:2" x14ac:dyDescent="0.15">
      <c r="A2542" s="15"/>
      <c r="B2542" s="15"/>
    </row>
    <row r="2543" spans="1:2" x14ac:dyDescent="0.15">
      <c r="A2543" s="15"/>
      <c r="B2543" s="15"/>
    </row>
    <row r="2544" spans="1:2" x14ac:dyDescent="0.15">
      <c r="A2544" s="15"/>
      <c r="B2544" s="15"/>
    </row>
    <row r="2545" spans="1:2" x14ac:dyDescent="0.15">
      <c r="A2545" s="15"/>
      <c r="B2545" s="15"/>
    </row>
    <row r="2546" spans="1:2" x14ac:dyDescent="0.15">
      <c r="A2546" s="15"/>
      <c r="B2546" s="15"/>
    </row>
    <row r="2547" spans="1:2" x14ac:dyDescent="0.15">
      <c r="A2547" s="15"/>
      <c r="B2547" s="15"/>
    </row>
    <row r="2548" spans="1:2" x14ac:dyDescent="0.15">
      <c r="A2548" s="15"/>
      <c r="B2548" s="15"/>
    </row>
    <row r="2549" spans="1:2" x14ac:dyDescent="0.15">
      <c r="A2549" s="15"/>
      <c r="B2549" s="15"/>
    </row>
    <row r="2550" spans="1:2" x14ac:dyDescent="0.15">
      <c r="A2550" s="15"/>
      <c r="B2550" s="15"/>
    </row>
    <row r="2551" spans="1:2" x14ac:dyDescent="0.15">
      <c r="A2551" s="15"/>
      <c r="B2551" s="15"/>
    </row>
    <row r="2552" spans="1:2" x14ac:dyDescent="0.15">
      <c r="A2552" s="15"/>
      <c r="B2552" s="15"/>
    </row>
    <row r="2553" spans="1:2" x14ac:dyDescent="0.15">
      <c r="A2553" s="15"/>
      <c r="B2553" s="15"/>
    </row>
    <row r="2554" spans="1:2" x14ac:dyDescent="0.15">
      <c r="A2554" s="15"/>
      <c r="B2554" s="15"/>
    </row>
    <row r="2555" spans="1:2" x14ac:dyDescent="0.15">
      <c r="A2555" s="15"/>
      <c r="B2555" s="15"/>
    </row>
    <row r="2556" spans="1:2" x14ac:dyDescent="0.15">
      <c r="A2556" s="15"/>
      <c r="B2556" s="15"/>
    </row>
    <row r="2557" spans="1:2" x14ac:dyDescent="0.15">
      <c r="A2557" s="15"/>
      <c r="B2557" s="15"/>
    </row>
    <row r="2558" spans="1:2" x14ac:dyDescent="0.15">
      <c r="A2558" s="15"/>
      <c r="B2558" s="15"/>
    </row>
    <row r="2559" spans="1:2" x14ac:dyDescent="0.15">
      <c r="A2559" s="15"/>
      <c r="B2559" s="15"/>
    </row>
    <row r="2560" spans="1:2" x14ac:dyDescent="0.15">
      <c r="A2560" s="15"/>
      <c r="B2560" s="15"/>
    </row>
    <row r="2561" spans="1:2" x14ac:dyDescent="0.15">
      <c r="A2561" s="15"/>
      <c r="B2561" s="15"/>
    </row>
    <row r="2562" spans="1:2" x14ac:dyDescent="0.15">
      <c r="A2562" s="15"/>
      <c r="B2562" s="15"/>
    </row>
    <row r="2563" spans="1:2" x14ac:dyDescent="0.15">
      <c r="A2563" s="15"/>
      <c r="B2563" s="15"/>
    </row>
    <row r="2564" spans="1:2" x14ac:dyDescent="0.15">
      <c r="A2564" s="15"/>
      <c r="B2564" s="15"/>
    </row>
    <row r="2565" spans="1:2" x14ac:dyDescent="0.15">
      <c r="A2565" s="15"/>
      <c r="B2565" s="15"/>
    </row>
    <row r="2566" spans="1:2" x14ac:dyDescent="0.15">
      <c r="A2566" s="15"/>
      <c r="B2566" s="15"/>
    </row>
    <row r="2567" spans="1:2" x14ac:dyDescent="0.15">
      <c r="A2567" s="15"/>
      <c r="B2567" s="15"/>
    </row>
    <row r="2568" spans="1:2" x14ac:dyDescent="0.15">
      <c r="A2568" s="15"/>
      <c r="B2568" s="15"/>
    </row>
    <row r="2569" spans="1:2" x14ac:dyDescent="0.15">
      <c r="A2569" s="15"/>
      <c r="B2569" s="15"/>
    </row>
    <row r="2570" spans="1:2" x14ac:dyDescent="0.15">
      <c r="A2570" s="15"/>
      <c r="B2570" s="15"/>
    </row>
    <row r="2571" spans="1:2" x14ac:dyDescent="0.15">
      <c r="A2571" s="15"/>
      <c r="B2571" s="15"/>
    </row>
    <row r="2572" spans="1:2" x14ac:dyDescent="0.15">
      <c r="A2572" s="15"/>
      <c r="B2572" s="15"/>
    </row>
    <row r="2573" spans="1:2" x14ac:dyDescent="0.15">
      <c r="A2573" s="15"/>
      <c r="B2573" s="15"/>
    </row>
    <row r="2574" spans="1:2" x14ac:dyDescent="0.15">
      <c r="A2574" s="15"/>
      <c r="B2574" s="15"/>
    </row>
    <row r="2575" spans="1:2" x14ac:dyDescent="0.15">
      <c r="A2575" s="15"/>
      <c r="B2575" s="15"/>
    </row>
    <row r="2576" spans="1:2" x14ac:dyDescent="0.15">
      <c r="A2576" s="15"/>
      <c r="B2576" s="15"/>
    </row>
    <row r="2577" spans="1:2" x14ac:dyDescent="0.15">
      <c r="A2577" s="15"/>
      <c r="B2577" s="15"/>
    </row>
    <row r="2578" spans="1:2" x14ac:dyDescent="0.15">
      <c r="A2578" s="15"/>
      <c r="B2578" s="15"/>
    </row>
    <row r="2579" spans="1:2" x14ac:dyDescent="0.15">
      <c r="A2579" s="15"/>
      <c r="B2579" s="15"/>
    </row>
    <row r="2580" spans="1:2" x14ac:dyDescent="0.15">
      <c r="A2580" s="15"/>
      <c r="B2580" s="15"/>
    </row>
    <row r="2581" spans="1:2" x14ac:dyDescent="0.15">
      <c r="A2581" s="15"/>
      <c r="B2581" s="15"/>
    </row>
    <row r="2582" spans="1:2" x14ac:dyDescent="0.15">
      <c r="A2582" s="15"/>
      <c r="B2582" s="15"/>
    </row>
    <row r="2583" spans="1:2" x14ac:dyDescent="0.15">
      <c r="A2583" s="15"/>
      <c r="B2583" s="15"/>
    </row>
    <row r="2584" spans="1:2" x14ac:dyDescent="0.15">
      <c r="A2584" s="15"/>
      <c r="B2584" s="15"/>
    </row>
    <row r="2585" spans="1:2" x14ac:dyDescent="0.15">
      <c r="A2585" s="15"/>
      <c r="B2585" s="15"/>
    </row>
    <row r="2586" spans="1:2" x14ac:dyDescent="0.15">
      <c r="A2586" s="15"/>
      <c r="B2586" s="15"/>
    </row>
    <row r="2587" spans="1:2" x14ac:dyDescent="0.15">
      <c r="A2587" s="15"/>
      <c r="B2587" s="15"/>
    </row>
    <row r="2588" spans="1:2" x14ac:dyDescent="0.15">
      <c r="A2588" s="15"/>
      <c r="B2588" s="15"/>
    </row>
    <row r="2589" spans="1:2" x14ac:dyDescent="0.15">
      <c r="A2589" s="15"/>
      <c r="B2589" s="15"/>
    </row>
    <row r="2590" spans="1:2" x14ac:dyDescent="0.15">
      <c r="A2590" s="15"/>
      <c r="B2590" s="15"/>
    </row>
    <row r="2591" spans="1:2" x14ac:dyDescent="0.15">
      <c r="A2591" s="15"/>
      <c r="B2591" s="15"/>
    </row>
    <row r="2592" spans="1:2" x14ac:dyDescent="0.15">
      <c r="A2592" s="15"/>
      <c r="B2592" s="15"/>
    </row>
    <row r="2593" spans="1:2" x14ac:dyDescent="0.15">
      <c r="A2593" s="15"/>
      <c r="B2593" s="15"/>
    </row>
    <row r="2594" spans="1:2" x14ac:dyDescent="0.15">
      <c r="A2594" s="15"/>
      <c r="B2594" s="15"/>
    </row>
    <row r="2595" spans="1:2" x14ac:dyDescent="0.15">
      <c r="A2595" s="15"/>
      <c r="B2595" s="15"/>
    </row>
    <row r="2596" spans="1:2" x14ac:dyDescent="0.15">
      <c r="A2596" s="15"/>
      <c r="B2596" s="15"/>
    </row>
    <row r="2597" spans="1:2" x14ac:dyDescent="0.15">
      <c r="A2597" s="15"/>
      <c r="B2597" s="15"/>
    </row>
    <row r="2598" spans="1:2" x14ac:dyDescent="0.15">
      <c r="A2598" s="15"/>
      <c r="B2598" s="15"/>
    </row>
    <row r="2599" spans="1:2" x14ac:dyDescent="0.15">
      <c r="A2599" s="15"/>
      <c r="B2599" s="15"/>
    </row>
    <row r="2600" spans="1:2" x14ac:dyDescent="0.15">
      <c r="A2600" s="15"/>
      <c r="B2600" s="15"/>
    </row>
    <row r="2601" spans="1:2" x14ac:dyDescent="0.15">
      <c r="A2601" s="15"/>
      <c r="B2601" s="15"/>
    </row>
    <row r="2602" spans="1:2" x14ac:dyDescent="0.15">
      <c r="A2602" s="15"/>
      <c r="B2602" s="15"/>
    </row>
    <row r="2603" spans="1:2" x14ac:dyDescent="0.15">
      <c r="A2603" s="15"/>
      <c r="B2603" s="15"/>
    </row>
    <row r="2604" spans="1:2" x14ac:dyDescent="0.15">
      <c r="A2604" s="15"/>
      <c r="B2604" s="15"/>
    </row>
    <row r="2605" spans="1:2" x14ac:dyDescent="0.15">
      <c r="A2605" s="15"/>
      <c r="B2605" s="15"/>
    </row>
    <row r="2606" spans="1:2" x14ac:dyDescent="0.15">
      <c r="A2606" s="15"/>
      <c r="B2606" s="15"/>
    </row>
    <row r="2607" spans="1:2" x14ac:dyDescent="0.15">
      <c r="A2607" s="15"/>
      <c r="B2607" s="15"/>
    </row>
    <row r="2608" spans="1:2" x14ac:dyDescent="0.15">
      <c r="A2608" s="15"/>
      <c r="B2608" s="15"/>
    </row>
    <row r="2609" spans="1:2" x14ac:dyDescent="0.15">
      <c r="A2609" s="15"/>
      <c r="B2609" s="15"/>
    </row>
    <row r="2610" spans="1:2" x14ac:dyDescent="0.15">
      <c r="A2610" s="15"/>
      <c r="B2610" s="15"/>
    </row>
    <row r="2611" spans="1:2" x14ac:dyDescent="0.15">
      <c r="A2611" s="15"/>
      <c r="B2611" s="15"/>
    </row>
    <row r="2612" spans="1:2" x14ac:dyDescent="0.15">
      <c r="A2612" s="15"/>
      <c r="B2612" s="15"/>
    </row>
    <row r="2613" spans="1:2" x14ac:dyDescent="0.15">
      <c r="A2613" s="15"/>
      <c r="B2613" s="15"/>
    </row>
    <row r="2614" spans="1:2" x14ac:dyDescent="0.15">
      <c r="A2614" s="15"/>
      <c r="B2614" s="15"/>
    </row>
    <row r="2615" spans="1:2" x14ac:dyDescent="0.15">
      <c r="A2615" s="15"/>
      <c r="B2615" s="15"/>
    </row>
    <row r="2616" spans="1:2" x14ac:dyDescent="0.15">
      <c r="A2616" s="15"/>
      <c r="B2616" s="15"/>
    </row>
    <row r="2617" spans="1:2" x14ac:dyDescent="0.15">
      <c r="A2617" s="15"/>
      <c r="B2617" s="15"/>
    </row>
    <row r="2618" spans="1:2" x14ac:dyDescent="0.15">
      <c r="A2618" s="15"/>
      <c r="B2618" s="15"/>
    </row>
    <row r="2619" spans="1:2" x14ac:dyDescent="0.15">
      <c r="A2619" s="15"/>
      <c r="B2619" s="15"/>
    </row>
    <row r="2620" spans="1:2" x14ac:dyDescent="0.15">
      <c r="A2620" s="15"/>
      <c r="B2620" s="15"/>
    </row>
    <row r="2621" spans="1:2" x14ac:dyDescent="0.15">
      <c r="A2621" s="15"/>
      <c r="B2621" s="15"/>
    </row>
    <row r="2622" spans="1:2" x14ac:dyDescent="0.15">
      <c r="A2622" s="15"/>
      <c r="B2622" s="15"/>
    </row>
    <row r="2623" spans="1:2" x14ac:dyDescent="0.15">
      <c r="A2623" s="15"/>
      <c r="B2623" s="15"/>
    </row>
    <row r="2624" spans="1:2" x14ac:dyDescent="0.15">
      <c r="A2624" s="15"/>
      <c r="B2624" s="15"/>
    </row>
    <row r="2625" spans="1:2" x14ac:dyDescent="0.15">
      <c r="A2625" s="15"/>
      <c r="B2625" s="15"/>
    </row>
    <row r="2626" spans="1:2" x14ac:dyDescent="0.15">
      <c r="A2626" s="15"/>
      <c r="B2626" s="15"/>
    </row>
    <row r="2627" spans="1:2" x14ac:dyDescent="0.15">
      <c r="A2627" s="15"/>
      <c r="B2627" s="15"/>
    </row>
    <row r="2628" spans="1:2" x14ac:dyDescent="0.15">
      <c r="A2628" s="15"/>
      <c r="B2628" s="15"/>
    </row>
    <row r="2629" spans="1:2" x14ac:dyDescent="0.15">
      <c r="A2629" s="15"/>
      <c r="B2629" s="15"/>
    </row>
    <row r="2630" spans="1:2" x14ac:dyDescent="0.15">
      <c r="A2630" s="15"/>
      <c r="B2630" s="15"/>
    </row>
    <row r="2631" spans="1:2" x14ac:dyDescent="0.15">
      <c r="A2631" s="15"/>
      <c r="B2631" s="15"/>
    </row>
    <row r="2632" spans="1:2" x14ac:dyDescent="0.15">
      <c r="A2632" s="15"/>
      <c r="B2632" s="15"/>
    </row>
    <row r="2633" spans="1:2" x14ac:dyDescent="0.15">
      <c r="A2633" s="15"/>
      <c r="B2633" s="15"/>
    </row>
    <row r="2634" spans="1:2" x14ac:dyDescent="0.15">
      <c r="A2634" s="15"/>
      <c r="B2634" s="15"/>
    </row>
    <row r="2635" spans="1:2" x14ac:dyDescent="0.15">
      <c r="A2635" s="15"/>
      <c r="B2635" s="15"/>
    </row>
    <row r="2636" spans="1:2" x14ac:dyDescent="0.15">
      <c r="A2636" s="15"/>
      <c r="B2636" s="15"/>
    </row>
    <row r="2637" spans="1:2" x14ac:dyDescent="0.15">
      <c r="A2637" s="15"/>
      <c r="B2637" s="15"/>
    </row>
    <row r="2638" spans="1:2" x14ac:dyDescent="0.15">
      <c r="A2638" s="15"/>
      <c r="B2638" s="15"/>
    </row>
    <row r="2639" spans="1:2" x14ac:dyDescent="0.15">
      <c r="A2639" s="15"/>
      <c r="B2639" s="15"/>
    </row>
    <row r="2640" spans="1:2" x14ac:dyDescent="0.15">
      <c r="A2640" s="15"/>
      <c r="B2640" s="15"/>
    </row>
    <row r="2641" spans="1:2" x14ac:dyDescent="0.15">
      <c r="A2641" s="15"/>
      <c r="B2641" s="15"/>
    </row>
    <row r="2642" spans="1:2" x14ac:dyDescent="0.15">
      <c r="A2642" s="15"/>
      <c r="B2642" s="15"/>
    </row>
    <row r="2643" spans="1:2" x14ac:dyDescent="0.15">
      <c r="A2643" s="15"/>
      <c r="B2643" s="15"/>
    </row>
    <row r="2644" spans="1:2" x14ac:dyDescent="0.15">
      <c r="A2644" s="15"/>
      <c r="B2644" s="15"/>
    </row>
    <row r="2645" spans="1:2" x14ac:dyDescent="0.15">
      <c r="A2645" s="15"/>
      <c r="B2645" s="15"/>
    </row>
    <row r="2646" spans="1:2" x14ac:dyDescent="0.15">
      <c r="A2646" s="15"/>
      <c r="B2646" s="15"/>
    </row>
    <row r="2647" spans="1:2" x14ac:dyDescent="0.15">
      <c r="A2647" s="15"/>
      <c r="B2647" s="15"/>
    </row>
    <row r="2648" spans="1:2" x14ac:dyDescent="0.15">
      <c r="A2648" s="15"/>
      <c r="B2648" s="15"/>
    </row>
    <row r="2649" spans="1:2" x14ac:dyDescent="0.15">
      <c r="A2649" s="15"/>
      <c r="B2649" s="15"/>
    </row>
    <row r="2650" spans="1:2" x14ac:dyDescent="0.15">
      <c r="A2650" s="15"/>
      <c r="B2650" s="15"/>
    </row>
    <row r="2651" spans="1:2" x14ac:dyDescent="0.15">
      <c r="A2651" s="15"/>
      <c r="B2651" s="15"/>
    </row>
    <row r="2652" spans="1:2" x14ac:dyDescent="0.15">
      <c r="A2652" s="15"/>
      <c r="B2652" s="15"/>
    </row>
    <row r="2653" spans="1:2" x14ac:dyDescent="0.15">
      <c r="A2653" s="15"/>
      <c r="B2653" s="15"/>
    </row>
    <row r="2654" spans="1:2" x14ac:dyDescent="0.15">
      <c r="A2654" s="15"/>
      <c r="B2654" s="15"/>
    </row>
    <row r="2655" spans="1:2" x14ac:dyDescent="0.15">
      <c r="A2655" s="15"/>
      <c r="B2655" s="15"/>
    </row>
    <row r="2656" spans="1:2" x14ac:dyDescent="0.15">
      <c r="A2656" s="15"/>
      <c r="B2656" s="15"/>
    </row>
    <row r="2657" spans="1:2" x14ac:dyDescent="0.15">
      <c r="A2657" s="15"/>
      <c r="B2657" s="15"/>
    </row>
    <row r="2658" spans="1:2" x14ac:dyDescent="0.15">
      <c r="A2658" s="15"/>
      <c r="B2658" s="15"/>
    </row>
    <row r="2659" spans="1:2" x14ac:dyDescent="0.15">
      <c r="A2659" s="15"/>
      <c r="B2659" s="15"/>
    </row>
    <row r="2660" spans="1:2" x14ac:dyDescent="0.15">
      <c r="A2660" s="15"/>
      <c r="B2660" s="15"/>
    </row>
    <row r="2661" spans="1:2" x14ac:dyDescent="0.15">
      <c r="A2661" s="15"/>
      <c r="B2661" s="15"/>
    </row>
    <row r="2662" spans="1:2" x14ac:dyDescent="0.15">
      <c r="A2662" s="15"/>
      <c r="B2662" s="15"/>
    </row>
    <row r="2663" spans="1:2" x14ac:dyDescent="0.15">
      <c r="A2663" s="15"/>
      <c r="B2663" s="15"/>
    </row>
    <row r="2664" spans="1:2" x14ac:dyDescent="0.15">
      <c r="A2664" s="15"/>
      <c r="B2664" s="15"/>
    </row>
    <row r="2665" spans="1:2" x14ac:dyDescent="0.15">
      <c r="A2665" s="15"/>
      <c r="B2665" s="15"/>
    </row>
    <row r="2666" spans="1:2" x14ac:dyDescent="0.15">
      <c r="A2666" s="15"/>
      <c r="B2666" s="15"/>
    </row>
    <row r="2667" spans="1:2" x14ac:dyDescent="0.15">
      <c r="A2667" s="15"/>
      <c r="B2667" s="15"/>
    </row>
    <row r="2668" spans="1:2" x14ac:dyDescent="0.15">
      <c r="A2668" s="15"/>
      <c r="B2668" s="15"/>
    </row>
    <row r="2669" spans="1:2" x14ac:dyDescent="0.15">
      <c r="A2669" s="15"/>
      <c r="B2669" s="15"/>
    </row>
    <row r="2670" spans="1:2" x14ac:dyDescent="0.15">
      <c r="A2670" s="15"/>
      <c r="B2670" s="15"/>
    </row>
    <row r="2671" spans="1:2" x14ac:dyDescent="0.15">
      <c r="A2671" s="15"/>
      <c r="B2671" s="15"/>
    </row>
    <row r="2672" spans="1:2" x14ac:dyDescent="0.15">
      <c r="A2672" s="15"/>
      <c r="B2672" s="15"/>
    </row>
    <row r="2673" spans="1:2" x14ac:dyDescent="0.15">
      <c r="A2673" s="15"/>
      <c r="B2673" s="15"/>
    </row>
    <row r="2674" spans="1:2" x14ac:dyDescent="0.15">
      <c r="A2674" s="15"/>
      <c r="B2674" s="15"/>
    </row>
    <row r="2675" spans="1:2" x14ac:dyDescent="0.15">
      <c r="A2675" s="15"/>
      <c r="B2675" s="15"/>
    </row>
    <row r="2676" spans="1:2" x14ac:dyDescent="0.15">
      <c r="A2676" s="15"/>
      <c r="B2676" s="15"/>
    </row>
    <row r="2677" spans="1:2" x14ac:dyDescent="0.15">
      <c r="A2677" s="15"/>
      <c r="B2677" s="15"/>
    </row>
    <row r="2678" spans="1:2" x14ac:dyDescent="0.15">
      <c r="A2678" s="15"/>
      <c r="B2678" s="15"/>
    </row>
    <row r="2679" spans="1:2" x14ac:dyDescent="0.15">
      <c r="A2679" s="15"/>
      <c r="B2679" s="15"/>
    </row>
    <row r="2680" spans="1:2" x14ac:dyDescent="0.15">
      <c r="A2680" s="15"/>
      <c r="B2680" s="15"/>
    </row>
    <row r="2681" spans="1:2" x14ac:dyDescent="0.15">
      <c r="A2681" s="15"/>
      <c r="B2681" s="15"/>
    </row>
    <row r="2682" spans="1:2" x14ac:dyDescent="0.15">
      <c r="A2682" s="15"/>
      <c r="B2682" s="15"/>
    </row>
    <row r="2683" spans="1:2" x14ac:dyDescent="0.15">
      <c r="A2683" s="15"/>
      <c r="B2683" s="15"/>
    </row>
    <row r="2684" spans="1:2" x14ac:dyDescent="0.15">
      <c r="A2684" s="15"/>
      <c r="B2684" s="15"/>
    </row>
    <row r="2685" spans="1:2" x14ac:dyDescent="0.15">
      <c r="A2685" s="15"/>
      <c r="B2685" s="15"/>
    </row>
    <row r="2686" spans="1:2" x14ac:dyDescent="0.15">
      <c r="A2686" s="15"/>
      <c r="B2686" s="15"/>
    </row>
    <row r="2687" spans="1:2" x14ac:dyDescent="0.15">
      <c r="A2687" s="15"/>
      <c r="B2687" s="15"/>
    </row>
    <row r="2688" spans="1:2" x14ac:dyDescent="0.15">
      <c r="A2688" s="15"/>
      <c r="B2688" s="15"/>
    </row>
    <row r="2689" spans="1:2" x14ac:dyDescent="0.15">
      <c r="A2689" s="15"/>
      <c r="B2689" s="15"/>
    </row>
    <row r="2690" spans="1:2" x14ac:dyDescent="0.15">
      <c r="A2690" s="15"/>
      <c r="B2690" s="15"/>
    </row>
    <row r="2691" spans="1:2" x14ac:dyDescent="0.15">
      <c r="A2691" s="15"/>
      <c r="B2691" s="15"/>
    </row>
    <row r="2692" spans="1:2" x14ac:dyDescent="0.15">
      <c r="A2692" s="15"/>
      <c r="B2692" s="15"/>
    </row>
    <row r="2693" spans="1:2" x14ac:dyDescent="0.15">
      <c r="A2693" s="15"/>
      <c r="B2693" s="15"/>
    </row>
    <row r="2694" spans="1:2" x14ac:dyDescent="0.15">
      <c r="A2694" s="15"/>
      <c r="B2694" s="15"/>
    </row>
    <row r="2695" spans="1:2" x14ac:dyDescent="0.15">
      <c r="A2695" s="15"/>
      <c r="B2695" s="15"/>
    </row>
    <row r="2696" spans="1:2" x14ac:dyDescent="0.15">
      <c r="A2696" s="15"/>
      <c r="B2696" s="15"/>
    </row>
    <row r="2697" spans="1:2" x14ac:dyDescent="0.15">
      <c r="A2697" s="15"/>
      <c r="B2697" s="15"/>
    </row>
    <row r="2698" spans="1:2" x14ac:dyDescent="0.15">
      <c r="A2698" s="15"/>
      <c r="B2698" s="15"/>
    </row>
    <row r="2699" spans="1:2" x14ac:dyDescent="0.15">
      <c r="A2699" s="15"/>
      <c r="B2699" s="15"/>
    </row>
    <row r="2700" spans="1:2" x14ac:dyDescent="0.15">
      <c r="A2700" s="15"/>
      <c r="B2700" s="15"/>
    </row>
    <row r="2701" spans="1:2" x14ac:dyDescent="0.15">
      <c r="A2701" s="15"/>
      <c r="B2701" s="15"/>
    </row>
    <row r="2702" spans="1:2" x14ac:dyDescent="0.15">
      <c r="A2702" s="15"/>
      <c r="B2702" s="15"/>
    </row>
    <row r="2703" spans="1:2" x14ac:dyDescent="0.15">
      <c r="A2703" s="15"/>
      <c r="B2703" s="15"/>
    </row>
    <row r="2704" spans="1:2" x14ac:dyDescent="0.15">
      <c r="A2704" s="15"/>
      <c r="B2704" s="15"/>
    </row>
    <row r="2705" spans="1:2" x14ac:dyDescent="0.15">
      <c r="A2705" s="15"/>
      <c r="B2705" s="15"/>
    </row>
    <row r="2706" spans="1:2" x14ac:dyDescent="0.15">
      <c r="A2706" s="15"/>
      <c r="B2706" s="15"/>
    </row>
    <row r="2707" spans="1:2" x14ac:dyDescent="0.15">
      <c r="A2707" s="15"/>
      <c r="B2707" s="15"/>
    </row>
    <row r="2708" spans="1:2" x14ac:dyDescent="0.15">
      <c r="A2708" s="15"/>
      <c r="B2708" s="15"/>
    </row>
    <row r="2709" spans="1:2" x14ac:dyDescent="0.15">
      <c r="A2709" s="15"/>
      <c r="B2709" s="15"/>
    </row>
    <row r="2710" spans="1:2" x14ac:dyDescent="0.15">
      <c r="A2710" s="15"/>
      <c r="B2710" s="15"/>
    </row>
    <row r="2711" spans="1:2" x14ac:dyDescent="0.15">
      <c r="A2711" s="15"/>
      <c r="B2711" s="15"/>
    </row>
    <row r="2712" spans="1:2" x14ac:dyDescent="0.15">
      <c r="A2712" s="15"/>
      <c r="B2712" s="15"/>
    </row>
    <row r="2713" spans="1:2" x14ac:dyDescent="0.15">
      <c r="A2713" s="15"/>
      <c r="B2713" s="15"/>
    </row>
    <row r="2714" spans="1:2" x14ac:dyDescent="0.15">
      <c r="A2714" s="15"/>
      <c r="B2714" s="15"/>
    </row>
    <row r="2715" spans="1:2" x14ac:dyDescent="0.15">
      <c r="A2715" s="15"/>
      <c r="B2715" s="15"/>
    </row>
    <row r="2716" spans="1:2" x14ac:dyDescent="0.15">
      <c r="A2716" s="15"/>
      <c r="B2716" s="15"/>
    </row>
    <row r="2717" spans="1:2" x14ac:dyDescent="0.15">
      <c r="A2717" s="15"/>
      <c r="B2717" s="15"/>
    </row>
    <row r="2718" spans="1:2" x14ac:dyDescent="0.15">
      <c r="A2718" s="15"/>
      <c r="B2718" s="15"/>
    </row>
    <row r="2719" spans="1:2" x14ac:dyDescent="0.15">
      <c r="A2719" s="15"/>
      <c r="B2719" s="15"/>
    </row>
    <row r="2720" spans="1:2" x14ac:dyDescent="0.15">
      <c r="A2720" s="15"/>
      <c r="B2720" s="15"/>
    </row>
    <row r="2721" spans="1:2" x14ac:dyDescent="0.15">
      <c r="A2721" s="15"/>
      <c r="B2721" s="15"/>
    </row>
    <row r="2722" spans="1:2" x14ac:dyDescent="0.15">
      <c r="A2722" s="15"/>
      <c r="B2722" s="15"/>
    </row>
    <row r="2723" spans="1:2" x14ac:dyDescent="0.15">
      <c r="A2723" s="15"/>
      <c r="B2723" s="15"/>
    </row>
    <row r="2724" spans="1:2" x14ac:dyDescent="0.15">
      <c r="A2724" s="15"/>
      <c r="B2724" s="15"/>
    </row>
    <row r="2725" spans="1:2" x14ac:dyDescent="0.15">
      <c r="A2725" s="15"/>
      <c r="B2725" s="15"/>
    </row>
    <row r="2726" spans="1:2" x14ac:dyDescent="0.15">
      <c r="A2726" s="15"/>
      <c r="B2726" s="15"/>
    </row>
    <row r="2727" spans="1:2" x14ac:dyDescent="0.15">
      <c r="A2727" s="15"/>
      <c r="B2727" s="15"/>
    </row>
    <row r="2728" spans="1:2" x14ac:dyDescent="0.15">
      <c r="A2728" s="15"/>
      <c r="B2728" s="15"/>
    </row>
    <row r="2729" spans="1:2" x14ac:dyDescent="0.15">
      <c r="A2729" s="15"/>
      <c r="B2729" s="15"/>
    </row>
    <row r="2730" spans="1:2" x14ac:dyDescent="0.15">
      <c r="A2730" s="15"/>
      <c r="B2730" s="15"/>
    </row>
    <row r="2731" spans="1:2" x14ac:dyDescent="0.15">
      <c r="A2731" s="15"/>
      <c r="B2731" s="15"/>
    </row>
    <row r="2732" spans="1:2" x14ac:dyDescent="0.15">
      <c r="A2732" s="15"/>
      <c r="B2732" s="15"/>
    </row>
    <row r="2733" spans="1:2" x14ac:dyDescent="0.15">
      <c r="A2733" s="15"/>
      <c r="B2733" s="15"/>
    </row>
    <row r="2734" spans="1:2" x14ac:dyDescent="0.15">
      <c r="A2734" s="15"/>
      <c r="B2734" s="15"/>
    </row>
    <row r="2735" spans="1:2" x14ac:dyDescent="0.15">
      <c r="A2735" s="15"/>
      <c r="B2735" s="15"/>
    </row>
    <row r="2736" spans="1:2" x14ac:dyDescent="0.15">
      <c r="A2736" s="15"/>
      <c r="B2736" s="15"/>
    </row>
    <row r="2737" spans="1:2" x14ac:dyDescent="0.15">
      <c r="A2737" s="15"/>
      <c r="B2737" s="15"/>
    </row>
    <row r="2738" spans="1:2" x14ac:dyDescent="0.15">
      <c r="A2738" s="15"/>
      <c r="B2738" s="15"/>
    </row>
    <row r="2739" spans="1:2" x14ac:dyDescent="0.15">
      <c r="A2739" s="15"/>
      <c r="B2739" s="15"/>
    </row>
    <row r="2740" spans="1:2" x14ac:dyDescent="0.15">
      <c r="A2740" s="15"/>
      <c r="B2740" s="15"/>
    </row>
    <row r="2741" spans="1:2" x14ac:dyDescent="0.15">
      <c r="A2741" s="15"/>
      <c r="B2741" s="15"/>
    </row>
    <row r="2742" spans="1:2" x14ac:dyDescent="0.15">
      <c r="A2742" s="15"/>
      <c r="B2742" s="15"/>
    </row>
    <row r="2743" spans="1:2" x14ac:dyDescent="0.15">
      <c r="A2743" s="15"/>
      <c r="B2743" s="15"/>
    </row>
    <row r="2744" spans="1:2" x14ac:dyDescent="0.15">
      <c r="A2744" s="15"/>
      <c r="B2744" s="15"/>
    </row>
    <row r="2745" spans="1:2" x14ac:dyDescent="0.15">
      <c r="A2745" s="15"/>
      <c r="B2745" s="15"/>
    </row>
    <row r="2746" spans="1:2" x14ac:dyDescent="0.15">
      <c r="A2746" s="15"/>
      <c r="B2746" s="15"/>
    </row>
    <row r="2747" spans="1:2" x14ac:dyDescent="0.15">
      <c r="A2747" s="15"/>
      <c r="B2747" s="15"/>
    </row>
    <row r="2748" spans="1:2" x14ac:dyDescent="0.15">
      <c r="A2748" s="15"/>
      <c r="B2748" s="15"/>
    </row>
    <row r="2749" spans="1:2" x14ac:dyDescent="0.15">
      <c r="A2749" s="15"/>
      <c r="B2749" s="15"/>
    </row>
    <row r="2750" spans="1:2" x14ac:dyDescent="0.15">
      <c r="A2750" s="15"/>
      <c r="B2750" s="15"/>
    </row>
    <row r="2751" spans="1:2" x14ac:dyDescent="0.15">
      <c r="A2751" s="15"/>
      <c r="B2751" s="15"/>
    </row>
    <row r="2752" spans="1:2" x14ac:dyDescent="0.15">
      <c r="A2752" s="15"/>
      <c r="B2752" s="15"/>
    </row>
    <row r="2753" spans="1:2" x14ac:dyDescent="0.15">
      <c r="A2753" s="15"/>
      <c r="B2753" s="15"/>
    </row>
    <row r="2754" spans="1:2" x14ac:dyDescent="0.15">
      <c r="A2754" s="15"/>
      <c r="B2754" s="15"/>
    </row>
    <row r="2755" spans="1:2" x14ac:dyDescent="0.15">
      <c r="A2755" s="15"/>
      <c r="B2755" s="15"/>
    </row>
    <row r="2756" spans="1:2" x14ac:dyDescent="0.15">
      <c r="A2756" s="15"/>
      <c r="B2756" s="15"/>
    </row>
    <row r="2757" spans="1:2" x14ac:dyDescent="0.15">
      <c r="A2757" s="15"/>
      <c r="B2757" s="15"/>
    </row>
    <row r="2758" spans="1:2" x14ac:dyDescent="0.15">
      <c r="A2758" s="15"/>
      <c r="B2758" s="15"/>
    </row>
    <row r="2759" spans="1:2" x14ac:dyDescent="0.15">
      <c r="A2759" s="15"/>
      <c r="B2759" s="15"/>
    </row>
    <row r="2760" spans="1:2" x14ac:dyDescent="0.15">
      <c r="A2760" s="15"/>
      <c r="B2760" s="15"/>
    </row>
    <row r="2761" spans="1:2" x14ac:dyDescent="0.15">
      <c r="A2761" s="15"/>
      <c r="B2761" s="15"/>
    </row>
    <row r="2762" spans="1:2" x14ac:dyDescent="0.15">
      <c r="A2762" s="15"/>
      <c r="B2762" s="15"/>
    </row>
    <row r="2763" spans="1:2" x14ac:dyDescent="0.15">
      <c r="A2763" s="15"/>
      <c r="B2763" s="15"/>
    </row>
    <row r="2764" spans="1:2" x14ac:dyDescent="0.15">
      <c r="A2764" s="15"/>
      <c r="B2764" s="15"/>
    </row>
    <row r="2765" spans="1:2" x14ac:dyDescent="0.15">
      <c r="A2765" s="15"/>
      <c r="B2765" s="15"/>
    </row>
    <row r="2766" spans="1:2" x14ac:dyDescent="0.15">
      <c r="A2766" s="15"/>
      <c r="B2766" s="15"/>
    </row>
    <row r="2767" spans="1:2" x14ac:dyDescent="0.15">
      <c r="A2767" s="15"/>
      <c r="B2767" s="15"/>
    </row>
    <row r="2768" spans="1:2" x14ac:dyDescent="0.15">
      <c r="A2768" s="15"/>
      <c r="B2768" s="15"/>
    </row>
    <row r="2769" spans="1:2" x14ac:dyDescent="0.15">
      <c r="A2769" s="15"/>
      <c r="B2769" s="15"/>
    </row>
    <row r="2770" spans="1:2" x14ac:dyDescent="0.15">
      <c r="A2770" s="15"/>
      <c r="B2770" s="15"/>
    </row>
    <row r="2771" spans="1:2" x14ac:dyDescent="0.15">
      <c r="A2771" s="15"/>
      <c r="B2771" s="15"/>
    </row>
    <row r="2772" spans="1:2" x14ac:dyDescent="0.15">
      <c r="A2772" s="15"/>
      <c r="B2772" s="15"/>
    </row>
    <row r="2773" spans="1:2" x14ac:dyDescent="0.15">
      <c r="A2773" s="15"/>
      <c r="B2773" s="15"/>
    </row>
    <row r="2774" spans="1:2" x14ac:dyDescent="0.15">
      <c r="A2774" s="15"/>
      <c r="B2774" s="15"/>
    </row>
    <row r="2775" spans="1:2" x14ac:dyDescent="0.15">
      <c r="A2775" s="15"/>
      <c r="B2775" s="15"/>
    </row>
    <row r="2776" spans="1:2" x14ac:dyDescent="0.15">
      <c r="A2776" s="15"/>
      <c r="B2776" s="15"/>
    </row>
    <row r="2777" spans="1:2" x14ac:dyDescent="0.15">
      <c r="A2777" s="15"/>
      <c r="B2777" s="15"/>
    </row>
    <row r="2778" spans="1:2" x14ac:dyDescent="0.15">
      <c r="A2778" s="15"/>
      <c r="B2778" s="15"/>
    </row>
    <row r="2779" spans="1:2" x14ac:dyDescent="0.15">
      <c r="A2779" s="15"/>
      <c r="B2779" s="15"/>
    </row>
    <row r="2780" spans="1:2" x14ac:dyDescent="0.15">
      <c r="A2780" s="15"/>
      <c r="B2780" s="15"/>
    </row>
    <row r="2781" spans="1:2" x14ac:dyDescent="0.15">
      <c r="A2781" s="15"/>
      <c r="B2781" s="15"/>
    </row>
    <row r="2782" spans="1:2" x14ac:dyDescent="0.15">
      <c r="A2782" s="15"/>
      <c r="B2782" s="15"/>
    </row>
    <row r="2783" spans="1:2" x14ac:dyDescent="0.15">
      <c r="A2783" s="15"/>
      <c r="B2783" s="15"/>
    </row>
    <row r="2784" spans="1:2" x14ac:dyDescent="0.15">
      <c r="A2784" s="15"/>
      <c r="B2784" s="15"/>
    </row>
    <row r="2785" spans="1:2" x14ac:dyDescent="0.15">
      <c r="A2785" s="15"/>
      <c r="B2785" s="15"/>
    </row>
    <row r="2786" spans="1:2" x14ac:dyDescent="0.15">
      <c r="A2786" s="15"/>
      <c r="B2786" s="15"/>
    </row>
    <row r="2787" spans="1:2" x14ac:dyDescent="0.15">
      <c r="A2787" s="15"/>
      <c r="B2787" s="15"/>
    </row>
    <row r="2788" spans="1:2" x14ac:dyDescent="0.15">
      <c r="A2788" s="15"/>
      <c r="B2788" s="15"/>
    </row>
    <row r="2789" spans="1:2" x14ac:dyDescent="0.15">
      <c r="A2789" s="15"/>
      <c r="B2789" s="15"/>
    </row>
    <row r="2790" spans="1:2" x14ac:dyDescent="0.15">
      <c r="A2790" s="15"/>
      <c r="B2790" s="15"/>
    </row>
    <row r="2791" spans="1:2" x14ac:dyDescent="0.15">
      <c r="A2791" s="15"/>
      <c r="B2791" s="15"/>
    </row>
    <row r="2792" spans="1:2" x14ac:dyDescent="0.15">
      <c r="A2792" s="15"/>
      <c r="B2792" s="15"/>
    </row>
    <row r="2793" spans="1:2" x14ac:dyDescent="0.15">
      <c r="A2793" s="15"/>
      <c r="B2793" s="15"/>
    </row>
    <row r="2794" spans="1:2" x14ac:dyDescent="0.15">
      <c r="A2794" s="15"/>
      <c r="B2794" s="15"/>
    </row>
    <row r="2795" spans="1:2" x14ac:dyDescent="0.15">
      <c r="A2795" s="15"/>
      <c r="B2795" s="15"/>
    </row>
    <row r="2796" spans="1:2" x14ac:dyDescent="0.15">
      <c r="A2796" s="15"/>
      <c r="B2796" s="15"/>
    </row>
    <row r="2797" spans="1:2" x14ac:dyDescent="0.15">
      <c r="A2797" s="15"/>
      <c r="B2797" s="15"/>
    </row>
    <row r="2798" spans="1:2" x14ac:dyDescent="0.15">
      <c r="A2798" s="15"/>
      <c r="B2798" s="15"/>
    </row>
    <row r="2799" spans="1:2" x14ac:dyDescent="0.15">
      <c r="A2799" s="15"/>
      <c r="B2799" s="15"/>
    </row>
    <row r="2800" spans="1:2" x14ac:dyDescent="0.15">
      <c r="A2800" s="15"/>
      <c r="B2800" s="15"/>
    </row>
    <row r="2801" spans="1:2" x14ac:dyDescent="0.15">
      <c r="A2801" s="15"/>
      <c r="B2801" s="15"/>
    </row>
    <row r="2802" spans="1:2" x14ac:dyDescent="0.15">
      <c r="A2802" s="15"/>
      <c r="B2802" s="15"/>
    </row>
    <row r="2803" spans="1:2" x14ac:dyDescent="0.15">
      <c r="A2803" s="15"/>
      <c r="B2803" s="15"/>
    </row>
    <row r="2804" spans="1:2" x14ac:dyDescent="0.15">
      <c r="A2804" s="15"/>
      <c r="B2804" s="15"/>
    </row>
    <row r="2805" spans="1:2" x14ac:dyDescent="0.15">
      <c r="A2805" s="15"/>
      <c r="B2805" s="15"/>
    </row>
    <row r="2806" spans="1:2" x14ac:dyDescent="0.15">
      <c r="A2806" s="15"/>
      <c r="B2806" s="15"/>
    </row>
    <row r="2807" spans="1:2" x14ac:dyDescent="0.15">
      <c r="A2807" s="15"/>
      <c r="B2807" s="15"/>
    </row>
    <row r="2808" spans="1:2" x14ac:dyDescent="0.15">
      <c r="A2808" s="15"/>
      <c r="B2808" s="15"/>
    </row>
    <row r="2809" spans="1:2" x14ac:dyDescent="0.15">
      <c r="A2809" s="15"/>
      <c r="B2809" s="15"/>
    </row>
    <row r="2810" spans="1:2" x14ac:dyDescent="0.15">
      <c r="A2810" s="15"/>
      <c r="B2810" s="15"/>
    </row>
    <row r="2811" spans="1:2" x14ac:dyDescent="0.15">
      <c r="A2811" s="15"/>
      <c r="B2811" s="15"/>
    </row>
    <row r="2812" spans="1:2" x14ac:dyDescent="0.15">
      <c r="A2812" s="15"/>
      <c r="B2812" s="15"/>
    </row>
    <row r="2813" spans="1:2" x14ac:dyDescent="0.15">
      <c r="A2813" s="15"/>
      <c r="B2813" s="15"/>
    </row>
    <row r="2814" spans="1:2" x14ac:dyDescent="0.15">
      <c r="A2814" s="15"/>
      <c r="B2814" s="15"/>
    </row>
    <row r="2815" spans="1:2" x14ac:dyDescent="0.15">
      <c r="A2815" s="15"/>
      <c r="B2815" s="15"/>
    </row>
    <row r="2816" spans="1:2" x14ac:dyDescent="0.15">
      <c r="A2816" s="15"/>
      <c r="B2816" s="15"/>
    </row>
    <row r="2817" spans="1:2" x14ac:dyDescent="0.15">
      <c r="A2817" s="15"/>
      <c r="B2817" s="15"/>
    </row>
    <row r="2818" spans="1:2" x14ac:dyDescent="0.15">
      <c r="A2818" s="15"/>
      <c r="B2818" s="15"/>
    </row>
    <row r="2819" spans="1:2" x14ac:dyDescent="0.15">
      <c r="A2819" s="15"/>
      <c r="B2819" s="15"/>
    </row>
    <row r="2820" spans="1:2" x14ac:dyDescent="0.15">
      <c r="A2820" s="15"/>
      <c r="B2820" s="15"/>
    </row>
    <row r="2821" spans="1:2" x14ac:dyDescent="0.15">
      <c r="A2821" s="15"/>
      <c r="B2821" s="15"/>
    </row>
    <row r="2822" spans="1:2" x14ac:dyDescent="0.15">
      <c r="A2822" s="15"/>
      <c r="B2822" s="15"/>
    </row>
    <row r="2823" spans="1:2" x14ac:dyDescent="0.15">
      <c r="A2823" s="15"/>
      <c r="B2823" s="15"/>
    </row>
    <row r="2824" spans="1:2" x14ac:dyDescent="0.15">
      <c r="A2824" s="15"/>
      <c r="B2824" s="15"/>
    </row>
    <row r="2825" spans="1:2" x14ac:dyDescent="0.15">
      <c r="A2825" s="15"/>
      <c r="B2825" s="15"/>
    </row>
    <row r="2826" spans="1:2" x14ac:dyDescent="0.15">
      <c r="A2826" s="15"/>
      <c r="B2826" s="15"/>
    </row>
    <row r="2827" spans="1:2" x14ac:dyDescent="0.15">
      <c r="A2827" s="15"/>
      <c r="B2827" s="15"/>
    </row>
    <row r="2828" spans="1:2" x14ac:dyDescent="0.15">
      <c r="A2828" s="15"/>
      <c r="B2828" s="15"/>
    </row>
    <row r="2829" spans="1:2" x14ac:dyDescent="0.15">
      <c r="A2829" s="15"/>
      <c r="B2829" s="15"/>
    </row>
    <row r="2830" spans="1:2" x14ac:dyDescent="0.15">
      <c r="A2830" s="15"/>
      <c r="B2830" s="15"/>
    </row>
    <row r="2831" spans="1:2" x14ac:dyDescent="0.15">
      <c r="A2831" s="15"/>
      <c r="B2831" s="15"/>
    </row>
    <row r="2832" spans="1:2" x14ac:dyDescent="0.15">
      <c r="A2832" s="15"/>
      <c r="B2832" s="15"/>
    </row>
    <row r="2833" spans="1:2" x14ac:dyDescent="0.15">
      <c r="A2833" s="15"/>
      <c r="B2833" s="15"/>
    </row>
    <row r="2834" spans="1:2" x14ac:dyDescent="0.15">
      <c r="A2834" s="15"/>
      <c r="B2834" s="15"/>
    </row>
    <row r="2835" spans="1:2" x14ac:dyDescent="0.15">
      <c r="A2835" s="15"/>
      <c r="B2835" s="15"/>
    </row>
    <row r="2836" spans="1:2" x14ac:dyDescent="0.15">
      <c r="A2836" s="15"/>
      <c r="B2836" s="15"/>
    </row>
    <row r="2837" spans="1:2" x14ac:dyDescent="0.15">
      <c r="A2837" s="15"/>
      <c r="B2837" s="15"/>
    </row>
    <row r="2838" spans="1:2" x14ac:dyDescent="0.15">
      <c r="A2838" s="15"/>
      <c r="B2838" s="15"/>
    </row>
    <row r="2839" spans="1:2" x14ac:dyDescent="0.15">
      <c r="A2839" s="15"/>
      <c r="B2839" s="15"/>
    </row>
    <row r="2840" spans="1:2" x14ac:dyDescent="0.15">
      <c r="A2840" s="15"/>
      <c r="B2840" s="15"/>
    </row>
    <row r="2841" spans="1:2" x14ac:dyDescent="0.15">
      <c r="A2841" s="15"/>
      <c r="B2841" s="15"/>
    </row>
    <row r="2842" spans="1:2" x14ac:dyDescent="0.15">
      <c r="A2842" s="15"/>
      <c r="B2842" s="15"/>
    </row>
    <row r="2843" spans="1:2" x14ac:dyDescent="0.15">
      <c r="A2843" s="15"/>
      <c r="B2843" s="15"/>
    </row>
    <row r="2844" spans="1:2" x14ac:dyDescent="0.15">
      <c r="A2844" s="15"/>
      <c r="B2844" s="15"/>
    </row>
    <row r="2845" spans="1:2" x14ac:dyDescent="0.15">
      <c r="A2845" s="15"/>
      <c r="B2845" s="15"/>
    </row>
    <row r="2846" spans="1:2" x14ac:dyDescent="0.15">
      <c r="A2846" s="15"/>
      <c r="B2846" s="15"/>
    </row>
    <row r="2847" spans="1:2" x14ac:dyDescent="0.15">
      <c r="A2847" s="15"/>
      <c r="B2847" s="15"/>
    </row>
    <row r="2848" spans="1:2" x14ac:dyDescent="0.15">
      <c r="A2848" s="15"/>
      <c r="B2848" s="15"/>
    </row>
    <row r="2849" spans="1:2" x14ac:dyDescent="0.15">
      <c r="A2849" s="15"/>
      <c r="B2849" s="15"/>
    </row>
    <row r="2850" spans="1:2" x14ac:dyDescent="0.15">
      <c r="A2850" s="15"/>
      <c r="B2850" s="15"/>
    </row>
    <row r="2851" spans="1:2" x14ac:dyDescent="0.15">
      <c r="A2851" s="15"/>
      <c r="B2851" s="15"/>
    </row>
    <row r="2852" spans="1:2" x14ac:dyDescent="0.15">
      <c r="A2852" s="15"/>
      <c r="B2852" s="15"/>
    </row>
    <row r="2853" spans="1:2" x14ac:dyDescent="0.15">
      <c r="A2853" s="15"/>
      <c r="B2853" s="15"/>
    </row>
    <row r="2854" spans="1:2" x14ac:dyDescent="0.15">
      <c r="A2854" s="15"/>
      <c r="B2854" s="15"/>
    </row>
    <row r="2855" spans="1:2" x14ac:dyDescent="0.15">
      <c r="A2855" s="15"/>
      <c r="B2855" s="15"/>
    </row>
    <row r="2856" spans="1:2" x14ac:dyDescent="0.15">
      <c r="A2856" s="15"/>
      <c r="B2856" s="15"/>
    </row>
    <row r="2857" spans="1:2" x14ac:dyDescent="0.15">
      <c r="A2857" s="15"/>
      <c r="B2857" s="15"/>
    </row>
    <row r="2858" spans="1:2" x14ac:dyDescent="0.15">
      <c r="A2858" s="15"/>
      <c r="B2858" s="15"/>
    </row>
    <row r="2859" spans="1:2" x14ac:dyDescent="0.15">
      <c r="A2859" s="15"/>
      <c r="B2859" s="15"/>
    </row>
    <row r="2860" spans="1:2" x14ac:dyDescent="0.15">
      <c r="A2860" s="15"/>
      <c r="B2860" s="15"/>
    </row>
    <row r="2861" spans="1:2" x14ac:dyDescent="0.15">
      <c r="A2861" s="15"/>
      <c r="B2861" s="15"/>
    </row>
    <row r="2862" spans="1:2" x14ac:dyDescent="0.15">
      <c r="A2862" s="15"/>
      <c r="B2862" s="15"/>
    </row>
    <row r="2863" spans="1:2" x14ac:dyDescent="0.15">
      <c r="A2863" s="15"/>
      <c r="B2863" s="15"/>
    </row>
    <row r="2864" spans="1:2" x14ac:dyDescent="0.15">
      <c r="A2864" s="15"/>
      <c r="B2864" s="15"/>
    </row>
    <row r="2865" spans="1:2" x14ac:dyDescent="0.15">
      <c r="A2865" s="15"/>
      <c r="B2865" s="15"/>
    </row>
    <row r="2866" spans="1:2" x14ac:dyDescent="0.15">
      <c r="A2866" s="15"/>
      <c r="B2866" s="15"/>
    </row>
    <row r="2867" spans="1:2" x14ac:dyDescent="0.15">
      <c r="A2867" s="15"/>
      <c r="B2867" s="15"/>
    </row>
    <row r="2868" spans="1:2" x14ac:dyDescent="0.15">
      <c r="A2868" s="15"/>
      <c r="B2868" s="15"/>
    </row>
    <row r="2869" spans="1:2" x14ac:dyDescent="0.15">
      <c r="A2869" s="15"/>
      <c r="B2869" s="15"/>
    </row>
    <row r="2870" spans="1:2" x14ac:dyDescent="0.15">
      <c r="A2870" s="15"/>
      <c r="B2870" s="15"/>
    </row>
    <row r="2871" spans="1:2" x14ac:dyDescent="0.15">
      <c r="A2871" s="15"/>
      <c r="B2871" s="15"/>
    </row>
    <row r="2872" spans="1:2" x14ac:dyDescent="0.15">
      <c r="A2872" s="15"/>
      <c r="B2872" s="15"/>
    </row>
    <row r="2873" spans="1:2" x14ac:dyDescent="0.15">
      <c r="A2873" s="15"/>
      <c r="B2873" s="15"/>
    </row>
    <row r="2874" spans="1:2" x14ac:dyDescent="0.15">
      <c r="A2874" s="15"/>
      <c r="B2874" s="15"/>
    </row>
    <row r="2875" spans="1:2" x14ac:dyDescent="0.15">
      <c r="A2875" s="15"/>
      <c r="B2875" s="15"/>
    </row>
    <row r="2876" spans="1:2" x14ac:dyDescent="0.15">
      <c r="A2876" s="15"/>
      <c r="B2876" s="15"/>
    </row>
    <row r="2877" spans="1:2" x14ac:dyDescent="0.15">
      <c r="A2877" s="15"/>
      <c r="B2877" s="15"/>
    </row>
    <row r="2878" spans="1:2" x14ac:dyDescent="0.15">
      <c r="A2878" s="15"/>
      <c r="B2878" s="15"/>
    </row>
    <row r="2879" spans="1:2" x14ac:dyDescent="0.15">
      <c r="A2879" s="15"/>
      <c r="B2879" s="15"/>
    </row>
    <row r="2880" spans="1:2" x14ac:dyDescent="0.15">
      <c r="A2880" s="15"/>
      <c r="B2880" s="15"/>
    </row>
    <row r="2881" spans="1:2" x14ac:dyDescent="0.15">
      <c r="A2881" s="15"/>
      <c r="B2881" s="15"/>
    </row>
    <row r="2882" spans="1:2" x14ac:dyDescent="0.15">
      <c r="A2882" s="15"/>
      <c r="B2882" s="15"/>
    </row>
    <row r="2883" spans="1:2" x14ac:dyDescent="0.15">
      <c r="A2883" s="15"/>
      <c r="B2883" s="15"/>
    </row>
    <row r="2884" spans="1:2" x14ac:dyDescent="0.15">
      <c r="A2884" s="15"/>
      <c r="B2884" s="15"/>
    </row>
    <row r="2885" spans="1:2" x14ac:dyDescent="0.15">
      <c r="A2885" s="15"/>
      <c r="B2885" s="15"/>
    </row>
    <row r="2886" spans="1:2" x14ac:dyDescent="0.15">
      <c r="A2886" s="15"/>
      <c r="B2886" s="15"/>
    </row>
    <row r="2887" spans="1:2" x14ac:dyDescent="0.15">
      <c r="A2887" s="15"/>
      <c r="B2887" s="15"/>
    </row>
    <row r="2888" spans="1:2" x14ac:dyDescent="0.15">
      <c r="A2888" s="15"/>
      <c r="B2888" s="15"/>
    </row>
    <row r="2889" spans="1:2" x14ac:dyDescent="0.15">
      <c r="A2889" s="15"/>
      <c r="B2889" s="15"/>
    </row>
    <row r="2890" spans="1:2" x14ac:dyDescent="0.15">
      <c r="A2890" s="15"/>
      <c r="B2890" s="15"/>
    </row>
    <row r="2891" spans="1:2" x14ac:dyDescent="0.15">
      <c r="A2891" s="15"/>
      <c r="B2891" s="15"/>
    </row>
    <row r="2892" spans="1:2" x14ac:dyDescent="0.15">
      <c r="A2892" s="15"/>
      <c r="B2892" s="15"/>
    </row>
    <row r="2893" spans="1:2" x14ac:dyDescent="0.15">
      <c r="A2893" s="15"/>
      <c r="B2893" s="15"/>
    </row>
    <row r="2894" spans="1:2" x14ac:dyDescent="0.15">
      <c r="A2894" s="15"/>
      <c r="B2894" s="15"/>
    </row>
    <row r="2895" spans="1:2" x14ac:dyDescent="0.15">
      <c r="A2895" s="15"/>
      <c r="B2895" s="15"/>
    </row>
    <row r="2896" spans="1:2" x14ac:dyDescent="0.15">
      <c r="A2896" s="15"/>
      <c r="B2896" s="15"/>
    </row>
    <row r="2897" spans="1:2" x14ac:dyDescent="0.15">
      <c r="A2897" s="15"/>
      <c r="B2897" s="15"/>
    </row>
    <row r="2898" spans="1:2" x14ac:dyDescent="0.15">
      <c r="A2898" s="15"/>
      <c r="B2898" s="15"/>
    </row>
    <row r="2899" spans="1:2" x14ac:dyDescent="0.15">
      <c r="A2899" s="15"/>
      <c r="B2899" s="15"/>
    </row>
    <row r="2900" spans="1:2" x14ac:dyDescent="0.15">
      <c r="A2900" s="15"/>
      <c r="B2900" s="15"/>
    </row>
    <row r="2901" spans="1:2" x14ac:dyDescent="0.15">
      <c r="A2901" s="15"/>
      <c r="B2901" s="15"/>
    </row>
    <row r="2902" spans="1:2" x14ac:dyDescent="0.15">
      <c r="A2902" s="15"/>
      <c r="B2902" s="15"/>
    </row>
    <row r="2903" spans="1:2" x14ac:dyDescent="0.15">
      <c r="A2903" s="15"/>
      <c r="B2903" s="15"/>
    </row>
    <row r="2904" spans="1:2" x14ac:dyDescent="0.15">
      <c r="A2904" s="15"/>
      <c r="B2904" s="15"/>
    </row>
    <row r="2905" spans="1:2" x14ac:dyDescent="0.15">
      <c r="A2905" s="15"/>
      <c r="B2905" s="15"/>
    </row>
    <row r="2906" spans="1:2" x14ac:dyDescent="0.15">
      <c r="A2906" s="15"/>
      <c r="B2906" s="15"/>
    </row>
    <row r="2907" spans="1:2" x14ac:dyDescent="0.15">
      <c r="A2907" s="15"/>
      <c r="B2907" s="15"/>
    </row>
    <row r="2908" spans="1:2" x14ac:dyDescent="0.15">
      <c r="A2908" s="15"/>
      <c r="B2908" s="15"/>
    </row>
    <row r="2909" spans="1:2" x14ac:dyDescent="0.15">
      <c r="A2909" s="15"/>
      <c r="B2909" s="15"/>
    </row>
    <row r="2910" spans="1:2" x14ac:dyDescent="0.15">
      <c r="A2910" s="15"/>
      <c r="B2910" s="15"/>
    </row>
    <row r="2911" spans="1:2" x14ac:dyDescent="0.15">
      <c r="A2911" s="15"/>
      <c r="B2911" s="15"/>
    </row>
    <row r="2912" spans="1:2" x14ac:dyDescent="0.15">
      <c r="A2912" s="15"/>
      <c r="B2912" s="15"/>
    </row>
    <row r="2913" spans="1:2" x14ac:dyDescent="0.15">
      <c r="A2913" s="15"/>
      <c r="B2913" s="15"/>
    </row>
    <row r="2914" spans="1:2" x14ac:dyDescent="0.15">
      <c r="A2914" s="15"/>
      <c r="B2914" s="15"/>
    </row>
    <row r="2915" spans="1:2" x14ac:dyDescent="0.15">
      <c r="A2915" s="15"/>
      <c r="B2915" s="15"/>
    </row>
    <row r="2916" spans="1:2" x14ac:dyDescent="0.15">
      <c r="A2916" s="15"/>
      <c r="B2916" s="15"/>
    </row>
    <row r="2917" spans="1:2" x14ac:dyDescent="0.15">
      <c r="A2917" s="15"/>
      <c r="B2917" s="15"/>
    </row>
    <row r="2918" spans="1:2" x14ac:dyDescent="0.15">
      <c r="A2918" s="15"/>
      <c r="B2918" s="15"/>
    </row>
    <row r="2919" spans="1:2" x14ac:dyDescent="0.15">
      <c r="A2919" s="15"/>
      <c r="B2919" s="15"/>
    </row>
    <row r="2920" spans="1:2" x14ac:dyDescent="0.15">
      <c r="A2920" s="15"/>
      <c r="B2920" s="15"/>
    </row>
    <row r="2921" spans="1:2" x14ac:dyDescent="0.15">
      <c r="A2921" s="15"/>
      <c r="B2921" s="15"/>
    </row>
    <row r="2922" spans="1:2" x14ac:dyDescent="0.15">
      <c r="A2922" s="15"/>
      <c r="B2922" s="15"/>
    </row>
    <row r="2923" spans="1:2" x14ac:dyDescent="0.15">
      <c r="A2923" s="15"/>
      <c r="B2923" s="15"/>
    </row>
    <row r="2924" spans="1:2" x14ac:dyDescent="0.15">
      <c r="A2924" s="15"/>
      <c r="B2924" s="15"/>
    </row>
    <row r="2925" spans="1:2" x14ac:dyDescent="0.15">
      <c r="A2925" s="15"/>
      <c r="B2925" s="15"/>
    </row>
    <row r="2926" spans="1:2" x14ac:dyDescent="0.15">
      <c r="A2926" s="15"/>
      <c r="B2926" s="15"/>
    </row>
    <row r="2927" spans="1:2" x14ac:dyDescent="0.15">
      <c r="A2927" s="15"/>
      <c r="B2927" s="15"/>
    </row>
    <row r="2928" spans="1:2" x14ac:dyDescent="0.15">
      <c r="A2928" s="15"/>
      <c r="B2928" s="15"/>
    </row>
    <row r="2929" spans="1:2" x14ac:dyDescent="0.15">
      <c r="A2929" s="15"/>
      <c r="B2929" s="15"/>
    </row>
    <row r="2930" spans="1:2" x14ac:dyDescent="0.15">
      <c r="A2930" s="15"/>
      <c r="B2930" s="15"/>
    </row>
    <row r="2931" spans="1:2" x14ac:dyDescent="0.15">
      <c r="A2931" s="15"/>
      <c r="B2931" s="15"/>
    </row>
    <row r="2932" spans="1:2" x14ac:dyDescent="0.15">
      <c r="A2932" s="15"/>
      <c r="B2932" s="15"/>
    </row>
    <row r="2933" spans="1:2" x14ac:dyDescent="0.15">
      <c r="A2933" s="15"/>
      <c r="B2933" s="15"/>
    </row>
    <row r="2934" spans="1:2" x14ac:dyDescent="0.15">
      <c r="A2934" s="15"/>
      <c r="B2934" s="15"/>
    </row>
    <row r="2935" spans="1:2" x14ac:dyDescent="0.15">
      <c r="A2935" s="15"/>
      <c r="B2935" s="15"/>
    </row>
    <row r="2936" spans="1:2" x14ac:dyDescent="0.15">
      <c r="A2936" s="15"/>
      <c r="B2936" s="15"/>
    </row>
    <row r="2937" spans="1:2" x14ac:dyDescent="0.15">
      <c r="A2937" s="15"/>
      <c r="B2937" s="15"/>
    </row>
    <row r="2938" spans="1:2" x14ac:dyDescent="0.15">
      <c r="A2938" s="15"/>
      <c r="B2938" s="15"/>
    </row>
    <row r="2939" spans="1:2" x14ac:dyDescent="0.15">
      <c r="A2939" s="15"/>
      <c r="B2939" s="15"/>
    </row>
    <row r="2940" spans="1:2" x14ac:dyDescent="0.15">
      <c r="A2940" s="15"/>
      <c r="B2940" s="15"/>
    </row>
    <row r="2941" spans="1:2" x14ac:dyDescent="0.15">
      <c r="A2941" s="15"/>
      <c r="B2941" s="15"/>
    </row>
    <row r="2942" spans="1:2" x14ac:dyDescent="0.15">
      <c r="A2942" s="15"/>
      <c r="B2942" s="15"/>
    </row>
    <row r="2943" spans="1:2" x14ac:dyDescent="0.15">
      <c r="A2943" s="15"/>
      <c r="B2943" s="15"/>
    </row>
    <row r="2944" spans="1:2" x14ac:dyDescent="0.15">
      <c r="A2944" s="15"/>
      <c r="B2944" s="15"/>
    </row>
    <row r="2945" spans="1:2" x14ac:dyDescent="0.15">
      <c r="A2945" s="15"/>
      <c r="B2945" s="15"/>
    </row>
    <row r="2946" spans="1:2" x14ac:dyDescent="0.15">
      <c r="A2946" s="15"/>
      <c r="B2946" s="15"/>
    </row>
    <row r="2947" spans="1:2" x14ac:dyDescent="0.15">
      <c r="A2947" s="15"/>
      <c r="B2947" s="15"/>
    </row>
    <row r="2948" spans="1:2" x14ac:dyDescent="0.15">
      <c r="A2948" s="15"/>
      <c r="B2948" s="15"/>
    </row>
    <row r="2949" spans="1:2" x14ac:dyDescent="0.15">
      <c r="A2949" s="15"/>
      <c r="B2949" s="15"/>
    </row>
    <row r="2950" spans="1:2" x14ac:dyDescent="0.15">
      <c r="A2950" s="15"/>
      <c r="B2950" s="15"/>
    </row>
    <row r="2951" spans="1:2" x14ac:dyDescent="0.15">
      <c r="A2951" s="15"/>
      <c r="B2951" s="15"/>
    </row>
    <row r="2952" spans="1:2" x14ac:dyDescent="0.15">
      <c r="A2952" s="15"/>
      <c r="B2952" s="15"/>
    </row>
    <row r="2953" spans="1:2" x14ac:dyDescent="0.15">
      <c r="A2953" s="15"/>
      <c r="B2953" s="15"/>
    </row>
    <row r="2954" spans="1:2" x14ac:dyDescent="0.15">
      <c r="A2954" s="15"/>
      <c r="B2954" s="15"/>
    </row>
    <row r="2955" spans="1:2" x14ac:dyDescent="0.15">
      <c r="A2955" s="15"/>
      <c r="B2955" s="15"/>
    </row>
    <row r="2956" spans="1:2" x14ac:dyDescent="0.15">
      <c r="A2956" s="15"/>
      <c r="B2956" s="15"/>
    </row>
    <row r="2957" spans="1:2" x14ac:dyDescent="0.15">
      <c r="A2957" s="15"/>
      <c r="B2957" s="15"/>
    </row>
    <row r="2958" spans="1:2" x14ac:dyDescent="0.15">
      <c r="A2958" s="15"/>
      <c r="B2958" s="15"/>
    </row>
    <row r="2959" spans="1:2" x14ac:dyDescent="0.15">
      <c r="A2959" s="15"/>
      <c r="B2959" s="15"/>
    </row>
    <row r="2960" spans="1:2" x14ac:dyDescent="0.15">
      <c r="A2960" s="15"/>
      <c r="B2960" s="15"/>
    </row>
    <row r="2961" spans="1:2" x14ac:dyDescent="0.15">
      <c r="A2961" s="15"/>
      <c r="B2961" s="15"/>
    </row>
    <row r="2962" spans="1:2" x14ac:dyDescent="0.15">
      <c r="A2962" s="15"/>
      <c r="B2962" s="15"/>
    </row>
    <row r="2963" spans="1:2" x14ac:dyDescent="0.15">
      <c r="A2963" s="15"/>
      <c r="B2963" s="15"/>
    </row>
    <row r="2964" spans="1:2" x14ac:dyDescent="0.15">
      <c r="A2964" s="15"/>
      <c r="B2964" s="15"/>
    </row>
    <row r="2965" spans="1:2" x14ac:dyDescent="0.15">
      <c r="A2965" s="15"/>
      <c r="B2965" s="15"/>
    </row>
    <row r="2966" spans="1:2" x14ac:dyDescent="0.15">
      <c r="A2966" s="15"/>
      <c r="B2966" s="15"/>
    </row>
    <row r="2967" spans="1:2" x14ac:dyDescent="0.15">
      <c r="A2967" s="15"/>
      <c r="B2967" s="15"/>
    </row>
    <row r="2968" spans="1:2" x14ac:dyDescent="0.15">
      <c r="A2968" s="15"/>
      <c r="B2968" s="15"/>
    </row>
    <row r="2969" spans="1:2" x14ac:dyDescent="0.15">
      <c r="A2969" s="15"/>
      <c r="B2969" s="15"/>
    </row>
    <row r="2970" spans="1:2" x14ac:dyDescent="0.15">
      <c r="A2970" s="15"/>
      <c r="B2970" s="15"/>
    </row>
    <row r="2971" spans="1:2" x14ac:dyDescent="0.15">
      <c r="A2971" s="15"/>
      <c r="B2971" s="15"/>
    </row>
    <row r="2972" spans="1:2" x14ac:dyDescent="0.15">
      <c r="A2972" s="15"/>
      <c r="B2972" s="15"/>
    </row>
    <row r="2973" spans="1:2" x14ac:dyDescent="0.15">
      <c r="A2973" s="15"/>
      <c r="B2973" s="15"/>
    </row>
    <row r="2974" spans="1:2" x14ac:dyDescent="0.15">
      <c r="A2974" s="15"/>
      <c r="B2974" s="15"/>
    </row>
    <row r="2975" spans="1:2" x14ac:dyDescent="0.15">
      <c r="A2975" s="15"/>
      <c r="B2975" s="15"/>
    </row>
    <row r="2976" spans="1:2" x14ac:dyDescent="0.15">
      <c r="A2976" s="15"/>
      <c r="B2976" s="15"/>
    </row>
    <row r="2977" spans="1:2" x14ac:dyDescent="0.15">
      <c r="A2977" s="15"/>
      <c r="B2977" s="15"/>
    </row>
    <row r="2978" spans="1:2" x14ac:dyDescent="0.15">
      <c r="A2978" s="15"/>
      <c r="B2978" s="15"/>
    </row>
    <row r="2979" spans="1:2" x14ac:dyDescent="0.15">
      <c r="A2979" s="15"/>
      <c r="B2979" s="15"/>
    </row>
    <row r="2980" spans="1:2" x14ac:dyDescent="0.15">
      <c r="A2980" s="15"/>
      <c r="B2980" s="15"/>
    </row>
    <row r="2981" spans="1:2" x14ac:dyDescent="0.15">
      <c r="A2981" s="15"/>
      <c r="B2981" s="15"/>
    </row>
    <row r="2982" spans="1:2" x14ac:dyDescent="0.15">
      <c r="A2982" s="15"/>
      <c r="B2982" s="15"/>
    </row>
    <row r="2983" spans="1:2" x14ac:dyDescent="0.15">
      <c r="A2983" s="15"/>
      <c r="B2983" s="15"/>
    </row>
    <row r="2984" spans="1:2" x14ac:dyDescent="0.15">
      <c r="A2984" s="15"/>
      <c r="B2984" s="15"/>
    </row>
    <row r="2985" spans="1:2" x14ac:dyDescent="0.15">
      <c r="A2985" s="15"/>
      <c r="B2985" s="15"/>
    </row>
    <row r="2986" spans="1:2" x14ac:dyDescent="0.15">
      <c r="A2986" s="15"/>
      <c r="B2986" s="15"/>
    </row>
    <row r="2987" spans="1:2" x14ac:dyDescent="0.15">
      <c r="A2987" s="15"/>
      <c r="B2987" s="15"/>
    </row>
    <row r="2988" spans="1:2" x14ac:dyDescent="0.15">
      <c r="A2988" s="15"/>
      <c r="B2988" s="15"/>
    </row>
    <row r="2989" spans="1:2" x14ac:dyDescent="0.15">
      <c r="A2989" s="15"/>
      <c r="B2989" s="15"/>
    </row>
    <row r="2990" spans="1:2" x14ac:dyDescent="0.15">
      <c r="A2990" s="15"/>
      <c r="B2990" s="15"/>
    </row>
    <row r="2991" spans="1:2" x14ac:dyDescent="0.15">
      <c r="A2991" s="15"/>
      <c r="B2991" s="15"/>
    </row>
    <row r="2992" spans="1:2" x14ac:dyDescent="0.15">
      <c r="A2992" s="15"/>
      <c r="B2992" s="15"/>
    </row>
    <row r="2993" spans="1:2" x14ac:dyDescent="0.15">
      <c r="A2993" s="15"/>
      <c r="B2993" s="15"/>
    </row>
    <row r="2994" spans="1:2" x14ac:dyDescent="0.15">
      <c r="A2994" s="15"/>
      <c r="B2994" s="15"/>
    </row>
    <row r="2995" spans="1:2" x14ac:dyDescent="0.15">
      <c r="A2995" s="15"/>
      <c r="B2995" s="15"/>
    </row>
    <row r="2996" spans="1:2" x14ac:dyDescent="0.15">
      <c r="A2996" s="15"/>
      <c r="B2996" s="15"/>
    </row>
    <row r="2997" spans="1:2" x14ac:dyDescent="0.15">
      <c r="A2997" s="15"/>
      <c r="B2997" s="15"/>
    </row>
    <row r="2998" spans="1:2" x14ac:dyDescent="0.15">
      <c r="A2998" s="15"/>
      <c r="B2998" s="15"/>
    </row>
    <row r="2999" spans="1:2" x14ac:dyDescent="0.15">
      <c r="A2999" s="15"/>
      <c r="B2999" s="15"/>
    </row>
    <row r="3000" spans="1:2" x14ac:dyDescent="0.15">
      <c r="A3000" s="15"/>
      <c r="B3000" s="15"/>
    </row>
    <row r="3001" spans="1:2" x14ac:dyDescent="0.15">
      <c r="A3001" s="15"/>
      <c r="B3001" s="15"/>
    </row>
    <row r="3002" spans="1:2" x14ac:dyDescent="0.15">
      <c r="A3002" s="15"/>
      <c r="B3002" s="15"/>
    </row>
    <row r="3003" spans="1:2" x14ac:dyDescent="0.15">
      <c r="A3003" s="15"/>
      <c r="B3003" s="15"/>
    </row>
    <row r="3004" spans="1:2" x14ac:dyDescent="0.15">
      <c r="A3004" s="15"/>
      <c r="B3004" s="15"/>
    </row>
    <row r="3005" spans="1:2" x14ac:dyDescent="0.15">
      <c r="A3005" s="15"/>
      <c r="B3005" s="15"/>
    </row>
    <row r="3006" spans="1:2" x14ac:dyDescent="0.15">
      <c r="A3006" s="15"/>
      <c r="B3006" s="15"/>
    </row>
    <row r="3007" spans="1:2" x14ac:dyDescent="0.15">
      <c r="A3007" s="15"/>
      <c r="B3007" s="15"/>
    </row>
    <row r="3008" spans="1:2" x14ac:dyDescent="0.15">
      <c r="A3008" s="15"/>
      <c r="B3008" s="15"/>
    </row>
    <row r="3009" spans="1:2" x14ac:dyDescent="0.15">
      <c r="A3009" s="15"/>
      <c r="B3009" s="15"/>
    </row>
    <row r="3010" spans="1:2" x14ac:dyDescent="0.15">
      <c r="A3010" s="15"/>
      <c r="B3010" s="15"/>
    </row>
    <row r="3011" spans="1:2" x14ac:dyDescent="0.15">
      <c r="A3011" s="15"/>
      <c r="B3011" s="15"/>
    </row>
    <row r="3012" spans="1:2" x14ac:dyDescent="0.15">
      <c r="A3012" s="15"/>
      <c r="B3012" s="15"/>
    </row>
    <row r="3013" spans="1:2" x14ac:dyDescent="0.15">
      <c r="A3013" s="15"/>
      <c r="B3013" s="15"/>
    </row>
    <row r="3014" spans="1:2" x14ac:dyDescent="0.15">
      <c r="A3014" s="15"/>
      <c r="B3014" s="15"/>
    </row>
    <row r="3015" spans="1:2" x14ac:dyDescent="0.15">
      <c r="A3015" s="15"/>
      <c r="B3015" s="15"/>
    </row>
    <row r="3016" spans="1:2" x14ac:dyDescent="0.15">
      <c r="A3016" s="15"/>
      <c r="B3016" s="15"/>
    </row>
    <row r="3017" spans="1:2" x14ac:dyDescent="0.15">
      <c r="A3017" s="15"/>
      <c r="B3017" s="15"/>
    </row>
    <row r="3018" spans="1:2" x14ac:dyDescent="0.15">
      <c r="A3018" s="15"/>
      <c r="B3018" s="15"/>
    </row>
    <row r="3019" spans="1:2" x14ac:dyDescent="0.15">
      <c r="A3019" s="15"/>
      <c r="B3019" s="15"/>
    </row>
    <row r="3020" spans="1:2" x14ac:dyDescent="0.15">
      <c r="A3020" s="15"/>
      <c r="B3020" s="15"/>
    </row>
    <row r="3021" spans="1:2" x14ac:dyDescent="0.15">
      <c r="A3021" s="15"/>
      <c r="B3021" s="15"/>
    </row>
    <row r="3022" spans="1:2" x14ac:dyDescent="0.15">
      <c r="A3022" s="15"/>
      <c r="B3022" s="15"/>
    </row>
    <row r="3023" spans="1:2" x14ac:dyDescent="0.15">
      <c r="A3023" s="15"/>
      <c r="B3023" s="15"/>
    </row>
    <row r="3024" spans="1:2" x14ac:dyDescent="0.15">
      <c r="A3024" s="15"/>
      <c r="B3024" s="15"/>
    </row>
    <row r="3025" spans="1:2" x14ac:dyDescent="0.15">
      <c r="A3025" s="15"/>
      <c r="B3025" s="15"/>
    </row>
    <row r="3026" spans="1:2" x14ac:dyDescent="0.15">
      <c r="A3026" s="15"/>
      <c r="B3026" s="15"/>
    </row>
    <row r="3027" spans="1:2" x14ac:dyDescent="0.15">
      <c r="A3027" s="15"/>
      <c r="B3027" s="15"/>
    </row>
    <row r="3028" spans="1:2" x14ac:dyDescent="0.15">
      <c r="A3028" s="15"/>
      <c r="B3028" s="15"/>
    </row>
    <row r="3029" spans="1:2" x14ac:dyDescent="0.15">
      <c r="A3029" s="15"/>
      <c r="B3029" s="15"/>
    </row>
    <row r="3030" spans="1:2" x14ac:dyDescent="0.15">
      <c r="A3030" s="15"/>
      <c r="B3030" s="15"/>
    </row>
    <row r="3031" spans="1:2" x14ac:dyDescent="0.15">
      <c r="A3031" s="15"/>
      <c r="B3031" s="15"/>
    </row>
    <row r="3032" spans="1:2" x14ac:dyDescent="0.15">
      <c r="A3032" s="15"/>
      <c r="B3032" s="15"/>
    </row>
    <row r="3033" spans="1:2" x14ac:dyDescent="0.15">
      <c r="A3033" s="15"/>
      <c r="B3033" s="15"/>
    </row>
    <row r="3034" spans="1:2" x14ac:dyDescent="0.15">
      <c r="A3034" s="15"/>
      <c r="B3034" s="15"/>
    </row>
    <row r="3035" spans="1:2" x14ac:dyDescent="0.15">
      <c r="A3035" s="15"/>
      <c r="B3035" s="15"/>
    </row>
    <row r="3036" spans="1:2" x14ac:dyDescent="0.15">
      <c r="A3036" s="15"/>
      <c r="B3036" s="15"/>
    </row>
    <row r="3037" spans="1:2" x14ac:dyDescent="0.15">
      <c r="A3037" s="15"/>
      <c r="B3037" s="15"/>
    </row>
    <row r="3038" spans="1:2" x14ac:dyDescent="0.15">
      <c r="A3038" s="15"/>
      <c r="B3038" s="15"/>
    </row>
    <row r="3039" spans="1:2" x14ac:dyDescent="0.15">
      <c r="A3039" s="15"/>
      <c r="B3039" s="15"/>
    </row>
    <row r="3040" spans="1:2" x14ac:dyDescent="0.15">
      <c r="A3040" s="15"/>
      <c r="B3040" s="15"/>
    </row>
    <row r="3041" spans="1:2" x14ac:dyDescent="0.15">
      <c r="A3041" s="15"/>
      <c r="B3041" s="15"/>
    </row>
    <row r="3042" spans="1:2" x14ac:dyDescent="0.15">
      <c r="A3042" s="15"/>
      <c r="B3042" s="15"/>
    </row>
    <row r="3043" spans="1:2" x14ac:dyDescent="0.15">
      <c r="A3043" s="15"/>
      <c r="B3043" s="15"/>
    </row>
    <row r="3044" spans="1:2" x14ac:dyDescent="0.15">
      <c r="A3044" s="15"/>
      <c r="B3044" s="15"/>
    </row>
    <row r="3045" spans="1:2" x14ac:dyDescent="0.15">
      <c r="A3045" s="15"/>
      <c r="B3045" s="15"/>
    </row>
    <row r="3046" spans="1:2" x14ac:dyDescent="0.15">
      <c r="A3046" s="15"/>
      <c r="B3046" s="15"/>
    </row>
    <row r="3047" spans="1:2" x14ac:dyDescent="0.15">
      <c r="A3047" s="15"/>
      <c r="B3047" s="15"/>
    </row>
    <row r="3048" spans="1:2" x14ac:dyDescent="0.15">
      <c r="A3048" s="15"/>
      <c r="B3048" s="15"/>
    </row>
    <row r="3049" spans="1:2" x14ac:dyDescent="0.15">
      <c r="A3049" s="15"/>
      <c r="B3049" s="15"/>
    </row>
    <row r="3050" spans="1:2" x14ac:dyDescent="0.15">
      <c r="A3050" s="15"/>
      <c r="B3050" s="15"/>
    </row>
    <row r="3051" spans="1:2" x14ac:dyDescent="0.15">
      <c r="A3051" s="15"/>
      <c r="B3051" s="15"/>
    </row>
    <row r="3052" spans="1:2" x14ac:dyDescent="0.15">
      <c r="A3052" s="15"/>
      <c r="B3052" s="15"/>
    </row>
    <row r="3053" spans="1:2" x14ac:dyDescent="0.15">
      <c r="A3053" s="15"/>
      <c r="B3053" s="15"/>
    </row>
    <row r="3054" spans="1:2" x14ac:dyDescent="0.15">
      <c r="A3054" s="15"/>
      <c r="B3054" s="15"/>
    </row>
    <row r="3055" spans="1:2" x14ac:dyDescent="0.15">
      <c r="A3055" s="15"/>
      <c r="B3055" s="15"/>
    </row>
    <row r="3056" spans="1:2" x14ac:dyDescent="0.15">
      <c r="A3056" s="15"/>
      <c r="B3056" s="15"/>
    </row>
    <row r="3057" spans="1:2" x14ac:dyDescent="0.15">
      <c r="A3057" s="15"/>
      <c r="B3057" s="15"/>
    </row>
    <row r="3058" spans="1:2" x14ac:dyDescent="0.15">
      <c r="A3058" s="15"/>
      <c r="B3058" s="15"/>
    </row>
    <row r="3059" spans="1:2" x14ac:dyDescent="0.15">
      <c r="A3059" s="15"/>
      <c r="B3059" s="15"/>
    </row>
    <row r="3060" spans="1:2" x14ac:dyDescent="0.15">
      <c r="A3060" s="15"/>
      <c r="B3060" s="15"/>
    </row>
    <row r="3061" spans="1:2" x14ac:dyDescent="0.15">
      <c r="A3061" s="15"/>
      <c r="B3061" s="15"/>
    </row>
    <row r="3062" spans="1:2" x14ac:dyDescent="0.15">
      <c r="A3062" s="15"/>
      <c r="B3062" s="15"/>
    </row>
    <row r="3063" spans="1:2" x14ac:dyDescent="0.15">
      <c r="A3063" s="15"/>
      <c r="B3063" s="15"/>
    </row>
    <row r="3064" spans="1:2" x14ac:dyDescent="0.15">
      <c r="A3064" s="15"/>
      <c r="B3064" s="15"/>
    </row>
    <row r="3065" spans="1:2" x14ac:dyDescent="0.15">
      <c r="A3065" s="15"/>
      <c r="B3065" s="15"/>
    </row>
    <row r="3066" spans="1:2" x14ac:dyDescent="0.15">
      <c r="A3066" s="15"/>
      <c r="B3066" s="15"/>
    </row>
    <row r="3067" spans="1:2" x14ac:dyDescent="0.15">
      <c r="A3067" s="15"/>
      <c r="B3067" s="15"/>
    </row>
    <row r="3068" spans="1:2" x14ac:dyDescent="0.15">
      <c r="A3068" s="15"/>
      <c r="B3068" s="15"/>
    </row>
    <row r="3069" spans="1:2" x14ac:dyDescent="0.15">
      <c r="A3069" s="15"/>
      <c r="B3069" s="15"/>
    </row>
    <row r="3070" spans="1:2" x14ac:dyDescent="0.15">
      <c r="A3070" s="15"/>
      <c r="B3070" s="15"/>
    </row>
    <row r="3071" spans="1:2" x14ac:dyDescent="0.15">
      <c r="A3071" s="15"/>
      <c r="B3071" s="15"/>
    </row>
    <row r="3072" spans="1:2" x14ac:dyDescent="0.15">
      <c r="A3072" s="15"/>
      <c r="B3072" s="15"/>
    </row>
    <row r="3073" spans="1:2" x14ac:dyDescent="0.15">
      <c r="A3073" s="15"/>
      <c r="B3073" s="15"/>
    </row>
    <row r="3074" spans="1:2" x14ac:dyDescent="0.15">
      <c r="A3074" s="15"/>
      <c r="B3074" s="15"/>
    </row>
    <row r="3075" spans="1:2" x14ac:dyDescent="0.15">
      <c r="A3075" s="15"/>
      <c r="B3075" s="15"/>
    </row>
    <row r="3076" spans="1:2" x14ac:dyDescent="0.15">
      <c r="A3076" s="15"/>
      <c r="B3076" s="15"/>
    </row>
    <row r="3077" spans="1:2" x14ac:dyDescent="0.15">
      <c r="A3077" s="15"/>
      <c r="B3077" s="15"/>
    </row>
    <row r="3078" spans="1:2" x14ac:dyDescent="0.15">
      <c r="A3078" s="15"/>
      <c r="B3078" s="15"/>
    </row>
    <row r="3079" spans="1:2" x14ac:dyDescent="0.15">
      <c r="A3079" s="15"/>
      <c r="B3079" s="15"/>
    </row>
    <row r="3080" spans="1:2" x14ac:dyDescent="0.15">
      <c r="A3080" s="15"/>
      <c r="B3080" s="15"/>
    </row>
    <row r="3081" spans="1:2" x14ac:dyDescent="0.15">
      <c r="A3081" s="15"/>
      <c r="B3081" s="15"/>
    </row>
    <row r="3082" spans="1:2" x14ac:dyDescent="0.15">
      <c r="A3082" s="15"/>
      <c r="B3082" s="15"/>
    </row>
    <row r="3083" spans="1:2" x14ac:dyDescent="0.15">
      <c r="A3083" s="15"/>
      <c r="B3083" s="15"/>
    </row>
    <row r="3084" spans="1:2" x14ac:dyDescent="0.15">
      <c r="A3084" s="15"/>
      <c r="B3084" s="15"/>
    </row>
    <row r="3085" spans="1:2" x14ac:dyDescent="0.15">
      <c r="A3085" s="15"/>
      <c r="B3085" s="15"/>
    </row>
    <row r="3086" spans="1:2" x14ac:dyDescent="0.15">
      <c r="A3086" s="15"/>
      <c r="B3086" s="15"/>
    </row>
    <row r="3087" spans="1:2" x14ac:dyDescent="0.15">
      <c r="A3087" s="15"/>
      <c r="B3087" s="15"/>
    </row>
    <row r="3088" spans="1:2" x14ac:dyDescent="0.15">
      <c r="A3088" s="15"/>
      <c r="B3088" s="15"/>
    </row>
    <row r="3089" spans="1:2" x14ac:dyDescent="0.15">
      <c r="A3089" s="15"/>
      <c r="B3089" s="15"/>
    </row>
    <row r="3090" spans="1:2" x14ac:dyDescent="0.15">
      <c r="A3090" s="15"/>
      <c r="B3090" s="15"/>
    </row>
    <row r="3091" spans="1:2" x14ac:dyDescent="0.15">
      <c r="A3091" s="15"/>
      <c r="B3091" s="15"/>
    </row>
    <row r="3092" spans="1:2" x14ac:dyDescent="0.15">
      <c r="A3092" s="15"/>
      <c r="B3092" s="15"/>
    </row>
    <row r="3093" spans="1:2" x14ac:dyDescent="0.15">
      <c r="A3093" s="15"/>
      <c r="B3093" s="15"/>
    </row>
    <row r="3094" spans="1:2" x14ac:dyDescent="0.15">
      <c r="A3094" s="15"/>
      <c r="B3094" s="15"/>
    </row>
    <row r="3095" spans="1:2" x14ac:dyDescent="0.15">
      <c r="A3095" s="15"/>
      <c r="B3095" s="15"/>
    </row>
    <row r="3096" spans="1:2" x14ac:dyDescent="0.15">
      <c r="A3096" s="15"/>
      <c r="B3096" s="15"/>
    </row>
    <row r="3097" spans="1:2" x14ac:dyDescent="0.15">
      <c r="A3097" s="15"/>
      <c r="B3097" s="15"/>
    </row>
    <row r="3098" spans="1:2" x14ac:dyDescent="0.15">
      <c r="A3098" s="15"/>
      <c r="B3098" s="15"/>
    </row>
    <row r="3099" spans="1:2" x14ac:dyDescent="0.15">
      <c r="A3099" s="15"/>
      <c r="B3099" s="15"/>
    </row>
    <row r="3100" spans="1:2" x14ac:dyDescent="0.15">
      <c r="A3100" s="15"/>
      <c r="B3100" s="15"/>
    </row>
    <row r="3101" spans="1:2" x14ac:dyDescent="0.15">
      <c r="A3101" s="15"/>
      <c r="B3101" s="15"/>
    </row>
    <row r="3102" spans="1:2" x14ac:dyDescent="0.15">
      <c r="A3102" s="15"/>
      <c r="B3102" s="15"/>
    </row>
    <row r="3103" spans="1:2" x14ac:dyDescent="0.15">
      <c r="A3103" s="15"/>
      <c r="B3103" s="15"/>
    </row>
    <row r="3104" spans="1:2" x14ac:dyDescent="0.15">
      <c r="A3104" s="15"/>
      <c r="B3104" s="15"/>
    </row>
    <row r="3105" spans="1:2" x14ac:dyDescent="0.15">
      <c r="A3105" s="15"/>
      <c r="B3105" s="15"/>
    </row>
    <row r="3106" spans="1:2" x14ac:dyDescent="0.15">
      <c r="A3106" s="15"/>
      <c r="B3106" s="15"/>
    </row>
    <row r="3107" spans="1:2" x14ac:dyDescent="0.15">
      <c r="A3107" s="15"/>
      <c r="B3107" s="15"/>
    </row>
    <row r="3108" spans="1:2" x14ac:dyDescent="0.15">
      <c r="A3108" s="15"/>
      <c r="B3108" s="15"/>
    </row>
    <row r="3109" spans="1:2" x14ac:dyDescent="0.15">
      <c r="A3109" s="15"/>
      <c r="B3109" s="15"/>
    </row>
    <row r="3110" spans="1:2" x14ac:dyDescent="0.15">
      <c r="A3110" s="15"/>
      <c r="B3110" s="15"/>
    </row>
    <row r="3111" spans="1:2" x14ac:dyDescent="0.15">
      <c r="A3111" s="15"/>
      <c r="B3111" s="15"/>
    </row>
    <row r="3112" spans="1:2" x14ac:dyDescent="0.15">
      <c r="A3112" s="15"/>
      <c r="B3112" s="15"/>
    </row>
    <row r="3113" spans="1:2" x14ac:dyDescent="0.15">
      <c r="A3113" s="15"/>
      <c r="B3113" s="15"/>
    </row>
    <row r="3114" spans="1:2" x14ac:dyDescent="0.15">
      <c r="A3114" s="15"/>
      <c r="B3114" s="15"/>
    </row>
    <row r="3115" spans="1:2" x14ac:dyDescent="0.15">
      <c r="A3115" s="15"/>
      <c r="B3115" s="15"/>
    </row>
    <row r="3116" spans="1:2" x14ac:dyDescent="0.15">
      <c r="A3116" s="15"/>
      <c r="B3116" s="15"/>
    </row>
    <row r="3117" spans="1:2" x14ac:dyDescent="0.15">
      <c r="A3117" s="15"/>
      <c r="B3117" s="15"/>
    </row>
    <row r="3118" spans="1:2" x14ac:dyDescent="0.15">
      <c r="A3118" s="15"/>
      <c r="B3118" s="15"/>
    </row>
    <row r="3119" spans="1:2" x14ac:dyDescent="0.15">
      <c r="A3119" s="15"/>
      <c r="B3119" s="15"/>
    </row>
    <row r="3120" spans="1:2" x14ac:dyDescent="0.15">
      <c r="A3120" s="15"/>
      <c r="B3120" s="15"/>
    </row>
    <row r="3121" spans="1:2" x14ac:dyDescent="0.15">
      <c r="A3121" s="15"/>
      <c r="B3121" s="15"/>
    </row>
    <row r="3122" spans="1:2" x14ac:dyDescent="0.15">
      <c r="A3122" s="15"/>
      <c r="B3122" s="15"/>
    </row>
    <row r="3123" spans="1:2" x14ac:dyDescent="0.15">
      <c r="A3123" s="15"/>
      <c r="B3123" s="15"/>
    </row>
    <row r="3124" spans="1:2" x14ac:dyDescent="0.15">
      <c r="A3124" s="15"/>
      <c r="B3124" s="15"/>
    </row>
    <row r="3125" spans="1:2" x14ac:dyDescent="0.15">
      <c r="A3125" s="15"/>
      <c r="B3125" s="15"/>
    </row>
    <row r="3126" spans="1:2" x14ac:dyDescent="0.15">
      <c r="A3126" s="15"/>
      <c r="B3126" s="15"/>
    </row>
    <row r="3127" spans="1:2" x14ac:dyDescent="0.15">
      <c r="A3127" s="15"/>
      <c r="B3127" s="15"/>
    </row>
    <row r="3128" spans="1:2" x14ac:dyDescent="0.15">
      <c r="A3128" s="15"/>
      <c r="B3128" s="15"/>
    </row>
    <row r="3129" spans="1:2" x14ac:dyDescent="0.15">
      <c r="A3129" s="15"/>
      <c r="B3129" s="15"/>
    </row>
    <row r="3130" spans="1:2" x14ac:dyDescent="0.15">
      <c r="A3130" s="15"/>
      <c r="B3130" s="15"/>
    </row>
    <row r="3131" spans="1:2" x14ac:dyDescent="0.15">
      <c r="A3131" s="15"/>
      <c r="B3131" s="15"/>
    </row>
    <row r="3132" spans="1:2" x14ac:dyDescent="0.15">
      <c r="A3132" s="15"/>
      <c r="B3132" s="15"/>
    </row>
    <row r="3133" spans="1:2" x14ac:dyDescent="0.15">
      <c r="A3133" s="15"/>
      <c r="B3133" s="15"/>
    </row>
    <row r="3134" spans="1:2" x14ac:dyDescent="0.15">
      <c r="A3134" s="15"/>
      <c r="B3134" s="15"/>
    </row>
    <row r="3135" spans="1:2" x14ac:dyDescent="0.15">
      <c r="A3135" s="15"/>
      <c r="B3135" s="15"/>
    </row>
    <row r="3136" spans="1:2" x14ac:dyDescent="0.15">
      <c r="A3136" s="15"/>
      <c r="B3136" s="15"/>
    </row>
    <row r="3137" spans="1:2" x14ac:dyDescent="0.15">
      <c r="A3137" s="15"/>
      <c r="B3137" s="15"/>
    </row>
    <row r="3138" spans="1:2" x14ac:dyDescent="0.15">
      <c r="A3138" s="15"/>
      <c r="B3138" s="15"/>
    </row>
    <row r="3139" spans="1:2" x14ac:dyDescent="0.15">
      <c r="A3139" s="15"/>
      <c r="B3139" s="15"/>
    </row>
    <row r="3140" spans="1:2" x14ac:dyDescent="0.15">
      <c r="A3140" s="15"/>
      <c r="B3140" s="15"/>
    </row>
    <row r="3141" spans="1:2" x14ac:dyDescent="0.15">
      <c r="A3141" s="15"/>
      <c r="B3141" s="15"/>
    </row>
    <row r="3142" spans="1:2" x14ac:dyDescent="0.15">
      <c r="A3142" s="15"/>
      <c r="B3142" s="15"/>
    </row>
    <row r="3143" spans="1:2" x14ac:dyDescent="0.15">
      <c r="A3143" s="15"/>
      <c r="B3143" s="15"/>
    </row>
    <row r="3144" spans="1:2" x14ac:dyDescent="0.15">
      <c r="A3144" s="15"/>
      <c r="B3144" s="15"/>
    </row>
    <row r="3145" spans="1:2" x14ac:dyDescent="0.15">
      <c r="A3145" s="15"/>
      <c r="B3145" s="15"/>
    </row>
    <row r="3146" spans="1:2" x14ac:dyDescent="0.15">
      <c r="A3146" s="15"/>
      <c r="B3146" s="15"/>
    </row>
    <row r="3147" spans="1:2" x14ac:dyDescent="0.15">
      <c r="A3147" s="15"/>
      <c r="B3147" s="15"/>
    </row>
    <row r="3148" spans="1:2" x14ac:dyDescent="0.15">
      <c r="A3148" s="15"/>
      <c r="B3148" s="15"/>
    </row>
    <row r="3149" spans="1:2" x14ac:dyDescent="0.15">
      <c r="A3149" s="15"/>
      <c r="B3149" s="15"/>
    </row>
    <row r="3150" spans="1:2" x14ac:dyDescent="0.15">
      <c r="A3150" s="15"/>
      <c r="B3150" s="15"/>
    </row>
    <row r="3151" spans="1:2" x14ac:dyDescent="0.15">
      <c r="A3151" s="15"/>
      <c r="B3151" s="15"/>
    </row>
    <row r="3152" spans="1:2" x14ac:dyDescent="0.15">
      <c r="A3152" s="15"/>
      <c r="B3152" s="15"/>
    </row>
    <row r="3153" spans="1:2" x14ac:dyDescent="0.15">
      <c r="A3153" s="15"/>
      <c r="B3153" s="15"/>
    </row>
    <row r="3154" spans="1:2" x14ac:dyDescent="0.15">
      <c r="A3154" s="15"/>
      <c r="B3154" s="15"/>
    </row>
    <row r="3155" spans="1:2" x14ac:dyDescent="0.15">
      <c r="A3155" s="15"/>
      <c r="B3155" s="15"/>
    </row>
    <row r="3156" spans="1:2" x14ac:dyDescent="0.15">
      <c r="A3156" s="15"/>
      <c r="B3156" s="15"/>
    </row>
    <row r="3157" spans="1:2" x14ac:dyDescent="0.15">
      <c r="A3157" s="15"/>
      <c r="B3157" s="15"/>
    </row>
    <row r="3158" spans="1:2" x14ac:dyDescent="0.15">
      <c r="A3158" s="15"/>
      <c r="B3158" s="15"/>
    </row>
    <row r="3159" spans="1:2" x14ac:dyDescent="0.15">
      <c r="A3159" s="15"/>
      <c r="B3159" s="15"/>
    </row>
    <row r="3160" spans="1:2" x14ac:dyDescent="0.15">
      <c r="A3160" s="15"/>
      <c r="B3160" s="15"/>
    </row>
    <row r="3161" spans="1:2" x14ac:dyDescent="0.15">
      <c r="A3161" s="15"/>
      <c r="B3161" s="15"/>
    </row>
    <row r="3162" spans="1:2" x14ac:dyDescent="0.15">
      <c r="A3162" s="15"/>
      <c r="B3162" s="15"/>
    </row>
    <row r="3163" spans="1:2" x14ac:dyDescent="0.15">
      <c r="A3163" s="15"/>
      <c r="B3163" s="15"/>
    </row>
    <row r="3164" spans="1:2" x14ac:dyDescent="0.15">
      <c r="A3164" s="15"/>
      <c r="B3164" s="15"/>
    </row>
    <row r="3165" spans="1:2" x14ac:dyDescent="0.15">
      <c r="A3165" s="15"/>
      <c r="B3165" s="15"/>
    </row>
    <row r="3166" spans="1:2" x14ac:dyDescent="0.15">
      <c r="A3166" s="15"/>
      <c r="B3166" s="15"/>
    </row>
    <row r="3167" spans="1:2" x14ac:dyDescent="0.15">
      <c r="A3167" s="15"/>
      <c r="B3167" s="15"/>
    </row>
    <row r="3168" spans="1:2" x14ac:dyDescent="0.15">
      <c r="A3168" s="15"/>
      <c r="B3168" s="15"/>
    </row>
    <row r="3169" spans="1:2" x14ac:dyDescent="0.15">
      <c r="A3169" s="15"/>
      <c r="B3169" s="15"/>
    </row>
    <row r="3170" spans="1:2" x14ac:dyDescent="0.15">
      <c r="A3170" s="15"/>
      <c r="B3170" s="15"/>
    </row>
    <row r="3171" spans="1:2" x14ac:dyDescent="0.15">
      <c r="A3171" s="15"/>
      <c r="B3171" s="15"/>
    </row>
    <row r="3172" spans="1:2" x14ac:dyDescent="0.15">
      <c r="A3172" s="15"/>
      <c r="B3172" s="15"/>
    </row>
    <row r="3173" spans="1:2" x14ac:dyDescent="0.15">
      <c r="A3173" s="15"/>
      <c r="B3173" s="15"/>
    </row>
    <row r="3174" spans="1:2" x14ac:dyDescent="0.15">
      <c r="A3174" s="15"/>
      <c r="B3174" s="15"/>
    </row>
    <row r="3175" spans="1:2" x14ac:dyDescent="0.15">
      <c r="A3175" s="15"/>
      <c r="B3175" s="15"/>
    </row>
    <row r="3176" spans="1:2" x14ac:dyDescent="0.15">
      <c r="A3176" s="15"/>
      <c r="B3176" s="15"/>
    </row>
    <row r="3177" spans="1:2" x14ac:dyDescent="0.15">
      <c r="A3177" s="15"/>
      <c r="B3177" s="15"/>
    </row>
    <row r="3178" spans="1:2" x14ac:dyDescent="0.15">
      <c r="A3178" s="15"/>
      <c r="B3178" s="15"/>
    </row>
    <row r="3179" spans="1:2" x14ac:dyDescent="0.15">
      <c r="A3179" s="15"/>
      <c r="B3179" s="15"/>
    </row>
    <row r="3180" spans="1:2" x14ac:dyDescent="0.15">
      <c r="A3180" s="15"/>
      <c r="B3180" s="15"/>
    </row>
    <row r="3181" spans="1:2" x14ac:dyDescent="0.15">
      <c r="A3181" s="15"/>
      <c r="B3181" s="15"/>
    </row>
    <row r="3182" spans="1:2" x14ac:dyDescent="0.15">
      <c r="A3182" s="15"/>
      <c r="B3182" s="15"/>
    </row>
    <row r="3183" spans="1:2" x14ac:dyDescent="0.15">
      <c r="A3183" s="15"/>
      <c r="B3183" s="15"/>
    </row>
    <row r="3184" spans="1:2" x14ac:dyDescent="0.15">
      <c r="A3184" s="15"/>
      <c r="B3184" s="15"/>
    </row>
    <row r="3185" spans="1:2" x14ac:dyDescent="0.15">
      <c r="A3185" s="15"/>
      <c r="B3185" s="15"/>
    </row>
    <row r="3186" spans="1:2" x14ac:dyDescent="0.15">
      <c r="A3186" s="15"/>
      <c r="B3186" s="15"/>
    </row>
    <row r="3187" spans="1:2" x14ac:dyDescent="0.15">
      <c r="A3187" s="15"/>
      <c r="B3187" s="15"/>
    </row>
    <row r="3188" spans="1:2" x14ac:dyDescent="0.15">
      <c r="A3188" s="15"/>
      <c r="B3188" s="15"/>
    </row>
    <row r="3189" spans="1:2" x14ac:dyDescent="0.15">
      <c r="A3189" s="15"/>
      <c r="B3189" s="15"/>
    </row>
    <row r="3190" spans="1:2" x14ac:dyDescent="0.15">
      <c r="A3190" s="15"/>
      <c r="B3190" s="15"/>
    </row>
    <row r="3191" spans="1:2" x14ac:dyDescent="0.15">
      <c r="A3191" s="15"/>
      <c r="B3191" s="15"/>
    </row>
    <row r="3192" spans="1:2" x14ac:dyDescent="0.15">
      <c r="A3192" s="15"/>
      <c r="B3192" s="15"/>
    </row>
    <row r="3193" spans="1:2" x14ac:dyDescent="0.15">
      <c r="A3193" s="15"/>
      <c r="B3193" s="15"/>
    </row>
    <row r="3194" spans="1:2" x14ac:dyDescent="0.15">
      <c r="A3194" s="15"/>
      <c r="B3194" s="15"/>
    </row>
    <row r="3195" spans="1:2" x14ac:dyDescent="0.15">
      <c r="A3195" s="15"/>
      <c r="B3195" s="15"/>
    </row>
    <row r="3196" spans="1:2" x14ac:dyDescent="0.15">
      <c r="A3196" s="15"/>
      <c r="B3196" s="15"/>
    </row>
    <row r="3197" spans="1:2" x14ac:dyDescent="0.15">
      <c r="A3197" s="15"/>
      <c r="B3197" s="15"/>
    </row>
    <row r="3198" spans="1:2" x14ac:dyDescent="0.15">
      <c r="A3198" s="15"/>
      <c r="B3198" s="15"/>
    </row>
    <row r="3199" spans="1:2" x14ac:dyDescent="0.15">
      <c r="A3199" s="15"/>
      <c r="B3199" s="15"/>
    </row>
    <row r="3200" spans="1:2" x14ac:dyDescent="0.15">
      <c r="A3200" s="15"/>
      <c r="B3200" s="15"/>
    </row>
    <row r="3201" spans="1:2" x14ac:dyDescent="0.15">
      <c r="A3201" s="15"/>
      <c r="B3201" s="15"/>
    </row>
    <row r="3202" spans="1:2" x14ac:dyDescent="0.15">
      <c r="A3202" s="15"/>
      <c r="B3202" s="15"/>
    </row>
    <row r="3203" spans="1:2" x14ac:dyDescent="0.15">
      <c r="A3203" s="15"/>
      <c r="B3203" s="15"/>
    </row>
    <row r="3204" spans="1:2" x14ac:dyDescent="0.15">
      <c r="A3204" s="15"/>
      <c r="B3204" s="15"/>
    </row>
    <row r="3205" spans="1:2" x14ac:dyDescent="0.15">
      <c r="A3205" s="15"/>
      <c r="B3205" s="15"/>
    </row>
    <row r="3206" spans="1:2" x14ac:dyDescent="0.15">
      <c r="A3206" s="15"/>
      <c r="B3206" s="15"/>
    </row>
    <row r="3207" spans="1:2" x14ac:dyDescent="0.15">
      <c r="A3207" s="15"/>
      <c r="B3207" s="15"/>
    </row>
    <row r="3208" spans="1:2" x14ac:dyDescent="0.15">
      <c r="A3208" s="15"/>
      <c r="B3208" s="15"/>
    </row>
    <row r="3209" spans="1:2" x14ac:dyDescent="0.15">
      <c r="A3209" s="15"/>
      <c r="B3209" s="15"/>
    </row>
    <row r="3210" spans="1:2" x14ac:dyDescent="0.15">
      <c r="A3210" s="15"/>
      <c r="B3210" s="15"/>
    </row>
    <row r="3211" spans="1:2" x14ac:dyDescent="0.15">
      <c r="A3211" s="15"/>
      <c r="B3211" s="15"/>
    </row>
    <row r="3212" spans="1:2" x14ac:dyDescent="0.15">
      <c r="A3212" s="15"/>
      <c r="B3212" s="15"/>
    </row>
    <row r="3213" spans="1:2" x14ac:dyDescent="0.15">
      <c r="A3213" s="15"/>
      <c r="B3213" s="15"/>
    </row>
    <row r="3214" spans="1:2" x14ac:dyDescent="0.15">
      <c r="A3214" s="15"/>
      <c r="B3214" s="15"/>
    </row>
    <row r="3215" spans="1:2" x14ac:dyDescent="0.15">
      <c r="A3215" s="15"/>
      <c r="B3215" s="15"/>
    </row>
    <row r="3216" spans="1:2" x14ac:dyDescent="0.15">
      <c r="A3216" s="15"/>
      <c r="B3216" s="15"/>
    </row>
    <row r="3217" spans="1:2" x14ac:dyDescent="0.15">
      <c r="A3217" s="15"/>
      <c r="B3217" s="15"/>
    </row>
    <row r="3218" spans="1:2" x14ac:dyDescent="0.15">
      <c r="A3218" s="15"/>
      <c r="B3218" s="15"/>
    </row>
    <row r="3219" spans="1:2" x14ac:dyDescent="0.15">
      <c r="A3219" s="15"/>
      <c r="B3219" s="15"/>
    </row>
    <row r="3220" spans="1:2" x14ac:dyDescent="0.15">
      <c r="A3220" s="15"/>
      <c r="B3220" s="15"/>
    </row>
    <row r="3221" spans="1:2" x14ac:dyDescent="0.15">
      <c r="A3221" s="15"/>
      <c r="B3221" s="15"/>
    </row>
    <row r="3222" spans="1:2" x14ac:dyDescent="0.15">
      <c r="A3222" s="15"/>
      <c r="B3222" s="15"/>
    </row>
    <row r="3223" spans="1:2" x14ac:dyDescent="0.15">
      <c r="A3223" s="15"/>
      <c r="B3223" s="15"/>
    </row>
    <row r="3224" spans="1:2" x14ac:dyDescent="0.15">
      <c r="A3224" s="15"/>
      <c r="B3224" s="15"/>
    </row>
    <row r="3225" spans="1:2" x14ac:dyDescent="0.15">
      <c r="A3225" s="15"/>
      <c r="B3225" s="15"/>
    </row>
    <row r="3226" spans="1:2" x14ac:dyDescent="0.15">
      <c r="A3226" s="15"/>
      <c r="B3226" s="15"/>
    </row>
    <row r="3227" spans="1:2" x14ac:dyDescent="0.15">
      <c r="A3227" s="15"/>
      <c r="B3227" s="15"/>
    </row>
    <row r="3228" spans="1:2" x14ac:dyDescent="0.15">
      <c r="A3228" s="15"/>
      <c r="B3228" s="15"/>
    </row>
    <row r="3229" spans="1:2" x14ac:dyDescent="0.15">
      <c r="A3229" s="15"/>
      <c r="B3229" s="15"/>
    </row>
    <row r="3230" spans="1:2" x14ac:dyDescent="0.15">
      <c r="A3230" s="15"/>
      <c r="B3230" s="15"/>
    </row>
    <row r="3231" spans="1:2" x14ac:dyDescent="0.15">
      <c r="A3231" s="15"/>
      <c r="B3231" s="15"/>
    </row>
    <row r="3232" spans="1:2" x14ac:dyDescent="0.15">
      <c r="A3232" s="15"/>
      <c r="B3232" s="15"/>
    </row>
    <row r="3233" spans="1:2" x14ac:dyDescent="0.15">
      <c r="A3233" s="15"/>
      <c r="B3233" s="15"/>
    </row>
    <row r="3234" spans="1:2" x14ac:dyDescent="0.15">
      <c r="A3234" s="15"/>
      <c r="B3234" s="15"/>
    </row>
    <row r="3235" spans="1:2" x14ac:dyDescent="0.15">
      <c r="A3235" s="15"/>
      <c r="B3235" s="15"/>
    </row>
    <row r="3236" spans="1:2" x14ac:dyDescent="0.15">
      <c r="A3236" s="15"/>
      <c r="B3236" s="15"/>
    </row>
    <row r="3237" spans="1:2" x14ac:dyDescent="0.15">
      <c r="A3237" s="15"/>
      <c r="B3237" s="15"/>
    </row>
    <row r="3238" spans="1:2" x14ac:dyDescent="0.15">
      <c r="A3238" s="15"/>
      <c r="B3238" s="15"/>
    </row>
    <row r="3239" spans="1:2" x14ac:dyDescent="0.15">
      <c r="A3239" s="15"/>
      <c r="B3239" s="15"/>
    </row>
    <row r="3240" spans="1:2" x14ac:dyDescent="0.15">
      <c r="A3240" s="15"/>
      <c r="B3240" s="15"/>
    </row>
    <row r="3241" spans="1:2" x14ac:dyDescent="0.15">
      <c r="A3241" s="15"/>
      <c r="B3241" s="15"/>
    </row>
    <row r="3242" spans="1:2" x14ac:dyDescent="0.15">
      <c r="A3242" s="15"/>
      <c r="B3242" s="15"/>
    </row>
    <row r="3243" spans="1:2" x14ac:dyDescent="0.15">
      <c r="A3243" s="15"/>
      <c r="B3243" s="15"/>
    </row>
    <row r="3244" spans="1:2" x14ac:dyDescent="0.15">
      <c r="A3244" s="15"/>
      <c r="B3244" s="15"/>
    </row>
    <row r="3245" spans="1:2" x14ac:dyDescent="0.15">
      <c r="A3245" s="15"/>
      <c r="B3245" s="15"/>
    </row>
    <row r="3246" spans="1:2" x14ac:dyDescent="0.15">
      <c r="A3246" s="15"/>
      <c r="B3246" s="15"/>
    </row>
    <row r="3247" spans="1:2" x14ac:dyDescent="0.15">
      <c r="A3247" s="15"/>
      <c r="B3247" s="15"/>
    </row>
    <row r="3248" spans="1:2" x14ac:dyDescent="0.15">
      <c r="A3248" s="15"/>
      <c r="B3248" s="15"/>
    </row>
    <row r="3249" spans="1:2" x14ac:dyDescent="0.15">
      <c r="A3249" s="15"/>
      <c r="B3249" s="15"/>
    </row>
    <row r="3250" spans="1:2" x14ac:dyDescent="0.15">
      <c r="A3250" s="15"/>
      <c r="B3250" s="15"/>
    </row>
    <row r="3251" spans="1:2" x14ac:dyDescent="0.15">
      <c r="A3251" s="15"/>
      <c r="B3251" s="15"/>
    </row>
    <row r="3252" spans="1:2" x14ac:dyDescent="0.15">
      <c r="A3252" s="15"/>
      <c r="B3252" s="15"/>
    </row>
    <row r="3253" spans="1:2" x14ac:dyDescent="0.15">
      <c r="A3253" s="15"/>
      <c r="B3253" s="15"/>
    </row>
    <row r="3254" spans="1:2" x14ac:dyDescent="0.15">
      <c r="A3254" s="15"/>
      <c r="B3254" s="15"/>
    </row>
    <row r="3255" spans="1:2" x14ac:dyDescent="0.15">
      <c r="A3255" s="15"/>
      <c r="B3255" s="15"/>
    </row>
    <row r="3256" spans="1:2" x14ac:dyDescent="0.15">
      <c r="A3256" s="15"/>
      <c r="B3256" s="15"/>
    </row>
    <row r="3257" spans="1:2" x14ac:dyDescent="0.15">
      <c r="A3257" s="15"/>
      <c r="B3257" s="15"/>
    </row>
    <row r="3258" spans="1:2" x14ac:dyDescent="0.15">
      <c r="A3258" s="15"/>
      <c r="B3258" s="15"/>
    </row>
    <row r="3259" spans="1:2" x14ac:dyDescent="0.15">
      <c r="A3259" s="15"/>
      <c r="B3259" s="15"/>
    </row>
    <row r="3260" spans="1:2" x14ac:dyDescent="0.15">
      <c r="A3260" s="15"/>
      <c r="B3260" s="15"/>
    </row>
    <row r="3261" spans="1:2" x14ac:dyDescent="0.15">
      <c r="A3261" s="15"/>
      <c r="B3261" s="15"/>
    </row>
    <row r="3262" spans="1:2" x14ac:dyDescent="0.15">
      <c r="A3262" s="15"/>
      <c r="B3262" s="15"/>
    </row>
    <row r="3263" spans="1:2" x14ac:dyDescent="0.15">
      <c r="A3263" s="15"/>
      <c r="B3263" s="15"/>
    </row>
    <row r="3264" spans="1:2" x14ac:dyDescent="0.15">
      <c r="A3264" s="15"/>
      <c r="B3264" s="15"/>
    </row>
    <row r="3265" spans="1:2" x14ac:dyDescent="0.15">
      <c r="A3265" s="15"/>
      <c r="B3265" s="15"/>
    </row>
    <row r="3266" spans="1:2" x14ac:dyDescent="0.15">
      <c r="A3266" s="15"/>
      <c r="B3266" s="15"/>
    </row>
    <row r="3267" spans="1:2" x14ac:dyDescent="0.15">
      <c r="A3267" s="15"/>
      <c r="B3267" s="15"/>
    </row>
    <row r="3268" spans="1:2" x14ac:dyDescent="0.15">
      <c r="A3268" s="15"/>
      <c r="B3268" s="15"/>
    </row>
    <row r="3269" spans="1:2" x14ac:dyDescent="0.15">
      <c r="A3269" s="15"/>
      <c r="B3269" s="15"/>
    </row>
    <row r="3270" spans="1:2" x14ac:dyDescent="0.15">
      <c r="A3270" s="15"/>
      <c r="B3270" s="15"/>
    </row>
    <row r="3271" spans="1:2" x14ac:dyDescent="0.15">
      <c r="A3271" s="15"/>
      <c r="B3271" s="15"/>
    </row>
    <row r="3272" spans="1:2" x14ac:dyDescent="0.15">
      <c r="A3272" s="15"/>
      <c r="B3272" s="15"/>
    </row>
    <row r="3273" spans="1:2" x14ac:dyDescent="0.15">
      <c r="A3273" s="15"/>
      <c r="B3273" s="15"/>
    </row>
    <row r="3274" spans="1:2" x14ac:dyDescent="0.15">
      <c r="A3274" s="15"/>
      <c r="B3274" s="15"/>
    </row>
    <row r="3275" spans="1:2" x14ac:dyDescent="0.15">
      <c r="A3275" s="15"/>
      <c r="B3275" s="15"/>
    </row>
    <row r="3276" spans="1:2" x14ac:dyDescent="0.15">
      <c r="A3276" s="15"/>
      <c r="B3276" s="15"/>
    </row>
    <row r="3277" spans="1:2" x14ac:dyDescent="0.15">
      <c r="A3277" s="15"/>
      <c r="B3277" s="15"/>
    </row>
    <row r="3278" spans="1:2" x14ac:dyDescent="0.15">
      <c r="A3278" s="15"/>
      <c r="B3278" s="15"/>
    </row>
    <row r="3279" spans="1:2" x14ac:dyDescent="0.15">
      <c r="A3279" s="15"/>
      <c r="B3279" s="15"/>
    </row>
    <row r="3280" spans="1:2" x14ac:dyDescent="0.15">
      <c r="A3280" s="15"/>
      <c r="B3280" s="15"/>
    </row>
    <row r="3281" spans="1:2" x14ac:dyDescent="0.15">
      <c r="A3281" s="15"/>
      <c r="B3281" s="15"/>
    </row>
    <row r="3282" spans="1:2" x14ac:dyDescent="0.15">
      <c r="A3282" s="15"/>
      <c r="B3282" s="15"/>
    </row>
    <row r="3283" spans="1:2" x14ac:dyDescent="0.15">
      <c r="A3283" s="15"/>
      <c r="B3283" s="15"/>
    </row>
    <row r="3284" spans="1:2" x14ac:dyDescent="0.15">
      <c r="A3284" s="15"/>
      <c r="B3284" s="15"/>
    </row>
    <row r="3285" spans="1:2" x14ac:dyDescent="0.15">
      <c r="A3285" s="15"/>
      <c r="B3285" s="15"/>
    </row>
    <row r="3286" spans="1:2" x14ac:dyDescent="0.15">
      <c r="A3286" s="15"/>
      <c r="B3286" s="15"/>
    </row>
    <row r="3287" spans="1:2" x14ac:dyDescent="0.15">
      <c r="A3287" s="15"/>
      <c r="B3287" s="15"/>
    </row>
    <row r="3288" spans="1:2" x14ac:dyDescent="0.15">
      <c r="A3288" s="15"/>
      <c r="B3288" s="15"/>
    </row>
    <row r="3289" spans="1:2" x14ac:dyDescent="0.15">
      <c r="A3289" s="15"/>
      <c r="B3289" s="15"/>
    </row>
    <row r="3290" spans="1:2" x14ac:dyDescent="0.15">
      <c r="A3290" s="15"/>
      <c r="B3290" s="15"/>
    </row>
    <row r="3291" spans="1:2" x14ac:dyDescent="0.15">
      <c r="A3291" s="15"/>
      <c r="B3291" s="15"/>
    </row>
    <row r="3292" spans="1:2" x14ac:dyDescent="0.15">
      <c r="A3292" s="15"/>
      <c r="B3292" s="15"/>
    </row>
    <row r="3293" spans="1:2" x14ac:dyDescent="0.15">
      <c r="A3293" s="15"/>
      <c r="B3293" s="15"/>
    </row>
    <row r="3294" spans="1:2" x14ac:dyDescent="0.15">
      <c r="A3294" s="15"/>
      <c r="B3294" s="15"/>
    </row>
    <row r="3295" spans="1:2" x14ac:dyDescent="0.15">
      <c r="A3295" s="15"/>
      <c r="B3295" s="15"/>
    </row>
    <row r="3296" spans="1:2" x14ac:dyDescent="0.15">
      <c r="A3296" s="15"/>
      <c r="B3296" s="15"/>
    </row>
    <row r="3297" spans="1:2" x14ac:dyDescent="0.15">
      <c r="A3297" s="15"/>
      <c r="B3297" s="15"/>
    </row>
    <row r="3298" spans="1:2" x14ac:dyDescent="0.15">
      <c r="A3298" s="15"/>
      <c r="B3298" s="15"/>
    </row>
    <row r="3299" spans="1:2" x14ac:dyDescent="0.15">
      <c r="A3299" s="15"/>
      <c r="B3299" s="15"/>
    </row>
    <row r="3300" spans="1:2" x14ac:dyDescent="0.15">
      <c r="A3300" s="15"/>
      <c r="B3300" s="15"/>
    </row>
    <row r="3301" spans="1:2" x14ac:dyDescent="0.15">
      <c r="A3301" s="15"/>
      <c r="B3301" s="15"/>
    </row>
    <row r="3302" spans="1:2" x14ac:dyDescent="0.15">
      <c r="A3302" s="15"/>
      <c r="B3302" s="15"/>
    </row>
    <row r="3303" spans="1:2" x14ac:dyDescent="0.15">
      <c r="A3303" s="15"/>
      <c r="B3303" s="15"/>
    </row>
    <row r="3304" spans="1:2" x14ac:dyDescent="0.15">
      <c r="A3304" s="15"/>
      <c r="B3304" s="15"/>
    </row>
    <row r="3305" spans="1:2" x14ac:dyDescent="0.15">
      <c r="A3305" s="15"/>
      <c r="B3305" s="15"/>
    </row>
    <row r="3306" spans="1:2" x14ac:dyDescent="0.15">
      <c r="A3306" s="15"/>
      <c r="B3306" s="15"/>
    </row>
    <row r="3307" spans="1:2" x14ac:dyDescent="0.15">
      <c r="A3307" s="15"/>
      <c r="B3307" s="15"/>
    </row>
    <row r="3308" spans="1:2" x14ac:dyDescent="0.15">
      <c r="A3308" s="15"/>
      <c r="B3308" s="15"/>
    </row>
    <row r="3309" spans="1:2" x14ac:dyDescent="0.15">
      <c r="A3309" s="15"/>
      <c r="B3309" s="15"/>
    </row>
    <row r="3310" spans="1:2" x14ac:dyDescent="0.15">
      <c r="A3310" s="15"/>
      <c r="B3310" s="15"/>
    </row>
    <row r="3311" spans="1:2" x14ac:dyDescent="0.15">
      <c r="A3311" s="15"/>
      <c r="B3311" s="15"/>
    </row>
    <row r="3312" spans="1:2" x14ac:dyDescent="0.15">
      <c r="A3312" s="15"/>
      <c r="B3312" s="15"/>
    </row>
    <row r="3313" spans="1:2" x14ac:dyDescent="0.15">
      <c r="A3313" s="15"/>
      <c r="B3313" s="15"/>
    </row>
    <row r="3314" spans="1:2" x14ac:dyDescent="0.15">
      <c r="A3314" s="15"/>
      <c r="B3314" s="15"/>
    </row>
    <row r="3315" spans="1:2" x14ac:dyDescent="0.15">
      <c r="A3315" s="15"/>
      <c r="B3315" s="15"/>
    </row>
    <row r="3316" spans="1:2" x14ac:dyDescent="0.15">
      <c r="A3316" s="15"/>
      <c r="B3316" s="15"/>
    </row>
    <row r="3317" spans="1:2" x14ac:dyDescent="0.15">
      <c r="A3317" s="15"/>
      <c r="B3317" s="15"/>
    </row>
    <row r="3318" spans="1:2" x14ac:dyDescent="0.15">
      <c r="A3318" s="15"/>
      <c r="B3318" s="15"/>
    </row>
    <row r="3319" spans="1:2" x14ac:dyDescent="0.15">
      <c r="A3319" s="15"/>
      <c r="B3319" s="15"/>
    </row>
    <row r="3320" spans="1:2" x14ac:dyDescent="0.15">
      <c r="A3320" s="15"/>
      <c r="B3320" s="15"/>
    </row>
    <row r="3321" spans="1:2" x14ac:dyDescent="0.15">
      <c r="A3321" s="15"/>
      <c r="B3321" s="15"/>
    </row>
    <row r="3322" spans="1:2" x14ac:dyDescent="0.15">
      <c r="A3322" s="15"/>
      <c r="B3322" s="15"/>
    </row>
    <row r="3323" spans="1:2" x14ac:dyDescent="0.15">
      <c r="A3323" s="15"/>
      <c r="B3323" s="15"/>
    </row>
    <row r="3324" spans="1:2" x14ac:dyDescent="0.15">
      <c r="A3324" s="15"/>
      <c r="B3324" s="15"/>
    </row>
    <row r="3325" spans="1:2" x14ac:dyDescent="0.15">
      <c r="A3325" s="15"/>
      <c r="B3325" s="15"/>
    </row>
    <row r="3326" spans="1:2" x14ac:dyDescent="0.15">
      <c r="A3326" s="15"/>
      <c r="B3326" s="15"/>
    </row>
    <row r="3327" spans="1:2" x14ac:dyDescent="0.15">
      <c r="A3327" s="15"/>
      <c r="B3327" s="15"/>
    </row>
    <row r="3328" spans="1:2" x14ac:dyDescent="0.15">
      <c r="A3328" s="15"/>
      <c r="B3328" s="15"/>
    </row>
    <row r="3329" spans="1:2" x14ac:dyDescent="0.15">
      <c r="A3329" s="15"/>
      <c r="B3329" s="15"/>
    </row>
    <row r="3330" spans="1:2" x14ac:dyDescent="0.15">
      <c r="A3330" s="15"/>
      <c r="B3330" s="15"/>
    </row>
    <row r="3331" spans="1:2" x14ac:dyDescent="0.15">
      <c r="A3331" s="15"/>
      <c r="B3331" s="15"/>
    </row>
    <row r="3332" spans="1:2" x14ac:dyDescent="0.15">
      <c r="A3332" s="15"/>
      <c r="B3332" s="15"/>
    </row>
    <row r="3333" spans="1:2" x14ac:dyDescent="0.15">
      <c r="A3333" s="15"/>
      <c r="B3333" s="15"/>
    </row>
    <row r="3334" spans="1:2" x14ac:dyDescent="0.15">
      <c r="A3334" s="15"/>
      <c r="B3334" s="15"/>
    </row>
    <row r="3335" spans="1:2" x14ac:dyDescent="0.15">
      <c r="A3335" s="15"/>
      <c r="B3335" s="15"/>
    </row>
    <row r="3336" spans="1:2" x14ac:dyDescent="0.15">
      <c r="A3336" s="15"/>
      <c r="B3336" s="15"/>
    </row>
    <row r="3337" spans="1:2" x14ac:dyDescent="0.15">
      <c r="A3337" s="15"/>
      <c r="B3337" s="15"/>
    </row>
    <row r="3338" spans="1:2" x14ac:dyDescent="0.15">
      <c r="A3338" s="15"/>
      <c r="B3338" s="15"/>
    </row>
    <row r="3339" spans="1:2" x14ac:dyDescent="0.15">
      <c r="A3339" s="15"/>
      <c r="B3339" s="15"/>
    </row>
    <row r="3340" spans="1:2" x14ac:dyDescent="0.15">
      <c r="A3340" s="15"/>
      <c r="B3340" s="15"/>
    </row>
    <row r="3341" spans="1:2" x14ac:dyDescent="0.15">
      <c r="A3341" s="15"/>
      <c r="B3341" s="15"/>
    </row>
    <row r="3342" spans="1:2" x14ac:dyDescent="0.15">
      <c r="A3342" s="15"/>
      <c r="B3342" s="15"/>
    </row>
    <row r="3343" spans="1:2" x14ac:dyDescent="0.15">
      <c r="A3343" s="15"/>
      <c r="B3343" s="15"/>
    </row>
    <row r="3344" spans="1:2" x14ac:dyDescent="0.15">
      <c r="A3344" s="15"/>
      <c r="B3344" s="15"/>
    </row>
    <row r="3345" spans="1:2" x14ac:dyDescent="0.15">
      <c r="A3345" s="15"/>
      <c r="B3345" s="15"/>
    </row>
    <row r="3346" spans="1:2" x14ac:dyDescent="0.15">
      <c r="A3346" s="15"/>
      <c r="B3346" s="15"/>
    </row>
    <row r="3347" spans="1:2" x14ac:dyDescent="0.15">
      <c r="A3347" s="15"/>
      <c r="B3347" s="15"/>
    </row>
    <row r="3348" spans="1:2" x14ac:dyDescent="0.15">
      <c r="A3348" s="15"/>
      <c r="B3348" s="15"/>
    </row>
    <row r="3349" spans="1:2" x14ac:dyDescent="0.15">
      <c r="A3349" s="15"/>
      <c r="B3349" s="15"/>
    </row>
    <row r="3350" spans="1:2" x14ac:dyDescent="0.15">
      <c r="A3350" s="15"/>
      <c r="B3350" s="15"/>
    </row>
    <row r="3351" spans="1:2" x14ac:dyDescent="0.15">
      <c r="A3351" s="15"/>
      <c r="B3351" s="15"/>
    </row>
    <row r="3352" spans="1:2" x14ac:dyDescent="0.15">
      <c r="A3352" s="15"/>
      <c r="B3352" s="15"/>
    </row>
    <row r="3353" spans="1:2" x14ac:dyDescent="0.15">
      <c r="A3353" s="15"/>
      <c r="B3353" s="15"/>
    </row>
    <row r="3354" spans="1:2" x14ac:dyDescent="0.15">
      <c r="A3354" s="15"/>
      <c r="B3354" s="15"/>
    </row>
    <row r="3355" spans="1:2" x14ac:dyDescent="0.15">
      <c r="A3355" s="15"/>
      <c r="B3355" s="15"/>
    </row>
    <row r="3356" spans="1:2" x14ac:dyDescent="0.15">
      <c r="A3356" s="15"/>
      <c r="B3356" s="15"/>
    </row>
    <row r="3357" spans="1:2" x14ac:dyDescent="0.15">
      <c r="A3357" s="15"/>
      <c r="B3357" s="15"/>
    </row>
    <row r="3358" spans="1:2" x14ac:dyDescent="0.15">
      <c r="A3358" s="15"/>
      <c r="B3358" s="15"/>
    </row>
    <row r="3359" spans="1:2" x14ac:dyDescent="0.15">
      <c r="A3359" s="15"/>
      <c r="B3359" s="15"/>
    </row>
    <row r="3360" spans="1:2" x14ac:dyDescent="0.15">
      <c r="A3360" s="15"/>
      <c r="B3360" s="15"/>
    </row>
    <row r="3361" spans="1:2" x14ac:dyDescent="0.15">
      <c r="A3361" s="15"/>
      <c r="B3361" s="15"/>
    </row>
    <row r="3362" spans="1:2" x14ac:dyDescent="0.15">
      <c r="A3362" s="15"/>
      <c r="B3362" s="15"/>
    </row>
    <row r="3363" spans="1:2" x14ac:dyDescent="0.15">
      <c r="A3363" s="15"/>
      <c r="B3363" s="15"/>
    </row>
    <row r="3364" spans="1:2" x14ac:dyDescent="0.15">
      <c r="A3364" s="15"/>
      <c r="B3364" s="15"/>
    </row>
    <row r="3365" spans="1:2" x14ac:dyDescent="0.15">
      <c r="A3365" s="15"/>
      <c r="B3365" s="15"/>
    </row>
    <row r="3366" spans="1:2" x14ac:dyDescent="0.15">
      <c r="A3366" s="15"/>
      <c r="B3366" s="15"/>
    </row>
    <row r="3367" spans="1:2" x14ac:dyDescent="0.15">
      <c r="A3367" s="15"/>
      <c r="B3367" s="15"/>
    </row>
    <row r="3368" spans="1:2" x14ac:dyDescent="0.15">
      <c r="A3368" s="15"/>
      <c r="B3368" s="15"/>
    </row>
    <row r="3369" spans="1:2" x14ac:dyDescent="0.15">
      <c r="A3369" s="15"/>
      <c r="B3369" s="15"/>
    </row>
    <row r="3370" spans="1:2" x14ac:dyDescent="0.15">
      <c r="A3370" s="15"/>
      <c r="B3370" s="15"/>
    </row>
    <row r="3371" spans="1:2" x14ac:dyDescent="0.15">
      <c r="A3371" s="15"/>
      <c r="B3371" s="15"/>
    </row>
    <row r="3372" spans="1:2" x14ac:dyDescent="0.15">
      <c r="A3372" s="15"/>
      <c r="B3372" s="15"/>
    </row>
    <row r="3373" spans="1:2" x14ac:dyDescent="0.15">
      <c r="A3373" s="15"/>
      <c r="B3373" s="15"/>
    </row>
    <row r="3374" spans="1:2" x14ac:dyDescent="0.15">
      <c r="A3374" s="15"/>
      <c r="B3374" s="15"/>
    </row>
    <row r="3375" spans="1:2" x14ac:dyDescent="0.15">
      <c r="A3375" s="15"/>
      <c r="B3375" s="15"/>
    </row>
    <row r="3376" spans="1:2" x14ac:dyDescent="0.15">
      <c r="A3376" s="15"/>
      <c r="B3376" s="15"/>
    </row>
    <row r="3377" spans="1:2" x14ac:dyDescent="0.15">
      <c r="A3377" s="15"/>
      <c r="B3377" s="15"/>
    </row>
    <row r="3378" spans="1:2" x14ac:dyDescent="0.15">
      <c r="A3378" s="15"/>
      <c r="B3378" s="15"/>
    </row>
    <row r="3379" spans="1:2" x14ac:dyDescent="0.15">
      <c r="A3379" s="15"/>
      <c r="B3379" s="15"/>
    </row>
    <row r="3380" spans="1:2" x14ac:dyDescent="0.15">
      <c r="A3380" s="15"/>
      <c r="B3380" s="15"/>
    </row>
    <row r="3381" spans="1:2" x14ac:dyDescent="0.15">
      <c r="A3381" s="15"/>
      <c r="B3381" s="15"/>
    </row>
    <row r="3382" spans="1:2" x14ac:dyDescent="0.15">
      <c r="A3382" s="15"/>
      <c r="B3382" s="15"/>
    </row>
    <row r="3383" spans="1:2" x14ac:dyDescent="0.15">
      <c r="A3383" s="15"/>
      <c r="B3383" s="15"/>
    </row>
    <row r="3384" spans="1:2" x14ac:dyDescent="0.15">
      <c r="A3384" s="15"/>
      <c r="B3384" s="15"/>
    </row>
    <row r="3385" spans="1:2" x14ac:dyDescent="0.15">
      <c r="A3385" s="15"/>
      <c r="B3385" s="15"/>
    </row>
    <row r="3386" spans="1:2" x14ac:dyDescent="0.15">
      <c r="A3386" s="15"/>
      <c r="B3386" s="15"/>
    </row>
    <row r="3387" spans="1:2" x14ac:dyDescent="0.15">
      <c r="A3387" s="15"/>
      <c r="B3387" s="15"/>
    </row>
    <row r="3388" spans="1:2" x14ac:dyDescent="0.15">
      <c r="A3388" s="15"/>
      <c r="B3388" s="15"/>
    </row>
    <row r="3389" spans="1:2" x14ac:dyDescent="0.15">
      <c r="A3389" s="15"/>
      <c r="B3389" s="15"/>
    </row>
    <row r="3390" spans="1:2" x14ac:dyDescent="0.15">
      <c r="A3390" s="15"/>
      <c r="B3390" s="15"/>
    </row>
    <row r="3391" spans="1:2" x14ac:dyDescent="0.15">
      <c r="A3391" s="15"/>
      <c r="B3391" s="15"/>
    </row>
    <row r="3392" spans="1:2" x14ac:dyDescent="0.15">
      <c r="A3392" s="15"/>
      <c r="B3392" s="15"/>
    </row>
    <row r="3393" spans="1:2" x14ac:dyDescent="0.15">
      <c r="A3393" s="15"/>
      <c r="B3393" s="15"/>
    </row>
    <row r="3394" spans="1:2" x14ac:dyDescent="0.15">
      <c r="A3394" s="15"/>
      <c r="B3394" s="15"/>
    </row>
    <row r="3395" spans="1:2" x14ac:dyDescent="0.15">
      <c r="A3395" s="15"/>
      <c r="B3395" s="15"/>
    </row>
    <row r="3396" spans="1:2" x14ac:dyDescent="0.15">
      <c r="A3396" s="15"/>
      <c r="B3396" s="15"/>
    </row>
    <row r="3397" spans="1:2" x14ac:dyDescent="0.15">
      <c r="A3397" s="15"/>
      <c r="B3397" s="15"/>
    </row>
    <row r="3398" spans="1:2" x14ac:dyDescent="0.15">
      <c r="A3398" s="15"/>
      <c r="B3398" s="15"/>
    </row>
    <row r="3399" spans="1:2" x14ac:dyDescent="0.15">
      <c r="A3399" s="15"/>
      <c r="B3399" s="15"/>
    </row>
    <row r="3400" spans="1:2" x14ac:dyDescent="0.15">
      <c r="A3400" s="15"/>
      <c r="B3400" s="15"/>
    </row>
    <row r="3401" spans="1:2" x14ac:dyDescent="0.15">
      <c r="A3401" s="15"/>
      <c r="B3401" s="15"/>
    </row>
    <row r="3402" spans="1:2" x14ac:dyDescent="0.15">
      <c r="A3402" s="15"/>
      <c r="B3402" s="15"/>
    </row>
    <row r="3403" spans="1:2" x14ac:dyDescent="0.15">
      <c r="A3403" s="15"/>
      <c r="B3403" s="15"/>
    </row>
    <row r="3404" spans="1:2" x14ac:dyDescent="0.15">
      <c r="A3404" s="15"/>
      <c r="B3404" s="15"/>
    </row>
    <row r="3405" spans="1:2" x14ac:dyDescent="0.15">
      <c r="A3405" s="15"/>
      <c r="B3405" s="15"/>
    </row>
    <row r="3406" spans="1:2" x14ac:dyDescent="0.15">
      <c r="A3406" s="15"/>
      <c r="B3406" s="15"/>
    </row>
    <row r="3407" spans="1:2" x14ac:dyDescent="0.15">
      <c r="A3407" s="15"/>
      <c r="B3407" s="15"/>
    </row>
    <row r="3408" spans="1:2" x14ac:dyDescent="0.15">
      <c r="A3408" s="15"/>
      <c r="B3408" s="15"/>
    </row>
    <row r="3409" spans="1:2" x14ac:dyDescent="0.15">
      <c r="A3409" s="15"/>
      <c r="B3409" s="15"/>
    </row>
    <row r="3410" spans="1:2" x14ac:dyDescent="0.15">
      <c r="A3410" s="15"/>
      <c r="B3410" s="15"/>
    </row>
    <row r="3411" spans="1:2" x14ac:dyDescent="0.15">
      <c r="A3411" s="15"/>
      <c r="B3411" s="15"/>
    </row>
    <row r="3412" spans="1:2" x14ac:dyDescent="0.15">
      <c r="A3412" s="15"/>
      <c r="B3412" s="15"/>
    </row>
    <row r="3413" spans="1:2" x14ac:dyDescent="0.15">
      <c r="A3413" s="15"/>
      <c r="B3413" s="15"/>
    </row>
    <row r="3414" spans="1:2" x14ac:dyDescent="0.15">
      <c r="A3414" s="15"/>
      <c r="B3414" s="15"/>
    </row>
    <row r="3415" spans="1:2" x14ac:dyDescent="0.15">
      <c r="A3415" s="15"/>
      <c r="B3415" s="15"/>
    </row>
    <row r="3416" spans="1:2" x14ac:dyDescent="0.15">
      <c r="A3416" s="15"/>
      <c r="B3416" s="15"/>
    </row>
    <row r="3417" spans="1:2" x14ac:dyDescent="0.15">
      <c r="A3417" s="15"/>
      <c r="B3417" s="15"/>
    </row>
    <row r="3418" spans="1:2" x14ac:dyDescent="0.15">
      <c r="A3418" s="15"/>
      <c r="B3418" s="15"/>
    </row>
    <row r="3419" spans="1:2" x14ac:dyDescent="0.15">
      <c r="A3419" s="15"/>
      <c r="B3419" s="15"/>
    </row>
    <row r="3420" spans="1:2" x14ac:dyDescent="0.15">
      <c r="A3420" s="15"/>
      <c r="B3420" s="15"/>
    </row>
    <row r="3421" spans="1:2" x14ac:dyDescent="0.15">
      <c r="A3421" s="15"/>
      <c r="B3421" s="15"/>
    </row>
    <row r="3422" spans="1:2" x14ac:dyDescent="0.15">
      <c r="A3422" s="15"/>
      <c r="B3422" s="15"/>
    </row>
    <row r="3423" spans="1:2" x14ac:dyDescent="0.15">
      <c r="A3423" s="15"/>
      <c r="B3423" s="15"/>
    </row>
    <row r="3424" spans="1:2" x14ac:dyDescent="0.15">
      <c r="A3424" s="15"/>
      <c r="B3424" s="15"/>
    </row>
    <row r="3425" spans="1:2" x14ac:dyDescent="0.15">
      <c r="A3425" s="15"/>
      <c r="B3425" s="15"/>
    </row>
    <row r="3426" spans="1:2" x14ac:dyDescent="0.15">
      <c r="A3426" s="15"/>
      <c r="B3426" s="15"/>
    </row>
    <row r="3427" spans="1:2" x14ac:dyDescent="0.15">
      <c r="A3427" s="15"/>
      <c r="B3427" s="15"/>
    </row>
    <row r="3428" spans="1:2" x14ac:dyDescent="0.15">
      <c r="A3428" s="15"/>
      <c r="B3428" s="15"/>
    </row>
    <row r="3429" spans="1:2" x14ac:dyDescent="0.15">
      <c r="A3429" s="15"/>
      <c r="B3429" s="15"/>
    </row>
    <row r="3430" spans="1:2" x14ac:dyDescent="0.15">
      <c r="A3430" s="15"/>
      <c r="B3430" s="15"/>
    </row>
    <row r="3431" spans="1:2" x14ac:dyDescent="0.15">
      <c r="A3431" s="15"/>
      <c r="B3431" s="15"/>
    </row>
    <row r="3432" spans="1:2" x14ac:dyDescent="0.15">
      <c r="A3432" s="15"/>
      <c r="B3432" s="15"/>
    </row>
    <row r="3433" spans="1:2" x14ac:dyDescent="0.15">
      <c r="A3433" s="15"/>
      <c r="B3433" s="15"/>
    </row>
    <row r="3434" spans="1:2" x14ac:dyDescent="0.15">
      <c r="A3434" s="15"/>
      <c r="B3434" s="15"/>
    </row>
    <row r="3435" spans="1:2" x14ac:dyDescent="0.15">
      <c r="A3435" s="15"/>
      <c r="B3435" s="15"/>
    </row>
    <row r="3436" spans="1:2" x14ac:dyDescent="0.15">
      <c r="A3436" s="15"/>
      <c r="B3436" s="15"/>
    </row>
    <row r="3437" spans="1:2" x14ac:dyDescent="0.15">
      <c r="A3437" s="15"/>
      <c r="B3437" s="15"/>
    </row>
    <row r="3438" spans="1:2" x14ac:dyDescent="0.15">
      <c r="A3438" s="15"/>
      <c r="B3438" s="15"/>
    </row>
    <row r="3439" spans="1:2" x14ac:dyDescent="0.15">
      <c r="A3439" s="15"/>
      <c r="B3439" s="15"/>
    </row>
    <row r="3440" spans="1:2" x14ac:dyDescent="0.15">
      <c r="A3440" s="15"/>
      <c r="B3440" s="15"/>
    </row>
    <row r="3441" spans="1:2" x14ac:dyDescent="0.15">
      <c r="A3441" s="15"/>
      <c r="B3441" s="15"/>
    </row>
    <row r="3442" spans="1:2" x14ac:dyDescent="0.15">
      <c r="A3442" s="15"/>
      <c r="B3442" s="15"/>
    </row>
    <row r="3443" spans="1:2" x14ac:dyDescent="0.15">
      <c r="A3443" s="15"/>
      <c r="B3443" s="15"/>
    </row>
    <row r="3444" spans="1:2" x14ac:dyDescent="0.15">
      <c r="A3444" s="15"/>
      <c r="B3444" s="15"/>
    </row>
    <row r="3445" spans="1:2" x14ac:dyDescent="0.15">
      <c r="A3445" s="15"/>
      <c r="B3445" s="15"/>
    </row>
    <row r="3446" spans="1:2" x14ac:dyDescent="0.15">
      <c r="A3446" s="15"/>
      <c r="B3446" s="15"/>
    </row>
    <row r="3447" spans="1:2" x14ac:dyDescent="0.15">
      <c r="A3447" s="15"/>
      <c r="B3447" s="15"/>
    </row>
    <row r="3448" spans="1:2" x14ac:dyDescent="0.15">
      <c r="A3448" s="15"/>
      <c r="B3448" s="15"/>
    </row>
    <row r="3449" spans="1:2" x14ac:dyDescent="0.15">
      <c r="A3449" s="15"/>
      <c r="B3449" s="15"/>
    </row>
    <row r="3450" spans="1:2" x14ac:dyDescent="0.15">
      <c r="A3450" s="15"/>
      <c r="B3450" s="15"/>
    </row>
    <row r="3451" spans="1:2" x14ac:dyDescent="0.15">
      <c r="A3451" s="15"/>
      <c r="B3451" s="15"/>
    </row>
    <row r="3452" spans="1:2" x14ac:dyDescent="0.15">
      <c r="A3452" s="15"/>
      <c r="B3452" s="15"/>
    </row>
    <row r="3453" spans="1:2" x14ac:dyDescent="0.15">
      <c r="A3453" s="15"/>
      <c r="B3453" s="15"/>
    </row>
    <row r="3454" spans="1:2" x14ac:dyDescent="0.15">
      <c r="A3454" s="15"/>
      <c r="B3454" s="15"/>
    </row>
    <row r="3455" spans="1:2" x14ac:dyDescent="0.15">
      <c r="A3455" s="15"/>
      <c r="B3455" s="15"/>
    </row>
    <row r="3456" spans="1:2" x14ac:dyDescent="0.15">
      <c r="A3456" s="15"/>
      <c r="B3456" s="15"/>
    </row>
    <row r="3457" spans="1:2" x14ac:dyDescent="0.15">
      <c r="A3457" s="15"/>
      <c r="B3457" s="15"/>
    </row>
    <row r="3458" spans="1:2" x14ac:dyDescent="0.15">
      <c r="A3458" s="15"/>
      <c r="B3458" s="15"/>
    </row>
    <row r="3459" spans="1:2" x14ac:dyDescent="0.15">
      <c r="A3459" s="15"/>
      <c r="B3459" s="15"/>
    </row>
    <row r="3460" spans="1:2" x14ac:dyDescent="0.15">
      <c r="A3460" s="15"/>
      <c r="B3460" s="15"/>
    </row>
    <row r="3461" spans="1:2" x14ac:dyDescent="0.15">
      <c r="A3461" s="15"/>
      <c r="B3461" s="15"/>
    </row>
    <row r="3462" spans="1:2" x14ac:dyDescent="0.15">
      <c r="A3462" s="15"/>
      <c r="B3462" s="15"/>
    </row>
    <row r="3463" spans="1:2" x14ac:dyDescent="0.15">
      <c r="A3463" s="15"/>
      <c r="B3463" s="15"/>
    </row>
    <row r="3464" spans="1:2" x14ac:dyDescent="0.15">
      <c r="A3464" s="15"/>
      <c r="B3464" s="15"/>
    </row>
    <row r="3465" spans="1:2" x14ac:dyDescent="0.15">
      <c r="A3465" s="15"/>
      <c r="B3465" s="15"/>
    </row>
    <row r="3466" spans="1:2" x14ac:dyDescent="0.15">
      <c r="A3466" s="15"/>
      <c r="B3466" s="15"/>
    </row>
    <row r="3467" spans="1:2" x14ac:dyDescent="0.15">
      <c r="A3467" s="15"/>
      <c r="B3467" s="15"/>
    </row>
    <row r="3468" spans="1:2" x14ac:dyDescent="0.15">
      <c r="A3468" s="15"/>
      <c r="B3468" s="15"/>
    </row>
    <row r="3469" spans="1:2" x14ac:dyDescent="0.15">
      <c r="A3469" s="15"/>
      <c r="B3469" s="15"/>
    </row>
    <row r="3470" spans="1:2" x14ac:dyDescent="0.15">
      <c r="A3470" s="15"/>
      <c r="B3470" s="15"/>
    </row>
    <row r="3471" spans="1:2" x14ac:dyDescent="0.15">
      <c r="A3471" s="15"/>
      <c r="B3471" s="15"/>
    </row>
    <row r="3472" spans="1:2" x14ac:dyDescent="0.15">
      <c r="A3472" s="15"/>
      <c r="B3472" s="15"/>
    </row>
    <row r="3473" spans="1:2" x14ac:dyDescent="0.15">
      <c r="A3473" s="15"/>
      <c r="B3473" s="15"/>
    </row>
    <row r="3474" spans="1:2" x14ac:dyDescent="0.15">
      <c r="A3474" s="15"/>
      <c r="B3474" s="15"/>
    </row>
    <row r="3475" spans="1:2" x14ac:dyDescent="0.15">
      <c r="A3475" s="15"/>
      <c r="B3475" s="15"/>
    </row>
    <row r="3476" spans="1:2" x14ac:dyDescent="0.15">
      <c r="A3476" s="15"/>
      <c r="B3476" s="15"/>
    </row>
    <row r="3477" spans="1:2" x14ac:dyDescent="0.15">
      <c r="A3477" s="15"/>
      <c r="B3477" s="15"/>
    </row>
    <row r="3478" spans="1:2" x14ac:dyDescent="0.15">
      <c r="A3478" s="15"/>
      <c r="B3478" s="15"/>
    </row>
    <row r="3479" spans="1:2" x14ac:dyDescent="0.15">
      <c r="A3479" s="15"/>
      <c r="B3479" s="15"/>
    </row>
    <row r="3480" spans="1:2" x14ac:dyDescent="0.15">
      <c r="A3480" s="15"/>
      <c r="B3480" s="15"/>
    </row>
    <row r="3481" spans="1:2" x14ac:dyDescent="0.15">
      <c r="A3481" s="15"/>
      <c r="B3481" s="15"/>
    </row>
    <row r="3482" spans="1:2" x14ac:dyDescent="0.15">
      <c r="A3482" s="15"/>
      <c r="B3482" s="15"/>
    </row>
    <row r="3483" spans="1:2" x14ac:dyDescent="0.15">
      <c r="A3483" s="15"/>
      <c r="B3483" s="15"/>
    </row>
    <row r="3484" spans="1:2" x14ac:dyDescent="0.15">
      <c r="A3484" s="15"/>
      <c r="B3484" s="15"/>
    </row>
    <row r="3485" spans="1:2" x14ac:dyDescent="0.15">
      <c r="A3485" s="15"/>
      <c r="B3485" s="15"/>
    </row>
    <row r="3486" spans="1:2" x14ac:dyDescent="0.15">
      <c r="A3486" s="15"/>
      <c r="B3486" s="15"/>
    </row>
    <row r="3487" spans="1:2" x14ac:dyDescent="0.15">
      <c r="A3487" s="15"/>
      <c r="B3487" s="15"/>
    </row>
    <row r="3488" spans="1:2" x14ac:dyDescent="0.15">
      <c r="A3488" s="15"/>
      <c r="B3488" s="15"/>
    </row>
    <row r="3489" spans="1:2" x14ac:dyDescent="0.15">
      <c r="A3489" s="15"/>
      <c r="B3489" s="15"/>
    </row>
    <row r="3490" spans="1:2" x14ac:dyDescent="0.15">
      <c r="A3490" s="15"/>
      <c r="B3490" s="15"/>
    </row>
    <row r="3491" spans="1:2" x14ac:dyDescent="0.15">
      <c r="A3491" s="15"/>
      <c r="B3491" s="15"/>
    </row>
    <row r="3492" spans="1:2" x14ac:dyDescent="0.15">
      <c r="A3492" s="15"/>
      <c r="B3492" s="15"/>
    </row>
    <row r="3493" spans="1:2" x14ac:dyDescent="0.15">
      <c r="A3493" s="15"/>
      <c r="B3493" s="15"/>
    </row>
    <row r="3494" spans="1:2" x14ac:dyDescent="0.15">
      <c r="A3494" s="15"/>
      <c r="B3494" s="15"/>
    </row>
    <row r="3495" spans="1:2" x14ac:dyDescent="0.15">
      <c r="A3495" s="15"/>
      <c r="B3495" s="15"/>
    </row>
    <row r="3496" spans="1:2" x14ac:dyDescent="0.15">
      <c r="A3496" s="15"/>
      <c r="B3496" s="15"/>
    </row>
    <row r="3497" spans="1:2" x14ac:dyDescent="0.15">
      <c r="A3497" s="15"/>
      <c r="B3497" s="15"/>
    </row>
    <row r="3498" spans="1:2" x14ac:dyDescent="0.15">
      <c r="A3498" s="15"/>
      <c r="B3498" s="15"/>
    </row>
    <row r="3499" spans="1:2" x14ac:dyDescent="0.15">
      <c r="A3499" s="15"/>
      <c r="B3499" s="15"/>
    </row>
    <row r="3500" spans="1:2" x14ac:dyDescent="0.15">
      <c r="A3500" s="15"/>
      <c r="B3500" s="15"/>
    </row>
    <row r="3501" spans="1:2" x14ac:dyDescent="0.15">
      <c r="A3501" s="15"/>
      <c r="B3501" s="15"/>
    </row>
    <row r="3502" spans="1:2" x14ac:dyDescent="0.15">
      <c r="A3502" s="15"/>
      <c r="B3502" s="15"/>
    </row>
    <row r="3503" spans="1:2" x14ac:dyDescent="0.15">
      <c r="A3503" s="15"/>
      <c r="B3503" s="15"/>
    </row>
    <row r="3504" spans="1:2" x14ac:dyDescent="0.15">
      <c r="A3504" s="15"/>
      <c r="B3504" s="15"/>
    </row>
    <row r="3505" spans="1:2" x14ac:dyDescent="0.15">
      <c r="A3505" s="15"/>
      <c r="B3505" s="15"/>
    </row>
    <row r="3506" spans="1:2" x14ac:dyDescent="0.15">
      <c r="A3506" s="15"/>
      <c r="B3506" s="15"/>
    </row>
    <row r="3507" spans="1:2" x14ac:dyDescent="0.15">
      <c r="A3507" s="15"/>
      <c r="B3507" s="15"/>
    </row>
    <row r="3508" spans="1:2" x14ac:dyDescent="0.15">
      <c r="A3508" s="15"/>
      <c r="B3508" s="15"/>
    </row>
    <row r="3509" spans="1:2" x14ac:dyDescent="0.15">
      <c r="A3509" s="15"/>
      <c r="B3509" s="15"/>
    </row>
    <row r="3510" spans="1:2" x14ac:dyDescent="0.15">
      <c r="A3510" s="15"/>
      <c r="B3510" s="15"/>
    </row>
    <row r="3511" spans="1:2" x14ac:dyDescent="0.15">
      <c r="A3511" s="15"/>
      <c r="B3511" s="15"/>
    </row>
    <row r="3512" spans="1:2" x14ac:dyDescent="0.15">
      <c r="A3512" s="15"/>
      <c r="B3512" s="15"/>
    </row>
    <row r="3513" spans="1:2" x14ac:dyDescent="0.15">
      <c r="A3513" s="15"/>
      <c r="B3513" s="15"/>
    </row>
    <row r="3514" spans="1:2" x14ac:dyDescent="0.15">
      <c r="A3514" s="15"/>
      <c r="B3514" s="15"/>
    </row>
    <row r="3515" spans="1:2" x14ac:dyDescent="0.15">
      <c r="A3515" s="15"/>
      <c r="B3515" s="15"/>
    </row>
    <row r="3516" spans="1:2" x14ac:dyDescent="0.15">
      <c r="A3516" s="15"/>
      <c r="B3516" s="15"/>
    </row>
    <row r="3517" spans="1:2" x14ac:dyDescent="0.15">
      <c r="A3517" s="15"/>
      <c r="B3517" s="15"/>
    </row>
    <row r="3518" spans="1:2" x14ac:dyDescent="0.15">
      <c r="A3518" s="15"/>
      <c r="B3518" s="15"/>
    </row>
    <row r="3519" spans="1:2" x14ac:dyDescent="0.15">
      <c r="A3519" s="15"/>
      <c r="B3519" s="15"/>
    </row>
    <row r="3520" spans="1:2" x14ac:dyDescent="0.15">
      <c r="A3520" s="15"/>
      <c r="B3520" s="15"/>
    </row>
    <row r="3521" spans="1:2" x14ac:dyDescent="0.15">
      <c r="A3521" s="15"/>
      <c r="B3521" s="15"/>
    </row>
    <row r="3522" spans="1:2" x14ac:dyDescent="0.15">
      <c r="A3522" s="15"/>
      <c r="B3522" s="15"/>
    </row>
    <row r="3523" spans="1:2" x14ac:dyDescent="0.15">
      <c r="A3523" s="15"/>
      <c r="B3523" s="15"/>
    </row>
    <row r="3524" spans="1:2" x14ac:dyDescent="0.15">
      <c r="A3524" s="15"/>
      <c r="B3524" s="15"/>
    </row>
    <row r="3525" spans="1:2" x14ac:dyDescent="0.15">
      <c r="A3525" s="15"/>
      <c r="B3525" s="15"/>
    </row>
    <row r="3526" spans="1:2" x14ac:dyDescent="0.15">
      <c r="A3526" s="15"/>
      <c r="B3526" s="15"/>
    </row>
    <row r="3527" spans="1:2" x14ac:dyDescent="0.15">
      <c r="A3527" s="15"/>
      <c r="B3527" s="15"/>
    </row>
    <row r="3528" spans="1:2" x14ac:dyDescent="0.15">
      <c r="A3528" s="15"/>
      <c r="B3528" s="15"/>
    </row>
    <row r="3529" spans="1:2" x14ac:dyDescent="0.15">
      <c r="A3529" s="15"/>
      <c r="B3529" s="15"/>
    </row>
    <row r="3530" spans="1:2" x14ac:dyDescent="0.15">
      <c r="A3530" s="15"/>
      <c r="B3530" s="15"/>
    </row>
    <row r="3531" spans="1:2" x14ac:dyDescent="0.15">
      <c r="A3531" s="15"/>
      <c r="B3531" s="15"/>
    </row>
    <row r="3532" spans="1:2" x14ac:dyDescent="0.15">
      <c r="A3532" s="15"/>
      <c r="B3532" s="15"/>
    </row>
    <row r="3533" spans="1:2" x14ac:dyDescent="0.15">
      <c r="A3533" s="15"/>
      <c r="B3533" s="15"/>
    </row>
    <row r="3534" spans="1:2" x14ac:dyDescent="0.15">
      <c r="A3534" s="15"/>
      <c r="B3534" s="15"/>
    </row>
    <row r="3535" spans="1:2" x14ac:dyDescent="0.15">
      <c r="A3535" s="15"/>
      <c r="B3535" s="15"/>
    </row>
    <row r="3536" spans="1:2" x14ac:dyDescent="0.15">
      <c r="A3536" s="15"/>
      <c r="B3536" s="15"/>
    </row>
    <row r="3537" spans="1:2" x14ac:dyDescent="0.15">
      <c r="A3537" s="15"/>
      <c r="B3537" s="15"/>
    </row>
    <row r="3538" spans="1:2" x14ac:dyDescent="0.15">
      <c r="A3538" s="15"/>
      <c r="B3538" s="15"/>
    </row>
    <row r="3539" spans="1:2" x14ac:dyDescent="0.15">
      <c r="A3539" s="15"/>
      <c r="B3539" s="15"/>
    </row>
    <row r="3540" spans="1:2" x14ac:dyDescent="0.15">
      <c r="A3540" s="15"/>
      <c r="B3540" s="15"/>
    </row>
    <row r="3541" spans="1:2" x14ac:dyDescent="0.15">
      <c r="A3541" s="15"/>
      <c r="B3541" s="15"/>
    </row>
    <row r="3542" spans="1:2" x14ac:dyDescent="0.15">
      <c r="A3542" s="15"/>
      <c r="B3542" s="15"/>
    </row>
    <row r="3543" spans="1:2" x14ac:dyDescent="0.15">
      <c r="A3543" s="15"/>
      <c r="B3543" s="15"/>
    </row>
    <row r="3544" spans="1:2" x14ac:dyDescent="0.15">
      <c r="A3544" s="15"/>
      <c r="B3544" s="15"/>
    </row>
    <row r="3545" spans="1:2" x14ac:dyDescent="0.15">
      <c r="A3545" s="15"/>
      <c r="B3545" s="15"/>
    </row>
    <row r="3546" spans="1:2" x14ac:dyDescent="0.15">
      <c r="A3546" s="15"/>
      <c r="B3546" s="15"/>
    </row>
    <row r="3547" spans="1:2" x14ac:dyDescent="0.15">
      <c r="A3547" s="15"/>
      <c r="B3547" s="15"/>
    </row>
    <row r="3548" spans="1:2" x14ac:dyDescent="0.15">
      <c r="A3548" s="15"/>
      <c r="B3548" s="15"/>
    </row>
    <row r="3549" spans="1:2" x14ac:dyDescent="0.15">
      <c r="A3549" s="15"/>
      <c r="B3549" s="15"/>
    </row>
    <row r="3550" spans="1:2" x14ac:dyDescent="0.15">
      <c r="A3550" s="15"/>
      <c r="B3550" s="15"/>
    </row>
    <row r="3551" spans="1:2" x14ac:dyDescent="0.15">
      <c r="A3551" s="15"/>
      <c r="B3551" s="15"/>
    </row>
    <row r="3552" spans="1:2" x14ac:dyDescent="0.15">
      <c r="A3552" s="15"/>
      <c r="B3552" s="15"/>
    </row>
    <row r="3553" spans="1:2" x14ac:dyDescent="0.15">
      <c r="A3553" s="15"/>
      <c r="B3553" s="15"/>
    </row>
    <row r="3554" spans="1:2" x14ac:dyDescent="0.15">
      <c r="A3554" s="15"/>
      <c r="B3554" s="15"/>
    </row>
    <row r="3555" spans="1:2" x14ac:dyDescent="0.15">
      <c r="A3555" s="15"/>
      <c r="B3555" s="15"/>
    </row>
    <row r="3556" spans="1:2" x14ac:dyDescent="0.15">
      <c r="A3556" s="15"/>
      <c r="B3556" s="15"/>
    </row>
    <row r="3557" spans="1:2" x14ac:dyDescent="0.15">
      <c r="A3557" s="15"/>
      <c r="B3557" s="15"/>
    </row>
    <row r="3558" spans="1:2" x14ac:dyDescent="0.15">
      <c r="A3558" s="15"/>
      <c r="B3558" s="15"/>
    </row>
    <row r="3559" spans="1:2" x14ac:dyDescent="0.15">
      <c r="A3559" s="15"/>
      <c r="B3559" s="15"/>
    </row>
    <row r="3560" spans="1:2" x14ac:dyDescent="0.15">
      <c r="A3560" s="15"/>
      <c r="B3560" s="15"/>
    </row>
    <row r="3561" spans="1:2" x14ac:dyDescent="0.15">
      <c r="A3561" s="15"/>
      <c r="B3561" s="15"/>
    </row>
    <row r="3562" spans="1:2" x14ac:dyDescent="0.15">
      <c r="A3562" s="15"/>
      <c r="B3562" s="15"/>
    </row>
    <row r="3563" spans="1:2" x14ac:dyDescent="0.15">
      <c r="A3563" s="15"/>
      <c r="B3563" s="15"/>
    </row>
    <row r="3564" spans="1:2" x14ac:dyDescent="0.15">
      <c r="A3564" s="15"/>
      <c r="B3564" s="15"/>
    </row>
    <row r="3565" spans="1:2" x14ac:dyDescent="0.15">
      <c r="A3565" s="15"/>
      <c r="B3565" s="15"/>
    </row>
    <row r="3566" spans="1:2" x14ac:dyDescent="0.15">
      <c r="A3566" s="15"/>
      <c r="B3566" s="15"/>
    </row>
    <row r="3567" spans="1:2" x14ac:dyDescent="0.15">
      <c r="A3567" s="15"/>
      <c r="B3567" s="15"/>
    </row>
    <row r="3568" spans="1:2" x14ac:dyDescent="0.15">
      <c r="A3568" s="15"/>
      <c r="B3568" s="15"/>
    </row>
    <row r="3569" spans="1:2" x14ac:dyDescent="0.15">
      <c r="A3569" s="15"/>
      <c r="B3569" s="15"/>
    </row>
    <row r="3570" spans="1:2" x14ac:dyDescent="0.15">
      <c r="A3570" s="15"/>
      <c r="B3570" s="15"/>
    </row>
    <row r="3571" spans="1:2" x14ac:dyDescent="0.15">
      <c r="A3571" s="15"/>
      <c r="B3571" s="15"/>
    </row>
    <row r="3572" spans="1:2" x14ac:dyDescent="0.15">
      <c r="A3572" s="15"/>
      <c r="B3572" s="15"/>
    </row>
    <row r="3573" spans="1:2" x14ac:dyDescent="0.15">
      <c r="A3573" s="15"/>
      <c r="B3573" s="15"/>
    </row>
    <row r="3574" spans="1:2" x14ac:dyDescent="0.15">
      <c r="A3574" s="15"/>
      <c r="B3574" s="15"/>
    </row>
    <row r="3575" spans="1:2" x14ac:dyDescent="0.15">
      <c r="A3575" s="15"/>
      <c r="B3575" s="15"/>
    </row>
    <row r="3576" spans="1:2" x14ac:dyDescent="0.15">
      <c r="A3576" s="15"/>
      <c r="B3576" s="15"/>
    </row>
    <row r="3577" spans="1:2" x14ac:dyDescent="0.15">
      <c r="A3577" s="15"/>
      <c r="B3577" s="15"/>
    </row>
    <row r="3578" spans="1:2" x14ac:dyDescent="0.15">
      <c r="A3578" s="15"/>
      <c r="B3578" s="15"/>
    </row>
    <row r="3579" spans="1:2" x14ac:dyDescent="0.15">
      <c r="A3579" s="15"/>
      <c r="B3579" s="15"/>
    </row>
    <row r="3580" spans="1:2" x14ac:dyDescent="0.15">
      <c r="A3580" s="15"/>
      <c r="B3580" s="15"/>
    </row>
    <row r="3581" spans="1:2" x14ac:dyDescent="0.15">
      <c r="A3581" s="15"/>
      <c r="B3581" s="15"/>
    </row>
    <row r="3582" spans="1:2" x14ac:dyDescent="0.15">
      <c r="A3582" s="15"/>
      <c r="B3582" s="15"/>
    </row>
    <row r="3583" spans="1:2" x14ac:dyDescent="0.15">
      <c r="A3583" s="15"/>
      <c r="B3583" s="15"/>
    </row>
    <row r="3584" spans="1:2" x14ac:dyDescent="0.15">
      <c r="A3584" s="15"/>
      <c r="B3584" s="15"/>
    </row>
    <row r="3585" spans="1:2" x14ac:dyDescent="0.15">
      <c r="A3585" s="15"/>
      <c r="B3585" s="15"/>
    </row>
    <row r="3586" spans="1:2" x14ac:dyDescent="0.15">
      <c r="A3586" s="15"/>
      <c r="B3586" s="15"/>
    </row>
    <row r="3587" spans="1:2" x14ac:dyDescent="0.15">
      <c r="A3587" s="15"/>
      <c r="B3587" s="15"/>
    </row>
    <row r="3588" spans="1:2" x14ac:dyDescent="0.15">
      <c r="A3588" s="15"/>
      <c r="B3588" s="15"/>
    </row>
    <row r="3589" spans="1:2" x14ac:dyDescent="0.15">
      <c r="A3589" s="15"/>
      <c r="B3589" s="15"/>
    </row>
    <row r="3590" spans="1:2" x14ac:dyDescent="0.15">
      <c r="A3590" s="15"/>
      <c r="B3590" s="15"/>
    </row>
    <row r="3591" spans="1:2" x14ac:dyDescent="0.15">
      <c r="A3591" s="15"/>
      <c r="B3591" s="15"/>
    </row>
    <row r="3592" spans="1:2" x14ac:dyDescent="0.15">
      <c r="A3592" s="15"/>
      <c r="B3592" s="15"/>
    </row>
    <row r="3593" spans="1:2" x14ac:dyDescent="0.15">
      <c r="A3593" s="15"/>
      <c r="B3593" s="15"/>
    </row>
    <row r="3594" spans="1:2" x14ac:dyDescent="0.15">
      <c r="A3594" s="15"/>
      <c r="B3594" s="15"/>
    </row>
    <row r="3595" spans="1:2" x14ac:dyDescent="0.15">
      <c r="A3595" s="15"/>
      <c r="B3595" s="15"/>
    </row>
    <row r="3596" spans="1:2" x14ac:dyDescent="0.15">
      <c r="A3596" s="15"/>
      <c r="B3596" s="15"/>
    </row>
    <row r="3597" spans="1:2" x14ac:dyDescent="0.15">
      <c r="A3597" s="15"/>
      <c r="B3597" s="15"/>
    </row>
    <row r="3598" spans="1:2" x14ac:dyDescent="0.15">
      <c r="A3598" s="15"/>
      <c r="B3598" s="15"/>
    </row>
    <row r="3599" spans="1:2" x14ac:dyDescent="0.15">
      <c r="A3599" s="15"/>
      <c r="B3599" s="15"/>
    </row>
    <row r="3600" spans="1:2" x14ac:dyDescent="0.15">
      <c r="A3600" s="15"/>
      <c r="B3600" s="15"/>
    </row>
    <row r="3601" spans="1:2" x14ac:dyDescent="0.15">
      <c r="A3601" s="15"/>
      <c r="B3601" s="15"/>
    </row>
    <row r="3602" spans="1:2" x14ac:dyDescent="0.15">
      <c r="A3602" s="15"/>
      <c r="B3602" s="15"/>
    </row>
    <row r="3603" spans="1:2" x14ac:dyDescent="0.15">
      <c r="A3603" s="15"/>
      <c r="B3603" s="15"/>
    </row>
    <row r="3604" spans="1:2" x14ac:dyDescent="0.15">
      <c r="A3604" s="15"/>
      <c r="B3604" s="15"/>
    </row>
    <row r="3605" spans="1:2" x14ac:dyDescent="0.15">
      <c r="A3605" s="15"/>
      <c r="B3605" s="15"/>
    </row>
    <row r="3606" spans="1:2" x14ac:dyDescent="0.15">
      <c r="A3606" s="15"/>
      <c r="B3606" s="15"/>
    </row>
    <row r="3607" spans="1:2" x14ac:dyDescent="0.15">
      <c r="A3607" s="15"/>
      <c r="B3607" s="15"/>
    </row>
    <row r="3608" spans="1:2" x14ac:dyDescent="0.15">
      <c r="A3608" s="15"/>
      <c r="B3608" s="15"/>
    </row>
    <row r="3609" spans="1:2" x14ac:dyDescent="0.15">
      <c r="A3609" s="15"/>
      <c r="B3609" s="15"/>
    </row>
    <row r="3610" spans="1:2" x14ac:dyDescent="0.15">
      <c r="A3610" s="15"/>
      <c r="B3610" s="15"/>
    </row>
    <row r="3611" spans="1:2" x14ac:dyDescent="0.15">
      <c r="A3611" s="15"/>
      <c r="B3611" s="15"/>
    </row>
    <row r="3612" spans="1:2" x14ac:dyDescent="0.15">
      <c r="A3612" s="15"/>
      <c r="B3612" s="15"/>
    </row>
    <row r="3613" spans="1:2" x14ac:dyDescent="0.15">
      <c r="A3613" s="15"/>
      <c r="B3613" s="15"/>
    </row>
    <row r="3614" spans="1:2" x14ac:dyDescent="0.15">
      <c r="A3614" s="15"/>
      <c r="B3614" s="15"/>
    </row>
    <row r="3615" spans="1:2" x14ac:dyDescent="0.15">
      <c r="A3615" s="15"/>
      <c r="B3615" s="15"/>
    </row>
    <row r="3616" spans="1:2" x14ac:dyDescent="0.15">
      <c r="A3616" s="15"/>
      <c r="B3616" s="15"/>
    </row>
    <row r="3617" spans="1:2" x14ac:dyDescent="0.15">
      <c r="A3617" s="15"/>
      <c r="B3617" s="15"/>
    </row>
    <row r="3618" spans="1:2" x14ac:dyDescent="0.15">
      <c r="A3618" s="15"/>
      <c r="B3618" s="15"/>
    </row>
    <row r="3619" spans="1:2" x14ac:dyDescent="0.15">
      <c r="A3619" s="15"/>
      <c r="B3619" s="15"/>
    </row>
    <row r="3620" spans="1:2" x14ac:dyDescent="0.15">
      <c r="A3620" s="15"/>
      <c r="B3620" s="15"/>
    </row>
    <row r="3621" spans="1:2" x14ac:dyDescent="0.15">
      <c r="A3621" s="15"/>
      <c r="B3621" s="15"/>
    </row>
    <row r="3622" spans="1:2" x14ac:dyDescent="0.15">
      <c r="A3622" s="15"/>
      <c r="B3622" s="15"/>
    </row>
    <row r="3623" spans="1:2" x14ac:dyDescent="0.15">
      <c r="A3623" s="15"/>
      <c r="B3623" s="15"/>
    </row>
    <row r="3624" spans="1:2" x14ac:dyDescent="0.15">
      <c r="A3624" s="15"/>
      <c r="B3624" s="15"/>
    </row>
    <row r="3625" spans="1:2" x14ac:dyDescent="0.15">
      <c r="A3625" s="15"/>
      <c r="B3625" s="15"/>
    </row>
    <row r="3626" spans="1:2" x14ac:dyDescent="0.15">
      <c r="A3626" s="15"/>
      <c r="B3626" s="15"/>
    </row>
    <row r="3627" spans="1:2" x14ac:dyDescent="0.15">
      <c r="A3627" s="15"/>
      <c r="B3627" s="15"/>
    </row>
    <row r="3628" spans="1:2" x14ac:dyDescent="0.15">
      <c r="A3628" s="15"/>
      <c r="B3628" s="15"/>
    </row>
    <row r="3629" spans="1:2" x14ac:dyDescent="0.15">
      <c r="A3629" s="15"/>
      <c r="B3629" s="15"/>
    </row>
    <row r="3630" spans="1:2" x14ac:dyDescent="0.15">
      <c r="A3630" s="15"/>
      <c r="B3630" s="15"/>
    </row>
    <row r="3631" spans="1:2" x14ac:dyDescent="0.15">
      <c r="A3631" s="15"/>
      <c r="B3631" s="15"/>
    </row>
    <row r="3632" spans="1:2" x14ac:dyDescent="0.15">
      <c r="A3632" s="15"/>
      <c r="B3632" s="15"/>
    </row>
    <row r="3633" spans="1:2" x14ac:dyDescent="0.15">
      <c r="A3633" s="15"/>
      <c r="B3633" s="15"/>
    </row>
    <row r="3634" spans="1:2" x14ac:dyDescent="0.15">
      <c r="A3634" s="15"/>
      <c r="B3634" s="15"/>
    </row>
    <row r="3635" spans="1:2" x14ac:dyDescent="0.15">
      <c r="A3635" s="15"/>
      <c r="B3635" s="15"/>
    </row>
    <row r="3636" spans="1:2" x14ac:dyDescent="0.15">
      <c r="A3636" s="15"/>
      <c r="B3636" s="15"/>
    </row>
    <row r="3637" spans="1:2" x14ac:dyDescent="0.15">
      <c r="A3637" s="15"/>
      <c r="B3637" s="15"/>
    </row>
    <row r="3638" spans="1:2" x14ac:dyDescent="0.15">
      <c r="A3638" s="15"/>
      <c r="B3638" s="15"/>
    </row>
    <row r="3639" spans="1:2" x14ac:dyDescent="0.15">
      <c r="A3639" s="15"/>
      <c r="B3639" s="15"/>
    </row>
    <row r="3640" spans="1:2" x14ac:dyDescent="0.15">
      <c r="A3640" s="15"/>
      <c r="B3640" s="15"/>
    </row>
    <row r="3641" spans="1:2" x14ac:dyDescent="0.15">
      <c r="A3641" s="15"/>
      <c r="B3641" s="15"/>
    </row>
    <row r="3642" spans="1:2" x14ac:dyDescent="0.15">
      <c r="A3642" s="15"/>
      <c r="B3642" s="15"/>
    </row>
    <row r="3643" spans="1:2" x14ac:dyDescent="0.15">
      <c r="A3643" s="15"/>
      <c r="B3643" s="15"/>
    </row>
    <row r="3644" spans="1:2" x14ac:dyDescent="0.15">
      <c r="A3644" s="15"/>
      <c r="B3644" s="15"/>
    </row>
    <row r="3645" spans="1:2" x14ac:dyDescent="0.15">
      <c r="A3645" s="15"/>
      <c r="B3645" s="15"/>
    </row>
    <row r="3646" spans="1:2" x14ac:dyDescent="0.15">
      <c r="A3646" s="15"/>
      <c r="B3646" s="15"/>
    </row>
    <row r="3647" spans="1:2" x14ac:dyDescent="0.15">
      <c r="A3647" s="15"/>
      <c r="B3647" s="15"/>
    </row>
    <row r="3648" spans="1:2" x14ac:dyDescent="0.15">
      <c r="A3648" s="15"/>
      <c r="B3648" s="15"/>
    </row>
    <row r="3649" spans="1:2" x14ac:dyDescent="0.15">
      <c r="A3649" s="15"/>
      <c r="B3649" s="15"/>
    </row>
    <row r="3650" spans="1:2" x14ac:dyDescent="0.15">
      <c r="A3650" s="15"/>
      <c r="B3650" s="15"/>
    </row>
    <row r="3651" spans="1:2" x14ac:dyDescent="0.15">
      <c r="A3651" s="15"/>
      <c r="B3651" s="15"/>
    </row>
    <row r="3652" spans="1:2" x14ac:dyDescent="0.15">
      <c r="A3652" s="15"/>
      <c r="B3652" s="15"/>
    </row>
    <row r="3653" spans="1:2" x14ac:dyDescent="0.15">
      <c r="A3653" s="15"/>
      <c r="B3653" s="15"/>
    </row>
    <row r="3654" spans="1:2" x14ac:dyDescent="0.15">
      <c r="A3654" s="15"/>
      <c r="B3654" s="15"/>
    </row>
    <row r="3655" spans="1:2" x14ac:dyDescent="0.15">
      <c r="A3655" s="15"/>
      <c r="B3655" s="15"/>
    </row>
    <row r="3656" spans="1:2" x14ac:dyDescent="0.15">
      <c r="A3656" s="15"/>
      <c r="B3656" s="15"/>
    </row>
    <row r="3657" spans="1:2" x14ac:dyDescent="0.15">
      <c r="A3657" s="15"/>
      <c r="B3657" s="15"/>
    </row>
    <row r="3658" spans="1:2" x14ac:dyDescent="0.15">
      <c r="A3658" s="15"/>
      <c r="B3658" s="15"/>
    </row>
    <row r="3659" spans="1:2" x14ac:dyDescent="0.15">
      <c r="A3659" s="15"/>
      <c r="B3659" s="15"/>
    </row>
    <row r="3660" spans="1:2" x14ac:dyDescent="0.15">
      <c r="A3660" s="15"/>
      <c r="B3660" s="15"/>
    </row>
    <row r="3661" spans="1:2" x14ac:dyDescent="0.15">
      <c r="A3661" s="15"/>
      <c r="B3661" s="15"/>
    </row>
    <row r="3662" spans="1:2" x14ac:dyDescent="0.15">
      <c r="A3662" s="15"/>
      <c r="B3662" s="15"/>
    </row>
    <row r="3663" spans="1:2" x14ac:dyDescent="0.15">
      <c r="A3663" s="15"/>
      <c r="B3663" s="15"/>
    </row>
    <row r="3664" spans="1:2" x14ac:dyDescent="0.15">
      <c r="A3664" s="15"/>
      <c r="B3664" s="15"/>
    </row>
    <row r="3665" spans="1:2" x14ac:dyDescent="0.15">
      <c r="A3665" s="15"/>
      <c r="B3665" s="15"/>
    </row>
    <row r="3666" spans="1:2" x14ac:dyDescent="0.15">
      <c r="A3666" s="15"/>
      <c r="B3666" s="15"/>
    </row>
    <row r="3667" spans="1:2" x14ac:dyDescent="0.15">
      <c r="A3667" s="15"/>
      <c r="B3667" s="15"/>
    </row>
    <row r="3668" spans="1:2" x14ac:dyDescent="0.15">
      <c r="A3668" s="15"/>
      <c r="B3668" s="15"/>
    </row>
    <row r="3669" spans="1:2" x14ac:dyDescent="0.15">
      <c r="A3669" s="15"/>
      <c r="B3669" s="15"/>
    </row>
    <row r="3670" spans="1:2" x14ac:dyDescent="0.15">
      <c r="A3670" s="15"/>
      <c r="B3670" s="15"/>
    </row>
    <row r="3671" spans="1:2" x14ac:dyDescent="0.15">
      <c r="A3671" s="15"/>
      <c r="B3671" s="15"/>
    </row>
    <row r="3672" spans="1:2" x14ac:dyDescent="0.15">
      <c r="A3672" s="15"/>
      <c r="B3672" s="15"/>
    </row>
    <row r="3673" spans="1:2" x14ac:dyDescent="0.15">
      <c r="A3673" s="15"/>
      <c r="B3673" s="15"/>
    </row>
    <row r="3674" spans="1:2" x14ac:dyDescent="0.15">
      <c r="A3674" s="15"/>
      <c r="B3674" s="15"/>
    </row>
    <row r="3675" spans="1:2" x14ac:dyDescent="0.15">
      <c r="A3675" s="15"/>
      <c r="B3675" s="15"/>
    </row>
    <row r="3676" spans="1:2" x14ac:dyDescent="0.15">
      <c r="A3676" s="15"/>
      <c r="B3676" s="15"/>
    </row>
    <row r="3677" spans="1:2" x14ac:dyDescent="0.15">
      <c r="A3677" s="15"/>
      <c r="B3677" s="15"/>
    </row>
    <row r="3678" spans="1:2" x14ac:dyDescent="0.15">
      <c r="A3678" s="15"/>
      <c r="B3678" s="15"/>
    </row>
    <row r="3679" spans="1:2" x14ac:dyDescent="0.15">
      <c r="A3679" s="15"/>
      <c r="B3679" s="15"/>
    </row>
    <row r="3680" spans="1:2" x14ac:dyDescent="0.15">
      <c r="A3680" s="15"/>
      <c r="B3680" s="15"/>
    </row>
    <row r="3681" spans="1:2" x14ac:dyDescent="0.15">
      <c r="A3681" s="15"/>
      <c r="B3681" s="15"/>
    </row>
    <row r="3682" spans="1:2" x14ac:dyDescent="0.15">
      <c r="A3682" s="15"/>
      <c r="B3682" s="15"/>
    </row>
    <row r="3683" spans="1:2" x14ac:dyDescent="0.15">
      <c r="A3683" s="15"/>
      <c r="B3683" s="15"/>
    </row>
    <row r="3684" spans="1:2" x14ac:dyDescent="0.15">
      <c r="A3684" s="15"/>
      <c r="B3684" s="15"/>
    </row>
    <row r="3685" spans="1:2" x14ac:dyDescent="0.15">
      <c r="A3685" s="15"/>
      <c r="B3685" s="15"/>
    </row>
    <row r="3686" spans="1:2" x14ac:dyDescent="0.15">
      <c r="A3686" s="15"/>
      <c r="B3686" s="15"/>
    </row>
    <row r="3687" spans="1:2" x14ac:dyDescent="0.15">
      <c r="A3687" s="15"/>
      <c r="B3687" s="15"/>
    </row>
    <row r="3688" spans="1:2" x14ac:dyDescent="0.15">
      <c r="A3688" s="15"/>
      <c r="B3688" s="15"/>
    </row>
    <row r="3689" spans="1:2" x14ac:dyDescent="0.15">
      <c r="A3689" s="15"/>
      <c r="B3689" s="15"/>
    </row>
    <row r="3690" spans="1:2" x14ac:dyDescent="0.15">
      <c r="A3690" s="15"/>
      <c r="B3690" s="15"/>
    </row>
    <row r="3691" spans="1:2" x14ac:dyDescent="0.15">
      <c r="A3691" s="15"/>
      <c r="B3691" s="15"/>
    </row>
    <row r="3692" spans="1:2" x14ac:dyDescent="0.15">
      <c r="A3692" s="15"/>
      <c r="B3692" s="15"/>
    </row>
    <row r="3693" spans="1:2" x14ac:dyDescent="0.15">
      <c r="A3693" s="15"/>
      <c r="B3693" s="15"/>
    </row>
    <row r="3694" spans="1:2" x14ac:dyDescent="0.15">
      <c r="A3694" s="15"/>
      <c r="B3694" s="15"/>
    </row>
    <row r="3695" spans="1:2" x14ac:dyDescent="0.15">
      <c r="A3695" s="15"/>
      <c r="B3695" s="15"/>
    </row>
    <row r="3696" spans="1:2" x14ac:dyDescent="0.15">
      <c r="A3696" s="15"/>
      <c r="B3696" s="15"/>
    </row>
    <row r="3697" spans="1:2" x14ac:dyDescent="0.15">
      <c r="A3697" s="15"/>
      <c r="B3697" s="15"/>
    </row>
    <row r="3698" spans="1:2" x14ac:dyDescent="0.15">
      <c r="A3698" s="15"/>
      <c r="B3698" s="15"/>
    </row>
    <row r="3699" spans="1:2" x14ac:dyDescent="0.15">
      <c r="A3699" s="15"/>
      <c r="B3699" s="15"/>
    </row>
    <row r="3700" spans="1:2" x14ac:dyDescent="0.15">
      <c r="A3700" s="15"/>
      <c r="B3700" s="15"/>
    </row>
    <row r="3701" spans="1:2" x14ac:dyDescent="0.15">
      <c r="A3701" s="15"/>
      <c r="B3701" s="15"/>
    </row>
    <row r="3702" spans="1:2" x14ac:dyDescent="0.15">
      <c r="A3702" s="15"/>
      <c r="B3702" s="15"/>
    </row>
    <row r="3703" spans="1:2" x14ac:dyDescent="0.15">
      <c r="A3703" s="15"/>
      <c r="B3703" s="15"/>
    </row>
    <row r="3704" spans="1:2" x14ac:dyDescent="0.15">
      <c r="A3704" s="15"/>
      <c r="B3704" s="15"/>
    </row>
    <row r="3705" spans="1:2" x14ac:dyDescent="0.15">
      <c r="A3705" s="15"/>
      <c r="B3705" s="15"/>
    </row>
    <row r="3706" spans="1:2" x14ac:dyDescent="0.15">
      <c r="A3706" s="15"/>
      <c r="B3706" s="15"/>
    </row>
    <row r="3707" spans="1:2" x14ac:dyDescent="0.15">
      <c r="A3707" s="15"/>
      <c r="B3707" s="15"/>
    </row>
    <row r="3708" spans="1:2" x14ac:dyDescent="0.15">
      <c r="A3708" s="15"/>
      <c r="B3708" s="15"/>
    </row>
    <row r="3709" spans="1:2" x14ac:dyDescent="0.15">
      <c r="A3709" s="15"/>
      <c r="B3709" s="15"/>
    </row>
    <row r="3710" spans="1:2" x14ac:dyDescent="0.15">
      <c r="A3710" s="15"/>
      <c r="B3710" s="15"/>
    </row>
    <row r="3711" spans="1:2" x14ac:dyDescent="0.15">
      <c r="A3711" s="15"/>
      <c r="B3711" s="15"/>
    </row>
    <row r="3712" spans="1:2" x14ac:dyDescent="0.15">
      <c r="A3712" s="15"/>
      <c r="B3712" s="15"/>
    </row>
    <row r="3713" spans="1:2" x14ac:dyDescent="0.15">
      <c r="A3713" s="15"/>
      <c r="B3713" s="15"/>
    </row>
    <row r="3714" spans="1:2" x14ac:dyDescent="0.15">
      <c r="A3714" s="15"/>
      <c r="B3714" s="15"/>
    </row>
    <row r="3715" spans="1:2" x14ac:dyDescent="0.15">
      <c r="A3715" s="15"/>
      <c r="B3715" s="15"/>
    </row>
    <row r="3716" spans="1:2" x14ac:dyDescent="0.15">
      <c r="A3716" s="15"/>
      <c r="B3716" s="15"/>
    </row>
    <row r="3717" spans="1:2" x14ac:dyDescent="0.15">
      <c r="A3717" s="15"/>
      <c r="B3717" s="15"/>
    </row>
    <row r="3718" spans="1:2" x14ac:dyDescent="0.15">
      <c r="A3718" s="15"/>
      <c r="B3718" s="15"/>
    </row>
    <row r="3719" spans="1:2" x14ac:dyDescent="0.15">
      <c r="A3719" s="15"/>
      <c r="B3719" s="15"/>
    </row>
    <row r="3720" spans="1:2" x14ac:dyDescent="0.15">
      <c r="A3720" s="15"/>
      <c r="B3720" s="15"/>
    </row>
    <row r="3721" spans="1:2" x14ac:dyDescent="0.15">
      <c r="A3721" s="15"/>
      <c r="B3721" s="15"/>
    </row>
    <row r="3722" spans="1:2" x14ac:dyDescent="0.15">
      <c r="A3722" s="15"/>
      <c r="B3722" s="15"/>
    </row>
    <row r="3723" spans="1:2" x14ac:dyDescent="0.15">
      <c r="A3723" s="15"/>
      <c r="B3723" s="15"/>
    </row>
    <row r="3724" spans="1:2" x14ac:dyDescent="0.15">
      <c r="A3724" s="15"/>
      <c r="B3724" s="15"/>
    </row>
    <row r="3725" spans="1:2" x14ac:dyDescent="0.15">
      <c r="A3725" s="15"/>
      <c r="B3725" s="15"/>
    </row>
    <row r="3726" spans="1:2" x14ac:dyDescent="0.15">
      <c r="A3726" s="15"/>
      <c r="B3726" s="15"/>
    </row>
    <row r="3727" spans="1:2" x14ac:dyDescent="0.15">
      <c r="A3727" s="15"/>
      <c r="B3727" s="15"/>
    </row>
    <row r="3728" spans="1:2" x14ac:dyDescent="0.15">
      <c r="A3728" s="15"/>
      <c r="B3728" s="15"/>
    </row>
    <row r="3729" spans="1:2" x14ac:dyDescent="0.15">
      <c r="A3729" s="15"/>
      <c r="B3729" s="15"/>
    </row>
    <row r="3730" spans="1:2" x14ac:dyDescent="0.15">
      <c r="A3730" s="15"/>
      <c r="B3730" s="15"/>
    </row>
    <row r="3731" spans="1:2" x14ac:dyDescent="0.15">
      <c r="A3731" s="15"/>
      <c r="B3731" s="15"/>
    </row>
    <row r="3732" spans="1:2" x14ac:dyDescent="0.15">
      <c r="A3732" s="15"/>
      <c r="B3732" s="15"/>
    </row>
    <row r="3733" spans="1:2" x14ac:dyDescent="0.15">
      <c r="A3733" s="15"/>
      <c r="B3733" s="15"/>
    </row>
    <row r="3734" spans="1:2" x14ac:dyDescent="0.15">
      <c r="A3734" s="15"/>
      <c r="B3734" s="15"/>
    </row>
    <row r="3735" spans="1:2" x14ac:dyDescent="0.15">
      <c r="A3735" s="15"/>
      <c r="B3735" s="15"/>
    </row>
    <row r="3736" spans="1:2" x14ac:dyDescent="0.15">
      <c r="A3736" s="15"/>
      <c r="B3736" s="15"/>
    </row>
    <row r="3737" spans="1:2" x14ac:dyDescent="0.15">
      <c r="A3737" s="15"/>
      <c r="B3737" s="15"/>
    </row>
    <row r="3738" spans="1:2" x14ac:dyDescent="0.15">
      <c r="A3738" s="15"/>
      <c r="B3738" s="15"/>
    </row>
    <row r="3739" spans="1:2" x14ac:dyDescent="0.15">
      <c r="A3739" s="15"/>
      <c r="B3739" s="15"/>
    </row>
    <row r="3740" spans="1:2" x14ac:dyDescent="0.15">
      <c r="A3740" s="15"/>
      <c r="B3740" s="15"/>
    </row>
    <row r="3741" spans="1:2" x14ac:dyDescent="0.15">
      <c r="A3741" s="15"/>
      <c r="B3741" s="15"/>
    </row>
    <row r="3742" spans="1:2" x14ac:dyDescent="0.15">
      <c r="A3742" s="15"/>
      <c r="B3742" s="15"/>
    </row>
    <row r="3743" spans="1:2" x14ac:dyDescent="0.15">
      <c r="A3743" s="15"/>
      <c r="B3743" s="15"/>
    </row>
    <row r="3744" spans="1:2" x14ac:dyDescent="0.15">
      <c r="A3744" s="15"/>
      <c r="B3744" s="15"/>
    </row>
    <row r="3745" spans="1:2" x14ac:dyDescent="0.15">
      <c r="A3745" s="15"/>
      <c r="B3745" s="15"/>
    </row>
    <row r="3746" spans="1:2" x14ac:dyDescent="0.15">
      <c r="A3746" s="15"/>
      <c r="B3746" s="15"/>
    </row>
    <row r="3747" spans="1:2" x14ac:dyDescent="0.15">
      <c r="A3747" s="15"/>
      <c r="B3747" s="15"/>
    </row>
    <row r="3748" spans="1:2" x14ac:dyDescent="0.15">
      <c r="A3748" s="15"/>
      <c r="B3748" s="15"/>
    </row>
    <row r="3749" spans="1:2" x14ac:dyDescent="0.15">
      <c r="A3749" s="15"/>
      <c r="B3749" s="15"/>
    </row>
    <row r="3750" spans="1:2" x14ac:dyDescent="0.15">
      <c r="A3750" s="15"/>
      <c r="B3750" s="15"/>
    </row>
    <row r="3751" spans="1:2" x14ac:dyDescent="0.15">
      <c r="A3751" s="15"/>
      <c r="B3751" s="15"/>
    </row>
    <row r="3752" spans="1:2" x14ac:dyDescent="0.15">
      <c r="A3752" s="15"/>
      <c r="B3752" s="15"/>
    </row>
    <row r="3753" spans="1:2" x14ac:dyDescent="0.15">
      <c r="A3753" s="15"/>
      <c r="B3753" s="15"/>
    </row>
    <row r="3754" spans="1:2" x14ac:dyDescent="0.15">
      <c r="A3754" s="15"/>
      <c r="B3754" s="15"/>
    </row>
    <row r="3755" spans="1:2" x14ac:dyDescent="0.15">
      <c r="A3755" s="15"/>
      <c r="B3755" s="15"/>
    </row>
    <row r="3756" spans="1:2" x14ac:dyDescent="0.15">
      <c r="A3756" s="15"/>
      <c r="B3756" s="15"/>
    </row>
    <row r="3757" spans="1:2" x14ac:dyDescent="0.15">
      <c r="A3757" s="15"/>
      <c r="B3757" s="15"/>
    </row>
    <row r="3758" spans="1:2" x14ac:dyDescent="0.15">
      <c r="A3758" s="15"/>
      <c r="B3758" s="15"/>
    </row>
    <row r="3759" spans="1:2" x14ac:dyDescent="0.15">
      <c r="A3759" s="15"/>
      <c r="B3759" s="15"/>
    </row>
    <row r="3760" spans="1:2" x14ac:dyDescent="0.15">
      <c r="A3760" s="15"/>
      <c r="B3760" s="15"/>
    </row>
    <row r="3761" spans="1:2" x14ac:dyDescent="0.15">
      <c r="A3761" s="15"/>
      <c r="B3761" s="15"/>
    </row>
    <row r="3762" spans="1:2" x14ac:dyDescent="0.15">
      <c r="A3762" s="15"/>
      <c r="B3762" s="15"/>
    </row>
    <row r="3763" spans="1:2" x14ac:dyDescent="0.15">
      <c r="A3763" s="15"/>
      <c r="B3763" s="15"/>
    </row>
    <row r="3764" spans="1:2" x14ac:dyDescent="0.15">
      <c r="A3764" s="15"/>
      <c r="B3764" s="15"/>
    </row>
    <row r="3765" spans="1:2" x14ac:dyDescent="0.15">
      <c r="A3765" s="15"/>
      <c r="B3765" s="15"/>
    </row>
    <row r="3766" spans="1:2" x14ac:dyDescent="0.15">
      <c r="A3766" s="15"/>
      <c r="B3766" s="15"/>
    </row>
    <row r="3767" spans="1:2" x14ac:dyDescent="0.15">
      <c r="A3767" s="15"/>
      <c r="B3767" s="15"/>
    </row>
    <row r="3768" spans="1:2" x14ac:dyDescent="0.15">
      <c r="A3768" s="15"/>
      <c r="B3768" s="15"/>
    </row>
    <row r="3769" spans="1:2" x14ac:dyDescent="0.15">
      <c r="A3769" s="15"/>
      <c r="B3769" s="15"/>
    </row>
    <row r="3770" spans="1:2" x14ac:dyDescent="0.15">
      <c r="A3770" s="15"/>
      <c r="B3770" s="15"/>
    </row>
    <row r="3771" spans="1:2" x14ac:dyDescent="0.15">
      <c r="A3771" s="15"/>
      <c r="B3771" s="15"/>
    </row>
    <row r="3772" spans="1:2" x14ac:dyDescent="0.15">
      <c r="A3772" s="15"/>
      <c r="B3772" s="15"/>
    </row>
    <row r="3773" spans="1:2" x14ac:dyDescent="0.15">
      <c r="A3773" s="15"/>
      <c r="B3773" s="15"/>
    </row>
    <row r="3774" spans="1:2" x14ac:dyDescent="0.15">
      <c r="A3774" s="15"/>
      <c r="B3774" s="15"/>
    </row>
    <row r="3775" spans="1:2" x14ac:dyDescent="0.15">
      <c r="A3775" s="15"/>
      <c r="B3775" s="15"/>
    </row>
    <row r="3776" spans="1:2" x14ac:dyDescent="0.15">
      <c r="A3776" s="15"/>
      <c r="B3776" s="15"/>
    </row>
    <row r="3777" spans="1:2" x14ac:dyDescent="0.15">
      <c r="A3777" s="15"/>
      <c r="B3777" s="15"/>
    </row>
    <row r="3778" spans="1:2" x14ac:dyDescent="0.15">
      <c r="A3778" s="15"/>
      <c r="B3778" s="15"/>
    </row>
    <row r="3779" spans="1:2" x14ac:dyDescent="0.15">
      <c r="A3779" s="15"/>
      <c r="B3779" s="15"/>
    </row>
    <row r="3780" spans="1:2" x14ac:dyDescent="0.15">
      <c r="A3780" s="15"/>
      <c r="B3780" s="15"/>
    </row>
    <row r="3781" spans="1:2" x14ac:dyDescent="0.15">
      <c r="A3781" s="15"/>
      <c r="B3781" s="15"/>
    </row>
    <row r="3782" spans="1:2" x14ac:dyDescent="0.15">
      <c r="A3782" s="15"/>
      <c r="B3782" s="15"/>
    </row>
    <row r="3783" spans="1:2" x14ac:dyDescent="0.15">
      <c r="A3783" s="15"/>
      <c r="B3783" s="15"/>
    </row>
    <row r="3784" spans="1:2" x14ac:dyDescent="0.15">
      <c r="A3784" s="15"/>
      <c r="B3784" s="15"/>
    </row>
    <row r="3785" spans="1:2" x14ac:dyDescent="0.15">
      <c r="A3785" s="15"/>
      <c r="B3785" s="15"/>
    </row>
    <row r="3786" spans="1:2" x14ac:dyDescent="0.15">
      <c r="A3786" s="15"/>
      <c r="B3786" s="15"/>
    </row>
    <row r="3787" spans="1:2" x14ac:dyDescent="0.15">
      <c r="A3787" s="15"/>
      <c r="B3787" s="15"/>
    </row>
    <row r="3788" spans="1:2" x14ac:dyDescent="0.15">
      <c r="A3788" s="15"/>
      <c r="B3788" s="15"/>
    </row>
    <row r="3789" spans="1:2" x14ac:dyDescent="0.15">
      <c r="A3789" s="15"/>
      <c r="B3789" s="15"/>
    </row>
    <row r="3790" spans="1:2" x14ac:dyDescent="0.15">
      <c r="A3790" s="15"/>
      <c r="B3790" s="15"/>
    </row>
    <row r="3791" spans="1:2" x14ac:dyDescent="0.15">
      <c r="A3791" s="15"/>
      <c r="B3791" s="15"/>
    </row>
    <row r="3792" spans="1:2" x14ac:dyDescent="0.15">
      <c r="A3792" s="15"/>
      <c r="B3792" s="15"/>
    </row>
    <row r="3793" spans="1:2" x14ac:dyDescent="0.15">
      <c r="A3793" s="15"/>
      <c r="B3793" s="15"/>
    </row>
    <row r="3794" spans="1:2" x14ac:dyDescent="0.15">
      <c r="A3794" s="15"/>
      <c r="B3794" s="15"/>
    </row>
    <row r="3795" spans="1:2" x14ac:dyDescent="0.15">
      <c r="A3795" s="15"/>
      <c r="B3795" s="15"/>
    </row>
    <row r="3796" spans="1:2" x14ac:dyDescent="0.15">
      <c r="A3796" s="15"/>
      <c r="B3796" s="15"/>
    </row>
    <row r="3797" spans="1:2" x14ac:dyDescent="0.15">
      <c r="A3797" s="15"/>
      <c r="B3797" s="15"/>
    </row>
    <row r="3798" spans="1:2" x14ac:dyDescent="0.15">
      <c r="A3798" s="15"/>
      <c r="B3798" s="15"/>
    </row>
    <row r="3799" spans="1:2" x14ac:dyDescent="0.15">
      <c r="A3799" s="15"/>
      <c r="B3799" s="15"/>
    </row>
    <row r="3800" spans="1:2" x14ac:dyDescent="0.15">
      <c r="A3800" s="15"/>
      <c r="B3800" s="15"/>
    </row>
    <row r="3801" spans="1:2" x14ac:dyDescent="0.15">
      <c r="A3801" s="15"/>
      <c r="B3801" s="15"/>
    </row>
    <row r="3802" spans="1:2" x14ac:dyDescent="0.15">
      <c r="A3802" s="15"/>
      <c r="B3802" s="15"/>
    </row>
    <row r="3803" spans="1:2" x14ac:dyDescent="0.15">
      <c r="A3803" s="15"/>
      <c r="B3803" s="15"/>
    </row>
    <row r="3804" spans="1:2" x14ac:dyDescent="0.15">
      <c r="A3804" s="15"/>
      <c r="B3804" s="15"/>
    </row>
    <row r="3805" spans="1:2" x14ac:dyDescent="0.15">
      <c r="A3805" s="15"/>
      <c r="B3805" s="15"/>
    </row>
    <row r="3806" spans="1:2" x14ac:dyDescent="0.15">
      <c r="A3806" s="15"/>
      <c r="B3806" s="15"/>
    </row>
    <row r="3807" spans="1:2" x14ac:dyDescent="0.15">
      <c r="A3807" s="15"/>
      <c r="B3807" s="15"/>
    </row>
    <row r="3808" spans="1:2" x14ac:dyDescent="0.15">
      <c r="A3808" s="15"/>
      <c r="B3808" s="15"/>
    </row>
    <row r="3809" spans="1:2" x14ac:dyDescent="0.15">
      <c r="A3809" s="15"/>
      <c r="B3809" s="15"/>
    </row>
    <row r="3810" spans="1:2" x14ac:dyDescent="0.15">
      <c r="A3810" s="15"/>
      <c r="B3810" s="15"/>
    </row>
    <row r="3811" spans="1:2" x14ac:dyDescent="0.15">
      <c r="A3811" s="15"/>
      <c r="B3811" s="15"/>
    </row>
    <row r="3812" spans="1:2" x14ac:dyDescent="0.15">
      <c r="A3812" s="15"/>
      <c r="B3812" s="15"/>
    </row>
    <row r="3813" spans="1:2" x14ac:dyDescent="0.15">
      <c r="A3813" s="15"/>
      <c r="B3813" s="15"/>
    </row>
    <row r="3814" spans="1:2" x14ac:dyDescent="0.15">
      <c r="A3814" s="15"/>
      <c r="B3814" s="15"/>
    </row>
    <row r="3815" spans="1:2" x14ac:dyDescent="0.15">
      <c r="A3815" s="15"/>
      <c r="B3815" s="15"/>
    </row>
    <row r="3816" spans="1:2" x14ac:dyDescent="0.15">
      <c r="A3816" s="15"/>
      <c r="B3816" s="15"/>
    </row>
    <row r="3817" spans="1:2" x14ac:dyDescent="0.15">
      <c r="A3817" s="15"/>
      <c r="B3817" s="15"/>
    </row>
    <row r="3818" spans="1:2" x14ac:dyDescent="0.15">
      <c r="A3818" s="15"/>
      <c r="B3818" s="15"/>
    </row>
    <row r="3819" spans="1:2" x14ac:dyDescent="0.15">
      <c r="A3819" s="15"/>
      <c r="B3819" s="15"/>
    </row>
    <row r="3820" spans="1:2" x14ac:dyDescent="0.15">
      <c r="A3820" s="15"/>
      <c r="B3820" s="15"/>
    </row>
    <row r="3821" spans="1:2" x14ac:dyDescent="0.15">
      <c r="A3821" s="15"/>
      <c r="B3821" s="15"/>
    </row>
    <row r="3822" spans="1:2" x14ac:dyDescent="0.15">
      <c r="A3822" s="15"/>
      <c r="B3822" s="15"/>
    </row>
    <row r="3823" spans="1:2" x14ac:dyDescent="0.15">
      <c r="A3823" s="15"/>
      <c r="B3823" s="15"/>
    </row>
    <row r="3824" spans="1:2" x14ac:dyDescent="0.15">
      <c r="A3824" s="15"/>
      <c r="B3824" s="15"/>
    </row>
    <row r="3825" spans="1:2" x14ac:dyDescent="0.15">
      <c r="A3825" s="15"/>
      <c r="B3825" s="15"/>
    </row>
    <row r="3826" spans="1:2" x14ac:dyDescent="0.15">
      <c r="A3826" s="15"/>
      <c r="B3826" s="15"/>
    </row>
    <row r="3827" spans="1:2" x14ac:dyDescent="0.15">
      <c r="A3827" s="15"/>
      <c r="B3827" s="15"/>
    </row>
    <row r="3828" spans="1:2" x14ac:dyDescent="0.15">
      <c r="A3828" s="15"/>
      <c r="B3828" s="15"/>
    </row>
    <row r="3829" spans="1:2" x14ac:dyDescent="0.15">
      <c r="A3829" s="15"/>
      <c r="B3829" s="15"/>
    </row>
    <row r="3830" spans="1:2" x14ac:dyDescent="0.15">
      <c r="A3830" s="15"/>
      <c r="B3830" s="15"/>
    </row>
    <row r="3831" spans="1:2" x14ac:dyDescent="0.15">
      <c r="A3831" s="15"/>
      <c r="B3831" s="15"/>
    </row>
    <row r="3832" spans="1:2" x14ac:dyDescent="0.15">
      <c r="A3832" s="15"/>
      <c r="B3832" s="15"/>
    </row>
    <row r="3833" spans="1:2" x14ac:dyDescent="0.15">
      <c r="A3833" s="15"/>
      <c r="B3833" s="15"/>
    </row>
    <row r="3834" spans="1:2" x14ac:dyDescent="0.15">
      <c r="A3834" s="15"/>
      <c r="B3834" s="15"/>
    </row>
    <row r="3835" spans="1:2" x14ac:dyDescent="0.15">
      <c r="A3835" s="15"/>
      <c r="B3835" s="15"/>
    </row>
    <row r="3836" spans="1:2" x14ac:dyDescent="0.15">
      <c r="A3836" s="15"/>
      <c r="B3836" s="15"/>
    </row>
    <row r="3837" spans="1:2" x14ac:dyDescent="0.15">
      <c r="A3837" s="15"/>
      <c r="B3837" s="15"/>
    </row>
    <row r="3838" spans="1:2" x14ac:dyDescent="0.15">
      <c r="A3838" s="15"/>
      <c r="B3838" s="15"/>
    </row>
    <row r="3839" spans="1:2" x14ac:dyDescent="0.15">
      <c r="A3839" s="15"/>
      <c r="B3839" s="15"/>
    </row>
    <row r="3840" spans="1:2" x14ac:dyDescent="0.15">
      <c r="A3840" s="15"/>
      <c r="B3840" s="15"/>
    </row>
    <row r="3841" spans="1:2" x14ac:dyDescent="0.15">
      <c r="A3841" s="15"/>
      <c r="B3841" s="15"/>
    </row>
    <row r="3842" spans="1:2" x14ac:dyDescent="0.15">
      <c r="A3842" s="15"/>
      <c r="B3842" s="15"/>
    </row>
    <row r="3843" spans="1:2" x14ac:dyDescent="0.15">
      <c r="A3843" s="15"/>
      <c r="B3843" s="15"/>
    </row>
    <row r="3844" spans="1:2" x14ac:dyDescent="0.15">
      <c r="A3844" s="15"/>
      <c r="B3844" s="15"/>
    </row>
    <row r="3845" spans="1:2" x14ac:dyDescent="0.15">
      <c r="A3845" s="15"/>
      <c r="B3845" s="15"/>
    </row>
    <row r="3846" spans="1:2" x14ac:dyDescent="0.15">
      <c r="A3846" s="15"/>
      <c r="B3846" s="15"/>
    </row>
    <row r="3847" spans="1:2" x14ac:dyDescent="0.15">
      <c r="A3847" s="15"/>
      <c r="B3847" s="15"/>
    </row>
    <row r="3848" spans="1:2" x14ac:dyDescent="0.15">
      <c r="A3848" s="15"/>
      <c r="B3848" s="15"/>
    </row>
    <row r="3849" spans="1:2" x14ac:dyDescent="0.15">
      <c r="A3849" s="15"/>
      <c r="B3849" s="15"/>
    </row>
    <row r="3850" spans="1:2" x14ac:dyDescent="0.15">
      <c r="A3850" s="15"/>
      <c r="B3850" s="15"/>
    </row>
    <row r="3851" spans="1:2" x14ac:dyDescent="0.15">
      <c r="A3851" s="15"/>
      <c r="B3851" s="15"/>
    </row>
    <row r="3852" spans="1:2" x14ac:dyDescent="0.15">
      <c r="A3852" s="15"/>
      <c r="B3852" s="15"/>
    </row>
    <row r="3853" spans="1:2" x14ac:dyDescent="0.15">
      <c r="A3853" s="15"/>
      <c r="B3853" s="15"/>
    </row>
    <row r="3854" spans="1:2" x14ac:dyDescent="0.15">
      <c r="A3854" s="15"/>
      <c r="B3854" s="15"/>
    </row>
    <row r="3855" spans="1:2" x14ac:dyDescent="0.15">
      <c r="A3855" s="15"/>
      <c r="B3855" s="15"/>
    </row>
    <row r="3856" spans="1:2" x14ac:dyDescent="0.15">
      <c r="A3856" s="15"/>
      <c r="B3856" s="15"/>
    </row>
    <row r="3857" spans="1:2" x14ac:dyDescent="0.15">
      <c r="A3857" s="15"/>
      <c r="B3857" s="15"/>
    </row>
    <row r="3858" spans="1:2" x14ac:dyDescent="0.15">
      <c r="A3858" s="15"/>
      <c r="B3858" s="15"/>
    </row>
    <row r="3859" spans="1:2" x14ac:dyDescent="0.15">
      <c r="A3859" s="15"/>
      <c r="B3859" s="15"/>
    </row>
    <row r="3860" spans="1:2" x14ac:dyDescent="0.15">
      <c r="A3860" s="15"/>
      <c r="B3860" s="15"/>
    </row>
    <row r="3861" spans="1:2" x14ac:dyDescent="0.15">
      <c r="A3861" s="15"/>
      <c r="B3861" s="15"/>
    </row>
    <row r="3862" spans="1:2" x14ac:dyDescent="0.15">
      <c r="A3862" s="15"/>
      <c r="B3862" s="15"/>
    </row>
    <row r="3863" spans="1:2" x14ac:dyDescent="0.15">
      <c r="A3863" s="15"/>
      <c r="B3863" s="15"/>
    </row>
    <row r="3864" spans="1:2" x14ac:dyDescent="0.15">
      <c r="A3864" s="15"/>
      <c r="B3864" s="15"/>
    </row>
    <row r="3865" spans="1:2" x14ac:dyDescent="0.15">
      <c r="A3865" s="15"/>
      <c r="B3865" s="15"/>
    </row>
    <row r="3866" spans="1:2" x14ac:dyDescent="0.15">
      <c r="A3866" s="15"/>
      <c r="B3866" s="15"/>
    </row>
    <row r="3867" spans="1:2" x14ac:dyDescent="0.15">
      <c r="A3867" s="15"/>
      <c r="B3867" s="15"/>
    </row>
    <row r="3868" spans="1:2" x14ac:dyDescent="0.15">
      <c r="A3868" s="15"/>
      <c r="B3868" s="15"/>
    </row>
    <row r="3869" spans="1:2" x14ac:dyDescent="0.15">
      <c r="A3869" s="15"/>
      <c r="B3869" s="15"/>
    </row>
    <row r="3870" spans="1:2" x14ac:dyDescent="0.15">
      <c r="A3870" s="15"/>
      <c r="B3870" s="15"/>
    </row>
    <row r="3871" spans="1:2" x14ac:dyDescent="0.15">
      <c r="A3871" s="15"/>
      <c r="B3871" s="15"/>
    </row>
    <row r="3872" spans="1:2" x14ac:dyDescent="0.15">
      <c r="A3872" s="15"/>
      <c r="B3872" s="15"/>
    </row>
    <row r="3873" spans="1:2" x14ac:dyDescent="0.15">
      <c r="A3873" s="15"/>
      <c r="B3873" s="15"/>
    </row>
    <row r="3874" spans="1:2" x14ac:dyDescent="0.15">
      <c r="A3874" s="15"/>
      <c r="B3874" s="15"/>
    </row>
    <row r="3875" spans="1:2" x14ac:dyDescent="0.15">
      <c r="A3875" s="15"/>
      <c r="B3875" s="15"/>
    </row>
    <row r="3876" spans="1:2" x14ac:dyDescent="0.15">
      <c r="A3876" s="15"/>
      <c r="B3876" s="15"/>
    </row>
    <row r="3877" spans="1:2" x14ac:dyDescent="0.15">
      <c r="A3877" s="15"/>
      <c r="B3877" s="15"/>
    </row>
    <row r="3878" spans="1:2" x14ac:dyDescent="0.15">
      <c r="A3878" s="15"/>
      <c r="B3878" s="15"/>
    </row>
    <row r="3879" spans="1:2" x14ac:dyDescent="0.15">
      <c r="A3879" s="15"/>
      <c r="B3879" s="15"/>
    </row>
    <row r="3880" spans="1:2" x14ac:dyDescent="0.15">
      <c r="A3880" s="15"/>
      <c r="B3880" s="15"/>
    </row>
    <row r="3881" spans="1:2" x14ac:dyDescent="0.15">
      <c r="A3881" s="15"/>
      <c r="B3881" s="15"/>
    </row>
    <row r="3882" spans="1:2" x14ac:dyDescent="0.15">
      <c r="A3882" s="15"/>
      <c r="B3882" s="15"/>
    </row>
    <row r="3883" spans="1:2" x14ac:dyDescent="0.15">
      <c r="A3883" s="15"/>
      <c r="B3883" s="15"/>
    </row>
    <row r="3884" spans="1:2" x14ac:dyDescent="0.15">
      <c r="A3884" s="15"/>
      <c r="B3884" s="15"/>
    </row>
    <row r="3885" spans="1:2" x14ac:dyDescent="0.15">
      <c r="A3885" s="15"/>
      <c r="B3885" s="15"/>
    </row>
    <row r="3886" spans="1:2" x14ac:dyDescent="0.15">
      <c r="A3886" s="15"/>
      <c r="B3886" s="15"/>
    </row>
    <row r="3887" spans="1:2" x14ac:dyDescent="0.15">
      <c r="A3887" s="15"/>
      <c r="B3887" s="15"/>
    </row>
    <row r="3888" spans="1:2" x14ac:dyDescent="0.15">
      <c r="A3888" s="15"/>
      <c r="B3888" s="15"/>
    </row>
    <row r="3889" spans="1:2" x14ac:dyDescent="0.15">
      <c r="A3889" s="15"/>
      <c r="B3889" s="15"/>
    </row>
    <row r="3890" spans="1:2" x14ac:dyDescent="0.15">
      <c r="A3890" s="15"/>
      <c r="B3890" s="15"/>
    </row>
    <row r="3891" spans="1:2" x14ac:dyDescent="0.15">
      <c r="A3891" s="15"/>
      <c r="B3891" s="15"/>
    </row>
    <row r="3892" spans="1:2" x14ac:dyDescent="0.15">
      <c r="A3892" s="15"/>
      <c r="B3892" s="15"/>
    </row>
    <row r="3893" spans="1:2" x14ac:dyDescent="0.15">
      <c r="A3893" s="15"/>
      <c r="B3893" s="15"/>
    </row>
    <row r="3894" spans="1:2" x14ac:dyDescent="0.15">
      <c r="A3894" s="15"/>
      <c r="B3894" s="15"/>
    </row>
    <row r="3895" spans="1:2" x14ac:dyDescent="0.15">
      <c r="A3895" s="15"/>
      <c r="B3895" s="15"/>
    </row>
    <row r="3896" spans="1:2" x14ac:dyDescent="0.15">
      <c r="A3896" s="15"/>
      <c r="B3896" s="15"/>
    </row>
    <row r="3897" spans="1:2" x14ac:dyDescent="0.15">
      <c r="A3897" s="15"/>
      <c r="B3897" s="15"/>
    </row>
    <row r="3898" spans="1:2" x14ac:dyDescent="0.15">
      <c r="A3898" s="15"/>
      <c r="B3898" s="15"/>
    </row>
    <row r="3899" spans="1:2" x14ac:dyDescent="0.15">
      <c r="A3899" s="15"/>
      <c r="B3899" s="15"/>
    </row>
    <row r="3900" spans="1:2" x14ac:dyDescent="0.15">
      <c r="A3900" s="15"/>
      <c r="B3900" s="15"/>
    </row>
    <row r="3901" spans="1:2" x14ac:dyDescent="0.15">
      <c r="A3901" s="15"/>
      <c r="B3901" s="15"/>
    </row>
    <row r="3902" spans="1:2" x14ac:dyDescent="0.15">
      <c r="A3902" s="15"/>
      <c r="B3902" s="15"/>
    </row>
    <row r="3903" spans="1:2" x14ac:dyDescent="0.15">
      <c r="A3903" s="15"/>
      <c r="B3903" s="15"/>
    </row>
    <row r="3904" spans="1:2" x14ac:dyDescent="0.15">
      <c r="A3904" s="15"/>
      <c r="B3904" s="15"/>
    </row>
    <row r="3905" spans="1:2" x14ac:dyDescent="0.15">
      <c r="A3905" s="15"/>
      <c r="B3905" s="15"/>
    </row>
    <row r="3906" spans="1:2" x14ac:dyDescent="0.15">
      <c r="A3906" s="15"/>
      <c r="B3906" s="15"/>
    </row>
    <row r="3907" spans="1:2" x14ac:dyDescent="0.15">
      <c r="A3907" s="15"/>
      <c r="B3907" s="15"/>
    </row>
    <row r="3908" spans="1:2" x14ac:dyDescent="0.15">
      <c r="A3908" s="15"/>
      <c r="B3908" s="15"/>
    </row>
    <row r="3909" spans="1:2" x14ac:dyDescent="0.15">
      <c r="A3909" s="15"/>
      <c r="B3909" s="15"/>
    </row>
    <row r="3910" spans="1:2" x14ac:dyDescent="0.15">
      <c r="A3910" s="15"/>
      <c r="B3910" s="15"/>
    </row>
    <row r="3911" spans="1:2" x14ac:dyDescent="0.15">
      <c r="A3911" s="15"/>
      <c r="B3911" s="15"/>
    </row>
    <row r="3912" spans="1:2" x14ac:dyDescent="0.15">
      <c r="A3912" s="15"/>
      <c r="B3912" s="15"/>
    </row>
    <row r="3913" spans="1:2" x14ac:dyDescent="0.15">
      <c r="A3913" s="15"/>
      <c r="B3913" s="15"/>
    </row>
    <row r="3914" spans="1:2" x14ac:dyDescent="0.15">
      <c r="A3914" s="15"/>
      <c r="B3914" s="15"/>
    </row>
    <row r="3915" spans="1:2" x14ac:dyDescent="0.15">
      <c r="A3915" s="15"/>
      <c r="B3915" s="15"/>
    </row>
    <row r="3916" spans="1:2" x14ac:dyDescent="0.15">
      <c r="A3916" s="15"/>
      <c r="B3916" s="15"/>
    </row>
    <row r="3917" spans="1:2" x14ac:dyDescent="0.15">
      <c r="A3917" s="15"/>
      <c r="B3917" s="15"/>
    </row>
    <row r="3918" spans="1:2" x14ac:dyDescent="0.15">
      <c r="A3918" s="15"/>
      <c r="B3918" s="15"/>
    </row>
    <row r="3919" spans="1:2" x14ac:dyDescent="0.15">
      <c r="A3919" s="15"/>
      <c r="B3919" s="15"/>
    </row>
    <row r="3920" spans="1:2" x14ac:dyDescent="0.15">
      <c r="A3920" s="15"/>
      <c r="B3920" s="15"/>
    </row>
    <row r="3921" spans="1:2" x14ac:dyDescent="0.15">
      <c r="A3921" s="15"/>
      <c r="B3921" s="15"/>
    </row>
    <row r="3922" spans="1:2" x14ac:dyDescent="0.15">
      <c r="A3922" s="15"/>
      <c r="B3922" s="15"/>
    </row>
    <row r="3923" spans="1:2" x14ac:dyDescent="0.15">
      <c r="A3923" s="15"/>
      <c r="B3923" s="15"/>
    </row>
    <row r="3924" spans="1:2" x14ac:dyDescent="0.15">
      <c r="A3924" s="15"/>
      <c r="B3924" s="15"/>
    </row>
    <row r="3925" spans="1:2" x14ac:dyDescent="0.15">
      <c r="A3925" s="15"/>
      <c r="B3925" s="15"/>
    </row>
    <row r="3926" spans="1:2" x14ac:dyDescent="0.15">
      <c r="A3926" s="15"/>
      <c r="B3926" s="15"/>
    </row>
    <row r="3927" spans="1:2" x14ac:dyDescent="0.15">
      <c r="A3927" s="15"/>
      <c r="B3927" s="15"/>
    </row>
    <row r="3928" spans="1:2" x14ac:dyDescent="0.15">
      <c r="A3928" s="15"/>
      <c r="B3928" s="15"/>
    </row>
    <row r="3929" spans="1:2" x14ac:dyDescent="0.15">
      <c r="A3929" s="15"/>
      <c r="B3929" s="15"/>
    </row>
    <row r="3930" spans="1:2" x14ac:dyDescent="0.15">
      <c r="A3930" s="15"/>
      <c r="B3930" s="15"/>
    </row>
    <row r="3931" spans="1:2" x14ac:dyDescent="0.15">
      <c r="A3931" s="15"/>
      <c r="B3931" s="15"/>
    </row>
    <row r="3932" spans="1:2" x14ac:dyDescent="0.15">
      <c r="A3932" s="15"/>
      <c r="B3932" s="15"/>
    </row>
    <row r="3933" spans="1:2" x14ac:dyDescent="0.15">
      <c r="A3933" s="15"/>
      <c r="B3933" s="15"/>
    </row>
    <row r="3934" spans="1:2" x14ac:dyDescent="0.15">
      <c r="A3934" s="15"/>
      <c r="B3934" s="15"/>
    </row>
    <row r="3935" spans="1:2" x14ac:dyDescent="0.15">
      <c r="A3935" s="15"/>
      <c r="B3935" s="15"/>
    </row>
    <row r="3936" spans="1:2" x14ac:dyDescent="0.15">
      <c r="A3936" s="15"/>
      <c r="B3936" s="15"/>
    </row>
    <row r="3937" spans="1:2" x14ac:dyDescent="0.15">
      <c r="A3937" s="15"/>
      <c r="B3937" s="15"/>
    </row>
    <row r="3938" spans="1:2" x14ac:dyDescent="0.15">
      <c r="A3938" s="15"/>
      <c r="B3938" s="15"/>
    </row>
    <row r="3939" spans="1:2" x14ac:dyDescent="0.15">
      <c r="A3939" s="15"/>
      <c r="B3939" s="15"/>
    </row>
    <row r="3940" spans="1:2" x14ac:dyDescent="0.15">
      <c r="A3940" s="15"/>
      <c r="B3940" s="15"/>
    </row>
    <row r="3941" spans="1:2" x14ac:dyDescent="0.15">
      <c r="A3941" s="15"/>
      <c r="B3941" s="15"/>
    </row>
    <row r="3942" spans="1:2" x14ac:dyDescent="0.15">
      <c r="A3942" s="15"/>
      <c r="B3942" s="15"/>
    </row>
    <row r="3943" spans="1:2" x14ac:dyDescent="0.15">
      <c r="A3943" s="15"/>
      <c r="B3943" s="15"/>
    </row>
    <row r="3944" spans="1:2" x14ac:dyDescent="0.15">
      <c r="A3944" s="15"/>
      <c r="B3944" s="15"/>
    </row>
    <row r="3945" spans="1:2" x14ac:dyDescent="0.15">
      <c r="A3945" s="15"/>
      <c r="B3945" s="15"/>
    </row>
    <row r="3946" spans="1:2" x14ac:dyDescent="0.15">
      <c r="A3946" s="15"/>
      <c r="B3946" s="15"/>
    </row>
    <row r="3947" spans="1:2" x14ac:dyDescent="0.15">
      <c r="A3947" s="15"/>
      <c r="B3947" s="15"/>
    </row>
    <row r="3948" spans="1:2" x14ac:dyDescent="0.15">
      <c r="A3948" s="15"/>
      <c r="B3948" s="15"/>
    </row>
    <row r="3949" spans="1:2" x14ac:dyDescent="0.15">
      <c r="A3949" s="15"/>
      <c r="B3949" s="15"/>
    </row>
    <row r="3950" spans="1:2" x14ac:dyDescent="0.15">
      <c r="A3950" s="15"/>
      <c r="B3950" s="15"/>
    </row>
    <row r="3951" spans="1:2" x14ac:dyDescent="0.15">
      <c r="A3951" s="15"/>
      <c r="B3951" s="15"/>
    </row>
    <row r="3952" spans="1:2" x14ac:dyDescent="0.15">
      <c r="A3952" s="15"/>
      <c r="B3952" s="15"/>
    </row>
    <row r="3953" spans="1:2" x14ac:dyDescent="0.15">
      <c r="A3953" s="15"/>
      <c r="B3953" s="15"/>
    </row>
    <row r="3954" spans="1:2" x14ac:dyDescent="0.15">
      <c r="A3954" s="15"/>
      <c r="B3954" s="15"/>
    </row>
    <row r="3955" spans="1:2" x14ac:dyDescent="0.15">
      <c r="A3955" s="15"/>
      <c r="B3955" s="15"/>
    </row>
    <row r="3956" spans="1:2" x14ac:dyDescent="0.15">
      <c r="A3956" s="15"/>
      <c r="B3956" s="15"/>
    </row>
    <row r="3957" spans="1:2" x14ac:dyDescent="0.15">
      <c r="A3957" s="15"/>
      <c r="B3957" s="15"/>
    </row>
    <row r="3958" spans="1:2" x14ac:dyDescent="0.15">
      <c r="A3958" s="15"/>
      <c r="B3958" s="15"/>
    </row>
    <row r="3959" spans="1:2" x14ac:dyDescent="0.15">
      <c r="A3959" s="15"/>
      <c r="B3959" s="15"/>
    </row>
    <row r="3960" spans="1:2" x14ac:dyDescent="0.15">
      <c r="A3960" s="15"/>
      <c r="B3960" s="15"/>
    </row>
    <row r="3961" spans="1:2" x14ac:dyDescent="0.15">
      <c r="A3961" s="15"/>
      <c r="B3961" s="15"/>
    </row>
    <row r="3962" spans="1:2" x14ac:dyDescent="0.15">
      <c r="A3962" s="15"/>
      <c r="B3962" s="15"/>
    </row>
    <row r="3963" spans="1:2" x14ac:dyDescent="0.15">
      <c r="A3963" s="15"/>
      <c r="B3963" s="15"/>
    </row>
    <row r="3964" spans="1:2" x14ac:dyDescent="0.15">
      <c r="A3964" s="15"/>
      <c r="B3964" s="15"/>
    </row>
    <row r="3965" spans="1:2" x14ac:dyDescent="0.15">
      <c r="A3965" s="15"/>
      <c r="B3965" s="15"/>
    </row>
    <row r="3966" spans="1:2" x14ac:dyDescent="0.15">
      <c r="A3966" s="15"/>
      <c r="B3966" s="15"/>
    </row>
    <row r="3967" spans="1:2" x14ac:dyDescent="0.15">
      <c r="A3967" s="15"/>
      <c r="B3967" s="15"/>
    </row>
    <row r="3968" spans="1:2" x14ac:dyDescent="0.15">
      <c r="A3968" s="15"/>
      <c r="B3968" s="15"/>
    </row>
    <row r="3969" spans="1:2" x14ac:dyDescent="0.15">
      <c r="A3969" s="15"/>
      <c r="B3969" s="15"/>
    </row>
    <row r="3970" spans="1:2" x14ac:dyDescent="0.15">
      <c r="A3970" s="15"/>
      <c r="B3970" s="15"/>
    </row>
    <row r="3971" spans="1:2" x14ac:dyDescent="0.15">
      <c r="A3971" s="15"/>
      <c r="B3971" s="15"/>
    </row>
    <row r="3972" spans="1:2" x14ac:dyDescent="0.15">
      <c r="A3972" s="15"/>
      <c r="B3972" s="15"/>
    </row>
    <row r="3973" spans="1:2" x14ac:dyDescent="0.15">
      <c r="A3973" s="15"/>
      <c r="B3973" s="15"/>
    </row>
    <row r="3974" spans="1:2" x14ac:dyDescent="0.15">
      <c r="A3974" s="15"/>
      <c r="B3974" s="15"/>
    </row>
    <row r="3975" spans="1:2" x14ac:dyDescent="0.15">
      <c r="A3975" s="15"/>
      <c r="B3975" s="15"/>
    </row>
    <row r="3976" spans="1:2" x14ac:dyDescent="0.15">
      <c r="A3976" s="15"/>
      <c r="B3976" s="15"/>
    </row>
    <row r="3977" spans="1:2" x14ac:dyDescent="0.15">
      <c r="A3977" s="15"/>
      <c r="B3977" s="15"/>
    </row>
    <row r="3978" spans="1:2" x14ac:dyDescent="0.15">
      <c r="A3978" s="15"/>
      <c r="B3978" s="15"/>
    </row>
    <row r="3979" spans="1:2" x14ac:dyDescent="0.15">
      <c r="A3979" s="15"/>
      <c r="B3979" s="15"/>
    </row>
    <row r="3980" spans="1:2" x14ac:dyDescent="0.15">
      <c r="A3980" s="15"/>
      <c r="B3980" s="15"/>
    </row>
    <row r="3981" spans="1:2" x14ac:dyDescent="0.15">
      <c r="A3981" s="15"/>
      <c r="B3981" s="15"/>
    </row>
    <row r="3982" spans="1:2" x14ac:dyDescent="0.15">
      <c r="A3982" s="15"/>
      <c r="B3982" s="15"/>
    </row>
    <row r="3983" spans="1:2" x14ac:dyDescent="0.15">
      <c r="A3983" s="15"/>
      <c r="B3983" s="15"/>
    </row>
    <row r="3984" spans="1:2" x14ac:dyDescent="0.15">
      <c r="A3984" s="15"/>
      <c r="B3984" s="15"/>
    </row>
    <row r="3985" spans="1:2" x14ac:dyDescent="0.15">
      <c r="A3985" s="15"/>
      <c r="B3985" s="15"/>
    </row>
    <row r="3986" spans="1:2" x14ac:dyDescent="0.15">
      <c r="A3986" s="15"/>
      <c r="B3986" s="15"/>
    </row>
    <row r="3987" spans="1:2" x14ac:dyDescent="0.15">
      <c r="A3987" s="15"/>
      <c r="B3987" s="15"/>
    </row>
    <row r="3988" spans="1:2" x14ac:dyDescent="0.15">
      <c r="A3988" s="15"/>
      <c r="B3988" s="15"/>
    </row>
    <row r="3989" spans="1:2" x14ac:dyDescent="0.15">
      <c r="A3989" s="15"/>
      <c r="B3989" s="15"/>
    </row>
    <row r="3990" spans="1:2" x14ac:dyDescent="0.15">
      <c r="A3990" s="15"/>
      <c r="B3990" s="15"/>
    </row>
    <row r="3991" spans="1:2" x14ac:dyDescent="0.15">
      <c r="A3991" s="15"/>
      <c r="B3991" s="15"/>
    </row>
    <row r="3992" spans="1:2" x14ac:dyDescent="0.15">
      <c r="A3992" s="15"/>
      <c r="B3992" s="15"/>
    </row>
    <row r="3993" spans="1:2" x14ac:dyDescent="0.15">
      <c r="A3993" s="15"/>
      <c r="B3993" s="15"/>
    </row>
    <row r="3994" spans="1:2" x14ac:dyDescent="0.15">
      <c r="A3994" s="15"/>
      <c r="B3994" s="15"/>
    </row>
    <row r="3995" spans="1:2" x14ac:dyDescent="0.15">
      <c r="A3995" s="15"/>
      <c r="B3995" s="15"/>
    </row>
    <row r="3996" spans="1:2" x14ac:dyDescent="0.15">
      <c r="A3996" s="15"/>
      <c r="B3996" s="15"/>
    </row>
    <row r="3997" spans="1:2" x14ac:dyDescent="0.15">
      <c r="A3997" s="15"/>
      <c r="B3997" s="15"/>
    </row>
    <row r="3998" spans="1:2" x14ac:dyDescent="0.15">
      <c r="A3998" s="15"/>
      <c r="B3998" s="15"/>
    </row>
    <row r="3999" spans="1:2" x14ac:dyDescent="0.15">
      <c r="A3999" s="15"/>
      <c r="B3999" s="15"/>
    </row>
    <row r="4000" spans="1:2" x14ac:dyDescent="0.15">
      <c r="A4000" s="15"/>
      <c r="B4000" s="15"/>
    </row>
    <row r="4001" spans="1:2" x14ac:dyDescent="0.15">
      <c r="A4001" s="15"/>
      <c r="B4001" s="15"/>
    </row>
    <row r="4002" spans="1:2" x14ac:dyDescent="0.15">
      <c r="A4002" s="15"/>
      <c r="B4002" s="15"/>
    </row>
    <row r="4003" spans="1:2" x14ac:dyDescent="0.15">
      <c r="A4003" s="15"/>
      <c r="B4003" s="15"/>
    </row>
    <row r="4004" spans="1:2" x14ac:dyDescent="0.15">
      <c r="A4004" s="15"/>
      <c r="B4004" s="15"/>
    </row>
    <row r="4005" spans="1:2" x14ac:dyDescent="0.15">
      <c r="A4005" s="15"/>
      <c r="B4005" s="15"/>
    </row>
    <row r="4006" spans="1:2" x14ac:dyDescent="0.15">
      <c r="A4006" s="15"/>
      <c r="B4006" s="15"/>
    </row>
    <row r="4007" spans="1:2" x14ac:dyDescent="0.15">
      <c r="A4007" s="15"/>
      <c r="B4007" s="15"/>
    </row>
    <row r="4008" spans="1:2" x14ac:dyDescent="0.15">
      <c r="A4008" s="15"/>
      <c r="B4008" s="15"/>
    </row>
    <row r="4009" spans="1:2" x14ac:dyDescent="0.15">
      <c r="A4009" s="15"/>
      <c r="B4009" s="15"/>
    </row>
    <row r="4010" spans="1:2" x14ac:dyDescent="0.15">
      <c r="A4010" s="15"/>
      <c r="B4010" s="15"/>
    </row>
    <row r="4011" spans="1:2" x14ac:dyDescent="0.15">
      <c r="A4011" s="15"/>
      <c r="B4011" s="15"/>
    </row>
    <row r="4012" spans="1:2" x14ac:dyDescent="0.15">
      <c r="A4012" s="15"/>
      <c r="B4012" s="15"/>
    </row>
    <row r="4013" spans="1:2" x14ac:dyDescent="0.15">
      <c r="A4013" s="15"/>
      <c r="B4013" s="15"/>
    </row>
    <row r="4014" spans="1:2" x14ac:dyDescent="0.15">
      <c r="A4014" s="15"/>
      <c r="B4014" s="15"/>
    </row>
    <row r="4015" spans="1:2" x14ac:dyDescent="0.15">
      <c r="A4015" s="15"/>
      <c r="B4015" s="15"/>
    </row>
    <row r="4016" spans="1:2" x14ac:dyDescent="0.15">
      <c r="A4016" s="15"/>
      <c r="B4016" s="15"/>
    </row>
    <row r="4017" spans="1:2" x14ac:dyDescent="0.15">
      <c r="A4017" s="15"/>
      <c r="B4017" s="15"/>
    </row>
    <row r="4018" spans="1:2" x14ac:dyDescent="0.15">
      <c r="A4018" s="15"/>
      <c r="B4018" s="15"/>
    </row>
    <row r="4019" spans="1:2" x14ac:dyDescent="0.15">
      <c r="A4019" s="15"/>
      <c r="B4019" s="15"/>
    </row>
    <row r="4020" spans="1:2" x14ac:dyDescent="0.15">
      <c r="A4020" s="15"/>
      <c r="B4020" s="15"/>
    </row>
    <row r="4021" spans="1:2" x14ac:dyDescent="0.15">
      <c r="A4021" s="15"/>
      <c r="B4021" s="15"/>
    </row>
    <row r="4022" spans="1:2" x14ac:dyDescent="0.15">
      <c r="A4022" s="15"/>
      <c r="B4022" s="15"/>
    </row>
    <row r="4023" spans="1:2" x14ac:dyDescent="0.15">
      <c r="A4023" s="15"/>
      <c r="B4023" s="15"/>
    </row>
    <row r="4024" spans="1:2" x14ac:dyDescent="0.15">
      <c r="A4024" s="15"/>
      <c r="B4024" s="15"/>
    </row>
    <row r="4025" spans="1:2" x14ac:dyDescent="0.15">
      <c r="A4025" s="15"/>
      <c r="B4025" s="15"/>
    </row>
    <row r="4026" spans="1:2" x14ac:dyDescent="0.15">
      <c r="A4026" s="15"/>
      <c r="B4026" s="15"/>
    </row>
    <row r="4027" spans="1:2" x14ac:dyDescent="0.15">
      <c r="A4027" s="15"/>
      <c r="B4027" s="15"/>
    </row>
    <row r="4028" spans="1:2" x14ac:dyDescent="0.15">
      <c r="A4028" s="15"/>
      <c r="B4028" s="15"/>
    </row>
    <row r="4029" spans="1:2" x14ac:dyDescent="0.15">
      <c r="A4029" s="15"/>
      <c r="B4029" s="15"/>
    </row>
    <row r="4030" spans="1:2" x14ac:dyDescent="0.15">
      <c r="A4030" s="15"/>
      <c r="B4030" s="15"/>
    </row>
    <row r="4031" spans="1:2" x14ac:dyDescent="0.15">
      <c r="A4031" s="15"/>
      <c r="B4031" s="15"/>
    </row>
    <row r="4032" spans="1:2" x14ac:dyDescent="0.15">
      <c r="A4032" s="15"/>
      <c r="B4032" s="15"/>
    </row>
    <row r="4033" spans="1:2" x14ac:dyDescent="0.15">
      <c r="A4033" s="15"/>
      <c r="B4033" s="15"/>
    </row>
    <row r="4034" spans="1:2" x14ac:dyDescent="0.15">
      <c r="A4034" s="15"/>
      <c r="B4034" s="15"/>
    </row>
    <row r="4035" spans="1:2" x14ac:dyDescent="0.15">
      <c r="A4035" s="15"/>
      <c r="B4035" s="15"/>
    </row>
    <row r="4036" spans="1:2" x14ac:dyDescent="0.15">
      <c r="A4036" s="15"/>
      <c r="B4036" s="15"/>
    </row>
    <row r="4037" spans="1:2" x14ac:dyDescent="0.15">
      <c r="A4037" s="15"/>
      <c r="B4037" s="15"/>
    </row>
    <row r="4038" spans="1:2" x14ac:dyDescent="0.15">
      <c r="A4038" s="15"/>
      <c r="B4038" s="15"/>
    </row>
    <row r="4039" spans="1:2" x14ac:dyDescent="0.15">
      <c r="A4039" s="15"/>
      <c r="B4039" s="15"/>
    </row>
    <row r="4040" spans="1:2" x14ac:dyDescent="0.15">
      <c r="A4040" s="15"/>
      <c r="B4040" s="15"/>
    </row>
    <row r="4041" spans="1:2" x14ac:dyDescent="0.15">
      <c r="A4041" s="15"/>
      <c r="B4041" s="15"/>
    </row>
    <row r="4042" spans="1:2" x14ac:dyDescent="0.15">
      <c r="A4042" s="15"/>
      <c r="B4042" s="15"/>
    </row>
    <row r="4043" spans="1:2" x14ac:dyDescent="0.15">
      <c r="A4043" s="15"/>
      <c r="B4043" s="15"/>
    </row>
    <row r="4044" spans="1:2" x14ac:dyDescent="0.15">
      <c r="A4044" s="15"/>
      <c r="B4044" s="15"/>
    </row>
    <row r="4045" spans="1:2" x14ac:dyDescent="0.15">
      <c r="A4045" s="15"/>
      <c r="B4045" s="15"/>
    </row>
    <row r="4046" spans="1:2" x14ac:dyDescent="0.15">
      <c r="A4046" s="15"/>
      <c r="B4046" s="15"/>
    </row>
    <row r="4047" spans="1:2" x14ac:dyDescent="0.15">
      <c r="A4047" s="15"/>
      <c r="B4047" s="15"/>
    </row>
    <row r="4048" spans="1:2" x14ac:dyDescent="0.15">
      <c r="A4048" s="15"/>
      <c r="B4048" s="15"/>
    </row>
    <row r="4049" spans="1:2" x14ac:dyDescent="0.15">
      <c r="A4049" s="15"/>
      <c r="B4049" s="15"/>
    </row>
    <row r="4050" spans="1:2" x14ac:dyDescent="0.15">
      <c r="A4050" s="15"/>
      <c r="B4050" s="15"/>
    </row>
    <row r="4051" spans="1:2" x14ac:dyDescent="0.15">
      <c r="A4051" s="15"/>
      <c r="B4051" s="15"/>
    </row>
    <row r="4052" spans="1:2" x14ac:dyDescent="0.15">
      <c r="A4052" s="15"/>
      <c r="B4052" s="15"/>
    </row>
    <row r="4053" spans="1:2" x14ac:dyDescent="0.15">
      <c r="A4053" s="15"/>
      <c r="B4053" s="15"/>
    </row>
    <row r="4054" spans="1:2" x14ac:dyDescent="0.15">
      <c r="A4054" s="15"/>
      <c r="B4054" s="15"/>
    </row>
    <row r="4055" spans="1:2" x14ac:dyDescent="0.15">
      <c r="A4055" s="15"/>
      <c r="B4055" s="15"/>
    </row>
    <row r="4056" spans="1:2" x14ac:dyDescent="0.15">
      <c r="A4056" s="15"/>
      <c r="B4056" s="15"/>
    </row>
    <row r="4057" spans="1:2" x14ac:dyDescent="0.15">
      <c r="A4057" s="15"/>
      <c r="B4057" s="15"/>
    </row>
    <row r="4058" spans="1:2" x14ac:dyDescent="0.15">
      <c r="A4058" s="15"/>
      <c r="B4058" s="15"/>
    </row>
    <row r="4059" spans="1:2" x14ac:dyDescent="0.15">
      <c r="A4059" s="15"/>
      <c r="B4059" s="15"/>
    </row>
    <row r="4060" spans="1:2" x14ac:dyDescent="0.15">
      <c r="A4060" s="15"/>
      <c r="B4060" s="15"/>
    </row>
    <row r="4061" spans="1:2" x14ac:dyDescent="0.15">
      <c r="A4061" s="15"/>
      <c r="B4061" s="15"/>
    </row>
    <row r="4062" spans="1:2" x14ac:dyDescent="0.15">
      <c r="A4062" s="15"/>
      <c r="B4062" s="15"/>
    </row>
    <row r="4063" spans="1:2" x14ac:dyDescent="0.15">
      <c r="A4063" s="15"/>
      <c r="B4063" s="15"/>
    </row>
    <row r="4064" spans="1:2" x14ac:dyDescent="0.15">
      <c r="A4064" s="15"/>
      <c r="B4064" s="15"/>
    </row>
    <row r="4065" spans="1:2" x14ac:dyDescent="0.15">
      <c r="A4065" s="15"/>
      <c r="B4065" s="15"/>
    </row>
    <row r="4066" spans="1:2" x14ac:dyDescent="0.15">
      <c r="A4066" s="15"/>
      <c r="B4066" s="15"/>
    </row>
    <row r="4067" spans="1:2" x14ac:dyDescent="0.15">
      <c r="A4067" s="15"/>
      <c r="B4067" s="15"/>
    </row>
    <row r="4068" spans="1:2" x14ac:dyDescent="0.15">
      <c r="A4068" s="15"/>
      <c r="B4068" s="15"/>
    </row>
    <row r="4069" spans="1:2" x14ac:dyDescent="0.15">
      <c r="A4069" s="15"/>
      <c r="B4069" s="15"/>
    </row>
    <row r="4070" spans="1:2" x14ac:dyDescent="0.15">
      <c r="A4070" s="15"/>
      <c r="B4070" s="15"/>
    </row>
    <row r="4071" spans="1:2" x14ac:dyDescent="0.15">
      <c r="A4071" s="15"/>
      <c r="B4071" s="15"/>
    </row>
    <row r="4072" spans="1:2" x14ac:dyDescent="0.15">
      <c r="A4072" s="15"/>
      <c r="B4072" s="15"/>
    </row>
    <row r="4073" spans="1:2" x14ac:dyDescent="0.15">
      <c r="A4073" s="15"/>
      <c r="B4073" s="15"/>
    </row>
    <row r="4074" spans="1:2" x14ac:dyDescent="0.15">
      <c r="A4074" s="15"/>
      <c r="B4074" s="15"/>
    </row>
    <row r="4075" spans="1:2" x14ac:dyDescent="0.15">
      <c r="A4075" s="15"/>
      <c r="B4075" s="15"/>
    </row>
    <row r="4076" spans="1:2" x14ac:dyDescent="0.15">
      <c r="A4076" s="15"/>
      <c r="B4076" s="15"/>
    </row>
    <row r="4077" spans="1:2" x14ac:dyDescent="0.15">
      <c r="A4077" s="15"/>
      <c r="B4077" s="15"/>
    </row>
    <row r="4078" spans="1:2" x14ac:dyDescent="0.15">
      <c r="A4078" s="15"/>
      <c r="B4078" s="15"/>
    </row>
    <row r="4079" spans="1:2" x14ac:dyDescent="0.15">
      <c r="A4079" s="15"/>
      <c r="B4079" s="15"/>
    </row>
    <row r="4080" spans="1:2" x14ac:dyDescent="0.15">
      <c r="A4080" s="15"/>
      <c r="B4080" s="15"/>
    </row>
    <row r="4081" spans="1:2" x14ac:dyDescent="0.15">
      <c r="A4081" s="15"/>
      <c r="B4081" s="15"/>
    </row>
    <row r="4082" spans="1:2" x14ac:dyDescent="0.15">
      <c r="A4082" s="15"/>
      <c r="B4082" s="15"/>
    </row>
    <row r="4083" spans="1:2" x14ac:dyDescent="0.15">
      <c r="A4083" s="15"/>
      <c r="B4083" s="15"/>
    </row>
    <row r="4084" spans="1:2" x14ac:dyDescent="0.15">
      <c r="A4084" s="15"/>
      <c r="B4084" s="15"/>
    </row>
    <row r="4085" spans="1:2" x14ac:dyDescent="0.15">
      <c r="A4085" s="15"/>
      <c r="B4085" s="15"/>
    </row>
    <row r="4086" spans="1:2" x14ac:dyDescent="0.15">
      <c r="A4086" s="15"/>
      <c r="B4086" s="15"/>
    </row>
    <row r="4087" spans="1:2" x14ac:dyDescent="0.15">
      <c r="A4087" s="15"/>
      <c r="B4087" s="15"/>
    </row>
    <row r="4088" spans="1:2" x14ac:dyDescent="0.15">
      <c r="A4088" s="15"/>
      <c r="B4088" s="15"/>
    </row>
    <row r="4089" spans="1:2" x14ac:dyDescent="0.15">
      <c r="A4089" s="15"/>
      <c r="B4089" s="15"/>
    </row>
    <row r="4090" spans="1:2" x14ac:dyDescent="0.15">
      <c r="A4090" s="15"/>
      <c r="B4090" s="15"/>
    </row>
    <row r="4091" spans="1:2" x14ac:dyDescent="0.15">
      <c r="A4091" s="15"/>
      <c r="B4091" s="15"/>
    </row>
    <row r="4092" spans="1:2" x14ac:dyDescent="0.15">
      <c r="A4092" s="15"/>
      <c r="B4092" s="15"/>
    </row>
    <row r="4093" spans="1:2" x14ac:dyDescent="0.15">
      <c r="A4093" s="15"/>
      <c r="B4093" s="15"/>
    </row>
    <row r="4094" spans="1:2" x14ac:dyDescent="0.15">
      <c r="A4094" s="15"/>
      <c r="B4094" s="15"/>
    </row>
    <row r="4095" spans="1:2" x14ac:dyDescent="0.15">
      <c r="A4095" s="15"/>
      <c r="B4095" s="15"/>
    </row>
    <row r="4096" spans="1:2" x14ac:dyDescent="0.15">
      <c r="A4096" s="15"/>
      <c r="B4096" s="15"/>
    </row>
    <row r="4097" spans="1:2" x14ac:dyDescent="0.15">
      <c r="A4097" s="15"/>
      <c r="B4097" s="15"/>
    </row>
    <row r="4098" spans="1:2" x14ac:dyDescent="0.15">
      <c r="A4098" s="15"/>
      <c r="B4098" s="15"/>
    </row>
    <row r="4099" spans="1:2" x14ac:dyDescent="0.15">
      <c r="A4099" s="15"/>
      <c r="B4099" s="15"/>
    </row>
    <row r="4100" spans="1:2" x14ac:dyDescent="0.15">
      <c r="A4100" s="15"/>
      <c r="B4100" s="15"/>
    </row>
    <row r="4101" spans="1:2" x14ac:dyDescent="0.15">
      <c r="A4101" s="15"/>
      <c r="B4101" s="15"/>
    </row>
    <row r="4102" spans="1:2" x14ac:dyDescent="0.15">
      <c r="A4102" s="15"/>
      <c r="B4102" s="15"/>
    </row>
    <row r="4103" spans="1:2" x14ac:dyDescent="0.15">
      <c r="A4103" s="15"/>
      <c r="B4103" s="15"/>
    </row>
    <row r="4104" spans="1:2" x14ac:dyDescent="0.15">
      <c r="A4104" s="15"/>
      <c r="B4104" s="15"/>
    </row>
    <row r="4105" spans="1:2" x14ac:dyDescent="0.15">
      <c r="A4105" s="15"/>
      <c r="B4105" s="15"/>
    </row>
    <row r="4106" spans="1:2" x14ac:dyDescent="0.15">
      <c r="A4106" s="15"/>
      <c r="B4106" s="15"/>
    </row>
    <row r="4107" spans="1:2" x14ac:dyDescent="0.15">
      <c r="A4107" s="15"/>
      <c r="B4107" s="15"/>
    </row>
    <row r="4108" spans="1:2" x14ac:dyDescent="0.15">
      <c r="A4108" s="15"/>
      <c r="B4108" s="15"/>
    </row>
    <row r="4109" spans="1:2" x14ac:dyDescent="0.15">
      <c r="A4109" s="15"/>
      <c r="B4109" s="15"/>
    </row>
    <row r="4110" spans="1:2" x14ac:dyDescent="0.15">
      <c r="A4110" s="15"/>
      <c r="B4110" s="15"/>
    </row>
    <row r="4111" spans="1:2" x14ac:dyDescent="0.15">
      <c r="A4111" s="15"/>
      <c r="B4111" s="15"/>
    </row>
    <row r="4112" spans="1:2" x14ac:dyDescent="0.15">
      <c r="A4112" s="15"/>
      <c r="B4112" s="15"/>
    </row>
    <row r="4113" spans="1:2" x14ac:dyDescent="0.15">
      <c r="A4113" s="15"/>
      <c r="B4113" s="15"/>
    </row>
    <row r="4114" spans="1:2" x14ac:dyDescent="0.15">
      <c r="A4114" s="15"/>
      <c r="B4114" s="15"/>
    </row>
    <row r="4115" spans="1:2" x14ac:dyDescent="0.15">
      <c r="A4115" s="15"/>
      <c r="B4115" s="15"/>
    </row>
    <row r="4116" spans="1:2" x14ac:dyDescent="0.15">
      <c r="A4116" s="15"/>
      <c r="B4116" s="15"/>
    </row>
    <row r="4117" spans="1:2" x14ac:dyDescent="0.15">
      <c r="A4117" s="15"/>
      <c r="B4117" s="15"/>
    </row>
    <row r="4118" spans="1:2" x14ac:dyDescent="0.15">
      <c r="A4118" s="15"/>
      <c r="B4118" s="15"/>
    </row>
    <row r="4119" spans="1:2" x14ac:dyDescent="0.15">
      <c r="A4119" s="15"/>
      <c r="B4119" s="15"/>
    </row>
    <row r="4120" spans="1:2" x14ac:dyDescent="0.15">
      <c r="A4120" s="15"/>
      <c r="B4120" s="15"/>
    </row>
    <row r="4121" spans="1:2" x14ac:dyDescent="0.15">
      <c r="A4121" s="15"/>
      <c r="B4121" s="15"/>
    </row>
    <row r="4122" spans="1:2" x14ac:dyDescent="0.15">
      <c r="A4122" s="15"/>
      <c r="B4122" s="15"/>
    </row>
    <row r="4123" spans="1:2" x14ac:dyDescent="0.15">
      <c r="A4123" s="15"/>
      <c r="B4123" s="15"/>
    </row>
    <row r="4124" spans="1:2" x14ac:dyDescent="0.15">
      <c r="A4124" s="15"/>
      <c r="B4124" s="15"/>
    </row>
    <row r="4125" spans="1:2" x14ac:dyDescent="0.15">
      <c r="A4125" s="15"/>
      <c r="B4125" s="15"/>
    </row>
    <row r="4126" spans="1:2" x14ac:dyDescent="0.15">
      <c r="A4126" s="15"/>
      <c r="B4126" s="15"/>
    </row>
    <row r="4127" spans="1:2" x14ac:dyDescent="0.15">
      <c r="A4127" s="15"/>
      <c r="B4127" s="15"/>
    </row>
    <row r="4128" spans="1:2" x14ac:dyDescent="0.15">
      <c r="A4128" s="15"/>
      <c r="B4128" s="15"/>
    </row>
    <row r="4129" spans="1:2" x14ac:dyDescent="0.15">
      <c r="A4129" s="15"/>
      <c r="B4129" s="15"/>
    </row>
    <row r="4130" spans="1:2" x14ac:dyDescent="0.15">
      <c r="A4130" s="15"/>
      <c r="B4130" s="15"/>
    </row>
    <row r="4131" spans="1:2" x14ac:dyDescent="0.15">
      <c r="A4131" s="15"/>
      <c r="B4131" s="15"/>
    </row>
    <row r="4132" spans="1:2" x14ac:dyDescent="0.15">
      <c r="A4132" s="15"/>
      <c r="B4132" s="15"/>
    </row>
    <row r="4133" spans="1:2" x14ac:dyDescent="0.15">
      <c r="A4133" s="15"/>
      <c r="B4133" s="15"/>
    </row>
    <row r="4134" spans="1:2" x14ac:dyDescent="0.15">
      <c r="A4134" s="15"/>
      <c r="B4134" s="15"/>
    </row>
    <row r="4135" spans="1:2" x14ac:dyDescent="0.15">
      <c r="A4135" s="15"/>
      <c r="B4135" s="15"/>
    </row>
    <row r="4136" spans="1:2" x14ac:dyDescent="0.15">
      <c r="A4136" s="15"/>
      <c r="B4136" s="15"/>
    </row>
    <row r="4137" spans="1:2" x14ac:dyDescent="0.15">
      <c r="A4137" s="15"/>
      <c r="B4137" s="15"/>
    </row>
    <row r="4138" spans="1:2" x14ac:dyDescent="0.15">
      <c r="A4138" s="15"/>
      <c r="B4138" s="15"/>
    </row>
    <row r="4139" spans="1:2" x14ac:dyDescent="0.15">
      <c r="A4139" s="15"/>
      <c r="B4139" s="15"/>
    </row>
    <row r="4140" spans="1:2" x14ac:dyDescent="0.15">
      <c r="A4140" s="15"/>
      <c r="B4140" s="15"/>
    </row>
    <row r="4141" spans="1:2" x14ac:dyDescent="0.15">
      <c r="A4141" s="15"/>
      <c r="B4141" s="15"/>
    </row>
    <row r="4142" spans="1:2" x14ac:dyDescent="0.15">
      <c r="A4142" s="15"/>
      <c r="B4142" s="15"/>
    </row>
    <row r="4143" spans="1:2" x14ac:dyDescent="0.15">
      <c r="A4143" s="15"/>
      <c r="B4143" s="15"/>
    </row>
    <row r="4144" spans="1:2" x14ac:dyDescent="0.15">
      <c r="A4144" s="15"/>
      <c r="B4144" s="15"/>
    </row>
    <row r="4145" spans="1:2" x14ac:dyDescent="0.15">
      <c r="A4145" s="15"/>
      <c r="B4145" s="15"/>
    </row>
    <row r="4146" spans="1:2" x14ac:dyDescent="0.15">
      <c r="A4146" s="15"/>
      <c r="B4146" s="15"/>
    </row>
    <row r="4147" spans="1:2" x14ac:dyDescent="0.15">
      <c r="A4147" s="15"/>
      <c r="B4147" s="15"/>
    </row>
    <row r="4148" spans="1:2" x14ac:dyDescent="0.15">
      <c r="A4148" s="15"/>
      <c r="B4148" s="15"/>
    </row>
    <row r="4149" spans="1:2" x14ac:dyDescent="0.15">
      <c r="A4149" s="15"/>
      <c r="B4149" s="15"/>
    </row>
    <row r="4150" spans="1:2" x14ac:dyDescent="0.15">
      <c r="A4150" s="15"/>
      <c r="B4150" s="15"/>
    </row>
    <row r="4151" spans="1:2" x14ac:dyDescent="0.15">
      <c r="A4151" s="15"/>
      <c r="B4151" s="15"/>
    </row>
    <row r="4152" spans="1:2" x14ac:dyDescent="0.15">
      <c r="A4152" s="15"/>
      <c r="B4152" s="15"/>
    </row>
    <row r="4153" spans="1:2" x14ac:dyDescent="0.15">
      <c r="A4153" s="15"/>
      <c r="B4153" s="15"/>
    </row>
    <row r="4154" spans="1:2" x14ac:dyDescent="0.15">
      <c r="A4154" s="15"/>
      <c r="B4154" s="15"/>
    </row>
    <row r="4155" spans="1:2" x14ac:dyDescent="0.15">
      <c r="A4155" s="15"/>
      <c r="B4155" s="15"/>
    </row>
    <row r="4156" spans="1:2" x14ac:dyDescent="0.15">
      <c r="A4156" s="15"/>
      <c r="B4156" s="15"/>
    </row>
    <row r="4157" spans="1:2" x14ac:dyDescent="0.15">
      <c r="A4157" s="15"/>
      <c r="B4157" s="15"/>
    </row>
    <row r="4158" spans="1:2" x14ac:dyDescent="0.15">
      <c r="A4158" s="15"/>
      <c r="B4158" s="15"/>
    </row>
    <row r="4159" spans="1:2" x14ac:dyDescent="0.15">
      <c r="A4159" s="15"/>
      <c r="B4159" s="15"/>
    </row>
    <row r="4160" spans="1:2" x14ac:dyDescent="0.15">
      <c r="A4160" s="15"/>
      <c r="B4160" s="15"/>
    </row>
    <row r="4161" spans="1:2" x14ac:dyDescent="0.15">
      <c r="A4161" s="15"/>
      <c r="B4161" s="15"/>
    </row>
    <row r="4162" spans="1:2" x14ac:dyDescent="0.15">
      <c r="A4162" s="15"/>
      <c r="B4162" s="15"/>
    </row>
    <row r="4163" spans="1:2" x14ac:dyDescent="0.15">
      <c r="A4163" s="15"/>
      <c r="B4163" s="15"/>
    </row>
    <row r="4164" spans="1:2" x14ac:dyDescent="0.15">
      <c r="A4164" s="15"/>
      <c r="B4164" s="15"/>
    </row>
    <row r="4165" spans="1:2" x14ac:dyDescent="0.15">
      <c r="A4165" s="15"/>
      <c r="B4165" s="15"/>
    </row>
    <row r="4166" spans="1:2" x14ac:dyDescent="0.15">
      <c r="A4166" s="15"/>
      <c r="B4166" s="15"/>
    </row>
    <row r="4167" spans="1:2" x14ac:dyDescent="0.15">
      <c r="A4167" s="15"/>
      <c r="B4167" s="15"/>
    </row>
    <row r="4168" spans="1:2" x14ac:dyDescent="0.15">
      <c r="A4168" s="15"/>
      <c r="B4168" s="15"/>
    </row>
    <row r="4169" spans="1:2" x14ac:dyDescent="0.15">
      <c r="A4169" s="15"/>
      <c r="B4169" s="15"/>
    </row>
    <row r="4170" spans="1:2" x14ac:dyDescent="0.15">
      <c r="A4170" s="15"/>
      <c r="B4170" s="15"/>
    </row>
    <row r="4171" spans="1:2" x14ac:dyDescent="0.15">
      <c r="A4171" s="15"/>
      <c r="B4171" s="15"/>
    </row>
    <row r="4172" spans="1:2" x14ac:dyDescent="0.15">
      <c r="A4172" s="15"/>
      <c r="B4172" s="15"/>
    </row>
    <row r="4173" spans="1:2" x14ac:dyDescent="0.15">
      <c r="A4173" s="15"/>
      <c r="B4173" s="15"/>
    </row>
    <row r="4174" spans="1:2" x14ac:dyDescent="0.15">
      <c r="A4174" s="15"/>
      <c r="B4174" s="15"/>
    </row>
    <row r="4175" spans="1:2" x14ac:dyDescent="0.15">
      <c r="A4175" s="15"/>
      <c r="B4175" s="15"/>
    </row>
    <row r="4176" spans="1:2" x14ac:dyDescent="0.15">
      <c r="A4176" s="15"/>
      <c r="B4176" s="15"/>
    </row>
    <row r="4177" spans="1:2" x14ac:dyDescent="0.15">
      <c r="A4177" s="15"/>
      <c r="B4177" s="15"/>
    </row>
    <row r="4178" spans="1:2" x14ac:dyDescent="0.15">
      <c r="A4178" s="15"/>
      <c r="B4178" s="15"/>
    </row>
    <row r="4179" spans="1:2" x14ac:dyDescent="0.15">
      <c r="A4179" s="15"/>
      <c r="B4179" s="15"/>
    </row>
    <row r="4180" spans="1:2" x14ac:dyDescent="0.15">
      <c r="A4180" s="15"/>
      <c r="B4180" s="15"/>
    </row>
    <row r="4181" spans="1:2" x14ac:dyDescent="0.15">
      <c r="A4181" s="15"/>
      <c r="B4181" s="15"/>
    </row>
    <row r="4182" spans="1:2" x14ac:dyDescent="0.15">
      <c r="A4182" s="15"/>
      <c r="B4182" s="15"/>
    </row>
    <row r="4183" spans="1:2" x14ac:dyDescent="0.15">
      <c r="A4183" s="15"/>
      <c r="B4183" s="15"/>
    </row>
    <row r="4184" spans="1:2" x14ac:dyDescent="0.15">
      <c r="A4184" s="15"/>
      <c r="B4184" s="15"/>
    </row>
    <row r="4185" spans="1:2" x14ac:dyDescent="0.15">
      <c r="A4185" s="15"/>
      <c r="B4185" s="15"/>
    </row>
    <row r="4186" spans="1:2" x14ac:dyDescent="0.15">
      <c r="A4186" s="15"/>
      <c r="B4186" s="15"/>
    </row>
    <row r="4187" spans="1:2" x14ac:dyDescent="0.15">
      <c r="A4187" s="15"/>
      <c r="B4187" s="15"/>
    </row>
    <row r="4188" spans="1:2" x14ac:dyDescent="0.15">
      <c r="A4188" s="15"/>
      <c r="B4188" s="15"/>
    </row>
    <row r="4189" spans="1:2" x14ac:dyDescent="0.15">
      <c r="A4189" s="15"/>
      <c r="B4189" s="15"/>
    </row>
    <row r="4190" spans="1:2" x14ac:dyDescent="0.15">
      <c r="A4190" s="15"/>
      <c r="B4190" s="15"/>
    </row>
    <row r="4191" spans="1:2" x14ac:dyDescent="0.15">
      <c r="A4191" s="15"/>
      <c r="B4191" s="15"/>
    </row>
    <row r="4192" spans="1:2" x14ac:dyDescent="0.15">
      <c r="A4192" s="15"/>
      <c r="B4192" s="15"/>
    </row>
    <row r="4193" spans="1:2" x14ac:dyDescent="0.15">
      <c r="A4193" s="15"/>
      <c r="B4193" s="15"/>
    </row>
    <row r="4194" spans="1:2" x14ac:dyDescent="0.15">
      <c r="A4194" s="15"/>
      <c r="B4194" s="15"/>
    </row>
    <row r="4195" spans="1:2" x14ac:dyDescent="0.15">
      <c r="A4195" s="15"/>
      <c r="B4195" s="15"/>
    </row>
    <row r="4196" spans="1:2" x14ac:dyDescent="0.15">
      <c r="A4196" s="15"/>
      <c r="B4196" s="15"/>
    </row>
    <row r="4197" spans="1:2" x14ac:dyDescent="0.15">
      <c r="A4197" s="15"/>
      <c r="B4197" s="15"/>
    </row>
    <row r="4198" spans="1:2" x14ac:dyDescent="0.15">
      <c r="A4198" s="15"/>
      <c r="B4198" s="15"/>
    </row>
    <row r="4199" spans="1:2" x14ac:dyDescent="0.15">
      <c r="A4199" s="15"/>
      <c r="B4199" s="15"/>
    </row>
    <row r="4200" spans="1:2" x14ac:dyDescent="0.15">
      <c r="A4200" s="15"/>
      <c r="B4200" s="15"/>
    </row>
    <row r="4201" spans="1:2" x14ac:dyDescent="0.15">
      <c r="A4201" s="15"/>
      <c r="B4201" s="15"/>
    </row>
    <row r="4202" spans="1:2" x14ac:dyDescent="0.15">
      <c r="A4202" s="15"/>
      <c r="B4202" s="15"/>
    </row>
    <row r="4203" spans="1:2" x14ac:dyDescent="0.15">
      <c r="A4203" s="15"/>
      <c r="B4203" s="15"/>
    </row>
    <row r="4204" spans="1:2" x14ac:dyDescent="0.15">
      <c r="A4204" s="15"/>
      <c r="B4204" s="15"/>
    </row>
    <row r="4205" spans="1:2" x14ac:dyDescent="0.15">
      <c r="A4205" s="15"/>
      <c r="B4205" s="15"/>
    </row>
    <row r="4206" spans="1:2" x14ac:dyDescent="0.15">
      <c r="A4206" s="15"/>
      <c r="B4206" s="15"/>
    </row>
    <row r="4207" spans="1:2" x14ac:dyDescent="0.15">
      <c r="A4207" s="15"/>
      <c r="B4207" s="15"/>
    </row>
    <row r="4208" spans="1:2" x14ac:dyDescent="0.15">
      <c r="A4208" s="15"/>
      <c r="B4208" s="15"/>
    </row>
    <row r="4209" spans="1:2" x14ac:dyDescent="0.15">
      <c r="A4209" s="15"/>
      <c r="B4209" s="15"/>
    </row>
    <row r="4210" spans="1:2" x14ac:dyDescent="0.15">
      <c r="A4210" s="15"/>
      <c r="B4210" s="15"/>
    </row>
    <row r="4211" spans="1:2" x14ac:dyDescent="0.15">
      <c r="A4211" s="15"/>
      <c r="B4211" s="15"/>
    </row>
    <row r="4212" spans="1:2" x14ac:dyDescent="0.15">
      <c r="A4212" s="15"/>
      <c r="B4212" s="15"/>
    </row>
    <row r="4213" spans="1:2" x14ac:dyDescent="0.15">
      <c r="A4213" s="15"/>
      <c r="B4213" s="15"/>
    </row>
    <row r="4214" spans="1:2" x14ac:dyDescent="0.15">
      <c r="A4214" s="15"/>
      <c r="B4214" s="15"/>
    </row>
    <row r="4215" spans="1:2" x14ac:dyDescent="0.15">
      <c r="A4215" s="15"/>
      <c r="B4215" s="15"/>
    </row>
    <row r="4216" spans="1:2" x14ac:dyDescent="0.15">
      <c r="A4216" s="15"/>
      <c r="B4216" s="15"/>
    </row>
    <row r="4217" spans="1:2" x14ac:dyDescent="0.15">
      <c r="A4217" s="15"/>
      <c r="B4217" s="15"/>
    </row>
    <row r="4218" spans="1:2" x14ac:dyDescent="0.15">
      <c r="A4218" s="15"/>
      <c r="B4218" s="15"/>
    </row>
    <row r="4219" spans="1:2" x14ac:dyDescent="0.15">
      <c r="A4219" s="15"/>
      <c r="B4219" s="15"/>
    </row>
    <row r="4220" spans="1:2" x14ac:dyDescent="0.15">
      <c r="A4220" s="15"/>
      <c r="B4220" s="15"/>
    </row>
    <row r="4221" spans="1:2" x14ac:dyDescent="0.15">
      <c r="A4221" s="15"/>
      <c r="B4221" s="15"/>
    </row>
    <row r="4222" spans="1:2" x14ac:dyDescent="0.15">
      <c r="A4222" s="15"/>
      <c r="B4222" s="15"/>
    </row>
    <row r="4223" spans="1:2" x14ac:dyDescent="0.15">
      <c r="A4223" s="15"/>
      <c r="B4223" s="15"/>
    </row>
    <row r="4224" spans="1:2" x14ac:dyDescent="0.15">
      <c r="A4224" s="15"/>
      <c r="B4224" s="15"/>
    </row>
    <row r="4225" spans="1:2" x14ac:dyDescent="0.15">
      <c r="A4225" s="15"/>
      <c r="B4225" s="15"/>
    </row>
    <row r="4226" spans="1:2" x14ac:dyDescent="0.15">
      <c r="A4226" s="15"/>
      <c r="B4226" s="15"/>
    </row>
    <row r="4227" spans="1:2" x14ac:dyDescent="0.15">
      <c r="A4227" s="15"/>
      <c r="B4227" s="15"/>
    </row>
    <row r="4228" spans="1:2" x14ac:dyDescent="0.15">
      <c r="A4228" s="15"/>
      <c r="B4228" s="15"/>
    </row>
    <row r="4229" spans="1:2" x14ac:dyDescent="0.15">
      <c r="A4229" s="15"/>
      <c r="B4229" s="15"/>
    </row>
    <row r="4230" spans="1:2" x14ac:dyDescent="0.15">
      <c r="A4230" s="15"/>
      <c r="B4230" s="15"/>
    </row>
    <row r="4231" spans="1:2" x14ac:dyDescent="0.15">
      <c r="A4231" s="15"/>
      <c r="B4231" s="15"/>
    </row>
    <row r="4232" spans="1:2" x14ac:dyDescent="0.15">
      <c r="A4232" s="15"/>
      <c r="B4232" s="15"/>
    </row>
    <row r="4233" spans="1:2" x14ac:dyDescent="0.15">
      <c r="A4233" s="15"/>
      <c r="B4233" s="15"/>
    </row>
    <row r="4234" spans="1:2" x14ac:dyDescent="0.15">
      <c r="A4234" s="15"/>
      <c r="B4234" s="15"/>
    </row>
    <row r="4235" spans="1:2" x14ac:dyDescent="0.15">
      <c r="A4235" s="15"/>
      <c r="B4235" s="15"/>
    </row>
    <row r="4236" spans="1:2" x14ac:dyDescent="0.15">
      <c r="A4236" s="15"/>
      <c r="B4236" s="15"/>
    </row>
    <row r="4237" spans="1:2" x14ac:dyDescent="0.15">
      <c r="A4237" s="15"/>
      <c r="B4237" s="15"/>
    </row>
    <row r="4238" spans="1:2" x14ac:dyDescent="0.15">
      <c r="A4238" s="15"/>
      <c r="B4238" s="15"/>
    </row>
    <row r="4239" spans="1:2" x14ac:dyDescent="0.15">
      <c r="A4239" s="15"/>
      <c r="B4239" s="15"/>
    </row>
    <row r="4240" spans="1:2" x14ac:dyDescent="0.15">
      <c r="A4240" s="15"/>
      <c r="B4240" s="15"/>
    </row>
    <row r="4241" spans="1:2" x14ac:dyDescent="0.15">
      <c r="A4241" s="15"/>
      <c r="B4241" s="15"/>
    </row>
    <row r="4242" spans="1:2" x14ac:dyDescent="0.15">
      <c r="A4242" s="15"/>
      <c r="B4242" s="15"/>
    </row>
    <row r="4243" spans="1:2" x14ac:dyDescent="0.15">
      <c r="A4243" s="15"/>
      <c r="B4243" s="15"/>
    </row>
    <row r="4244" spans="1:2" x14ac:dyDescent="0.15">
      <c r="A4244" s="15"/>
      <c r="B4244" s="15"/>
    </row>
    <row r="4245" spans="1:2" x14ac:dyDescent="0.15">
      <c r="A4245" s="15"/>
      <c r="B4245" s="15"/>
    </row>
    <row r="4246" spans="1:2" x14ac:dyDescent="0.15">
      <c r="A4246" s="15"/>
      <c r="B4246" s="15"/>
    </row>
    <row r="4247" spans="1:2" x14ac:dyDescent="0.15">
      <c r="A4247" s="15"/>
      <c r="B4247" s="15"/>
    </row>
    <row r="4248" spans="1:2" x14ac:dyDescent="0.15">
      <c r="A4248" s="15"/>
      <c r="B4248" s="15"/>
    </row>
    <row r="4249" spans="1:2" x14ac:dyDescent="0.15">
      <c r="A4249" s="15"/>
      <c r="B4249" s="15"/>
    </row>
    <row r="4250" spans="1:2" x14ac:dyDescent="0.15">
      <c r="A4250" s="15"/>
      <c r="B4250" s="15"/>
    </row>
    <row r="4251" spans="1:2" x14ac:dyDescent="0.15">
      <c r="A4251" s="15"/>
      <c r="B4251" s="15"/>
    </row>
    <row r="4252" spans="1:2" x14ac:dyDescent="0.15">
      <c r="A4252" s="15"/>
      <c r="B4252" s="15"/>
    </row>
    <row r="4253" spans="1:2" x14ac:dyDescent="0.15">
      <c r="A4253" s="15"/>
      <c r="B4253" s="15"/>
    </row>
    <row r="4254" spans="1:2" x14ac:dyDescent="0.15">
      <c r="A4254" s="15"/>
      <c r="B4254" s="15"/>
    </row>
    <row r="4255" spans="1:2" x14ac:dyDescent="0.15">
      <c r="A4255" s="15"/>
      <c r="B4255" s="15"/>
    </row>
    <row r="4256" spans="1:2" x14ac:dyDescent="0.15">
      <c r="A4256" s="15"/>
      <c r="B4256" s="15"/>
    </row>
    <row r="4257" spans="1:2" x14ac:dyDescent="0.15">
      <c r="A4257" s="15"/>
      <c r="B4257" s="15"/>
    </row>
    <row r="4258" spans="1:2" x14ac:dyDescent="0.15">
      <c r="A4258" s="15"/>
      <c r="B4258" s="15"/>
    </row>
    <row r="4259" spans="1:2" x14ac:dyDescent="0.15">
      <c r="A4259" s="15"/>
      <c r="B4259" s="15"/>
    </row>
    <row r="4260" spans="1:2" x14ac:dyDescent="0.15">
      <c r="A4260" s="15"/>
      <c r="B4260" s="15"/>
    </row>
    <row r="4261" spans="1:2" x14ac:dyDescent="0.15">
      <c r="A4261" s="15"/>
      <c r="B4261" s="15"/>
    </row>
    <row r="4262" spans="1:2" x14ac:dyDescent="0.15">
      <c r="A4262" s="15"/>
      <c r="B4262" s="15"/>
    </row>
    <row r="4263" spans="1:2" x14ac:dyDescent="0.15">
      <c r="A4263" s="15"/>
      <c r="B4263" s="15"/>
    </row>
    <row r="4264" spans="1:2" x14ac:dyDescent="0.15">
      <c r="A4264" s="15"/>
      <c r="B4264" s="15"/>
    </row>
    <row r="4265" spans="1:2" x14ac:dyDescent="0.15">
      <c r="A4265" s="15"/>
      <c r="B4265" s="15"/>
    </row>
    <row r="4266" spans="1:2" x14ac:dyDescent="0.15">
      <c r="A4266" s="15"/>
      <c r="B4266" s="15"/>
    </row>
    <row r="4267" spans="1:2" x14ac:dyDescent="0.15">
      <c r="A4267" s="15"/>
      <c r="B4267" s="15"/>
    </row>
    <row r="4268" spans="1:2" x14ac:dyDescent="0.15">
      <c r="A4268" s="15"/>
      <c r="B4268" s="15"/>
    </row>
    <row r="4269" spans="1:2" x14ac:dyDescent="0.15">
      <c r="A4269" s="15"/>
      <c r="B4269" s="15"/>
    </row>
    <row r="4270" spans="1:2" x14ac:dyDescent="0.15">
      <c r="A4270" s="15"/>
      <c r="B4270" s="15"/>
    </row>
    <row r="4271" spans="1:2" x14ac:dyDescent="0.15">
      <c r="A4271" s="15"/>
      <c r="B4271" s="15"/>
    </row>
    <row r="4272" spans="1:2" x14ac:dyDescent="0.15">
      <c r="A4272" s="15"/>
      <c r="B4272" s="15"/>
    </row>
    <row r="4273" spans="1:2" x14ac:dyDescent="0.15">
      <c r="A4273" s="15"/>
      <c r="B4273" s="15"/>
    </row>
    <row r="4274" spans="1:2" x14ac:dyDescent="0.15">
      <c r="A4274" s="15"/>
      <c r="B4274" s="15"/>
    </row>
    <row r="4275" spans="1:2" x14ac:dyDescent="0.15">
      <c r="A4275" s="15"/>
      <c r="B4275" s="15"/>
    </row>
    <row r="4276" spans="1:2" x14ac:dyDescent="0.15">
      <c r="A4276" s="15"/>
      <c r="B4276" s="15"/>
    </row>
    <row r="4277" spans="1:2" x14ac:dyDescent="0.15">
      <c r="A4277" s="15"/>
      <c r="B4277" s="15"/>
    </row>
    <row r="4278" spans="1:2" x14ac:dyDescent="0.15">
      <c r="A4278" s="15"/>
      <c r="B4278" s="15"/>
    </row>
    <row r="4279" spans="1:2" x14ac:dyDescent="0.15">
      <c r="A4279" s="15"/>
      <c r="B4279" s="15"/>
    </row>
    <row r="4280" spans="1:2" x14ac:dyDescent="0.15">
      <c r="A4280" s="15"/>
      <c r="B4280" s="15"/>
    </row>
    <row r="4281" spans="1:2" x14ac:dyDescent="0.15">
      <c r="A4281" s="15"/>
      <c r="B4281" s="15"/>
    </row>
    <row r="4282" spans="1:2" x14ac:dyDescent="0.15">
      <c r="A4282" s="15"/>
      <c r="B4282" s="15"/>
    </row>
    <row r="4283" spans="1:2" x14ac:dyDescent="0.15">
      <c r="A4283" s="15"/>
      <c r="B4283" s="15"/>
    </row>
    <row r="4284" spans="1:2" x14ac:dyDescent="0.15">
      <c r="A4284" s="15"/>
      <c r="B4284" s="15"/>
    </row>
    <row r="4285" spans="1:2" x14ac:dyDescent="0.15">
      <c r="A4285" s="15"/>
      <c r="B4285" s="15"/>
    </row>
    <row r="4286" spans="1:2" x14ac:dyDescent="0.15">
      <c r="A4286" s="15"/>
      <c r="B4286" s="15"/>
    </row>
    <row r="4287" spans="1:2" x14ac:dyDescent="0.15">
      <c r="A4287" s="15"/>
      <c r="B4287" s="15"/>
    </row>
    <row r="4288" spans="1:2" x14ac:dyDescent="0.15">
      <c r="A4288" s="15"/>
      <c r="B4288" s="15"/>
    </row>
    <row r="4289" spans="1:2" x14ac:dyDescent="0.15">
      <c r="A4289" s="15"/>
      <c r="B4289" s="15"/>
    </row>
    <row r="4290" spans="1:2" x14ac:dyDescent="0.15">
      <c r="A4290" s="15"/>
      <c r="B4290" s="15"/>
    </row>
    <row r="4291" spans="1:2" x14ac:dyDescent="0.15">
      <c r="A4291" s="15"/>
      <c r="B4291" s="15"/>
    </row>
    <row r="4292" spans="1:2" x14ac:dyDescent="0.15">
      <c r="A4292" s="15"/>
      <c r="B4292" s="15"/>
    </row>
    <row r="4293" spans="1:2" x14ac:dyDescent="0.15">
      <c r="A4293" s="15"/>
      <c r="B4293" s="15"/>
    </row>
    <row r="4294" spans="1:2" x14ac:dyDescent="0.15">
      <c r="A4294" s="15"/>
      <c r="B4294" s="15"/>
    </row>
    <row r="4295" spans="1:2" x14ac:dyDescent="0.15">
      <c r="A4295" s="15"/>
      <c r="B4295" s="15"/>
    </row>
    <row r="4296" spans="1:2" x14ac:dyDescent="0.15">
      <c r="A4296" s="15"/>
      <c r="B4296" s="15"/>
    </row>
    <row r="4297" spans="1:2" x14ac:dyDescent="0.15">
      <c r="A4297" s="15"/>
      <c r="B4297" s="15"/>
    </row>
    <row r="4298" spans="1:2" x14ac:dyDescent="0.15">
      <c r="A4298" s="15"/>
      <c r="B4298" s="15"/>
    </row>
    <row r="4299" spans="1:2" x14ac:dyDescent="0.15">
      <c r="A4299" s="15"/>
      <c r="B4299" s="15"/>
    </row>
    <row r="4300" spans="1:2" x14ac:dyDescent="0.15">
      <c r="A4300" s="15"/>
      <c r="B4300" s="15"/>
    </row>
    <row r="4301" spans="1:2" x14ac:dyDescent="0.15">
      <c r="A4301" s="15"/>
      <c r="B4301" s="15"/>
    </row>
    <row r="4302" spans="1:2" x14ac:dyDescent="0.15">
      <c r="A4302" s="15"/>
      <c r="B4302" s="15"/>
    </row>
    <row r="4303" spans="1:2" x14ac:dyDescent="0.15">
      <c r="A4303" s="15"/>
      <c r="B4303" s="15"/>
    </row>
    <row r="4304" spans="1:2" x14ac:dyDescent="0.15">
      <c r="A4304" s="15"/>
      <c r="B4304" s="15"/>
    </row>
    <row r="4305" spans="1:2" x14ac:dyDescent="0.15">
      <c r="A4305" s="15"/>
      <c r="B4305" s="15"/>
    </row>
    <row r="4306" spans="1:2" x14ac:dyDescent="0.15">
      <c r="A4306" s="15"/>
      <c r="B4306" s="15"/>
    </row>
    <row r="4307" spans="1:2" x14ac:dyDescent="0.15">
      <c r="A4307" s="15"/>
      <c r="B4307" s="15"/>
    </row>
    <row r="4308" spans="1:2" x14ac:dyDescent="0.15">
      <c r="A4308" s="15"/>
      <c r="B4308" s="15"/>
    </row>
    <row r="4309" spans="1:2" x14ac:dyDescent="0.15">
      <c r="A4309" s="15"/>
      <c r="B4309" s="15"/>
    </row>
    <row r="4310" spans="1:2" x14ac:dyDescent="0.15">
      <c r="A4310" s="15"/>
      <c r="B4310" s="15"/>
    </row>
    <row r="4311" spans="1:2" x14ac:dyDescent="0.15">
      <c r="A4311" s="15"/>
      <c r="B4311" s="15"/>
    </row>
    <row r="4312" spans="1:2" x14ac:dyDescent="0.15">
      <c r="A4312" s="15"/>
      <c r="B4312" s="15"/>
    </row>
    <row r="4313" spans="1:2" x14ac:dyDescent="0.15">
      <c r="A4313" s="15"/>
      <c r="B4313" s="15"/>
    </row>
    <row r="4314" spans="1:2" x14ac:dyDescent="0.15">
      <c r="A4314" s="15"/>
      <c r="B4314" s="15"/>
    </row>
    <row r="4315" spans="1:2" x14ac:dyDescent="0.15">
      <c r="A4315" s="15"/>
      <c r="B4315" s="15"/>
    </row>
    <row r="4316" spans="1:2" x14ac:dyDescent="0.15">
      <c r="A4316" s="15"/>
      <c r="B4316" s="15"/>
    </row>
    <row r="4317" spans="1:2" x14ac:dyDescent="0.15">
      <c r="A4317" s="15"/>
      <c r="B4317" s="15"/>
    </row>
    <row r="4318" spans="1:2" x14ac:dyDescent="0.15">
      <c r="A4318" s="15"/>
      <c r="B4318" s="15"/>
    </row>
    <row r="4319" spans="1:2" x14ac:dyDescent="0.15">
      <c r="A4319" s="15"/>
      <c r="B4319" s="15"/>
    </row>
    <row r="4320" spans="1:2" x14ac:dyDescent="0.15">
      <c r="A4320" s="15"/>
      <c r="B4320" s="15"/>
    </row>
    <row r="4321" spans="1:2" x14ac:dyDescent="0.15">
      <c r="A4321" s="15"/>
      <c r="B4321" s="15"/>
    </row>
    <row r="4322" spans="1:2" x14ac:dyDescent="0.15">
      <c r="A4322" s="15"/>
      <c r="B4322" s="15"/>
    </row>
    <row r="4323" spans="1:2" x14ac:dyDescent="0.15">
      <c r="A4323" s="15"/>
      <c r="B4323" s="15"/>
    </row>
    <row r="4324" spans="1:2" x14ac:dyDescent="0.15">
      <c r="A4324" s="15"/>
      <c r="B4324" s="15"/>
    </row>
    <row r="4325" spans="1:2" x14ac:dyDescent="0.15">
      <c r="A4325" s="15"/>
      <c r="B4325" s="15"/>
    </row>
    <row r="4326" spans="1:2" x14ac:dyDescent="0.15">
      <c r="A4326" s="15"/>
      <c r="B4326" s="15"/>
    </row>
    <row r="4327" spans="1:2" x14ac:dyDescent="0.15">
      <c r="A4327" s="15"/>
      <c r="B4327" s="15"/>
    </row>
    <row r="4328" spans="1:2" x14ac:dyDescent="0.15">
      <c r="A4328" s="15"/>
      <c r="B4328" s="15"/>
    </row>
    <row r="4329" spans="1:2" x14ac:dyDescent="0.15">
      <c r="A4329" s="15"/>
      <c r="B4329" s="15"/>
    </row>
    <row r="4330" spans="1:2" x14ac:dyDescent="0.15">
      <c r="A4330" s="15"/>
      <c r="B4330" s="15"/>
    </row>
    <row r="4331" spans="1:2" x14ac:dyDescent="0.15">
      <c r="A4331" s="15"/>
      <c r="B4331" s="15"/>
    </row>
    <row r="4332" spans="1:2" x14ac:dyDescent="0.15">
      <c r="A4332" s="15"/>
      <c r="B4332" s="15"/>
    </row>
    <row r="4333" spans="1:2" x14ac:dyDescent="0.15">
      <c r="A4333" s="15"/>
      <c r="B4333" s="15"/>
    </row>
    <row r="4334" spans="1:2" x14ac:dyDescent="0.15">
      <c r="A4334" s="15"/>
      <c r="B4334" s="15"/>
    </row>
    <row r="4335" spans="1:2" x14ac:dyDescent="0.15">
      <c r="A4335" s="15"/>
      <c r="B4335" s="15"/>
    </row>
    <row r="4336" spans="1:2" x14ac:dyDescent="0.15">
      <c r="A4336" s="15"/>
      <c r="B4336" s="15"/>
    </row>
    <row r="4337" spans="1:2" x14ac:dyDescent="0.15">
      <c r="A4337" s="15"/>
      <c r="B4337" s="15"/>
    </row>
    <row r="4338" spans="1:2" x14ac:dyDescent="0.15">
      <c r="A4338" s="15"/>
      <c r="B4338" s="15"/>
    </row>
    <row r="4339" spans="1:2" x14ac:dyDescent="0.15">
      <c r="A4339" s="15"/>
      <c r="B4339" s="15"/>
    </row>
    <row r="4340" spans="1:2" x14ac:dyDescent="0.15">
      <c r="A4340" s="15"/>
      <c r="B4340" s="15"/>
    </row>
    <row r="4341" spans="1:2" x14ac:dyDescent="0.15">
      <c r="A4341" s="15"/>
      <c r="B4341" s="15"/>
    </row>
    <row r="4342" spans="1:2" x14ac:dyDescent="0.15">
      <c r="A4342" s="15"/>
      <c r="B4342" s="15"/>
    </row>
    <row r="4343" spans="1:2" x14ac:dyDescent="0.15">
      <c r="A4343" s="15"/>
      <c r="B4343" s="15"/>
    </row>
    <row r="4344" spans="1:2" x14ac:dyDescent="0.15">
      <c r="A4344" s="15"/>
      <c r="B4344" s="15"/>
    </row>
    <row r="4345" spans="1:2" x14ac:dyDescent="0.15">
      <c r="A4345" s="15"/>
      <c r="B4345" s="15"/>
    </row>
    <row r="4346" spans="1:2" x14ac:dyDescent="0.15">
      <c r="A4346" s="15"/>
      <c r="B4346" s="15"/>
    </row>
    <row r="4347" spans="1:2" x14ac:dyDescent="0.15">
      <c r="A4347" s="15"/>
      <c r="B4347" s="15"/>
    </row>
    <row r="4348" spans="1:2" x14ac:dyDescent="0.15">
      <c r="A4348" s="15"/>
      <c r="B4348" s="15"/>
    </row>
    <row r="4349" spans="1:2" x14ac:dyDescent="0.15">
      <c r="A4349" s="15"/>
      <c r="B4349" s="15"/>
    </row>
    <row r="4350" spans="1:2" x14ac:dyDescent="0.15">
      <c r="A4350" s="15"/>
      <c r="B4350" s="15"/>
    </row>
    <row r="4351" spans="1:2" x14ac:dyDescent="0.15">
      <c r="A4351" s="15"/>
      <c r="B4351" s="15"/>
    </row>
    <row r="4352" spans="1:2" x14ac:dyDescent="0.15">
      <c r="A4352" s="15"/>
      <c r="B4352" s="15"/>
    </row>
    <row r="4353" spans="1:2" x14ac:dyDescent="0.15">
      <c r="A4353" s="15"/>
      <c r="B4353" s="15"/>
    </row>
    <row r="4354" spans="1:2" x14ac:dyDescent="0.15">
      <c r="A4354" s="15"/>
      <c r="B4354" s="15"/>
    </row>
    <row r="4355" spans="1:2" x14ac:dyDescent="0.15">
      <c r="A4355" s="15"/>
      <c r="B4355" s="15"/>
    </row>
    <row r="4356" spans="1:2" x14ac:dyDescent="0.15">
      <c r="A4356" s="15"/>
      <c r="B4356" s="15"/>
    </row>
    <row r="4357" spans="1:2" x14ac:dyDescent="0.15">
      <c r="A4357" s="15"/>
      <c r="B4357" s="15"/>
    </row>
    <row r="4358" spans="1:2" x14ac:dyDescent="0.15">
      <c r="A4358" s="15"/>
      <c r="B4358" s="15"/>
    </row>
    <row r="4359" spans="1:2" x14ac:dyDescent="0.15">
      <c r="A4359" s="15"/>
      <c r="B4359" s="15"/>
    </row>
    <row r="4360" spans="1:2" x14ac:dyDescent="0.15">
      <c r="A4360" s="15"/>
      <c r="B4360" s="15"/>
    </row>
    <row r="4361" spans="1:2" x14ac:dyDescent="0.15">
      <c r="A4361" s="15"/>
      <c r="B4361" s="15"/>
    </row>
    <row r="4362" spans="1:2" x14ac:dyDescent="0.15">
      <c r="A4362" s="15"/>
      <c r="B4362" s="15"/>
    </row>
    <row r="4363" spans="1:2" x14ac:dyDescent="0.15">
      <c r="A4363" s="15"/>
      <c r="B4363" s="15"/>
    </row>
    <row r="4364" spans="1:2" x14ac:dyDescent="0.15">
      <c r="A4364" s="15"/>
      <c r="B4364" s="15"/>
    </row>
    <row r="4365" spans="1:2" x14ac:dyDescent="0.15">
      <c r="A4365" s="15"/>
      <c r="B4365" s="15"/>
    </row>
    <row r="4366" spans="1:2" x14ac:dyDescent="0.15">
      <c r="A4366" s="15"/>
      <c r="B4366" s="15"/>
    </row>
    <row r="4367" spans="1:2" x14ac:dyDescent="0.15">
      <c r="A4367" s="15"/>
      <c r="B4367" s="15"/>
    </row>
    <row r="4368" spans="1:2" x14ac:dyDescent="0.15">
      <c r="A4368" s="15"/>
      <c r="B4368" s="15"/>
    </row>
    <row r="4369" spans="1:2" x14ac:dyDescent="0.15">
      <c r="A4369" s="15"/>
      <c r="B4369" s="15"/>
    </row>
    <row r="4370" spans="1:2" x14ac:dyDescent="0.15">
      <c r="A4370" s="15"/>
      <c r="B4370" s="15"/>
    </row>
    <row r="4371" spans="1:2" x14ac:dyDescent="0.15">
      <c r="A4371" s="15"/>
      <c r="B4371" s="15"/>
    </row>
    <row r="4372" spans="1:2" x14ac:dyDescent="0.15">
      <c r="A4372" s="15"/>
      <c r="B4372" s="15"/>
    </row>
    <row r="4373" spans="1:2" x14ac:dyDescent="0.15">
      <c r="A4373" s="15"/>
      <c r="B4373" s="15"/>
    </row>
    <row r="4374" spans="1:2" x14ac:dyDescent="0.15">
      <c r="A4374" s="15"/>
      <c r="B4374" s="15"/>
    </row>
    <row r="4375" spans="1:2" x14ac:dyDescent="0.15">
      <c r="A4375" s="15"/>
      <c r="B4375" s="15"/>
    </row>
    <row r="4376" spans="1:2" x14ac:dyDescent="0.15">
      <c r="A4376" s="15"/>
      <c r="B4376" s="15"/>
    </row>
    <row r="4377" spans="1:2" x14ac:dyDescent="0.15">
      <c r="A4377" s="15"/>
      <c r="B4377" s="15"/>
    </row>
    <row r="4378" spans="1:2" x14ac:dyDescent="0.15">
      <c r="A4378" s="15"/>
      <c r="B4378" s="15"/>
    </row>
    <row r="4379" spans="1:2" x14ac:dyDescent="0.15">
      <c r="A4379" s="15"/>
      <c r="B4379" s="15"/>
    </row>
    <row r="4380" spans="1:2" x14ac:dyDescent="0.15">
      <c r="A4380" s="15"/>
      <c r="B4380" s="15"/>
    </row>
    <row r="4381" spans="1:2" x14ac:dyDescent="0.15">
      <c r="A4381" s="15"/>
      <c r="B4381" s="15"/>
    </row>
    <row r="4382" spans="1:2" x14ac:dyDescent="0.15">
      <c r="A4382" s="15"/>
      <c r="B4382" s="15"/>
    </row>
    <row r="4383" spans="1:2" x14ac:dyDescent="0.15">
      <c r="A4383" s="15"/>
      <c r="B4383" s="15"/>
    </row>
    <row r="4384" spans="1:2" x14ac:dyDescent="0.15">
      <c r="A4384" s="15"/>
      <c r="B4384" s="15"/>
    </row>
    <row r="4385" spans="1:2" x14ac:dyDescent="0.15">
      <c r="A4385" s="15"/>
      <c r="B4385" s="15"/>
    </row>
    <row r="4386" spans="1:2" x14ac:dyDescent="0.15">
      <c r="A4386" s="15"/>
      <c r="B4386" s="15"/>
    </row>
    <row r="4387" spans="1:2" x14ac:dyDescent="0.15">
      <c r="A4387" s="15"/>
      <c r="B4387" s="15"/>
    </row>
    <row r="4388" spans="1:2" x14ac:dyDescent="0.15">
      <c r="A4388" s="15"/>
      <c r="B4388" s="15"/>
    </row>
    <row r="4389" spans="1:2" x14ac:dyDescent="0.15">
      <c r="A4389" s="15"/>
      <c r="B4389" s="15"/>
    </row>
    <row r="4390" spans="1:2" x14ac:dyDescent="0.15">
      <c r="A4390" s="15"/>
      <c r="B4390" s="15"/>
    </row>
    <row r="4391" spans="1:2" x14ac:dyDescent="0.15">
      <c r="A4391" s="15"/>
      <c r="B4391" s="15"/>
    </row>
    <row r="4392" spans="1:2" x14ac:dyDescent="0.15">
      <c r="A4392" s="15"/>
      <c r="B4392" s="15"/>
    </row>
    <row r="4393" spans="1:2" x14ac:dyDescent="0.15">
      <c r="A4393" s="15"/>
      <c r="B4393" s="15"/>
    </row>
    <row r="4394" spans="1:2" x14ac:dyDescent="0.15">
      <c r="A4394" s="15"/>
      <c r="B4394" s="15"/>
    </row>
    <row r="4395" spans="1:2" x14ac:dyDescent="0.15">
      <c r="A4395" s="15"/>
      <c r="B4395" s="15"/>
    </row>
    <row r="4396" spans="1:2" x14ac:dyDescent="0.15">
      <c r="A4396" s="15"/>
      <c r="B4396" s="15"/>
    </row>
    <row r="4397" spans="1:2" x14ac:dyDescent="0.15">
      <c r="A4397" s="15"/>
      <c r="B4397" s="15"/>
    </row>
    <row r="4398" spans="1:2" x14ac:dyDescent="0.15">
      <c r="A4398" s="15"/>
      <c r="B4398" s="15"/>
    </row>
    <row r="4399" spans="1:2" x14ac:dyDescent="0.15">
      <c r="A4399" s="15"/>
      <c r="B4399" s="15"/>
    </row>
    <row r="4400" spans="1:2" x14ac:dyDescent="0.15">
      <c r="A4400" s="15"/>
      <c r="B4400" s="15"/>
    </row>
    <row r="4401" spans="1:2" x14ac:dyDescent="0.15">
      <c r="A4401" s="15"/>
      <c r="B4401" s="15"/>
    </row>
    <row r="4402" spans="1:2" x14ac:dyDescent="0.15">
      <c r="A4402" s="15"/>
      <c r="B4402" s="15"/>
    </row>
    <row r="4403" spans="1:2" x14ac:dyDescent="0.15">
      <c r="A4403" s="15"/>
      <c r="B4403" s="15"/>
    </row>
    <row r="4404" spans="1:2" x14ac:dyDescent="0.15">
      <c r="A4404" s="15"/>
      <c r="B4404" s="15"/>
    </row>
    <row r="4405" spans="1:2" x14ac:dyDescent="0.15">
      <c r="A4405" s="15"/>
      <c r="B4405" s="15"/>
    </row>
    <row r="4406" spans="1:2" x14ac:dyDescent="0.15">
      <c r="A4406" s="15"/>
      <c r="B4406" s="15"/>
    </row>
    <row r="4407" spans="1:2" x14ac:dyDescent="0.15">
      <c r="A4407" s="15"/>
      <c r="B4407" s="15"/>
    </row>
    <row r="4408" spans="1:2" x14ac:dyDescent="0.15">
      <c r="A4408" s="15"/>
      <c r="B4408" s="15"/>
    </row>
    <row r="4409" spans="1:2" x14ac:dyDescent="0.15">
      <c r="A4409" s="15"/>
      <c r="B4409" s="15"/>
    </row>
    <row r="4410" spans="1:2" x14ac:dyDescent="0.15">
      <c r="A4410" s="15"/>
      <c r="B4410" s="15"/>
    </row>
    <row r="4411" spans="1:2" x14ac:dyDescent="0.15">
      <c r="A4411" s="15"/>
      <c r="B4411" s="15"/>
    </row>
    <row r="4412" spans="1:2" x14ac:dyDescent="0.15">
      <c r="A4412" s="15"/>
      <c r="B4412" s="15"/>
    </row>
    <row r="4413" spans="1:2" x14ac:dyDescent="0.15">
      <c r="A4413" s="15"/>
      <c r="B4413" s="15"/>
    </row>
    <row r="4414" spans="1:2" x14ac:dyDescent="0.15">
      <c r="A4414" s="15"/>
      <c r="B4414" s="15"/>
    </row>
    <row r="4415" spans="1:2" x14ac:dyDescent="0.15">
      <c r="A4415" s="15"/>
      <c r="B4415" s="15"/>
    </row>
    <row r="4416" spans="1:2" x14ac:dyDescent="0.15">
      <c r="A4416" s="15"/>
      <c r="B4416" s="15"/>
    </row>
    <row r="4417" spans="1:2" x14ac:dyDescent="0.15">
      <c r="A4417" s="15"/>
      <c r="B4417" s="15"/>
    </row>
    <row r="4418" spans="1:2" x14ac:dyDescent="0.15">
      <c r="A4418" s="15"/>
      <c r="B4418" s="15"/>
    </row>
    <row r="4419" spans="1:2" x14ac:dyDescent="0.15">
      <c r="A4419" s="15"/>
      <c r="B4419" s="15"/>
    </row>
    <row r="4420" spans="1:2" x14ac:dyDescent="0.15">
      <c r="A4420" s="15"/>
      <c r="B4420" s="15"/>
    </row>
    <row r="4421" spans="1:2" x14ac:dyDescent="0.15">
      <c r="A4421" s="15"/>
      <c r="B4421" s="15"/>
    </row>
    <row r="4422" spans="1:2" x14ac:dyDescent="0.15">
      <c r="A4422" s="15"/>
      <c r="B4422" s="15"/>
    </row>
    <row r="4423" spans="1:2" x14ac:dyDescent="0.15">
      <c r="A4423" s="15"/>
      <c r="B4423" s="15"/>
    </row>
    <row r="4424" spans="1:2" x14ac:dyDescent="0.15">
      <c r="A4424" s="15"/>
      <c r="B4424" s="15"/>
    </row>
    <row r="4425" spans="1:2" x14ac:dyDescent="0.15">
      <c r="A4425" s="15"/>
      <c r="B4425" s="15"/>
    </row>
    <row r="4426" spans="1:2" x14ac:dyDescent="0.15">
      <c r="A4426" s="15"/>
      <c r="B4426" s="15"/>
    </row>
    <row r="4427" spans="1:2" x14ac:dyDescent="0.15">
      <c r="A4427" s="15"/>
      <c r="B4427" s="15"/>
    </row>
    <row r="4428" spans="1:2" x14ac:dyDescent="0.15">
      <c r="A4428" s="15"/>
      <c r="B4428" s="15"/>
    </row>
    <row r="4429" spans="1:2" x14ac:dyDescent="0.15">
      <c r="A4429" s="15"/>
      <c r="B4429" s="15"/>
    </row>
    <row r="4430" spans="1:2" x14ac:dyDescent="0.15">
      <c r="A4430" s="15"/>
      <c r="B4430" s="15"/>
    </row>
    <row r="4431" spans="1:2" x14ac:dyDescent="0.15">
      <c r="A4431" s="15"/>
      <c r="B4431" s="15"/>
    </row>
    <row r="4432" spans="1:2" x14ac:dyDescent="0.15">
      <c r="A4432" s="15"/>
      <c r="B4432" s="15"/>
    </row>
    <row r="4433" spans="1:2" x14ac:dyDescent="0.15">
      <c r="A4433" s="15"/>
      <c r="B4433" s="15"/>
    </row>
    <row r="4434" spans="1:2" x14ac:dyDescent="0.15">
      <c r="A4434" s="15"/>
      <c r="B4434" s="15"/>
    </row>
    <row r="4435" spans="1:2" x14ac:dyDescent="0.15">
      <c r="A4435" s="15"/>
      <c r="B4435" s="15"/>
    </row>
    <row r="4436" spans="1:2" x14ac:dyDescent="0.15">
      <c r="A4436" s="15"/>
      <c r="B4436" s="15"/>
    </row>
    <row r="4437" spans="1:2" x14ac:dyDescent="0.15">
      <c r="A4437" s="15"/>
      <c r="B4437" s="15"/>
    </row>
    <row r="4438" spans="1:2" x14ac:dyDescent="0.15">
      <c r="A4438" s="15"/>
      <c r="B4438" s="15"/>
    </row>
    <row r="4439" spans="1:2" x14ac:dyDescent="0.15">
      <c r="A4439" s="15"/>
      <c r="B4439" s="15"/>
    </row>
    <row r="4440" spans="1:2" x14ac:dyDescent="0.15">
      <c r="A4440" s="15"/>
      <c r="B4440" s="15"/>
    </row>
    <row r="4441" spans="1:2" x14ac:dyDescent="0.15">
      <c r="A4441" s="15"/>
      <c r="B4441" s="15"/>
    </row>
    <row r="4442" spans="1:2" x14ac:dyDescent="0.15">
      <c r="A4442" s="15"/>
      <c r="B4442" s="15"/>
    </row>
    <row r="4443" spans="1:2" x14ac:dyDescent="0.15">
      <c r="A4443" s="15"/>
      <c r="B4443" s="15"/>
    </row>
    <row r="4444" spans="1:2" x14ac:dyDescent="0.15">
      <c r="A4444" s="15"/>
      <c r="B4444" s="15"/>
    </row>
    <row r="4445" spans="1:2" x14ac:dyDescent="0.15">
      <c r="A4445" s="15"/>
      <c r="B4445" s="15"/>
    </row>
    <row r="4446" spans="1:2" x14ac:dyDescent="0.15">
      <c r="A4446" s="15"/>
      <c r="B4446" s="15"/>
    </row>
    <row r="4447" spans="1:2" x14ac:dyDescent="0.15">
      <c r="A4447" s="15"/>
      <c r="B4447" s="15"/>
    </row>
    <row r="4448" spans="1:2" x14ac:dyDescent="0.15">
      <c r="A4448" s="15"/>
      <c r="B4448" s="15"/>
    </row>
    <row r="4449" spans="1:2" x14ac:dyDescent="0.15">
      <c r="A4449" s="15"/>
      <c r="B4449" s="15"/>
    </row>
    <row r="4450" spans="1:2" x14ac:dyDescent="0.15">
      <c r="A4450" s="15"/>
      <c r="B4450" s="15"/>
    </row>
    <row r="4451" spans="1:2" x14ac:dyDescent="0.15">
      <c r="A4451" s="15"/>
      <c r="B4451" s="15"/>
    </row>
    <row r="4452" spans="1:2" x14ac:dyDescent="0.15">
      <c r="A4452" s="15"/>
      <c r="B4452" s="15"/>
    </row>
    <row r="4453" spans="1:2" x14ac:dyDescent="0.15">
      <c r="A4453" s="15"/>
      <c r="B4453" s="15"/>
    </row>
    <row r="4454" spans="1:2" x14ac:dyDescent="0.15">
      <c r="A4454" s="15"/>
      <c r="B4454" s="15"/>
    </row>
    <row r="4455" spans="1:2" x14ac:dyDescent="0.15">
      <c r="A4455" s="15"/>
      <c r="B4455" s="15"/>
    </row>
    <row r="4456" spans="1:2" x14ac:dyDescent="0.15">
      <c r="A4456" s="15"/>
      <c r="B4456" s="15"/>
    </row>
    <row r="4457" spans="1:2" x14ac:dyDescent="0.15">
      <c r="A4457" s="15"/>
      <c r="B4457" s="15"/>
    </row>
    <row r="4458" spans="1:2" x14ac:dyDescent="0.15">
      <c r="A4458" s="15"/>
      <c r="B4458" s="15"/>
    </row>
    <row r="4459" spans="1:2" x14ac:dyDescent="0.15">
      <c r="A4459" s="15"/>
      <c r="B4459" s="15"/>
    </row>
    <row r="4460" spans="1:2" x14ac:dyDescent="0.15">
      <c r="A4460" s="15"/>
      <c r="B4460" s="15"/>
    </row>
    <row r="4461" spans="1:2" x14ac:dyDescent="0.15">
      <c r="A4461" s="15"/>
      <c r="B4461" s="15"/>
    </row>
    <row r="4462" spans="1:2" x14ac:dyDescent="0.15">
      <c r="A4462" s="15"/>
      <c r="B4462" s="15"/>
    </row>
    <row r="4463" spans="1:2" x14ac:dyDescent="0.15">
      <c r="A4463" s="15"/>
      <c r="B4463" s="15"/>
    </row>
    <row r="4464" spans="1:2" x14ac:dyDescent="0.15">
      <c r="A4464" s="15"/>
      <c r="B4464" s="15"/>
    </row>
    <row r="4465" spans="1:2" x14ac:dyDescent="0.15">
      <c r="A4465" s="15"/>
      <c r="B4465" s="15"/>
    </row>
    <row r="4466" spans="1:2" x14ac:dyDescent="0.15">
      <c r="A4466" s="15"/>
      <c r="B4466" s="15"/>
    </row>
    <row r="4467" spans="1:2" x14ac:dyDescent="0.15">
      <c r="A4467" s="15"/>
      <c r="B4467" s="15"/>
    </row>
    <row r="4468" spans="1:2" x14ac:dyDescent="0.15">
      <c r="A4468" s="15"/>
      <c r="B4468" s="15"/>
    </row>
    <row r="4469" spans="1:2" x14ac:dyDescent="0.15">
      <c r="A4469" s="15"/>
      <c r="B4469" s="15"/>
    </row>
    <row r="4470" spans="1:2" x14ac:dyDescent="0.15">
      <c r="A4470" s="15"/>
      <c r="B4470" s="15"/>
    </row>
    <row r="4471" spans="1:2" x14ac:dyDescent="0.15">
      <c r="A4471" s="15"/>
      <c r="B4471" s="15"/>
    </row>
    <row r="4472" spans="1:2" x14ac:dyDescent="0.15">
      <c r="A4472" s="15"/>
      <c r="B4472" s="15"/>
    </row>
    <row r="4473" spans="1:2" x14ac:dyDescent="0.15">
      <c r="A4473" s="15"/>
      <c r="B4473" s="15"/>
    </row>
    <row r="4474" spans="1:2" x14ac:dyDescent="0.15">
      <c r="A4474" s="15"/>
      <c r="B4474" s="15"/>
    </row>
    <row r="4475" spans="1:2" x14ac:dyDescent="0.15">
      <c r="A4475" s="15"/>
      <c r="B4475" s="15"/>
    </row>
    <row r="4476" spans="1:2" x14ac:dyDescent="0.15">
      <c r="A4476" s="15"/>
      <c r="B4476" s="15"/>
    </row>
    <row r="4477" spans="1:2" x14ac:dyDescent="0.15">
      <c r="A4477" s="15"/>
      <c r="B4477" s="15"/>
    </row>
    <row r="4478" spans="1:2" x14ac:dyDescent="0.15">
      <c r="A4478" s="15"/>
      <c r="B4478" s="15"/>
    </row>
    <row r="4479" spans="1:2" x14ac:dyDescent="0.15">
      <c r="A4479" s="15"/>
      <c r="B4479" s="15"/>
    </row>
    <row r="4480" spans="1:2" x14ac:dyDescent="0.15">
      <c r="A4480" s="15"/>
      <c r="B4480" s="15"/>
    </row>
    <row r="4481" spans="1:2" x14ac:dyDescent="0.15">
      <c r="A4481" s="15"/>
      <c r="B4481" s="15"/>
    </row>
    <row r="4482" spans="1:2" x14ac:dyDescent="0.15">
      <c r="A4482" s="15"/>
      <c r="B4482" s="15"/>
    </row>
    <row r="4483" spans="1:2" x14ac:dyDescent="0.15">
      <c r="A4483" s="15"/>
      <c r="B4483" s="15"/>
    </row>
    <row r="4484" spans="1:2" x14ac:dyDescent="0.15">
      <c r="A4484" s="15"/>
      <c r="B4484" s="15"/>
    </row>
    <row r="4485" spans="1:2" x14ac:dyDescent="0.15">
      <c r="A4485" s="15"/>
      <c r="B4485" s="15"/>
    </row>
    <row r="4486" spans="1:2" x14ac:dyDescent="0.15">
      <c r="A4486" s="15"/>
      <c r="B4486" s="15"/>
    </row>
    <row r="4487" spans="1:2" x14ac:dyDescent="0.15">
      <c r="A4487" s="15"/>
      <c r="B4487" s="15"/>
    </row>
    <row r="4488" spans="1:2" x14ac:dyDescent="0.15">
      <c r="A4488" s="15"/>
      <c r="B4488" s="15"/>
    </row>
    <row r="4489" spans="1:2" x14ac:dyDescent="0.15">
      <c r="A4489" s="15"/>
      <c r="B4489" s="15"/>
    </row>
    <row r="4490" spans="1:2" x14ac:dyDescent="0.15">
      <c r="A4490" s="15"/>
      <c r="B4490" s="15"/>
    </row>
    <row r="4491" spans="1:2" x14ac:dyDescent="0.15">
      <c r="A4491" s="15"/>
      <c r="B4491" s="15"/>
    </row>
    <row r="4492" spans="1:2" x14ac:dyDescent="0.15">
      <c r="A4492" s="15"/>
      <c r="B4492" s="15"/>
    </row>
    <row r="4493" spans="1:2" x14ac:dyDescent="0.15">
      <c r="A4493" s="15"/>
      <c r="B4493" s="15"/>
    </row>
    <row r="4494" spans="1:2" x14ac:dyDescent="0.15">
      <c r="A4494" s="15"/>
      <c r="B4494" s="15"/>
    </row>
    <row r="4495" spans="1:2" x14ac:dyDescent="0.15">
      <c r="A4495" s="15"/>
      <c r="B4495" s="15"/>
    </row>
    <row r="4496" spans="1:2" x14ac:dyDescent="0.15">
      <c r="A4496" s="15"/>
      <c r="B4496" s="15"/>
    </row>
    <row r="4497" spans="1:2" x14ac:dyDescent="0.15">
      <c r="A4497" s="15"/>
      <c r="B4497" s="15"/>
    </row>
    <row r="4498" spans="1:2" x14ac:dyDescent="0.15">
      <c r="A4498" s="15"/>
      <c r="B4498" s="15"/>
    </row>
    <row r="4499" spans="1:2" x14ac:dyDescent="0.15">
      <c r="A4499" s="15"/>
      <c r="B4499" s="15"/>
    </row>
    <row r="4500" spans="1:2" x14ac:dyDescent="0.15">
      <c r="A4500" s="15"/>
      <c r="B4500" s="15"/>
    </row>
    <row r="4501" spans="1:2" x14ac:dyDescent="0.15">
      <c r="A4501" s="15"/>
      <c r="B4501" s="15"/>
    </row>
    <row r="4502" spans="1:2" x14ac:dyDescent="0.15">
      <c r="A4502" s="15"/>
      <c r="B4502" s="15"/>
    </row>
    <row r="4503" spans="1:2" x14ac:dyDescent="0.15">
      <c r="A4503" s="15"/>
      <c r="B4503" s="15"/>
    </row>
    <row r="4504" spans="1:2" x14ac:dyDescent="0.15">
      <c r="A4504" s="15"/>
      <c r="B4504" s="15"/>
    </row>
    <row r="4505" spans="1:2" x14ac:dyDescent="0.15">
      <c r="A4505" s="15"/>
      <c r="B4505" s="15"/>
    </row>
    <row r="4506" spans="1:2" x14ac:dyDescent="0.15">
      <c r="A4506" s="15"/>
      <c r="B4506" s="15"/>
    </row>
    <row r="4507" spans="1:2" x14ac:dyDescent="0.15">
      <c r="A4507" s="15"/>
      <c r="B4507" s="15"/>
    </row>
    <row r="4508" spans="1:2" x14ac:dyDescent="0.15">
      <c r="A4508" s="15"/>
      <c r="B4508" s="15"/>
    </row>
    <row r="4509" spans="1:2" x14ac:dyDescent="0.15">
      <c r="A4509" s="15"/>
      <c r="B4509" s="15"/>
    </row>
    <row r="4510" spans="1:2" x14ac:dyDescent="0.15">
      <c r="A4510" s="15"/>
      <c r="B4510" s="15"/>
    </row>
    <row r="4511" spans="1:2" x14ac:dyDescent="0.15">
      <c r="A4511" s="15"/>
      <c r="B4511" s="15"/>
    </row>
    <row r="4512" spans="1:2" x14ac:dyDescent="0.15">
      <c r="A4512" s="15"/>
      <c r="B4512" s="15"/>
    </row>
    <row r="4513" spans="1:2" x14ac:dyDescent="0.15">
      <c r="A4513" s="15"/>
      <c r="B4513" s="15"/>
    </row>
    <row r="4514" spans="1:2" x14ac:dyDescent="0.15">
      <c r="A4514" s="15"/>
      <c r="B4514" s="15"/>
    </row>
    <row r="4515" spans="1:2" x14ac:dyDescent="0.15">
      <c r="A4515" s="15"/>
      <c r="B4515" s="15"/>
    </row>
    <row r="4516" spans="1:2" x14ac:dyDescent="0.15">
      <c r="A4516" s="15"/>
      <c r="B4516" s="15"/>
    </row>
    <row r="4517" spans="1:2" x14ac:dyDescent="0.15">
      <c r="A4517" s="15"/>
      <c r="B4517" s="15"/>
    </row>
    <row r="4518" spans="1:2" x14ac:dyDescent="0.15">
      <c r="A4518" s="15"/>
      <c r="B4518" s="15"/>
    </row>
    <row r="4519" spans="1:2" x14ac:dyDescent="0.15">
      <c r="A4519" s="15"/>
      <c r="B4519" s="15"/>
    </row>
    <row r="4520" spans="1:2" x14ac:dyDescent="0.15">
      <c r="A4520" s="15"/>
      <c r="B4520" s="15"/>
    </row>
    <row r="4521" spans="1:2" x14ac:dyDescent="0.15">
      <c r="A4521" s="15"/>
      <c r="B4521" s="15"/>
    </row>
    <row r="4522" spans="1:2" x14ac:dyDescent="0.15">
      <c r="A4522" s="15"/>
      <c r="B4522" s="15"/>
    </row>
    <row r="4523" spans="1:2" x14ac:dyDescent="0.15">
      <c r="A4523" s="15"/>
      <c r="B4523" s="15"/>
    </row>
    <row r="4524" spans="1:2" x14ac:dyDescent="0.15">
      <c r="A4524" s="15"/>
      <c r="B4524" s="15"/>
    </row>
    <row r="4525" spans="1:2" x14ac:dyDescent="0.15">
      <c r="A4525" s="15"/>
      <c r="B4525" s="15"/>
    </row>
    <row r="4526" spans="1:2" x14ac:dyDescent="0.15">
      <c r="A4526" s="15"/>
      <c r="B4526" s="15"/>
    </row>
    <row r="4527" spans="1:2" x14ac:dyDescent="0.15">
      <c r="A4527" s="15"/>
      <c r="B4527" s="15"/>
    </row>
    <row r="4528" spans="1:2" x14ac:dyDescent="0.15">
      <c r="A4528" s="15"/>
      <c r="B4528" s="15"/>
    </row>
    <row r="4529" spans="1:2" x14ac:dyDescent="0.15">
      <c r="A4529" s="15"/>
      <c r="B4529" s="15"/>
    </row>
    <row r="4530" spans="1:2" x14ac:dyDescent="0.15">
      <c r="A4530" s="15"/>
      <c r="B4530" s="15"/>
    </row>
    <row r="4531" spans="1:2" x14ac:dyDescent="0.15">
      <c r="A4531" s="15"/>
      <c r="B4531" s="15"/>
    </row>
    <row r="4532" spans="1:2" x14ac:dyDescent="0.15">
      <c r="A4532" s="15"/>
      <c r="B4532" s="15"/>
    </row>
    <row r="4533" spans="1:2" x14ac:dyDescent="0.15">
      <c r="A4533" s="15"/>
      <c r="B4533" s="15"/>
    </row>
    <row r="4534" spans="1:2" x14ac:dyDescent="0.15">
      <c r="A4534" s="15"/>
      <c r="B4534" s="15"/>
    </row>
    <row r="4535" spans="1:2" x14ac:dyDescent="0.15">
      <c r="A4535" s="15"/>
      <c r="B4535" s="15"/>
    </row>
    <row r="4536" spans="1:2" x14ac:dyDescent="0.15">
      <c r="A4536" s="15"/>
      <c r="B4536" s="15"/>
    </row>
    <row r="4537" spans="1:2" x14ac:dyDescent="0.15">
      <c r="A4537" s="15"/>
      <c r="B4537" s="15"/>
    </row>
    <row r="4538" spans="1:2" x14ac:dyDescent="0.15">
      <c r="A4538" s="15"/>
      <c r="B4538" s="15"/>
    </row>
    <row r="4539" spans="1:2" x14ac:dyDescent="0.15">
      <c r="A4539" s="15"/>
      <c r="B4539" s="15"/>
    </row>
    <row r="4540" spans="1:2" x14ac:dyDescent="0.15">
      <c r="A4540" s="15"/>
      <c r="B4540" s="15"/>
    </row>
    <row r="4541" spans="1:2" x14ac:dyDescent="0.15">
      <c r="A4541" s="15"/>
      <c r="B4541" s="15"/>
    </row>
    <row r="4542" spans="1:2" x14ac:dyDescent="0.15">
      <c r="A4542" s="15"/>
      <c r="B4542" s="15"/>
    </row>
    <row r="4543" spans="1:2" x14ac:dyDescent="0.15">
      <c r="A4543" s="15"/>
      <c r="B4543" s="15"/>
    </row>
    <row r="4544" spans="1:2" x14ac:dyDescent="0.15">
      <c r="A4544" s="15"/>
      <c r="B4544" s="15"/>
    </row>
    <row r="4545" spans="1:2" x14ac:dyDescent="0.15">
      <c r="A4545" s="15"/>
      <c r="B4545" s="15"/>
    </row>
    <row r="4546" spans="1:2" x14ac:dyDescent="0.15">
      <c r="A4546" s="15"/>
      <c r="B4546" s="15"/>
    </row>
    <row r="4547" spans="1:2" x14ac:dyDescent="0.15">
      <c r="A4547" s="15"/>
      <c r="B4547" s="15"/>
    </row>
    <row r="4548" spans="1:2" x14ac:dyDescent="0.15">
      <c r="A4548" s="15"/>
      <c r="B4548" s="15"/>
    </row>
    <row r="4549" spans="1:2" x14ac:dyDescent="0.15">
      <c r="A4549" s="15"/>
      <c r="B4549" s="15"/>
    </row>
    <row r="4550" spans="1:2" x14ac:dyDescent="0.15">
      <c r="A4550" s="15"/>
      <c r="B4550" s="15"/>
    </row>
    <row r="4551" spans="1:2" x14ac:dyDescent="0.15">
      <c r="A4551" s="15"/>
      <c r="B4551" s="15"/>
    </row>
    <row r="4552" spans="1:2" x14ac:dyDescent="0.15">
      <c r="A4552" s="15"/>
      <c r="B4552" s="15"/>
    </row>
    <row r="4553" spans="1:2" x14ac:dyDescent="0.15">
      <c r="A4553" s="15"/>
      <c r="B4553" s="15"/>
    </row>
    <row r="4554" spans="1:2" x14ac:dyDescent="0.15">
      <c r="A4554" s="15"/>
      <c r="B4554" s="15"/>
    </row>
    <row r="4555" spans="1:2" x14ac:dyDescent="0.15">
      <c r="A4555" s="15"/>
      <c r="B4555" s="15"/>
    </row>
    <row r="4556" spans="1:2" x14ac:dyDescent="0.15">
      <c r="A4556" s="15"/>
      <c r="B4556" s="15"/>
    </row>
    <row r="4557" spans="1:2" x14ac:dyDescent="0.15">
      <c r="A4557" s="15"/>
      <c r="B4557" s="15"/>
    </row>
    <row r="4558" spans="1:2" x14ac:dyDescent="0.15">
      <c r="A4558" s="15"/>
      <c r="B4558" s="15"/>
    </row>
    <row r="4559" spans="1:2" x14ac:dyDescent="0.15">
      <c r="A4559" s="15"/>
      <c r="B4559" s="15"/>
    </row>
    <row r="4560" spans="1:2" x14ac:dyDescent="0.15">
      <c r="A4560" s="15"/>
      <c r="B4560" s="15"/>
    </row>
    <row r="4561" spans="1:2" x14ac:dyDescent="0.15">
      <c r="A4561" s="15"/>
      <c r="B4561" s="15"/>
    </row>
    <row r="4562" spans="1:2" x14ac:dyDescent="0.15">
      <c r="A4562" s="15"/>
      <c r="B4562" s="15"/>
    </row>
    <row r="4563" spans="1:2" x14ac:dyDescent="0.15">
      <c r="A4563" s="15"/>
      <c r="B4563" s="15"/>
    </row>
    <row r="4564" spans="1:2" x14ac:dyDescent="0.15">
      <c r="A4564" s="15"/>
      <c r="B4564" s="15"/>
    </row>
    <row r="4565" spans="1:2" x14ac:dyDescent="0.15">
      <c r="A4565" s="15"/>
      <c r="B4565" s="15"/>
    </row>
    <row r="4566" spans="1:2" x14ac:dyDescent="0.15">
      <c r="A4566" s="15"/>
      <c r="B4566" s="15"/>
    </row>
    <row r="4567" spans="1:2" x14ac:dyDescent="0.15">
      <c r="A4567" s="15"/>
      <c r="B4567" s="15"/>
    </row>
    <row r="4568" spans="1:2" x14ac:dyDescent="0.15">
      <c r="A4568" s="15"/>
      <c r="B4568" s="15"/>
    </row>
    <row r="4569" spans="1:2" x14ac:dyDescent="0.15">
      <c r="A4569" s="15"/>
      <c r="B4569" s="15"/>
    </row>
    <row r="4570" spans="1:2" x14ac:dyDescent="0.15">
      <c r="A4570" s="15"/>
      <c r="B4570" s="15"/>
    </row>
    <row r="4571" spans="1:2" x14ac:dyDescent="0.15">
      <c r="A4571" s="15"/>
      <c r="B4571" s="15"/>
    </row>
    <row r="4572" spans="1:2" x14ac:dyDescent="0.15">
      <c r="A4572" s="15"/>
      <c r="B4572" s="15"/>
    </row>
    <row r="4573" spans="1:2" x14ac:dyDescent="0.15">
      <c r="A4573" s="15"/>
      <c r="B4573" s="15"/>
    </row>
    <row r="4574" spans="1:2" x14ac:dyDescent="0.15">
      <c r="A4574" s="15"/>
      <c r="B4574" s="15"/>
    </row>
    <row r="4575" spans="1:2" x14ac:dyDescent="0.15">
      <c r="A4575" s="15"/>
      <c r="B4575" s="15"/>
    </row>
    <row r="4576" spans="1:2" x14ac:dyDescent="0.15">
      <c r="A4576" s="15"/>
      <c r="B4576" s="15"/>
    </row>
    <row r="4577" spans="1:2" x14ac:dyDescent="0.15">
      <c r="A4577" s="15"/>
      <c r="B4577" s="15"/>
    </row>
    <row r="4578" spans="1:2" x14ac:dyDescent="0.15">
      <c r="A4578" s="15"/>
      <c r="B4578" s="15"/>
    </row>
    <row r="4579" spans="1:2" x14ac:dyDescent="0.15">
      <c r="A4579" s="15"/>
      <c r="B4579" s="15"/>
    </row>
    <row r="4580" spans="1:2" x14ac:dyDescent="0.15">
      <c r="A4580" s="15"/>
      <c r="B4580" s="15"/>
    </row>
    <row r="4581" spans="1:2" x14ac:dyDescent="0.15">
      <c r="A4581" s="15"/>
      <c r="B4581" s="15"/>
    </row>
    <row r="4582" spans="1:2" x14ac:dyDescent="0.15">
      <c r="A4582" s="15"/>
      <c r="B4582" s="15"/>
    </row>
    <row r="4583" spans="1:2" x14ac:dyDescent="0.15">
      <c r="A4583" s="15"/>
      <c r="B4583" s="15"/>
    </row>
    <row r="4584" spans="1:2" x14ac:dyDescent="0.15">
      <c r="A4584" s="15"/>
      <c r="B4584" s="15"/>
    </row>
    <row r="4585" spans="1:2" x14ac:dyDescent="0.15">
      <c r="A4585" s="15"/>
      <c r="B4585" s="15"/>
    </row>
    <row r="4586" spans="1:2" x14ac:dyDescent="0.15">
      <c r="A4586" s="15"/>
      <c r="B4586" s="15"/>
    </row>
    <row r="4587" spans="1:2" x14ac:dyDescent="0.15">
      <c r="A4587" s="15"/>
      <c r="B4587" s="15"/>
    </row>
    <row r="4588" spans="1:2" x14ac:dyDescent="0.15">
      <c r="A4588" s="15"/>
      <c r="B4588" s="15"/>
    </row>
    <row r="4589" spans="1:2" x14ac:dyDescent="0.15">
      <c r="A4589" s="15"/>
      <c r="B4589" s="15"/>
    </row>
    <row r="4590" spans="1:2" x14ac:dyDescent="0.15">
      <c r="A4590" s="15"/>
      <c r="B4590" s="15"/>
    </row>
    <row r="4591" spans="1:2" x14ac:dyDescent="0.15">
      <c r="A4591" s="15"/>
      <c r="B4591" s="15"/>
    </row>
    <row r="4592" spans="1:2" x14ac:dyDescent="0.15">
      <c r="A4592" s="15"/>
      <c r="B4592" s="15"/>
    </row>
    <row r="4593" spans="1:2" x14ac:dyDescent="0.15">
      <c r="A4593" s="15"/>
      <c r="B4593" s="15"/>
    </row>
    <row r="4594" spans="1:2" x14ac:dyDescent="0.15">
      <c r="A4594" s="15"/>
      <c r="B4594" s="15"/>
    </row>
    <row r="4595" spans="1:2" x14ac:dyDescent="0.15">
      <c r="A4595" s="15"/>
      <c r="B4595" s="15"/>
    </row>
    <row r="4596" spans="1:2" x14ac:dyDescent="0.15">
      <c r="A4596" s="15"/>
      <c r="B4596" s="15"/>
    </row>
    <row r="4597" spans="1:2" x14ac:dyDescent="0.15">
      <c r="A4597" s="15"/>
      <c r="B4597" s="15"/>
    </row>
    <row r="4598" spans="1:2" x14ac:dyDescent="0.15">
      <c r="A4598" s="15"/>
      <c r="B4598" s="15"/>
    </row>
    <row r="4599" spans="1:2" x14ac:dyDescent="0.15">
      <c r="A4599" s="15"/>
      <c r="B4599" s="15"/>
    </row>
    <row r="4600" spans="1:2" x14ac:dyDescent="0.15">
      <c r="A4600" s="15"/>
      <c r="B4600" s="15"/>
    </row>
    <row r="4601" spans="1:2" x14ac:dyDescent="0.15">
      <c r="A4601" s="15"/>
      <c r="B4601" s="15"/>
    </row>
    <row r="4602" spans="1:2" x14ac:dyDescent="0.15">
      <c r="A4602" s="15"/>
      <c r="B4602" s="15"/>
    </row>
    <row r="4603" spans="1:2" x14ac:dyDescent="0.15">
      <c r="A4603" s="15"/>
      <c r="B4603" s="15"/>
    </row>
    <row r="4604" spans="1:2" x14ac:dyDescent="0.15">
      <c r="A4604" s="15"/>
      <c r="B4604" s="15"/>
    </row>
    <row r="4605" spans="1:2" x14ac:dyDescent="0.15">
      <c r="A4605" s="15"/>
      <c r="B4605" s="15"/>
    </row>
    <row r="4606" spans="1:2" x14ac:dyDescent="0.15">
      <c r="A4606" s="15"/>
      <c r="B4606" s="15"/>
    </row>
    <row r="4607" spans="1:2" x14ac:dyDescent="0.15">
      <c r="A4607" s="15"/>
      <c r="B4607" s="15"/>
    </row>
    <row r="4608" spans="1:2" x14ac:dyDescent="0.15">
      <c r="A4608" s="15"/>
      <c r="B4608" s="15"/>
    </row>
    <row r="4609" spans="1:2" x14ac:dyDescent="0.15">
      <c r="A4609" s="15"/>
      <c r="B4609" s="15"/>
    </row>
    <row r="4610" spans="1:2" x14ac:dyDescent="0.15">
      <c r="A4610" s="15"/>
      <c r="B4610" s="15"/>
    </row>
    <row r="4611" spans="1:2" x14ac:dyDescent="0.15">
      <c r="A4611" s="15"/>
      <c r="B4611" s="15"/>
    </row>
    <row r="4612" spans="1:2" x14ac:dyDescent="0.15">
      <c r="A4612" s="15"/>
      <c r="B4612" s="15"/>
    </row>
    <row r="4613" spans="1:2" x14ac:dyDescent="0.15">
      <c r="A4613" s="15"/>
      <c r="B4613" s="15"/>
    </row>
    <row r="4614" spans="1:2" x14ac:dyDescent="0.15">
      <c r="A4614" s="15"/>
      <c r="B4614" s="15"/>
    </row>
    <row r="4615" spans="1:2" x14ac:dyDescent="0.15">
      <c r="A4615" s="15"/>
      <c r="B4615" s="15"/>
    </row>
    <row r="4616" spans="1:2" x14ac:dyDescent="0.15">
      <c r="A4616" s="15"/>
      <c r="B4616" s="15"/>
    </row>
    <row r="4617" spans="1:2" x14ac:dyDescent="0.15">
      <c r="A4617" s="15"/>
      <c r="B4617" s="15"/>
    </row>
    <row r="4618" spans="1:2" x14ac:dyDescent="0.15">
      <c r="A4618" s="15"/>
      <c r="B4618" s="15"/>
    </row>
    <row r="4619" spans="1:2" x14ac:dyDescent="0.15">
      <c r="A4619" s="15"/>
      <c r="B4619" s="15"/>
    </row>
    <row r="4620" spans="1:2" x14ac:dyDescent="0.15">
      <c r="A4620" s="15"/>
      <c r="B4620" s="15"/>
    </row>
    <row r="4621" spans="1:2" x14ac:dyDescent="0.15">
      <c r="A4621" s="15"/>
      <c r="B4621" s="15"/>
    </row>
    <row r="4622" spans="1:2" x14ac:dyDescent="0.15">
      <c r="A4622" s="15"/>
      <c r="B4622" s="15"/>
    </row>
    <row r="4623" spans="1:2" x14ac:dyDescent="0.15">
      <c r="A4623" s="15"/>
      <c r="B4623" s="15"/>
    </row>
    <row r="4624" spans="1:2" x14ac:dyDescent="0.15">
      <c r="A4624" s="15"/>
      <c r="B4624" s="15"/>
    </row>
    <row r="4625" spans="1:2" x14ac:dyDescent="0.15">
      <c r="A4625" s="15"/>
      <c r="B4625" s="15"/>
    </row>
    <row r="4626" spans="1:2" x14ac:dyDescent="0.15">
      <c r="A4626" s="15"/>
      <c r="B4626" s="15"/>
    </row>
    <row r="4627" spans="1:2" x14ac:dyDescent="0.15">
      <c r="A4627" s="15"/>
      <c r="B4627" s="15"/>
    </row>
    <row r="4628" spans="1:2" x14ac:dyDescent="0.15">
      <c r="A4628" s="15"/>
      <c r="B4628" s="15"/>
    </row>
    <row r="4629" spans="1:2" x14ac:dyDescent="0.15">
      <c r="A4629" s="15"/>
      <c r="B4629" s="15"/>
    </row>
    <row r="4630" spans="1:2" x14ac:dyDescent="0.15">
      <c r="A4630" s="15"/>
      <c r="B4630" s="15"/>
    </row>
    <row r="4631" spans="1:2" x14ac:dyDescent="0.15">
      <c r="A4631" s="15"/>
      <c r="B4631" s="15"/>
    </row>
    <row r="4632" spans="1:2" x14ac:dyDescent="0.15">
      <c r="A4632" s="15"/>
      <c r="B4632" s="15"/>
    </row>
    <row r="4633" spans="1:2" x14ac:dyDescent="0.15">
      <c r="A4633" s="15"/>
      <c r="B4633" s="15"/>
    </row>
    <row r="4634" spans="1:2" x14ac:dyDescent="0.15">
      <c r="A4634" s="15"/>
      <c r="B4634" s="15"/>
    </row>
    <row r="4635" spans="1:2" x14ac:dyDescent="0.15">
      <c r="A4635" s="15"/>
      <c r="B4635" s="15"/>
    </row>
    <row r="4636" spans="1:2" x14ac:dyDescent="0.15">
      <c r="A4636" s="15"/>
      <c r="B4636" s="15"/>
    </row>
    <row r="4637" spans="1:2" x14ac:dyDescent="0.15">
      <c r="A4637" s="15"/>
      <c r="B4637" s="15"/>
    </row>
    <row r="4638" spans="1:2" x14ac:dyDescent="0.15">
      <c r="A4638" s="15"/>
      <c r="B4638" s="15"/>
    </row>
    <row r="4639" spans="1:2" x14ac:dyDescent="0.15">
      <c r="A4639" s="15"/>
      <c r="B4639" s="15"/>
    </row>
    <row r="4640" spans="1:2" x14ac:dyDescent="0.15">
      <c r="A4640" s="15"/>
      <c r="B4640" s="15"/>
    </row>
    <row r="4641" spans="1:2" x14ac:dyDescent="0.15">
      <c r="A4641" s="15"/>
      <c r="B4641" s="15"/>
    </row>
    <row r="4642" spans="1:2" x14ac:dyDescent="0.15">
      <c r="A4642" s="15"/>
      <c r="B4642" s="15"/>
    </row>
    <row r="4643" spans="1:2" x14ac:dyDescent="0.15">
      <c r="A4643" s="15"/>
      <c r="B4643" s="15"/>
    </row>
    <row r="4644" spans="1:2" x14ac:dyDescent="0.15">
      <c r="A4644" s="15"/>
      <c r="B4644" s="15"/>
    </row>
    <row r="4645" spans="1:2" x14ac:dyDescent="0.15">
      <c r="A4645" s="15"/>
      <c r="B4645" s="15"/>
    </row>
    <row r="4646" spans="1:2" x14ac:dyDescent="0.15">
      <c r="A4646" s="15"/>
      <c r="B4646" s="15"/>
    </row>
    <row r="4647" spans="1:2" x14ac:dyDescent="0.15">
      <c r="A4647" s="15"/>
      <c r="B4647" s="15"/>
    </row>
    <row r="4648" spans="1:2" x14ac:dyDescent="0.15">
      <c r="A4648" s="15"/>
      <c r="B4648" s="15"/>
    </row>
    <row r="4649" spans="1:2" x14ac:dyDescent="0.15">
      <c r="A4649" s="15"/>
      <c r="B4649" s="15"/>
    </row>
    <row r="4650" spans="1:2" x14ac:dyDescent="0.15">
      <c r="A4650" s="15"/>
      <c r="B4650" s="15"/>
    </row>
    <row r="4651" spans="1:2" x14ac:dyDescent="0.15">
      <c r="A4651" s="15"/>
      <c r="B4651" s="15"/>
    </row>
    <row r="4652" spans="1:2" x14ac:dyDescent="0.15">
      <c r="A4652" s="15"/>
      <c r="B4652" s="15"/>
    </row>
    <row r="4653" spans="1:2" x14ac:dyDescent="0.15">
      <c r="A4653" s="15"/>
      <c r="B4653" s="15"/>
    </row>
    <row r="4654" spans="1:2" x14ac:dyDescent="0.15">
      <c r="A4654" s="15"/>
      <c r="B4654" s="15"/>
    </row>
    <row r="4655" spans="1:2" x14ac:dyDescent="0.15">
      <c r="A4655" s="15"/>
      <c r="B4655" s="15"/>
    </row>
    <row r="4656" spans="1:2" x14ac:dyDescent="0.15">
      <c r="A4656" s="15"/>
      <c r="B4656" s="15"/>
    </row>
    <row r="4657" spans="1:2" x14ac:dyDescent="0.15">
      <c r="A4657" s="15"/>
      <c r="B4657" s="15"/>
    </row>
    <row r="4658" spans="1:2" x14ac:dyDescent="0.15">
      <c r="A4658" s="15"/>
      <c r="B4658" s="15"/>
    </row>
    <row r="4659" spans="1:2" x14ac:dyDescent="0.15">
      <c r="A4659" s="15"/>
      <c r="B4659" s="15"/>
    </row>
    <row r="4660" spans="1:2" x14ac:dyDescent="0.15">
      <c r="A4660" s="15"/>
      <c r="B4660" s="15"/>
    </row>
    <row r="4661" spans="1:2" x14ac:dyDescent="0.15">
      <c r="A4661" s="15"/>
      <c r="B4661" s="15"/>
    </row>
    <row r="4662" spans="1:2" x14ac:dyDescent="0.15">
      <c r="A4662" s="15"/>
      <c r="B4662" s="15"/>
    </row>
    <row r="4663" spans="1:2" x14ac:dyDescent="0.15">
      <c r="A4663" s="15"/>
      <c r="B4663" s="15"/>
    </row>
    <row r="4664" spans="1:2" x14ac:dyDescent="0.15">
      <c r="A4664" s="15"/>
      <c r="B4664" s="15"/>
    </row>
    <row r="4665" spans="1:2" x14ac:dyDescent="0.15">
      <c r="A4665" s="15"/>
      <c r="B4665" s="15"/>
    </row>
    <row r="4666" spans="1:2" x14ac:dyDescent="0.15">
      <c r="A4666" s="15"/>
      <c r="B4666" s="15"/>
    </row>
    <row r="4667" spans="1:2" x14ac:dyDescent="0.15">
      <c r="A4667" s="15"/>
      <c r="B4667" s="15"/>
    </row>
    <row r="4668" spans="1:2" x14ac:dyDescent="0.15">
      <c r="A4668" s="15"/>
      <c r="B4668" s="15"/>
    </row>
    <row r="4669" spans="1:2" x14ac:dyDescent="0.15">
      <c r="A4669" s="15"/>
      <c r="B4669" s="15"/>
    </row>
    <row r="4670" spans="1:2" x14ac:dyDescent="0.15">
      <c r="A4670" s="15"/>
      <c r="B4670" s="15"/>
    </row>
    <row r="4671" spans="1:2" x14ac:dyDescent="0.15">
      <c r="A4671" s="15"/>
      <c r="B4671" s="15"/>
    </row>
    <row r="4672" spans="1:2" x14ac:dyDescent="0.15">
      <c r="A4672" s="15"/>
      <c r="B4672" s="15"/>
    </row>
    <row r="4673" spans="1:2" x14ac:dyDescent="0.15">
      <c r="A4673" s="15"/>
      <c r="B4673" s="15"/>
    </row>
    <row r="4674" spans="1:2" x14ac:dyDescent="0.15">
      <c r="A4674" s="15"/>
      <c r="B4674" s="15"/>
    </row>
    <row r="4675" spans="1:2" x14ac:dyDescent="0.15">
      <c r="A4675" s="15"/>
      <c r="B4675" s="15"/>
    </row>
    <row r="4676" spans="1:2" x14ac:dyDescent="0.15">
      <c r="A4676" s="15"/>
      <c r="B4676" s="15"/>
    </row>
    <row r="4677" spans="1:2" x14ac:dyDescent="0.15">
      <c r="A4677" s="15"/>
      <c r="B4677" s="15"/>
    </row>
    <row r="4678" spans="1:2" x14ac:dyDescent="0.15">
      <c r="A4678" s="15"/>
      <c r="B4678" s="15"/>
    </row>
    <row r="4679" spans="1:2" x14ac:dyDescent="0.15">
      <c r="A4679" s="15"/>
      <c r="B4679" s="15"/>
    </row>
    <row r="4680" spans="1:2" x14ac:dyDescent="0.15">
      <c r="A4680" s="15"/>
      <c r="B4680" s="15"/>
    </row>
    <row r="4681" spans="1:2" x14ac:dyDescent="0.15">
      <c r="A4681" s="15"/>
      <c r="B4681" s="15"/>
    </row>
    <row r="4682" spans="1:2" x14ac:dyDescent="0.15">
      <c r="A4682" s="15"/>
      <c r="B4682" s="15"/>
    </row>
    <row r="4683" spans="1:2" x14ac:dyDescent="0.15">
      <c r="A4683" s="15"/>
      <c r="B4683" s="15"/>
    </row>
    <row r="4684" spans="1:2" x14ac:dyDescent="0.15">
      <c r="A4684" s="15"/>
      <c r="B4684" s="15"/>
    </row>
    <row r="4685" spans="1:2" x14ac:dyDescent="0.15">
      <c r="A4685" s="15"/>
      <c r="B4685" s="15"/>
    </row>
    <row r="4686" spans="1:2" x14ac:dyDescent="0.15">
      <c r="A4686" s="15"/>
      <c r="B4686" s="15"/>
    </row>
    <row r="4687" spans="1:2" x14ac:dyDescent="0.15">
      <c r="A4687" s="15"/>
      <c r="B4687" s="15"/>
    </row>
    <row r="4688" spans="1:2" x14ac:dyDescent="0.15">
      <c r="A4688" s="15"/>
      <c r="B4688" s="15"/>
    </row>
    <row r="4689" spans="1:2" x14ac:dyDescent="0.15">
      <c r="A4689" s="15"/>
      <c r="B4689" s="15"/>
    </row>
    <row r="4690" spans="1:2" x14ac:dyDescent="0.15">
      <c r="A4690" s="15"/>
      <c r="B4690" s="15"/>
    </row>
    <row r="4691" spans="1:2" x14ac:dyDescent="0.15">
      <c r="A4691" s="15"/>
      <c r="B4691" s="15"/>
    </row>
    <row r="4692" spans="1:2" x14ac:dyDescent="0.15">
      <c r="A4692" s="15"/>
      <c r="B4692" s="15"/>
    </row>
    <row r="4693" spans="1:2" x14ac:dyDescent="0.15">
      <c r="A4693" s="15"/>
      <c r="B4693" s="15"/>
    </row>
    <row r="4694" spans="1:2" x14ac:dyDescent="0.15">
      <c r="A4694" s="15"/>
      <c r="B4694" s="15"/>
    </row>
    <row r="4695" spans="1:2" x14ac:dyDescent="0.15">
      <c r="A4695" s="15"/>
      <c r="B4695" s="15"/>
    </row>
    <row r="4696" spans="1:2" x14ac:dyDescent="0.15">
      <c r="A4696" s="15"/>
      <c r="B4696" s="15"/>
    </row>
    <row r="4697" spans="1:2" x14ac:dyDescent="0.15">
      <c r="A4697" s="15"/>
      <c r="B4697" s="15"/>
    </row>
    <row r="4698" spans="1:2" x14ac:dyDescent="0.15">
      <c r="A4698" s="15"/>
      <c r="B4698" s="15"/>
    </row>
    <row r="4699" spans="1:2" x14ac:dyDescent="0.15">
      <c r="A4699" s="15"/>
      <c r="B4699" s="15"/>
    </row>
    <row r="4700" spans="1:2" x14ac:dyDescent="0.15">
      <c r="A4700" s="15"/>
      <c r="B4700" s="15"/>
    </row>
    <row r="4701" spans="1:2" x14ac:dyDescent="0.15">
      <c r="A4701" s="15"/>
      <c r="B4701" s="15"/>
    </row>
    <row r="4702" spans="1:2" x14ac:dyDescent="0.15">
      <c r="A4702" s="15"/>
      <c r="B4702" s="15"/>
    </row>
    <row r="4703" spans="1:2" x14ac:dyDescent="0.15">
      <c r="A4703" s="15"/>
      <c r="B4703" s="15"/>
    </row>
    <row r="4704" spans="1:2" x14ac:dyDescent="0.15">
      <c r="A4704" s="15"/>
      <c r="B4704" s="15"/>
    </row>
    <row r="4705" spans="1:2" x14ac:dyDescent="0.15">
      <c r="A4705" s="15"/>
      <c r="B4705" s="15"/>
    </row>
    <row r="4706" spans="1:2" x14ac:dyDescent="0.15">
      <c r="A4706" s="15"/>
      <c r="B4706" s="15"/>
    </row>
    <row r="4707" spans="1:2" x14ac:dyDescent="0.15">
      <c r="A4707" s="15"/>
      <c r="B4707" s="15"/>
    </row>
    <row r="4708" spans="1:2" x14ac:dyDescent="0.15">
      <c r="A4708" s="15"/>
      <c r="B4708" s="15"/>
    </row>
    <row r="4709" spans="1:2" x14ac:dyDescent="0.15">
      <c r="A4709" s="15"/>
      <c r="B4709" s="15"/>
    </row>
    <row r="4710" spans="1:2" x14ac:dyDescent="0.15">
      <c r="A4710" s="15"/>
      <c r="B4710" s="15"/>
    </row>
    <row r="4711" spans="1:2" x14ac:dyDescent="0.15">
      <c r="A4711" s="15"/>
      <c r="B4711" s="15"/>
    </row>
    <row r="4712" spans="1:2" x14ac:dyDescent="0.15">
      <c r="A4712" s="15"/>
      <c r="B4712" s="15"/>
    </row>
    <row r="4713" spans="1:2" x14ac:dyDescent="0.15">
      <c r="A4713" s="15"/>
      <c r="B4713" s="15"/>
    </row>
    <row r="4714" spans="1:2" x14ac:dyDescent="0.15">
      <c r="A4714" s="15"/>
      <c r="B4714" s="15"/>
    </row>
    <row r="4715" spans="1:2" x14ac:dyDescent="0.15">
      <c r="A4715" s="15"/>
      <c r="B4715" s="15"/>
    </row>
    <row r="4716" spans="1:2" x14ac:dyDescent="0.15">
      <c r="A4716" s="15"/>
      <c r="B4716" s="15"/>
    </row>
    <row r="4717" spans="1:2" x14ac:dyDescent="0.15">
      <c r="A4717" s="15"/>
      <c r="B4717" s="15"/>
    </row>
    <row r="4718" spans="1:2" x14ac:dyDescent="0.15">
      <c r="A4718" s="15"/>
      <c r="B4718" s="15"/>
    </row>
    <row r="4719" spans="1:2" x14ac:dyDescent="0.15">
      <c r="A4719" s="15"/>
      <c r="B4719" s="15"/>
    </row>
    <row r="4720" spans="1:2" x14ac:dyDescent="0.15">
      <c r="A4720" s="15"/>
      <c r="B4720" s="15"/>
    </row>
    <row r="4721" spans="1:2" x14ac:dyDescent="0.15">
      <c r="A4721" s="15"/>
      <c r="B4721" s="15"/>
    </row>
    <row r="4722" spans="1:2" x14ac:dyDescent="0.15">
      <c r="A4722" s="15"/>
      <c r="B4722" s="15"/>
    </row>
    <row r="4723" spans="1:2" x14ac:dyDescent="0.15">
      <c r="A4723" s="15"/>
      <c r="B4723" s="15"/>
    </row>
    <row r="4724" spans="1:2" x14ac:dyDescent="0.15">
      <c r="A4724" s="15"/>
      <c r="B4724" s="15"/>
    </row>
    <row r="4725" spans="1:2" x14ac:dyDescent="0.15">
      <c r="A4725" s="15"/>
      <c r="B4725" s="15"/>
    </row>
    <row r="4726" spans="1:2" x14ac:dyDescent="0.15">
      <c r="A4726" s="15"/>
      <c r="B4726" s="15"/>
    </row>
    <row r="4727" spans="1:2" x14ac:dyDescent="0.15">
      <c r="A4727" s="15"/>
      <c r="B4727" s="15"/>
    </row>
    <row r="4728" spans="1:2" x14ac:dyDescent="0.15">
      <c r="A4728" s="15"/>
      <c r="B4728" s="15"/>
    </row>
    <row r="4729" spans="1:2" x14ac:dyDescent="0.15">
      <c r="A4729" s="15"/>
      <c r="B4729" s="15"/>
    </row>
    <row r="4730" spans="1:2" x14ac:dyDescent="0.15">
      <c r="A4730" s="15"/>
      <c r="B4730" s="15"/>
    </row>
    <row r="4731" spans="1:2" x14ac:dyDescent="0.15">
      <c r="A4731" s="15"/>
      <c r="B4731" s="15"/>
    </row>
    <row r="4732" spans="1:2" x14ac:dyDescent="0.15">
      <c r="A4732" s="15"/>
      <c r="B4732" s="15"/>
    </row>
    <row r="4733" spans="1:2" x14ac:dyDescent="0.15">
      <c r="A4733" s="15"/>
      <c r="B4733" s="15"/>
    </row>
    <row r="4734" spans="1:2" x14ac:dyDescent="0.15">
      <c r="A4734" s="15"/>
      <c r="B4734" s="15"/>
    </row>
    <row r="4735" spans="1:2" x14ac:dyDescent="0.15">
      <c r="A4735" s="15"/>
      <c r="B4735" s="15"/>
    </row>
    <row r="4736" spans="1:2" x14ac:dyDescent="0.15">
      <c r="A4736" s="15"/>
      <c r="B4736" s="15"/>
    </row>
    <row r="4737" spans="1:2" x14ac:dyDescent="0.15">
      <c r="A4737" s="15"/>
      <c r="B4737" s="15"/>
    </row>
    <row r="4738" spans="1:2" x14ac:dyDescent="0.15">
      <c r="A4738" s="15"/>
      <c r="B4738" s="15"/>
    </row>
    <row r="4739" spans="1:2" x14ac:dyDescent="0.15">
      <c r="A4739" s="15"/>
      <c r="B4739" s="15"/>
    </row>
    <row r="4740" spans="1:2" x14ac:dyDescent="0.15">
      <c r="A4740" s="15"/>
      <c r="B4740" s="15"/>
    </row>
    <row r="4741" spans="1:2" x14ac:dyDescent="0.15">
      <c r="A4741" s="15"/>
      <c r="B4741" s="15"/>
    </row>
    <row r="4742" spans="1:2" x14ac:dyDescent="0.15">
      <c r="A4742" s="15"/>
      <c r="B4742" s="15"/>
    </row>
    <row r="4743" spans="1:2" x14ac:dyDescent="0.15">
      <c r="A4743" s="15"/>
      <c r="B4743" s="15"/>
    </row>
    <row r="4744" spans="1:2" x14ac:dyDescent="0.15">
      <c r="A4744" s="15"/>
      <c r="B4744" s="15"/>
    </row>
    <row r="4745" spans="1:2" x14ac:dyDescent="0.15">
      <c r="A4745" s="15"/>
      <c r="B4745" s="15"/>
    </row>
    <row r="4746" spans="1:2" x14ac:dyDescent="0.15">
      <c r="A4746" s="15"/>
      <c r="B4746" s="15"/>
    </row>
    <row r="4747" spans="1:2" x14ac:dyDescent="0.15">
      <c r="A4747" s="15"/>
      <c r="B4747" s="15"/>
    </row>
    <row r="4748" spans="1:2" x14ac:dyDescent="0.15">
      <c r="A4748" s="15"/>
      <c r="B4748" s="15"/>
    </row>
    <row r="4749" spans="1:2" x14ac:dyDescent="0.15">
      <c r="A4749" s="15"/>
      <c r="B4749" s="15"/>
    </row>
    <row r="4750" spans="1:2" x14ac:dyDescent="0.15">
      <c r="A4750" s="15"/>
      <c r="B4750" s="15"/>
    </row>
    <row r="4751" spans="1:2" x14ac:dyDescent="0.15">
      <c r="A4751" s="15"/>
      <c r="B4751" s="15"/>
    </row>
    <row r="4752" spans="1:2" x14ac:dyDescent="0.15">
      <c r="A4752" s="15"/>
      <c r="B4752" s="15"/>
    </row>
    <row r="4753" spans="1:2" x14ac:dyDescent="0.15">
      <c r="A4753" s="15"/>
      <c r="B4753" s="15"/>
    </row>
    <row r="4754" spans="1:2" x14ac:dyDescent="0.15">
      <c r="A4754" s="15"/>
      <c r="B4754" s="15"/>
    </row>
    <row r="4755" spans="1:2" x14ac:dyDescent="0.15">
      <c r="A4755" s="15"/>
      <c r="B4755" s="15"/>
    </row>
    <row r="4756" spans="1:2" x14ac:dyDescent="0.15">
      <c r="A4756" s="15"/>
      <c r="B4756" s="15"/>
    </row>
    <row r="4757" spans="1:2" x14ac:dyDescent="0.15">
      <c r="A4757" s="15"/>
      <c r="B4757" s="15"/>
    </row>
    <row r="4758" spans="1:2" x14ac:dyDescent="0.15">
      <c r="A4758" s="15"/>
      <c r="B4758" s="15"/>
    </row>
    <row r="4759" spans="1:2" x14ac:dyDescent="0.15">
      <c r="A4759" s="15"/>
      <c r="B4759" s="15"/>
    </row>
    <row r="4760" spans="1:2" x14ac:dyDescent="0.15">
      <c r="A4760" s="15"/>
      <c r="B4760" s="15"/>
    </row>
    <row r="4761" spans="1:2" x14ac:dyDescent="0.15">
      <c r="A4761" s="15"/>
      <c r="B4761" s="15"/>
    </row>
    <row r="4762" spans="1:2" x14ac:dyDescent="0.15">
      <c r="A4762" s="15"/>
      <c r="B4762" s="15"/>
    </row>
    <row r="4763" spans="1:2" x14ac:dyDescent="0.15">
      <c r="A4763" s="15"/>
      <c r="B4763" s="15"/>
    </row>
    <row r="4764" spans="1:2" x14ac:dyDescent="0.15">
      <c r="A4764" s="15"/>
      <c r="B4764" s="15"/>
    </row>
    <row r="4765" spans="1:2" x14ac:dyDescent="0.15">
      <c r="A4765" s="15"/>
      <c r="B4765" s="15"/>
    </row>
    <row r="4766" spans="1:2" x14ac:dyDescent="0.15">
      <c r="A4766" s="15"/>
      <c r="B4766" s="15"/>
    </row>
    <row r="4767" spans="1:2" x14ac:dyDescent="0.15">
      <c r="A4767" s="15"/>
      <c r="B4767" s="15"/>
    </row>
    <row r="4768" spans="1:2" x14ac:dyDescent="0.15">
      <c r="A4768" s="15"/>
      <c r="B4768" s="15"/>
    </row>
    <row r="4769" spans="1:2" x14ac:dyDescent="0.15">
      <c r="A4769" s="15"/>
      <c r="B4769" s="15"/>
    </row>
    <row r="4770" spans="1:2" x14ac:dyDescent="0.15">
      <c r="A4770" s="15"/>
      <c r="B4770" s="15"/>
    </row>
    <row r="4771" spans="1:2" x14ac:dyDescent="0.15">
      <c r="A4771" s="15"/>
      <c r="B4771" s="15"/>
    </row>
    <row r="4772" spans="1:2" x14ac:dyDescent="0.15">
      <c r="A4772" s="15"/>
      <c r="B4772" s="15"/>
    </row>
    <row r="4773" spans="1:2" x14ac:dyDescent="0.15">
      <c r="A4773" s="15"/>
      <c r="B4773" s="15"/>
    </row>
    <row r="4774" spans="1:2" x14ac:dyDescent="0.15">
      <c r="A4774" s="15"/>
      <c r="B4774" s="15"/>
    </row>
    <row r="4775" spans="1:2" x14ac:dyDescent="0.15">
      <c r="A4775" s="15"/>
      <c r="B4775" s="15"/>
    </row>
    <row r="4776" spans="1:2" x14ac:dyDescent="0.15">
      <c r="A4776" s="15"/>
      <c r="B4776" s="15"/>
    </row>
    <row r="4777" spans="1:2" x14ac:dyDescent="0.15">
      <c r="A4777" s="15"/>
      <c r="B4777" s="15"/>
    </row>
    <row r="4778" spans="1:2" x14ac:dyDescent="0.15">
      <c r="A4778" s="15"/>
      <c r="B4778" s="15"/>
    </row>
    <row r="4779" spans="1:2" x14ac:dyDescent="0.15">
      <c r="A4779" s="15"/>
      <c r="B4779" s="15"/>
    </row>
    <row r="4780" spans="1:2" x14ac:dyDescent="0.15">
      <c r="A4780" s="15"/>
      <c r="B4780" s="15"/>
    </row>
    <row r="4781" spans="1:2" x14ac:dyDescent="0.15">
      <c r="A4781" s="15"/>
      <c r="B4781" s="15"/>
    </row>
    <row r="4782" spans="1:2" x14ac:dyDescent="0.15">
      <c r="A4782" s="15"/>
      <c r="B4782" s="15"/>
    </row>
    <row r="4783" spans="1:2" x14ac:dyDescent="0.15">
      <c r="A4783" s="15"/>
      <c r="B4783" s="15"/>
    </row>
    <row r="4784" spans="1:2" x14ac:dyDescent="0.15">
      <c r="A4784" s="15"/>
      <c r="B4784" s="15"/>
    </row>
    <row r="4785" spans="1:2" x14ac:dyDescent="0.15">
      <c r="A4785" s="15"/>
      <c r="B4785" s="15"/>
    </row>
    <row r="4786" spans="1:2" x14ac:dyDescent="0.15">
      <c r="A4786" s="15"/>
      <c r="B4786" s="15"/>
    </row>
    <row r="4787" spans="1:2" x14ac:dyDescent="0.15">
      <c r="A4787" s="15"/>
      <c r="B4787" s="15"/>
    </row>
    <row r="4788" spans="1:2" x14ac:dyDescent="0.15">
      <c r="A4788" s="15"/>
      <c r="B4788" s="15"/>
    </row>
    <row r="4789" spans="1:2" x14ac:dyDescent="0.15">
      <c r="A4789" s="15"/>
      <c r="B4789" s="15"/>
    </row>
    <row r="4790" spans="1:2" x14ac:dyDescent="0.15">
      <c r="A4790" s="15"/>
      <c r="B4790" s="15"/>
    </row>
    <row r="4791" spans="1:2" x14ac:dyDescent="0.15">
      <c r="A4791" s="15"/>
      <c r="B4791" s="15"/>
    </row>
    <row r="4792" spans="1:2" x14ac:dyDescent="0.15">
      <c r="A4792" s="15"/>
      <c r="B4792" s="15"/>
    </row>
    <row r="4793" spans="1:2" x14ac:dyDescent="0.15">
      <c r="A4793" s="15"/>
      <c r="B4793" s="15"/>
    </row>
    <row r="4794" spans="1:2" x14ac:dyDescent="0.15">
      <c r="A4794" s="15"/>
      <c r="B4794" s="15"/>
    </row>
    <row r="4795" spans="1:2" x14ac:dyDescent="0.15">
      <c r="A4795" s="15"/>
      <c r="B4795" s="15"/>
    </row>
    <row r="4796" spans="1:2" x14ac:dyDescent="0.15">
      <c r="A4796" s="15"/>
      <c r="B4796" s="15"/>
    </row>
    <row r="4797" spans="1:2" x14ac:dyDescent="0.15">
      <c r="A4797" s="15"/>
      <c r="B4797" s="15"/>
    </row>
    <row r="4798" spans="1:2" x14ac:dyDescent="0.15">
      <c r="A4798" s="15"/>
      <c r="B4798" s="15"/>
    </row>
    <row r="4799" spans="1:2" x14ac:dyDescent="0.15">
      <c r="A4799" s="15"/>
      <c r="B4799" s="15"/>
    </row>
    <row r="4800" spans="1:2" x14ac:dyDescent="0.15">
      <c r="A4800" s="15"/>
      <c r="B4800" s="15"/>
    </row>
    <row r="4801" spans="1:2" x14ac:dyDescent="0.15">
      <c r="A4801" s="15"/>
      <c r="B4801" s="15"/>
    </row>
    <row r="4802" spans="1:2" x14ac:dyDescent="0.15">
      <c r="A4802" s="15"/>
      <c r="B4802" s="15"/>
    </row>
    <row r="4803" spans="1:2" x14ac:dyDescent="0.15">
      <c r="A4803" s="15"/>
      <c r="B4803" s="15"/>
    </row>
    <row r="4804" spans="1:2" x14ac:dyDescent="0.15">
      <c r="A4804" s="15"/>
      <c r="B4804" s="15"/>
    </row>
    <row r="4805" spans="1:2" x14ac:dyDescent="0.15">
      <c r="A4805" s="15"/>
      <c r="B4805" s="15"/>
    </row>
    <row r="4806" spans="1:2" x14ac:dyDescent="0.15">
      <c r="A4806" s="15"/>
      <c r="B4806" s="15"/>
    </row>
    <row r="4807" spans="1:2" x14ac:dyDescent="0.15">
      <c r="A4807" s="15"/>
      <c r="B4807" s="15"/>
    </row>
    <row r="4808" spans="1:2" x14ac:dyDescent="0.15">
      <c r="A4808" s="15"/>
      <c r="B4808" s="15"/>
    </row>
    <row r="4809" spans="1:2" x14ac:dyDescent="0.15">
      <c r="A4809" s="15"/>
      <c r="B4809" s="15"/>
    </row>
    <row r="4810" spans="1:2" x14ac:dyDescent="0.15">
      <c r="A4810" s="15"/>
      <c r="B4810" s="15"/>
    </row>
    <row r="4811" spans="1:2" x14ac:dyDescent="0.15">
      <c r="A4811" s="15"/>
      <c r="B4811" s="15"/>
    </row>
    <row r="4812" spans="1:2" x14ac:dyDescent="0.15">
      <c r="A4812" s="15"/>
      <c r="B4812" s="15"/>
    </row>
    <row r="4813" spans="1:2" x14ac:dyDescent="0.15">
      <c r="A4813" s="15"/>
      <c r="B4813" s="15"/>
    </row>
    <row r="4814" spans="1:2" x14ac:dyDescent="0.15">
      <c r="A4814" s="15"/>
      <c r="B4814" s="15"/>
    </row>
    <row r="4815" spans="1:2" x14ac:dyDescent="0.15">
      <c r="A4815" s="15"/>
      <c r="B4815" s="15"/>
    </row>
    <row r="4816" spans="1:2" x14ac:dyDescent="0.15">
      <c r="A4816" s="15"/>
      <c r="B4816" s="15"/>
    </row>
    <row r="4817" spans="1:2" x14ac:dyDescent="0.15">
      <c r="A4817" s="15"/>
      <c r="B4817" s="15"/>
    </row>
    <row r="4818" spans="1:2" x14ac:dyDescent="0.15">
      <c r="A4818" s="15"/>
      <c r="B4818" s="15"/>
    </row>
    <row r="4819" spans="1:2" x14ac:dyDescent="0.15">
      <c r="A4819" s="15"/>
      <c r="B4819" s="15"/>
    </row>
    <row r="4820" spans="1:2" x14ac:dyDescent="0.15">
      <c r="A4820" s="15"/>
      <c r="B4820" s="15"/>
    </row>
    <row r="4821" spans="1:2" x14ac:dyDescent="0.15">
      <c r="A4821" s="15"/>
      <c r="B4821" s="15"/>
    </row>
    <row r="4822" spans="1:2" x14ac:dyDescent="0.15">
      <c r="A4822" s="15"/>
      <c r="B4822" s="15"/>
    </row>
    <row r="4823" spans="1:2" x14ac:dyDescent="0.15">
      <c r="A4823" s="15"/>
      <c r="B4823" s="15"/>
    </row>
    <row r="4824" spans="1:2" x14ac:dyDescent="0.15">
      <c r="A4824" s="15"/>
      <c r="B4824" s="15"/>
    </row>
    <row r="4825" spans="1:2" x14ac:dyDescent="0.15">
      <c r="A4825" s="15"/>
      <c r="B4825" s="15"/>
    </row>
    <row r="4826" spans="1:2" x14ac:dyDescent="0.15">
      <c r="A4826" s="15"/>
      <c r="B4826" s="15"/>
    </row>
    <row r="4827" spans="1:2" x14ac:dyDescent="0.15">
      <c r="A4827" s="15"/>
      <c r="B4827" s="15"/>
    </row>
    <row r="4828" spans="1:2" x14ac:dyDescent="0.15">
      <c r="A4828" s="15"/>
      <c r="B4828" s="15"/>
    </row>
    <row r="4829" spans="1:2" x14ac:dyDescent="0.15">
      <c r="A4829" s="15"/>
      <c r="B4829" s="15"/>
    </row>
    <row r="4830" spans="1:2" x14ac:dyDescent="0.15">
      <c r="A4830" s="15"/>
      <c r="B4830" s="15"/>
    </row>
    <row r="4831" spans="1:2" x14ac:dyDescent="0.15">
      <c r="A4831" s="15"/>
      <c r="B4831" s="15"/>
    </row>
    <row r="4832" spans="1:2" x14ac:dyDescent="0.15">
      <c r="A4832" s="15"/>
      <c r="B4832" s="15"/>
    </row>
    <row r="4833" spans="1:2" x14ac:dyDescent="0.15">
      <c r="A4833" s="15"/>
      <c r="B4833" s="15"/>
    </row>
    <row r="4834" spans="1:2" x14ac:dyDescent="0.15">
      <c r="A4834" s="15"/>
      <c r="B4834" s="15"/>
    </row>
    <row r="4835" spans="1:2" x14ac:dyDescent="0.15">
      <c r="A4835" s="15"/>
      <c r="B4835" s="15"/>
    </row>
    <row r="4836" spans="1:2" x14ac:dyDescent="0.15">
      <c r="A4836" s="15"/>
      <c r="B4836" s="15"/>
    </row>
    <row r="4837" spans="1:2" x14ac:dyDescent="0.15">
      <c r="A4837" s="15"/>
      <c r="B4837" s="15"/>
    </row>
    <row r="4838" spans="1:2" x14ac:dyDescent="0.15">
      <c r="A4838" s="15"/>
      <c r="B4838" s="15"/>
    </row>
    <row r="4839" spans="1:2" x14ac:dyDescent="0.15">
      <c r="A4839" s="15"/>
      <c r="B4839" s="15"/>
    </row>
    <row r="4840" spans="1:2" x14ac:dyDescent="0.15">
      <c r="A4840" s="15"/>
      <c r="B4840" s="15"/>
    </row>
    <row r="4841" spans="1:2" x14ac:dyDescent="0.15">
      <c r="A4841" s="15"/>
      <c r="B4841" s="15"/>
    </row>
    <row r="4842" spans="1:2" x14ac:dyDescent="0.15">
      <c r="A4842" s="15"/>
      <c r="B4842" s="15"/>
    </row>
    <row r="4843" spans="1:2" x14ac:dyDescent="0.15">
      <c r="A4843" s="15"/>
      <c r="B4843" s="15"/>
    </row>
    <row r="4844" spans="1:2" x14ac:dyDescent="0.15">
      <c r="A4844" s="15"/>
      <c r="B4844" s="15"/>
    </row>
    <row r="4845" spans="1:2" x14ac:dyDescent="0.15">
      <c r="A4845" s="15"/>
      <c r="B4845" s="15"/>
    </row>
    <row r="4846" spans="1:2" x14ac:dyDescent="0.15">
      <c r="A4846" s="15"/>
      <c r="B4846" s="15"/>
    </row>
    <row r="4847" spans="1:2" x14ac:dyDescent="0.15">
      <c r="A4847" s="15"/>
      <c r="B4847" s="15"/>
    </row>
    <row r="4848" spans="1:2" x14ac:dyDescent="0.15">
      <c r="A4848" s="15"/>
      <c r="B4848" s="15"/>
    </row>
    <row r="4849" spans="1:2" x14ac:dyDescent="0.15">
      <c r="A4849" s="15"/>
      <c r="B4849" s="15"/>
    </row>
    <row r="4850" spans="1:2" x14ac:dyDescent="0.15">
      <c r="A4850" s="15"/>
      <c r="B4850" s="15"/>
    </row>
    <row r="4851" spans="1:2" x14ac:dyDescent="0.15">
      <c r="A4851" s="15"/>
      <c r="B4851" s="15"/>
    </row>
    <row r="4852" spans="1:2" x14ac:dyDescent="0.15">
      <c r="A4852" s="15"/>
      <c r="B4852" s="15"/>
    </row>
    <row r="4853" spans="1:2" x14ac:dyDescent="0.15">
      <c r="A4853" s="15"/>
      <c r="B4853" s="15"/>
    </row>
    <row r="4854" spans="1:2" x14ac:dyDescent="0.15">
      <c r="A4854" s="15"/>
      <c r="B4854" s="15"/>
    </row>
    <row r="4855" spans="1:2" x14ac:dyDescent="0.15">
      <c r="A4855" s="15"/>
      <c r="B4855" s="15"/>
    </row>
    <row r="4856" spans="1:2" x14ac:dyDescent="0.15">
      <c r="A4856" s="15"/>
      <c r="B4856" s="15"/>
    </row>
    <row r="4857" spans="1:2" x14ac:dyDescent="0.15">
      <c r="A4857" s="15"/>
      <c r="B4857" s="15"/>
    </row>
    <row r="4858" spans="1:2" x14ac:dyDescent="0.15">
      <c r="A4858" s="15"/>
      <c r="B4858" s="15"/>
    </row>
    <row r="4859" spans="1:2" x14ac:dyDescent="0.15">
      <c r="A4859" s="15"/>
      <c r="B4859" s="15"/>
    </row>
    <row r="4860" spans="1:2" x14ac:dyDescent="0.15">
      <c r="A4860" s="15"/>
      <c r="B4860" s="15"/>
    </row>
    <row r="4861" spans="1:2" x14ac:dyDescent="0.15">
      <c r="A4861" s="15"/>
      <c r="B4861" s="15"/>
    </row>
    <row r="4862" spans="1:2" x14ac:dyDescent="0.15">
      <c r="A4862" s="15"/>
      <c r="B4862" s="15"/>
    </row>
    <row r="4863" spans="1:2" x14ac:dyDescent="0.15">
      <c r="A4863" s="15"/>
      <c r="B4863" s="15"/>
    </row>
    <row r="4864" spans="1:2" x14ac:dyDescent="0.15">
      <c r="A4864" s="15"/>
      <c r="B4864" s="15"/>
    </row>
    <row r="4865" spans="1:2" x14ac:dyDescent="0.15">
      <c r="A4865" s="15"/>
      <c r="B4865" s="15"/>
    </row>
    <row r="4866" spans="1:2" x14ac:dyDescent="0.15">
      <c r="A4866" s="15"/>
      <c r="B4866" s="15"/>
    </row>
    <row r="4867" spans="1:2" x14ac:dyDescent="0.15">
      <c r="A4867" s="15"/>
      <c r="B4867" s="15"/>
    </row>
    <row r="4868" spans="1:2" x14ac:dyDescent="0.15">
      <c r="A4868" s="15"/>
      <c r="B4868" s="15"/>
    </row>
    <row r="4869" spans="1:2" x14ac:dyDescent="0.15">
      <c r="A4869" s="15"/>
      <c r="B4869" s="15"/>
    </row>
    <row r="4870" spans="1:2" x14ac:dyDescent="0.15">
      <c r="A4870" s="15"/>
      <c r="B4870" s="15"/>
    </row>
    <row r="4871" spans="1:2" x14ac:dyDescent="0.15">
      <c r="A4871" s="15"/>
      <c r="B4871" s="15"/>
    </row>
    <row r="4872" spans="1:2" x14ac:dyDescent="0.15">
      <c r="A4872" s="15"/>
      <c r="B4872" s="15"/>
    </row>
    <row r="4873" spans="1:2" x14ac:dyDescent="0.15">
      <c r="A4873" s="15"/>
      <c r="B4873" s="15"/>
    </row>
    <row r="4874" spans="1:2" x14ac:dyDescent="0.15">
      <c r="A4874" s="15"/>
      <c r="B4874" s="15"/>
    </row>
    <row r="4875" spans="1:2" x14ac:dyDescent="0.15">
      <c r="A4875" s="15"/>
      <c r="B4875" s="15"/>
    </row>
    <row r="4876" spans="1:2" x14ac:dyDescent="0.15">
      <c r="A4876" s="15"/>
      <c r="B4876" s="15"/>
    </row>
    <row r="4877" spans="1:2" x14ac:dyDescent="0.15">
      <c r="A4877" s="15"/>
      <c r="B4877" s="15"/>
    </row>
    <row r="4878" spans="1:2" x14ac:dyDescent="0.15">
      <c r="A4878" s="15"/>
      <c r="B4878" s="15"/>
    </row>
    <row r="4879" spans="1:2" x14ac:dyDescent="0.15">
      <c r="A4879" s="15"/>
      <c r="B4879" s="15"/>
    </row>
    <row r="4880" spans="1:2" x14ac:dyDescent="0.15">
      <c r="A4880" s="15"/>
      <c r="B4880" s="15"/>
    </row>
    <row r="4881" spans="1:2" x14ac:dyDescent="0.15">
      <c r="A4881" s="15"/>
      <c r="B4881" s="15"/>
    </row>
    <row r="4882" spans="1:2" x14ac:dyDescent="0.15">
      <c r="A4882" s="15"/>
      <c r="B4882" s="15"/>
    </row>
    <row r="4883" spans="1:2" x14ac:dyDescent="0.15">
      <c r="A4883" s="15"/>
      <c r="B4883" s="15"/>
    </row>
    <row r="4884" spans="1:2" x14ac:dyDescent="0.15">
      <c r="A4884" s="15"/>
      <c r="B4884" s="15"/>
    </row>
    <row r="4885" spans="1:2" x14ac:dyDescent="0.15">
      <c r="A4885" s="15"/>
      <c r="B4885" s="15"/>
    </row>
    <row r="4886" spans="1:2" x14ac:dyDescent="0.15">
      <c r="A4886" s="15"/>
      <c r="B4886" s="15"/>
    </row>
    <row r="4887" spans="1:2" x14ac:dyDescent="0.15">
      <c r="A4887" s="15"/>
      <c r="B4887" s="15"/>
    </row>
    <row r="4888" spans="1:2" x14ac:dyDescent="0.15">
      <c r="A4888" s="15"/>
      <c r="B4888" s="15"/>
    </row>
    <row r="4889" spans="1:2" x14ac:dyDescent="0.15">
      <c r="A4889" s="15"/>
      <c r="B4889" s="15"/>
    </row>
    <row r="4890" spans="1:2" x14ac:dyDescent="0.15">
      <c r="A4890" s="15"/>
      <c r="B4890" s="15"/>
    </row>
    <row r="4891" spans="1:2" x14ac:dyDescent="0.15">
      <c r="A4891" s="15"/>
      <c r="B4891" s="15"/>
    </row>
    <row r="4892" spans="1:2" x14ac:dyDescent="0.15">
      <c r="A4892" s="15"/>
      <c r="B4892" s="15"/>
    </row>
    <row r="4893" spans="1:2" x14ac:dyDescent="0.15">
      <c r="A4893" s="15"/>
      <c r="B4893" s="15"/>
    </row>
    <row r="4894" spans="1:2" x14ac:dyDescent="0.15">
      <c r="A4894" s="15"/>
      <c r="B4894" s="15"/>
    </row>
    <row r="4895" spans="1:2" x14ac:dyDescent="0.15">
      <c r="A4895" s="15"/>
      <c r="B4895" s="15"/>
    </row>
    <row r="4896" spans="1:2" x14ac:dyDescent="0.15">
      <c r="A4896" s="15"/>
      <c r="B4896" s="15"/>
    </row>
    <row r="4897" spans="1:2" x14ac:dyDescent="0.15">
      <c r="A4897" s="15"/>
      <c r="B4897" s="15"/>
    </row>
    <row r="4898" spans="1:2" x14ac:dyDescent="0.15">
      <c r="A4898" s="15"/>
      <c r="B4898" s="15"/>
    </row>
    <row r="4899" spans="1:2" x14ac:dyDescent="0.15">
      <c r="A4899" s="15"/>
      <c r="B4899" s="15"/>
    </row>
    <row r="4900" spans="1:2" x14ac:dyDescent="0.15">
      <c r="A4900" s="15"/>
      <c r="B4900" s="15"/>
    </row>
    <row r="4901" spans="1:2" x14ac:dyDescent="0.15">
      <c r="A4901" s="15"/>
      <c r="B4901" s="15"/>
    </row>
    <row r="4902" spans="1:2" x14ac:dyDescent="0.15">
      <c r="A4902" s="15"/>
      <c r="B4902" s="15"/>
    </row>
    <row r="4903" spans="1:2" x14ac:dyDescent="0.15">
      <c r="A4903" s="15"/>
      <c r="B4903" s="15"/>
    </row>
    <row r="4904" spans="1:2" x14ac:dyDescent="0.15">
      <c r="A4904" s="15"/>
      <c r="B4904" s="15"/>
    </row>
    <row r="4905" spans="1:2" x14ac:dyDescent="0.15">
      <c r="A4905" s="15"/>
      <c r="B4905" s="15"/>
    </row>
    <row r="4906" spans="1:2" x14ac:dyDescent="0.15">
      <c r="A4906" s="15"/>
      <c r="B4906" s="15"/>
    </row>
    <row r="4907" spans="1:2" x14ac:dyDescent="0.15">
      <c r="A4907" s="15"/>
      <c r="B4907" s="15"/>
    </row>
    <row r="4908" spans="1:2" x14ac:dyDescent="0.15">
      <c r="A4908" s="15"/>
      <c r="B4908" s="15"/>
    </row>
    <row r="4909" spans="1:2" x14ac:dyDescent="0.15">
      <c r="A4909" s="15"/>
      <c r="B4909" s="15"/>
    </row>
    <row r="4910" spans="1:2" x14ac:dyDescent="0.15">
      <c r="A4910" s="15"/>
      <c r="B4910" s="15"/>
    </row>
    <row r="4911" spans="1:2" x14ac:dyDescent="0.15">
      <c r="A4911" s="15"/>
      <c r="B4911" s="15"/>
    </row>
    <row r="4912" spans="1:2" x14ac:dyDescent="0.15">
      <c r="A4912" s="15"/>
      <c r="B4912" s="15"/>
    </row>
    <row r="4913" spans="1:2" x14ac:dyDescent="0.15">
      <c r="A4913" s="15"/>
      <c r="B4913" s="15"/>
    </row>
    <row r="4914" spans="1:2" x14ac:dyDescent="0.15">
      <c r="A4914" s="15"/>
      <c r="B4914" s="15"/>
    </row>
    <row r="4915" spans="1:2" x14ac:dyDescent="0.15">
      <c r="A4915" s="15"/>
      <c r="B4915" s="15"/>
    </row>
    <row r="4916" spans="1:2" x14ac:dyDescent="0.15">
      <c r="A4916" s="15"/>
      <c r="B4916" s="15"/>
    </row>
    <row r="4917" spans="1:2" x14ac:dyDescent="0.15">
      <c r="A4917" s="15"/>
      <c r="B4917" s="15"/>
    </row>
    <row r="4918" spans="1:2" x14ac:dyDescent="0.15">
      <c r="A4918" s="15"/>
      <c r="B4918" s="15"/>
    </row>
    <row r="4919" spans="1:2" x14ac:dyDescent="0.15">
      <c r="A4919" s="15"/>
      <c r="B4919" s="15"/>
    </row>
    <row r="4920" spans="1:2" x14ac:dyDescent="0.15">
      <c r="A4920" s="15"/>
      <c r="B4920" s="15"/>
    </row>
    <row r="4921" spans="1:2" x14ac:dyDescent="0.15">
      <c r="A4921" s="15"/>
      <c r="B4921" s="15"/>
    </row>
    <row r="4922" spans="1:2" x14ac:dyDescent="0.15">
      <c r="A4922" s="15"/>
      <c r="B4922" s="15"/>
    </row>
    <row r="4923" spans="1:2" x14ac:dyDescent="0.15">
      <c r="A4923" s="15"/>
      <c r="B4923" s="15"/>
    </row>
    <row r="4924" spans="1:2" x14ac:dyDescent="0.15">
      <c r="A4924" s="15"/>
      <c r="B4924" s="15"/>
    </row>
    <row r="4925" spans="1:2" x14ac:dyDescent="0.15">
      <c r="A4925" s="15"/>
      <c r="B4925" s="15"/>
    </row>
    <row r="4926" spans="1:2" x14ac:dyDescent="0.15">
      <c r="A4926" s="15"/>
      <c r="B4926" s="15"/>
    </row>
    <row r="4927" spans="1:2" x14ac:dyDescent="0.15">
      <c r="A4927" s="15"/>
      <c r="B4927" s="15"/>
    </row>
    <row r="4928" spans="1:2" x14ac:dyDescent="0.15">
      <c r="A4928" s="15"/>
      <c r="B4928" s="15"/>
    </row>
    <row r="4929" spans="1:2" x14ac:dyDescent="0.15">
      <c r="A4929" s="15"/>
      <c r="B4929" s="15"/>
    </row>
    <row r="4930" spans="1:2" x14ac:dyDescent="0.15">
      <c r="A4930" s="15"/>
      <c r="B4930" s="15"/>
    </row>
    <row r="4931" spans="1:2" x14ac:dyDescent="0.15">
      <c r="A4931" s="15"/>
      <c r="B4931" s="15"/>
    </row>
    <row r="4932" spans="1:2" x14ac:dyDescent="0.15">
      <c r="A4932" s="15"/>
      <c r="B4932" s="15"/>
    </row>
    <row r="4933" spans="1:2" x14ac:dyDescent="0.15">
      <c r="A4933" s="15"/>
      <c r="B4933" s="15"/>
    </row>
    <row r="4934" spans="1:2" x14ac:dyDescent="0.15">
      <c r="A4934" s="15"/>
      <c r="B4934" s="15"/>
    </row>
    <row r="4935" spans="1:2" x14ac:dyDescent="0.15">
      <c r="A4935" s="15"/>
      <c r="B4935" s="15"/>
    </row>
    <row r="4936" spans="1:2" x14ac:dyDescent="0.15">
      <c r="A4936" s="15"/>
      <c r="B4936" s="15"/>
    </row>
    <row r="4937" spans="1:2" x14ac:dyDescent="0.15">
      <c r="A4937" s="15"/>
      <c r="B4937" s="15"/>
    </row>
    <row r="4938" spans="1:2" x14ac:dyDescent="0.15">
      <c r="A4938" s="15"/>
      <c r="B4938" s="15"/>
    </row>
    <row r="4939" spans="1:2" x14ac:dyDescent="0.15">
      <c r="A4939" s="15"/>
      <c r="B4939" s="15"/>
    </row>
    <row r="4940" spans="1:2" x14ac:dyDescent="0.15">
      <c r="A4940" s="15"/>
      <c r="B4940" s="15"/>
    </row>
    <row r="4941" spans="1:2" x14ac:dyDescent="0.15">
      <c r="A4941" s="15"/>
      <c r="B4941" s="15"/>
    </row>
    <row r="4942" spans="1:2" x14ac:dyDescent="0.15">
      <c r="A4942" s="15"/>
      <c r="B4942" s="15"/>
    </row>
    <row r="4943" spans="1:2" x14ac:dyDescent="0.15">
      <c r="A4943" s="15"/>
      <c r="B4943" s="15"/>
    </row>
    <row r="4944" spans="1:2" x14ac:dyDescent="0.15">
      <c r="A4944" s="15"/>
      <c r="B4944" s="15"/>
    </row>
    <row r="4945" spans="1:2" x14ac:dyDescent="0.15">
      <c r="A4945" s="15"/>
      <c r="B4945" s="15"/>
    </row>
    <row r="4946" spans="1:2" x14ac:dyDescent="0.15">
      <c r="A4946" s="15"/>
      <c r="B4946" s="15"/>
    </row>
    <row r="4947" spans="1:2" x14ac:dyDescent="0.15">
      <c r="A4947" s="15"/>
      <c r="B4947" s="15"/>
    </row>
    <row r="4948" spans="1:2" x14ac:dyDescent="0.15">
      <c r="A4948" s="15"/>
      <c r="B4948" s="15"/>
    </row>
    <row r="4949" spans="1:2" x14ac:dyDescent="0.15">
      <c r="A4949" s="15"/>
      <c r="B4949" s="15"/>
    </row>
    <row r="4950" spans="1:2" x14ac:dyDescent="0.15">
      <c r="A4950" s="15"/>
      <c r="B4950" s="15"/>
    </row>
    <row r="4951" spans="1:2" x14ac:dyDescent="0.15">
      <c r="A4951" s="15"/>
      <c r="B4951" s="15"/>
    </row>
    <row r="4952" spans="1:2" x14ac:dyDescent="0.15">
      <c r="A4952" s="15"/>
      <c r="B4952" s="15"/>
    </row>
    <row r="4953" spans="1:2" x14ac:dyDescent="0.15">
      <c r="A4953" s="15"/>
      <c r="B4953" s="15"/>
    </row>
    <row r="4954" spans="1:2" x14ac:dyDescent="0.15">
      <c r="A4954" s="15"/>
      <c r="B4954" s="15"/>
    </row>
    <row r="4955" spans="1:2" x14ac:dyDescent="0.15">
      <c r="A4955" s="15"/>
      <c r="B4955" s="15"/>
    </row>
    <row r="4956" spans="1:2" x14ac:dyDescent="0.15">
      <c r="A4956" s="15"/>
      <c r="B4956" s="15"/>
    </row>
    <row r="4957" spans="1:2" x14ac:dyDescent="0.15">
      <c r="A4957" s="15"/>
      <c r="B4957" s="15"/>
    </row>
    <row r="4958" spans="1:2" x14ac:dyDescent="0.15">
      <c r="A4958" s="15"/>
      <c r="B4958" s="15"/>
    </row>
    <row r="4959" spans="1:2" x14ac:dyDescent="0.15">
      <c r="A4959" s="15"/>
      <c r="B4959" s="15"/>
    </row>
    <row r="4960" spans="1:2" x14ac:dyDescent="0.15">
      <c r="A4960" s="15"/>
      <c r="B4960" s="15"/>
    </row>
    <row r="4961" spans="1:2" x14ac:dyDescent="0.15">
      <c r="A4961" s="15"/>
      <c r="B4961" s="15"/>
    </row>
    <row r="4962" spans="1:2" x14ac:dyDescent="0.15">
      <c r="A4962" s="15"/>
      <c r="B4962" s="15"/>
    </row>
    <row r="4963" spans="1:2" x14ac:dyDescent="0.15">
      <c r="A4963" s="15"/>
      <c r="B4963" s="15"/>
    </row>
    <row r="4964" spans="1:2" x14ac:dyDescent="0.15">
      <c r="A4964" s="15"/>
      <c r="B4964" s="15"/>
    </row>
    <row r="4965" spans="1:2" x14ac:dyDescent="0.15">
      <c r="A4965" s="15"/>
      <c r="B4965" s="15"/>
    </row>
    <row r="4966" spans="1:2" x14ac:dyDescent="0.15">
      <c r="A4966" s="15"/>
      <c r="B4966" s="15"/>
    </row>
    <row r="4967" spans="1:2" x14ac:dyDescent="0.15">
      <c r="A4967" s="15"/>
      <c r="B4967" s="15"/>
    </row>
    <row r="4968" spans="1:2" x14ac:dyDescent="0.15">
      <c r="A4968" s="15"/>
      <c r="B4968" s="15"/>
    </row>
    <row r="4969" spans="1:2" x14ac:dyDescent="0.15">
      <c r="A4969" s="15"/>
      <c r="B4969" s="15"/>
    </row>
    <row r="4970" spans="1:2" x14ac:dyDescent="0.15">
      <c r="A4970" s="15"/>
      <c r="B4970" s="15"/>
    </row>
    <row r="4971" spans="1:2" x14ac:dyDescent="0.15">
      <c r="A4971" s="15"/>
      <c r="B4971" s="15"/>
    </row>
    <row r="4972" spans="1:2" x14ac:dyDescent="0.15">
      <c r="A4972" s="15"/>
      <c r="B4972" s="15"/>
    </row>
    <row r="4973" spans="1:2" x14ac:dyDescent="0.15">
      <c r="A4973" s="15"/>
      <c r="B4973" s="15"/>
    </row>
    <row r="4974" spans="1:2" x14ac:dyDescent="0.15">
      <c r="A4974" s="15"/>
      <c r="B4974" s="15"/>
    </row>
    <row r="4975" spans="1:2" x14ac:dyDescent="0.15">
      <c r="A4975" s="15"/>
      <c r="B4975" s="15"/>
    </row>
    <row r="4976" spans="1:2" x14ac:dyDescent="0.15">
      <c r="A4976" s="15"/>
      <c r="B4976" s="15"/>
    </row>
    <row r="4977" spans="1:2" x14ac:dyDescent="0.15">
      <c r="A4977" s="15"/>
      <c r="B4977" s="15"/>
    </row>
    <row r="4978" spans="1:2" x14ac:dyDescent="0.15">
      <c r="A4978" s="15"/>
      <c r="B4978" s="15"/>
    </row>
    <row r="4979" spans="1:2" x14ac:dyDescent="0.15">
      <c r="A4979" s="15"/>
      <c r="B4979" s="15"/>
    </row>
    <row r="4980" spans="1:2" x14ac:dyDescent="0.15">
      <c r="A4980" s="15"/>
      <c r="B4980" s="15"/>
    </row>
    <row r="4981" spans="1:2" x14ac:dyDescent="0.15">
      <c r="A4981" s="15"/>
      <c r="B4981" s="15"/>
    </row>
    <row r="4982" spans="1:2" x14ac:dyDescent="0.15">
      <c r="A4982" s="15"/>
      <c r="B4982" s="15"/>
    </row>
    <row r="4983" spans="1:2" x14ac:dyDescent="0.15">
      <c r="A4983" s="15"/>
      <c r="B4983" s="15"/>
    </row>
    <row r="4984" spans="1:2" x14ac:dyDescent="0.15">
      <c r="A4984" s="15"/>
      <c r="B4984" s="15"/>
    </row>
    <row r="4985" spans="1:2" x14ac:dyDescent="0.15">
      <c r="A4985" s="15"/>
      <c r="B4985" s="15"/>
    </row>
    <row r="4986" spans="1:2" x14ac:dyDescent="0.15">
      <c r="A4986" s="15"/>
      <c r="B4986" s="15"/>
    </row>
    <row r="4987" spans="1:2" x14ac:dyDescent="0.15">
      <c r="A4987" s="15"/>
      <c r="B4987" s="15"/>
    </row>
    <row r="4988" spans="1:2" x14ac:dyDescent="0.15">
      <c r="A4988" s="15"/>
      <c r="B4988" s="15"/>
    </row>
    <row r="4989" spans="1:2" x14ac:dyDescent="0.15">
      <c r="A4989" s="15"/>
      <c r="B4989" s="15"/>
    </row>
    <row r="4990" spans="1:2" x14ac:dyDescent="0.15">
      <c r="A4990" s="15"/>
      <c r="B4990" s="15"/>
    </row>
    <row r="4991" spans="1:2" x14ac:dyDescent="0.15">
      <c r="A4991" s="15"/>
      <c r="B4991" s="15"/>
    </row>
    <row r="4992" spans="1:2" x14ac:dyDescent="0.15">
      <c r="A4992" s="15"/>
      <c r="B4992" s="15"/>
    </row>
    <row r="4993" spans="1:2" x14ac:dyDescent="0.15">
      <c r="A4993" s="15"/>
      <c r="B4993" s="15"/>
    </row>
    <row r="4994" spans="1:2" x14ac:dyDescent="0.15">
      <c r="A4994" s="15"/>
      <c r="B4994" s="15"/>
    </row>
    <row r="4995" spans="1:2" x14ac:dyDescent="0.15">
      <c r="A4995" s="15"/>
      <c r="B4995" s="15"/>
    </row>
    <row r="4996" spans="1:2" x14ac:dyDescent="0.15">
      <c r="A4996" s="15"/>
      <c r="B4996" s="15"/>
    </row>
    <row r="4997" spans="1:2" x14ac:dyDescent="0.15">
      <c r="A4997" s="15"/>
      <c r="B4997" s="15"/>
    </row>
    <row r="4998" spans="1:2" x14ac:dyDescent="0.15">
      <c r="A4998" s="15"/>
      <c r="B4998" s="15"/>
    </row>
    <row r="4999" spans="1:2" x14ac:dyDescent="0.15">
      <c r="A4999" s="15"/>
      <c r="B4999" s="15"/>
    </row>
    <row r="5000" spans="1:2" x14ac:dyDescent="0.15">
      <c r="A5000" s="15"/>
      <c r="B5000" s="15"/>
    </row>
    <row r="5001" spans="1:2" x14ac:dyDescent="0.15">
      <c r="A5001" s="15"/>
      <c r="B5001" s="15"/>
    </row>
    <row r="5002" spans="1:2" x14ac:dyDescent="0.15">
      <c r="A5002" s="15"/>
      <c r="B5002" s="15"/>
    </row>
    <row r="5003" spans="1:2" x14ac:dyDescent="0.15">
      <c r="A5003" s="15"/>
      <c r="B5003" s="15"/>
    </row>
    <row r="5004" spans="1:2" x14ac:dyDescent="0.15">
      <c r="A5004" s="15"/>
      <c r="B5004" s="15"/>
    </row>
    <row r="5005" spans="1:2" x14ac:dyDescent="0.15">
      <c r="A5005" s="15"/>
      <c r="B5005" s="15"/>
    </row>
    <row r="5006" spans="1:2" x14ac:dyDescent="0.15">
      <c r="A5006" s="15"/>
      <c r="B5006" s="15"/>
    </row>
    <row r="5007" spans="1:2" x14ac:dyDescent="0.15">
      <c r="A5007" s="15"/>
      <c r="B5007" s="15"/>
    </row>
    <row r="5008" spans="1:2" x14ac:dyDescent="0.15">
      <c r="A5008" s="15"/>
      <c r="B5008" s="15"/>
    </row>
    <row r="5009" spans="1:2" x14ac:dyDescent="0.15">
      <c r="A5009" s="15"/>
      <c r="B5009" s="15"/>
    </row>
    <row r="5010" spans="1:2" x14ac:dyDescent="0.15">
      <c r="A5010" s="15"/>
      <c r="B5010" s="15"/>
    </row>
    <row r="5011" spans="1:2" x14ac:dyDescent="0.15">
      <c r="A5011" s="15"/>
      <c r="B5011" s="15"/>
    </row>
    <row r="5012" spans="1:2" x14ac:dyDescent="0.15">
      <c r="A5012" s="15"/>
      <c r="B5012" s="15"/>
    </row>
    <row r="5013" spans="1:2" x14ac:dyDescent="0.15">
      <c r="A5013" s="15"/>
      <c r="B5013" s="15"/>
    </row>
    <row r="5014" spans="1:2" x14ac:dyDescent="0.15">
      <c r="A5014" s="15"/>
      <c r="B5014" s="15"/>
    </row>
    <row r="5015" spans="1:2" x14ac:dyDescent="0.15">
      <c r="A5015" s="15"/>
      <c r="B5015" s="15"/>
    </row>
    <row r="5016" spans="1:2" x14ac:dyDescent="0.15">
      <c r="A5016" s="15"/>
      <c r="B5016" s="15"/>
    </row>
    <row r="5017" spans="1:2" x14ac:dyDescent="0.15">
      <c r="A5017" s="15"/>
      <c r="B5017" s="15"/>
    </row>
    <row r="5018" spans="1:2" x14ac:dyDescent="0.15">
      <c r="A5018" s="15"/>
      <c r="B5018" s="15"/>
    </row>
    <row r="5019" spans="1:2" x14ac:dyDescent="0.15">
      <c r="A5019" s="15"/>
      <c r="B5019" s="15"/>
    </row>
    <row r="5020" spans="1:2" x14ac:dyDescent="0.15">
      <c r="A5020" s="15"/>
      <c r="B5020" s="15"/>
    </row>
    <row r="5021" spans="1:2" x14ac:dyDescent="0.15">
      <c r="A5021" s="15"/>
      <c r="B5021" s="15"/>
    </row>
    <row r="5022" spans="1:2" x14ac:dyDescent="0.15">
      <c r="A5022" s="15"/>
      <c r="B5022" s="15"/>
    </row>
    <row r="5023" spans="1:2" x14ac:dyDescent="0.15">
      <c r="A5023" s="15"/>
      <c r="B5023" s="15"/>
    </row>
    <row r="5024" spans="1:2" x14ac:dyDescent="0.15">
      <c r="A5024" s="15"/>
      <c r="B5024" s="15"/>
    </row>
    <row r="5025" spans="1:2" x14ac:dyDescent="0.15">
      <c r="A5025" s="15"/>
      <c r="B5025" s="15"/>
    </row>
    <row r="5026" spans="1:2" x14ac:dyDescent="0.15">
      <c r="A5026" s="15"/>
      <c r="B5026" s="15"/>
    </row>
    <row r="5027" spans="1:2" x14ac:dyDescent="0.15">
      <c r="A5027" s="15"/>
      <c r="B5027" s="15"/>
    </row>
    <row r="5028" spans="1:2" x14ac:dyDescent="0.15">
      <c r="A5028" s="15"/>
      <c r="B5028" s="15"/>
    </row>
    <row r="5029" spans="1:2" x14ac:dyDescent="0.15">
      <c r="A5029" s="15"/>
      <c r="B5029" s="15"/>
    </row>
    <row r="5030" spans="1:2" x14ac:dyDescent="0.15">
      <c r="A5030" s="15"/>
      <c r="B5030" s="15"/>
    </row>
    <row r="5031" spans="1:2" x14ac:dyDescent="0.15">
      <c r="A5031" s="15"/>
      <c r="B5031" s="15"/>
    </row>
    <row r="5032" spans="1:2" x14ac:dyDescent="0.15">
      <c r="A5032" s="15"/>
      <c r="B5032" s="15"/>
    </row>
    <row r="5033" spans="1:2" x14ac:dyDescent="0.15">
      <c r="A5033" s="15"/>
      <c r="B5033" s="15"/>
    </row>
    <row r="5034" spans="1:2" x14ac:dyDescent="0.15">
      <c r="A5034" s="15"/>
      <c r="B5034" s="15"/>
    </row>
    <row r="5035" spans="1:2" x14ac:dyDescent="0.15">
      <c r="A5035" s="15"/>
      <c r="B5035" s="15"/>
    </row>
    <row r="5036" spans="1:2" x14ac:dyDescent="0.15">
      <c r="A5036" s="15"/>
      <c r="B5036" s="15"/>
    </row>
    <row r="5037" spans="1:2" x14ac:dyDescent="0.15">
      <c r="A5037" s="15"/>
      <c r="B5037" s="15"/>
    </row>
    <row r="5038" spans="1:2" x14ac:dyDescent="0.15">
      <c r="A5038" s="15"/>
      <c r="B5038" s="15"/>
    </row>
    <row r="5039" spans="1:2" x14ac:dyDescent="0.15">
      <c r="A5039" s="15"/>
      <c r="B5039" s="15"/>
    </row>
    <row r="5040" spans="1:2" x14ac:dyDescent="0.15">
      <c r="A5040" s="15"/>
      <c r="B5040" s="15"/>
    </row>
    <row r="5041" spans="1:2" x14ac:dyDescent="0.15">
      <c r="A5041" s="15"/>
      <c r="B5041" s="15"/>
    </row>
    <row r="5042" spans="1:2" x14ac:dyDescent="0.15">
      <c r="A5042" s="15"/>
      <c r="B5042" s="15"/>
    </row>
    <row r="5043" spans="1:2" x14ac:dyDescent="0.15">
      <c r="A5043" s="15"/>
      <c r="B5043" s="15"/>
    </row>
    <row r="5044" spans="1:2" x14ac:dyDescent="0.15">
      <c r="A5044" s="15"/>
      <c r="B5044" s="15"/>
    </row>
    <row r="5045" spans="1:2" x14ac:dyDescent="0.15">
      <c r="A5045" s="15"/>
      <c r="B5045" s="15"/>
    </row>
    <row r="5046" spans="1:2" x14ac:dyDescent="0.15">
      <c r="A5046" s="15"/>
      <c r="B5046" s="15"/>
    </row>
    <row r="5047" spans="1:2" x14ac:dyDescent="0.15">
      <c r="A5047" s="15"/>
      <c r="B5047" s="15"/>
    </row>
    <row r="5048" spans="1:2" x14ac:dyDescent="0.15">
      <c r="A5048" s="15"/>
      <c r="B5048" s="15"/>
    </row>
    <row r="5049" spans="1:2" x14ac:dyDescent="0.15">
      <c r="A5049" s="15"/>
      <c r="B5049" s="15"/>
    </row>
    <row r="5050" spans="1:2" x14ac:dyDescent="0.15">
      <c r="A5050" s="15"/>
      <c r="B5050" s="15"/>
    </row>
    <row r="5051" spans="1:2" x14ac:dyDescent="0.15">
      <c r="A5051" s="15"/>
      <c r="B5051" s="15"/>
    </row>
    <row r="5052" spans="1:2" x14ac:dyDescent="0.15">
      <c r="A5052" s="15"/>
      <c r="B5052" s="15"/>
    </row>
    <row r="5053" spans="1:2" x14ac:dyDescent="0.15">
      <c r="A5053" s="15"/>
      <c r="B5053" s="15"/>
    </row>
    <row r="5054" spans="1:2" x14ac:dyDescent="0.15">
      <c r="A5054" s="15"/>
      <c r="B5054" s="15"/>
    </row>
    <row r="5055" spans="1:2" x14ac:dyDescent="0.15">
      <c r="A5055" s="15"/>
      <c r="B5055" s="15"/>
    </row>
    <row r="5056" spans="1:2" x14ac:dyDescent="0.15">
      <c r="A5056" s="15"/>
      <c r="B5056" s="15"/>
    </row>
    <row r="5057" spans="1:2" x14ac:dyDescent="0.15">
      <c r="A5057" s="15"/>
      <c r="B5057" s="15"/>
    </row>
    <row r="5058" spans="1:2" x14ac:dyDescent="0.15">
      <c r="A5058" s="15"/>
      <c r="B5058" s="15"/>
    </row>
    <row r="5059" spans="1:2" x14ac:dyDescent="0.15">
      <c r="A5059" s="15"/>
      <c r="B5059" s="15"/>
    </row>
    <row r="5060" spans="1:2" x14ac:dyDescent="0.15">
      <c r="A5060" s="15"/>
      <c r="B5060" s="15"/>
    </row>
    <row r="5061" spans="1:2" x14ac:dyDescent="0.15">
      <c r="A5061" s="15"/>
      <c r="B5061" s="15"/>
    </row>
    <row r="5062" spans="1:2" x14ac:dyDescent="0.15">
      <c r="A5062" s="15"/>
      <c r="B5062" s="15"/>
    </row>
    <row r="5063" spans="1:2" x14ac:dyDescent="0.15">
      <c r="A5063" s="15"/>
      <c r="B5063" s="15"/>
    </row>
    <row r="5064" spans="1:2" x14ac:dyDescent="0.15">
      <c r="A5064" s="15"/>
      <c r="B5064" s="15"/>
    </row>
    <row r="5065" spans="1:2" x14ac:dyDescent="0.15">
      <c r="A5065" s="15"/>
      <c r="B5065" s="15"/>
    </row>
    <row r="5066" spans="1:2" x14ac:dyDescent="0.15">
      <c r="A5066" s="15"/>
      <c r="B5066" s="15"/>
    </row>
    <row r="5067" spans="1:2" x14ac:dyDescent="0.15">
      <c r="A5067" s="15"/>
      <c r="B5067" s="15"/>
    </row>
    <row r="5068" spans="1:2" x14ac:dyDescent="0.15">
      <c r="A5068" s="15"/>
      <c r="B5068" s="15"/>
    </row>
    <row r="5069" spans="1:2" x14ac:dyDescent="0.15">
      <c r="A5069" s="15"/>
      <c r="B5069" s="15"/>
    </row>
    <row r="5070" spans="1:2" x14ac:dyDescent="0.15">
      <c r="A5070" s="15"/>
      <c r="B5070" s="15"/>
    </row>
    <row r="5071" spans="1:2" x14ac:dyDescent="0.15">
      <c r="A5071" s="15"/>
      <c r="B5071" s="15"/>
    </row>
    <row r="5072" spans="1:2" x14ac:dyDescent="0.15">
      <c r="A5072" s="15"/>
      <c r="B5072" s="15"/>
    </row>
    <row r="5073" spans="1:2" x14ac:dyDescent="0.15">
      <c r="A5073" s="15"/>
      <c r="B5073" s="15"/>
    </row>
    <row r="5074" spans="1:2" x14ac:dyDescent="0.15">
      <c r="A5074" s="15"/>
      <c r="B5074" s="15"/>
    </row>
    <row r="5075" spans="1:2" x14ac:dyDescent="0.15">
      <c r="A5075" s="15"/>
      <c r="B5075" s="15"/>
    </row>
    <row r="5076" spans="1:2" x14ac:dyDescent="0.15">
      <c r="A5076" s="15"/>
      <c r="B5076" s="15"/>
    </row>
    <row r="5077" spans="1:2" x14ac:dyDescent="0.15">
      <c r="A5077" s="15"/>
      <c r="B5077" s="15"/>
    </row>
    <row r="5078" spans="1:2" x14ac:dyDescent="0.15">
      <c r="A5078" s="15"/>
      <c r="B5078" s="15"/>
    </row>
    <row r="5079" spans="1:2" x14ac:dyDescent="0.15">
      <c r="A5079" s="15"/>
      <c r="B5079" s="15"/>
    </row>
    <row r="5080" spans="1:2" x14ac:dyDescent="0.15">
      <c r="A5080" s="15"/>
      <c r="B5080" s="15"/>
    </row>
    <row r="5081" spans="1:2" x14ac:dyDescent="0.15">
      <c r="A5081" s="15"/>
      <c r="B5081" s="15"/>
    </row>
    <row r="5082" spans="1:2" x14ac:dyDescent="0.15">
      <c r="A5082" s="15"/>
      <c r="B5082" s="15"/>
    </row>
    <row r="5083" spans="1:2" x14ac:dyDescent="0.15">
      <c r="A5083" s="15"/>
      <c r="B5083" s="15"/>
    </row>
    <row r="5084" spans="1:2" x14ac:dyDescent="0.15">
      <c r="A5084" s="15"/>
      <c r="B5084" s="15"/>
    </row>
    <row r="5085" spans="1:2" x14ac:dyDescent="0.15">
      <c r="A5085" s="15"/>
      <c r="B5085" s="15"/>
    </row>
    <row r="5086" spans="1:2" x14ac:dyDescent="0.15">
      <c r="A5086" s="15"/>
      <c r="B5086" s="15"/>
    </row>
    <row r="5087" spans="1:2" x14ac:dyDescent="0.15">
      <c r="A5087" s="15"/>
      <c r="B5087" s="15"/>
    </row>
    <row r="5088" spans="1:2" x14ac:dyDescent="0.15">
      <c r="A5088" s="15"/>
      <c r="B5088" s="15"/>
    </row>
    <row r="5089" spans="1:2" x14ac:dyDescent="0.15">
      <c r="A5089" s="15"/>
      <c r="B5089" s="15"/>
    </row>
    <row r="5090" spans="1:2" x14ac:dyDescent="0.15">
      <c r="A5090" s="15"/>
      <c r="B5090" s="15"/>
    </row>
    <row r="5091" spans="1:2" x14ac:dyDescent="0.15">
      <c r="A5091" s="15"/>
      <c r="B5091" s="15"/>
    </row>
    <row r="5092" spans="1:2" x14ac:dyDescent="0.15">
      <c r="A5092" s="15"/>
      <c r="B5092" s="15"/>
    </row>
    <row r="5093" spans="1:2" x14ac:dyDescent="0.15">
      <c r="A5093" s="15"/>
      <c r="B5093" s="15"/>
    </row>
    <row r="5094" spans="1:2" x14ac:dyDescent="0.15">
      <c r="A5094" s="15"/>
      <c r="B5094" s="15"/>
    </row>
    <row r="5095" spans="1:2" x14ac:dyDescent="0.15">
      <c r="A5095" s="15"/>
      <c r="B5095" s="15"/>
    </row>
    <row r="5096" spans="1:2" x14ac:dyDescent="0.15">
      <c r="A5096" s="15"/>
      <c r="B5096" s="15"/>
    </row>
    <row r="5097" spans="1:2" x14ac:dyDescent="0.15">
      <c r="A5097" s="15"/>
      <c r="B5097" s="15"/>
    </row>
    <row r="5098" spans="1:2" x14ac:dyDescent="0.15">
      <c r="A5098" s="15"/>
      <c r="B5098" s="15"/>
    </row>
    <row r="5099" spans="1:2" x14ac:dyDescent="0.15">
      <c r="A5099" s="15"/>
      <c r="B5099" s="15"/>
    </row>
    <row r="5100" spans="1:2" x14ac:dyDescent="0.15">
      <c r="A5100" s="15"/>
      <c r="B5100" s="15"/>
    </row>
    <row r="5101" spans="1:2" x14ac:dyDescent="0.15">
      <c r="A5101" s="15"/>
      <c r="B5101" s="15"/>
    </row>
    <row r="5102" spans="1:2" x14ac:dyDescent="0.15">
      <c r="A5102" s="15"/>
      <c r="B5102" s="15"/>
    </row>
    <row r="5103" spans="1:2" x14ac:dyDescent="0.15">
      <c r="A5103" s="15"/>
      <c r="B5103" s="15"/>
    </row>
    <row r="5104" spans="1:2" x14ac:dyDescent="0.15">
      <c r="A5104" s="15"/>
      <c r="B5104" s="15"/>
    </row>
    <row r="5105" spans="1:2" x14ac:dyDescent="0.15">
      <c r="A5105" s="15"/>
      <c r="B5105" s="15"/>
    </row>
    <row r="5106" spans="1:2" x14ac:dyDescent="0.15">
      <c r="A5106" s="15"/>
      <c r="B5106" s="15"/>
    </row>
    <row r="5107" spans="1:2" x14ac:dyDescent="0.15">
      <c r="A5107" s="15"/>
      <c r="B5107" s="15"/>
    </row>
    <row r="5108" spans="1:2" x14ac:dyDescent="0.15">
      <c r="A5108" s="15"/>
      <c r="B5108" s="15"/>
    </row>
    <row r="5109" spans="1:2" x14ac:dyDescent="0.15">
      <c r="A5109" s="15"/>
      <c r="B5109" s="15"/>
    </row>
    <row r="5110" spans="1:2" x14ac:dyDescent="0.15">
      <c r="A5110" s="15"/>
      <c r="B5110" s="15"/>
    </row>
    <row r="5111" spans="1:2" x14ac:dyDescent="0.15">
      <c r="A5111" s="15"/>
      <c r="B5111" s="15"/>
    </row>
    <row r="5112" spans="1:2" x14ac:dyDescent="0.15">
      <c r="A5112" s="15"/>
      <c r="B5112" s="15"/>
    </row>
    <row r="5113" spans="1:2" x14ac:dyDescent="0.15">
      <c r="A5113" s="15"/>
      <c r="B5113" s="15"/>
    </row>
    <row r="5114" spans="1:2" x14ac:dyDescent="0.15">
      <c r="A5114" s="15"/>
      <c r="B5114" s="15"/>
    </row>
    <row r="5115" spans="1:2" x14ac:dyDescent="0.15">
      <c r="A5115" s="15"/>
      <c r="B5115" s="15"/>
    </row>
    <row r="5116" spans="1:2" x14ac:dyDescent="0.15">
      <c r="A5116" s="15"/>
      <c r="B5116" s="15"/>
    </row>
    <row r="5117" spans="1:2" x14ac:dyDescent="0.15">
      <c r="A5117" s="15"/>
      <c r="B5117" s="15"/>
    </row>
    <row r="5118" spans="1:2" x14ac:dyDescent="0.15">
      <c r="A5118" s="15"/>
      <c r="B5118" s="15"/>
    </row>
    <row r="5119" spans="1:2" x14ac:dyDescent="0.15">
      <c r="A5119" s="15"/>
      <c r="B5119" s="15"/>
    </row>
    <row r="5120" spans="1:2" x14ac:dyDescent="0.15">
      <c r="A5120" s="15"/>
      <c r="B5120" s="15"/>
    </row>
    <row r="5121" spans="1:2" x14ac:dyDescent="0.15">
      <c r="A5121" s="15"/>
      <c r="B5121" s="15"/>
    </row>
    <row r="5122" spans="1:2" x14ac:dyDescent="0.15">
      <c r="A5122" s="15"/>
      <c r="B5122" s="15"/>
    </row>
    <row r="5123" spans="1:2" x14ac:dyDescent="0.15">
      <c r="A5123" s="15"/>
      <c r="B5123" s="15"/>
    </row>
    <row r="5124" spans="1:2" x14ac:dyDescent="0.15">
      <c r="A5124" s="15"/>
      <c r="B5124" s="15"/>
    </row>
    <row r="5125" spans="1:2" x14ac:dyDescent="0.15">
      <c r="A5125" s="15"/>
      <c r="B5125" s="15"/>
    </row>
    <row r="5126" spans="1:2" x14ac:dyDescent="0.15">
      <c r="A5126" s="15"/>
      <c r="B5126" s="15"/>
    </row>
    <row r="5127" spans="1:2" x14ac:dyDescent="0.15">
      <c r="A5127" s="15"/>
      <c r="B5127" s="15"/>
    </row>
    <row r="5128" spans="1:2" x14ac:dyDescent="0.15">
      <c r="A5128" s="15"/>
      <c r="B5128" s="15"/>
    </row>
    <row r="5129" spans="1:2" x14ac:dyDescent="0.15">
      <c r="A5129" s="15"/>
      <c r="B5129" s="15"/>
    </row>
    <row r="5130" spans="1:2" x14ac:dyDescent="0.15">
      <c r="A5130" s="15"/>
      <c r="B5130" s="15"/>
    </row>
    <row r="5131" spans="1:2" x14ac:dyDescent="0.15">
      <c r="A5131" s="15"/>
      <c r="B5131" s="15"/>
    </row>
    <row r="5132" spans="1:2" x14ac:dyDescent="0.15">
      <c r="A5132" s="15"/>
      <c r="B5132" s="15"/>
    </row>
    <row r="5133" spans="1:2" x14ac:dyDescent="0.15">
      <c r="A5133" s="15"/>
      <c r="B5133" s="15"/>
    </row>
    <row r="5134" spans="1:2" x14ac:dyDescent="0.15">
      <c r="A5134" s="15"/>
      <c r="B5134" s="15"/>
    </row>
    <row r="5135" spans="1:2" x14ac:dyDescent="0.15">
      <c r="A5135" s="15"/>
      <c r="B5135" s="15"/>
    </row>
    <row r="5136" spans="1:2" x14ac:dyDescent="0.15">
      <c r="A5136" s="15"/>
      <c r="B5136" s="15"/>
    </row>
    <row r="5137" spans="1:2" x14ac:dyDescent="0.15">
      <c r="A5137" s="15"/>
      <c r="B5137" s="15"/>
    </row>
    <row r="5138" spans="1:2" x14ac:dyDescent="0.15">
      <c r="A5138" s="15"/>
      <c r="B5138" s="15"/>
    </row>
    <row r="5139" spans="1:2" x14ac:dyDescent="0.15">
      <c r="A5139" s="15"/>
      <c r="B5139" s="15"/>
    </row>
    <row r="5140" spans="1:2" x14ac:dyDescent="0.15">
      <c r="A5140" s="15"/>
      <c r="B5140" s="15"/>
    </row>
    <row r="5141" spans="1:2" x14ac:dyDescent="0.15">
      <c r="A5141" s="15"/>
      <c r="B5141" s="15"/>
    </row>
    <row r="5142" spans="1:2" x14ac:dyDescent="0.15">
      <c r="A5142" s="15"/>
      <c r="B5142" s="15"/>
    </row>
    <row r="5143" spans="1:2" x14ac:dyDescent="0.15">
      <c r="A5143" s="15"/>
      <c r="B5143" s="15"/>
    </row>
    <row r="5144" spans="1:2" x14ac:dyDescent="0.15">
      <c r="A5144" s="15"/>
      <c r="B5144" s="15"/>
    </row>
    <row r="5145" spans="1:2" x14ac:dyDescent="0.15">
      <c r="A5145" s="15"/>
      <c r="B5145" s="15"/>
    </row>
    <row r="5146" spans="1:2" x14ac:dyDescent="0.15">
      <c r="A5146" s="15"/>
      <c r="B5146" s="15"/>
    </row>
    <row r="5147" spans="1:2" x14ac:dyDescent="0.15">
      <c r="A5147" s="15"/>
      <c r="B5147" s="15"/>
    </row>
    <row r="5148" spans="1:2" x14ac:dyDescent="0.15">
      <c r="A5148" s="15"/>
      <c r="B5148" s="15"/>
    </row>
    <row r="5149" spans="1:2" x14ac:dyDescent="0.15">
      <c r="A5149" s="15"/>
      <c r="B5149" s="15"/>
    </row>
    <row r="5150" spans="1:2" x14ac:dyDescent="0.15">
      <c r="A5150" s="15"/>
      <c r="B5150" s="15"/>
    </row>
    <row r="5151" spans="1:2" x14ac:dyDescent="0.15">
      <c r="A5151" s="15"/>
      <c r="B5151" s="15"/>
    </row>
    <row r="5152" spans="1:2" x14ac:dyDescent="0.15">
      <c r="A5152" s="15"/>
      <c r="B5152" s="15"/>
    </row>
    <row r="5153" spans="1:2" x14ac:dyDescent="0.15">
      <c r="A5153" s="15"/>
      <c r="B5153" s="15"/>
    </row>
    <row r="5154" spans="1:2" x14ac:dyDescent="0.15">
      <c r="A5154" s="15"/>
      <c r="B5154" s="15"/>
    </row>
    <row r="5155" spans="1:2" x14ac:dyDescent="0.15">
      <c r="A5155" s="15"/>
      <c r="B5155" s="15"/>
    </row>
    <row r="5156" spans="1:2" x14ac:dyDescent="0.15">
      <c r="A5156" s="15"/>
      <c r="B5156" s="15"/>
    </row>
    <row r="5157" spans="1:2" x14ac:dyDescent="0.15">
      <c r="A5157" s="15"/>
      <c r="B5157" s="15"/>
    </row>
    <row r="5158" spans="1:2" x14ac:dyDescent="0.15">
      <c r="A5158" s="15"/>
      <c r="B5158" s="15"/>
    </row>
    <row r="5159" spans="1:2" x14ac:dyDescent="0.15">
      <c r="A5159" s="15"/>
      <c r="B5159" s="15"/>
    </row>
    <row r="5160" spans="1:2" x14ac:dyDescent="0.15">
      <c r="A5160" s="15"/>
      <c r="B5160" s="15"/>
    </row>
    <row r="5161" spans="1:2" x14ac:dyDescent="0.15">
      <c r="A5161" s="15"/>
      <c r="B5161" s="15"/>
    </row>
    <row r="5162" spans="1:2" x14ac:dyDescent="0.15">
      <c r="A5162" s="15"/>
      <c r="B5162" s="15"/>
    </row>
    <row r="5163" spans="1:2" x14ac:dyDescent="0.15">
      <c r="A5163" s="15"/>
      <c r="B5163" s="15"/>
    </row>
    <row r="5164" spans="1:2" x14ac:dyDescent="0.15">
      <c r="A5164" s="15"/>
      <c r="B5164" s="15"/>
    </row>
    <row r="5165" spans="1:2" x14ac:dyDescent="0.15">
      <c r="A5165" s="15"/>
      <c r="B5165" s="15"/>
    </row>
    <row r="5166" spans="1:2" x14ac:dyDescent="0.15">
      <c r="A5166" s="15"/>
      <c r="B5166" s="15"/>
    </row>
    <row r="5167" spans="1:2" x14ac:dyDescent="0.15">
      <c r="A5167" s="15"/>
      <c r="B5167" s="15"/>
    </row>
    <row r="5168" spans="1:2" x14ac:dyDescent="0.15">
      <c r="A5168" s="15"/>
      <c r="B5168" s="15"/>
    </row>
    <row r="5169" spans="1:2" x14ac:dyDescent="0.15">
      <c r="A5169" s="15"/>
      <c r="B5169" s="15"/>
    </row>
    <row r="5170" spans="1:2" x14ac:dyDescent="0.15">
      <c r="A5170" s="15"/>
      <c r="B5170" s="15"/>
    </row>
    <row r="5171" spans="1:2" x14ac:dyDescent="0.15">
      <c r="A5171" s="15"/>
      <c r="B5171" s="15"/>
    </row>
    <row r="5172" spans="1:2" x14ac:dyDescent="0.15">
      <c r="A5172" s="15"/>
      <c r="B5172" s="15"/>
    </row>
    <row r="5173" spans="1:2" x14ac:dyDescent="0.15">
      <c r="A5173" s="15"/>
      <c r="B5173" s="15"/>
    </row>
    <row r="5174" spans="1:2" x14ac:dyDescent="0.15">
      <c r="A5174" s="15"/>
      <c r="B5174" s="15"/>
    </row>
    <row r="5175" spans="1:2" x14ac:dyDescent="0.15">
      <c r="A5175" s="15"/>
      <c r="B5175" s="15"/>
    </row>
    <row r="5176" spans="1:2" x14ac:dyDescent="0.15">
      <c r="A5176" s="15"/>
      <c r="B5176" s="15"/>
    </row>
    <row r="5177" spans="1:2" x14ac:dyDescent="0.15">
      <c r="A5177" s="15"/>
      <c r="B5177" s="15"/>
    </row>
    <row r="5178" spans="1:2" x14ac:dyDescent="0.15">
      <c r="A5178" s="15"/>
      <c r="B5178" s="15"/>
    </row>
    <row r="5179" spans="1:2" x14ac:dyDescent="0.15">
      <c r="A5179" s="15"/>
      <c r="B5179" s="15"/>
    </row>
    <row r="5180" spans="1:2" x14ac:dyDescent="0.15">
      <c r="A5180" s="15"/>
      <c r="B5180" s="15"/>
    </row>
    <row r="5181" spans="1:2" x14ac:dyDescent="0.15">
      <c r="A5181" s="15"/>
      <c r="B5181" s="15"/>
    </row>
    <row r="5182" spans="1:2" x14ac:dyDescent="0.15">
      <c r="A5182" s="15"/>
      <c r="B5182" s="15"/>
    </row>
    <row r="5183" spans="1:2" x14ac:dyDescent="0.15">
      <c r="A5183" s="15"/>
      <c r="B5183" s="15"/>
    </row>
    <row r="5184" spans="1:2" x14ac:dyDescent="0.15">
      <c r="A5184" s="15"/>
      <c r="B5184" s="15"/>
    </row>
    <row r="5185" spans="1:2" x14ac:dyDescent="0.15">
      <c r="A5185" s="15"/>
      <c r="B5185" s="15"/>
    </row>
    <row r="5186" spans="1:2" x14ac:dyDescent="0.15">
      <c r="A5186" s="15"/>
      <c r="B5186" s="15"/>
    </row>
    <row r="5187" spans="1:2" x14ac:dyDescent="0.15">
      <c r="A5187" s="15"/>
      <c r="B5187" s="15"/>
    </row>
    <row r="5188" spans="1:2" x14ac:dyDescent="0.15">
      <c r="A5188" s="15"/>
      <c r="B5188" s="15"/>
    </row>
    <row r="5189" spans="1:2" x14ac:dyDescent="0.15">
      <c r="A5189" s="15"/>
      <c r="B5189" s="15"/>
    </row>
    <row r="5190" spans="1:2" x14ac:dyDescent="0.15">
      <c r="A5190" s="15"/>
      <c r="B5190" s="15"/>
    </row>
    <row r="5191" spans="1:2" x14ac:dyDescent="0.15">
      <c r="A5191" s="15"/>
      <c r="B5191" s="15"/>
    </row>
    <row r="5192" spans="1:2" x14ac:dyDescent="0.15">
      <c r="A5192" s="15"/>
      <c r="B5192" s="15"/>
    </row>
    <row r="5193" spans="1:2" x14ac:dyDescent="0.15">
      <c r="A5193" s="15"/>
      <c r="B5193" s="15"/>
    </row>
    <row r="5194" spans="1:2" x14ac:dyDescent="0.15">
      <c r="A5194" s="15"/>
      <c r="B5194" s="15"/>
    </row>
    <row r="5195" spans="1:2" x14ac:dyDescent="0.15">
      <c r="A5195" s="15"/>
      <c r="B5195" s="15"/>
    </row>
    <row r="5196" spans="1:2" x14ac:dyDescent="0.15">
      <c r="A5196" s="15"/>
      <c r="B5196" s="15"/>
    </row>
    <row r="5197" spans="1:2" x14ac:dyDescent="0.15">
      <c r="A5197" s="15"/>
      <c r="B5197" s="15"/>
    </row>
    <row r="5198" spans="1:2" x14ac:dyDescent="0.15">
      <c r="A5198" s="15"/>
      <c r="B5198" s="15"/>
    </row>
    <row r="5199" spans="1:2" x14ac:dyDescent="0.15">
      <c r="A5199" s="15"/>
      <c r="B5199" s="15"/>
    </row>
    <row r="5200" spans="1:2" x14ac:dyDescent="0.15">
      <c r="A5200" s="15"/>
      <c r="B5200" s="15"/>
    </row>
    <row r="5201" spans="1:2" x14ac:dyDescent="0.15">
      <c r="A5201" s="15"/>
      <c r="B5201" s="15"/>
    </row>
    <row r="5202" spans="1:2" x14ac:dyDescent="0.15">
      <c r="A5202" s="15"/>
      <c r="B5202" s="15"/>
    </row>
    <row r="5203" spans="1:2" x14ac:dyDescent="0.15">
      <c r="A5203" s="15"/>
      <c r="B5203" s="15"/>
    </row>
    <row r="5204" spans="1:2" x14ac:dyDescent="0.15">
      <c r="A5204" s="15"/>
      <c r="B5204" s="15"/>
    </row>
    <row r="5205" spans="1:2" x14ac:dyDescent="0.15">
      <c r="A5205" s="15"/>
      <c r="B5205" s="15"/>
    </row>
    <row r="5206" spans="1:2" x14ac:dyDescent="0.15">
      <c r="A5206" s="15"/>
      <c r="B5206" s="15"/>
    </row>
    <row r="5207" spans="1:2" x14ac:dyDescent="0.15">
      <c r="A5207" s="15"/>
      <c r="B5207" s="15"/>
    </row>
    <row r="5208" spans="1:2" x14ac:dyDescent="0.15">
      <c r="A5208" s="15"/>
      <c r="B5208" s="15"/>
    </row>
    <row r="5209" spans="1:2" x14ac:dyDescent="0.15">
      <c r="A5209" s="15"/>
      <c r="B5209" s="15"/>
    </row>
    <row r="5210" spans="1:2" x14ac:dyDescent="0.15">
      <c r="A5210" s="15"/>
      <c r="B5210" s="15"/>
    </row>
    <row r="5211" spans="1:2" x14ac:dyDescent="0.15">
      <c r="A5211" s="15"/>
      <c r="B5211" s="15"/>
    </row>
    <row r="5212" spans="1:2" x14ac:dyDescent="0.15">
      <c r="A5212" s="15"/>
      <c r="B5212" s="15"/>
    </row>
    <row r="5213" spans="1:2" x14ac:dyDescent="0.15">
      <c r="A5213" s="15"/>
      <c r="B5213" s="15"/>
    </row>
    <row r="5214" spans="1:2" x14ac:dyDescent="0.15">
      <c r="A5214" s="15"/>
      <c r="B5214" s="15"/>
    </row>
    <row r="5215" spans="1:2" x14ac:dyDescent="0.15">
      <c r="A5215" s="15"/>
      <c r="B5215" s="15"/>
    </row>
    <row r="5216" spans="1:2" x14ac:dyDescent="0.15">
      <c r="A5216" s="15"/>
      <c r="B5216" s="15"/>
    </row>
    <row r="5217" spans="1:2" x14ac:dyDescent="0.15">
      <c r="A5217" s="15"/>
      <c r="B5217" s="15"/>
    </row>
    <row r="5218" spans="1:2" x14ac:dyDescent="0.15">
      <c r="A5218" s="15"/>
      <c r="B5218" s="15"/>
    </row>
    <row r="5219" spans="1:2" x14ac:dyDescent="0.15">
      <c r="A5219" s="15"/>
      <c r="B5219" s="15"/>
    </row>
    <row r="5220" spans="1:2" x14ac:dyDescent="0.15">
      <c r="A5220" s="15"/>
      <c r="B5220" s="15"/>
    </row>
    <row r="5221" spans="1:2" x14ac:dyDescent="0.15">
      <c r="A5221" s="15"/>
      <c r="B5221" s="15"/>
    </row>
    <row r="5222" spans="1:2" x14ac:dyDescent="0.15">
      <c r="A5222" s="15"/>
      <c r="B5222" s="15"/>
    </row>
    <row r="5223" spans="1:2" x14ac:dyDescent="0.15">
      <c r="A5223" s="15"/>
      <c r="B5223" s="15"/>
    </row>
    <row r="5224" spans="1:2" x14ac:dyDescent="0.15">
      <c r="A5224" s="15"/>
      <c r="B5224" s="15"/>
    </row>
    <row r="5225" spans="1:2" x14ac:dyDescent="0.15">
      <c r="A5225" s="15"/>
      <c r="B5225" s="15"/>
    </row>
    <row r="5226" spans="1:2" x14ac:dyDescent="0.15">
      <c r="A5226" s="15"/>
      <c r="B5226" s="15"/>
    </row>
    <row r="5227" spans="1:2" x14ac:dyDescent="0.15">
      <c r="A5227" s="15"/>
      <c r="B5227" s="15"/>
    </row>
    <row r="5228" spans="1:2" x14ac:dyDescent="0.15">
      <c r="A5228" s="15"/>
      <c r="B5228" s="15"/>
    </row>
    <row r="5229" spans="1:2" x14ac:dyDescent="0.15">
      <c r="A5229" s="15"/>
      <c r="B5229" s="15"/>
    </row>
    <row r="5230" spans="1:2" x14ac:dyDescent="0.15">
      <c r="A5230" s="15"/>
      <c r="B5230" s="15"/>
    </row>
    <row r="5231" spans="1:2" x14ac:dyDescent="0.15">
      <c r="A5231" s="15"/>
      <c r="B5231" s="15"/>
    </row>
    <row r="5232" spans="1:2" x14ac:dyDescent="0.15">
      <c r="A5232" s="15"/>
      <c r="B5232" s="15"/>
    </row>
    <row r="5233" spans="1:2" x14ac:dyDescent="0.15">
      <c r="A5233" s="15"/>
      <c r="B5233" s="15"/>
    </row>
    <row r="5234" spans="1:2" x14ac:dyDescent="0.15">
      <c r="A5234" s="15"/>
      <c r="B5234" s="15"/>
    </row>
    <row r="5235" spans="1:2" x14ac:dyDescent="0.15">
      <c r="A5235" s="15"/>
      <c r="B5235" s="15"/>
    </row>
    <row r="5236" spans="1:2" x14ac:dyDescent="0.15">
      <c r="A5236" s="15"/>
      <c r="B5236" s="15"/>
    </row>
    <row r="5237" spans="1:2" x14ac:dyDescent="0.15">
      <c r="A5237" s="15"/>
      <c r="B5237" s="15"/>
    </row>
    <row r="5238" spans="1:2" x14ac:dyDescent="0.15">
      <c r="A5238" s="15"/>
      <c r="B5238" s="15"/>
    </row>
    <row r="5239" spans="1:2" x14ac:dyDescent="0.15">
      <c r="A5239" s="15"/>
      <c r="B5239" s="15"/>
    </row>
    <row r="5240" spans="1:2" x14ac:dyDescent="0.15">
      <c r="A5240" s="15"/>
      <c r="B5240" s="15"/>
    </row>
    <row r="5241" spans="1:2" x14ac:dyDescent="0.15">
      <c r="A5241" s="15"/>
      <c r="B5241" s="15"/>
    </row>
    <row r="5242" spans="1:2" x14ac:dyDescent="0.15">
      <c r="A5242" s="15"/>
      <c r="B5242" s="15"/>
    </row>
    <row r="5243" spans="1:2" x14ac:dyDescent="0.15">
      <c r="A5243" s="15"/>
      <c r="B5243" s="15"/>
    </row>
    <row r="5244" spans="1:2" x14ac:dyDescent="0.15">
      <c r="A5244" s="15"/>
      <c r="B5244" s="15"/>
    </row>
    <row r="5245" spans="1:2" x14ac:dyDescent="0.15">
      <c r="A5245" s="15"/>
      <c r="B5245" s="15"/>
    </row>
    <row r="5246" spans="1:2" x14ac:dyDescent="0.15">
      <c r="A5246" s="15"/>
      <c r="B5246" s="15"/>
    </row>
    <row r="5247" spans="1:2" x14ac:dyDescent="0.15">
      <c r="A5247" s="15"/>
      <c r="B5247" s="15"/>
    </row>
    <row r="5248" spans="1:2" x14ac:dyDescent="0.15">
      <c r="A5248" s="15"/>
      <c r="B5248" s="15"/>
    </row>
    <row r="5249" spans="1:2" x14ac:dyDescent="0.15">
      <c r="A5249" s="15"/>
      <c r="B5249" s="15"/>
    </row>
    <row r="5250" spans="1:2" x14ac:dyDescent="0.15">
      <c r="A5250" s="15"/>
      <c r="B5250" s="15"/>
    </row>
    <row r="5251" spans="1:2" x14ac:dyDescent="0.15">
      <c r="A5251" s="15"/>
      <c r="B5251" s="15"/>
    </row>
    <row r="5252" spans="1:2" x14ac:dyDescent="0.15">
      <c r="A5252" s="15"/>
      <c r="B5252" s="15"/>
    </row>
    <row r="5253" spans="1:2" x14ac:dyDescent="0.15">
      <c r="A5253" s="15"/>
      <c r="B5253" s="15"/>
    </row>
    <row r="5254" spans="1:2" x14ac:dyDescent="0.15">
      <c r="A5254" s="15"/>
      <c r="B5254" s="15"/>
    </row>
    <row r="5255" spans="1:2" x14ac:dyDescent="0.15">
      <c r="A5255" s="15"/>
      <c r="B5255" s="15"/>
    </row>
    <row r="5256" spans="1:2" x14ac:dyDescent="0.15">
      <c r="A5256" s="15"/>
      <c r="B5256" s="15"/>
    </row>
    <row r="5257" spans="1:2" x14ac:dyDescent="0.15">
      <c r="A5257" s="15"/>
      <c r="B5257" s="15"/>
    </row>
    <row r="5258" spans="1:2" x14ac:dyDescent="0.15">
      <c r="A5258" s="15"/>
      <c r="B5258" s="15"/>
    </row>
    <row r="5259" spans="1:2" x14ac:dyDescent="0.15">
      <c r="A5259" s="15"/>
      <c r="B5259" s="15"/>
    </row>
    <row r="5260" spans="1:2" x14ac:dyDescent="0.15">
      <c r="A5260" s="15"/>
      <c r="B5260" s="15"/>
    </row>
    <row r="5261" spans="1:2" x14ac:dyDescent="0.15">
      <c r="A5261" s="15"/>
      <c r="B5261" s="15"/>
    </row>
    <row r="5262" spans="1:2" x14ac:dyDescent="0.15">
      <c r="A5262" s="15"/>
      <c r="B5262" s="15"/>
    </row>
    <row r="5263" spans="1:2" x14ac:dyDescent="0.15">
      <c r="A5263" s="15"/>
      <c r="B5263" s="15"/>
    </row>
    <row r="5264" spans="1:2" x14ac:dyDescent="0.15">
      <c r="A5264" s="15"/>
      <c r="B5264" s="15"/>
    </row>
    <row r="5265" spans="1:2" x14ac:dyDescent="0.15">
      <c r="A5265" s="15"/>
      <c r="B5265" s="15"/>
    </row>
    <row r="5266" spans="1:2" x14ac:dyDescent="0.15">
      <c r="A5266" s="15"/>
      <c r="B5266" s="15"/>
    </row>
    <row r="5267" spans="1:2" x14ac:dyDescent="0.15">
      <c r="A5267" s="15"/>
      <c r="B5267" s="15"/>
    </row>
    <row r="5268" spans="1:2" x14ac:dyDescent="0.15">
      <c r="A5268" s="15"/>
      <c r="B5268" s="15"/>
    </row>
    <row r="5269" spans="1:2" x14ac:dyDescent="0.15">
      <c r="A5269" s="15"/>
      <c r="B5269" s="15"/>
    </row>
    <row r="5270" spans="1:2" x14ac:dyDescent="0.15">
      <c r="A5270" s="15"/>
      <c r="B5270" s="15"/>
    </row>
    <row r="5271" spans="1:2" x14ac:dyDescent="0.15">
      <c r="A5271" s="15"/>
      <c r="B5271" s="15"/>
    </row>
    <row r="5272" spans="1:2" x14ac:dyDescent="0.15">
      <c r="A5272" s="15"/>
      <c r="B5272" s="15"/>
    </row>
    <row r="5273" spans="1:2" x14ac:dyDescent="0.15">
      <c r="A5273" s="15"/>
      <c r="B5273" s="15"/>
    </row>
    <row r="5274" spans="1:2" x14ac:dyDescent="0.15">
      <c r="A5274" s="15"/>
      <c r="B5274" s="15"/>
    </row>
    <row r="5275" spans="1:2" x14ac:dyDescent="0.15">
      <c r="A5275" s="15"/>
      <c r="B5275" s="15"/>
    </row>
    <row r="5276" spans="1:2" x14ac:dyDescent="0.15">
      <c r="A5276" s="15"/>
      <c r="B5276" s="15"/>
    </row>
    <row r="5277" spans="1:2" x14ac:dyDescent="0.15">
      <c r="A5277" s="15"/>
      <c r="B5277" s="15"/>
    </row>
    <row r="5278" spans="1:2" x14ac:dyDescent="0.15">
      <c r="A5278" s="15"/>
      <c r="B5278" s="15"/>
    </row>
    <row r="5279" spans="1:2" x14ac:dyDescent="0.15">
      <c r="A5279" s="15"/>
      <c r="B5279" s="15"/>
    </row>
    <row r="5280" spans="1:2" x14ac:dyDescent="0.15">
      <c r="A5280" s="15"/>
      <c r="B5280" s="15"/>
    </row>
    <row r="5281" spans="1:2" x14ac:dyDescent="0.15">
      <c r="A5281" s="15"/>
      <c r="B5281" s="15"/>
    </row>
    <row r="5282" spans="1:2" x14ac:dyDescent="0.15">
      <c r="A5282" s="15"/>
      <c r="B5282" s="15"/>
    </row>
    <row r="5283" spans="1:2" x14ac:dyDescent="0.15">
      <c r="A5283" s="15"/>
      <c r="B5283" s="15"/>
    </row>
    <row r="5284" spans="1:2" x14ac:dyDescent="0.15">
      <c r="A5284" s="15"/>
      <c r="B5284" s="15"/>
    </row>
    <row r="5285" spans="1:2" x14ac:dyDescent="0.15">
      <c r="A5285" s="15"/>
      <c r="B5285" s="15"/>
    </row>
    <row r="5286" spans="1:2" x14ac:dyDescent="0.15">
      <c r="A5286" s="15"/>
      <c r="B5286" s="15"/>
    </row>
    <row r="5287" spans="1:2" x14ac:dyDescent="0.15">
      <c r="A5287" s="15"/>
      <c r="B5287" s="15"/>
    </row>
    <row r="5288" spans="1:2" x14ac:dyDescent="0.15">
      <c r="A5288" s="15"/>
      <c r="B5288" s="15"/>
    </row>
    <row r="5289" spans="1:2" x14ac:dyDescent="0.15">
      <c r="A5289" s="15"/>
      <c r="B5289" s="15"/>
    </row>
    <row r="5290" spans="1:2" x14ac:dyDescent="0.15">
      <c r="A5290" s="15"/>
      <c r="B5290" s="15"/>
    </row>
    <row r="5291" spans="1:2" x14ac:dyDescent="0.15">
      <c r="A5291" s="15"/>
      <c r="B5291" s="15"/>
    </row>
    <row r="5292" spans="1:2" x14ac:dyDescent="0.15">
      <c r="A5292" s="15"/>
      <c r="B5292" s="15"/>
    </row>
    <row r="5293" spans="1:2" x14ac:dyDescent="0.15">
      <c r="A5293" s="15"/>
      <c r="B5293" s="15"/>
    </row>
    <row r="5294" spans="1:2" x14ac:dyDescent="0.15">
      <c r="A5294" s="15"/>
      <c r="B5294" s="15"/>
    </row>
    <row r="5295" spans="1:2" x14ac:dyDescent="0.15">
      <c r="A5295" s="15"/>
      <c r="B5295" s="15"/>
    </row>
    <row r="5296" spans="1:2" x14ac:dyDescent="0.15">
      <c r="A5296" s="15"/>
      <c r="B5296" s="15"/>
    </row>
    <row r="5297" spans="1:2" x14ac:dyDescent="0.15">
      <c r="A5297" s="15"/>
      <c r="B5297" s="15"/>
    </row>
    <row r="5298" spans="1:2" x14ac:dyDescent="0.15">
      <c r="A5298" s="15"/>
      <c r="B5298" s="15"/>
    </row>
    <row r="5299" spans="1:2" x14ac:dyDescent="0.15">
      <c r="A5299" s="15"/>
      <c r="B5299" s="15"/>
    </row>
    <row r="5300" spans="1:2" x14ac:dyDescent="0.15">
      <c r="A5300" s="15"/>
      <c r="B5300" s="15"/>
    </row>
    <row r="5301" spans="1:2" x14ac:dyDescent="0.15">
      <c r="A5301" s="15"/>
      <c r="B5301" s="15"/>
    </row>
    <row r="5302" spans="1:2" x14ac:dyDescent="0.15">
      <c r="A5302" s="15"/>
      <c r="B5302" s="15"/>
    </row>
    <row r="5303" spans="1:2" x14ac:dyDescent="0.15">
      <c r="A5303" s="15"/>
      <c r="B5303" s="15"/>
    </row>
    <row r="5304" spans="1:2" x14ac:dyDescent="0.15">
      <c r="A5304" s="15"/>
      <c r="B5304" s="15"/>
    </row>
    <row r="5305" spans="1:2" x14ac:dyDescent="0.15">
      <c r="A5305" s="15"/>
      <c r="B5305" s="15"/>
    </row>
    <row r="5306" spans="1:2" x14ac:dyDescent="0.15">
      <c r="A5306" s="15"/>
      <c r="B5306" s="15"/>
    </row>
    <row r="5307" spans="1:2" x14ac:dyDescent="0.15">
      <c r="A5307" s="15"/>
      <c r="B5307" s="15"/>
    </row>
    <row r="5308" spans="1:2" x14ac:dyDescent="0.15">
      <c r="A5308" s="15"/>
      <c r="B5308" s="15"/>
    </row>
    <row r="5309" spans="1:2" x14ac:dyDescent="0.15">
      <c r="A5309" s="15"/>
      <c r="B5309" s="15"/>
    </row>
    <row r="5310" spans="1:2" x14ac:dyDescent="0.15">
      <c r="A5310" s="15"/>
      <c r="B5310" s="15"/>
    </row>
    <row r="5311" spans="1:2" x14ac:dyDescent="0.15">
      <c r="A5311" s="15"/>
      <c r="B5311" s="15"/>
    </row>
    <row r="5312" spans="1:2" x14ac:dyDescent="0.15">
      <c r="A5312" s="15"/>
      <c r="B5312" s="15"/>
    </row>
    <row r="5313" spans="1:2" x14ac:dyDescent="0.15">
      <c r="A5313" s="15"/>
      <c r="B5313" s="15"/>
    </row>
    <row r="5314" spans="1:2" x14ac:dyDescent="0.15">
      <c r="A5314" s="15"/>
      <c r="B5314" s="15"/>
    </row>
    <row r="5315" spans="1:2" x14ac:dyDescent="0.15">
      <c r="A5315" s="15"/>
      <c r="B5315" s="15"/>
    </row>
    <row r="5316" spans="1:2" x14ac:dyDescent="0.15">
      <c r="A5316" s="15"/>
      <c r="B5316" s="15"/>
    </row>
    <row r="5317" spans="1:2" x14ac:dyDescent="0.15">
      <c r="A5317" s="15"/>
      <c r="B5317" s="15"/>
    </row>
    <row r="5318" spans="1:2" x14ac:dyDescent="0.15">
      <c r="A5318" s="15"/>
      <c r="B5318" s="15"/>
    </row>
    <row r="5319" spans="1:2" x14ac:dyDescent="0.15">
      <c r="A5319" s="15"/>
      <c r="B5319" s="15"/>
    </row>
    <row r="5320" spans="1:2" x14ac:dyDescent="0.15">
      <c r="A5320" s="15"/>
      <c r="B5320" s="15"/>
    </row>
    <row r="5321" spans="1:2" x14ac:dyDescent="0.15">
      <c r="A5321" s="15"/>
      <c r="B5321" s="15"/>
    </row>
    <row r="5322" spans="1:2" x14ac:dyDescent="0.15">
      <c r="A5322" s="15"/>
      <c r="B5322" s="15"/>
    </row>
    <row r="5323" spans="1:2" x14ac:dyDescent="0.15">
      <c r="A5323" s="15"/>
      <c r="B5323" s="15"/>
    </row>
    <row r="5324" spans="1:2" x14ac:dyDescent="0.15">
      <c r="A5324" s="15"/>
      <c r="B5324" s="15"/>
    </row>
    <row r="5325" spans="1:2" x14ac:dyDescent="0.15">
      <c r="A5325" s="15"/>
      <c r="B5325" s="15"/>
    </row>
    <row r="5326" spans="1:2" x14ac:dyDescent="0.15">
      <c r="A5326" s="15"/>
      <c r="B5326" s="15"/>
    </row>
    <row r="5327" spans="1:2" x14ac:dyDescent="0.15">
      <c r="A5327" s="15"/>
      <c r="B5327" s="15"/>
    </row>
    <row r="5328" spans="1:2" x14ac:dyDescent="0.15">
      <c r="A5328" s="15"/>
      <c r="B5328" s="15"/>
    </row>
    <row r="5329" spans="1:2" x14ac:dyDescent="0.15">
      <c r="A5329" s="15"/>
      <c r="B5329" s="15"/>
    </row>
    <row r="5330" spans="1:2" x14ac:dyDescent="0.15">
      <c r="A5330" s="15"/>
      <c r="B5330" s="15"/>
    </row>
    <row r="5331" spans="1:2" x14ac:dyDescent="0.15">
      <c r="A5331" s="15"/>
      <c r="B5331" s="15"/>
    </row>
    <row r="5332" spans="1:2" x14ac:dyDescent="0.15">
      <c r="A5332" s="15"/>
      <c r="B5332" s="15"/>
    </row>
    <row r="5333" spans="1:2" x14ac:dyDescent="0.15">
      <c r="A5333" s="15"/>
      <c r="B5333" s="15"/>
    </row>
    <row r="5334" spans="1:2" x14ac:dyDescent="0.15">
      <c r="A5334" s="15"/>
      <c r="B5334" s="15"/>
    </row>
    <row r="5335" spans="1:2" x14ac:dyDescent="0.15">
      <c r="A5335" s="15"/>
      <c r="B5335" s="15"/>
    </row>
    <row r="5336" spans="1:2" x14ac:dyDescent="0.15">
      <c r="A5336" s="15"/>
      <c r="B5336" s="15"/>
    </row>
    <row r="5337" spans="1:2" x14ac:dyDescent="0.15">
      <c r="A5337" s="15"/>
      <c r="B5337" s="15"/>
    </row>
    <row r="5338" spans="1:2" x14ac:dyDescent="0.15">
      <c r="A5338" s="15"/>
      <c r="B5338" s="15"/>
    </row>
    <row r="5339" spans="1:2" x14ac:dyDescent="0.15">
      <c r="A5339" s="15"/>
      <c r="B5339" s="15"/>
    </row>
    <row r="5340" spans="1:2" x14ac:dyDescent="0.15">
      <c r="A5340" s="15"/>
      <c r="B5340" s="15"/>
    </row>
    <row r="5341" spans="1:2" x14ac:dyDescent="0.15">
      <c r="A5341" s="15"/>
      <c r="B5341" s="15"/>
    </row>
    <row r="5342" spans="1:2" x14ac:dyDescent="0.15">
      <c r="A5342" s="15"/>
      <c r="B5342" s="15"/>
    </row>
    <row r="5343" spans="1:2" x14ac:dyDescent="0.15">
      <c r="A5343" s="15"/>
      <c r="B5343" s="15"/>
    </row>
    <row r="5344" spans="1:2" x14ac:dyDescent="0.15">
      <c r="A5344" s="15"/>
      <c r="B5344" s="15"/>
    </row>
    <row r="5345" spans="1:2" x14ac:dyDescent="0.15">
      <c r="A5345" s="15"/>
      <c r="B5345" s="15"/>
    </row>
    <row r="5346" spans="1:2" x14ac:dyDescent="0.15">
      <c r="A5346" s="15"/>
      <c r="B5346" s="15"/>
    </row>
    <row r="5347" spans="1:2" x14ac:dyDescent="0.15">
      <c r="A5347" s="15"/>
      <c r="B5347" s="15"/>
    </row>
    <row r="5348" spans="1:2" x14ac:dyDescent="0.15">
      <c r="A5348" s="15"/>
      <c r="B5348" s="15"/>
    </row>
    <row r="5349" spans="1:2" x14ac:dyDescent="0.15">
      <c r="A5349" s="15"/>
      <c r="B5349" s="15"/>
    </row>
    <row r="5350" spans="1:2" x14ac:dyDescent="0.15">
      <c r="A5350" s="15"/>
      <c r="B5350" s="15"/>
    </row>
    <row r="5351" spans="1:2" x14ac:dyDescent="0.15">
      <c r="A5351" s="15"/>
      <c r="B5351" s="15"/>
    </row>
    <row r="5352" spans="1:2" x14ac:dyDescent="0.15">
      <c r="A5352" s="15"/>
      <c r="B5352" s="15"/>
    </row>
    <row r="5353" spans="1:2" x14ac:dyDescent="0.15">
      <c r="A5353" s="15"/>
      <c r="B5353" s="15"/>
    </row>
    <row r="5354" spans="1:2" x14ac:dyDescent="0.15">
      <c r="A5354" s="15"/>
      <c r="B5354" s="15"/>
    </row>
    <row r="5355" spans="1:2" x14ac:dyDescent="0.15">
      <c r="A5355" s="15"/>
      <c r="B5355" s="15"/>
    </row>
    <row r="5356" spans="1:2" x14ac:dyDescent="0.15">
      <c r="A5356" s="15"/>
      <c r="B5356" s="15"/>
    </row>
    <row r="5357" spans="1:2" x14ac:dyDescent="0.15">
      <c r="A5357" s="15"/>
      <c r="B5357" s="15"/>
    </row>
    <row r="5358" spans="1:2" x14ac:dyDescent="0.15">
      <c r="A5358" s="15"/>
      <c r="B5358" s="15"/>
    </row>
    <row r="5359" spans="1:2" x14ac:dyDescent="0.15">
      <c r="A5359" s="15"/>
      <c r="B5359" s="15"/>
    </row>
    <row r="5360" spans="1:2" x14ac:dyDescent="0.15">
      <c r="A5360" s="15"/>
      <c r="B5360" s="15"/>
    </row>
    <row r="5361" spans="1:2" x14ac:dyDescent="0.15">
      <c r="A5361" s="15"/>
      <c r="B5361" s="15"/>
    </row>
    <row r="5362" spans="1:2" x14ac:dyDescent="0.15">
      <c r="A5362" s="15"/>
      <c r="B5362" s="15"/>
    </row>
    <row r="5363" spans="1:2" x14ac:dyDescent="0.15">
      <c r="A5363" s="15"/>
      <c r="B5363" s="15"/>
    </row>
    <row r="5364" spans="1:2" x14ac:dyDescent="0.15">
      <c r="A5364" s="15"/>
      <c r="B5364" s="15"/>
    </row>
    <row r="5365" spans="1:2" x14ac:dyDescent="0.15">
      <c r="A5365" s="15"/>
      <c r="B5365" s="15"/>
    </row>
    <row r="5366" spans="1:2" x14ac:dyDescent="0.15">
      <c r="A5366" s="15"/>
      <c r="B5366" s="15"/>
    </row>
    <row r="5367" spans="1:2" x14ac:dyDescent="0.15">
      <c r="A5367" s="15"/>
      <c r="B5367" s="15"/>
    </row>
    <row r="5368" spans="1:2" x14ac:dyDescent="0.15">
      <c r="A5368" s="15"/>
      <c r="B5368" s="15"/>
    </row>
    <row r="5369" spans="1:2" x14ac:dyDescent="0.15">
      <c r="A5369" s="15"/>
      <c r="B5369" s="15"/>
    </row>
    <row r="5370" spans="1:2" x14ac:dyDescent="0.15">
      <c r="A5370" s="15"/>
      <c r="B5370" s="15"/>
    </row>
    <row r="5371" spans="1:2" x14ac:dyDescent="0.15">
      <c r="A5371" s="15"/>
      <c r="B5371" s="15"/>
    </row>
    <row r="5372" spans="1:2" x14ac:dyDescent="0.15">
      <c r="A5372" s="15"/>
      <c r="B5372" s="15"/>
    </row>
    <row r="5373" spans="1:2" x14ac:dyDescent="0.15">
      <c r="A5373" s="15"/>
      <c r="B5373" s="15"/>
    </row>
    <row r="5374" spans="1:2" x14ac:dyDescent="0.15">
      <c r="A5374" s="15"/>
      <c r="B5374" s="15"/>
    </row>
    <row r="5375" spans="1:2" x14ac:dyDescent="0.15">
      <c r="A5375" s="15"/>
      <c r="B5375" s="15"/>
    </row>
    <row r="5376" spans="1:2" x14ac:dyDescent="0.15">
      <c r="A5376" s="15"/>
      <c r="B5376" s="15"/>
    </row>
    <row r="5377" spans="1:2" x14ac:dyDescent="0.15">
      <c r="A5377" s="15"/>
      <c r="B5377" s="15"/>
    </row>
    <row r="5378" spans="1:2" x14ac:dyDescent="0.15">
      <c r="A5378" s="15"/>
      <c r="B5378" s="15"/>
    </row>
    <row r="5379" spans="1:2" x14ac:dyDescent="0.15">
      <c r="A5379" s="15"/>
      <c r="B5379" s="15"/>
    </row>
    <row r="5380" spans="1:2" x14ac:dyDescent="0.15">
      <c r="A5380" s="15"/>
      <c r="B5380" s="15"/>
    </row>
    <row r="5381" spans="1:2" x14ac:dyDescent="0.15">
      <c r="A5381" s="15"/>
      <c r="B5381" s="15"/>
    </row>
    <row r="5382" spans="1:2" x14ac:dyDescent="0.15">
      <c r="A5382" s="15"/>
      <c r="B5382" s="15"/>
    </row>
    <row r="5383" spans="1:2" x14ac:dyDescent="0.15">
      <c r="A5383" s="15"/>
      <c r="B5383" s="15"/>
    </row>
    <row r="5384" spans="1:2" x14ac:dyDescent="0.15">
      <c r="A5384" s="15"/>
      <c r="B5384" s="15"/>
    </row>
    <row r="5385" spans="1:2" x14ac:dyDescent="0.15">
      <c r="A5385" s="15"/>
      <c r="B5385" s="15"/>
    </row>
    <row r="5386" spans="1:2" x14ac:dyDescent="0.15">
      <c r="A5386" s="15"/>
      <c r="B5386" s="15"/>
    </row>
    <row r="5387" spans="1:2" x14ac:dyDescent="0.15">
      <c r="A5387" s="15"/>
      <c r="B5387" s="15"/>
    </row>
    <row r="5388" spans="1:2" x14ac:dyDescent="0.15">
      <c r="A5388" s="15"/>
      <c r="B5388" s="15"/>
    </row>
    <row r="5389" spans="1:2" x14ac:dyDescent="0.15">
      <c r="A5389" s="15"/>
      <c r="B5389" s="15"/>
    </row>
    <row r="5390" spans="1:2" x14ac:dyDescent="0.15">
      <c r="A5390" s="15"/>
      <c r="B5390" s="15"/>
    </row>
    <row r="5391" spans="1:2" x14ac:dyDescent="0.15">
      <c r="A5391" s="15"/>
      <c r="B5391" s="15"/>
    </row>
    <row r="5392" spans="1:2" x14ac:dyDescent="0.15">
      <c r="A5392" s="15"/>
      <c r="B5392" s="15"/>
    </row>
    <row r="5393" spans="1:2" x14ac:dyDescent="0.15">
      <c r="A5393" s="15"/>
      <c r="B5393" s="15"/>
    </row>
    <row r="5394" spans="1:2" x14ac:dyDescent="0.15">
      <c r="A5394" s="15"/>
      <c r="B5394" s="15"/>
    </row>
    <row r="5395" spans="1:2" x14ac:dyDescent="0.15">
      <c r="A5395" s="15"/>
      <c r="B5395" s="15"/>
    </row>
    <row r="5396" spans="1:2" x14ac:dyDescent="0.15">
      <c r="A5396" s="15"/>
      <c r="B5396" s="15"/>
    </row>
    <row r="5397" spans="1:2" x14ac:dyDescent="0.15">
      <c r="A5397" s="15"/>
      <c r="B5397" s="15"/>
    </row>
    <row r="5398" spans="1:2" x14ac:dyDescent="0.15">
      <c r="A5398" s="15"/>
      <c r="B5398" s="15"/>
    </row>
    <row r="5399" spans="1:2" x14ac:dyDescent="0.15">
      <c r="A5399" s="15"/>
      <c r="B5399" s="15"/>
    </row>
    <row r="5400" spans="1:2" x14ac:dyDescent="0.15">
      <c r="A5400" s="15"/>
      <c r="B5400" s="15"/>
    </row>
    <row r="5401" spans="1:2" x14ac:dyDescent="0.15">
      <c r="A5401" s="15"/>
      <c r="B5401" s="15"/>
    </row>
    <row r="5402" spans="1:2" x14ac:dyDescent="0.15">
      <c r="A5402" s="15"/>
      <c r="B5402" s="15"/>
    </row>
    <row r="5403" spans="1:2" x14ac:dyDescent="0.15">
      <c r="A5403" s="15"/>
      <c r="B5403" s="15"/>
    </row>
    <row r="5404" spans="1:2" x14ac:dyDescent="0.15">
      <c r="A5404" s="15"/>
      <c r="B5404" s="15"/>
    </row>
    <row r="5405" spans="1:2" x14ac:dyDescent="0.15">
      <c r="A5405" s="15"/>
      <c r="B5405" s="15"/>
    </row>
    <row r="5406" spans="1:2" x14ac:dyDescent="0.15">
      <c r="A5406" s="15"/>
      <c r="B5406" s="15"/>
    </row>
    <row r="5407" spans="1:2" x14ac:dyDescent="0.15">
      <c r="A5407" s="15"/>
      <c r="B5407" s="15"/>
    </row>
    <row r="5408" spans="1:2" x14ac:dyDescent="0.15">
      <c r="A5408" s="15"/>
      <c r="B5408" s="15"/>
    </row>
    <row r="5409" spans="1:2" x14ac:dyDescent="0.15">
      <c r="A5409" s="15"/>
      <c r="B5409" s="15"/>
    </row>
    <row r="5410" spans="1:2" x14ac:dyDescent="0.15">
      <c r="A5410" s="15"/>
      <c r="B5410" s="15"/>
    </row>
    <row r="5411" spans="1:2" x14ac:dyDescent="0.15">
      <c r="A5411" s="15"/>
      <c r="B5411" s="15"/>
    </row>
    <row r="5412" spans="1:2" x14ac:dyDescent="0.15">
      <c r="A5412" s="15"/>
      <c r="B5412" s="15"/>
    </row>
    <row r="5413" spans="1:2" x14ac:dyDescent="0.15">
      <c r="A5413" s="15"/>
      <c r="B5413" s="15"/>
    </row>
    <row r="5414" spans="1:2" x14ac:dyDescent="0.15">
      <c r="A5414" s="15"/>
      <c r="B5414" s="15"/>
    </row>
    <row r="5415" spans="1:2" x14ac:dyDescent="0.15">
      <c r="A5415" s="15"/>
      <c r="B5415" s="15"/>
    </row>
    <row r="5416" spans="1:2" x14ac:dyDescent="0.15">
      <c r="A5416" s="15"/>
      <c r="B5416" s="15"/>
    </row>
    <row r="5417" spans="1:2" x14ac:dyDescent="0.15">
      <c r="A5417" s="15"/>
      <c r="B5417" s="15"/>
    </row>
    <row r="5418" spans="1:2" x14ac:dyDescent="0.15">
      <c r="A5418" s="15"/>
      <c r="B5418" s="15"/>
    </row>
    <row r="5419" spans="1:2" x14ac:dyDescent="0.15">
      <c r="A5419" s="15"/>
      <c r="B5419" s="15"/>
    </row>
    <row r="5420" spans="1:2" x14ac:dyDescent="0.15">
      <c r="A5420" s="15"/>
      <c r="B5420" s="15"/>
    </row>
    <row r="5421" spans="1:2" x14ac:dyDescent="0.15">
      <c r="A5421" s="15"/>
      <c r="B5421" s="15"/>
    </row>
    <row r="5422" spans="1:2" x14ac:dyDescent="0.15">
      <c r="A5422" s="15"/>
      <c r="B5422" s="15"/>
    </row>
    <row r="5423" spans="1:2" x14ac:dyDescent="0.15">
      <c r="A5423" s="15"/>
      <c r="B5423" s="15"/>
    </row>
    <row r="5424" spans="1:2" x14ac:dyDescent="0.15">
      <c r="A5424" s="15"/>
      <c r="B5424" s="15"/>
    </row>
    <row r="5425" spans="1:2" x14ac:dyDescent="0.15">
      <c r="A5425" s="15"/>
      <c r="B5425" s="15"/>
    </row>
    <row r="5426" spans="1:2" x14ac:dyDescent="0.15">
      <c r="A5426" s="15"/>
      <c r="B5426" s="15"/>
    </row>
    <row r="5427" spans="1:2" x14ac:dyDescent="0.15">
      <c r="A5427" s="15"/>
      <c r="B5427" s="15"/>
    </row>
    <row r="5428" spans="1:2" x14ac:dyDescent="0.15">
      <c r="A5428" s="15"/>
      <c r="B5428" s="15"/>
    </row>
    <row r="5429" spans="1:2" x14ac:dyDescent="0.15">
      <c r="A5429" s="15"/>
      <c r="B5429" s="15"/>
    </row>
    <row r="5430" spans="1:2" x14ac:dyDescent="0.15">
      <c r="A5430" s="15"/>
      <c r="B5430" s="15"/>
    </row>
    <row r="5431" spans="1:2" x14ac:dyDescent="0.15">
      <c r="A5431" s="15"/>
      <c r="B5431" s="15"/>
    </row>
    <row r="5432" spans="1:2" x14ac:dyDescent="0.15">
      <c r="A5432" s="15"/>
      <c r="B5432" s="15"/>
    </row>
    <row r="5433" spans="1:2" x14ac:dyDescent="0.15">
      <c r="A5433" s="15"/>
      <c r="B5433" s="15"/>
    </row>
    <row r="5434" spans="1:2" x14ac:dyDescent="0.15">
      <c r="A5434" s="15"/>
      <c r="B5434" s="15"/>
    </row>
    <row r="5435" spans="1:2" x14ac:dyDescent="0.15">
      <c r="A5435" s="15"/>
      <c r="B5435" s="15"/>
    </row>
    <row r="5436" spans="1:2" x14ac:dyDescent="0.15">
      <c r="A5436" s="15"/>
      <c r="B5436" s="15"/>
    </row>
    <row r="5437" spans="1:2" x14ac:dyDescent="0.15">
      <c r="A5437" s="15"/>
      <c r="B5437" s="15"/>
    </row>
    <row r="5438" spans="1:2" x14ac:dyDescent="0.15">
      <c r="A5438" s="15"/>
      <c r="B5438" s="15"/>
    </row>
    <row r="5439" spans="1:2" x14ac:dyDescent="0.15">
      <c r="A5439" s="15"/>
      <c r="B5439" s="15"/>
    </row>
    <row r="5440" spans="1:2" x14ac:dyDescent="0.15">
      <c r="A5440" s="15"/>
      <c r="B5440" s="15"/>
    </row>
    <row r="5441" spans="1:2" x14ac:dyDescent="0.15">
      <c r="A5441" s="15"/>
      <c r="B5441" s="15"/>
    </row>
    <row r="5442" spans="1:2" x14ac:dyDescent="0.15">
      <c r="A5442" s="15"/>
      <c r="B5442" s="15"/>
    </row>
    <row r="5443" spans="1:2" x14ac:dyDescent="0.15">
      <c r="A5443" s="15"/>
      <c r="B5443" s="15"/>
    </row>
    <row r="5444" spans="1:2" x14ac:dyDescent="0.15">
      <c r="A5444" s="15"/>
      <c r="B5444" s="15"/>
    </row>
    <row r="5445" spans="1:2" x14ac:dyDescent="0.15">
      <c r="A5445" s="15"/>
      <c r="B5445" s="15"/>
    </row>
    <row r="5446" spans="1:2" x14ac:dyDescent="0.15">
      <c r="A5446" s="15"/>
      <c r="B5446" s="15"/>
    </row>
    <row r="5447" spans="1:2" x14ac:dyDescent="0.15">
      <c r="A5447" s="15"/>
      <c r="B5447" s="15"/>
    </row>
    <row r="5448" spans="1:2" x14ac:dyDescent="0.15">
      <c r="A5448" s="15"/>
      <c r="B5448" s="15"/>
    </row>
    <row r="5449" spans="1:2" x14ac:dyDescent="0.15">
      <c r="A5449" s="15"/>
      <c r="B5449" s="15"/>
    </row>
    <row r="5450" spans="1:2" x14ac:dyDescent="0.15">
      <c r="A5450" s="15"/>
      <c r="B5450" s="15"/>
    </row>
    <row r="5451" spans="1:2" x14ac:dyDescent="0.15">
      <c r="A5451" s="15"/>
      <c r="B5451" s="15"/>
    </row>
    <row r="5452" spans="1:2" x14ac:dyDescent="0.15">
      <c r="A5452" s="15"/>
      <c r="B5452" s="15"/>
    </row>
    <row r="5453" spans="1:2" x14ac:dyDescent="0.15">
      <c r="A5453" s="15"/>
      <c r="B5453" s="15"/>
    </row>
    <row r="5454" spans="1:2" x14ac:dyDescent="0.15">
      <c r="A5454" s="15"/>
      <c r="B5454" s="15"/>
    </row>
    <row r="5455" spans="1:2" x14ac:dyDescent="0.15">
      <c r="A5455" s="15"/>
      <c r="B5455" s="15"/>
    </row>
    <row r="5456" spans="1:2" x14ac:dyDescent="0.15">
      <c r="A5456" s="15"/>
      <c r="B5456" s="15"/>
    </row>
    <row r="5457" spans="1:2" x14ac:dyDescent="0.15">
      <c r="A5457" s="15"/>
      <c r="B5457" s="15"/>
    </row>
    <row r="5458" spans="1:2" x14ac:dyDescent="0.15">
      <c r="A5458" s="15"/>
      <c r="B5458" s="15"/>
    </row>
    <row r="5459" spans="1:2" x14ac:dyDescent="0.15">
      <c r="A5459" s="15"/>
      <c r="B5459" s="15"/>
    </row>
    <row r="5460" spans="1:2" x14ac:dyDescent="0.15">
      <c r="A5460" s="15"/>
      <c r="B5460" s="15"/>
    </row>
    <row r="5461" spans="1:2" x14ac:dyDescent="0.15">
      <c r="A5461" s="15"/>
      <c r="B5461" s="15"/>
    </row>
    <row r="5462" spans="1:2" x14ac:dyDescent="0.15">
      <c r="A5462" s="15"/>
      <c r="B5462" s="15"/>
    </row>
    <row r="5463" spans="1:2" x14ac:dyDescent="0.15">
      <c r="A5463" s="15"/>
      <c r="B5463" s="15"/>
    </row>
    <row r="5464" spans="1:2" x14ac:dyDescent="0.15">
      <c r="A5464" s="15"/>
      <c r="B5464" s="15"/>
    </row>
    <row r="5465" spans="1:2" x14ac:dyDescent="0.15">
      <c r="A5465" s="15"/>
      <c r="B5465" s="15"/>
    </row>
    <row r="5466" spans="1:2" x14ac:dyDescent="0.15">
      <c r="A5466" s="15"/>
      <c r="B5466" s="15"/>
    </row>
    <row r="5467" spans="1:2" x14ac:dyDescent="0.15">
      <c r="A5467" s="15"/>
      <c r="B5467" s="15"/>
    </row>
    <row r="5468" spans="1:2" x14ac:dyDescent="0.15">
      <c r="A5468" s="15"/>
      <c r="B5468" s="15"/>
    </row>
    <row r="5469" spans="1:2" x14ac:dyDescent="0.15">
      <c r="A5469" s="15"/>
      <c r="B5469" s="15"/>
    </row>
    <row r="5470" spans="1:2" x14ac:dyDescent="0.15">
      <c r="A5470" s="15"/>
      <c r="B5470" s="15"/>
    </row>
    <row r="5471" spans="1:2" x14ac:dyDescent="0.15">
      <c r="A5471" s="15"/>
      <c r="B5471" s="15"/>
    </row>
    <row r="5472" spans="1:2" x14ac:dyDescent="0.15">
      <c r="A5472" s="15"/>
      <c r="B5472" s="15"/>
    </row>
    <row r="5473" spans="1:2" x14ac:dyDescent="0.15">
      <c r="A5473" s="15"/>
      <c r="B5473" s="15"/>
    </row>
    <row r="5474" spans="1:2" x14ac:dyDescent="0.15">
      <c r="A5474" s="15"/>
      <c r="B5474" s="15"/>
    </row>
    <row r="5475" spans="1:2" x14ac:dyDescent="0.15">
      <c r="A5475" s="15"/>
      <c r="B5475" s="15"/>
    </row>
    <row r="5476" spans="1:2" x14ac:dyDescent="0.15">
      <c r="A5476" s="15"/>
      <c r="B5476" s="15"/>
    </row>
    <row r="5477" spans="1:2" x14ac:dyDescent="0.15">
      <c r="A5477" s="15"/>
      <c r="B5477" s="15"/>
    </row>
    <row r="5478" spans="1:2" x14ac:dyDescent="0.15">
      <c r="A5478" s="15"/>
      <c r="B5478" s="15"/>
    </row>
    <row r="5479" spans="1:2" x14ac:dyDescent="0.15">
      <c r="A5479" s="15"/>
      <c r="B5479" s="15"/>
    </row>
    <row r="5480" spans="1:2" x14ac:dyDescent="0.15">
      <c r="A5480" s="15"/>
      <c r="B5480" s="15"/>
    </row>
    <row r="5481" spans="1:2" x14ac:dyDescent="0.15">
      <c r="A5481" s="15"/>
      <c r="B5481" s="15"/>
    </row>
    <row r="5482" spans="1:2" x14ac:dyDescent="0.15">
      <c r="A5482" s="15"/>
      <c r="B5482" s="15"/>
    </row>
    <row r="5483" spans="1:2" x14ac:dyDescent="0.15">
      <c r="A5483" s="15"/>
      <c r="B5483" s="15"/>
    </row>
    <row r="5484" spans="1:2" x14ac:dyDescent="0.15">
      <c r="A5484" s="15"/>
      <c r="B5484" s="15"/>
    </row>
    <row r="5485" spans="1:2" x14ac:dyDescent="0.15">
      <c r="A5485" s="15"/>
      <c r="B5485" s="15"/>
    </row>
    <row r="5486" spans="1:2" x14ac:dyDescent="0.15">
      <c r="A5486" s="15"/>
      <c r="B5486" s="15"/>
    </row>
    <row r="5487" spans="1:2" x14ac:dyDescent="0.15">
      <c r="A5487" s="15"/>
      <c r="B5487" s="15"/>
    </row>
    <row r="5488" spans="1:2" x14ac:dyDescent="0.15">
      <c r="A5488" s="15"/>
      <c r="B5488" s="15"/>
    </row>
    <row r="5489" spans="1:2" x14ac:dyDescent="0.15">
      <c r="A5489" s="15"/>
      <c r="B5489" s="15"/>
    </row>
    <row r="5490" spans="1:2" x14ac:dyDescent="0.15">
      <c r="A5490" s="15"/>
      <c r="B5490" s="15"/>
    </row>
    <row r="5491" spans="1:2" x14ac:dyDescent="0.15">
      <c r="A5491" s="15"/>
      <c r="B5491" s="15"/>
    </row>
    <row r="5492" spans="1:2" x14ac:dyDescent="0.15">
      <c r="A5492" s="15"/>
      <c r="B5492" s="15"/>
    </row>
    <row r="5493" spans="1:2" x14ac:dyDescent="0.15">
      <c r="A5493" s="15"/>
      <c r="B5493" s="15"/>
    </row>
    <row r="5494" spans="1:2" x14ac:dyDescent="0.15">
      <c r="A5494" s="15"/>
      <c r="B5494" s="15"/>
    </row>
    <row r="5495" spans="1:2" x14ac:dyDescent="0.15">
      <c r="A5495" s="15"/>
      <c r="B5495" s="15"/>
    </row>
    <row r="5496" spans="1:2" x14ac:dyDescent="0.15">
      <c r="A5496" s="15"/>
      <c r="B5496" s="15"/>
    </row>
    <row r="5497" spans="1:2" x14ac:dyDescent="0.15">
      <c r="A5497" s="15"/>
      <c r="B5497" s="15"/>
    </row>
    <row r="5498" spans="1:2" x14ac:dyDescent="0.15">
      <c r="A5498" s="15"/>
      <c r="B5498" s="15"/>
    </row>
    <row r="5499" spans="1:2" x14ac:dyDescent="0.15">
      <c r="A5499" s="15"/>
      <c r="B5499" s="15"/>
    </row>
    <row r="5500" spans="1:2" x14ac:dyDescent="0.15">
      <c r="A5500" s="15"/>
      <c r="B5500" s="15"/>
    </row>
    <row r="5501" spans="1:2" x14ac:dyDescent="0.15">
      <c r="A5501" s="15"/>
      <c r="B5501" s="15"/>
    </row>
    <row r="5502" spans="1:2" x14ac:dyDescent="0.15">
      <c r="A5502" s="15"/>
      <c r="B5502" s="15"/>
    </row>
    <row r="5503" spans="1:2" x14ac:dyDescent="0.15">
      <c r="A5503" s="15"/>
      <c r="B5503" s="15"/>
    </row>
    <row r="5504" spans="1:2" x14ac:dyDescent="0.15">
      <c r="A5504" s="15"/>
      <c r="B5504" s="15"/>
    </row>
    <row r="5505" spans="1:2" x14ac:dyDescent="0.15">
      <c r="A5505" s="15"/>
      <c r="B5505" s="15"/>
    </row>
    <row r="5506" spans="1:2" x14ac:dyDescent="0.15">
      <c r="A5506" s="15"/>
      <c r="B5506" s="15"/>
    </row>
    <row r="5507" spans="1:2" x14ac:dyDescent="0.15">
      <c r="A5507" s="15"/>
      <c r="B5507" s="15"/>
    </row>
    <row r="5508" spans="1:2" x14ac:dyDescent="0.15">
      <c r="A5508" s="15"/>
      <c r="B5508" s="15"/>
    </row>
    <row r="5509" spans="1:2" x14ac:dyDescent="0.15">
      <c r="A5509" s="15"/>
      <c r="B5509" s="15"/>
    </row>
    <row r="5510" spans="1:2" x14ac:dyDescent="0.15">
      <c r="A5510" s="15"/>
      <c r="B5510" s="15"/>
    </row>
    <row r="5511" spans="1:2" x14ac:dyDescent="0.15">
      <c r="A5511" s="15"/>
      <c r="B5511" s="15"/>
    </row>
    <row r="5512" spans="1:2" x14ac:dyDescent="0.15">
      <c r="A5512" s="15"/>
      <c r="B5512" s="15"/>
    </row>
    <row r="5513" spans="1:2" x14ac:dyDescent="0.15">
      <c r="A5513" s="15"/>
      <c r="B5513" s="15"/>
    </row>
    <row r="5514" spans="1:2" x14ac:dyDescent="0.15">
      <c r="A5514" s="15"/>
      <c r="B5514" s="15"/>
    </row>
    <row r="5515" spans="1:2" x14ac:dyDescent="0.15">
      <c r="A5515" s="15"/>
      <c r="B5515" s="15"/>
    </row>
    <row r="5516" spans="1:2" x14ac:dyDescent="0.15">
      <c r="A5516" s="15"/>
      <c r="B5516" s="15"/>
    </row>
    <row r="5517" spans="1:2" x14ac:dyDescent="0.15">
      <c r="A5517" s="15"/>
      <c r="B5517" s="15"/>
    </row>
    <row r="5518" spans="1:2" x14ac:dyDescent="0.15">
      <c r="A5518" s="15"/>
      <c r="B5518" s="15"/>
    </row>
    <row r="5519" spans="1:2" x14ac:dyDescent="0.15">
      <c r="A5519" s="15"/>
      <c r="B5519" s="15"/>
    </row>
    <row r="5520" spans="1:2" x14ac:dyDescent="0.15">
      <c r="A5520" s="15"/>
      <c r="B5520" s="15"/>
    </row>
    <row r="5521" spans="1:2" x14ac:dyDescent="0.15">
      <c r="A5521" s="15"/>
      <c r="B5521" s="15"/>
    </row>
    <row r="5522" spans="1:2" x14ac:dyDescent="0.15">
      <c r="A5522" s="15"/>
      <c r="B5522" s="15"/>
    </row>
    <row r="5523" spans="1:2" x14ac:dyDescent="0.15">
      <c r="A5523" s="15"/>
      <c r="B5523" s="15"/>
    </row>
    <row r="5524" spans="1:2" x14ac:dyDescent="0.15">
      <c r="A5524" s="15"/>
      <c r="B5524" s="15"/>
    </row>
    <row r="5525" spans="1:2" x14ac:dyDescent="0.15">
      <c r="A5525" s="15"/>
      <c r="B5525" s="15"/>
    </row>
    <row r="5526" spans="1:2" x14ac:dyDescent="0.15">
      <c r="A5526" s="15"/>
      <c r="B5526" s="15"/>
    </row>
    <row r="5527" spans="1:2" x14ac:dyDescent="0.15">
      <c r="A5527" s="15"/>
      <c r="B5527" s="15"/>
    </row>
    <row r="5528" spans="1:2" x14ac:dyDescent="0.15">
      <c r="A5528" s="15"/>
      <c r="B5528" s="15"/>
    </row>
    <row r="5529" spans="1:2" x14ac:dyDescent="0.15">
      <c r="A5529" s="15"/>
      <c r="B5529" s="15"/>
    </row>
    <row r="5530" spans="1:2" x14ac:dyDescent="0.15">
      <c r="A5530" s="15"/>
      <c r="B5530" s="15"/>
    </row>
    <row r="5531" spans="1:2" x14ac:dyDescent="0.15">
      <c r="A5531" s="15"/>
      <c r="B5531" s="15"/>
    </row>
    <row r="5532" spans="1:2" x14ac:dyDescent="0.15">
      <c r="A5532" s="15"/>
      <c r="B5532" s="15"/>
    </row>
    <row r="5533" spans="1:2" x14ac:dyDescent="0.15">
      <c r="A5533" s="15"/>
      <c r="B5533" s="15"/>
    </row>
    <row r="5534" spans="1:2" x14ac:dyDescent="0.15">
      <c r="A5534" s="15"/>
      <c r="B5534" s="15"/>
    </row>
    <row r="5535" spans="1:2" x14ac:dyDescent="0.15">
      <c r="A5535" s="15"/>
      <c r="B5535" s="15"/>
    </row>
    <row r="5536" spans="1:2" x14ac:dyDescent="0.15">
      <c r="A5536" s="15"/>
      <c r="B5536" s="15"/>
    </row>
    <row r="5537" spans="1:2" x14ac:dyDescent="0.15">
      <c r="A5537" s="15"/>
      <c r="B5537" s="15"/>
    </row>
    <row r="5538" spans="1:2" x14ac:dyDescent="0.15">
      <c r="A5538" s="15"/>
      <c r="B5538" s="15"/>
    </row>
    <row r="5539" spans="1:2" x14ac:dyDescent="0.15">
      <c r="A5539" s="15"/>
      <c r="B5539" s="15"/>
    </row>
    <row r="5540" spans="1:2" x14ac:dyDescent="0.15">
      <c r="A5540" s="15"/>
      <c r="B5540" s="15"/>
    </row>
    <row r="5541" spans="1:2" x14ac:dyDescent="0.15">
      <c r="A5541" s="15"/>
      <c r="B5541" s="15"/>
    </row>
    <row r="5542" spans="1:2" x14ac:dyDescent="0.15">
      <c r="A5542" s="15"/>
      <c r="B5542" s="15"/>
    </row>
    <row r="5543" spans="1:2" x14ac:dyDescent="0.15">
      <c r="A5543" s="15"/>
      <c r="B5543" s="15"/>
    </row>
    <row r="5544" spans="1:2" x14ac:dyDescent="0.15">
      <c r="A5544" s="15"/>
      <c r="B5544" s="15"/>
    </row>
    <row r="5545" spans="1:2" x14ac:dyDescent="0.15">
      <c r="A5545" s="15"/>
      <c r="B5545" s="15"/>
    </row>
    <row r="5546" spans="1:2" x14ac:dyDescent="0.15">
      <c r="A5546" s="15"/>
      <c r="B5546" s="15"/>
    </row>
    <row r="5547" spans="1:2" x14ac:dyDescent="0.15">
      <c r="A5547" s="15"/>
      <c r="B5547" s="15"/>
    </row>
    <row r="5548" spans="1:2" x14ac:dyDescent="0.15">
      <c r="A5548" s="15"/>
      <c r="B5548" s="15"/>
    </row>
    <row r="5549" spans="1:2" x14ac:dyDescent="0.15">
      <c r="A5549" s="15"/>
      <c r="B5549" s="15"/>
    </row>
    <row r="5550" spans="1:2" x14ac:dyDescent="0.15">
      <c r="A5550" s="15"/>
      <c r="B5550" s="15"/>
    </row>
    <row r="5551" spans="1:2" x14ac:dyDescent="0.15">
      <c r="A5551" s="15"/>
      <c r="B5551" s="15"/>
    </row>
    <row r="5552" spans="1:2" x14ac:dyDescent="0.15">
      <c r="A5552" s="15"/>
      <c r="B5552" s="15"/>
    </row>
    <row r="5553" spans="1:2" x14ac:dyDescent="0.15">
      <c r="A5553" s="15"/>
      <c r="B5553" s="15"/>
    </row>
    <row r="5554" spans="1:2" x14ac:dyDescent="0.15">
      <c r="A5554" s="15"/>
      <c r="B5554" s="15"/>
    </row>
    <row r="5555" spans="1:2" x14ac:dyDescent="0.15">
      <c r="A5555" s="15"/>
      <c r="B5555" s="15"/>
    </row>
    <row r="5556" spans="1:2" x14ac:dyDescent="0.15">
      <c r="A5556" s="15"/>
      <c r="B5556" s="15"/>
    </row>
    <row r="5557" spans="1:2" x14ac:dyDescent="0.15">
      <c r="A5557" s="15"/>
      <c r="B5557" s="15"/>
    </row>
    <row r="5558" spans="1:2" x14ac:dyDescent="0.15">
      <c r="A5558" s="15"/>
      <c r="B5558" s="15"/>
    </row>
    <row r="5559" spans="1:2" x14ac:dyDescent="0.15">
      <c r="A5559" s="15"/>
      <c r="B5559" s="15"/>
    </row>
    <row r="5560" spans="1:2" x14ac:dyDescent="0.15">
      <c r="A5560" s="15"/>
      <c r="B5560" s="15"/>
    </row>
    <row r="5561" spans="1:2" x14ac:dyDescent="0.15">
      <c r="A5561" s="15"/>
      <c r="B5561" s="15"/>
    </row>
    <row r="5562" spans="1:2" x14ac:dyDescent="0.15">
      <c r="A5562" s="15"/>
      <c r="B5562" s="15"/>
    </row>
    <row r="5563" spans="1:2" x14ac:dyDescent="0.15">
      <c r="A5563" s="15"/>
      <c r="B5563" s="15"/>
    </row>
    <row r="5564" spans="1:2" x14ac:dyDescent="0.15">
      <c r="A5564" s="15"/>
      <c r="B5564" s="15"/>
    </row>
    <row r="5565" spans="1:2" x14ac:dyDescent="0.15">
      <c r="A5565" s="15"/>
      <c r="B5565" s="15"/>
    </row>
    <row r="5566" spans="1:2" x14ac:dyDescent="0.15">
      <c r="A5566" s="15"/>
      <c r="B5566" s="15"/>
    </row>
    <row r="5567" spans="1:2" x14ac:dyDescent="0.15">
      <c r="A5567" s="15"/>
      <c r="B5567" s="15"/>
    </row>
    <row r="5568" spans="1:2" x14ac:dyDescent="0.15">
      <c r="A5568" s="15"/>
      <c r="B5568" s="15"/>
    </row>
    <row r="5569" spans="1:2" x14ac:dyDescent="0.15">
      <c r="A5569" s="15"/>
      <c r="B5569" s="15"/>
    </row>
    <row r="5570" spans="1:2" x14ac:dyDescent="0.15">
      <c r="A5570" s="15"/>
      <c r="B5570" s="15"/>
    </row>
    <row r="5571" spans="1:2" x14ac:dyDescent="0.15">
      <c r="A5571" s="15"/>
      <c r="B5571" s="15"/>
    </row>
    <row r="5572" spans="1:2" x14ac:dyDescent="0.15">
      <c r="A5572" s="15"/>
      <c r="B5572" s="15"/>
    </row>
    <row r="5573" spans="1:2" x14ac:dyDescent="0.15">
      <c r="A5573" s="15"/>
      <c r="B5573" s="15"/>
    </row>
    <row r="5574" spans="1:2" x14ac:dyDescent="0.15">
      <c r="A5574" s="15"/>
      <c r="B5574" s="15"/>
    </row>
    <row r="5575" spans="1:2" x14ac:dyDescent="0.15">
      <c r="A5575" s="15"/>
      <c r="B5575" s="15"/>
    </row>
    <row r="5576" spans="1:2" x14ac:dyDescent="0.15">
      <c r="A5576" s="15"/>
      <c r="B5576" s="15"/>
    </row>
    <row r="5577" spans="1:2" x14ac:dyDescent="0.15">
      <c r="A5577" s="15"/>
      <c r="B5577" s="15"/>
    </row>
    <row r="5578" spans="1:2" x14ac:dyDescent="0.15">
      <c r="A5578" s="15"/>
      <c r="B5578" s="15"/>
    </row>
    <row r="5579" spans="1:2" x14ac:dyDescent="0.15">
      <c r="A5579" s="15"/>
      <c r="B5579" s="15"/>
    </row>
    <row r="5580" spans="1:2" x14ac:dyDescent="0.15">
      <c r="A5580" s="15"/>
      <c r="B5580" s="15"/>
    </row>
    <row r="5581" spans="1:2" x14ac:dyDescent="0.15">
      <c r="A5581" s="15"/>
      <c r="B5581" s="15"/>
    </row>
    <row r="5582" spans="1:2" x14ac:dyDescent="0.15">
      <c r="A5582" s="15"/>
      <c r="B5582" s="15"/>
    </row>
    <row r="5583" spans="1:2" x14ac:dyDescent="0.15">
      <c r="A5583" s="15"/>
      <c r="B5583" s="15"/>
    </row>
    <row r="5584" spans="1:2" x14ac:dyDescent="0.15">
      <c r="A5584" s="15"/>
      <c r="B5584" s="15"/>
    </row>
    <row r="5585" spans="1:2" x14ac:dyDescent="0.15">
      <c r="A5585" s="15"/>
      <c r="B5585" s="15"/>
    </row>
    <row r="5586" spans="1:2" x14ac:dyDescent="0.15">
      <c r="A5586" s="15"/>
      <c r="B5586" s="15"/>
    </row>
    <row r="5587" spans="1:2" x14ac:dyDescent="0.15">
      <c r="A5587" s="15"/>
      <c r="B5587" s="15"/>
    </row>
    <row r="5588" spans="1:2" x14ac:dyDescent="0.15">
      <c r="A5588" s="15"/>
      <c r="B5588" s="15"/>
    </row>
    <row r="5589" spans="1:2" x14ac:dyDescent="0.15">
      <c r="A5589" s="15"/>
      <c r="B5589" s="15"/>
    </row>
    <row r="5590" spans="1:2" x14ac:dyDescent="0.15">
      <c r="A5590" s="15"/>
      <c r="B5590" s="15"/>
    </row>
    <row r="5591" spans="1:2" x14ac:dyDescent="0.15">
      <c r="A5591" s="15"/>
      <c r="B5591" s="15"/>
    </row>
    <row r="5592" spans="1:2" x14ac:dyDescent="0.15">
      <c r="A5592" s="15"/>
      <c r="B5592" s="15"/>
    </row>
    <row r="5593" spans="1:2" x14ac:dyDescent="0.15">
      <c r="A5593" s="15"/>
      <c r="B5593" s="15"/>
    </row>
    <row r="5594" spans="1:2" x14ac:dyDescent="0.15">
      <c r="A5594" s="15"/>
      <c r="B5594" s="15"/>
    </row>
    <row r="5595" spans="1:2" x14ac:dyDescent="0.15">
      <c r="A5595" s="15"/>
      <c r="B5595" s="15"/>
    </row>
    <row r="5596" spans="1:2" x14ac:dyDescent="0.15">
      <c r="A5596" s="15"/>
      <c r="B5596" s="15"/>
    </row>
    <row r="5597" spans="1:2" x14ac:dyDescent="0.15">
      <c r="A5597" s="15"/>
      <c r="B5597" s="15"/>
    </row>
    <row r="5598" spans="1:2" x14ac:dyDescent="0.15">
      <c r="A5598" s="15"/>
      <c r="B5598" s="15"/>
    </row>
    <row r="5599" spans="1:2" x14ac:dyDescent="0.15">
      <c r="A5599" s="15"/>
      <c r="B5599" s="15"/>
    </row>
    <row r="5600" spans="1:2" x14ac:dyDescent="0.15">
      <c r="A5600" s="15"/>
      <c r="B5600" s="15"/>
    </row>
    <row r="5601" spans="1:2" x14ac:dyDescent="0.15">
      <c r="A5601" s="15"/>
      <c r="B5601" s="15"/>
    </row>
    <row r="5602" spans="1:2" x14ac:dyDescent="0.15">
      <c r="A5602" s="15"/>
      <c r="B5602" s="15"/>
    </row>
    <row r="5603" spans="1:2" x14ac:dyDescent="0.15">
      <c r="A5603" s="15"/>
      <c r="B5603" s="15"/>
    </row>
    <row r="5604" spans="1:2" x14ac:dyDescent="0.15">
      <c r="A5604" s="15"/>
      <c r="B5604" s="15"/>
    </row>
    <row r="5605" spans="1:2" x14ac:dyDescent="0.15">
      <c r="A5605" s="15"/>
      <c r="B5605" s="15"/>
    </row>
    <row r="5606" spans="1:2" x14ac:dyDescent="0.15">
      <c r="A5606" s="15"/>
      <c r="B5606" s="15"/>
    </row>
    <row r="5607" spans="1:2" x14ac:dyDescent="0.15">
      <c r="A5607" s="15"/>
      <c r="B5607" s="15"/>
    </row>
    <row r="5608" spans="1:2" x14ac:dyDescent="0.15">
      <c r="A5608" s="15"/>
      <c r="B5608" s="15"/>
    </row>
    <row r="5609" spans="1:2" x14ac:dyDescent="0.15">
      <c r="A5609" s="15"/>
      <c r="B5609" s="15"/>
    </row>
    <row r="5610" spans="1:2" x14ac:dyDescent="0.15">
      <c r="A5610" s="15"/>
      <c r="B5610" s="15"/>
    </row>
    <row r="5611" spans="1:2" x14ac:dyDescent="0.15">
      <c r="A5611" s="15"/>
      <c r="B5611" s="15"/>
    </row>
    <row r="5612" spans="1:2" x14ac:dyDescent="0.15">
      <c r="A5612" s="15"/>
      <c r="B5612" s="15"/>
    </row>
    <row r="5613" spans="1:2" x14ac:dyDescent="0.15">
      <c r="A5613" s="15"/>
      <c r="B5613" s="15"/>
    </row>
    <row r="5614" spans="1:2" x14ac:dyDescent="0.15">
      <c r="A5614" s="15"/>
      <c r="B5614" s="15"/>
    </row>
    <row r="5615" spans="1:2" x14ac:dyDescent="0.15">
      <c r="A5615" s="15"/>
      <c r="B5615" s="15"/>
    </row>
    <row r="5616" spans="1:2" x14ac:dyDescent="0.15">
      <c r="A5616" s="15"/>
      <c r="B5616" s="15"/>
    </row>
    <row r="5617" spans="1:2" x14ac:dyDescent="0.15">
      <c r="A5617" s="15"/>
      <c r="B5617" s="15"/>
    </row>
    <row r="5618" spans="1:2" x14ac:dyDescent="0.15">
      <c r="A5618" s="15"/>
      <c r="B5618" s="15"/>
    </row>
    <row r="5619" spans="1:2" x14ac:dyDescent="0.15">
      <c r="A5619" s="15"/>
      <c r="B5619" s="15"/>
    </row>
    <row r="5620" spans="1:2" x14ac:dyDescent="0.15">
      <c r="A5620" s="15"/>
      <c r="B5620" s="15"/>
    </row>
    <row r="5621" spans="1:2" x14ac:dyDescent="0.15">
      <c r="A5621" s="15"/>
      <c r="B5621" s="15"/>
    </row>
    <row r="5622" spans="1:2" x14ac:dyDescent="0.15">
      <c r="A5622" s="15"/>
      <c r="B5622" s="15"/>
    </row>
    <row r="5623" spans="1:2" x14ac:dyDescent="0.15">
      <c r="A5623" s="15"/>
      <c r="B5623" s="15"/>
    </row>
    <row r="5624" spans="1:2" x14ac:dyDescent="0.15">
      <c r="A5624" s="15"/>
      <c r="B5624" s="15"/>
    </row>
    <row r="5625" spans="1:2" x14ac:dyDescent="0.15">
      <c r="A5625" s="15"/>
      <c r="B5625" s="15"/>
    </row>
    <row r="5626" spans="1:2" x14ac:dyDescent="0.15">
      <c r="A5626" s="15"/>
      <c r="B5626" s="15"/>
    </row>
    <row r="5627" spans="1:2" x14ac:dyDescent="0.15">
      <c r="A5627" s="15"/>
      <c r="B5627" s="15"/>
    </row>
    <row r="5628" spans="1:2" x14ac:dyDescent="0.15">
      <c r="A5628" s="15"/>
      <c r="B5628" s="15"/>
    </row>
    <row r="5629" spans="1:2" x14ac:dyDescent="0.15">
      <c r="A5629" s="15"/>
      <c r="B5629" s="15"/>
    </row>
    <row r="5630" spans="1:2" x14ac:dyDescent="0.15">
      <c r="A5630" s="15"/>
      <c r="B5630" s="15"/>
    </row>
    <row r="5631" spans="1:2" x14ac:dyDescent="0.15">
      <c r="A5631" s="15"/>
      <c r="B5631" s="15"/>
    </row>
    <row r="5632" spans="1:2" x14ac:dyDescent="0.15">
      <c r="A5632" s="15"/>
      <c r="B5632" s="15"/>
    </row>
    <row r="5633" spans="1:2" x14ac:dyDescent="0.15">
      <c r="A5633" s="15"/>
      <c r="B5633" s="15"/>
    </row>
    <row r="5634" spans="1:2" x14ac:dyDescent="0.15">
      <c r="A5634" s="15"/>
      <c r="B5634" s="15"/>
    </row>
    <row r="5635" spans="1:2" x14ac:dyDescent="0.15">
      <c r="A5635" s="15"/>
      <c r="B5635" s="15"/>
    </row>
    <row r="5636" spans="1:2" x14ac:dyDescent="0.15">
      <c r="A5636" s="15"/>
      <c r="B5636" s="15"/>
    </row>
    <row r="5637" spans="1:2" x14ac:dyDescent="0.15">
      <c r="A5637" s="15"/>
      <c r="B5637" s="15"/>
    </row>
    <row r="5638" spans="1:2" x14ac:dyDescent="0.15">
      <c r="A5638" s="15"/>
      <c r="B5638" s="15"/>
    </row>
    <row r="5639" spans="1:2" x14ac:dyDescent="0.15">
      <c r="A5639" s="15"/>
      <c r="B5639" s="15"/>
    </row>
    <row r="5640" spans="1:2" x14ac:dyDescent="0.15">
      <c r="A5640" s="15"/>
      <c r="B5640" s="15"/>
    </row>
    <row r="5641" spans="1:2" x14ac:dyDescent="0.15">
      <c r="A5641" s="15"/>
      <c r="B5641" s="15"/>
    </row>
    <row r="5642" spans="1:2" x14ac:dyDescent="0.15">
      <c r="A5642" s="15"/>
      <c r="B5642" s="15"/>
    </row>
    <row r="5643" spans="1:2" x14ac:dyDescent="0.15">
      <c r="A5643" s="15"/>
      <c r="B5643" s="15"/>
    </row>
    <row r="5644" spans="1:2" x14ac:dyDescent="0.15">
      <c r="A5644" s="15"/>
      <c r="B5644" s="15"/>
    </row>
    <row r="5645" spans="1:2" x14ac:dyDescent="0.15">
      <c r="A5645" s="15"/>
      <c r="B5645" s="15"/>
    </row>
    <row r="5646" spans="1:2" x14ac:dyDescent="0.15">
      <c r="A5646" s="15"/>
      <c r="B5646" s="15"/>
    </row>
    <row r="5647" spans="1:2" x14ac:dyDescent="0.15">
      <c r="A5647" s="15"/>
      <c r="B5647" s="15"/>
    </row>
    <row r="5648" spans="1:2" x14ac:dyDescent="0.15">
      <c r="A5648" s="15"/>
      <c r="B5648" s="15"/>
    </row>
    <row r="5649" spans="1:2" x14ac:dyDescent="0.15">
      <c r="A5649" s="15"/>
      <c r="B5649" s="15"/>
    </row>
    <row r="5650" spans="1:2" x14ac:dyDescent="0.15">
      <c r="A5650" s="15"/>
      <c r="B5650" s="15"/>
    </row>
    <row r="5651" spans="1:2" x14ac:dyDescent="0.15">
      <c r="A5651" s="15"/>
      <c r="B5651" s="15"/>
    </row>
    <row r="5652" spans="1:2" x14ac:dyDescent="0.15">
      <c r="A5652" s="15"/>
      <c r="B5652" s="15"/>
    </row>
    <row r="5653" spans="1:2" x14ac:dyDescent="0.15">
      <c r="A5653" s="15"/>
      <c r="B5653" s="15"/>
    </row>
    <row r="5654" spans="1:2" x14ac:dyDescent="0.15">
      <c r="A5654" s="15"/>
      <c r="B5654" s="15"/>
    </row>
    <row r="5655" spans="1:2" x14ac:dyDescent="0.15">
      <c r="A5655" s="15"/>
      <c r="B5655" s="15"/>
    </row>
    <row r="5656" spans="1:2" x14ac:dyDescent="0.15">
      <c r="A5656" s="15"/>
      <c r="B5656" s="15"/>
    </row>
    <row r="5657" spans="1:2" x14ac:dyDescent="0.15">
      <c r="A5657" s="15"/>
      <c r="B5657" s="15"/>
    </row>
    <row r="5658" spans="1:2" x14ac:dyDescent="0.15">
      <c r="A5658" s="15"/>
      <c r="B5658" s="15"/>
    </row>
    <row r="5659" spans="1:2" x14ac:dyDescent="0.15">
      <c r="A5659" s="15"/>
      <c r="B5659" s="15"/>
    </row>
    <row r="5660" spans="1:2" x14ac:dyDescent="0.15">
      <c r="A5660" s="15"/>
      <c r="B5660" s="15"/>
    </row>
    <row r="5661" spans="1:2" x14ac:dyDescent="0.15">
      <c r="A5661" s="15"/>
      <c r="B5661" s="15"/>
    </row>
    <row r="5662" spans="1:2" x14ac:dyDescent="0.15">
      <c r="A5662" s="15"/>
      <c r="B5662" s="15"/>
    </row>
    <row r="5663" spans="1:2" x14ac:dyDescent="0.15">
      <c r="A5663" s="15"/>
      <c r="B5663" s="15"/>
    </row>
    <row r="5664" spans="1:2" x14ac:dyDescent="0.15">
      <c r="A5664" s="15"/>
      <c r="B5664" s="15"/>
    </row>
    <row r="5665" spans="1:2" x14ac:dyDescent="0.15">
      <c r="A5665" s="15"/>
      <c r="B5665" s="15"/>
    </row>
    <row r="5666" spans="1:2" x14ac:dyDescent="0.15">
      <c r="A5666" s="15"/>
      <c r="B5666" s="15"/>
    </row>
    <row r="5667" spans="1:2" x14ac:dyDescent="0.15">
      <c r="A5667" s="15"/>
      <c r="B5667" s="15"/>
    </row>
    <row r="5668" spans="1:2" x14ac:dyDescent="0.15">
      <c r="A5668" s="15"/>
      <c r="B5668" s="15"/>
    </row>
    <row r="5669" spans="1:2" x14ac:dyDescent="0.15">
      <c r="A5669" s="15"/>
      <c r="B5669" s="15"/>
    </row>
    <row r="5670" spans="1:2" x14ac:dyDescent="0.15">
      <c r="A5670" s="15"/>
      <c r="B5670" s="15"/>
    </row>
    <row r="5671" spans="1:2" x14ac:dyDescent="0.15">
      <c r="A5671" s="15"/>
      <c r="B5671" s="15"/>
    </row>
    <row r="5672" spans="1:2" x14ac:dyDescent="0.15">
      <c r="A5672" s="15"/>
      <c r="B5672" s="15"/>
    </row>
    <row r="5673" spans="1:2" x14ac:dyDescent="0.15">
      <c r="A5673" s="15"/>
      <c r="B5673" s="15"/>
    </row>
    <row r="5674" spans="1:2" x14ac:dyDescent="0.15">
      <c r="A5674" s="15"/>
      <c r="B5674" s="15"/>
    </row>
    <row r="5675" spans="1:2" x14ac:dyDescent="0.15">
      <c r="A5675" s="15"/>
      <c r="B5675" s="15"/>
    </row>
    <row r="5676" spans="1:2" x14ac:dyDescent="0.15">
      <c r="A5676" s="15"/>
      <c r="B5676" s="15"/>
    </row>
    <row r="5677" spans="1:2" x14ac:dyDescent="0.15">
      <c r="A5677" s="15"/>
      <c r="B5677" s="15"/>
    </row>
    <row r="5678" spans="1:2" x14ac:dyDescent="0.15">
      <c r="A5678" s="15"/>
      <c r="B5678" s="15"/>
    </row>
    <row r="5679" spans="1:2" x14ac:dyDescent="0.15">
      <c r="A5679" s="15"/>
      <c r="B5679" s="15"/>
    </row>
    <row r="5680" spans="1:2" x14ac:dyDescent="0.15">
      <c r="A5680" s="15"/>
      <c r="B5680" s="15"/>
    </row>
    <row r="5681" spans="1:2" x14ac:dyDescent="0.15">
      <c r="A5681" s="15"/>
      <c r="B5681" s="15"/>
    </row>
    <row r="5682" spans="1:2" x14ac:dyDescent="0.15">
      <c r="A5682" s="15"/>
      <c r="B5682" s="15"/>
    </row>
    <row r="5683" spans="1:2" x14ac:dyDescent="0.15">
      <c r="A5683" s="15"/>
      <c r="B5683" s="15"/>
    </row>
    <row r="5684" spans="1:2" x14ac:dyDescent="0.15">
      <c r="A5684" s="15"/>
      <c r="B5684" s="15"/>
    </row>
    <row r="5685" spans="1:2" x14ac:dyDescent="0.15">
      <c r="A5685" s="15"/>
      <c r="B5685" s="15"/>
    </row>
    <row r="5686" spans="1:2" x14ac:dyDescent="0.15">
      <c r="A5686" s="15"/>
      <c r="B5686" s="15"/>
    </row>
    <row r="5687" spans="1:2" x14ac:dyDescent="0.15">
      <c r="A5687" s="15"/>
      <c r="B5687" s="15"/>
    </row>
    <row r="5688" spans="1:2" x14ac:dyDescent="0.15">
      <c r="A5688" s="15"/>
      <c r="B5688" s="15"/>
    </row>
    <row r="5689" spans="1:2" x14ac:dyDescent="0.15">
      <c r="A5689" s="15"/>
      <c r="B5689" s="15"/>
    </row>
    <row r="5690" spans="1:2" x14ac:dyDescent="0.15">
      <c r="A5690" s="15"/>
      <c r="B5690" s="15"/>
    </row>
    <row r="5691" spans="1:2" x14ac:dyDescent="0.15">
      <c r="A5691" s="15"/>
      <c r="B5691" s="15"/>
    </row>
    <row r="5692" spans="1:2" x14ac:dyDescent="0.15">
      <c r="A5692" s="15"/>
      <c r="B5692" s="15"/>
    </row>
    <row r="5693" spans="1:2" x14ac:dyDescent="0.15">
      <c r="A5693" s="15"/>
      <c r="B5693" s="15"/>
    </row>
    <row r="5694" spans="1:2" x14ac:dyDescent="0.15">
      <c r="A5694" s="15"/>
      <c r="B5694" s="15"/>
    </row>
    <row r="5695" spans="1:2" x14ac:dyDescent="0.15">
      <c r="A5695" s="15"/>
      <c r="B5695" s="15"/>
    </row>
    <row r="5696" spans="1:2" x14ac:dyDescent="0.15">
      <c r="A5696" s="15"/>
      <c r="B5696" s="15"/>
    </row>
    <row r="5697" spans="1:2" x14ac:dyDescent="0.15">
      <c r="A5697" s="15"/>
      <c r="B5697" s="15"/>
    </row>
    <row r="5698" spans="1:2" x14ac:dyDescent="0.15">
      <c r="A5698" s="15"/>
      <c r="B5698" s="15"/>
    </row>
    <row r="5699" spans="1:2" x14ac:dyDescent="0.15">
      <c r="A5699" s="15"/>
      <c r="B5699" s="15"/>
    </row>
    <row r="5700" spans="1:2" x14ac:dyDescent="0.15">
      <c r="A5700" s="15"/>
      <c r="B5700" s="15"/>
    </row>
    <row r="5701" spans="1:2" x14ac:dyDescent="0.15">
      <c r="A5701" s="15"/>
      <c r="B5701" s="15"/>
    </row>
    <row r="5702" spans="1:2" x14ac:dyDescent="0.15">
      <c r="A5702" s="15"/>
      <c r="B5702" s="15"/>
    </row>
    <row r="5703" spans="1:2" x14ac:dyDescent="0.15">
      <c r="A5703" s="15"/>
      <c r="B5703" s="15"/>
    </row>
    <row r="5704" spans="1:2" x14ac:dyDescent="0.15">
      <c r="A5704" s="15"/>
      <c r="B5704" s="15"/>
    </row>
    <row r="5705" spans="1:2" x14ac:dyDescent="0.15">
      <c r="A5705" s="15"/>
      <c r="B5705" s="15"/>
    </row>
    <row r="5706" spans="1:2" x14ac:dyDescent="0.15">
      <c r="A5706" s="15"/>
      <c r="B5706" s="15"/>
    </row>
    <row r="5707" spans="1:2" x14ac:dyDescent="0.15">
      <c r="A5707" s="15"/>
      <c r="B5707" s="15"/>
    </row>
    <row r="5708" spans="1:2" x14ac:dyDescent="0.15">
      <c r="A5708" s="15"/>
      <c r="B5708" s="15"/>
    </row>
    <row r="5709" spans="1:2" x14ac:dyDescent="0.15">
      <c r="A5709" s="15"/>
      <c r="B5709" s="15"/>
    </row>
    <row r="5710" spans="1:2" x14ac:dyDescent="0.15">
      <c r="A5710" s="15"/>
      <c r="B5710" s="15"/>
    </row>
    <row r="5711" spans="1:2" x14ac:dyDescent="0.15">
      <c r="A5711" s="15"/>
      <c r="B5711" s="15"/>
    </row>
    <row r="5712" spans="1:2" x14ac:dyDescent="0.15">
      <c r="A5712" s="15"/>
      <c r="B5712" s="15"/>
    </row>
    <row r="5713" spans="1:2" x14ac:dyDescent="0.15">
      <c r="A5713" s="15"/>
      <c r="B5713" s="15"/>
    </row>
    <row r="5714" spans="1:2" x14ac:dyDescent="0.15">
      <c r="A5714" s="15"/>
      <c r="B5714" s="15"/>
    </row>
    <row r="5715" spans="1:2" x14ac:dyDescent="0.15">
      <c r="A5715" s="15"/>
      <c r="B5715" s="15"/>
    </row>
    <row r="5716" spans="1:2" x14ac:dyDescent="0.15">
      <c r="A5716" s="15"/>
      <c r="B5716" s="15"/>
    </row>
    <row r="5717" spans="1:2" x14ac:dyDescent="0.15">
      <c r="A5717" s="15"/>
      <c r="B5717" s="15"/>
    </row>
    <row r="5718" spans="1:2" x14ac:dyDescent="0.15">
      <c r="A5718" s="15"/>
      <c r="B5718" s="15"/>
    </row>
    <row r="5719" spans="1:2" x14ac:dyDescent="0.15">
      <c r="A5719" s="15"/>
      <c r="B5719" s="15"/>
    </row>
    <row r="5720" spans="1:2" x14ac:dyDescent="0.15">
      <c r="A5720" s="15"/>
      <c r="B5720" s="15"/>
    </row>
    <row r="5721" spans="1:2" x14ac:dyDescent="0.15">
      <c r="A5721" s="15"/>
      <c r="B5721" s="15"/>
    </row>
    <row r="5722" spans="1:2" x14ac:dyDescent="0.15">
      <c r="A5722" s="15"/>
      <c r="B5722" s="15"/>
    </row>
    <row r="5723" spans="1:2" x14ac:dyDescent="0.15">
      <c r="A5723" s="15"/>
      <c r="B5723" s="15"/>
    </row>
    <row r="5724" spans="1:2" x14ac:dyDescent="0.15">
      <c r="A5724" s="15"/>
      <c r="B5724" s="15"/>
    </row>
    <row r="5725" spans="1:2" x14ac:dyDescent="0.15">
      <c r="A5725" s="15"/>
      <c r="B5725" s="15"/>
    </row>
    <row r="5726" spans="1:2" x14ac:dyDescent="0.15">
      <c r="A5726" s="15"/>
      <c r="B5726" s="15"/>
    </row>
    <row r="5727" spans="1:2" x14ac:dyDescent="0.15">
      <c r="A5727" s="15"/>
      <c r="B5727" s="15"/>
    </row>
    <row r="5728" spans="1:2" x14ac:dyDescent="0.15">
      <c r="A5728" s="15"/>
      <c r="B5728" s="15"/>
    </row>
    <row r="5729" spans="1:2" x14ac:dyDescent="0.15">
      <c r="A5729" s="15"/>
      <c r="B5729" s="15"/>
    </row>
    <row r="5730" spans="1:2" x14ac:dyDescent="0.15">
      <c r="A5730" s="15"/>
      <c r="B5730" s="15"/>
    </row>
    <row r="5731" spans="1:2" x14ac:dyDescent="0.15">
      <c r="A5731" s="15"/>
      <c r="B5731" s="15"/>
    </row>
    <row r="5732" spans="1:2" x14ac:dyDescent="0.15">
      <c r="A5732" s="15"/>
      <c r="B5732" s="15"/>
    </row>
    <row r="5733" spans="1:2" x14ac:dyDescent="0.15">
      <c r="A5733" s="15"/>
      <c r="B5733" s="15"/>
    </row>
    <row r="5734" spans="1:2" x14ac:dyDescent="0.15">
      <c r="A5734" s="15"/>
      <c r="B5734" s="15"/>
    </row>
    <row r="5735" spans="1:2" x14ac:dyDescent="0.15">
      <c r="A5735" s="15"/>
      <c r="B5735" s="15"/>
    </row>
    <row r="5736" spans="1:2" x14ac:dyDescent="0.15">
      <c r="A5736" s="15"/>
      <c r="B5736" s="15"/>
    </row>
    <row r="5737" spans="1:2" x14ac:dyDescent="0.15">
      <c r="A5737" s="15"/>
      <c r="B5737" s="15"/>
    </row>
    <row r="5738" spans="1:2" x14ac:dyDescent="0.15">
      <c r="A5738" s="15"/>
      <c r="B5738" s="15"/>
    </row>
    <row r="5739" spans="1:2" x14ac:dyDescent="0.15">
      <c r="A5739" s="15"/>
      <c r="B5739" s="15"/>
    </row>
    <row r="5740" spans="1:2" x14ac:dyDescent="0.15">
      <c r="A5740" s="15"/>
      <c r="B5740" s="15"/>
    </row>
    <row r="5741" spans="1:2" x14ac:dyDescent="0.15">
      <c r="A5741" s="15"/>
      <c r="B5741" s="15"/>
    </row>
    <row r="5742" spans="1:2" x14ac:dyDescent="0.15">
      <c r="A5742" s="15"/>
      <c r="B5742" s="15"/>
    </row>
    <row r="5743" spans="1:2" x14ac:dyDescent="0.15">
      <c r="A5743" s="15"/>
      <c r="B5743" s="15"/>
    </row>
    <row r="5744" spans="1:2" x14ac:dyDescent="0.15">
      <c r="A5744" s="15"/>
      <c r="B5744" s="15"/>
    </row>
    <row r="5745" spans="1:2" x14ac:dyDescent="0.15">
      <c r="A5745" s="15"/>
      <c r="B5745" s="15"/>
    </row>
    <row r="5746" spans="1:2" x14ac:dyDescent="0.15">
      <c r="A5746" s="15"/>
      <c r="B5746" s="15"/>
    </row>
    <row r="5747" spans="1:2" x14ac:dyDescent="0.15">
      <c r="A5747" s="15"/>
      <c r="B5747" s="15"/>
    </row>
    <row r="5748" spans="1:2" x14ac:dyDescent="0.15">
      <c r="A5748" s="15"/>
      <c r="B5748" s="15"/>
    </row>
    <row r="5749" spans="1:2" x14ac:dyDescent="0.15">
      <c r="A5749" s="15"/>
      <c r="B5749" s="15"/>
    </row>
    <row r="5750" spans="1:2" x14ac:dyDescent="0.15">
      <c r="A5750" s="15"/>
      <c r="B5750" s="15"/>
    </row>
    <row r="5751" spans="1:2" x14ac:dyDescent="0.15">
      <c r="A5751" s="15"/>
      <c r="B5751" s="15"/>
    </row>
    <row r="5752" spans="1:2" x14ac:dyDescent="0.15">
      <c r="A5752" s="15"/>
      <c r="B5752" s="15"/>
    </row>
    <row r="5753" spans="1:2" x14ac:dyDescent="0.15">
      <c r="A5753" s="15"/>
      <c r="B5753" s="15"/>
    </row>
    <row r="5754" spans="1:2" x14ac:dyDescent="0.15">
      <c r="A5754" s="15"/>
      <c r="B5754" s="15"/>
    </row>
    <row r="5755" spans="1:2" x14ac:dyDescent="0.15">
      <c r="A5755" s="15"/>
      <c r="B5755" s="15"/>
    </row>
    <row r="5756" spans="1:2" x14ac:dyDescent="0.15">
      <c r="A5756" s="15"/>
      <c r="B5756" s="15"/>
    </row>
    <row r="5757" spans="1:2" x14ac:dyDescent="0.15">
      <c r="A5757" s="15"/>
      <c r="B5757" s="15"/>
    </row>
    <row r="5758" spans="1:2" x14ac:dyDescent="0.15">
      <c r="A5758" s="15"/>
      <c r="B5758" s="15"/>
    </row>
    <row r="5759" spans="1:2" x14ac:dyDescent="0.15">
      <c r="A5759" s="15"/>
      <c r="B5759" s="15"/>
    </row>
    <row r="5760" spans="1:2" x14ac:dyDescent="0.15">
      <c r="A5760" s="15"/>
      <c r="B5760" s="15"/>
    </row>
    <row r="5761" spans="1:2" x14ac:dyDescent="0.15">
      <c r="A5761" s="15"/>
      <c r="B5761" s="15"/>
    </row>
    <row r="5762" spans="1:2" x14ac:dyDescent="0.15">
      <c r="A5762" s="15"/>
      <c r="B5762" s="15"/>
    </row>
    <row r="5763" spans="1:2" x14ac:dyDescent="0.15">
      <c r="A5763" s="15"/>
      <c r="B5763" s="15"/>
    </row>
    <row r="5764" spans="1:2" x14ac:dyDescent="0.15">
      <c r="A5764" s="15"/>
      <c r="B5764" s="15"/>
    </row>
    <row r="5765" spans="1:2" x14ac:dyDescent="0.15">
      <c r="A5765" s="15"/>
      <c r="B5765" s="15"/>
    </row>
    <row r="5766" spans="1:2" x14ac:dyDescent="0.15">
      <c r="A5766" s="15"/>
      <c r="B5766" s="15"/>
    </row>
    <row r="5767" spans="1:2" x14ac:dyDescent="0.15">
      <c r="A5767" s="15"/>
      <c r="B5767" s="15"/>
    </row>
    <row r="5768" spans="1:2" x14ac:dyDescent="0.15">
      <c r="A5768" s="15"/>
      <c r="B5768" s="15"/>
    </row>
    <row r="5769" spans="1:2" x14ac:dyDescent="0.15">
      <c r="A5769" s="15"/>
      <c r="B5769" s="15"/>
    </row>
    <row r="5770" spans="1:2" x14ac:dyDescent="0.15">
      <c r="A5770" s="15"/>
      <c r="B5770" s="15"/>
    </row>
    <row r="5771" spans="1:2" x14ac:dyDescent="0.15">
      <c r="A5771" s="15"/>
      <c r="B5771" s="15"/>
    </row>
    <row r="5772" spans="1:2" x14ac:dyDescent="0.15">
      <c r="A5772" s="15"/>
      <c r="B5772" s="15"/>
    </row>
    <row r="5773" spans="1:2" x14ac:dyDescent="0.15">
      <c r="A5773" s="15"/>
      <c r="B5773" s="15"/>
    </row>
    <row r="5774" spans="1:2" x14ac:dyDescent="0.15">
      <c r="A5774" s="15"/>
      <c r="B5774" s="15"/>
    </row>
    <row r="5775" spans="1:2" x14ac:dyDescent="0.15">
      <c r="A5775" s="15"/>
      <c r="B5775" s="15"/>
    </row>
    <row r="5776" spans="1:2" x14ac:dyDescent="0.15">
      <c r="A5776" s="15"/>
      <c r="B5776" s="15"/>
    </row>
    <row r="5777" spans="1:2" x14ac:dyDescent="0.15">
      <c r="A5777" s="15"/>
      <c r="B5777" s="15"/>
    </row>
    <row r="5778" spans="1:2" x14ac:dyDescent="0.15">
      <c r="A5778" s="15"/>
      <c r="B5778" s="15"/>
    </row>
    <row r="5779" spans="1:2" x14ac:dyDescent="0.15">
      <c r="A5779" s="15"/>
      <c r="B5779" s="15"/>
    </row>
    <row r="5780" spans="1:2" x14ac:dyDescent="0.15">
      <c r="A5780" s="15"/>
      <c r="B5780" s="15"/>
    </row>
    <row r="5781" spans="1:2" x14ac:dyDescent="0.15">
      <c r="A5781" s="15"/>
      <c r="B5781" s="15"/>
    </row>
    <row r="5782" spans="1:2" x14ac:dyDescent="0.15">
      <c r="A5782" s="15"/>
      <c r="B5782" s="15"/>
    </row>
    <row r="5783" spans="1:2" x14ac:dyDescent="0.15">
      <c r="A5783" s="15"/>
      <c r="B5783" s="15"/>
    </row>
    <row r="5784" spans="1:2" x14ac:dyDescent="0.15">
      <c r="A5784" s="15"/>
      <c r="B5784" s="15"/>
    </row>
    <row r="5785" spans="1:2" x14ac:dyDescent="0.15">
      <c r="A5785" s="15"/>
      <c r="B5785" s="15"/>
    </row>
    <row r="5786" spans="1:2" x14ac:dyDescent="0.15">
      <c r="A5786" s="15"/>
      <c r="B5786" s="15"/>
    </row>
    <row r="5787" spans="1:2" x14ac:dyDescent="0.15">
      <c r="A5787" s="15"/>
      <c r="B5787" s="15"/>
    </row>
    <row r="5788" spans="1:2" x14ac:dyDescent="0.15">
      <c r="A5788" s="15"/>
      <c r="B5788" s="15"/>
    </row>
    <row r="5789" spans="1:2" x14ac:dyDescent="0.15">
      <c r="A5789" s="15"/>
      <c r="B5789" s="15"/>
    </row>
    <row r="5790" spans="1:2" x14ac:dyDescent="0.15">
      <c r="A5790" s="15"/>
      <c r="B5790" s="15"/>
    </row>
    <row r="5791" spans="1:2" x14ac:dyDescent="0.15">
      <c r="A5791" s="15"/>
      <c r="B5791" s="15"/>
    </row>
    <row r="5792" spans="1:2" x14ac:dyDescent="0.15">
      <c r="A5792" s="15"/>
      <c r="B5792" s="15"/>
    </row>
    <row r="5793" spans="1:2" x14ac:dyDescent="0.15">
      <c r="A5793" s="15"/>
      <c r="B5793" s="15"/>
    </row>
    <row r="5794" spans="1:2" x14ac:dyDescent="0.15">
      <c r="A5794" s="15"/>
      <c r="B5794" s="15"/>
    </row>
    <row r="5795" spans="1:2" x14ac:dyDescent="0.15">
      <c r="A5795" s="15"/>
      <c r="B5795" s="15"/>
    </row>
    <row r="5796" spans="1:2" x14ac:dyDescent="0.15">
      <c r="A5796" s="15"/>
      <c r="B5796" s="15"/>
    </row>
    <row r="5797" spans="1:2" x14ac:dyDescent="0.15">
      <c r="A5797" s="15"/>
      <c r="B5797" s="15"/>
    </row>
    <row r="5798" spans="1:2" x14ac:dyDescent="0.15">
      <c r="A5798" s="15"/>
      <c r="B5798" s="15"/>
    </row>
    <row r="5799" spans="1:2" x14ac:dyDescent="0.15">
      <c r="A5799" s="15"/>
      <c r="B5799" s="15"/>
    </row>
    <row r="5800" spans="1:2" x14ac:dyDescent="0.15">
      <c r="A5800" s="15"/>
      <c r="B5800" s="15"/>
    </row>
    <row r="5801" spans="1:2" x14ac:dyDescent="0.15">
      <c r="A5801" s="15"/>
      <c r="B5801" s="15"/>
    </row>
    <row r="5802" spans="1:2" x14ac:dyDescent="0.15">
      <c r="A5802" s="15"/>
      <c r="B5802" s="15"/>
    </row>
    <row r="5803" spans="1:2" x14ac:dyDescent="0.15">
      <c r="A5803" s="15"/>
      <c r="B5803" s="15"/>
    </row>
    <row r="5804" spans="1:2" x14ac:dyDescent="0.15">
      <c r="A5804" s="15"/>
      <c r="B5804" s="15"/>
    </row>
    <row r="5805" spans="1:2" x14ac:dyDescent="0.15">
      <c r="A5805" s="15"/>
      <c r="B5805" s="15"/>
    </row>
    <row r="5806" spans="1:2" x14ac:dyDescent="0.15">
      <c r="A5806" s="15"/>
      <c r="B5806" s="15"/>
    </row>
    <row r="5807" spans="1:2" x14ac:dyDescent="0.15">
      <c r="A5807" s="15"/>
      <c r="B5807" s="15"/>
    </row>
    <row r="5808" spans="1:2" x14ac:dyDescent="0.15">
      <c r="A5808" s="15"/>
      <c r="B5808" s="15"/>
    </row>
    <row r="5809" spans="1:2" x14ac:dyDescent="0.15">
      <c r="A5809" s="15"/>
      <c r="B5809" s="15"/>
    </row>
    <row r="5810" spans="1:2" x14ac:dyDescent="0.15">
      <c r="A5810" s="15"/>
      <c r="B5810" s="15"/>
    </row>
    <row r="5811" spans="1:2" x14ac:dyDescent="0.15">
      <c r="A5811" s="15"/>
      <c r="B5811" s="15"/>
    </row>
    <row r="5812" spans="1:2" x14ac:dyDescent="0.15">
      <c r="A5812" s="15"/>
      <c r="B5812" s="15"/>
    </row>
    <row r="5813" spans="1:2" x14ac:dyDescent="0.15">
      <c r="A5813" s="15"/>
      <c r="B5813" s="15"/>
    </row>
    <row r="5814" spans="1:2" x14ac:dyDescent="0.15">
      <c r="A5814" s="15"/>
      <c r="B5814" s="15"/>
    </row>
    <row r="5815" spans="1:2" x14ac:dyDescent="0.15">
      <c r="A5815" s="15"/>
      <c r="B5815" s="15"/>
    </row>
    <row r="5816" spans="1:2" x14ac:dyDescent="0.15">
      <c r="A5816" s="15"/>
      <c r="B5816" s="15"/>
    </row>
    <row r="5817" spans="1:2" x14ac:dyDescent="0.15">
      <c r="A5817" s="15"/>
      <c r="B5817" s="15"/>
    </row>
    <row r="5818" spans="1:2" x14ac:dyDescent="0.15">
      <c r="A5818" s="15"/>
      <c r="B5818" s="15"/>
    </row>
    <row r="5819" spans="1:2" x14ac:dyDescent="0.15">
      <c r="A5819" s="15"/>
      <c r="B5819" s="15"/>
    </row>
    <row r="5820" spans="1:2" x14ac:dyDescent="0.15">
      <c r="A5820" s="15"/>
      <c r="B5820" s="15"/>
    </row>
    <row r="5821" spans="1:2" x14ac:dyDescent="0.15">
      <c r="A5821" s="15"/>
      <c r="B5821" s="15"/>
    </row>
    <row r="5822" spans="1:2" x14ac:dyDescent="0.15">
      <c r="A5822" s="15"/>
      <c r="B5822" s="15"/>
    </row>
    <row r="5823" spans="1:2" x14ac:dyDescent="0.15">
      <c r="A5823" s="15"/>
      <c r="B5823" s="15"/>
    </row>
    <row r="5824" spans="1:2" x14ac:dyDescent="0.15">
      <c r="A5824" s="15"/>
      <c r="B5824" s="15"/>
    </row>
    <row r="5825" spans="1:2" x14ac:dyDescent="0.15">
      <c r="A5825" s="15"/>
      <c r="B5825" s="15"/>
    </row>
    <row r="5826" spans="1:2" x14ac:dyDescent="0.15">
      <c r="A5826" s="15"/>
      <c r="B5826" s="15"/>
    </row>
    <row r="5827" spans="1:2" x14ac:dyDescent="0.15">
      <c r="A5827" s="15"/>
      <c r="B5827" s="15"/>
    </row>
    <row r="5828" spans="1:2" x14ac:dyDescent="0.15">
      <c r="A5828" s="15"/>
      <c r="B5828" s="15"/>
    </row>
    <row r="5829" spans="1:2" x14ac:dyDescent="0.15">
      <c r="A5829" s="15"/>
      <c r="B5829" s="15"/>
    </row>
    <row r="5830" spans="1:2" x14ac:dyDescent="0.15">
      <c r="A5830" s="15"/>
      <c r="B5830" s="15"/>
    </row>
    <row r="5831" spans="1:2" x14ac:dyDescent="0.15">
      <c r="A5831" s="15"/>
      <c r="B5831" s="15"/>
    </row>
    <row r="5832" spans="1:2" x14ac:dyDescent="0.15">
      <c r="A5832" s="15"/>
      <c r="B5832" s="15"/>
    </row>
    <row r="5833" spans="1:2" x14ac:dyDescent="0.15">
      <c r="A5833" s="15"/>
      <c r="B5833" s="15"/>
    </row>
    <row r="5834" spans="1:2" x14ac:dyDescent="0.15">
      <c r="A5834" s="15"/>
      <c r="B5834" s="15"/>
    </row>
    <row r="5835" spans="1:2" x14ac:dyDescent="0.15">
      <c r="A5835" s="15"/>
      <c r="B5835" s="15"/>
    </row>
    <row r="5836" spans="1:2" x14ac:dyDescent="0.15">
      <c r="A5836" s="15"/>
      <c r="B5836" s="15"/>
    </row>
    <row r="5837" spans="1:2" x14ac:dyDescent="0.15">
      <c r="A5837" s="15"/>
      <c r="B5837" s="15"/>
    </row>
    <row r="5838" spans="1:2" x14ac:dyDescent="0.15">
      <c r="A5838" s="15"/>
      <c r="B5838" s="15"/>
    </row>
    <row r="5839" spans="1:2" x14ac:dyDescent="0.15">
      <c r="A5839" s="15"/>
      <c r="B5839" s="15"/>
    </row>
    <row r="5840" spans="1:2" x14ac:dyDescent="0.15">
      <c r="A5840" s="15"/>
      <c r="B5840" s="15"/>
    </row>
    <row r="5841" spans="1:2" x14ac:dyDescent="0.15">
      <c r="A5841" s="15"/>
      <c r="B5841" s="15"/>
    </row>
    <row r="5842" spans="1:2" x14ac:dyDescent="0.15">
      <c r="A5842" s="15"/>
      <c r="B5842" s="15"/>
    </row>
    <row r="5843" spans="1:2" x14ac:dyDescent="0.15">
      <c r="A5843" s="15"/>
      <c r="B5843" s="15"/>
    </row>
    <row r="5844" spans="1:2" x14ac:dyDescent="0.15">
      <c r="A5844" s="15"/>
      <c r="B5844" s="15"/>
    </row>
    <row r="5845" spans="1:2" x14ac:dyDescent="0.15">
      <c r="A5845" s="15"/>
      <c r="B5845" s="15"/>
    </row>
    <row r="5846" spans="1:2" x14ac:dyDescent="0.15">
      <c r="A5846" s="15"/>
      <c r="B5846" s="15"/>
    </row>
    <row r="5847" spans="1:2" x14ac:dyDescent="0.15">
      <c r="A5847" s="15"/>
      <c r="B5847" s="15"/>
    </row>
    <row r="5848" spans="1:2" x14ac:dyDescent="0.15">
      <c r="A5848" s="15"/>
      <c r="B5848" s="15"/>
    </row>
    <row r="5849" spans="1:2" x14ac:dyDescent="0.15">
      <c r="A5849" s="15"/>
      <c r="B5849" s="15"/>
    </row>
    <row r="5850" spans="1:2" x14ac:dyDescent="0.15">
      <c r="A5850" s="15"/>
      <c r="B5850" s="15"/>
    </row>
    <row r="5851" spans="1:2" x14ac:dyDescent="0.15">
      <c r="A5851" s="15"/>
      <c r="B5851" s="15"/>
    </row>
    <row r="5852" spans="1:2" x14ac:dyDescent="0.15">
      <c r="A5852" s="15"/>
      <c r="B5852" s="15"/>
    </row>
    <row r="5853" spans="1:2" x14ac:dyDescent="0.15">
      <c r="A5853" s="15"/>
      <c r="B5853" s="15"/>
    </row>
    <row r="5854" spans="1:2" x14ac:dyDescent="0.15">
      <c r="A5854" s="15"/>
      <c r="B5854" s="15"/>
    </row>
    <row r="5855" spans="1:2" x14ac:dyDescent="0.15">
      <c r="A5855" s="15"/>
      <c r="B5855" s="15"/>
    </row>
    <row r="5856" spans="1:2" x14ac:dyDescent="0.15">
      <c r="A5856" s="15"/>
      <c r="B5856" s="15"/>
    </row>
    <row r="5857" spans="1:2" x14ac:dyDescent="0.15">
      <c r="A5857" s="15"/>
      <c r="B5857" s="15"/>
    </row>
    <row r="5858" spans="1:2" x14ac:dyDescent="0.15">
      <c r="A5858" s="15"/>
      <c r="B5858" s="15"/>
    </row>
    <row r="5859" spans="1:2" x14ac:dyDescent="0.15">
      <c r="A5859" s="15"/>
      <c r="B5859" s="15"/>
    </row>
    <row r="5860" spans="1:2" x14ac:dyDescent="0.15">
      <c r="A5860" s="15"/>
      <c r="B5860" s="15"/>
    </row>
    <row r="5861" spans="1:2" x14ac:dyDescent="0.15">
      <c r="A5861" s="15"/>
      <c r="B5861" s="15"/>
    </row>
    <row r="5862" spans="1:2" x14ac:dyDescent="0.15">
      <c r="A5862" s="15"/>
      <c r="B5862" s="15"/>
    </row>
    <row r="5863" spans="1:2" x14ac:dyDescent="0.15">
      <c r="A5863" s="15"/>
      <c r="B5863" s="15"/>
    </row>
    <row r="5864" spans="1:2" x14ac:dyDescent="0.15">
      <c r="A5864" s="15"/>
      <c r="B5864" s="15"/>
    </row>
    <row r="5865" spans="1:2" x14ac:dyDescent="0.15">
      <c r="A5865" s="15"/>
      <c r="B5865" s="15"/>
    </row>
    <row r="5866" spans="1:2" x14ac:dyDescent="0.15">
      <c r="A5866" s="15"/>
      <c r="B5866" s="15"/>
    </row>
    <row r="5867" spans="1:2" x14ac:dyDescent="0.15">
      <c r="A5867" s="15"/>
      <c r="B5867" s="15"/>
    </row>
    <row r="5868" spans="1:2" x14ac:dyDescent="0.15">
      <c r="A5868" s="15"/>
      <c r="B5868" s="15"/>
    </row>
    <row r="5869" spans="1:2" x14ac:dyDescent="0.15">
      <c r="A5869" s="15"/>
      <c r="B5869" s="15"/>
    </row>
    <row r="5870" spans="1:2" x14ac:dyDescent="0.15">
      <c r="A5870" s="15"/>
      <c r="B5870" s="15"/>
    </row>
    <row r="5871" spans="1:2" x14ac:dyDescent="0.15">
      <c r="A5871" s="15"/>
      <c r="B5871" s="15"/>
    </row>
    <row r="5872" spans="1:2" x14ac:dyDescent="0.15">
      <c r="A5872" s="15"/>
      <c r="B5872" s="15"/>
    </row>
    <row r="5873" spans="1:2" x14ac:dyDescent="0.15">
      <c r="A5873" s="15"/>
      <c r="B5873" s="15"/>
    </row>
    <row r="5874" spans="1:2" x14ac:dyDescent="0.15">
      <c r="A5874" s="15"/>
      <c r="B5874" s="15"/>
    </row>
    <row r="5875" spans="1:2" x14ac:dyDescent="0.15">
      <c r="A5875" s="15"/>
      <c r="B5875" s="15"/>
    </row>
    <row r="5876" spans="1:2" x14ac:dyDescent="0.15">
      <c r="A5876" s="15"/>
      <c r="B5876" s="15"/>
    </row>
    <row r="5877" spans="1:2" x14ac:dyDescent="0.15">
      <c r="A5877" s="15"/>
      <c r="B5877" s="15"/>
    </row>
    <row r="5878" spans="1:2" x14ac:dyDescent="0.15">
      <c r="A5878" s="15"/>
      <c r="B5878" s="15"/>
    </row>
    <row r="5879" spans="1:2" x14ac:dyDescent="0.15">
      <c r="A5879" s="15"/>
      <c r="B5879" s="15"/>
    </row>
    <row r="5880" spans="1:2" x14ac:dyDescent="0.15">
      <c r="A5880" s="15"/>
      <c r="B5880" s="15"/>
    </row>
    <row r="5881" spans="1:2" x14ac:dyDescent="0.15">
      <c r="A5881" s="15"/>
      <c r="B5881" s="15"/>
    </row>
    <row r="5882" spans="1:2" x14ac:dyDescent="0.15">
      <c r="A5882" s="15"/>
      <c r="B5882" s="15"/>
    </row>
    <row r="5883" spans="1:2" x14ac:dyDescent="0.15">
      <c r="A5883" s="15"/>
      <c r="B5883" s="15"/>
    </row>
    <row r="5884" spans="1:2" x14ac:dyDescent="0.15">
      <c r="A5884" s="15"/>
      <c r="B5884" s="15"/>
    </row>
    <row r="5885" spans="1:2" x14ac:dyDescent="0.15">
      <c r="A5885" s="15"/>
      <c r="B5885" s="15"/>
    </row>
    <row r="5886" spans="1:2" x14ac:dyDescent="0.15">
      <c r="A5886" s="15"/>
      <c r="B5886" s="15"/>
    </row>
    <row r="5887" spans="1:2" x14ac:dyDescent="0.15">
      <c r="A5887" s="15"/>
      <c r="B5887" s="15"/>
    </row>
    <row r="5888" spans="1:2" x14ac:dyDescent="0.15">
      <c r="A5888" s="15"/>
      <c r="B5888" s="15"/>
    </row>
    <row r="5889" spans="1:2" x14ac:dyDescent="0.15">
      <c r="A5889" s="15"/>
      <c r="B5889" s="15"/>
    </row>
    <row r="5890" spans="1:2" x14ac:dyDescent="0.15">
      <c r="A5890" s="15"/>
      <c r="B5890" s="15"/>
    </row>
    <row r="5891" spans="1:2" x14ac:dyDescent="0.15">
      <c r="A5891" s="15"/>
      <c r="B5891" s="15"/>
    </row>
    <row r="5892" spans="1:2" x14ac:dyDescent="0.15">
      <c r="A5892" s="15"/>
      <c r="B5892" s="15"/>
    </row>
    <row r="5893" spans="1:2" x14ac:dyDescent="0.15">
      <c r="A5893" s="15"/>
      <c r="B5893" s="15"/>
    </row>
    <row r="5894" spans="1:2" x14ac:dyDescent="0.15">
      <c r="A5894" s="15"/>
      <c r="B5894" s="15"/>
    </row>
    <row r="5895" spans="1:2" x14ac:dyDescent="0.15">
      <c r="A5895" s="15"/>
      <c r="B5895" s="15"/>
    </row>
    <row r="5896" spans="1:2" x14ac:dyDescent="0.15">
      <c r="A5896" s="15"/>
      <c r="B5896" s="15"/>
    </row>
    <row r="5897" spans="1:2" x14ac:dyDescent="0.15">
      <c r="A5897" s="15"/>
      <c r="B5897" s="15"/>
    </row>
    <row r="5898" spans="1:2" x14ac:dyDescent="0.15">
      <c r="A5898" s="15"/>
      <c r="B5898" s="15"/>
    </row>
    <row r="5899" spans="1:2" x14ac:dyDescent="0.15">
      <c r="A5899" s="15"/>
      <c r="B5899" s="15"/>
    </row>
    <row r="5900" spans="1:2" x14ac:dyDescent="0.15">
      <c r="A5900" s="15"/>
      <c r="B5900" s="15"/>
    </row>
    <row r="5901" spans="1:2" x14ac:dyDescent="0.15">
      <c r="A5901" s="15"/>
      <c r="B5901" s="15"/>
    </row>
    <row r="5902" spans="1:2" x14ac:dyDescent="0.15">
      <c r="A5902" s="15"/>
      <c r="B5902" s="15"/>
    </row>
    <row r="5903" spans="1:2" x14ac:dyDescent="0.15">
      <c r="A5903" s="15"/>
      <c r="B5903" s="15"/>
    </row>
    <row r="5904" spans="1:2" x14ac:dyDescent="0.15">
      <c r="A5904" s="15"/>
      <c r="B5904" s="15"/>
    </row>
    <row r="5905" spans="1:2" x14ac:dyDescent="0.15">
      <c r="A5905" s="15"/>
      <c r="B5905" s="15"/>
    </row>
    <row r="5906" spans="1:2" x14ac:dyDescent="0.15">
      <c r="A5906" s="15"/>
      <c r="B5906" s="15"/>
    </row>
    <row r="5907" spans="1:2" x14ac:dyDescent="0.15">
      <c r="A5907" s="15"/>
      <c r="B5907" s="15"/>
    </row>
    <row r="5908" spans="1:2" x14ac:dyDescent="0.15">
      <c r="A5908" s="15"/>
      <c r="B5908" s="15"/>
    </row>
    <row r="5909" spans="1:2" x14ac:dyDescent="0.15">
      <c r="A5909" s="15"/>
      <c r="B5909" s="15"/>
    </row>
    <row r="5910" spans="1:2" x14ac:dyDescent="0.15">
      <c r="A5910" s="15"/>
      <c r="B5910" s="15"/>
    </row>
    <row r="5911" spans="1:2" x14ac:dyDescent="0.15">
      <c r="A5911" s="15"/>
      <c r="B5911" s="15"/>
    </row>
    <row r="5912" spans="1:2" x14ac:dyDescent="0.15">
      <c r="A5912" s="15"/>
      <c r="B5912" s="15"/>
    </row>
    <row r="5913" spans="1:2" x14ac:dyDescent="0.15">
      <c r="A5913" s="15"/>
      <c r="B5913" s="15"/>
    </row>
    <row r="5914" spans="1:2" x14ac:dyDescent="0.15">
      <c r="A5914" s="15"/>
      <c r="B5914" s="15"/>
    </row>
    <row r="5915" spans="1:2" x14ac:dyDescent="0.15">
      <c r="A5915" s="15"/>
      <c r="B5915" s="15"/>
    </row>
    <row r="5916" spans="1:2" x14ac:dyDescent="0.15">
      <c r="A5916" s="15"/>
      <c r="B5916" s="15"/>
    </row>
    <row r="5917" spans="1:2" x14ac:dyDescent="0.15">
      <c r="A5917" s="15"/>
      <c r="B5917" s="15"/>
    </row>
    <row r="5918" spans="1:2" x14ac:dyDescent="0.15">
      <c r="A5918" s="15"/>
      <c r="B5918" s="15"/>
    </row>
    <row r="5919" spans="1:2" x14ac:dyDescent="0.15">
      <c r="A5919" s="15"/>
      <c r="B5919" s="15"/>
    </row>
    <row r="5920" spans="1:2" x14ac:dyDescent="0.15">
      <c r="A5920" s="15"/>
      <c r="B5920" s="15"/>
    </row>
    <row r="5921" spans="1:2" x14ac:dyDescent="0.15">
      <c r="A5921" s="15"/>
      <c r="B5921" s="15"/>
    </row>
    <row r="5922" spans="1:2" x14ac:dyDescent="0.15">
      <c r="A5922" s="15"/>
      <c r="B5922" s="15"/>
    </row>
    <row r="5923" spans="1:2" x14ac:dyDescent="0.15">
      <c r="A5923" s="15"/>
      <c r="B5923" s="15"/>
    </row>
    <row r="5924" spans="1:2" x14ac:dyDescent="0.15">
      <c r="A5924" s="15"/>
      <c r="B5924" s="15"/>
    </row>
    <row r="5925" spans="1:2" x14ac:dyDescent="0.15">
      <c r="A5925" s="15"/>
      <c r="B5925" s="15"/>
    </row>
    <row r="5926" spans="1:2" x14ac:dyDescent="0.15">
      <c r="A5926" s="15"/>
      <c r="B5926" s="15"/>
    </row>
    <row r="5927" spans="1:2" x14ac:dyDescent="0.15">
      <c r="A5927" s="15"/>
      <c r="B5927" s="15"/>
    </row>
    <row r="5928" spans="1:2" x14ac:dyDescent="0.15">
      <c r="A5928" s="15"/>
      <c r="B5928" s="15"/>
    </row>
    <row r="5929" spans="1:2" x14ac:dyDescent="0.15">
      <c r="A5929" s="15"/>
      <c r="B5929" s="15"/>
    </row>
    <row r="5930" spans="1:2" x14ac:dyDescent="0.15">
      <c r="A5930" s="15"/>
      <c r="B5930" s="15"/>
    </row>
    <row r="5931" spans="1:2" x14ac:dyDescent="0.15">
      <c r="A5931" s="15"/>
      <c r="B5931" s="15"/>
    </row>
    <row r="5932" spans="1:2" x14ac:dyDescent="0.15">
      <c r="A5932" s="15"/>
      <c r="B5932" s="15"/>
    </row>
    <row r="5933" spans="1:2" x14ac:dyDescent="0.15">
      <c r="A5933" s="15"/>
      <c r="B5933" s="15"/>
    </row>
    <row r="5934" spans="1:2" x14ac:dyDescent="0.15">
      <c r="A5934" s="15"/>
      <c r="B5934" s="15"/>
    </row>
    <row r="5935" spans="1:2" x14ac:dyDescent="0.15">
      <c r="A5935" s="15"/>
      <c r="B5935" s="15"/>
    </row>
    <row r="5936" spans="1:2" x14ac:dyDescent="0.15">
      <c r="A5936" s="15"/>
      <c r="B5936" s="15"/>
    </row>
    <row r="5937" spans="1:2" x14ac:dyDescent="0.15">
      <c r="A5937" s="15"/>
      <c r="B5937" s="15"/>
    </row>
    <row r="5938" spans="1:2" x14ac:dyDescent="0.15">
      <c r="A5938" s="15"/>
      <c r="B5938" s="15"/>
    </row>
    <row r="5939" spans="1:2" x14ac:dyDescent="0.15">
      <c r="A5939" s="15"/>
      <c r="B5939" s="15"/>
    </row>
    <row r="5940" spans="1:2" x14ac:dyDescent="0.15">
      <c r="A5940" s="15"/>
      <c r="B5940" s="15"/>
    </row>
    <row r="5941" spans="1:2" x14ac:dyDescent="0.15">
      <c r="A5941" s="15"/>
      <c r="B5941" s="15"/>
    </row>
    <row r="5942" spans="1:2" x14ac:dyDescent="0.15">
      <c r="A5942" s="15"/>
      <c r="B5942" s="15"/>
    </row>
    <row r="5943" spans="1:2" x14ac:dyDescent="0.15">
      <c r="A5943" s="15"/>
      <c r="B5943" s="15"/>
    </row>
    <row r="5944" spans="1:2" x14ac:dyDescent="0.15">
      <c r="A5944" s="15"/>
      <c r="B5944" s="15"/>
    </row>
    <row r="5945" spans="1:2" x14ac:dyDescent="0.15">
      <c r="A5945" s="15"/>
      <c r="B5945" s="15"/>
    </row>
    <row r="5946" spans="1:2" x14ac:dyDescent="0.15">
      <c r="A5946" s="15"/>
      <c r="B5946" s="15"/>
    </row>
    <row r="5947" spans="1:2" x14ac:dyDescent="0.15">
      <c r="A5947" s="15"/>
      <c r="B5947" s="15"/>
    </row>
    <row r="5948" spans="1:2" x14ac:dyDescent="0.15">
      <c r="A5948" s="15"/>
      <c r="B5948" s="15"/>
    </row>
    <row r="5949" spans="1:2" x14ac:dyDescent="0.15">
      <c r="A5949" s="15"/>
      <c r="B5949" s="15"/>
    </row>
    <row r="5950" spans="1:2" x14ac:dyDescent="0.15">
      <c r="A5950" s="15"/>
      <c r="B5950" s="15"/>
    </row>
    <row r="5951" spans="1:2" x14ac:dyDescent="0.15">
      <c r="A5951" s="15"/>
      <c r="B5951" s="15"/>
    </row>
    <row r="5952" spans="1:2" x14ac:dyDescent="0.15">
      <c r="A5952" s="15"/>
      <c r="B5952" s="15"/>
    </row>
    <row r="5953" spans="1:2" x14ac:dyDescent="0.15">
      <c r="A5953" s="15"/>
      <c r="B5953" s="15"/>
    </row>
    <row r="5954" spans="1:2" x14ac:dyDescent="0.15">
      <c r="A5954" s="15"/>
      <c r="B5954" s="15"/>
    </row>
    <row r="5955" spans="1:2" x14ac:dyDescent="0.15">
      <c r="A5955" s="15"/>
      <c r="B5955" s="15"/>
    </row>
    <row r="5956" spans="1:2" x14ac:dyDescent="0.15">
      <c r="A5956" s="15"/>
      <c r="B5956" s="15"/>
    </row>
    <row r="5957" spans="1:2" x14ac:dyDescent="0.15">
      <c r="A5957" s="15"/>
      <c r="B5957" s="15"/>
    </row>
    <row r="5958" spans="1:2" x14ac:dyDescent="0.15">
      <c r="A5958" s="15"/>
      <c r="B5958" s="15"/>
    </row>
    <row r="5959" spans="1:2" x14ac:dyDescent="0.15">
      <c r="A5959" s="15"/>
      <c r="B5959" s="15"/>
    </row>
    <row r="5960" spans="1:2" x14ac:dyDescent="0.15">
      <c r="A5960" s="15"/>
      <c r="B5960" s="15"/>
    </row>
    <row r="5961" spans="1:2" x14ac:dyDescent="0.15">
      <c r="A5961" s="15"/>
      <c r="B5961" s="15"/>
    </row>
    <row r="5962" spans="1:2" x14ac:dyDescent="0.15">
      <c r="A5962" s="15"/>
      <c r="B5962" s="15"/>
    </row>
    <row r="5963" spans="1:2" x14ac:dyDescent="0.15">
      <c r="A5963" s="15"/>
      <c r="B5963" s="15"/>
    </row>
    <row r="5964" spans="1:2" x14ac:dyDescent="0.15">
      <c r="A5964" s="15"/>
      <c r="B5964" s="15"/>
    </row>
    <row r="5965" spans="1:2" x14ac:dyDescent="0.15">
      <c r="A5965" s="15"/>
      <c r="B5965" s="15"/>
    </row>
    <row r="5966" spans="1:2" x14ac:dyDescent="0.15">
      <c r="A5966" s="15"/>
      <c r="B5966" s="15"/>
    </row>
    <row r="5967" spans="1:2" x14ac:dyDescent="0.15">
      <c r="A5967" s="15"/>
      <c r="B5967" s="15"/>
    </row>
    <row r="5968" spans="1:2" x14ac:dyDescent="0.15">
      <c r="A5968" s="15"/>
      <c r="B5968" s="15"/>
    </row>
    <row r="5969" spans="1:2" x14ac:dyDescent="0.15">
      <c r="A5969" s="15"/>
      <c r="B5969" s="15"/>
    </row>
    <row r="5970" spans="1:2" x14ac:dyDescent="0.15">
      <c r="A5970" s="15"/>
      <c r="B5970" s="15"/>
    </row>
    <row r="5971" spans="1:2" x14ac:dyDescent="0.15">
      <c r="A5971" s="15"/>
      <c r="B5971" s="15"/>
    </row>
    <row r="5972" spans="1:2" x14ac:dyDescent="0.15">
      <c r="A5972" s="15"/>
      <c r="B5972" s="15"/>
    </row>
    <row r="5973" spans="1:2" x14ac:dyDescent="0.15">
      <c r="A5973" s="15"/>
      <c r="B5973" s="15"/>
    </row>
    <row r="5974" spans="1:2" x14ac:dyDescent="0.15">
      <c r="A5974" s="15"/>
      <c r="B5974" s="15"/>
    </row>
    <row r="5975" spans="1:2" x14ac:dyDescent="0.15">
      <c r="A5975" s="15"/>
      <c r="B5975" s="15"/>
    </row>
    <row r="5976" spans="1:2" x14ac:dyDescent="0.15">
      <c r="A5976" s="15"/>
      <c r="B5976" s="15"/>
    </row>
    <row r="5977" spans="1:2" x14ac:dyDescent="0.15">
      <c r="A5977" s="15"/>
      <c r="B5977" s="15"/>
    </row>
    <row r="5978" spans="1:2" x14ac:dyDescent="0.15">
      <c r="A5978" s="15"/>
      <c r="B5978" s="15"/>
    </row>
    <row r="5979" spans="1:2" x14ac:dyDescent="0.15">
      <c r="A5979" s="15"/>
      <c r="B5979" s="15"/>
    </row>
    <row r="5980" spans="1:2" x14ac:dyDescent="0.15">
      <c r="A5980" s="15"/>
      <c r="B5980" s="15"/>
    </row>
    <row r="5981" spans="1:2" x14ac:dyDescent="0.15">
      <c r="A5981" s="15"/>
      <c r="B5981" s="15"/>
    </row>
    <row r="5982" spans="1:2" x14ac:dyDescent="0.15">
      <c r="A5982" s="15"/>
      <c r="B5982" s="15"/>
    </row>
    <row r="5983" spans="1:2" x14ac:dyDescent="0.15">
      <c r="A5983" s="15"/>
      <c r="B5983" s="15"/>
    </row>
    <row r="5984" spans="1:2" x14ac:dyDescent="0.15">
      <c r="A5984" s="15"/>
      <c r="B5984" s="15"/>
    </row>
    <row r="5985" spans="1:2" x14ac:dyDescent="0.15">
      <c r="A5985" s="15"/>
      <c r="B5985" s="15"/>
    </row>
    <row r="5986" spans="1:2" x14ac:dyDescent="0.15">
      <c r="A5986" s="15"/>
      <c r="B5986" s="15"/>
    </row>
    <row r="5987" spans="1:2" x14ac:dyDescent="0.15">
      <c r="A5987" s="15"/>
      <c r="B5987" s="15"/>
    </row>
    <row r="5988" spans="1:2" x14ac:dyDescent="0.15">
      <c r="A5988" s="15"/>
      <c r="B5988" s="15"/>
    </row>
    <row r="5989" spans="1:2" x14ac:dyDescent="0.15">
      <c r="A5989" s="15"/>
      <c r="B5989" s="15"/>
    </row>
    <row r="5990" spans="1:2" x14ac:dyDescent="0.15">
      <c r="A5990" s="15"/>
      <c r="B5990" s="15"/>
    </row>
    <row r="5991" spans="1:2" x14ac:dyDescent="0.15">
      <c r="A5991" s="15"/>
      <c r="B5991" s="15"/>
    </row>
    <row r="5992" spans="1:2" x14ac:dyDescent="0.15">
      <c r="A5992" s="15"/>
      <c r="B5992" s="15"/>
    </row>
    <row r="5993" spans="1:2" x14ac:dyDescent="0.15">
      <c r="A5993" s="15"/>
      <c r="B5993" s="15"/>
    </row>
    <row r="5994" spans="1:2" x14ac:dyDescent="0.15">
      <c r="A5994" s="15"/>
      <c r="B5994" s="15"/>
    </row>
    <row r="5995" spans="1:2" x14ac:dyDescent="0.15">
      <c r="A5995" s="15"/>
      <c r="B5995" s="15"/>
    </row>
    <row r="5996" spans="1:2" x14ac:dyDescent="0.15">
      <c r="A5996" s="15"/>
      <c r="B5996" s="15"/>
    </row>
    <row r="5997" spans="1:2" x14ac:dyDescent="0.15">
      <c r="A5997" s="15"/>
      <c r="B5997" s="15"/>
    </row>
    <row r="5998" spans="1:2" x14ac:dyDescent="0.15">
      <c r="A5998" s="15"/>
      <c r="B5998" s="15"/>
    </row>
    <row r="5999" spans="1:2" x14ac:dyDescent="0.15">
      <c r="A5999" s="15"/>
      <c r="B5999" s="15"/>
    </row>
    <row r="6000" spans="1:2" x14ac:dyDescent="0.15">
      <c r="A6000" s="15"/>
      <c r="B6000" s="15"/>
    </row>
    <row r="6001" spans="1:2" x14ac:dyDescent="0.15">
      <c r="A6001" s="15"/>
      <c r="B6001" s="15"/>
    </row>
    <row r="6002" spans="1:2" x14ac:dyDescent="0.15">
      <c r="A6002" s="15"/>
      <c r="B6002" s="15"/>
    </row>
    <row r="6003" spans="1:2" x14ac:dyDescent="0.15">
      <c r="A6003" s="15"/>
      <c r="B6003" s="15"/>
    </row>
    <row r="6004" spans="1:2" x14ac:dyDescent="0.15">
      <c r="A6004" s="15"/>
      <c r="B6004" s="15"/>
    </row>
    <row r="6005" spans="1:2" x14ac:dyDescent="0.15">
      <c r="A6005" s="15"/>
      <c r="B6005" s="15"/>
    </row>
    <row r="6006" spans="1:2" x14ac:dyDescent="0.15">
      <c r="A6006" s="15"/>
      <c r="B6006" s="15"/>
    </row>
    <row r="6007" spans="1:2" x14ac:dyDescent="0.15">
      <c r="A6007" s="15"/>
      <c r="B6007" s="15"/>
    </row>
    <row r="6008" spans="1:2" x14ac:dyDescent="0.15">
      <c r="A6008" s="15"/>
      <c r="B6008" s="15"/>
    </row>
    <row r="6009" spans="1:2" x14ac:dyDescent="0.15">
      <c r="A6009" s="15"/>
      <c r="B6009" s="15"/>
    </row>
    <row r="6010" spans="1:2" x14ac:dyDescent="0.15">
      <c r="A6010" s="15"/>
      <c r="B6010" s="15"/>
    </row>
    <row r="6011" spans="1:2" x14ac:dyDescent="0.15">
      <c r="A6011" s="15"/>
      <c r="B6011" s="15"/>
    </row>
    <row r="6012" spans="1:2" x14ac:dyDescent="0.15">
      <c r="A6012" s="15"/>
      <c r="B6012" s="15"/>
    </row>
    <row r="6013" spans="1:2" x14ac:dyDescent="0.15">
      <c r="A6013" s="15"/>
      <c r="B6013" s="15"/>
    </row>
    <row r="6014" spans="1:2" x14ac:dyDescent="0.15">
      <c r="A6014" s="15"/>
      <c r="B6014" s="15"/>
    </row>
    <row r="6015" spans="1:2" x14ac:dyDescent="0.15">
      <c r="A6015" s="15"/>
      <c r="B6015" s="15"/>
    </row>
    <row r="6016" spans="1:2" x14ac:dyDescent="0.15">
      <c r="A6016" s="15"/>
      <c r="B6016" s="15"/>
    </row>
    <row r="6017" spans="1:2" x14ac:dyDescent="0.15">
      <c r="A6017" s="15"/>
      <c r="B6017" s="15"/>
    </row>
    <row r="6018" spans="1:2" x14ac:dyDescent="0.15">
      <c r="A6018" s="15"/>
      <c r="B6018" s="15"/>
    </row>
    <row r="6019" spans="1:2" x14ac:dyDescent="0.15">
      <c r="A6019" s="15"/>
      <c r="B6019" s="15"/>
    </row>
    <row r="6020" spans="1:2" x14ac:dyDescent="0.15">
      <c r="A6020" s="15"/>
      <c r="B6020" s="15"/>
    </row>
    <row r="6021" spans="1:2" x14ac:dyDescent="0.15">
      <c r="A6021" s="15"/>
      <c r="B6021" s="15"/>
    </row>
    <row r="6022" spans="1:2" x14ac:dyDescent="0.15">
      <c r="A6022" s="15"/>
      <c r="B6022" s="15"/>
    </row>
    <row r="6023" spans="1:2" x14ac:dyDescent="0.15">
      <c r="A6023" s="15"/>
      <c r="B6023" s="15"/>
    </row>
    <row r="6024" spans="1:2" x14ac:dyDescent="0.15">
      <c r="A6024" s="15"/>
      <c r="B6024" s="15"/>
    </row>
    <row r="6025" spans="1:2" x14ac:dyDescent="0.15">
      <c r="A6025" s="15"/>
      <c r="B6025" s="15"/>
    </row>
    <row r="6026" spans="1:2" x14ac:dyDescent="0.15">
      <c r="A6026" s="15"/>
      <c r="B6026" s="15"/>
    </row>
    <row r="6027" spans="1:2" x14ac:dyDescent="0.15">
      <c r="A6027" s="15"/>
      <c r="B6027" s="15"/>
    </row>
    <row r="6028" spans="1:2" x14ac:dyDescent="0.15">
      <c r="A6028" s="15"/>
      <c r="B6028" s="15"/>
    </row>
    <row r="6029" spans="1:2" x14ac:dyDescent="0.15">
      <c r="A6029" s="15"/>
      <c r="B6029" s="15"/>
    </row>
    <row r="6030" spans="1:2" x14ac:dyDescent="0.15">
      <c r="A6030" s="15"/>
      <c r="B6030" s="15"/>
    </row>
    <row r="6031" spans="1:2" x14ac:dyDescent="0.15">
      <c r="A6031" s="15"/>
      <c r="B6031" s="15"/>
    </row>
    <row r="6032" spans="1:2" x14ac:dyDescent="0.15">
      <c r="A6032" s="15"/>
      <c r="B6032" s="15"/>
    </row>
    <row r="6033" spans="1:2" x14ac:dyDescent="0.15">
      <c r="A6033" s="15"/>
      <c r="B6033" s="15"/>
    </row>
    <row r="6034" spans="1:2" x14ac:dyDescent="0.15">
      <c r="A6034" s="15"/>
      <c r="B6034" s="15"/>
    </row>
    <row r="6035" spans="1:2" x14ac:dyDescent="0.15">
      <c r="A6035" s="15"/>
      <c r="B6035" s="15"/>
    </row>
    <row r="6036" spans="1:2" x14ac:dyDescent="0.15">
      <c r="A6036" s="15"/>
      <c r="B6036" s="15"/>
    </row>
    <row r="6037" spans="1:2" x14ac:dyDescent="0.15">
      <c r="A6037" s="15"/>
      <c r="B6037" s="15"/>
    </row>
    <row r="6038" spans="1:2" x14ac:dyDescent="0.15">
      <c r="A6038" s="15"/>
      <c r="B6038" s="15"/>
    </row>
    <row r="6039" spans="1:2" x14ac:dyDescent="0.15">
      <c r="A6039" s="15"/>
      <c r="B6039" s="15"/>
    </row>
    <row r="6040" spans="1:2" x14ac:dyDescent="0.15">
      <c r="A6040" s="15"/>
      <c r="B6040" s="15"/>
    </row>
    <row r="6041" spans="1:2" x14ac:dyDescent="0.15">
      <c r="A6041" s="15"/>
      <c r="B6041" s="15"/>
    </row>
    <row r="6042" spans="1:2" x14ac:dyDescent="0.15">
      <c r="A6042" s="15"/>
      <c r="B6042" s="15"/>
    </row>
    <row r="6043" spans="1:2" x14ac:dyDescent="0.15">
      <c r="A6043" s="15"/>
      <c r="B6043" s="15"/>
    </row>
    <row r="6044" spans="1:2" x14ac:dyDescent="0.15">
      <c r="A6044" s="15"/>
      <c r="B6044" s="15"/>
    </row>
    <row r="6045" spans="1:2" x14ac:dyDescent="0.15">
      <c r="A6045" s="15"/>
      <c r="B6045" s="15"/>
    </row>
    <row r="6046" spans="1:2" x14ac:dyDescent="0.15">
      <c r="A6046" s="15"/>
      <c r="B6046" s="15"/>
    </row>
    <row r="6047" spans="1:2" x14ac:dyDescent="0.15">
      <c r="A6047" s="15"/>
      <c r="B6047" s="15"/>
    </row>
    <row r="6048" spans="1:2" x14ac:dyDescent="0.15">
      <c r="A6048" s="15"/>
      <c r="B6048" s="15"/>
    </row>
    <row r="6049" spans="1:2" x14ac:dyDescent="0.15">
      <c r="A6049" s="15"/>
      <c r="B6049" s="15"/>
    </row>
    <row r="6050" spans="1:2" x14ac:dyDescent="0.15">
      <c r="A6050" s="15"/>
      <c r="B6050" s="15"/>
    </row>
    <row r="6051" spans="1:2" x14ac:dyDescent="0.15">
      <c r="A6051" s="15"/>
      <c r="B6051" s="15"/>
    </row>
    <row r="6052" spans="1:2" x14ac:dyDescent="0.15">
      <c r="A6052" s="15"/>
      <c r="B6052" s="15"/>
    </row>
    <row r="6053" spans="1:2" x14ac:dyDescent="0.15">
      <c r="A6053" s="15"/>
      <c r="B6053" s="15"/>
    </row>
    <row r="6054" spans="1:2" x14ac:dyDescent="0.15">
      <c r="A6054" s="15"/>
      <c r="B6054" s="15"/>
    </row>
    <row r="6055" spans="1:2" x14ac:dyDescent="0.15">
      <c r="A6055" s="15"/>
      <c r="B6055" s="15"/>
    </row>
    <row r="6056" spans="1:2" x14ac:dyDescent="0.15">
      <c r="A6056" s="15"/>
      <c r="B6056" s="15"/>
    </row>
    <row r="6057" spans="1:2" x14ac:dyDescent="0.15">
      <c r="A6057" s="15"/>
      <c r="B6057" s="15"/>
    </row>
    <row r="6058" spans="1:2" x14ac:dyDescent="0.15">
      <c r="A6058" s="15"/>
      <c r="B6058" s="15"/>
    </row>
    <row r="6059" spans="1:2" x14ac:dyDescent="0.15">
      <c r="A6059" s="15"/>
      <c r="B6059" s="15"/>
    </row>
    <row r="6060" spans="1:2" x14ac:dyDescent="0.15">
      <c r="A6060" s="15"/>
      <c r="B6060" s="15"/>
    </row>
    <row r="6061" spans="1:2" x14ac:dyDescent="0.15">
      <c r="A6061" s="15"/>
      <c r="B6061" s="15"/>
    </row>
    <row r="6062" spans="1:2" x14ac:dyDescent="0.15">
      <c r="A6062" s="15"/>
      <c r="B6062" s="15"/>
    </row>
    <row r="6063" spans="1:2" x14ac:dyDescent="0.15">
      <c r="A6063" s="15"/>
      <c r="B6063" s="15"/>
    </row>
    <row r="6064" spans="1:2" x14ac:dyDescent="0.15">
      <c r="A6064" s="15"/>
      <c r="B6064" s="15"/>
    </row>
    <row r="6065" spans="1:2" x14ac:dyDescent="0.15">
      <c r="A6065" s="15"/>
      <c r="B6065" s="15"/>
    </row>
    <row r="6066" spans="1:2" x14ac:dyDescent="0.15">
      <c r="A6066" s="15"/>
      <c r="B6066" s="15"/>
    </row>
    <row r="6067" spans="1:2" x14ac:dyDescent="0.15">
      <c r="A6067" s="15"/>
      <c r="B6067" s="15"/>
    </row>
    <row r="6068" spans="1:2" x14ac:dyDescent="0.15">
      <c r="A6068" s="15"/>
      <c r="B6068" s="15"/>
    </row>
    <row r="6069" spans="1:2" x14ac:dyDescent="0.15">
      <c r="A6069" s="15"/>
      <c r="B6069" s="15"/>
    </row>
    <row r="6070" spans="1:2" x14ac:dyDescent="0.15">
      <c r="A6070" s="15"/>
      <c r="B6070" s="15"/>
    </row>
    <row r="6071" spans="1:2" x14ac:dyDescent="0.15">
      <c r="A6071" s="15"/>
      <c r="B6071" s="15"/>
    </row>
    <row r="6072" spans="1:2" x14ac:dyDescent="0.15">
      <c r="A6072" s="15"/>
      <c r="B6072" s="15"/>
    </row>
    <row r="6073" spans="1:2" x14ac:dyDescent="0.15">
      <c r="A6073" s="15"/>
      <c r="B6073" s="15"/>
    </row>
    <row r="6074" spans="1:2" x14ac:dyDescent="0.15">
      <c r="A6074" s="15"/>
      <c r="B6074" s="15"/>
    </row>
    <row r="6075" spans="1:2" x14ac:dyDescent="0.15">
      <c r="A6075" s="15"/>
      <c r="B6075" s="15"/>
    </row>
    <row r="6076" spans="1:2" x14ac:dyDescent="0.15">
      <c r="A6076" s="15"/>
      <c r="B6076" s="15"/>
    </row>
    <row r="6077" spans="1:2" x14ac:dyDescent="0.15">
      <c r="A6077" s="15"/>
      <c r="B6077" s="15"/>
    </row>
    <row r="6078" spans="1:2" x14ac:dyDescent="0.15">
      <c r="A6078" s="15"/>
      <c r="B6078" s="15"/>
    </row>
    <row r="6079" spans="1:2" x14ac:dyDescent="0.15">
      <c r="A6079" s="15"/>
      <c r="B6079" s="15"/>
    </row>
    <row r="6080" spans="1:2" x14ac:dyDescent="0.15">
      <c r="A6080" s="15"/>
      <c r="B6080" s="15"/>
    </row>
    <row r="6081" spans="1:2" x14ac:dyDescent="0.15">
      <c r="A6081" s="15"/>
      <c r="B6081" s="15"/>
    </row>
    <row r="6082" spans="1:2" x14ac:dyDescent="0.15">
      <c r="A6082" s="15"/>
      <c r="B6082" s="15"/>
    </row>
    <row r="6083" spans="1:2" x14ac:dyDescent="0.15">
      <c r="A6083" s="15"/>
      <c r="B6083" s="15"/>
    </row>
    <row r="6084" spans="1:2" x14ac:dyDescent="0.15">
      <c r="A6084" s="15"/>
      <c r="B6084" s="15"/>
    </row>
    <row r="6085" spans="1:2" x14ac:dyDescent="0.15">
      <c r="A6085" s="15"/>
      <c r="B6085" s="15"/>
    </row>
    <row r="6086" spans="1:2" x14ac:dyDescent="0.15">
      <c r="A6086" s="15"/>
      <c r="B6086" s="15"/>
    </row>
    <row r="6087" spans="1:2" x14ac:dyDescent="0.15">
      <c r="A6087" s="15"/>
      <c r="B6087" s="15"/>
    </row>
    <row r="6088" spans="1:2" x14ac:dyDescent="0.15">
      <c r="A6088" s="15"/>
      <c r="B6088" s="15"/>
    </row>
    <row r="6089" spans="1:2" x14ac:dyDescent="0.15">
      <c r="A6089" s="15"/>
      <c r="B6089" s="15"/>
    </row>
    <row r="6090" spans="1:2" x14ac:dyDescent="0.15">
      <c r="A6090" s="15"/>
      <c r="B6090" s="15"/>
    </row>
    <row r="6091" spans="1:2" x14ac:dyDescent="0.15">
      <c r="A6091" s="15"/>
      <c r="B6091" s="15"/>
    </row>
    <row r="6092" spans="1:2" x14ac:dyDescent="0.15">
      <c r="A6092" s="15"/>
      <c r="B6092" s="15"/>
    </row>
    <row r="6093" spans="1:2" x14ac:dyDescent="0.15">
      <c r="A6093" s="15"/>
      <c r="B6093" s="15"/>
    </row>
    <row r="6094" spans="1:2" x14ac:dyDescent="0.15">
      <c r="A6094" s="15"/>
      <c r="B6094" s="15"/>
    </row>
    <row r="6095" spans="1:2" x14ac:dyDescent="0.15">
      <c r="A6095" s="15"/>
      <c r="B6095" s="15"/>
    </row>
    <row r="6096" spans="1:2" x14ac:dyDescent="0.15">
      <c r="A6096" s="15"/>
      <c r="B6096" s="15"/>
    </row>
    <row r="6097" spans="1:2" x14ac:dyDescent="0.15">
      <c r="A6097" s="15"/>
      <c r="B6097" s="15"/>
    </row>
    <row r="6098" spans="1:2" x14ac:dyDescent="0.15">
      <c r="A6098" s="15"/>
      <c r="B6098" s="15"/>
    </row>
    <row r="6099" spans="1:2" x14ac:dyDescent="0.15">
      <c r="A6099" s="15"/>
      <c r="B6099" s="15"/>
    </row>
    <row r="6100" spans="1:2" x14ac:dyDescent="0.15">
      <c r="A6100" s="15"/>
      <c r="B6100" s="15"/>
    </row>
    <row r="6101" spans="1:2" x14ac:dyDescent="0.15">
      <c r="A6101" s="15"/>
      <c r="B6101" s="15"/>
    </row>
    <row r="6102" spans="1:2" x14ac:dyDescent="0.15">
      <c r="A6102" s="15"/>
      <c r="B6102" s="15"/>
    </row>
    <row r="6103" spans="1:2" x14ac:dyDescent="0.15">
      <c r="A6103" s="15"/>
      <c r="B6103" s="15"/>
    </row>
    <row r="6104" spans="1:2" x14ac:dyDescent="0.15">
      <c r="A6104" s="15"/>
      <c r="B6104" s="15"/>
    </row>
    <row r="6105" spans="1:2" x14ac:dyDescent="0.15">
      <c r="A6105" s="15"/>
      <c r="B6105" s="15"/>
    </row>
    <row r="6106" spans="1:2" x14ac:dyDescent="0.15">
      <c r="A6106" s="15"/>
      <c r="B6106" s="15"/>
    </row>
    <row r="6107" spans="1:2" x14ac:dyDescent="0.15">
      <c r="A6107" s="15"/>
      <c r="B6107" s="15"/>
    </row>
    <row r="6108" spans="1:2" x14ac:dyDescent="0.15">
      <c r="A6108" s="15"/>
      <c r="B6108" s="15"/>
    </row>
    <row r="6109" spans="1:2" x14ac:dyDescent="0.15">
      <c r="A6109" s="15"/>
      <c r="B6109" s="15"/>
    </row>
    <row r="6110" spans="1:2" x14ac:dyDescent="0.15">
      <c r="A6110" s="15"/>
      <c r="B6110" s="15"/>
    </row>
    <row r="6111" spans="1:2" x14ac:dyDescent="0.15">
      <c r="A6111" s="15"/>
      <c r="B6111" s="15"/>
    </row>
    <row r="6112" spans="1:2" x14ac:dyDescent="0.15">
      <c r="A6112" s="15"/>
      <c r="B6112" s="15"/>
    </row>
    <row r="6113" spans="1:2" x14ac:dyDescent="0.15">
      <c r="A6113" s="15"/>
      <c r="B6113" s="15"/>
    </row>
    <row r="6114" spans="1:2" x14ac:dyDescent="0.15">
      <c r="A6114" s="15"/>
      <c r="B6114" s="15"/>
    </row>
    <row r="6115" spans="1:2" x14ac:dyDescent="0.15">
      <c r="A6115" s="15"/>
      <c r="B6115" s="15"/>
    </row>
    <row r="6116" spans="1:2" x14ac:dyDescent="0.15">
      <c r="A6116" s="15"/>
      <c r="B6116" s="15"/>
    </row>
    <row r="6117" spans="1:2" x14ac:dyDescent="0.15">
      <c r="A6117" s="15"/>
      <c r="B6117" s="15"/>
    </row>
    <row r="6118" spans="1:2" x14ac:dyDescent="0.15">
      <c r="A6118" s="15"/>
      <c r="B6118" s="15"/>
    </row>
    <row r="6119" spans="1:2" x14ac:dyDescent="0.15">
      <c r="A6119" s="15"/>
      <c r="B6119" s="15"/>
    </row>
    <row r="6120" spans="1:2" x14ac:dyDescent="0.15">
      <c r="A6120" s="15"/>
      <c r="B6120" s="15"/>
    </row>
    <row r="6121" spans="1:2" x14ac:dyDescent="0.15">
      <c r="A6121" s="15"/>
      <c r="B6121" s="15"/>
    </row>
    <row r="6122" spans="1:2" x14ac:dyDescent="0.15">
      <c r="A6122" s="15"/>
      <c r="B6122" s="15"/>
    </row>
    <row r="6123" spans="1:2" x14ac:dyDescent="0.15">
      <c r="A6123" s="15"/>
      <c r="B6123" s="15"/>
    </row>
    <row r="6124" spans="1:2" x14ac:dyDescent="0.15">
      <c r="A6124" s="15"/>
      <c r="B6124" s="15"/>
    </row>
    <row r="6125" spans="1:2" x14ac:dyDescent="0.15">
      <c r="A6125" s="15"/>
      <c r="B6125" s="15"/>
    </row>
    <row r="6126" spans="1:2" x14ac:dyDescent="0.15">
      <c r="A6126" s="15"/>
      <c r="B6126" s="15"/>
    </row>
    <row r="6127" spans="1:2" x14ac:dyDescent="0.15">
      <c r="A6127" s="15"/>
      <c r="B6127" s="15"/>
    </row>
    <row r="6128" spans="1:2" x14ac:dyDescent="0.15">
      <c r="A6128" s="15"/>
      <c r="B6128" s="15"/>
    </row>
    <row r="6129" spans="1:2" x14ac:dyDescent="0.15">
      <c r="A6129" s="15"/>
      <c r="B6129" s="15"/>
    </row>
    <row r="6130" spans="1:2" x14ac:dyDescent="0.15">
      <c r="A6130" s="15"/>
      <c r="B6130" s="15"/>
    </row>
    <row r="6131" spans="1:2" x14ac:dyDescent="0.15">
      <c r="A6131" s="15"/>
      <c r="B6131" s="15"/>
    </row>
    <row r="6132" spans="1:2" x14ac:dyDescent="0.15">
      <c r="A6132" s="15"/>
      <c r="B6132" s="15"/>
    </row>
    <row r="6133" spans="1:2" x14ac:dyDescent="0.15">
      <c r="A6133" s="15"/>
      <c r="B6133" s="15"/>
    </row>
    <row r="6134" spans="1:2" x14ac:dyDescent="0.15">
      <c r="A6134" s="15"/>
      <c r="B6134" s="15"/>
    </row>
    <row r="6135" spans="1:2" x14ac:dyDescent="0.15">
      <c r="A6135" s="15"/>
      <c r="B6135" s="15"/>
    </row>
    <row r="6136" spans="1:2" x14ac:dyDescent="0.15">
      <c r="A6136" s="15"/>
      <c r="B6136" s="15"/>
    </row>
    <row r="6137" spans="1:2" x14ac:dyDescent="0.15">
      <c r="A6137" s="15"/>
      <c r="B6137" s="15"/>
    </row>
    <row r="6138" spans="1:2" x14ac:dyDescent="0.15">
      <c r="A6138" s="15"/>
      <c r="B6138" s="15"/>
    </row>
    <row r="6139" spans="1:2" x14ac:dyDescent="0.15">
      <c r="A6139" s="15"/>
      <c r="B6139" s="15"/>
    </row>
    <row r="6140" spans="1:2" x14ac:dyDescent="0.15">
      <c r="A6140" s="15"/>
      <c r="B6140" s="15"/>
    </row>
    <row r="6141" spans="1:2" x14ac:dyDescent="0.15">
      <c r="A6141" s="15"/>
      <c r="B6141" s="15"/>
    </row>
    <row r="6142" spans="1:2" x14ac:dyDescent="0.15">
      <c r="A6142" s="15"/>
      <c r="B6142" s="15"/>
    </row>
    <row r="6143" spans="1:2" x14ac:dyDescent="0.15">
      <c r="A6143" s="15"/>
      <c r="B6143" s="15"/>
    </row>
    <row r="6144" spans="1:2" x14ac:dyDescent="0.15">
      <c r="A6144" s="15"/>
      <c r="B6144" s="15"/>
    </row>
    <row r="6145" spans="1:2" x14ac:dyDescent="0.15">
      <c r="A6145" s="15"/>
      <c r="B6145" s="15"/>
    </row>
    <row r="6146" spans="1:2" x14ac:dyDescent="0.15">
      <c r="A6146" s="15"/>
      <c r="B6146" s="15"/>
    </row>
    <row r="6147" spans="1:2" x14ac:dyDescent="0.15">
      <c r="A6147" s="15"/>
      <c r="B6147" s="15"/>
    </row>
    <row r="6148" spans="1:2" x14ac:dyDescent="0.15">
      <c r="A6148" s="15"/>
      <c r="B6148" s="15"/>
    </row>
    <row r="6149" spans="1:2" x14ac:dyDescent="0.15">
      <c r="A6149" s="15"/>
      <c r="B6149" s="15"/>
    </row>
    <row r="6150" spans="1:2" x14ac:dyDescent="0.15">
      <c r="A6150" s="15"/>
      <c r="B6150" s="15"/>
    </row>
    <row r="6151" spans="1:2" x14ac:dyDescent="0.15">
      <c r="A6151" s="15"/>
      <c r="B6151" s="15"/>
    </row>
    <row r="6152" spans="1:2" x14ac:dyDescent="0.15">
      <c r="A6152" s="15"/>
      <c r="B6152" s="15"/>
    </row>
    <row r="6153" spans="1:2" x14ac:dyDescent="0.15">
      <c r="A6153" s="15"/>
      <c r="B6153" s="15"/>
    </row>
    <row r="6154" spans="1:2" x14ac:dyDescent="0.15">
      <c r="A6154" s="15"/>
      <c r="B6154" s="15"/>
    </row>
    <row r="6155" spans="1:2" x14ac:dyDescent="0.15">
      <c r="A6155" s="15"/>
      <c r="B6155" s="15"/>
    </row>
    <row r="6156" spans="1:2" x14ac:dyDescent="0.15">
      <c r="A6156" s="15"/>
      <c r="B6156" s="15"/>
    </row>
    <row r="6157" spans="1:2" x14ac:dyDescent="0.15">
      <c r="A6157" s="15"/>
      <c r="B6157" s="15"/>
    </row>
    <row r="6158" spans="1:2" x14ac:dyDescent="0.15">
      <c r="A6158" s="15"/>
      <c r="B6158" s="15"/>
    </row>
    <row r="6159" spans="1:2" x14ac:dyDescent="0.15">
      <c r="A6159" s="15"/>
      <c r="B6159" s="15"/>
    </row>
    <row r="6160" spans="1:2" x14ac:dyDescent="0.15">
      <c r="A6160" s="15"/>
      <c r="B6160" s="15"/>
    </row>
    <row r="6161" spans="1:2" x14ac:dyDescent="0.15">
      <c r="A6161" s="15"/>
      <c r="B6161" s="15"/>
    </row>
    <row r="6162" spans="1:2" x14ac:dyDescent="0.15">
      <c r="A6162" s="15"/>
      <c r="B6162" s="15"/>
    </row>
    <row r="6163" spans="1:2" x14ac:dyDescent="0.15">
      <c r="A6163" s="15"/>
      <c r="B6163" s="15"/>
    </row>
    <row r="6164" spans="1:2" x14ac:dyDescent="0.15">
      <c r="A6164" s="15"/>
      <c r="B6164" s="15"/>
    </row>
    <row r="6165" spans="1:2" x14ac:dyDescent="0.15">
      <c r="A6165" s="15"/>
      <c r="B6165" s="15"/>
    </row>
    <row r="6166" spans="1:2" x14ac:dyDescent="0.15">
      <c r="A6166" s="15"/>
      <c r="B6166" s="15"/>
    </row>
    <row r="6167" spans="1:2" x14ac:dyDescent="0.15">
      <c r="A6167" s="15"/>
      <c r="B6167" s="15"/>
    </row>
    <row r="6168" spans="1:2" x14ac:dyDescent="0.15">
      <c r="A6168" s="15"/>
      <c r="B6168" s="15"/>
    </row>
    <row r="6169" spans="1:2" x14ac:dyDescent="0.15">
      <c r="A6169" s="15"/>
      <c r="B6169" s="15"/>
    </row>
    <row r="6170" spans="1:2" x14ac:dyDescent="0.15">
      <c r="A6170" s="15"/>
      <c r="B6170" s="15"/>
    </row>
    <row r="6171" spans="1:2" x14ac:dyDescent="0.15">
      <c r="A6171" s="15"/>
      <c r="B6171" s="15"/>
    </row>
    <row r="6172" spans="1:2" x14ac:dyDescent="0.15">
      <c r="A6172" s="15"/>
      <c r="B6172" s="15"/>
    </row>
    <row r="6173" spans="1:2" x14ac:dyDescent="0.15">
      <c r="A6173" s="15"/>
      <c r="B6173" s="15"/>
    </row>
    <row r="6174" spans="1:2" x14ac:dyDescent="0.15">
      <c r="A6174" s="15"/>
      <c r="B6174" s="15"/>
    </row>
    <row r="6175" spans="1:2" x14ac:dyDescent="0.15">
      <c r="A6175" s="15"/>
      <c r="B6175" s="15"/>
    </row>
    <row r="6176" spans="1:2" x14ac:dyDescent="0.15">
      <c r="A6176" s="15"/>
      <c r="B6176" s="15"/>
    </row>
    <row r="6177" spans="1:2" x14ac:dyDescent="0.15">
      <c r="A6177" s="15"/>
      <c r="B6177" s="15"/>
    </row>
    <row r="6178" spans="1:2" x14ac:dyDescent="0.15">
      <c r="A6178" s="15"/>
      <c r="B6178" s="15"/>
    </row>
    <row r="6179" spans="1:2" x14ac:dyDescent="0.15">
      <c r="A6179" s="15"/>
      <c r="B6179" s="15"/>
    </row>
    <row r="6180" spans="1:2" x14ac:dyDescent="0.15">
      <c r="A6180" s="15"/>
      <c r="B6180" s="15"/>
    </row>
    <row r="6181" spans="1:2" x14ac:dyDescent="0.15">
      <c r="A6181" s="15"/>
      <c r="B6181" s="15"/>
    </row>
    <row r="6182" spans="1:2" x14ac:dyDescent="0.15">
      <c r="A6182" s="15"/>
      <c r="B6182" s="15"/>
    </row>
    <row r="6183" spans="1:2" x14ac:dyDescent="0.15">
      <c r="A6183" s="15"/>
      <c r="B6183" s="15"/>
    </row>
    <row r="6184" spans="1:2" x14ac:dyDescent="0.15">
      <c r="A6184" s="15"/>
      <c r="B6184" s="15"/>
    </row>
    <row r="6185" spans="1:2" x14ac:dyDescent="0.15">
      <c r="A6185" s="15"/>
      <c r="B6185" s="15"/>
    </row>
    <row r="6186" spans="1:2" x14ac:dyDescent="0.15">
      <c r="A6186" s="15"/>
      <c r="B6186" s="15"/>
    </row>
    <row r="6187" spans="1:2" x14ac:dyDescent="0.15">
      <c r="A6187" s="15"/>
      <c r="B6187" s="15"/>
    </row>
    <row r="6188" spans="1:2" x14ac:dyDescent="0.15">
      <c r="A6188" s="15"/>
      <c r="B6188" s="15"/>
    </row>
    <row r="6189" spans="1:2" x14ac:dyDescent="0.15">
      <c r="A6189" s="15"/>
      <c r="B6189" s="15"/>
    </row>
    <row r="6190" spans="1:2" x14ac:dyDescent="0.15">
      <c r="A6190" s="15"/>
      <c r="B6190" s="15"/>
    </row>
    <row r="6191" spans="1:2" x14ac:dyDescent="0.15">
      <c r="A6191" s="15"/>
      <c r="B6191" s="15"/>
    </row>
    <row r="6192" spans="1:2" x14ac:dyDescent="0.15">
      <c r="A6192" s="15"/>
      <c r="B6192" s="15"/>
    </row>
    <row r="6193" spans="1:2" x14ac:dyDescent="0.15">
      <c r="A6193" s="15"/>
      <c r="B6193" s="15"/>
    </row>
    <row r="6194" spans="1:2" x14ac:dyDescent="0.15">
      <c r="A6194" s="15"/>
      <c r="B6194" s="15"/>
    </row>
    <row r="6195" spans="1:2" x14ac:dyDescent="0.15">
      <c r="A6195" s="15"/>
      <c r="B6195" s="15"/>
    </row>
    <row r="6196" spans="1:2" x14ac:dyDescent="0.15">
      <c r="A6196" s="15"/>
      <c r="B6196" s="15"/>
    </row>
    <row r="6197" spans="1:2" x14ac:dyDescent="0.15">
      <c r="A6197" s="15"/>
      <c r="B6197" s="15"/>
    </row>
    <row r="6198" spans="1:2" x14ac:dyDescent="0.15">
      <c r="A6198" s="15"/>
      <c r="B6198" s="15"/>
    </row>
    <row r="6199" spans="1:2" x14ac:dyDescent="0.15">
      <c r="A6199" s="15"/>
      <c r="B6199" s="15"/>
    </row>
    <row r="6200" spans="1:2" x14ac:dyDescent="0.15">
      <c r="A6200" s="15"/>
      <c r="B6200" s="15"/>
    </row>
    <row r="6201" spans="1:2" x14ac:dyDescent="0.15">
      <c r="A6201" s="15"/>
      <c r="B6201" s="15"/>
    </row>
    <row r="6202" spans="1:2" x14ac:dyDescent="0.15">
      <c r="A6202" s="15"/>
      <c r="B6202" s="15"/>
    </row>
    <row r="6203" spans="1:2" x14ac:dyDescent="0.15">
      <c r="A6203" s="15"/>
      <c r="B6203" s="15"/>
    </row>
    <row r="6204" spans="1:2" x14ac:dyDescent="0.15">
      <c r="A6204" s="15"/>
      <c r="B6204" s="15"/>
    </row>
    <row r="6205" spans="1:2" x14ac:dyDescent="0.15">
      <c r="A6205" s="15"/>
      <c r="B6205" s="15"/>
    </row>
    <row r="6206" spans="1:2" x14ac:dyDescent="0.15">
      <c r="A6206" s="15"/>
      <c r="B6206" s="15"/>
    </row>
    <row r="6207" spans="1:2" x14ac:dyDescent="0.15">
      <c r="A6207" s="15"/>
      <c r="B6207" s="15"/>
    </row>
    <row r="6208" spans="1:2" x14ac:dyDescent="0.15">
      <c r="A6208" s="15"/>
      <c r="B6208" s="15"/>
    </row>
    <row r="6209" spans="1:2" x14ac:dyDescent="0.15">
      <c r="A6209" s="15"/>
      <c r="B6209" s="15"/>
    </row>
    <row r="6210" spans="1:2" x14ac:dyDescent="0.15">
      <c r="A6210" s="15"/>
      <c r="B6210" s="15"/>
    </row>
    <row r="6211" spans="1:2" x14ac:dyDescent="0.15">
      <c r="A6211" s="15"/>
      <c r="B6211" s="15"/>
    </row>
    <row r="6212" spans="1:2" x14ac:dyDescent="0.15">
      <c r="A6212" s="15"/>
      <c r="B6212" s="15"/>
    </row>
    <row r="6213" spans="1:2" x14ac:dyDescent="0.15">
      <c r="A6213" s="15"/>
      <c r="B6213" s="15"/>
    </row>
    <row r="6214" spans="1:2" x14ac:dyDescent="0.15">
      <c r="A6214" s="15"/>
      <c r="B6214" s="15"/>
    </row>
    <row r="6215" spans="1:2" x14ac:dyDescent="0.15">
      <c r="A6215" s="15"/>
      <c r="B6215" s="15"/>
    </row>
    <row r="6216" spans="1:2" x14ac:dyDescent="0.15">
      <c r="A6216" s="15"/>
      <c r="B6216" s="15"/>
    </row>
    <row r="6217" spans="1:2" x14ac:dyDescent="0.15">
      <c r="A6217" s="15"/>
      <c r="B6217" s="15"/>
    </row>
    <row r="6218" spans="1:2" x14ac:dyDescent="0.15">
      <c r="A6218" s="15"/>
      <c r="B6218" s="15"/>
    </row>
    <row r="6219" spans="1:2" x14ac:dyDescent="0.15">
      <c r="A6219" s="15"/>
      <c r="B6219" s="15"/>
    </row>
    <row r="6220" spans="1:2" x14ac:dyDescent="0.15">
      <c r="A6220" s="15"/>
      <c r="B6220" s="15"/>
    </row>
    <row r="6221" spans="1:2" x14ac:dyDescent="0.15">
      <c r="A6221" s="15"/>
      <c r="B6221" s="15"/>
    </row>
    <row r="6222" spans="1:2" x14ac:dyDescent="0.15">
      <c r="A6222" s="15"/>
      <c r="B6222" s="15"/>
    </row>
    <row r="6223" spans="1:2" x14ac:dyDescent="0.15">
      <c r="A6223" s="15"/>
      <c r="B6223" s="15"/>
    </row>
    <row r="6224" spans="1:2" x14ac:dyDescent="0.15">
      <c r="A6224" s="15"/>
      <c r="B6224" s="15"/>
    </row>
    <row r="6225" spans="1:2" x14ac:dyDescent="0.15">
      <c r="A6225" s="15"/>
      <c r="B6225" s="15"/>
    </row>
    <row r="6226" spans="1:2" x14ac:dyDescent="0.15">
      <c r="A6226" s="15"/>
      <c r="B6226" s="15"/>
    </row>
    <row r="6227" spans="1:2" x14ac:dyDescent="0.15">
      <c r="A6227" s="15"/>
      <c r="B6227" s="15"/>
    </row>
    <row r="6228" spans="1:2" x14ac:dyDescent="0.15">
      <c r="A6228" s="15"/>
      <c r="B6228" s="15"/>
    </row>
    <row r="6229" spans="1:2" x14ac:dyDescent="0.15">
      <c r="A6229" s="15"/>
      <c r="B6229" s="15"/>
    </row>
    <row r="6230" spans="1:2" x14ac:dyDescent="0.15">
      <c r="A6230" s="15"/>
      <c r="B6230" s="15"/>
    </row>
    <row r="6231" spans="1:2" x14ac:dyDescent="0.15">
      <c r="A6231" s="15"/>
      <c r="B6231" s="15"/>
    </row>
    <row r="6232" spans="1:2" x14ac:dyDescent="0.15">
      <c r="A6232" s="15"/>
      <c r="B6232" s="15"/>
    </row>
    <row r="6233" spans="1:2" x14ac:dyDescent="0.15">
      <c r="A6233" s="15"/>
      <c r="B6233" s="15"/>
    </row>
    <row r="6234" spans="1:2" x14ac:dyDescent="0.15">
      <c r="A6234" s="15"/>
      <c r="B6234" s="15"/>
    </row>
    <row r="6235" spans="1:2" x14ac:dyDescent="0.15">
      <c r="A6235" s="15"/>
      <c r="B6235" s="15"/>
    </row>
    <row r="6236" spans="1:2" x14ac:dyDescent="0.15">
      <c r="A6236" s="15"/>
      <c r="B6236" s="15"/>
    </row>
    <row r="6237" spans="1:2" x14ac:dyDescent="0.15">
      <c r="A6237" s="15"/>
      <c r="B6237" s="15"/>
    </row>
    <row r="6238" spans="1:2" x14ac:dyDescent="0.15">
      <c r="A6238" s="15"/>
      <c r="B6238" s="15"/>
    </row>
    <row r="6239" spans="1:2" x14ac:dyDescent="0.15">
      <c r="A6239" s="15"/>
      <c r="B6239" s="15"/>
    </row>
    <row r="6240" spans="1:2" x14ac:dyDescent="0.15">
      <c r="A6240" s="15"/>
      <c r="B6240" s="15"/>
    </row>
    <row r="6241" spans="1:2" x14ac:dyDescent="0.15">
      <c r="A6241" s="15"/>
      <c r="B6241" s="15"/>
    </row>
    <row r="6242" spans="1:2" x14ac:dyDescent="0.15">
      <c r="A6242" s="15"/>
      <c r="B6242" s="15"/>
    </row>
    <row r="6243" spans="1:2" x14ac:dyDescent="0.15">
      <c r="A6243" s="15"/>
      <c r="B6243" s="15"/>
    </row>
    <row r="6244" spans="1:2" x14ac:dyDescent="0.15">
      <c r="A6244" s="15"/>
      <c r="B6244" s="15"/>
    </row>
    <row r="6245" spans="1:2" x14ac:dyDescent="0.15">
      <c r="A6245" s="15"/>
      <c r="B6245" s="15"/>
    </row>
    <row r="6246" spans="1:2" x14ac:dyDescent="0.15">
      <c r="A6246" s="15"/>
      <c r="B6246" s="15"/>
    </row>
    <row r="6247" spans="1:2" x14ac:dyDescent="0.15">
      <c r="A6247" s="15"/>
      <c r="B6247" s="15"/>
    </row>
    <row r="6248" spans="1:2" x14ac:dyDescent="0.15">
      <c r="A6248" s="15"/>
      <c r="B6248" s="15"/>
    </row>
    <row r="6249" spans="1:2" x14ac:dyDescent="0.15">
      <c r="A6249" s="15"/>
      <c r="B6249" s="15"/>
    </row>
    <row r="6250" spans="1:2" x14ac:dyDescent="0.15">
      <c r="A6250" s="15"/>
      <c r="B6250" s="15"/>
    </row>
    <row r="6251" spans="1:2" x14ac:dyDescent="0.15">
      <c r="A6251" s="15"/>
      <c r="B6251" s="15"/>
    </row>
    <row r="6252" spans="1:2" x14ac:dyDescent="0.15">
      <c r="A6252" s="15"/>
      <c r="B6252" s="15"/>
    </row>
    <row r="6253" spans="1:2" x14ac:dyDescent="0.15">
      <c r="A6253" s="15"/>
      <c r="B6253" s="15"/>
    </row>
    <row r="6254" spans="1:2" x14ac:dyDescent="0.15">
      <c r="A6254" s="15"/>
      <c r="B6254" s="15"/>
    </row>
    <row r="6255" spans="1:2" x14ac:dyDescent="0.15">
      <c r="A6255" s="15"/>
      <c r="B6255" s="15"/>
    </row>
    <row r="6256" spans="1:2" x14ac:dyDescent="0.15">
      <c r="A6256" s="15"/>
      <c r="B6256" s="15"/>
    </row>
    <row r="6257" spans="1:2" x14ac:dyDescent="0.15">
      <c r="A6257" s="15"/>
      <c r="B6257" s="15"/>
    </row>
    <row r="6258" spans="1:2" x14ac:dyDescent="0.15">
      <c r="A6258" s="15"/>
      <c r="B6258" s="15"/>
    </row>
    <row r="6259" spans="1:2" x14ac:dyDescent="0.15">
      <c r="A6259" s="15"/>
      <c r="B6259" s="15"/>
    </row>
    <row r="6260" spans="1:2" x14ac:dyDescent="0.15">
      <c r="A6260" s="15"/>
      <c r="B6260" s="15"/>
    </row>
    <row r="6261" spans="1:2" x14ac:dyDescent="0.15">
      <c r="A6261" s="15"/>
      <c r="B6261" s="15"/>
    </row>
    <row r="6262" spans="1:2" x14ac:dyDescent="0.15">
      <c r="A6262" s="15"/>
      <c r="B6262" s="15"/>
    </row>
    <row r="6263" spans="1:2" x14ac:dyDescent="0.15">
      <c r="A6263" s="15"/>
      <c r="B6263" s="15"/>
    </row>
    <row r="6264" spans="1:2" x14ac:dyDescent="0.15">
      <c r="A6264" s="15"/>
      <c r="B6264" s="15"/>
    </row>
    <row r="6265" spans="1:2" x14ac:dyDescent="0.15">
      <c r="A6265" s="15"/>
      <c r="B6265" s="15"/>
    </row>
    <row r="6266" spans="1:2" x14ac:dyDescent="0.15">
      <c r="A6266" s="15"/>
      <c r="B6266" s="15"/>
    </row>
    <row r="6267" spans="1:2" x14ac:dyDescent="0.15">
      <c r="A6267" s="15"/>
      <c r="B6267" s="15"/>
    </row>
    <row r="6268" spans="1:2" x14ac:dyDescent="0.15">
      <c r="A6268" s="15"/>
      <c r="B6268" s="15"/>
    </row>
    <row r="6269" spans="1:2" x14ac:dyDescent="0.15">
      <c r="A6269" s="15"/>
      <c r="B6269" s="15"/>
    </row>
    <row r="6270" spans="1:2" x14ac:dyDescent="0.15">
      <c r="A6270" s="15"/>
      <c r="B6270" s="15"/>
    </row>
    <row r="6271" spans="1:2" x14ac:dyDescent="0.15">
      <c r="A6271" s="15"/>
      <c r="B6271" s="15"/>
    </row>
    <row r="6272" spans="1:2" x14ac:dyDescent="0.15">
      <c r="A6272" s="15"/>
      <c r="B6272" s="15"/>
    </row>
    <row r="6273" spans="1:2" x14ac:dyDescent="0.15">
      <c r="A6273" s="15"/>
      <c r="B6273" s="15"/>
    </row>
    <row r="6274" spans="1:2" x14ac:dyDescent="0.15">
      <c r="A6274" s="15"/>
      <c r="B6274" s="15"/>
    </row>
    <row r="6275" spans="1:2" x14ac:dyDescent="0.15">
      <c r="A6275" s="15"/>
      <c r="B6275" s="15"/>
    </row>
    <row r="6276" spans="1:2" x14ac:dyDescent="0.15">
      <c r="A6276" s="15"/>
      <c r="B6276" s="15"/>
    </row>
    <row r="6277" spans="1:2" x14ac:dyDescent="0.15">
      <c r="A6277" s="15"/>
      <c r="B6277" s="15"/>
    </row>
    <row r="6278" spans="1:2" x14ac:dyDescent="0.15">
      <c r="A6278" s="15"/>
      <c r="B6278" s="15"/>
    </row>
    <row r="6279" spans="1:2" x14ac:dyDescent="0.15">
      <c r="A6279" s="15"/>
      <c r="B6279" s="15"/>
    </row>
    <row r="6280" spans="1:2" x14ac:dyDescent="0.15">
      <c r="A6280" s="15"/>
      <c r="B6280" s="15"/>
    </row>
    <row r="6281" spans="1:2" x14ac:dyDescent="0.15">
      <c r="A6281" s="15"/>
      <c r="B6281" s="15"/>
    </row>
    <row r="6282" spans="1:2" x14ac:dyDescent="0.15">
      <c r="A6282" s="15"/>
      <c r="B6282" s="15"/>
    </row>
    <row r="6283" spans="1:2" x14ac:dyDescent="0.15">
      <c r="A6283" s="15"/>
      <c r="B6283" s="15"/>
    </row>
    <row r="6284" spans="1:2" x14ac:dyDescent="0.15">
      <c r="A6284" s="15"/>
      <c r="B6284" s="15"/>
    </row>
    <row r="6285" spans="1:2" x14ac:dyDescent="0.15">
      <c r="A6285" s="15"/>
      <c r="B6285" s="15"/>
    </row>
    <row r="6286" spans="1:2" x14ac:dyDescent="0.15">
      <c r="A6286" s="15"/>
      <c r="B6286" s="15"/>
    </row>
    <row r="6287" spans="1:2" x14ac:dyDescent="0.15">
      <c r="A6287" s="15"/>
      <c r="B6287" s="15"/>
    </row>
    <row r="6288" spans="1:2" x14ac:dyDescent="0.15">
      <c r="A6288" s="15"/>
      <c r="B6288" s="15"/>
    </row>
    <row r="6289" spans="1:2" x14ac:dyDescent="0.15">
      <c r="A6289" s="15"/>
      <c r="B6289" s="15"/>
    </row>
    <row r="6290" spans="1:2" x14ac:dyDescent="0.15">
      <c r="A6290" s="15"/>
      <c r="B6290" s="15"/>
    </row>
    <row r="6291" spans="1:2" x14ac:dyDescent="0.15">
      <c r="A6291" s="15"/>
      <c r="B6291" s="15"/>
    </row>
    <row r="6292" spans="1:2" x14ac:dyDescent="0.15">
      <c r="A6292" s="15"/>
      <c r="B6292" s="15"/>
    </row>
    <row r="6293" spans="1:2" x14ac:dyDescent="0.15">
      <c r="A6293" s="15"/>
      <c r="B6293" s="15"/>
    </row>
    <row r="6294" spans="1:2" x14ac:dyDescent="0.15">
      <c r="A6294" s="15"/>
      <c r="B6294" s="15"/>
    </row>
    <row r="6295" spans="1:2" x14ac:dyDescent="0.15">
      <c r="A6295" s="15"/>
      <c r="B6295" s="15"/>
    </row>
    <row r="6296" spans="1:2" x14ac:dyDescent="0.15">
      <c r="A6296" s="15"/>
      <c r="B6296" s="15"/>
    </row>
    <row r="6297" spans="1:2" x14ac:dyDescent="0.15">
      <c r="A6297" s="15"/>
      <c r="B6297" s="15"/>
    </row>
    <row r="6298" spans="1:2" x14ac:dyDescent="0.15">
      <c r="A6298" s="15"/>
      <c r="B6298" s="15"/>
    </row>
    <row r="6299" spans="1:2" x14ac:dyDescent="0.15">
      <c r="A6299" s="15"/>
      <c r="B6299" s="15"/>
    </row>
    <row r="6300" spans="1:2" x14ac:dyDescent="0.15">
      <c r="A6300" s="15"/>
      <c r="B6300" s="15"/>
    </row>
    <row r="6301" spans="1:2" x14ac:dyDescent="0.15">
      <c r="A6301" s="15"/>
      <c r="B6301" s="15"/>
    </row>
    <row r="6302" spans="1:2" x14ac:dyDescent="0.15">
      <c r="A6302" s="15"/>
      <c r="B6302" s="15"/>
    </row>
    <row r="6303" spans="1:2" x14ac:dyDescent="0.15">
      <c r="A6303" s="15"/>
      <c r="B6303" s="15"/>
    </row>
    <row r="6304" spans="1:2" x14ac:dyDescent="0.15">
      <c r="A6304" s="15"/>
      <c r="B6304" s="15"/>
    </row>
    <row r="6305" spans="1:2" x14ac:dyDescent="0.15">
      <c r="A6305" s="15"/>
      <c r="B6305" s="15"/>
    </row>
    <row r="6306" spans="1:2" x14ac:dyDescent="0.15">
      <c r="A6306" s="15"/>
      <c r="B6306" s="15"/>
    </row>
    <row r="6307" spans="1:2" x14ac:dyDescent="0.15">
      <c r="A6307" s="15"/>
      <c r="B6307" s="15"/>
    </row>
    <row r="6308" spans="1:2" x14ac:dyDescent="0.15">
      <c r="A6308" s="15"/>
      <c r="B6308" s="15"/>
    </row>
    <row r="6309" spans="1:2" x14ac:dyDescent="0.15">
      <c r="A6309" s="15"/>
      <c r="B6309" s="15"/>
    </row>
    <row r="6310" spans="1:2" x14ac:dyDescent="0.15">
      <c r="A6310" s="15"/>
      <c r="B6310" s="15"/>
    </row>
    <row r="6311" spans="1:2" x14ac:dyDescent="0.15">
      <c r="A6311" s="15"/>
      <c r="B6311" s="15"/>
    </row>
    <row r="6312" spans="1:2" x14ac:dyDescent="0.15">
      <c r="A6312" s="15"/>
      <c r="B6312" s="15"/>
    </row>
    <row r="6313" spans="1:2" x14ac:dyDescent="0.15">
      <c r="A6313" s="15"/>
      <c r="B6313" s="15"/>
    </row>
    <row r="6314" spans="1:2" x14ac:dyDescent="0.15">
      <c r="A6314" s="15"/>
      <c r="B6314" s="15"/>
    </row>
    <row r="6315" spans="1:2" x14ac:dyDescent="0.15">
      <c r="A6315" s="15"/>
      <c r="B6315" s="15"/>
    </row>
    <row r="6316" spans="1:2" x14ac:dyDescent="0.15">
      <c r="A6316" s="15"/>
      <c r="B6316" s="15"/>
    </row>
    <row r="6317" spans="1:2" x14ac:dyDescent="0.15">
      <c r="A6317" s="15"/>
      <c r="B6317" s="15"/>
    </row>
    <row r="6318" spans="1:2" x14ac:dyDescent="0.15">
      <c r="A6318" s="15"/>
      <c r="B6318" s="15"/>
    </row>
    <row r="6319" spans="1:2" x14ac:dyDescent="0.15">
      <c r="A6319" s="15"/>
      <c r="B6319" s="15"/>
    </row>
    <row r="6320" spans="1:2" x14ac:dyDescent="0.15">
      <c r="A6320" s="15"/>
      <c r="B6320" s="15"/>
    </row>
    <row r="6321" spans="1:2" x14ac:dyDescent="0.15">
      <c r="A6321" s="15"/>
      <c r="B6321" s="15"/>
    </row>
    <row r="6322" spans="1:2" x14ac:dyDescent="0.15">
      <c r="A6322" s="15"/>
      <c r="B6322" s="15"/>
    </row>
    <row r="6323" spans="1:2" x14ac:dyDescent="0.15">
      <c r="A6323" s="15"/>
      <c r="B6323" s="15"/>
    </row>
    <row r="6324" spans="1:2" x14ac:dyDescent="0.15">
      <c r="A6324" s="15"/>
      <c r="B6324" s="15"/>
    </row>
    <row r="6325" spans="1:2" x14ac:dyDescent="0.15">
      <c r="A6325" s="15"/>
      <c r="B6325" s="15"/>
    </row>
    <row r="6326" spans="1:2" x14ac:dyDescent="0.15">
      <c r="A6326" s="15"/>
      <c r="B6326" s="15"/>
    </row>
    <row r="6327" spans="1:2" x14ac:dyDescent="0.15">
      <c r="A6327" s="15"/>
      <c r="B6327" s="15"/>
    </row>
    <row r="6328" spans="1:2" x14ac:dyDescent="0.15">
      <c r="A6328" s="15"/>
      <c r="B6328" s="15"/>
    </row>
    <row r="6329" spans="1:2" x14ac:dyDescent="0.15">
      <c r="A6329" s="15"/>
      <c r="B6329" s="15"/>
    </row>
    <row r="6330" spans="1:2" x14ac:dyDescent="0.15">
      <c r="A6330" s="15"/>
      <c r="B6330" s="15"/>
    </row>
    <row r="6331" spans="1:2" x14ac:dyDescent="0.15">
      <c r="A6331" s="15"/>
      <c r="B6331" s="15"/>
    </row>
    <row r="6332" spans="1:2" x14ac:dyDescent="0.15">
      <c r="A6332" s="15"/>
      <c r="B6332" s="15"/>
    </row>
    <row r="6333" spans="1:2" x14ac:dyDescent="0.15">
      <c r="A6333" s="15"/>
      <c r="B6333" s="15"/>
    </row>
    <row r="6334" spans="1:2" x14ac:dyDescent="0.15">
      <c r="A6334" s="15"/>
      <c r="B6334" s="15"/>
    </row>
    <row r="6335" spans="1:2" x14ac:dyDescent="0.15">
      <c r="A6335" s="15"/>
      <c r="B6335" s="15"/>
    </row>
    <row r="6336" spans="1:2" x14ac:dyDescent="0.15">
      <c r="A6336" s="15"/>
      <c r="B6336" s="15"/>
    </row>
    <row r="6337" spans="1:2" x14ac:dyDescent="0.15">
      <c r="A6337" s="15"/>
      <c r="B6337" s="15"/>
    </row>
    <row r="6338" spans="1:2" x14ac:dyDescent="0.15">
      <c r="A6338" s="15"/>
      <c r="B6338" s="15"/>
    </row>
    <row r="6339" spans="1:2" x14ac:dyDescent="0.15">
      <c r="A6339" s="15"/>
      <c r="B6339" s="15"/>
    </row>
    <row r="6340" spans="1:2" x14ac:dyDescent="0.15">
      <c r="A6340" s="15"/>
      <c r="B6340" s="15"/>
    </row>
    <row r="6341" spans="1:2" x14ac:dyDescent="0.15">
      <c r="A6341" s="15"/>
      <c r="B6341" s="15"/>
    </row>
    <row r="6342" spans="1:2" x14ac:dyDescent="0.15">
      <c r="A6342" s="15"/>
      <c r="B6342" s="15"/>
    </row>
    <row r="6343" spans="1:2" x14ac:dyDescent="0.15">
      <c r="A6343" s="15"/>
      <c r="B6343" s="15"/>
    </row>
    <row r="6344" spans="1:2" x14ac:dyDescent="0.15">
      <c r="A6344" s="15"/>
      <c r="B6344" s="15"/>
    </row>
    <row r="6345" spans="1:2" x14ac:dyDescent="0.15">
      <c r="A6345" s="15"/>
      <c r="B6345" s="15"/>
    </row>
    <row r="6346" spans="1:2" x14ac:dyDescent="0.15">
      <c r="A6346" s="15"/>
      <c r="B6346" s="15"/>
    </row>
    <row r="6347" spans="1:2" x14ac:dyDescent="0.15">
      <c r="A6347" s="15"/>
      <c r="B6347" s="15"/>
    </row>
    <row r="6348" spans="1:2" x14ac:dyDescent="0.15">
      <c r="A6348" s="15"/>
      <c r="B6348" s="15"/>
    </row>
    <row r="6349" spans="1:2" x14ac:dyDescent="0.15">
      <c r="A6349" s="15"/>
      <c r="B6349" s="15"/>
    </row>
    <row r="6350" spans="1:2" x14ac:dyDescent="0.15">
      <c r="A6350" s="15"/>
      <c r="B6350" s="15"/>
    </row>
    <row r="6351" spans="1:2" x14ac:dyDescent="0.15">
      <c r="A6351" s="15"/>
      <c r="B6351" s="15"/>
    </row>
    <row r="6352" spans="1:2" x14ac:dyDescent="0.15">
      <c r="A6352" s="15"/>
      <c r="B6352" s="15"/>
    </row>
    <row r="6353" spans="1:2" x14ac:dyDescent="0.15">
      <c r="A6353" s="15"/>
      <c r="B6353" s="15"/>
    </row>
    <row r="6354" spans="1:2" x14ac:dyDescent="0.15">
      <c r="A6354" s="15"/>
      <c r="B6354" s="15"/>
    </row>
    <row r="6355" spans="1:2" x14ac:dyDescent="0.15">
      <c r="A6355" s="15"/>
      <c r="B6355" s="15"/>
    </row>
    <row r="6356" spans="1:2" x14ac:dyDescent="0.15">
      <c r="A6356" s="15"/>
      <c r="B6356" s="15"/>
    </row>
    <row r="6357" spans="1:2" x14ac:dyDescent="0.15">
      <c r="A6357" s="15"/>
      <c r="B6357" s="15"/>
    </row>
    <row r="6358" spans="1:2" x14ac:dyDescent="0.15">
      <c r="A6358" s="15"/>
      <c r="B6358" s="15"/>
    </row>
    <row r="6359" spans="1:2" x14ac:dyDescent="0.15">
      <c r="A6359" s="15"/>
      <c r="B6359" s="15"/>
    </row>
    <row r="6360" spans="1:2" x14ac:dyDescent="0.15">
      <c r="A6360" s="15"/>
      <c r="B6360" s="15"/>
    </row>
    <row r="6361" spans="1:2" x14ac:dyDescent="0.15">
      <c r="A6361" s="15"/>
      <c r="B6361" s="15"/>
    </row>
    <row r="6362" spans="1:2" x14ac:dyDescent="0.15">
      <c r="A6362" s="15"/>
      <c r="B6362" s="15"/>
    </row>
    <row r="6363" spans="1:2" x14ac:dyDescent="0.15">
      <c r="A6363" s="15"/>
      <c r="B6363" s="15"/>
    </row>
    <row r="6364" spans="1:2" x14ac:dyDescent="0.15">
      <c r="A6364" s="15"/>
      <c r="B6364" s="15"/>
    </row>
    <row r="6365" spans="1:2" x14ac:dyDescent="0.15">
      <c r="A6365" s="15"/>
      <c r="B6365" s="15"/>
    </row>
    <row r="6366" spans="1:2" x14ac:dyDescent="0.15">
      <c r="A6366" s="15"/>
      <c r="B6366" s="15"/>
    </row>
    <row r="6367" spans="1:2" x14ac:dyDescent="0.15">
      <c r="A6367" s="15"/>
      <c r="B6367" s="15"/>
    </row>
    <row r="6368" spans="1:2" x14ac:dyDescent="0.15">
      <c r="A6368" s="15"/>
      <c r="B6368" s="15"/>
    </row>
    <row r="6369" spans="1:2" x14ac:dyDescent="0.15">
      <c r="A6369" s="15"/>
      <c r="B6369" s="15"/>
    </row>
    <row r="6370" spans="1:2" x14ac:dyDescent="0.15">
      <c r="A6370" s="15"/>
      <c r="B6370" s="15"/>
    </row>
    <row r="6371" spans="1:2" x14ac:dyDescent="0.15">
      <c r="A6371" s="15"/>
      <c r="B6371" s="15"/>
    </row>
    <row r="6372" spans="1:2" x14ac:dyDescent="0.15">
      <c r="A6372" s="15"/>
      <c r="B6372" s="15"/>
    </row>
    <row r="6373" spans="1:2" x14ac:dyDescent="0.15">
      <c r="A6373" s="15"/>
      <c r="B6373" s="15"/>
    </row>
    <row r="6374" spans="1:2" x14ac:dyDescent="0.15">
      <c r="A6374" s="15"/>
      <c r="B6374" s="15"/>
    </row>
    <row r="6375" spans="1:2" x14ac:dyDescent="0.15">
      <c r="A6375" s="15"/>
      <c r="B6375" s="15"/>
    </row>
    <row r="6376" spans="1:2" x14ac:dyDescent="0.15">
      <c r="A6376" s="15"/>
      <c r="B6376" s="15"/>
    </row>
    <row r="6377" spans="1:2" x14ac:dyDescent="0.15">
      <c r="A6377" s="15"/>
      <c r="B6377" s="15"/>
    </row>
    <row r="6378" spans="1:2" x14ac:dyDescent="0.15">
      <c r="A6378" s="15"/>
      <c r="B6378" s="15"/>
    </row>
    <row r="6379" spans="1:2" x14ac:dyDescent="0.15">
      <c r="A6379" s="15"/>
      <c r="B6379" s="15"/>
    </row>
    <row r="6380" spans="1:2" x14ac:dyDescent="0.15">
      <c r="A6380" s="15"/>
      <c r="B6380" s="15"/>
    </row>
    <row r="6381" spans="1:2" x14ac:dyDescent="0.15">
      <c r="A6381" s="15"/>
      <c r="B6381" s="15"/>
    </row>
    <row r="6382" spans="1:2" x14ac:dyDescent="0.15">
      <c r="A6382" s="15"/>
      <c r="B6382" s="15"/>
    </row>
    <row r="6383" spans="1:2" x14ac:dyDescent="0.15">
      <c r="A6383" s="15"/>
      <c r="B6383" s="15"/>
    </row>
    <row r="6384" spans="1:2" x14ac:dyDescent="0.15">
      <c r="A6384" s="15"/>
      <c r="B6384" s="15"/>
    </row>
    <row r="6385" spans="1:2" x14ac:dyDescent="0.15">
      <c r="A6385" s="15"/>
      <c r="B6385" s="15"/>
    </row>
    <row r="6386" spans="1:2" x14ac:dyDescent="0.15">
      <c r="A6386" s="15"/>
      <c r="B6386" s="15"/>
    </row>
    <row r="6387" spans="1:2" x14ac:dyDescent="0.15">
      <c r="A6387" s="15"/>
      <c r="B6387" s="15"/>
    </row>
    <row r="6388" spans="1:2" x14ac:dyDescent="0.15">
      <c r="A6388" s="15"/>
      <c r="B6388" s="15"/>
    </row>
    <row r="6389" spans="1:2" x14ac:dyDescent="0.15">
      <c r="A6389" s="15"/>
      <c r="B6389" s="15"/>
    </row>
    <row r="6390" spans="1:2" x14ac:dyDescent="0.15">
      <c r="A6390" s="15"/>
      <c r="B6390" s="15"/>
    </row>
    <row r="6391" spans="1:2" x14ac:dyDescent="0.15">
      <c r="A6391" s="15"/>
      <c r="B6391" s="15"/>
    </row>
    <row r="6392" spans="1:2" x14ac:dyDescent="0.15">
      <c r="A6392" s="15"/>
      <c r="B6392" s="15"/>
    </row>
    <row r="6393" spans="1:2" x14ac:dyDescent="0.15">
      <c r="A6393" s="15"/>
      <c r="B6393" s="15"/>
    </row>
    <row r="6394" spans="1:2" x14ac:dyDescent="0.15">
      <c r="A6394" s="15"/>
      <c r="B6394" s="15"/>
    </row>
    <row r="6395" spans="1:2" x14ac:dyDescent="0.15">
      <c r="A6395" s="15"/>
      <c r="B6395" s="15"/>
    </row>
    <row r="6396" spans="1:2" x14ac:dyDescent="0.15">
      <c r="A6396" s="15"/>
      <c r="B6396" s="15"/>
    </row>
    <row r="6397" spans="1:2" x14ac:dyDescent="0.15">
      <c r="A6397" s="15"/>
      <c r="B6397" s="15"/>
    </row>
    <row r="6398" spans="1:2" x14ac:dyDescent="0.15">
      <c r="A6398" s="15"/>
      <c r="B6398" s="15"/>
    </row>
    <row r="6399" spans="1:2" x14ac:dyDescent="0.15">
      <c r="A6399" s="15"/>
      <c r="B6399" s="15"/>
    </row>
    <row r="6400" spans="1:2" x14ac:dyDescent="0.15">
      <c r="A6400" s="15"/>
      <c r="B6400" s="15"/>
    </row>
    <row r="6401" spans="1:2" x14ac:dyDescent="0.15">
      <c r="A6401" s="15"/>
      <c r="B6401" s="15"/>
    </row>
    <row r="6402" spans="1:2" x14ac:dyDescent="0.15">
      <c r="A6402" s="15"/>
      <c r="B6402" s="15"/>
    </row>
    <row r="6403" spans="1:2" x14ac:dyDescent="0.15">
      <c r="A6403" s="15"/>
      <c r="B6403" s="15"/>
    </row>
    <row r="6404" spans="1:2" x14ac:dyDescent="0.15">
      <c r="A6404" s="15"/>
      <c r="B6404" s="15"/>
    </row>
    <row r="6405" spans="1:2" x14ac:dyDescent="0.15">
      <c r="A6405" s="15"/>
      <c r="B6405" s="15"/>
    </row>
    <row r="6406" spans="1:2" x14ac:dyDescent="0.15">
      <c r="A6406" s="15"/>
      <c r="B6406" s="15"/>
    </row>
    <row r="6407" spans="1:2" x14ac:dyDescent="0.15">
      <c r="A6407" s="15"/>
      <c r="B6407" s="15"/>
    </row>
    <row r="6408" spans="1:2" x14ac:dyDescent="0.15">
      <c r="A6408" s="15"/>
      <c r="B6408" s="15"/>
    </row>
    <row r="6409" spans="1:2" x14ac:dyDescent="0.15">
      <c r="A6409" s="15"/>
      <c r="B6409" s="15"/>
    </row>
    <row r="6410" spans="1:2" x14ac:dyDescent="0.15">
      <c r="A6410" s="15"/>
      <c r="B6410" s="15"/>
    </row>
    <row r="6411" spans="1:2" x14ac:dyDescent="0.15">
      <c r="A6411" s="15"/>
      <c r="B6411" s="15"/>
    </row>
    <row r="6412" spans="1:2" x14ac:dyDescent="0.15">
      <c r="A6412" s="15"/>
      <c r="B6412" s="15"/>
    </row>
    <row r="6413" spans="1:2" x14ac:dyDescent="0.15">
      <c r="A6413" s="15"/>
      <c r="B6413" s="15"/>
    </row>
    <row r="6414" spans="1:2" x14ac:dyDescent="0.15">
      <c r="A6414" s="15"/>
      <c r="B6414" s="15"/>
    </row>
    <row r="6415" spans="1:2" x14ac:dyDescent="0.15">
      <c r="A6415" s="15"/>
      <c r="B6415" s="15"/>
    </row>
    <row r="6416" spans="1:2" x14ac:dyDescent="0.15">
      <c r="A6416" s="15"/>
      <c r="B6416" s="15"/>
    </row>
    <row r="6417" spans="1:2" x14ac:dyDescent="0.15">
      <c r="A6417" s="15"/>
      <c r="B6417" s="15"/>
    </row>
    <row r="6418" spans="1:2" x14ac:dyDescent="0.15">
      <c r="A6418" s="15"/>
      <c r="B6418" s="15"/>
    </row>
    <row r="6419" spans="1:2" x14ac:dyDescent="0.15">
      <c r="A6419" s="15"/>
      <c r="B6419" s="15"/>
    </row>
    <row r="6420" spans="1:2" x14ac:dyDescent="0.15">
      <c r="A6420" s="15"/>
      <c r="B6420" s="15"/>
    </row>
    <row r="6421" spans="1:2" x14ac:dyDescent="0.15">
      <c r="A6421" s="15"/>
      <c r="B6421" s="15"/>
    </row>
    <row r="6422" spans="1:2" x14ac:dyDescent="0.15">
      <c r="A6422" s="15"/>
      <c r="B6422" s="15"/>
    </row>
    <row r="6423" spans="1:2" x14ac:dyDescent="0.15">
      <c r="A6423" s="15"/>
      <c r="B6423" s="15"/>
    </row>
    <row r="6424" spans="1:2" x14ac:dyDescent="0.15">
      <c r="A6424" s="15"/>
      <c r="B6424" s="15"/>
    </row>
    <row r="6425" spans="1:2" x14ac:dyDescent="0.15">
      <c r="A6425" s="15"/>
      <c r="B6425" s="15"/>
    </row>
    <row r="6426" spans="1:2" x14ac:dyDescent="0.15">
      <c r="A6426" s="15"/>
      <c r="B6426" s="15"/>
    </row>
    <row r="6427" spans="1:2" x14ac:dyDescent="0.15">
      <c r="A6427" s="15"/>
      <c r="B6427" s="15"/>
    </row>
    <row r="6428" spans="1:2" x14ac:dyDescent="0.15">
      <c r="A6428" s="15"/>
      <c r="B6428" s="15"/>
    </row>
    <row r="6429" spans="1:2" x14ac:dyDescent="0.15">
      <c r="A6429" s="15"/>
      <c r="B6429" s="15"/>
    </row>
    <row r="6430" spans="1:2" x14ac:dyDescent="0.15">
      <c r="A6430" s="15"/>
      <c r="B6430" s="15"/>
    </row>
    <row r="6431" spans="1:2" x14ac:dyDescent="0.15">
      <c r="A6431" s="15"/>
      <c r="B6431" s="15"/>
    </row>
    <row r="6432" spans="1:2" x14ac:dyDescent="0.15">
      <c r="A6432" s="15"/>
      <c r="B6432" s="15"/>
    </row>
    <row r="6433" spans="1:2" x14ac:dyDescent="0.15">
      <c r="A6433" s="15"/>
      <c r="B6433" s="15"/>
    </row>
    <row r="6434" spans="1:2" x14ac:dyDescent="0.15">
      <c r="A6434" s="15"/>
      <c r="B6434" s="15"/>
    </row>
    <row r="6435" spans="1:2" x14ac:dyDescent="0.15">
      <c r="A6435" s="15"/>
      <c r="B6435" s="15"/>
    </row>
    <row r="6436" spans="1:2" x14ac:dyDescent="0.15">
      <c r="A6436" s="15"/>
      <c r="B6436" s="15"/>
    </row>
    <row r="6437" spans="1:2" x14ac:dyDescent="0.15">
      <c r="A6437" s="15"/>
      <c r="B6437" s="15"/>
    </row>
    <row r="6438" spans="1:2" x14ac:dyDescent="0.15">
      <c r="A6438" s="15"/>
      <c r="B6438" s="15"/>
    </row>
    <row r="6439" spans="1:2" x14ac:dyDescent="0.15">
      <c r="A6439" s="15"/>
      <c r="B6439" s="15"/>
    </row>
    <row r="6440" spans="1:2" x14ac:dyDescent="0.15">
      <c r="A6440" s="15"/>
      <c r="B6440" s="15"/>
    </row>
    <row r="6441" spans="1:2" x14ac:dyDescent="0.15">
      <c r="A6441" s="15"/>
      <c r="B6441" s="15"/>
    </row>
    <row r="6442" spans="1:2" x14ac:dyDescent="0.15">
      <c r="A6442" s="15"/>
      <c r="B6442" s="15"/>
    </row>
    <row r="6443" spans="1:2" x14ac:dyDescent="0.15">
      <c r="A6443" s="15"/>
      <c r="B6443" s="15"/>
    </row>
    <row r="6444" spans="1:2" x14ac:dyDescent="0.15">
      <c r="A6444" s="15"/>
      <c r="B6444" s="15"/>
    </row>
    <row r="6445" spans="1:2" x14ac:dyDescent="0.15">
      <c r="A6445" s="15"/>
      <c r="B6445" s="15"/>
    </row>
    <row r="6446" spans="1:2" x14ac:dyDescent="0.15">
      <c r="A6446" s="15"/>
      <c r="B6446" s="15"/>
    </row>
    <row r="6447" spans="1:2" x14ac:dyDescent="0.15">
      <c r="A6447" s="15"/>
      <c r="B6447" s="15"/>
    </row>
    <row r="6448" spans="1:2" x14ac:dyDescent="0.15">
      <c r="A6448" s="15"/>
      <c r="B6448" s="15"/>
    </row>
    <row r="6449" spans="1:2" x14ac:dyDescent="0.15">
      <c r="A6449" s="15"/>
      <c r="B6449" s="15"/>
    </row>
    <row r="6450" spans="1:2" x14ac:dyDescent="0.15">
      <c r="A6450" s="15"/>
      <c r="B6450" s="15"/>
    </row>
    <row r="6451" spans="1:2" x14ac:dyDescent="0.15">
      <c r="A6451" s="15"/>
      <c r="B6451" s="15"/>
    </row>
    <row r="6452" spans="1:2" x14ac:dyDescent="0.15">
      <c r="A6452" s="15"/>
      <c r="B6452" s="15"/>
    </row>
    <row r="6453" spans="1:2" x14ac:dyDescent="0.15">
      <c r="A6453" s="15"/>
      <c r="B6453" s="15"/>
    </row>
    <row r="6454" spans="1:2" x14ac:dyDescent="0.15">
      <c r="A6454" s="15"/>
      <c r="B6454" s="15"/>
    </row>
    <row r="6455" spans="1:2" x14ac:dyDescent="0.15">
      <c r="A6455" s="15"/>
      <c r="B6455" s="15"/>
    </row>
    <row r="6456" spans="1:2" x14ac:dyDescent="0.15">
      <c r="A6456" s="15"/>
      <c r="B6456" s="15"/>
    </row>
    <row r="6457" spans="1:2" x14ac:dyDescent="0.15">
      <c r="A6457" s="15"/>
      <c r="B6457" s="15"/>
    </row>
    <row r="6458" spans="1:2" x14ac:dyDescent="0.15">
      <c r="A6458" s="15"/>
      <c r="B6458" s="15"/>
    </row>
    <row r="6459" spans="1:2" x14ac:dyDescent="0.15">
      <c r="A6459" s="15"/>
      <c r="B6459" s="15"/>
    </row>
    <row r="6460" spans="1:2" x14ac:dyDescent="0.15">
      <c r="A6460" s="15"/>
      <c r="B6460" s="15"/>
    </row>
    <row r="6461" spans="1:2" x14ac:dyDescent="0.15">
      <c r="A6461" s="15"/>
      <c r="B6461" s="15"/>
    </row>
    <row r="6462" spans="1:2" x14ac:dyDescent="0.15">
      <c r="A6462" s="15"/>
      <c r="B6462" s="15"/>
    </row>
    <row r="6463" spans="1:2" x14ac:dyDescent="0.15">
      <c r="A6463" s="15"/>
      <c r="B6463" s="15"/>
    </row>
    <row r="6464" spans="1:2" x14ac:dyDescent="0.15">
      <c r="A6464" s="15"/>
      <c r="B6464" s="15"/>
    </row>
    <row r="6465" spans="1:2" x14ac:dyDescent="0.15">
      <c r="A6465" s="15"/>
      <c r="B6465" s="15"/>
    </row>
    <row r="6466" spans="1:2" x14ac:dyDescent="0.15">
      <c r="A6466" s="15"/>
      <c r="B6466" s="15"/>
    </row>
    <row r="6467" spans="1:2" x14ac:dyDescent="0.15">
      <c r="A6467" s="15"/>
      <c r="B6467" s="15"/>
    </row>
    <row r="6468" spans="1:2" x14ac:dyDescent="0.15">
      <c r="A6468" s="15"/>
      <c r="B6468" s="15"/>
    </row>
    <row r="6469" spans="1:2" x14ac:dyDescent="0.15">
      <c r="A6469" s="15"/>
      <c r="B6469" s="15"/>
    </row>
    <row r="6470" spans="1:2" x14ac:dyDescent="0.15">
      <c r="A6470" s="15"/>
      <c r="B6470" s="15"/>
    </row>
    <row r="6471" spans="1:2" x14ac:dyDescent="0.15">
      <c r="A6471" s="15"/>
      <c r="B6471" s="15"/>
    </row>
    <row r="6472" spans="1:2" x14ac:dyDescent="0.15">
      <c r="A6472" s="15"/>
      <c r="B6472" s="15"/>
    </row>
    <row r="6473" spans="1:2" x14ac:dyDescent="0.15">
      <c r="A6473" s="15"/>
      <c r="B6473" s="15"/>
    </row>
    <row r="6474" spans="1:2" x14ac:dyDescent="0.15">
      <c r="A6474" s="15"/>
      <c r="B6474" s="15"/>
    </row>
    <row r="6475" spans="1:2" x14ac:dyDescent="0.15">
      <c r="A6475" s="15"/>
      <c r="B6475" s="15"/>
    </row>
    <row r="6476" spans="1:2" x14ac:dyDescent="0.15">
      <c r="A6476" s="15"/>
      <c r="B6476" s="15"/>
    </row>
    <row r="6477" spans="1:2" x14ac:dyDescent="0.15">
      <c r="A6477" s="15"/>
      <c r="B6477" s="15"/>
    </row>
    <row r="6478" spans="1:2" x14ac:dyDescent="0.15">
      <c r="A6478" s="15"/>
      <c r="B6478" s="15"/>
    </row>
    <row r="6479" spans="1:2" x14ac:dyDescent="0.15">
      <c r="A6479" s="15"/>
      <c r="B6479" s="15"/>
    </row>
    <row r="6480" spans="1:2" x14ac:dyDescent="0.15">
      <c r="A6480" s="15"/>
      <c r="B6480" s="15"/>
    </row>
    <row r="6481" spans="1:2" x14ac:dyDescent="0.15">
      <c r="A6481" s="15"/>
      <c r="B6481" s="15"/>
    </row>
    <row r="6482" spans="1:2" x14ac:dyDescent="0.15">
      <c r="A6482" s="15"/>
      <c r="B6482" s="15"/>
    </row>
    <row r="6483" spans="1:2" x14ac:dyDescent="0.15">
      <c r="A6483" s="15"/>
      <c r="B6483" s="15"/>
    </row>
    <row r="6484" spans="1:2" x14ac:dyDescent="0.15">
      <c r="A6484" s="15"/>
      <c r="B6484" s="15"/>
    </row>
    <row r="6485" spans="1:2" x14ac:dyDescent="0.15">
      <c r="A6485" s="15"/>
      <c r="B6485" s="15"/>
    </row>
    <row r="6486" spans="1:2" x14ac:dyDescent="0.15">
      <c r="A6486" s="15"/>
      <c r="B6486" s="15"/>
    </row>
    <row r="6487" spans="1:2" x14ac:dyDescent="0.15">
      <c r="A6487" s="15"/>
      <c r="B6487" s="15"/>
    </row>
    <row r="6488" spans="1:2" x14ac:dyDescent="0.15">
      <c r="A6488" s="15"/>
      <c r="B6488" s="15"/>
    </row>
    <row r="6489" spans="1:2" x14ac:dyDescent="0.15">
      <c r="A6489" s="15"/>
      <c r="B6489" s="15"/>
    </row>
    <row r="6490" spans="1:2" x14ac:dyDescent="0.15">
      <c r="A6490" s="15"/>
      <c r="B6490" s="15"/>
    </row>
    <row r="6491" spans="1:2" x14ac:dyDescent="0.15">
      <c r="A6491" s="15"/>
      <c r="B6491" s="15"/>
    </row>
    <row r="6492" spans="1:2" x14ac:dyDescent="0.15">
      <c r="A6492" s="15"/>
      <c r="B6492" s="15"/>
    </row>
    <row r="6493" spans="1:2" x14ac:dyDescent="0.15">
      <c r="A6493" s="15"/>
      <c r="B6493" s="15"/>
    </row>
    <row r="6494" spans="1:2" x14ac:dyDescent="0.15">
      <c r="A6494" s="15"/>
      <c r="B6494" s="15"/>
    </row>
    <row r="6495" spans="1:2" x14ac:dyDescent="0.15">
      <c r="A6495" s="15"/>
      <c r="B6495" s="15"/>
    </row>
    <row r="6496" spans="1:2" x14ac:dyDescent="0.15">
      <c r="A6496" s="15"/>
      <c r="B6496" s="15"/>
    </row>
    <row r="6497" spans="1:2" x14ac:dyDescent="0.15">
      <c r="A6497" s="15"/>
      <c r="B6497" s="15"/>
    </row>
    <row r="6498" spans="1:2" x14ac:dyDescent="0.15">
      <c r="A6498" s="15"/>
      <c r="B6498" s="15"/>
    </row>
    <row r="6499" spans="1:2" x14ac:dyDescent="0.15">
      <c r="A6499" s="15"/>
      <c r="B6499" s="15"/>
    </row>
    <row r="6500" spans="1:2" x14ac:dyDescent="0.15">
      <c r="A6500" s="15"/>
      <c r="B6500" s="15"/>
    </row>
    <row r="6501" spans="1:2" x14ac:dyDescent="0.15">
      <c r="A6501" s="15"/>
      <c r="B6501" s="15"/>
    </row>
    <row r="6502" spans="1:2" x14ac:dyDescent="0.15">
      <c r="A6502" s="15"/>
      <c r="B6502" s="15"/>
    </row>
    <row r="6503" spans="1:2" x14ac:dyDescent="0.15">
      <c r="A6503" s="15"/>
      <c r="B6503" s="15"/>
    </row>
    <row r="6504" spans="1:2" x14ac:dyDescent="0.15">
      <c r="A6504" s="15"/>
      <c r="B6504" s="15"/>
    </row>
    <row r="6505" spans="1:2" x14ac:dyDescent="0.15">
      <c r="A6505" s="15"/>
      <c r="B6505" s="15"/>
    </row>
    <row r="6506" spans="1:2" x14ac:dyDescent="0.15">
      <c r="A6506" s="15"/>
      <c r="B6506" s="15"/>
    </row>
    <row r="6507" spans="1:2" x14ac:dyDescent="0.15">
      <c r="A6507" s="15"/>
      <c r="B6507" s="15"/>
    </row>
    <row r="6508" spans="1:2" x14ac:dyDescent="0.15">
      <c r="A6508" s="15"/>
      <c r="B6508" s="15"/>
    </row>
    <row r="6509" spans="1:2" x14ac:dyDescent="0.15">
      <c r="A6509" s="15"/>
      <c r="B6509" s="15"/>
    </row>
    <row r="6510" spans="1:2" x14ac:dyDescent="0.15">
      <c r="A6510" s="15"/>
      <c r="B6510" s="15"/>
    </row>
    <row r="6511" spans="1:2" x14ac:dyDescent="0.15">
      <c r="A6511" s="15"/>
      <c r="B6511" s="15"/>
    </row>
    <row r="6512" spans="1:2" x14ac:dyDescent="0.15">
      <c r="A6512" s="15"/>
      <c r="B6512" s="15"/>
    </row>
    <row r="6513" spans="1:2" x14ac:dyDescent="0.15">
      <c r="A6513" s="15"/>
      <c r="B6513" s="15"/>
    </row>
    <row r="6514" spans="1:2" x14ac:dyDescent="0.15">
      <c r="A6514" s="15"/>
      <c r="B6514" s="15"/>
    </row>
    <row r="6515" spans="1:2" x14ac:dyDescent="0.15">
      <c r="A6515" s="15"/>
      <c r="B6515" s="15"/>
    </row>
    <row r="6516" spans="1:2" x14ac:dyDescent="0.15">
      <c r="A6516" s="15"/>
      <c r="B6516" s="15"/>
    </row>
    <row r="6517" spans="1:2" x14ac:dyDescent="0.15">
      <c r="A6517" s="15"/>
      <c r="B6517" s="15"/>
    </row>
    <row r="6518" spans="1:2" x14ac:dyDescent="0.15">
      <c r="A6518" s="15"/>
      <c r="B6518" s="15"/>
    </row>
    <row r="6519" spans="1:2" x14ac:dyDescent="0.15">
      <c r="A6519" s="15"/>
      <c r="B6519" s="15"/>
    </row>
    <row r="6520" spans="1:2" x14ac:dyDescent="0.15">
      <c r="A6520" s="15"/>
      <c r="B6520" s="15"/>
    </row>
    <row r="6521" spans="1:2" x14ac:dyDescent="0.15">
      <c r="A6521" s="15"/>
      <c r="B6521" s="15"/>
    </row>
    <row r="6522" spans="1:2" x14ac:dyDescent="0.15">
      <c r="A6522" s="15"/>
      <c r="B6522" s="15"/>
    </row>
    <row r="6523" spans="1:2" x14ac:dyDescent="0.15">
      <c r="A6523" s="15"/>
      <c r="B6523" s="15"/>
    </row>
    <row r="6524" spans="1:2" x14ac:dyDescent="0.15">
      <c r="A6524" s="15"/>
      <c r="B6524" s="15"/>
    </row>
    <row r="6525" spans="1:2" x14ac:dyDescent="0.15">
      <c r="A6525" s="15"/>
      <c r="B6525" s="15"/>
    </row>
    <row r="6526" spans="1:2" x14ac:dyDescent="0.15">
      <c r="A6526" s="15"/>
      <c r="B6526" s="15"/>
    </row>
    <row r="6527" spans="1:2" x14ac:dyDescent="0.15">
      <c r="A6527" s="15"/>
      <c r="B6527" s="15"/>
    </row>
    <row r="6528" spans="1:2" x14ac:dyDescent="0.15">
      <c r="A6528" s="15"/>
      <c r="B6528" s="15"/>
    </row>
    <row r="6529" spans="1:2" x14ac:dyDescent="0.15">
      <c r="A6529" s="15"/>
      <c r="B6529" s="15"/>
    </row>
    <row r="6530" spans="1:2" x14ac:dyDescent="0.15">
      <c r="A6530" s="15"/>
      <c r="B6530" s="15"/>
    </row>
    <row r="6531" spans="1:2" x14ac:dyDescent="0.15">
      <c r="A6531" s="15"/>
      <c r="B6531" s="15"/>
    </row>
    <row r="6532" spans="1:2" x14ac:dyDescent="0.15">
      <c r="A6532" s="15"/>
      <c r="B6532" s="15"/>
    </row>
    <row r="6533" spans="1:2" x14ac:dyDescent="0.15">
      <c r="A6533" s="15"/>
      <c r="B6533" s="15"/>
    </row>
    <row r="6534" spans="1:2" x14ac:dyDescent="0.15">
      <c r="A6534" s="15"/>
      <c r="B6534" s="15"/>
    </row>
    <row r="6535" spans="1:2" x14ac:dyDescent="0.15">
      <c r="A6535" s="15"/>
      <c r="B6535" s="15"/>
    </row>
    <row r="6536" spans="1:2" x14ac:dyDescent="0.15">
      <c r="A6536" s="15"/>
      <c r="B6536" s="15"/>
    </row>
    <row r="6537" spans="1:2" x14ac:dyDescent="0.15">
      <c r="A6537" s="15"/>
      <c r="B6537" s="15"/>
    </row>
    <row r="6538" spans="1:2" x14ac:dyDescent="0.15">
      <c r="A6538" s="15"/>
      <c r="B6538" s="15"/>
    </row>
    <row r="6539" spans="1:2" x14ac:dyDescent="0.15">
      <c r="A6539" s="15"/>
      <c r="B6539" s="15"/>
    </row>
    <row r="6540" spans="1:2" x14ac:dyDescent="0.15">
      <c r="A6540" s="15"/>
      <c r="B6540" s="15"/>
    </row>
    <row r="6541" spans="1:2" x14ac:dyDescent="0.15">
      <c r="A6541" s="15"/>
      <c r="B6541" s="15"/>
    </row>
    <row r="6542" spans="1:2" x14ac:dyDescent="0.15">
      <c r="A6542" s="15"/>
      <c r="B6542" s="15"/>
    </row>
    <row r="6543" spans="1:2" x14ac:dyDescent="0.15">
      <c r="A6543" s="15"/>
      <c r="B6543" s="15"/>
    </row>
    <row r="6544" spans="1:2" x14ac:dyDescent="0.15">
      <c r="A6544" s="15"/>
      <c r="B6544" s="15"/>
    </row>
    <row r="6545" spans="1:2" x14ac:dyDescent="0.15">
      <c r="A6545" s="15"/>
      <c r="B6545" s="15"/>
    </row>
    <row r="6546" spans="1:2" x14ac:dyDescent="0.15">
      <c r="A6546" s="15"/>
      <c r="B6546" s="15"/>
    </row>
    <row r="6547" spans="1:2" x14ac:dyDescent="0.15">
      <c r="A6547" s="15"/>
      <c r="B6547" s="15"/>
    </row>
    <row r="6548" spans="1:2" x14ac:dyDescent="0.15">
      <c r="A6548" s="15"/>
      <c r="B6548" s="15"/>
    </row>
    <row r="6549" spans="1:2" x14ac:dyDescent="0.15">
      <c r="A6549" s="15"/>
      <c r="B6549" s="15"/>
    </row>
    <row r="6550" spans="1:2" x14ac:dyDescent="0.15">
      <c r="A6550" s="15"/>
      <c r="B6550" s="15"/>
    </row>
    <row r="6551" spans="1:2" x14ac:dyDescent="0.15">
      <c r="A6551" s="15"/>
      <c r="B6551" s="15"/>
    </row>
    <row r="6552" spans="1:2" x14ac:dyDescent="0.15">
      <c r="A6552" s="15"/>
      <c r="B6552" s="15"/>
    </row>
    <row r="6553" spans="1:2" x14ac:dyDescent="0.15">
      <c r="A6553" s="15"/>
      <c r="B6553" s="15"/>
    </row>
    <row r="6554" spans="1:2" x14ac:dyDescent="0.15">
      <c r="A6554" s="15"/>
      <c r="B6554" s="15"/>
    </row>
    <row r="6555" spans="1:2" x14ac:dyDescent="0.15">
      <c r="A6555" s="15"/>
      <c r="B6555" s="15"/>
    </row>
    <row r="6556" spans="1:2" x14ac:dyDescent="0.15">
      <c r="A6556" s="15"/>
      <c r="B6556" s="15"/>
    </row>
    <row r="6557" spans="1:2" x14ac:dyDescent="0.15">
      <c r="A6557" s="15"/>
      <c r="B6557" s="15"/>
    </row>
    <row r="6558" spans="1:2" x14ac:dyDescent="0.15">
      <c r="A6558" s="15"/>
      <c r="B6558" s="15"/>
    </row>
    <row r="6559" spans="1:2" x14ac:dyDescent="0.15">
      <c r="A6559" s="15"/>
      <c r="B6559" s="15"/>
    </row>
    <row r="6560" spans="1:2" x14ac:dyDescent="0.15">
      <c r="A6560" s="15"/>
      <c r="B6560" s="15"/>
    </row>
    <row r="6561" spans="1:2" x14ac:dyDescent="0.15">
      <c r="A6561" s="15"/>
      <c r="B6561" s="15"/>
    </row>
    <row r="6562" spans="1:2" x14ac:dyDescent="0.15">
      <c r="A6562" s="15"/>
      <c r="B6562" s="15"/>
    </row>
    <row r="6563" spans="1:2" x14ac:dyDescent="0.15">
      <c r="A6563" s="15"/>
      <c r="B6563" s="15"/>
    </row>
    <row r="6564" spans="1:2" x14ac:dyDescent="0.15">
      <c r="A6564" s="15"/>
      <c r="B6564" s="15"/>
    </row>
    <row r="6565" spans="1:2" x14ac:dyDescent="0.15">
      <c r="A6565" s="15"/>
      <c r="B6565" s="15"/>
    </row>
    <row r="6566" spans="1:2" x14ac:dyDescent="0.15">
      <c r="A6566" s="15"/>
      <c r="B6566" s="15"/>
    </row>
    <row r="6567" spans="1:2" x14ac:dyDescent="0.15">
      <c r="A6567" s="15"/>
      <c r="B6567" s="15"/>
    </row>
    <row r="6568" spans="1:2" x14ac:dyDescent="0.15">
      <c r="A6568" s="15"/>
      <c r="B6568" s="15"/>
    </row>
    <row r="6569" spans="1:2" x14ac:dyDescent="0.15">
      <c r="A6569" s="15"/>
      <c r="B6569" s="15"/>
    </row>
    <row r="6570" spans="1:2" x14ac:dyDescent="0.15">
      <c r="A6570" s="15"/>
      <c r="B6570" s="15"/>
    </row>
    <row r="6571" spans="1:2" x14ac:dyDescent="0.15">
      <c r="A6571" s="15"/>
      <c r="B6571" s="15"/>
    </row>
    <row r="6572" spans="1:2" x14ac:dyDescent="0.15">
      <c r="A6572" s="15"/>
      <c r="B6572" s="15"/>
    </row>
    <row r="6573" spans="1:2" x14ac:dyDescent="0.15">
      <c r="A6573" s="15"/>
      <c r="B6573" s="15"/>
    </row>
    <row r="6574" spans="1:2" x14ac:dyDescent="0.15">
      <c r="A6574" s="15"/>
      <c r="B6574" s="15"/>
    </row>
    <row r="6575" spans="1:2" x14ac:dyDescent="0.15">
      <c r="A6575" s="15"/>
      <c r="B6575" s="15"/>
    </row>
    <row r="6576" spans="1:2" x14ac:dyDescent="0.15">
      <c r="A6576" s="15"/>
      <c r="B6576" s="15"/>
    </row>
    <row r="6577" spans="1:2" x14ac:dyDescent="0.15">
      <c r="A6577" s="15"/>
      <c r="B6577" s="15"/>
    </row>
    <row r="6578" spans="1:2" x14ac:dyDescent="0.15">
      <c r="A6578" s="15"/>
      <c r="B6578" s="15"/>
    </row>
    <row r="6579" spans="1:2" x14ac:dyDescent="0.15">
      <c r="A6579" s="15"/>
      <c r="B6579" s="15"/>
    </row>
    <row r="6580" spans="1:2" x14ac:dyDescent="0.15">
      <c r="A6580" s="15"/>
      <c r="B6580" s="15"/>
    </row>
    <row r="6581" spans="1:2" x14ac:dyDescent="0.15">
      <c r="A6581" s="15"/>
      <c r="B6581" s="15"/>
    </row>
    <row r="6582" spans="1:2" x14ac:dyDescent="0.15">
      <c r="A6582" s="15"/>
      <c r="B6582" s="15"/>
    </row>
    <row r="6583" spans="1:2" x14ac:dyDescent="0.15">
      <c r="A6583" s="15"/>
      <c r="B6583" s="15"/>
    </row>
    <row r="6584" spans="1:2" x14ac:dyDescent="0.15">
      <c r="A6584" s="15"/>
      <c r="B6584" s="15"/>
    </row>
    <row r="6585" spans="1:2" x14ac:dyDescent="0.15">
      <c r="A6585" s="15"/>
      <c r="B6585" s="15"/>
    </row>
    <row r="6586" spans="1:2" x14ac:dyDescent="0.15">
      <c r="A6586" s="15"/>
      <c r="B6586" s="15"/>
    </row>
    <row r="6587" spans="1:2" x14ac:dyDescent="0.15">
      <c r="A6587" s="15"/>
      <c r="B6587" s="15"/>
    </row>
    <row r="6588" spans="1:2" x14ac:dyDescent="0.15">
      <c r="A6588" s="15"/>
      <c r="B6588" s="15"/>
    </row>
    <row r="6589" spans="1:2" x14ac:dyDescent="0.15">
      <c r="A6589" s="15"/>
      <c r="B6589" s="15"/>
    </row>
    <row r="6590" spans="1:2" x14ac:dyDescent="0.15">
      <c r="A6590" s="15"/>
      <c r="B6590" s="15"/>
    </row>
    <row r="6591" spans="1:2" x14ac:dyDescent="0.15">
      <c r="A6591" s="15"/>
      <c r="B6591" s="15"/>
    </row>
    <row r="6592" spans="1:2" x14ac:dyDescent="0.15">
      <c r="A6592" s="15"/>
      <c r="B6592" s="15"/>
    </row>
    <row r="6593" spans="1:2" x14ac:dyDescent="0.15">
      <c r="A6593" s="15"/>
      <c r="B6593" s="15"/>
    </row>
    <row r="6594" spans="1:2" x14ac:dyDescent="0.15">
      <c r="A6594" s="15"/>
      <c r="B6594" s="15"/>
    </row>
    <row r="6595" spans="1:2" x14ac:dyDescent="0.15">
      <c r="A6595" s="15"/>
      <c r="B6595" s="15"/>
    </row>
    <row r="6596" spans="1:2" x14ac:dyDescent="0.15">
      <c r="A6596" s="15"/>
      <c r="B6596" s="15"/>
    </row>
    <row r="6597" spans="1:2" x14ac:dyDescent="0.15">
      <c r="A6597" s="15"/>
      <c r="B6597" s="15"/>
    </row>
    <row r="6598" spans="1:2" x14ac:dyDescent="0.15">
      <c r="A6598" s="15"/>
      <c r="B6598" s="15"/>
    </row>
    <row r="6599" spans="1:2" x14ac:dyDescent="0.15">
      <c r="A6599" s="15"/>
      <c r="B6599" s="15"/>
    </row>
    <row r="6600" spans="1:2" x14ac:dyDescent="0.15">
      <c r="A6600" s="15"/>
      <c r="B6600" s="15"/>
    </row>
    <row r="6601" spans="1:2" x14ac:dyDescent="0.15">
      <c r="A6601" s="15"/>
      <c r="B6601" s="15"/>
    </row>
    <row r="6602" spans="1:2" x14ac:dyDescent="0.15">
      <c r="A6602" s="15"/>
      <c r="B6602" s="15"/>
    </row>
    <row r="6603" spans="1:2" x14ac:dyDescent="0.15">
      <c r="A6603" s="15"/>
      <c r="B6603" s="15"/>
    </row>
    <row r="6604" spans="1:2" x14ac:dyDescent="0.15">
      <c r="A6604" s="15"/>
      <c r="B6604" s="15"/>
    </row>
    <row r="6605" spans="1:2" x14ac:dyDescent="0.15">
      <c r="A6605" s="15"/>
      <c r="B6605" s="15"/>
    </row>
    <row r="6606" spans="1:2" x14ac:dyDescent="0.15">
      <c r="A6606" s="15"/>
      <c r="B6606" s="15"/>
    </row>
    <row r="6607" spans="1:2" x14ac:dyDescent="0.15">
      <c r="A6607" s="15"/>
      <c r="B6607" s="15"/>
    </row>
    <row r="6608" spans="1:2" x14ac:dyDescent="0.15">
      <c r="A6608" s="15"/>
      <c r="B6608" s="15"/>
    </row>
    <row r="6609" spans="1:2" x14ac:dyDescent="0.15">
      <c r="A6609" s="15"/>
      <c r="B6609" s="15"/>
    </row>
    <row r="6610" spans="1:2" x14ac:dyDescent="0.15">
      <c r="A6610" s="15"/>
      <c r="B6610" s="15"/>
    </row>
    <row r="6611" spans="1:2" x14ac:dyDescent="0.15">
      <c r="A6611" s="15"/>
      <c r="B6611" s="15"/>
    </row>
    <row r="6612" spans="1:2" x14ac:dyDescent="0.15">
      <c r="A6612" s="15"/>
      <c r="B6612" s="15"/>
    </row>
    <row r="6613" spans="1:2" x14ac:dyDescent="0.15">
      <c r="A6613" s="15"/>
      <c r="B6613" s="15"/>
    </row>
    <row r="6614" spans="1:2" x14ac:dyDescent="0.15">
      <c r="A6614" s="15"/>
      <c r="B6614" s="15"/>
    </row>
    <row r="6615" spans="1:2" x14ac:dyDescent="0.15">
      <c r="A6615" s="15"/>
      <c r="B6615" s="15"/>
    </row>
    <row r="6616" spans="1:2" x14ac:dyDescent="0.15">
      <c r="A6616" s="15"/>
      <c r="B6616" s="15"/>
    </row>
    <row r="6617" spans="1:2" x14ac:dyDescent="0.15">
      <c r="A6617" s="15"/>
      <c r="B6617" s="15"/>
    </row>
    <row r="6618" spans="1:2" x14ac:dyDescent="0.15">
      <c r="A6618" s="15"/>
      <c r="B6618" s="15"/>
    </row>
    <row r="6619" spans="1:2" x14ac:dyDescent="0.15">
      <c r="A6619" s="15"/>
      <c r="B6619" s="15"/>
    </row>
    <row r="6620" spans="1:2" x14ac:dyDescent="0.15">
      <c r="A6620" s="15"/>
      <c r="B6620" s="15"/>
    </row>
    <row r="6621" spans="1:2" x14ac:dyDescent="0.15">
      <c r="A6621" s="15"/>
      <c r="B6621" s="15"/>
    </row>
    <row r="6622" spans="1:2" x14ac:dyDescent="0.15">
      <c r="A6622" s="15"/>
      <c r="B6622" s="15"/>
    </row>
    <row r="6623" spans="1:2" x14ac:dyDescent="0.15">
      <c r="A6623" s="15"/>
      <c r="B6623" s="15"/>
    </row>
    <row r="6624" spans="1:2" x14ac:dyDescent="0.15">
      <c r="A6624" s="15"/>
      <c r="B6624" s="15"/>
    </row>
    <row r="6625" spans="1:2" x14ac:dyDescent="0.15">
      <c r="A6625" s="15"/>
      <c r="B6625" s="15"/>
    </row>
    <row r="6626" spans="1:2" x14ac:dyDescent="0.15">
      <c r="A6626" s="15"/>
      <c r="B6626" s="15"/>
    </row>
    <row r="6627" spans="1:2" x14ac:dyDescent="0.15">
      <c r="A6627" s="15"/>
      <c r="B6627" s="15"/>
    </row>
    <row r="6628" spans="1:2" x14ac:dyDescent="0.15">
      <c r="A6628" s="15"/>
      <c r="B6628" s="15"/>
    </row>
    <row r="6629" spans="1:2" x14ac:dyDescent="0.15">
      <c r="A6629" s="15"/>
      <c r="B6629" s="15"/>
    </row>
    <row r="6630" spans="1:2" x14ac:dyDescent="0.15">
      <c r="A6630" s="15"/>
      <c r="B6630" s="15"/>
    </row>
    <row r="6631" spans="1:2" x14ac:dyDescent="0.15">
      <c r="A6631" s="15"/>
      <c r="B6631" s="15"/>
    </row>
    <row r="6632" spans="1:2" x14ac:dyDescent="0.15">
      <c r="A6632" s="15"/>
      <c r="B6632" s="15"/>
    </row>
    <row r="6633" spans="1:2" x14ac:dyDescent="0.15">
      <c r="A6633" s="15"/>
      <c r="B6633" s="15"/>
    </row>
    <row r="6634" spans="1:2" x14ac:dyDescent="0.15">
      <c r="A6634" s="15"/>
      <c r="B6634" s="15"/>
    </row>
    <row r="6635" spans="1:2" x14ac:dyDescent="0.15">
      <c r="A6635" s="15"/>
      <c r="B6635" s="15"/>
    </row>
    <row r="6636" spans="1:2" x14ac:dyDescent="0.15">
      <c r="A6636" s="15"/>
      <c r="B6636" s="15"/>
    </row>
    <row r="6637" spans="1:2" x14ac:dyDescent="0.15">
      <c r="A6637" s="15"/>
      <c r="B6637" s="15"/>
    </row>
    <row r="6638" spans="1:2" x14ac:dyDescent="0.15">
      <c r="A6638" s="15"/>
      <c r="B6638" s="15"/>
    </row>
    <row r="6639" spans="1:2" x14ac:dyDescent="0.15">
      <c r="A6639" s="15"/>
      <c r="B6639" s="15"/>
    </row>
    <row r="6640" spans="1:2" x14ac:dyDescent="0.15">
      <c r="A6640" s="15"/>
      <c r="B6640" s="15"/>
    </row>
    <row r="6641" spans="1:2" x14ac:dyDescent="0.15">
      <c r="A6641" s="15"/>
      <c r="B6641" s="15"/>
    </row>
    <row r="6642" spans="1:2" x14ac:dyDescent="0.15">
      <c r="A6642" s="15"/>
      <c r="B6642" s="15"/>
    </row>
    <row r="6643" spans="1:2" x14ac:dyDescent="0.15">
      <c r="A6643" s="15"/>
      <c r="B6643" s="15"/>
    </row>
    <row r="6644" spans="1:2" x14ac:dyDescent="0.15">
      <c r="A6644" s="15"/>
      <c r="B6644" s="15"/>
    </row>
    <row r="6645" spans="1:2" x14ac:dyDescent="0.15">
      <c r="A6645" s="15"/>
      <c r="B6645" s="15"/>
    </row>
    <row r="6646" spans="1:2" x14ac:dyDescent="0.15">
      <c r="A6646" s="15"/>
      <c r="B6646" s="15"/>
    </row>
    <row r="6647" spans="1:2" x14ac:dyDescent="0.15">
      <c r="A6647" s="15"/>
      <c r="B6647" s="15"/>
    </row>
    <row r="6648" spans="1:2" x14ac:dyDescent="0.15">
      <c r="A6648" s="15"/>
      <c r="B6648" s="15"/>
    </row>
    <row r="6649" spans="1:2" x14ac:dyDescent="0.15">
      <c r="A6649" s="15"/>
      <c r="B6649" s="15"/>
    </row>
    <row r="6650" spans="1:2" x14ac:dyDescent="0.15">
      <c r="A6650" s="15"/>
      <c r="B6650" s="15"/>
    </row>
    <row r="6651" spans="1:2" x14ac:dyDescent="0.15">
      <c r="A6651" s="15"/>
      <c r="B6651" s="15"/>
    </row>
    <row r="6652" spans="1:2" x14ac:dyDescent="0.15">
      <c r="A6652" s="15"/>
      <c r="B6652" s="15"/>
    </row>
    <row r="6653" spans="1:2" x14ac:dyDescent="0.15">
      <c r="A6653" s="15"/>
      <c r="B6653" s="15"/>
    </row>
    <row r="6654" spans="1:2" x14ac:dyDescent="0.15">
      <c r="A6654" s="15"/>
      <c r="B6654" s="15"/>
    </row>
    <row r="6655" spans="1:2" x14ac:dyDescent="0.15">
      <c r="A6655" s="15"/>
      <c r="B6655" s="15"/>
    </row>
    <row r="6656" spans="1:2" x14ac:dyDescent="0.15">
      <c r="A6656" s="15"/>
      <c r="B6656" s="15"/>
    </row>
    <row r="6657" spans="1:2" x14ac:dyDescent="0.15">
      <c r="A6657" s="15"/>
      <c r="B6657" s="15"/>
    </row>
    <row r="6658" spans="1:2" x14ac:dyDescent="0.15">
      <c r="A6658" s="15"/>
      <c r="B6658" s="15"/>
    </row>
    <row r="6659" spans="1:2" x14ac:dyDescent="0.15">
      <c r="A6659" s="15"/>
      <c r="B6659" s="15"/>
    </row>
    <row r="6660" spans="1:2" x14ac:dyDescent="0.15">
      <c r="A6660" s="15"/>
      <c r="B6660" s="15"/>
    </row>
    <row r="6661" spans="1:2" x14ac:dyDescent="0.15">
      <c r="A6661" s="15"/>
      <c r="B6661" s="15"/>
    </row>
    <row r="6662" spans="1:2" x14ac:dyDescent="0.15">
      <c r="A6662" s="15"/>
      <c r="B6662" s="15"/>
    </row>
    <row r="6663" spans="1:2" x14ac:dyDescent="0.15">
      <c r="A6663" s="15"/>
      <c r="B6663" s="15"/>
    </row>
    <row r="6664" spans="1:2" x14ac:dyDescent="0.15">
      <c r="A6664" s="15"/>
      <c r="B6664" s="15"/>
    </row>
    <row r="6665" spans="1:2" x14ac:dyDescent="0.15">
      <c r="A6665" s="15"/>
      <c r="B6665" s="15"/>
    </row>
    <row r="6666" spans="1:2" x14ac:dyDescent="0.15">
      <c r="A6666" s="15"/>
      <c r="B6666" s="15"/>
    </row>
    <row r="6667" spans="1:2" x14ac:dyDescent="0.15">
      <c r="A6667" s="15"/>
      <c r="B6667" s="15"/>
    </row>
    <row r="6668" spans="1:2" x14ac:dyDescent="0.15">
      <c r="A6668" s="15"/>
      <c r="B6668" s="15"/>
    </row>
    <row r="6669" spans="1:2" x14ac:dyDescent="0.15">
      <c r="A6669" s="15"/>
      <c r="B6669" s="15"/>
    </row>
    <row r="6670" spans="1:2" x14ac:dyDescent="0.15">
      <c r="A6670" s="15"/>
      <c r="B6670" s="15"/>
    </row>
    <row r="6671" spans="1:2" x14ac:dyDescent="0.15">
      <c r="A6671" s="15"/>
      <c r="B6671" s="15"/>
    </row>
    <row r="6672" spans="1:2" x14ac:dyDescent="0.15">
      <c r="A6672" s="15"/>
      <c r="B6672" s="15"/>
    </row>
    <row r="6673" spans="1:2" x14ac:dyDescent="0.15">
      <c r="A6673" s="15"/>
      <c r="B6673" s="15"/>
    </row>
    <row r="6674" spans="1:2" x14ac:dyDescent="0.15">
      <c r="A6674" s="15"/>
      <c r="B6674" s="15"/>
    </row>
    <row r="6675" spans="1:2" x14ac:dyDescent="0.15">
      <c r="A6675" s="15"/>
      <c r="B6675" s="15"/>
    </row>
    <row r="6676" spans="1:2" x14ac:dyDescent="0.15">
      <c r="A6676" s="15"/>
      <c r="B6676" s="15"/>
    </row>
    <row r="6677" spans="1:2" x14ac:dyDescent="0.15">
      <c r="A6677" s="15"/>
      <c r="B6677" s="15"/>
    </row>
    <row r="6678" spans="1:2" x14ac:dyDescent="0.15">
      <c r="A6678" s="15"/>
      <c r="B6678" s="15"/>
    </row>
    <row r="6679" spans="1:2" x14ac:dyDescent="0.15">
      <c r="A6679" s="15"/>
      <c r="B6679" s="15"/>
    </row>
    <row r="6680" spans="1:2" x14ac:dyDescent="0.15">
      <c r="A6680" s="15"/>
      <c r="B6680" s="15"/>
    </row>
    <row r="6681" spans="1:2" x14ac:dyDescent="0.15">
      <c r="A6681" s="15"/>
      <c r="B6681" s="15"/>
    </row>
    <row r="6682" spans="1:2" x14ac:dyDescent="0.15">
      <c r="A6682" s="15"/>
      <c r="B6682" s="15"/>
    </row>
    <row r="6683" spans="1:2" x14ac:dyDescent="0.15">
      <c r="A6683" s="15"/>
      <c r="B6683" s="15"/>
    </row>
    <row r="6684" spans="1:2" x14ac:dyDescent="0.15">
      <c r="A6684" s="15"/>
      <c r="B6684" s="15"/>
    </row>
    <row r="6685" spans="1:2" x14ac:dyDescent="0.15">
      <c r="A6685" s="15"/>
      <c r="B6685" s="15"/>
    </row>
    <row r="6686" spans="1:2" x14ac:dyDescent="0.15">
      <c r="A6686" s="15"/>
      <c r="B6686" s="15"/>
    </row>
    <row r="6687" spans="1:2" x14ac:dyDescent="0.15">
      <c r="A6687" s="15"/>
      <c r="B6687" s="15"/>
    </row>
    <row r="6688" spans="1:2" x14ac:dyDescent="0.15">
      <c r="A6688" s="15"/>
      <c r="B6688" s="15"/>
    </row>
    <row r="6689" spans="1:2" x14ac:dyDescent="0.15">
      <c r="A6689" s="15"/>
      <c r="B6689" s="15"/>
    </row>
    <row r="6690" spans="1:2" x14ac:dyDescent="0.15">
      <c r="A6690" s="15"/>
      <c r="B6690" s="15"/>
    </row>
    <row r="6691" spans="1:2" x14ac:dyDescent="0.15">
      <c r="A6691" s="15"/>
      <c r="B6691" s="15"/>
    </row>
    <row r="6692" spans="1:2" x14ac:dyDescent="0.15">
      <c r="A6692" s="15"/>
      <c r="B6692" s="15"/>
    </row>
    <row r="6693" spans="1:2" x14ac:dyDescent="0.15">
      <c r="A6693" s="15"/>
      <c r="B6693" s="15"/>
    </row>
    <row r="6694" spans="1:2" x14ac:dyDescent="0.15">
      <c r="A6694" s="15"/>
      <c r="B6694" s="15"/>
    </row>
    <row r="6695" spans="1:2" x14ac:dyDescent="0.15">
      <c r="A6695" s="15"/>
      <c r="B6695" s="15"/>
    </row>
    <row r="6696" spans="1:2" x14ac:dyDescent="0.15">
      <c r="A6696" s="15"/>
      <c r="B6696" s="15"/>
    </row>
    <row r="6697" spans="1:2" x14ac:dyDescent="0.15">
      <c r="A6697" s="15"/>
      <c r="B6697" s="15"/>
    </row>
    <row r="6698" spans="1:2" x14ac:dyDescent="0.15">
      <c r="A6698" s="15"/>
      <c r="B6698" s="15"/>
    </row>
    <row r="6699" spans="1:2" x14ac:dyDescent="0.15">
      <c r="A6699" s="15"/>
      <c r="B6699" s="15"/>
    </row>
    <row r="6700" spans="1:2" x14ac:dyDescent="0.15">
      <c r="A6700" s="15"/>
      <c r="B6700" s="15"/>
    </row>
    <row r="6701" spans="1:2" x14ac:dyDescent="0.15">
      <c r="A6701" s="15"/>
      <c r="B6701" s="15"/>
    </row>
    <row r="6702" spans="1:2" x14ac:dyDescent="0.15">
      <c r="A6702" s="15"/>
      <c r="B6702" s="15"/>
    </row>
    <row r="6703" spans="1:2" x14ac:dyDescent="0.15">
      <c r="A6703" s="15"/>
      <c r="B6703" s="15"/>
    </row>
    <row r="6704" spans="1:2" x14ac:dyDescent="0.15">
      <c r="A6704" s="15"/>
      <c r="B6704" s="15"/>
    </row>
    <row r="6705" spans="1:2" x14ac:dyDescent="0.15">
      <c r="A6705" s="15"/>
      <c r="B6705" s="15"/>
    </row>
    <row r="6706" spans="1:2" x14ac:dyDescent="0.15">
      <c r="A6706" s="15"/>
      <c r="B6706" s="15"/>
    </row>
    <row r="6707" spans="1:2" x14ac:dyDescent="0.15">
      <c r="A6707" s="15"/>
      <c r="B6707" s="15"/>
    </row>
    <row r="6708" spans="1:2" x14ac:dyDescent="0.15">
      <c r="A6708" s="15"/>
      <c r="B6708" s="15"/>
    </row>
    <row r="6709" spans="1:2" x14ac:dyDescent="0.15">
      <c r="A6709" s="15"/>
      <c r="B6709" s="15"/>
    </row>
    <row r="6710" spans="1:2" x14ac:dyDescent="0.15">
      <c r="A6710" s="15"/>
      <c r="B6710" s="15"/>
    </row>
    <row r="6711" spans="1:2" x14ac:dyDescent="0.15">
      <c r="A6711" s="15"/>
      <c r="B6711" s="15"/>
    </row>
    <row r="6712" spans="1:2" x14ac:dyDescent="0.15">
      <c r="A6712" s="15"/>
      <c r="B6712" s="15"/>
    </row>
    <row r="6713" spans="1:2" x14ac:dyDescent="0.15">
      <c r="A6713" s="15"/>
      <c r="B6713" s="15"/>
    </row>
    <row r="6714" spans="1:2" x14ac:dyDescent="0.15">
      <c r="A6714" s="15"/>
      <c r="B6714" s="15"/>
    </row>
    <row r="6715" spans="1:2" x14ac:dyDescent="0.15">
      <c r="A6715" s="15"/>
      <c r="B6715" s="15"/>
    </row>
    <row r="6716" spans="1:2" x14ac:dyDescent="0.15">
      <c r="A6716" s="15"/>
      <c r="B6716" s="15"/>
    </row>
    <row r="6717" spans="1:2" x14ac:dyDescent="0.15">
      <c r="A6717" s="15"/>
      <c r="B6717" s="15"/>
    </row>
    <row r="6718" spans="1:2" x14ac:dyDescent="0.15">
      <c r="A6718" s="15"/>
      <c r="B6718" s="15"/>
    </row>
    <row r="6719" spans="1:2" x14ac:dyDescent="0.15">
      <c r="A6719" s="15"/>
      <c r="B6719" s="15"/>
    </row>
    <row r="6720" spans="1:2" x14ac:dyDescent="0.15">
      <c r="A6720" s="15"/>
      <c r="B6720" s="15"/>
    </row>
    <row r="6721" spans="1:2" x14ac:dyDescent="0.15">
      <c r="A6721" s="15"/>
      <c r="B6721" s="15"/>
    </row>
    <row r="6722" spans="1:2" x14ac:dyDescent="0.15">
      <c r="A6722" s="15"/>
      <c r="B6722" s="15"/>
    </row>
    <row r="6723" spans="1:2" x14ac:dyDescent="0.15">
      <c r="A6723" s="15"/>
      <c r="B6723" s="15"/>
    </row>
    <row r="6724" spans="1:2" x14ac:dyDescent="0.15">
      <c r="A6724" s="15"/>
      <c r="B6724" s="15"/>
    </row>
    <row r="6725" spans="1:2" x14ac:dyDescent="0.15">
      <c r="A6725" s="15"/>
      <c r="B6725" s="15"/>
    </row>
    <row r="6726" spans="1:2" x14ac:dyDescent="0.15">
      <c r="A6726" s="15"/>
      <c r="B6726" s="15"/>
    </row>
    <row r="6727" spans="1:2" x14ac:dyDescent="0.15">
      <c r="A6727" s="15"/>
      <c r="B6727" s="15"/>
    </row>
    <row r="6728" spans="1:2" x14ac:dyDescent="0.15">
      <c r="A6728" s="15"/>
      <c r="B6728" s="15"/>
    </row>
    <row r="6729" spans="1:2" x14ac:dyDescent="0.15">
      <c r="A6729" s="15"/>
      <c r="B6729" s="15"/>
    </row>
    <row r="6730" spans="1:2" x14ac:dyDescent="0.15">
      <c r="A6730" s="15"/>
      <c r="B6730" s="15"/>
    </row>
    <row r="6731" spans="1:2" x14ac:dyDescent="0.15">
      <c r="A6731" s="15"/>
      <c r="B6731" s="15"/>
    </row>
    <row r="6732" spans="1:2" x14ac:dyDescent="0.15">
      <c r="A6732" s="15"/>
      <c r="B6732" s="15"/>
    </row>
    <row r="6733" spans="1:2" x14ac:dyDescent="0.15">
      <c r="A6733" s="15"/>
      <c r="B6733" s="15"/>
    </row>
    <row r="6734" spans="1:2" x14ac:dyDescent="0.15">
      <c r="A6734" s="15"/>
      <c r="B6734" s="15"/>
    </row>
    <row r="6735" spans="1:2" x14ac:dyDescent="0.15">
      <c r="A6735" s="15"/>
      <c r="B6735" s="15"/>
    </row>
    <row r="6736" spans="1:2" x14ac:dyDescent="0.15">
      <c r="A6736" s="15"/>
      <c r="B6736" s="15"/>
    </row>
    <row r="6737" spans="1:2" x14ac:dyDescent="0.15">
      <c r="A6737" s="15"/>
      <c r="B6737" s="15"/>
    </row>
    <row r="6738" spans="1:2" x14ac:dyDescent="0.15">
      <c r="A6738" s="15"/>
      <c r="B6738" s="15"/>
    </row>
    <row r="6739" spans="1:2" x14ac:dyDescent="0.15">
      <c r="A6739" s="15"/>
      <c r="B6739" s="15"/>
    </row>
    <row r="6740" spans="1:2" x14ac:dyDescent="0.15">
      <c r="A6740" s="15"/>
      <c r="B6740" s="15"/>
    </row>
    <row r="6741" spans="1:2" x14ac:dyDescent="0.15">
      <c r="A6741" s="15"/>
      <c r="B6741" s="15"/>
    </row>
    <row r="6742" spans="1:2" x14ac:dyDescent="0.15">
      <c r="A6742" s="15"/>
      <c r="B6742" s="15"/>
    </row>
    <row r="6743" spans="1:2" x14ac:dyDescent="0.15">
      <c r="A6743" s="15"/>
      <c r="B6743" s="15"/>
    </row>
    <row r="6744" spans="1:2" x14ac:dyDescent="0.15">
      <c r="A6744" s="15"/>
      <c r="B6744" s="15"/>
    </row>
    <row r="6745" spans="1:2" x14ac:dyDescent="0.15">
      <c r="A6745" s="15"/>
      <c r="B6745" s="15"/>
    </row>
    <row r="6746" spans="1:2" x14ac:dyDescent="0.15">
      <c r="A6746" s="15"/>
      <c r="B6746" s="15"/>
    </row>
    <row r="6747" spans="1:2" x14ac:dyDescent="0.15">
      <c r="A6747" s="15"/>
      <c r="B6747" s="15"/>
    </row>
    <row r="6748" spans="1:2" x14ac:dyDescent="0.15">
      <c r="A6748" s="15"/>
      <c r="B6748" s="15"/>
    </row>
    <row r="6749" spans="1:2" x14ac:dyDescent="0.15">
      <c r="A6749" s="15"/>
      <c r="B6749" s="15"/>
    </row>
    <row r="6750" spans="1:2" x14ac:dyDescent="0.15">
      <c r="A6750" s="15"/>
      <c r="B6750" s="15"/>
    </row>
    <row r="6751" spans="1:2" x14ac:dyDescent="0.15">
      <c r="A6751" s="15"/>
      <c r="B6751" s="15"/>
    </row>
    <row r="6752" spans="1:2" x14ac:dyDescent="0.15">
      <c r="A6752" s="15"/>
      <c r="B6752" s="15"/>
    </row>
    <row r="6753" spans="1:2" x14ac:dyDescent="0.15">
      <c r="A6753" s="15"/>
      <c r="B6753" s="15"/>
    </row>
    <row r="6754" spans="1:2" x14ac:dyDescent="0.15">
      <c r="A6754" s="15"/>
      <c r="B6754" s="15"/>
    </row>
    <row r="6755" spans="1:2" x14ac:dyDescent="0.15">
      <c r="A6755" s="15"/>
      <c r="B6755" s="15"/>
    </row>
    <row r="6756" spans="1:2" x14ac:dyDescent="0.15">
      <c r="A6756" s="15"/>
      <c r="B6756" s="15"/>
    </row>
    <row r="6757" spans="1:2" x14ac:dyDescent="0.15">
      <c r="A6757" s="15"/>
      <c r="B6757" s="15"/>
    </row>
    <row r="6758" spans="1:2" x14ac:dyDescent="0.15">
      <c r="A6758" s="15"/>
      <c r="B6758" s="15"/>
    </row>
    <row r="6759" spans="1:2" x14ac:dyDescent="0.15">
      <c r="A6759" s="15"/>
      <c r="B6759" s="15"/>
    </row>
    <row r="6760" spans="1:2" x14ac:dyDescent="0.15">
      <c r="A6760" s="15"/>
      <c r="B6760" s="15"/>
    </row>
    <row r="6761" spans="1:2" x14ac:dyDescent="0.15">
      <c r="A6761" s="15"/>
      <c r="B6761" s="15"/>
    </row>
    <row r="6762" spans="1:2" x14ac:dyDescent="0.15">
      <c r="A6762" s="15"/>
      <c r="B6762" s="15"/>
    </row>
    <row r="6763" spans="1:2" x14ac:dyDescent="0.15">
      <c r="A6763" s="15"/>
      <c r="B6763" s="15"/>
    </row>
    <row r="6764" spans="1:2" x14ac:dyDescent="0.15">
      <c r="A6764" s="15"/>
      <c r="B6764" s="15"/>
    </row>
    <row r="6765" spans="1:2" x14ac:dyDescent="0.15">
      <c r="A6765" s="15"/>
      <c r="B6765" s="15"/>
    </row>
    <row r="6766" spans="1:2" x14ac:dyDescent="0.15">
      <c r="A6766" s="15"/>
      <c r="B6766" s="15"/>
    </row>
    <row r="6767" spans="1:2" x14ac:dyDescent="0.15">
      <c r="A6767" s="15"/>
      <c r="B6767" s="15"/>
    </row>
    <row r="6768" spans="1:2" x14ac:dyDescent="0.15">
      <c r="A6768" s="15"/>
      <c r="B6768" s="15"/>
    </row>
    <row r="6769" spans="1:2" x14ac:dyDescent="0.15">
      <c r="A6769" s="15"/>
      <c r="B6769" s="15"/>
    </row>
    <row r="6770" spans="1:2" x14ac:dyDescent="0.15">
      <c r="A6770" s="15"/>
      <c r="B6770" s="15"/>
    </row>
    <row r="6771" spans="1:2" x14ac:dyDescent="0.15">
      <c r="A6771" s="15"/>
      <c r="B6771" s="15"/>
    </row>
    <row r="6772" spans="1:2" x14ac:dyDescent="0.15">
      <c r="A6772" s="15"/>
      <c r="B6772" s="15"/>
    </row>
    <row r="6773" spans="1:2" x14ac:dyDescent="0.15">
      <c r="A6773" s="15"/>
      <c r="B6773" s="15"/>
    </row>
    <row r="6774" spans="1:2" x14ac:dyDescent="0.15">
      <c r="A6774" s="15"/>
      <c r="B6774" s="15"/>
    </row>
    <row r="6775" spans="1:2" x14ac:dyDescent="0.15">
      <c r="A6775" s="15"/>
      <c r="B6775" s="15"/>
    </row>
    <row r="6776" spans="1:2" x14ac:dyDescent="0.15">
      <c r="A6776" s="15"/>
      <c r="B6776" s="15"/>
    </row>
    <row r="6777" spans="1:2" x14ac:dyDescent="0.15">
      <c r="A6777" s="15"/>
      <c r="B6777" s="15"/>
    </row>
    <row r="6778" spans="1:2" x14ac:dyDescent="0.15">
      <c r="A6778" s="15"/>
      <c r="B6778" s="15"/>
    </row>
    <row r="6779" spans="1:2" x14ac:dyDescent="0.15">
      <c r="A6779" s="15"/>
      <c r="B6779" s="15"/>
    </row>
    <row r="6780" spans="1:2" x14ac:dyDescent="0.15">
      <c r="A6780" s="15"/>
      <c r="B6780" s="15"/>
    </row>
    <row r="6781" spans="1:2" x14ac:dyDescent="0.15">
      <c r="A6781" s="15"/>
      <c r="B6781" s="15"/>
    </row>
    <row r="6782" spans="1:2" x14ac:dyDescent="0.15">
      <c r="A6782" s="15"/>
      <c r="B6782" s="15"/>
    </row>
    <row r="6783" spans="1:2" x14ac:dyDescent="0.15">
      <c r="A6783" s="15"/>
      <c r="B6783" s="15"/>
    </row>
    <row r="6784" spans="1:2" x14ac:dyDescent="0.15">
      <c r="A6784" s="15"/>
      <c r="B6784" s="15"/>
    </row>
    <row r="6785" spans="1:2" x14ac:dyDescent="0.15">
      <c r="A6785" s="15"/>
      <c r="B6785" s="15"/>
    </row>
    <row r="6786" spans="1:2" x14ac:dyDescent="0.15">
      <c r="A6786" s="15"/>
      <c r="B6786" s="15"/>
    </row>
    <row r="6787" spans="1:2" x14ac:dyDescent="0.15">
      <c r="A6787" s="15"/>
      <c r="B6787" s="15"/>
    </row>
    <row r="6788" spans="1:2" x14ac:dyDescent="0.15">
      <c r="A6788" s="15"/>
      <c r="B6788" s="15"/>
    </row>
    <row r="6789" spans="1:2" x14ac:dyDescent="0.15">
      <c r="A6789" s="15"/>
      <c r="B6789" s="15"/>
    </row>
    <row r="6790" spans="1:2" x14ac:dyDescent="0.15">
      <c r="A6790" s="15"/>
      <c r="B6790" s="15"/>
    </row>
    <row r="6791" spans="1:2" x14ac:dyDescent="0.15">
      <c r="A6791" s="15"/>
      <c r="B6791" s="15"/>
    </row>
    <row r="6792" spans="1:2" x14ac:dyDescent="0.15">
      <c r="A6792" s="15"/>
      <c r="B6792" s="15"/>
    </row>
    <row r="6793" spans="1:2" x14ac:dyDescent="0.15">
      <c r="A6793" s="15"/>
      <c r="B6793" s="15"/>
    </row>
    <row r="6794" spans="1:2" x14ac:dyDescent="0.15">
      <c r="A6794" s="15"/>
      <c r="B6794" s="15"/>
    </row>
    <row r="6795" spans="1:2" x14ac:dyDescent="0.15">
      <c r="A6795" s="15"/>
      <c r="B6795" s="15"/>
    </row>
    <row r="6796" spans="1:2" x14ac:dyDescent="0.15">
      <c r="A6796" s="15"/>
      <c r="B6796" s="15"/>
    </row>
    <row r="6797" spans="1:2" x14ac:dyDescent="0.15">
      <c r="A6797" s="15"/>
      <c r="B6797" s="15"/>
    </row>
    <row r="6798" spans="1:2" x14ac:dyDescent="0.15">
      <c r="A6798" s="15"/>
      <c r="B6798" s="15"/>
    </row>
    <row r="6799" spans="1:2" x14ac:dyDescent="0.15">
      <c r="A6799" s="15"/>
      <c r="B6799" s="15"/>
    </row>
    <row r="6800" spans="1:2" x14ac:dyDescent="0.15">
      <c r="A6800" s="15"/>
      <c r="B6800" s="15"/>
    </row>
    <row r="6801" spans="1:2" x14ac:dyDescent="0.15">
      <c r="A6801" s="15"/>
      <c r="B6801" s="15"/>
    </row>
    <row r="6802" spans="1:2" x14ac:dyDescent="0.15">
      <c r="A6802" s="15"/>
      <c r="B6802" s="15"/>
    </row>
    <row r="6803" spans="1:2" x14ac:dyDescent="0.15">
      <c r="A6803" s="15"/>
      <c r="B6803" s="15"/>
    </row>
    <row r="6804" spans="1:2" x14ac:dyDescent="0.15">
      <c r="A6804" s="15"/>
      <c r="B6804" s="15"/>
    </row>
    <row r="6805" spans="1:2" x14ac:dyDescent="0.15">
      <c r="A6805" s="15"/>
      <c r="B6805" s="15"/>
    </row>
    <row r="6806" spans="1:2" x14ac:dyDescent="0.15">
      <c r="A6806" s="15"/>
      <c r="B6806" s="15"/>
    </row>
    <row r="6807" spans="1:2" x14ac:dyDescent="0.15">
      <c r="A6807" s="15"/>
      <c r="B6807" s="15"/>
    </row>
    <row r="6808" spans="1:2" x14ac:dyDescent="0.15">
      <c r="A6808" s="15"/>
      <c r="B6808" s="15"/>
    </row>
    <row r="6809" spans="1:2" x14ac:dyDescent="0.15">
      <c r="A6809" s="15"/>
      <c r="B6809" s="15"/>
    </row>
    <row r="6810" spans="1:2" x14ac:dyDescent="0.15">
      <c r="A6810" s="15"/>
      <c r="B6810" s="15"/>
    </row>
    <row r="6811" spans="1:2" x14ac:dyDescent="0.15">
      <c r="A6811" s="15"/>
      <c r="B6811" s="15"/>
    </row>
    <row r="6812" spans="1:2" x14ac:dyDescent="0.15">
      <c r="A6812" s="15"/>
      <c r="B6812" s="15"/>
    </row>
    <row r="6813" spans="1:2" x14ac:dyDescent="0.15">
      <c r="A6813" s="15"/>
      <c r="B6813" s="15"/>
    </row>
    <row r="6814" spans="1:2" x14ac:dyDescent="0.15">
      <c r="A6814" s="15"/>
      <c r="B6814" s="15"/>
    </row>
    <row r="6815" spans="1:2" x14ac:dyDescent="0.15">
      <c r="A6815" s="15"/>
      <c r="B6815" s="15"/>
    </row>
    <row r="6816" spans="1:2" x14ac:dyDescent="0.15">
      <c r="A6816" s="15"/>
      <c r="B6816" s="15"/>
    </row>
    <row r="6817" spans="1:2" x14ac:dyDescent="0.15">
      <c r="A6817" s="15"/>
      <c r="B6817" s="15"/>
    </row>
    <row r="6818" spans="1:2" x14ac:dyDescent="0.15">
      <c r="A6818" s="15"/>
      <c r="B6818" s="15"/>
    </row>
    <row r="6819" spans="1:2" x14ac:dyDescent="0.15">
      <c r="A6819" s="15"/>
      <c r="B6819" s="15"/>
    </row>
    <row r="6820" spans="1:2" x14ac:dyDescent="0.15">
      <c r="A6820" s="15"/>
      <c r="B6820" s="15"/>
    </row>
    <row r="6821" spans="1:2" x14ac:dyDescent="0.15">
      <c r="A6821" s="15"/>
      <c r="B6821" s="15"/>
    </row>
    <row r="6822" spans="1:2" x14ac:dyDescent="0.15">
      <c r="A6822" s="15"/>
      <c r="B6822" s="15"/>
    </row>
    <row r="6823" spans="1:2" x14ac:dyDescent="0.15">
      <c r="A6823" s="15"/>
      <c r="B6823" s="15"/>
    </row>
    <row r="6824" spans="1:2" x14ac:dyDescent="0.15">
      <c r="A6824" s="15"/>
      <c r="B6824" s="15"/>
    </row>
    <row r="6825" spans="1:2" x14ac:dyDescent="0.15">
      <c r="A6825" s="15"/>
      <c r="B6825" s="15"/>
    </row>
    <row r="6826" spans="1:2" x14ac:dyDescent="0.15">
      <c r="A6826" s="15"/>
      <c r="B6826" s="15"/>
    </row>
    <row r="6827" spans="1:2" x14ac:dyDescent="0.15">
      <c r="A6827" s="15"/>
      <c r="B6827" s="15"/>
    </row>
    <row r="6828" spans="1:2" x14ac:dyDescent="0.15">
      <c r="A6828" s="15"/>
      <c r="B6828" s="15"/>
    </row>
    <row r="6829" spans="1:2" x14ac:dyDescent="0.15">
      <c r="A6829" s="15"/>
      <c r="B6829" s="15"/>
    </row>
    <row r="6830" spans="1:2" x14ac:dyDescent="0.15">
      <c r="A6830" s="15"/>
      <c r="B6830" s="15"/>
    </row>
    <row r="6831" spans="1:2" x14ac:dyDescent="0.15">
      <c r="A6831" s="15"/>
      <c r="B6831" s="15"/>
    </row>
    <row r="6832" spans="1:2" x14ac:dyDescent="0.15">
      <c r="A6832" s="15"/>
      <c r="B6832" s="15"/>
    </row>
    <row r="6833" spans="1:2" x14ac:dyDescent="0.15">
      <c r="A6833" s="15"/>
      <c r="B6833" s="15"/>
    </row>
    <row r="6834" spans="1:2" x14ac:dyDescent="0.15">
      <c r="A6834" s="15"/>
      <c r="B6834" s="15"/>
    </row>
    <row r="6835" spans="1:2" x14ac:dyDescent="0.15">
      <c r="A6835" s="15"/>
      <c r="B6835" s="15"/>
    </row>
    <row r="6836" spans="1:2" x14ac:dyDescent="0.15">
      <c r="A6836" s="15"/>
      <c r="B6836" s="15"/>
    </row>
    <row r="6837" spans="1:2" x14ac:dyDescent="0.15">
      <c r="A6837" s="15"/>
      <c r="B6837" s="15"/>
    </row>
    <row r="6838" spans="1:2" x14ac:dyDescent="0.15">
      <c r="A6838" s="15"/>
      <c r="B6838" s="15"/>
    </row>
    <row r="6839" spans="1:2" x14ac:dyDescent="0.15">
      <c r="A6839" s="15"/>
      <c r="B6839" s="15"/>
    </row>
    <row r="6840" spans="1:2" x14ac:dyDescent="0.15">
      <c r="A6840" s="15"/>
      <c r="B6840" s="15"/>
    </row>
    <row r="6841" spans="1:2" x14ac:dyDescent="0.15">
      <c r="A6841" s="15"/>
      <c r="B6841" s="15"/>
    </row>
    <row r="6842" spans="1:2" x14ac:dyDescent="0.15">
      <c r="A6842" s="15"/>
      <c r="B6842" s="15"/>
    </row>
    <row r="6843" spans="1:2" x14ac:dyDescent="0.15">
      <c r="A6843" s="15"/>
      <c r="B6843" s="15"/>
    </row>
    <row r="6844" spans="1:2" x14ac:dyDescent="0.15">
      <c r="A6844" s="15"/>
      <c r="B6844" s="15"/>
    </row>
    <row r="6845" spans="1:2" x14ac:dyDescent="0.15">
      <c r="A6845" s="15"/>
      <c r="B6845" s="15"/>
    </row>
    <row r="6846" spans="1:2" x14ac:dyDescent="0.15">
      <c r="A6846" s="15"/>
      <c r="B6846" s="15"/>
    </row>
    <row r="6847" spans="1:2" x14ac:dyDescent="0.15">
      <c r="A6847" s="15"/>
      <c r="B6847" s="15"/>
    </row>
    <row r="6848" spans="1:2" x14ac:dyDescent="0.15">
      <c r="A6848" s="15"/>
      <c r="B6848" s="15"/>
    </row>
    <row r="6849" spans="1:2" x14ac:dyDescent="0.15">
      <c r="A6849" s="15"/>
      <c r="B6849" s="15"/>
    </row>
    <row r="6850" spans="1:2" x14ac:dyDescent="0.15">
      <c r="A6850" s="15"/>
      <c r="B6850" s="15"/>
    </row>
    <row r="6851" spans="1:2" x14ac:dyDescent="0.15">
      <c r="A6851" s="15"/>
      <c r="B6851" s="15"/>
    </row>
    <row r="6852" spans="1:2" x14ac:dyDescent="0.15">
      <c r="A6852" s="15"/>
      <c r="B6852" s="15"/>
    </row>
    <row r="6853" spans="1:2" x14ac:dyDescent="0.15">
      <c r="A6853" s="15"/>
      <c r="B6853" s="15"/>
    </row>
    <row r="6854" spans="1:2" x14ac:dyDescent="0.15">
      <c r="A6854" s="15"/>
      <c r="B6854" s="15"/>
    </row>
    <row r="6855" spans="1:2" x14ac:dyDescent="0.15">
      <c r="A6855" s="15"/>
      <c r="B6855" s="15"/>
    </row>
    <row r="6856" spans="1:2" x14ac:dyDescent="0.15">
      <c r="A6856" s="15"/>
      <c r="B6856" s="15"/>
    </row>
    <row r="6857" spans="1:2" x14ac:dyDescent="0.15">
      <c r="A6857" s="15"/>
      <c r="B6857" s="15"/>
    </row>
    <row r="6858" spans="1:2" x14ac:dyDescent="0.15">
      <c r="A6858" s="15"/>
      <c r="B6858" s="15"/>
    </row>
    <row r="6859" spans="1:2" x14ac:dyDescent="0.15">
      <c r="A6859" s="15"/>
      <c r="B6859" s="15"/>
    </row>
    <row r="6860" spans="1:2" x14ac:dyDescent="0.15">
      <c r="A6860" s="15"/>
      <c r="B6860" s="15"/>
    </row>
    <row r="6861" spans="1:2" x14ac:dyDescent="0.15">
      <c r="A6861" s="15"/>
      <c r="B6861" s="15"/>
    </row>
    <row r="6862" spans="1:2" x14ac:dyDescent="0.15">
      <c r="A6862" s="15"/>
      <c r="B6862" s="15"/>
    </row>
    <row r="6863" spans="1:2" x14ac:dyDescent="0.15">
      <c r="A6863" s="15"/>
      <c r="B6863" s="15"/>
    </row>
    <row r="6864" spans="1:2" x14ac:dyDescent="0.15">
      <c r="A6864" s="15"/>
      <c r="B6864" s="15"/>
    </row>
    <row r="6865" spans="1:2" x14ac:dyDescent="0.15">
      <c r="A6865" s="15"/>
      <c r="B6865" s="15"/>
    </row>
    <row r="6866" spans="1:2" x14ac:dyDescent="0.15">
      <c r="A6866" s="15"/>
      <c r="B6866" s="15"/>
    </row>
    <row r="6867" spans="1:2" x14ac:dyDescent="0.15">
      <c r="A6867" s="15"/>
      <c r="B6867" s="15"/>
    </row>
    <row r="6868" spans="1:2" x14ac:dyDescent="0.15">
      <c r="A6868" s="15"/>
      <c r="B6868" s="15"/>
    </row>
    <row r="6869" spans="1:2" x14ac:dyDescent="0.15">
      <c r="A6869" s="15"/>
      <c r="B6869" s="15"/>
    </row>
    <row r="6870" spans="1:2" x14ac:dyDescent="0.15">
      <c r="A6870" s="15"/>
      <c r="B6870" s="15"/>
    </row>
    <row r="6871" spans="1:2" x14ac:dyDescent="0.15">
      <c r="A6871" s="15"/>
      <c r="B6871" s="15"/>
    </row>
    <row r="6872" spans="1:2" x14ac:dyDescent="0.15">
      <c r="A6872" s="15"/>
      <c r="B6872" s="15"/>
    </row>
    <row r="6873" spans="1:2" x14ac:dyDescent="0.15">
      <c r="A6873" s="15"/>
      <c r="B6873" s="15"/>
    </row>
    <row r="6874" spans="1:2" x14ac:dyDescent="0.15">
      <c r="A6874" s="15"/>
      <c r="B6874" s="15"/>
    </row>
    <row r="6875" spans="1:2" x14ac:dyDescent="0.15">
      <c r="A6875" s="15"/>
      <c r="B6875" s="15"/>
    </row>
    <row r="6876" spans="1:2" x14ac:dyDescent="0.15">
      <c r="A6876" s="15"/>
      <c r="B6876" s="15"/>
    </row>
    <row r="6877" spans="1:2" x14ac:dyDescent="0.15">
      <c r="A6877" s="15"/>
      <c r="B6877" s="15"/>
    </row>
    <row r="6878" spans="1:2" x14ac:dyDescent="0.15">
      <c r="A6878" s="15"/>
      <c r="B6878" s="15"/>
    </row>
    <row r="6879" spans="1:2" x14ac:dyDescent="0.15">
      <c r="A6879" s="15"/>
      <c r="B6879" s="15"/>
    </row>
    <row r="6880" spans="1:2" x14ac:dyDescent="0.15">
      <c r="A6880" s="15"/>
      <c r="B6880" s="15"/>
    </row>
    <row r="6881" spans="1:2" x14ac:dyDescent="0.15">
      <c r="A6881" s="15"/>
      <c r="B6881" s="15"/>
    </row>
    <row r="6882" spans="1:2" x14ac:dyDescent="0.15">
      <c r="A6882" s="15"/>
      <c r="B6882" s="15"/>
    </row>
    <row r="6883" spans="1:2" x14ac:dyDescent="0.15">
      <c r="A6883" s="15"/>
      <c r="B6883" s="15"/>
    </row>
    <row r="6884" spans="1:2" x14ac:dyDescent="0.15">
      <c r="A6884" s="15"/>
      <c r="B6884" s="15"/>
    </row>
    <row r="6885" spans="1:2" x14ac:dyDescent="0.15">
      <c r="A6885" s="15"/>
      <c r="B6885" s="15"/>
    </row>
    <row r="6886" spans="1:2" x14ac:dyDescent="0.15">
      <c r="A6886" s="15"/>
      <c r="B6886" s="15"/>
    </row>
    <row r="6887" spans="1:2" x14ac:dyDescent="0.15">
      <c r="A6887" s="15"/>
      <c r="B6887" s="15"/>
    </row>
    <row r="6888" spans="1:2" x14ac:dyDescent="0.15">
      <c r="A6888" s="15"/>
      <c r="B6888" s="15"/>
    </row>
    <row r="6889" spans="1:2" x14ac:dyDescent="0.15">
      <c r="A6889" s="15"/>
      <c r="B6889" s="15"/>
    </row>
    <row r="6890" spans="1:2" x14ac:dyDescent="0.15">
      <c r="A6890" s="15"/>
      <c r="B6890" s="15"/>
    </row>
    <row r="6891" spans="1:2" x14ac:dyDescent="0.15">
      <c r="A6891" s="15"/>
      <c r="B6891" s="15"/>
    </row>
    <row r="6892" spans="1:2" x14ac:dyDescent="0.15">
      <c r="A6892" s="15"/>
      <c r="B6892" s="15"/>
    </row>
    <row r="6893" spans="1:2" x14ac:dyDescent="0.15">
      <c r="A6893" s="15"/>
      <c r="B6893" s="15"/>
    </row>
    <row r="6894" spans="1:2" x14ac:dyDescent="0.15">
      <c r="A6894" s="15"/>
      <c r="B6894" s="15"/>
    </row>
    <row r="6895" spans="1:2" x14ac:dyDescent="0.15">
      <c r="A6895" s="15"/>
      <c r="B6895" s="15"/>
    </row>
    <row r="6896" spans="1:2" x14ac:dyDescent="0.15">
      <c r="A6896" s="15"/>
      <c r="B6896" s="15"/>
    </row>
    <row r="6897" spans="1:2" x14ac:dyDescent="0.15">
      <c r="A6897" s="15"/>
      <c r="B6897" s="15"/>
    </row>
    <row r="6898" spans="1:2" x14ac:dyDescent="0.15">
      <c r="A6898" s="15"/>
      <c r="B6898" s="15"/>
    </row>
    <row r="6899" spans="1:2" x14ac:dyDescent="0.15">
      <c r="A6899" s="15"/>
      <c r="B6899" s="15"/>
    </row>
    <row r="6900" spans="1:2" x14ac:dyDescent="0.15">
      <c r="A6900" s="15"/>
      <c r="B6900" s="15"/>
    </row>
    <row r="6901" spans="1:2" x14ac:dyDescent="0.15">
      <c r="A6901" s="15"/>
      <c r="B6901" s="15"/>
    </row>
    <row r="6902" spans="1:2" x14ac:dyDescent="0.15">
      <c r="A6902" s="15"/>
      <c r="B6902" s="15"/>
    </row>
    <row r="6903" spans="1:2" x14ac:dyDescent="0.15">
      <c r="A6903" s="15"/>
      <c r="B6903" s="15"/>
    </row>
    <row r="6904" spans="1:2" x14ac:dyDescent="0.15">
      <c r="A6904" s="15"/>
      <c r="B6904" s="15"/>
    </row>
    <row r="6905" spans="1:2" x14ac:dyDescent="0.15">
      <c r="A6905" s="15"/>
      <c r="B6905" s="15"/>
    </row>
    <row r="6906" spans="1:2" x14ac:dyDescent="0.15">
      <c r="A6906" s="15"/>
      <c r="B6906" s="15"/>
    </row>
    <row r="6907" spans="1:2" x14ac:dyDescent="0.15">
      <c r="A6907" s="15"/>
      <c r="B6907" s="15"/>
    </row>
    <row r="6908" spans="1:2" x14ac:dyDescent="0.15">
      <c r="A6908" s="15"/>
      <c r="B6908" s="15"/>
    </row>
    <row r="6909" spans="1:2" x14ac:dyDescent="0.15">
      <c r="A6909" s="15"/>
      <c r="B6909" s="15"/>
    </row>
    <row r="6910" spans="1:2" x14ac:dyDescent="0.15">
      <c r="A6910" s="15"/>
      <c r="B6910" s="15"/>
    </row>
    <row r="6911" spans="1:2" x14ac:dyDescent="0.15">
      <c r="A6911" s="15"/>
      <c r="B6911" s="15"/>
    </row>
    <row r="6912" spans="1:2" x14ac:dyDescent="0.15">
      <c r="A6912" s="15"/>
      <c r="B6912" s="15"/>
    </row>
    <row r="6913" spans="1:2" x14ac:dyDescent="0.15">
      <c r="A6913" s="15"/>
      <c r="B6913" s="15"/>
    </row>
    <row r="6914" spans="1:2" x14ac:dyDescent="0.15">
      <c r="A6914" s="15"/>
      <c r="B6914" s="15"/>
    </row>
    <row r="6915" spans="1:2" x14ac:dyDescent="0.15">
      <c r="A6915" s="15"/>
      <c r="B6915" s="15"/>
    </row>
    <row r="6916" spans="1:2" x14ac:dyDescent="0.15">
      <c r="A6916" s="15"/>
      <c r="B6916" s="15"/>
    </row>
    <row r="6917" spans="1:2" x14ac:dyDescent="0.15">
      <c r="A6917" s="15"/>
      <c r="B6917" s="15"/>
    </row>
    <row r="6918" spans="1:2" x14ac:dyDescent="0.15">
      <c r="A6918" s="15"/>
      <c r="B6918" s="15"/>
    </row>
    <row r="6919" spans="1:2" x14ac:dyDescent="0.15">
      <c r="A6919" s="15"/>
      <c r="B6919" s="15"/>
    </row>
    <row r="6920" spans="1:2" x14ac:dyDescent="0.15">
      <c r="A6920" s="15"/>
      <c r="B6920" s="15"/>
    </row>
    <row r="6921" spans="1:2" x14ac:dyDescent="0.15">
      <c r="A6921" s="15"/>
      <c r="B6921" s="15"/>
    </row>
    <row r="6922" spans="1:2" x14ac:dyDescent="0.15">
      <c r="A6922" s="15"/>
      <c r="B6922" s="15"/>
    </row>
    <row r="6923" spans="1:2" x14ac:dyDescent="0.15">
      <c r="A6923" s="15"/>
      <c r="B6923" s="15"/>
    </row>
    <row r="6924" spans="1:2" x14ac:dyDescent="0.15">
      <c r="A6924" s="15"/>
      <c r="B6924" s="15"/>
    </row>
    <row r="6925" spans="1:2" x14ac:dyDescent="0.15">
      <c r="A6925" s="15"/>
      <c r="B6925" s="15"/>
    </row>
    <row r="6926" spans="1:2" x14ac:dyDescent="0.15">
      <c r="A6926" s="15"/>
      <c r="B6926" s="15"/>
    </row>
    <row r="6927" spans="1:2" x14ac:dyDescent="0.15">
      <c r="A6927" s="15"/>
      <c r="B6927" s="15"/>
    </row>
    <row r="6928" spans="1:2" x14ac:dyDescent="0.15">
      <c r="A6928" s="15"/>
      <c r="B6928" s="15"/>
    </row>
    <row r="6929" spans="1:2" x14ac:dyDescent="0.15">
      <c r="A6929" s="15"/>
      <c r="B6929" s="15"/>
    </row>
    <row r="6930" spans="1:2" x14ac:dyDescent="0.15">
      <c r="A6930" s="15"/>
      <c r="B6930" s="15"/>
    </row>
    <row r="6931" spans="1:2" x14ac:dyDescent="0.15">
      <c r="A6931" s="15"/>
      <c r="B6931" s="15"/>
    </row>
    <row r="6932" spans="1:2" x14ac:dyDescent="0.15">
      <c r="A6932" s="15"/>
      <c r="B6932" s="15"/>
    </row>
    <row r="6933" spans="1:2" x14ac:dyDescent="0.15">
      <c r="A6933" s="15"/>
      <c r="B6933" s="15"/>
    </row>
    <row r="6934" spans="1:2" x14ac:dyDescent="0.15">
      <c r="A6934" s="15"/>
      <c r="B6934" s="15"/>
    </row>
    <row r="6935" spans="1:2" x14ac:dyDescent="0.15">
      <c r="A6935" s="15"/>
      <c r="B6935" s="15"/>
    </row>
    <row r="6936" spans="1:2" x14ac:dyDescent="0.15">
      <c r="A6936" s="15"/>
      <c r="B6936" s="15"/>
    </row>
    <row r="6937" spans="1:2" x14ac:dyDescent="0.15">
      <c r="A6937" s="15"/>
      <c r="B6937" s="15"/>
    </row>
    <row r="6938" spans="1:2" x14ac:dyDescent="0.15">
      <c r="A6938" s="15"/>
      <c r="B6938" s="15"/>
    </row>
    <row r="6939" spans="1:2" x14ac:dyDescent="0.15">
      <c r="A6939" s="15"/>
      <c r="B6939" s="15"/>
    </row>
    <row r="6940" spans="1:2" x14ac:dyDescent="0.15">
      <c r="A6940" s="15"/>
      <c r="B6940" s="15"/>
    </row>
    <row r="6941" spans="1:2" x14ac:dyDescent="0.15">
      <c r="A6941" s="15"/>
      <c r="B6941" s="15"/>
    </row>
    <row r="6942" spans="1:2" x14ac:dyDescent="0.15">
      <c r="A6942" s="15"/>
      <c r="B6942" s="15"/>
    </row>
    <row r="6943" spans="1:2" x14ac:dyDescent="0.15">
      <c r="A6943" s="15"/>
      <c r="B6943" s="15"/>
    </row>
    <row r="6944" spans="1:2" x14ac:dyDescent="0.15">
      <c r="A6944" s="15"/>
      <c r="B6944" s="15"/>
    </row>
    <row r="6945" spans="1:2" x14ac:dyDescent="0.15">
      <c r="A6945" s="15"/>
      <c r="B6945" s="15"/>
    </row>
    <row r="6946" spans="1:2" x14ac:dyDescent="0.15">
      <c r="A6946" s="15"/>
      <c r="B6946" s="15"/>
    </row>
    <row r="6947" spans="1:2" x14ac:dyDescent="0.15">
      <c r="A6947" s="15"/>
      <c r="B6947" s="15"/>
    </row>
    <row r="6948" spans="1:2" x14ac:dyDescent="0.15">
      <c r="A6948" s="15"/>
      <c r="B6948" s="15"/>
    </row>
    <row r="6949" spans="1:2" x14ac:dyDescent="0.15">
      <c r="A6949" s="15"/>
      <c r="B6949" s="15"/>
    </row>
    <row r="6950" spans="1:2" x14ac:dyDescent="0.15">
      <c r="A6950" s="15"/>
      <c r="B6950" s="15"/>
    </row>
    <row r="6951" spans="1:2" x14ac:dyDescent="0.15">
      <c r="A6951" s="15"/>
      <c r="B6951" s="15"/>
    </row>
    <row r="6952" spans="1:2" x14ac:dyDescent="0.15">
      <c r="A6952" s="15"/>
      <c r="B6952" s="15"/>
    </row>
    <row r="6953" spans="1:2" x14ac:dyDescent="0.15">
      <c r="A6953" s="15"/>
      <c r="B6953" s="15"/>
    </row>
    <row r="6954" spans="1:2" x14ac:dyDescent="0.15">
      <c r="A6954" s="15"/>
      <c r="B6954" s="15"/>
    </row>
    <row r="6955" spans="1:2" x14ac:dyDescent="0.15">
      <c r="A6955" s="15"/>
      <c r="B6955" s="15"/>
    </row>
    <row r="6956" spans="1:2" x14ac:dyDescent="0.15">
      <c r="A6956" s="15"/>
      <c r="B6956" s="15"/>
    </row>
    <row r="6957" spans="1:2" x14ac:dyDescent="0.15">
      <c r="A6957" s="15"/>
      <c r="B6957" s="15"/>
    </row>
    <row r="6958" spans="1:2" x14ac:dyDescent="0.15">
      <c r="A6958" s="15"/>
      <c r="B6958" s="15"/>
    </row>
    <row r="6959" spans="1:2" x14ac:dyDescent="0.15">
      <c r="A6959" s="15"/>
      <c r="B6959" s="15"/>
    </row>
    <row r="6960" spans="1:2" x14ac:dyDescent="0.15">
      <c r="A6960" s="15"/>
      <c r="B6960" s="15"/>
    </row>
    <row r="6961" spans="1:2" x14ac:dyDescent="0.15">
      <c r="A6961" s="15"/>
      <c r="B6961" s="15"/>
    </row>
    <row r="6962" spans="1:2" x14ac:dyDescent="0.15">
      <c r="A6962" s="15"/>
      <c r="B6962" s="15"/>
    </row>
    <row r="6963" spans="1:2" x14ac:dyDescent="0.15">
      <c r="A6963" s="15"/>
      <c r="B6963" s="15"/>
    </row>
    <row r="6964" spans="1:2" x14ac:dyDescent="0.15">
      <c r="A6964" s="15"/>
      <c r="B6964" s="15"/>
    </row>
    <row r="6965" spans="1:2" x14ac:dyDescent="0.15">
      <c r="A6965" s="15"/>
      <c r="B6965" s="15"/>
    </row>
    <row r="6966" spans="1:2" x14ac:dyDescent="0.15">
      <c r="A6966" s="15"/>
      <c r="B6966" s="15"/>
    </row>
    <row r="6967" spans="1:2" x14ac:dyDescent="0.15">
      <c r="A6967" s="15"/>
      <c r="B6967" s="15"/>
    </row>
    <row r="6968" spans="1:2" x14ac:dyDescent="0.15">
      <c r="A6968" s="15"/>
      <c r="B6968" s="15"/>
    </row>
    <row r="6969" spans="1:2" x14ac:dyDescent="0.15">
      <c r="A6969" s="15"/>
      <c r="B6969" s="15"/>
    </row>
    <row r="6970" spans="1:2" x14ac:dyDescent="0.15">
      <c r="A6970" s="15"/>
      <c r="B6970" s="15"/>
    </row>
    <row r="6971" spans="1:2" x14ac:dyDescent="0.15">
      <c r="A6971" s="15"/>
      <c r="B6971" s="15"/>
    </row>
    <row r="6972" spans="1:2" x14ac:dyDescent="0.15">
      <c r="A6972" s="15"/>
      <c r="B6972" s="15"/>
    </row>
    <row r="6973" spans="1:2" x14ac:dyDescent="0.15">
      <c r="A6973" s="15"/>
      <c r="B6973" s="15"/>
    </row>
    <row r="6974" spans="1:2" x14ac:dyDescent="0.15">
      <c r="A6974" s="15"/>
      <c r="B6974" s="15"/>
    </row>
    <row r="6975" spans="1:2" x14ac:dyDescent="0.15">
      <c r="A6975" s="15"/>
      <c r="B6975" s="15"/>
    </row>
    <row r="6976" spans="1:2" x14ac:dyDescent="0.15">
      <c r="A6976" s="15"/>
      <c r="B6976" s="15"/>
    </row>
    <row r="6977" spans="1:2" x14ac:dyDescent="0.15">
      <c r="A6977" s="15"/>
      <c r="B6977" s="15"/>
    </row>
    <row r="6978" spans="1:2" x14ac:dyDescent="0.15">
      <c r="A6978" s="15"/>
      <c r="B6978" s="15"/>
    </row>
    <row r="6979" spans="1:2" x14ac:dyDescent="0.15">
      <c r="A6979" s="15"/>
      <c r="B6979" s="15"/>
    </row>
    <row r="6980" spans="1:2" x14ac:dyDescent="0.15">
      <c r="A6980" s="15"/>
      <c r="B6980" s="15"/>
    </row>
    <row r="6981" spans="1:2" x14ac:dyDescent="0.15">
      <c r="A6981" s="15"/>
      <c r="B6981" s="15"/>
    </row>
    <row r="6982" spans="1:2" x14ac:dyDescent="0.15">
      <c r="A6982" s="15"/>
      <c r="B6982" s="15"/>
    </row>
    <row r="6983" spans="1:2" x14ac:dyDescent="0.15">
      <c r="A6983" s="15"/>
      <c r="B6983" s="15"/>
    </row>
    <row r="6984" spans="1:2" x14ac:dyDescent="0.15">
      <c r="A6984" s="15"/>
      <c r="B6984" s="15"/>
    </row>
    <row r="6985" spans="1:2" x14ac:dyDescent="0.15">
      <c r="A6985" s="15"/>
      <c r="B6985" s="15"/>
    </row>
    <row r="6986" spans="1:2" x14ac:dyDescent="0.15">
      <c r="A6986" s="15"/>
      <c r="B6986" s="15"/>
    </row>
    <row r="6987" spans="1:2" x14ac:dyDescent="0.15">
      <c r="A6987" s="15"/>
      <c r="B6987" s="15"/>
    </row>
    <row r="6988" spans="1:2" x14ac:dyDescent="0.15">
      <c r="A6988" s="15"/>
      <c r="B6988" s="15"/>
    </row>
    <row r="6989" spans="1:2" x14ac:dyDescent="0.15">
      <c r="A6989" s="15"/>
      <c r="B6989" s="15"/>
    </row>
    <row r="6990" spans="1:2" x14ac:dyDescent="0.15">
      <c r="A6990" s="15"/>
      <c r="B6990" s="15"/>
    </row>
    <row r="6991" spans="1:2" x14ac:dyDescent="0.15">
      <c r="A6991" s="15"/>
      <c r="B6991" s="15"/>
    </row>
    <row r="6992" spans="1:2" x14ac:dyDescent="0.15">
      <c r="A6992" s="15"/>
      <c r="B6992" s="15"/>
    </row>
    <row r="6993" spans="1:2" x14ac:dyDescent="0.15">
      <c r="A6993" s="15"/>
      <c r="B6993" s="15"/>
    </row>
    <row r="6994" spans="1:2" x14ac:dyDescent="0.15">
      <c r="A6994" s="15"/>
      <c r="B6994" s="15"/>
    </row>
    <row r="6995" spans="1:2" x14ac:dyDescent="0.15">
      <c r="A6995" s="15"/>
      <c r="B6995" s="15"/>
    </row>
    <row r="6996" spans="1:2" x14ac:dyDescent="0.15">
      <c r="A6996" s="15"/>
      <c r="B6996" s="15"/>
    </row>
    <row r="6997" spans="1:2" x14ac:dyDescent="0.15">
      <c r="A6997" s="15"/>
      <c r="B6997" s="15"/>
    </row>
    <row r="6998" spans="1:2" x14ac:dyDescent="0.15">
      <c r="A6998" s="15"/>
      <c r="B6998" s="15"/>
    </row>
    <row r="6999" spans="1:2" x14ac:dyDescent="0.15">
      <c r="A6999" s="15"/>
      <c r="B6999" s="15"/>
    </row>
    <row r="7000" spans="1:2" x14ac:dyDescent="0.15">
      <c r="A7000" s="15"/>
      <c r="B7000" s="15"/>
    </row>
    <row r="7001" spans="1:2" x14ac:dyDescent="0.15">
      <c r="A7001" s="15"/>
      <c r="B7001" s="15"/>
    </row>
    <row r="7002" spans="1:2" x14ac:dyDescent="0.15">
      <c r="A7002" s="15"/>
      <c r="B7002" s="15"/>
    </row>
    <row r="7003" spans="1:2" x14ac:dyDescent="0.15">
      <c r="A7003" s="15"/>
      <c r="B7003" s="15"/>
    </row>
    <row r="7004" spans="1:2" x14ac:dyDescent="0.15">
      <c r="A7004" s="15"/>
      <c r="B7004" s="15"/>
    </row>
    <row r="7005" spans="1:2" x14ac:dyDescent="0.15">
      <c r="A7005" s="15"/>
      <c r="B7005" s="15"/>
    </row>
    <row r="7006" spans="1:2" x14ac:dyDescent="0.15">
      <c r="A7006" s="15"/>
      <c r="B7006" s="15"/>
    </row>
    <row r="7007" spans="1:2" x14ac:dyDescent="0.15">
      <c r="A7007" s="15"/>
      <c r="B7007" s="15"/>
    </row>
    <row r="7008" spans="1:2" x14ac:dyDescent="0.15">
      <c r="A7008" s="15"/>
      <c r="B7008" s="15"/>
    </row>
    <row r="7009" spans="1:2" x14ac:dyDescent="0.15">
      <c r="A7009" s="15"/>
      <c r="B7009" s="15"/>
    </row>
    <row r="7010" spans="1:2" x14ac:dyDescent="0.15">
      <c r="A7010" s="15"/>
      <c r="B7010" s="15"/>
    </row>
    <row r="7011" spans="1:2" x14ac:dyDescent="0.15">
      <c r="A7011" s="15"/>
      <c r="B7011" s="15"/>
    </row>
    <row r="7012" spans="1:2" x14ac:dyDescent="0.15">
      <c r="A7012" s="15"/>
      <c r="B7012" s="15"/>
    </row>
    <row r="7013" spans="1:2" x14ac:dyDescent="0.15">
      <c r="A7013" s="15"/>
      <c r="B7013" s="15"/>
    </row>
    <row r="7014" spans="1:2" x14ac:dyDescent="0.15">
      <c r="A7014" s="15"/>
      <c r="B7014" s="15"/>
    </row>
    <row r="7015" spans="1:2" x14ac:dyDescent="0.15">
      <c r="A7015" s="15"/>
      <c r="B7015" s="15"/>
    </row>
    <row r="7016" spans="1:2" x14ac:dyDescent="0.15">
      <c r="A7016" s="15"/>
      <c r="B7016" s="15"/>
    </row>
    <row r="7017" spans="1:2" x14ac:dyDescent="0.15">
      <c r="A7017" s="15"/>
      <c r="B7017" s="15"/>
    </row>
    <row r="7018" spans="1:2" x14ac:dyDescent="0.15">
      <c r="A7018" s="15"/>
      <c r="B7018" s="15"/>
    </row>
    <row r="7019" spans="1:2" x14ac:dyDescent="0.15">
      <c r="A7019" s="15"/>
      <c r="B7019" s="15"/>
    </row>
    <row r="7020" spans="1:2" x14ac:dyDescent="0.15">
      <c r="A7020" s="15"/>
      <c r="B7020" s="15"/>
    </row>
    <row r="7021" spans="1:2" x14ac:dyDescent="0.15">
      <c r="A7021" s="15"/>
      <c r="B7021" s="15"/>
    </row>
    <row r="7022" spans="1:2" x14ac:dyDescent="0.15">
      <c r="A7022" s="15"/>
      <c r="B7022" s="15"/>
    </row>
    <row r="7023" spans="1:2" x14ac:dyDescent="0.15">
      <c r="A7023" s="15"/>
      <c r="B7023" s="15"/>
    </row>
    <row r="7024" spans="1:2" x14ac:dyDescent="0.15">
      <c r="A7024" s="15"/>
      <c r="B7024" s="15"/>
    </row>
    <row r="7025" spans="1:2" x14ac:dyDescent="0.15">
      <c r="A7025" s="15"/>
      <c r="B7025" s="15"/>
    </row>
    <row r="7026" spans="1:2" x14ac:dyDescent="0.15">
      <c r="A7026" s="15"/>
      <c r="B7026" s="15"/>
    </row>
    <row r="7027" spans="1:2" x14ac:dyDescent="0.15">
      <c r="A7027" s="15"/>
      <c r="B7027" s="15"/>
    </row>
    <row r="7028" spans="1:2" x14ac:dyDescent="0.15">
      <c r="A7028" s="15"/>
      <c r="B7028" s="15"/>
    </row>
    <row r="7029" spans="1:2" x14ac:dyDescent="0.15">
      <c r="A7029" s="15"/>
      <c r="B7029" s="15"/>
    </row>
    <row r="7030" spans="1:2" x14ac:dyDescent="0.15">
      <c r="A7030" s="15"/>
      <c r="B7030" s="15"/>
    </row>
    <row r="7031" spans="1:2" x14ac:dyDescent="0.15">
      <c r="A7031" s="15"/>
      <c r="B7031" s="15"/>
    </row>
    <row r="7032" spans="1:2" x14ac:dyDescent="0.15">
      <c r="A7032" s="15"/>
      <c r="B7032" s="15"/>
    </row>
    <row r="7033" spans="1:2" x14ac:dyDescent="0.15">
      <c r="A7033" s="15"/>
      <c r="B7033" s="15"/>
    </row>
    <row r="7034" spans="1:2" x14ac:dyDescent="0.15">
      <c r="A7034" s="15"/>
      <c r="B7034" s="15"/>
    </row>
    <row r="7035" spans="1:2" x14ac:dyDescent="0.15">
      <c r="A7035" s="15"/>
      <c r="B7035" s="15"/>
    </row>
    <row r="7036" spans="1:2" x14ac:dyDescent="0.15">
      <c r="A7036" s="15"/>
      <c r="B7036" s="15"/>
    </row>
    <row r="7037" spans="1:2" x14ac:dyDescent="0.15">
      <c r="A7037" s="15"/>
      <c r="B7037" s="15"/>
    </row>
    <row r="7038" spans="1:2" x14ac:dyDescent="0.15">
      <c r="A7038" s="15"/>
      <c r="B7038" s="15"/>
    </row>
    <row r="7039" spans="1:2" x14ac:dyDescent="0.15">
      <c r="A7039" s="15"/>
      <c r="B7039" s="15"/>
    </row>
    <row r="7040" spans="1:2" x14ac:dyDescent="0.15">
      <c r="A7040" s="15"/>
      <c r="B7040" s="15"/>
    </row>
    <row r="7041" spans="1:2" x14ac:dyDescent="0.15">
      <c r="A7041" s="15"/>
      <c r="B7041" s="15"/>
    </row>
    <row r="7042" spans="1:2" x14ac:dyDescent="0.15">
      <c r="A7042" s="15"/>
      <c r="B7042" s="15"/>
    </row>
    <row r="7043" spans="1:2" x14ac:dyDescent="0.15">
      <c r="A7043" s="15"/>
      <c r="B7043" s="15"/>
    </row>
    <row r="7044" spans="1:2" x14ac:dyDescent="0.15">
      <c r="A7044" s="15"/>
      <c r="B7044" s="15"/>
    </row>
    <row r="7045" spans="1:2" x14ac:dyDescent="0.15">
      <c r="A7045" s="15"/>
      <c r="B7045" s="15"/>
    </row>
    <row r="7046" spans="1:2" x14ac:dyDescent="0.15">
      <c r="A7046" s="15"/>
      <c r="B7046" s="15"/>
    </row>
    <row r="7047" spans="1:2" x14ac:dyDescent="0.15">
      <c r="A7047" s="15"/>
      <c r="B7047" s="15"/>
    </row>
    <row r="7048" spans="1:2" x14ac:dyDescent="0.15">
      <c r="A7048" s="15"/>
      <c r="B7048" s="15"/>
    </row>
    <row r="7049" spans="1:2" x14ac:dyDescent="0.15">
      <c r="A7049" s="15"/>
      <c r="B7049" s="15"/>
    </row>
    <row r="7050" spans="1:2" x14ac:dyDescent="0.15">
      <c r="A7050" s="15"/>
      <c r="B7050" s="15"/>
    </row>
    <row r="7051" spans="1:2" x14ac:dyDescent="0.15">
      <c r="A7051" s="15"/>
      <c r="B7051" s="15"/>
    </row>
    <row r="7052" spans="1:2" x14ac:dyDescent="0.15">
      <c r="A7052" s="15"/>
      <c r="B7052" s="15"/>
    </row>
    <row r="7053" spans="1:2" x14ac:dyDescent="0.15">
      <c r="A7053" s="15"/>
      <c r="B7053" s="15"/>
    </row>
    <row r="7054" spans="1:2" x14ac:dyDescent="0.15">
      <c r="A7054" s="15"/>
      <c r="B7054" s="15"/>
    </row>
    <row r="7055" spans="1:2" x14ac:dyDescent="0.15">
      <c r="A7055" s="15"/>
      <c r="B7055" s="15"/>
    </row>
    <row r="7056" spans="1:2" x14ac:dyDescent="0.15">
      <c r="A7056" s="15"/>
      <c r="B7056" s="15"/>
    </row>
    <row r="7057" spans="1:2" x14ac:dyDescent="0.15">
      <c r="A7057" s="15"/>
      <c r="B7057" s="15"/>
    </row>
    <row r="7058" spans="1:2" x14ac:dyDescent="0.15">
      <c r="A7058" s="15"/>
      <c r="B7058" s="15"/>
    </row>
    <row r="7059" spans="1:2" x14ac:dyDescent="0.15">
      <c r="A7059" s="15"/>
      <c r="B7059" s="15"/>
    </row>
    <row r="7060" spans="1:2" x14ac:dyDescent="0.15">
      <c r="A7060" s="15"/>
      <c r="B7060" s="15"/>
    </row>
    <row r="7061" spans="1:2" x14ac:dyDescent="0.15">
      <c r="A7061" s="15"/>
      <c r="B7061" s="15"/>
    </row>
    <row r="7062" spans="1:2" x14ac:dyDescent="0.15">
      <c r="A7062" s="15"/>
      <c r="B7062" s="15"/>
    </row>
    <row r="7063" spans="1:2" x14ac:dyDescent="0.15">
      <c r="A7063" s="15"/>
      <c r="B7063" s="15"/>
    </row>
    <row r="7064" spans="1:2" x14ac:dyDescent="0.15">
      <c r="A7064" s="15"/>
      <c r="B7064" s="15"/>
    </row>
    <row r="7065" spans="1:2" x14ac:dyDescent="0.15">
      <c r="A7065" s="15"/>
      <c r="B7065" s="15"/>
    </row>
    <row r="7066" spans="1:2" x14ac:dyDescent="0.15">
      <c r="A7066" s="15"/>
      <c r="B7066" s="15"/>
    </row>
    <row r="7067" spans="1:2" x14ac:dyDescent="0.15">
      <c r="A7067" s="15"/>
      <c r="B7067" s="15"/>
    </row>
    <row r="7068" spans="1:2" x14ac:dyDescent="0.15">
      <c r="A7068" s="15"/>
      <c r="B7068" s="15"/>
    </row>
    <row r="7069" spans="1:2" x14ac:dyDescent="0.15">
      <c r="A7069" s="15"/>
      <c r="B7069" s="15"/>
    </row>
    <row r="7070" spans="1:2" x14ac:dyDescent="0.15">
      <c r="A7070" s="15"/>
      <c r="B7070" s="15"/>
    </row>
    <row r="7071" spans="1:2" x14ac:dyDescent="0.15">
      <c r="A7071" s="15"/>
      <c r="B7071" s="15"/>
    </row>
    <row r="7072" spans="1:2" x14ac:dyDescent="0.15">
      <c r="A7072" s="15"/>
      <c r="B7072" s="15"/>
    </row>
    <row r="7073" spans="1:2" x14ac:dyDescent="0.15">
      <c r="A7073" s="15"/>
      <c r="B7073" s="15"/>
    </row>
    <row r="7074" spans="1:2" x14ac:dyDescent="0.15">
      <c r="A7074" s="15"/>
      <c r="B7074" s="15"/>
    </row>
    <row r="7075" spans="1:2" x14ac:dyDescent="0.15">
      <c r="A7075" s="15"/>
      <c r="B7075" s="15"/>
    </row>
    <row r="7076" spans="1:2" x14ac:dyDescent="0.15">
      <c r="A7076" s="15"/>
      <c r="B7076" s="15"/>
    </row>
    <row r="7077" spans="1:2" x14ac:dyDescent="0.15">
      <c r="A7077" s="15"/>
      <c r="B7077" s="15"/>
    </row>
    <row r="7078" spans="1:2" x14ac:dyDescent="0.15">
      <c r="A7078" s="15"/>
      <c r="B7078" s="15"/>
    </row>
    <row r="7079" spans="1:2" x14ac:dyDescent="0.15">
      <c r="A7079" s="15"/>
      <c r="B7079" s="15"/>
    </row>
    <row r="7080" spans="1:2" x14ac:dyDescent="0.15">
      <c r="A7080" s="15"/>
      <c r="B7080" s="15"/>
    </row>
    <row r="7081" spans="1:2" x14ac:dyDescent="0.15">
      <c r="A7081" s="15"/>
      <c r="B7081" s="15"/>
    </row>
    <row r="7082" spans="1:2" x14ac:dyDescent="0.15">
      <c r="A7082" s="15"/>
      <c r="B7082" s="15"/>
    </row>
    <row r="7083" spans="1:2" x14ac:dyDescent="0.15">
      <c r="A7083" s="15"/>
      <c r="B7083" s="15"/>
    </row>
    <row r="7084" spans="1:2" x14ac:dyDescent="0.15">
      <c r="A7084" s="15"/>
      <c r="B7084" s="15"/>
    </row>
    <row r="7085" spans="1:2" x14ac:dyDescent="0.15">
      <c r="A7085" s="15"/>
      <c r="B7085" s="15"/>
    </row>
    <row r="7086" spans="1:2" x14ac:dyDescent="0.15">
      <c r="A7086" s="15"/>
      <c r="B7086" s="15"/>
    </row>
    <row r="7087" spans="1:2" x14ac:dyDescent="0.15">
      <c r="A7087" s="15"/>
      <c r="B7087" s="15"/>
    </row>
    <row r="7088" spans="1:2" x14ac:dyDescent="0.15">
      <c r="A7088" s="15"/>
      <c r="B7088" s="15"/>
    </row>
    <row r="7089" spans="1:2" x14ac:dyDescent="0.15">
      <c r="A7089" s="15"/>
      <c r="B7089" s="15"/>
    </row>
    <row r="7090" spans="1:2" x14ac:dyDescent="0.15">
      <c r="A7090" s="15"/>
      <c r="B7090" s="15"/>
    </row>
    <row r="7091" spans="1:2" x14ac:dyDescent="0.15">
      <c r="A7091" s="15"/>
      <c r="B7091" s="15"/>
    </row>
    <row r="7092" spans="1:2" x14ac:dyDescent="0.15">
      <c r="A7092" s="15"/>
      <c r="B7092" s="15"/>
    </row>
    <row r="7093" spans="1:2" x14ac:dyDescent="0.15">
      <c r="A7093" s="15"/>
      <c r="B7093" s="15"/>
    </row>
    <row r="7094" spans="1:2" x14ac:dyDescent="0.15">
      <c r="A7094" s="15"/>
      <c r="B7094" s="15"/>
    </row>
    <row r="7095" spans="1:2" x14ac:dyDescent="0.15">
      <c r="A7095" s="15"/>
      <c r="B7095" s="15"/>
    </row>
    <row r="7096" spans="1:2" x14ac:dyDescent="0.15">
      <c r="A7096" s="15"/>
      <c r="B7096" s="15"/>
    </row>
    <row r="7097" spans="1:2" x14ac:dyDescent="0.15">
      <c r="A7097" s="15"/>
      <c r="B7097" s="15"/>
    </row>
    <row r="7098" spans="1:2" x14ac:dyDescent="0.15">
      <c r="A7098" s="15"/>
      <c r="B7098" s="15"/>
    </row>
    <row r="7099" spans="1:2" x14ac:dyDescent="0.15">
      <c r="A7099" s="15"/>
      <c r="B7099" s="15"/>
    </row>
    <row r="7100" spans="1:2" x14ac:dyDescent="0.15">
      <c r="A7100" s="15"/>
      <c r="B7100" s="15"/>
    </row>
    <row r="7101" spans="1:2" x14ac:dyDescent="0.15">
      <c r="A7101" s="15"/>
      <c r="B7101" s="15"/>
    </row>
    <row r="7102" spans="1:2" x14ac:dyDescent="0.15">
      <c r="A7102" s="15"/>
      <c r="B7102" s="15"/>
    </row>
    <row r="7103" spans="1:2" x14ac:dyDescent="0.15">
      <c r="A7103" s="15"/>
      <c r="B7103" s="15"/>
    </row>
    <row r="7104" spans="1:2" x14ac:dyDescent="0.15">
      <c r="A7104" s="15"/>
      <c r="B7104" s="15"/>
    </row>
    <row r="7105" spans="1:2" x14ac:dyDescent="0.15">
      <c r="A7105" s="15"/>
      <c r="B7105" s="15"/>
    </row>
    <row r="7106" spans="1:2" x14ac:dyDescent="0.15">
      <c r="A7106" s="15"/>
      <c r="B7106" s="15"/>
    </row>
    <row r="7107" spans="1:2" x14ac:dyDescent="0.15">
      <c r="A7107" s="15"/>
      <c r="B7107" s="15"/>
    </row>
    <row r="7108" spans="1:2" x14ac:dyDescent="0.15">
      <c r="A7108" s="15"/>
      <c r="B7108" s="15"/>
    </row>
    <row r="7109" spans="1:2" x14ac:dyDescent="0.15">
      <c r="A7109" s="15"/>
      <c r="B7109" s="15"/>
    </row>
    <row r="7110" spans="1:2" x14ac:dyDescent="0.15">
      <c r="A7110" s="15"/>
      <c r="B7110" s="15"/>
    </row>
    <row r="7111" spans="1:2" x14ac:dyDescent="0.15">
      <c r="A7111" s="15"/>
      <c r="B7111" s="15"/>
    </row>
    <row r="7112" spans="1:2" x14ac:dyDescent="0.15">
      <c r="A7112" s="15"/>
      <c r="B7112" s="15"/>
    </row>
    <row r="7113" spans="1:2" x14ac:dyDescent="0.15">
      <c r="A7113" s="15"/>
      <c r="B7113" s="15"/>
    </row>
    <row r="7114" spans="1:2" x14ac:dyDescent="0.15">
      <c r="A7114" s="15"/>
      <c r="B7114" s="15"/>
    </row>
    <row r="7115" spans="1:2" x14ac:dyDescent="0.15">
      <c r="A7115" s="15"/>
      <c r="B7115" s="15"/>
    </row>
    <row r="7116" spans="1:2" x14ac:dyDescent="0.15">
      <c r="A7116" s="15"/>
      <c r="B7116" s="15"/>
    </row>
    <row r="7117" spans="1:2" x14ac:dyDescent="0.15">
      <c r="A7117" s="15"/>
      <c r="B7117" s="15"/>
    </row>
    <row r="7118" spans="1:2" x14ac:dyDescent="0.15">
      <c r="A7118" s="15"/>
      <c r="B7118" s="15"/>
    </row>
    <row r="7119" spans="1:2" x14ac:dyDescent="0.15">
      <c r="A7119" s="15"/>
      <c r="B7119" s="15"/>
    </row>
    <row r="7120" spans="1:2" x14ac:dyDescent="0.15">
      <c r="A7120" s="15"/>
      <c r="B7120" s="15"/>
    </row>
    <row r="7121" spans="1:2" x14ac:dyDescent="0.15">
      <c r="A7121" s="15"/>
      <c r="B7121" s="15"/>
    </row>
    <row r="7122" spans="1:2" x14ac:dyDescent="0.15">
      <c r="A7122" s="15"/>
      <c r="B7122" s="15"/>
    </row>
    <row r="7123" spans="1:2" x14ac:dyDescent="0.15">
      <c r="A7123" s="15"/>
      <c r="B7123" s="15"/>
    </row>
    <row r="7124" spans="1:2" x14ac:dyDescent="0.15">
      <c r="A7124" s="15"/>
      <c r="B7124" s="15"/>
    </row>
    <row r="7125" spans="1:2" x14ac:dyDescent="0.15">
      <c r="A7125" s="15"/>
      <c r="B7125" s="15"/>
    </row>
    <row r="7126" spans="1:2" x14ac:dyDescent="0.15">
      <c r="A7126" s="15"/>
      <c r="B7126" s="15"/>
    </row>
    <row r="7127" spans="1:2" x14ac:dyDescent="0.15">
      <c r="A7127" s="15"/>
      <c r="B7127" s="15"/>
    </row>
    <row r="7128" spans="1:2" x14ac:dyDescent="0.15">
      <c r="A7128" s="15"/>
      <c r="B7128" s="15"/>
    </row>
    <row r="7129" spans="1:2" x14ac:dyDescent="0.15">
      <c r="A7129" s="15"/>
      <c r="B7129" s="15"/>
    </row>
    <row r="7130" spans="1:2" x14ac:dyDescent="0.15">
      <c r="A7130" s="15"/>
      <c r="B7130" s="15"/>
    </row>
    <row r="7131" spans="1:2" x14ac:dyDescent="0.15">
      <c r="A7131" s="15"/>
      <c r="B7131" s="15"/>
    </row>
    <row r="7132" spans="1:2" x14ac:dyDescent="0.15">
      <c r="A7132" s="15"/>
      <c r="B7132" s="15"/>
    </row>
    <row r="7133" spans="1:2" x14ac:dyDescent="0.15">
      <c r="A7133" s="15"/>
      <c r="B7133" s="15"/>
    </row>
    <row r="7134" spans="1:2" x14ac:dyDescent="0.15">
      <c r="A7134" s="15"/>
      <c r="B7134" s="15"/>
    </row>
    <row r="7135" spans="1:2" x14ac:dyDescent="0.15">
      <c r="A7135" s="15"/>
      <c r="B7135" s="15"/>
    </row>
    <row r="7136" spans="1:2" x14ac:dyDescent="0.15">
      <c r="A7136" s="15"/>
      <c r="B7136" s="15"/>
    </row>
    <row r="7137" spans="1:2" x14ac:dyDescent="0.15">
      <c r="A7137" s="15"/>
      <c r="B7137" s="15"/>
    </row>
    <row r="7138" spans="1:2" x14ac:dyDescent="0.15">
      <c r="A7138" s="15"/>
      <c r="B7138" s="15"/>
    </row>
    <row r="7139" spans="1:2" x14ac:dyDescent="0.15">
      <c r="A7139" s="15"/>
      <c r="B7139" s="15"/>
    </row>
    <row r="7140" spans="1:2" x14ac:dyDescent="0.15">
      <c r="A7140" s="15"/>
      <c r="B7140" s="15"/>
    </row>
    <row r="7141" spans="1:2" x14ac:dyDescent="0.15">
      <c r="A7141" s="15"/>
      <c r="B7141" s="15"/>
    </row>
    <row r="7142" spans="1:2" x14ac:dyDescent="0.15">
      <c r="A7142" s="15"/>
      <c r="B7142" s="15"/>
    </row>
    <row r="7143" spans="1:2" x14ac:dyDescent="0.15">
      <c r="A7143" s="15"/>
      <c r="B7143" s="15"/>
    </row>
    <row r="7144" spans="1:2" x14ac:dyDescent="0.15">
      <c r="A7144" s="15"/>
      <c r="B7144" s="15"/>
    </row>
    <row r="7145" spans="1:2" x14ac:dyDescent="0.15">
      <c r="A7145" s="15"/>
      <c r="B7145" s="15"/>
    </row>
    <row r="7146" spans="1:2" x14ac:dyDescent="0.15">
      <c r="A7146" s="15"/>
      <c r="B7146" s="15"/>
    </row>
    <row r="7147" spans="1:2" x14ac:dyDescent="0.15">
      <c r="A7147" s="15"/>
      <c r="B7147" s="15"/>
    </row>
    <row r="7148" spans="1:2" x14ac:dyDescent="0.15">
      <c r="A7148" s="15"/>
      <c r="B7148" s="15"/>
    </row>
    <row r="7149" spans="1:2" x14ac:dyDescent="0.15">
      <c r="A7149" s="15"/>
      <c r="B7149" s="15"/>
    </row>
    <row r="7150" spans="1:2" x14ac:dyDescent="0.15">
      <c r="A7150" s="15"/>
      <c r="B7150" s="15"/>
    </row>
    <row r="7151" spans="1:2" x14ac:dyDescent="0.15">
      <c r="A7151" s="15"/>
      <c r="B7151" s="15"/>
    </row>
    <row r="7152" spans="1:2" x14ac:dyDescent="0.15">
      <c r="A7152" s="15"/>
      <c r="B7152" s="15"/>
    </row>
    <row r="7153" spans="1:2" x14ac:dyDescent="0.15">
      <c r="A7153" s="15"/>
      <c r="B7153" s="15"/>
    </row>
    <row r="7154" spans="1:2" x14ac:dyDescent="0.15">
      <c r="A7154" s="15"/>
      <c r="B7154" s="15"/>
    </row>
    <row r="7155" spans="1:2" x14ac:dyDescent="0.15">
      <c r="A7155" s="15"/>
      <c r="B7155" s="15"/>
    </row>
    <row r="7156" spans="1:2" x14ac:dyDescent="0.15">
      <c r="A7156" s="15"/>
      <c r="B7156" s="15"/>
    </row>
    <row r="7157" spans="1:2" x14ac:dyDescent="0.15">
      <c r="A7157" s="15"/>
      <c r="B7157" s="15"/>
    </row>
    <row r="7158" spans="1:2" x14ac:dyDescent="0.15">
      <c r="A7158" s="15"/>
      <c r="B7158" s="15"/>
    </row>
    <row r="7159" spans="1:2" x14ac:dyDescent="0.15">
      <c r="A7159" s="15"/>
      <c r="B7159" s="15"/>
    </row>
    <row r="7160" spans="1:2" x14ac:dyDescent="0.15">
      <c r="A7160" s="15"/>
      <c r="B7160" s="15"/>
    </row>
    <row r="7161" spans="1:2" x14ac:dyDescent="0.15">
      <c r="A7161" s="15"/>
      <c r="B7161" s="15"/>
    </row>
    <row r="7162" spans="1:2" x14ac:dyDescent="0.15">
      <c r="A7162" s="15"/>
      <c r="B7162" s="15"/>
    </row>
    <row r="7163" spans="1:2" x14ac:dyDescent="0.15">
      <c r="A7163" s="15"/>
      <c r="B7163" s="15"/>
    </row>
    <row r="7164" spans="1:2" x14ac:dyDescent="0.15">
      <c r="A7164" s="15"/>
      <c r="B7164" s="15"/>
    </row>
    <row r="7165" spans="1:2" x14ac:dyDescent="0.15">
      <c r="A7165" s="15"/>
      <c r="B7165" s="15"/>
    </row>
    <row r="7166" spans="1:2" x14ac:dyDescent="0.15">
      <c r="A7166" s="15"/>
      <c r="B7166" s="15"/>
    </row>
    <row r="7167" spans="1:2" x14ac:dyDescent="0.15">
      <c r="A7167" s="15"/>
      <c r="B7167" s="15"/>
    </row>
    <row r="7168" spans="1:2" x14ac:dyDescent="0.15">
      <c r="A7168" s="15"/>
      <c r="B7168" s="15"/>
    </row>
    <row r="7169" spans="1:2" x14ac:dyDescent="0.15">
      <c r="A7169" s="15"/>
      <c r="B7169" s="15"/>
    </row>
    <row r="7170" spans="1:2" x14ac:dyDescent="0.15">
      <c r="A7170" s="15"/>
      <c r="B7170" s="15"/>
    </row>
    <row r="7171" spans="1:2" x14ac:dyDescent="0.15">
      <c r="A7171" s="15"/>
      <c r="B7171" s="15"/>
    </row>
    <row r="7172" spans="1:2" x14ac:dyDescent="0.15">
      <c r="A7172" s="15"/>
      <c r="B7172" s="15"/>
    </row>
    <row r="7173" spans="1:2" x14ac:dyDescent="0.15">
      <c r="A7173" s="15"/>
      <c r="B7173" s="15"/>
    </row>
    <row r="7174" spans="1:2" x14ac:dyDescent="0.15">
      <c r="A7174" s="15"/>
      <c r="B7174" s="15"/>
    </row>
    <row r="7175" spans="1:2" x14ac:dyDescent="0.15">
      <c r="A7175" s="15"/>
      <c r="B7175" s="15"/>
    </row>
    <row r="7176" spans="1:2" x14ac:dyDescent="0.15">
      <c r="A7176" s="15"/>
      <c r="B7176" s="15"/>
    </row>
    <row r="7177" spans="1:2" x14ac:dyDescent="0.15">
      <c r="A7177" s="15"/>
      <c r="B7177" s="15"/>
    </row>
    <row r="7178" spans="1:2" x14ac:dyDescent="0.15">
      <c r="A7178" s="15"/>
      <c r="B7178" s="15"/>
    </row>
    <row r="7179" spans="1:2" x14ac:dyDescent="0.15">
      <c r="A7179" s="15"/>
      <c r="B7179" s="15"/>
    </row>
    <row r="7180" spans="1:2" x14ac:dyDescent="0.15">
      <c r="A7180" s="15"/>
      <c r="B7180" s="15"/>
    </row>
    <row r="7181" spans="1:2" x14ac:dyDescent="0.15">
      <c r="A7181" s="15"/>
      <c r="B7181" s="15"/>
    </row>
    <row r="7182" spans="1:2" x14ac:dyDescent="0.15">
      <c r="A7182" s="15"/>
      <c r="B7182" s="15"/>
    </row>
    <row r="7183" spans="1:2" x14ac:dyDescent="0.15">
      <c r="A7183" s="15"/>
      <c r="B7183" s="15"/>
    </row>
    <row r="7184" spans="1:2" x14ac:dyDescent="0.15">
      <c r="A7184" s="15"/>
      <c r="B7184" s="15"/>
    </row>
    <row r="7185" spans="1:2" x14ac:dyDescent="0.15">
      <c r="A7185" s="15"/>
      <c r="B7185" s="15"/>
    </row>
    <row r="7186" spans="1:2" x14ac:dyDescent="0.15">
      <c r="A7186" s="15"/>
      <c r="B7186" s="15"/>
    </row>
    <row r="7187" spans="1:2" x14ac:dyDescent="0.15">
      <c r="A7187" s="15"/>
      <c r="B7187" s="15"/>
    </row>
    <row r="7188" spans="1:2" x14ac:dyDescent="0.15">
      <c r="A7188" s="15"/>
      <c r="B7188" s="15"/>
    </row>
    <row r="7189" spans="1:2" x14ac:dyDescent="0.15">
      <c r="A7189" s="15"/>
      <c r="B7189" s="15"/>
    </row>
    <row r="7190" spans="1:2" x14ac:dyDescent="0.15">
      <c r="A7190" s="15"/>
      <c r="B7190" s="15"/>
    </row>
    <row r="7191" spans="1:2" x14ac:dyDescent="0.15">
      <c r="A7191" s="15"/>
      <c r="B7191" s="15"/>
    </row>
    <row r="7192" spans="1:2" x14ac:dyDescent="0.15">
      <c r="A7192" s="15"/>
      <c r="B7192" s="15"/>
    </row>
    <row r="7193" spans="1:2" x14ac:dyDescent="0.15">
      <c r="A7193" s="15"/>
      <c r="B7193" s="15"/>
    </row>
    <row r="7194" spans="1:2" x14ac:dyDescent="0.15">
      <c r="A7194" s="15"/>
      <c r="B7194" s="15"/>
    </row>
    <row r="7195" spans="1:2" x14ac:dyDescent="0.15">
      <c r="A7195" s="15"/>
      <c r="B7195" s="15"/>
    </row>
    <row r="7196" spans="1:2" x14ac:dyDescent="0.15">
      <c r="A7196" s="15"/>
      <c r="B7196" s="15"/>
    </row>
    <row r="7197" spans="1:2" x14ac:dyDescent="0.15">
      <c r="A7197" s="15"/>
      <c r="B7197" s="15"/>
    </row>
    <row r="7198" spans="1:2" x14ac:dyDescent="0.15">
      <c r="A7198" s="15"/>
      <c r="B7198" s="15"/>
    </row>
    <row r="7199" spans="1:2" x14ac:dyDescent="0.15">
      <c r="A7199" s="15"/>
      <c r="B7199" s="15"/>
    </row>
    <row r="7200" spans="1:2" x14ac:dyDescent="0.15">
      <c r="A7200" s="15"/>
      <c r="B7200" s="15"/>
    </row>
    <row r="7201" spans="1:2" x14ac:dyDescent="0.15">
      <c r="A7201" s="15"/>
      <c r="B7201" s="15"/>
    </row>
    <row r="7202" spans="1:2" x14ac:dyDescent="0.15">
      <c r="A7202" s="15"/>
      <c r="B7202" s="15"/>
    </row>
    <row r="7203" spans="1:2" x14ac:dyDescent="0.15">
      <c r="A7203" s="15"/>
      <c r="B7203" s="15"/>
    </row>
    <row r="7204" spans="1:2" x14ac:dyDescent="0.15">
      <c r="A7204" s="15"/>
      <c r="B7204" s="15"/>
    </row>
    <row r="7205" spans="1:2" x14ac:dyDescent="0.15">
      <c r="A7205" s="15"/>
      <c r="B7205" s="15"/>
    </row>
    <row r="7206" spans="1:2" x14ac:dyDescent="0.15">
      <c r="A7206" s="15"/>
      <c r="B7206" s="15"/>
    </row>
    <row r="7207" spans="1:2" x14ac:dyDescent="0.15">
      <c r="A7207" s="15"/>
      <c r="B7207" s="15"/>
    </row>
    <row r="7208" spans="1:2" x14ac:dyDescent="0.15">
      <c r="A7208" s="15"/>
      <c r="B7208" s="15"/>
    </row>
    <row r="7209" spans="1:2" x14ac:dyDescent="0.15">
      <c r="A7209" s="15"/>
      <c r="B7209" s="15"/>
    </row>
    <row r="7210" spans="1:2" x14ac:dyDescent="0.15">
      <c r="A7210" s="15"/>
      <c r="B7210" s="15"/>
    </row>
    <row r="7211" spans="1:2" x14ac:dyDescent="0.15">
      <c r="A7211" s="15"/>
      <c r="B7211" s="15"/>
    </row>
    <row r="7212" spans="1:2" x14ac:dyDescent="0.15">
      <c r="A7212" s="15"/>
      <c r="B7212" s="15"/>
    </row>
    <row r="7213" spans="1:2" x14ac:dyDescent="0.15">
      <c r="A7213" s="15"/>
      <c r="B7213" s="15"/>
    </row>
    <row r="7214" spans="1:2" x14ac:dyDescent="0.15">
      <c r="A7214" s="15"/>
      <c r="B7214" s="15"/>
    </row>
    <row r="7215" spans="1:2" x14ac:dyDescent="0.15">
      <c r="A7215" s="15"/>
      <c r="B7215" s="15"/>
    </row>
    <row r="7216" spans="1:2" x14ac:dyDescent="0.15">
      <c r="A7216" s="15"/>
      <c r="B7216" s="15"/>
    </row>
    <row r="7217" spans="1:2" x14ac:dyDescent="0.15">
      <c r="A7217" s="15"/>
      <c r="B7217" s="15"/>
    </row>
    <row r="7218" spans="1:2" x14ac:dyDescent="0.15">
      <c r="A7218" s="15"/>
      <c r="B7218" s="15"/>
    </row>
    <row r="7219" spans="1:2" x14ac:dyDescent="0.15">
      <c r="A7219" s="15"/>
      <c r="B7219" s="15"/>
    </row>
    <row r="7220" spans="1:2" x14ac:dyDescent="0.15">
      <c r="A7220" s="15"/>
      <c r="B7220" s="15"/>
    </row>
    <row r="7221" spans="1:2" x14ac:dyDescent="0.15">
      <c r="A7221" s="15"/>
      <c r="B7221" s="15"/>
    </row>
    <row r="7222" spans="1:2" x14ac:dyDescent="0.15">
      <c r="A7222" s="15"/>
      <c r="B7222" s="15"/>
    </row>
    <row r="7223" spans="1:2" x14ac:dyDescent="0.15">
      <c r="A7223" s="15"/>
      <c r="B7223" s="15"/>
    </row>
    <row r="7224" spans="1:2" x14ac:dyDescent="0.15">
      <c r="A7224" s="15"/>
      <c r="B7224" s="15"/>
    </row>
    <row r="7225" spans="1:2" x14ac:dyDescent="0.15">
      <c r="A7225" s="15"/>
      <c r="B7225" s="15"/>
    </row>
    <row r="7226" spans="1:2" x14ac:dyDescent="0.15">
      <c r="A7226" s="15"/>
      <c r="B7226" s="15"/>
    </row>
    <row r="7227" spans="1:2" x14ac:dyDescent="0.15">
      <c r="A7227" s="15"/>
      <c r="B7227" s="15"/>
    </row>
    <row r="7228" spans="1:2" x14ac:dyDescent="0.15">
      <c r="A7228" s="15"/>
      <c r="B7228" s="15"/>
    </row>
    <row r="7229" spans="1:2" x14ac:dyDescent="0.15">
      <c r="A7229" s="15"/>
      <c r="B7229" s="15"/>
    </row>
    <row r="7230" spans="1:2" x14ac:dyDescent="0.15">
      <c r="A7230" s="15"/>
      <c r="B7230" s="15"/>
    </row>
    <row r="7231" spans="1:2" x14ac:dyDescent="0.15">
      <c r="A7231" s="15"/>
      <c r="B7231" s="15"/>
    </row>
    <row r="7232" spans="1:2" x14ac:dyDescent="0.15">
      <c r="A7232" s="15"/>
      <c r="B7232" s="15"/>
    </row>
    <row r="7233" spans="1:2" x14ac:dyDescent="0.15">
      <c r="A7233" s="15"/>
      <c r="B7233" s="15"/>
    </row>
    <row r="7234" spans="1:2" x14ac:dyDescent="0.15">
      <c r="A7234" s="15"/>
      <c r="B7234" s="15"/>
    </row>
    <row r="7235" spans="1:2" x14ac:dyDescent="0.15">
      <c r="A7235" s="15"/>
      <c r="B7235" s="15"/>
    </row>
    <row r="7236" spans="1:2" x14ac:dyDescent="0.15">
      <c r="A7236" s="15"/>
      <c r="B7236" s="15"/>
    </row>
    <row r="7237" spans="1:2" x14ac:dyDescent="0.15">
      <c r="A7237" s="15"/>
      <c r="B7237" s="15"/>
    </row>
    <row r="7238" spans="1:2" x14ac:dyDescent="0.15">
      <c r="A7238" s="15"/>
      <c r="B7238" s="15"/>
    </row>
    <row r="7239" spans="1:2" x14ac:dyDescent="0.15">
      <c r="A7239" s="15"/>
      <c r="B7239" s="15"/>
    </row>
    <row r="7240" spans="1:2" x14ac:dyDescent="0.15">
      <c r="A7240" s="15"/>
      <c r="B7240" s="15"/>
    </row>
    <row r="7241" spans="1:2" x14ac:dyDescent="0.15">
      <c r="A7241" s="15"/>
      <c r="B7241" s="15"/>
    </row>
    <row r="7242" spans="1:2" x14ac:dyDescent="0.15">
      <c r="A7242" s="15"/>
      <c r="B7242" s="15"/>
    </row>
    <row r="7243" spans="1:2" x14ac:dyDescent="0.15">
      <c r="A7243" s="15"/>
      <c r="B7243" s="15"/>
    </row>
    <row r="7244" spans="1:2" x14ac:dyDescent="0.15">
      <c r="A7244" s="15"/>
      <c r="B7244" s="15"/>
    </row>
    <row r="7245" spans="1:2" x14ac:dyDescent="0.15">
      <c r="A7245" s="15"/>
      <c r="B7245" s="15"/>
    </row>
    <row r="7246" spans="1:2" x14ac:dyDescent="0.15">
      <c r="A7246" s="15"/>
      <c r="B7246" s="15"/>
    </row>
    <row r="7247" spans="1:2" x14ac:dyDescent="0.15">
      <c r="A7247" s="15"/>
      <c r="B7247" s="15"/>
    </row>
    <row r="7248" spans="1:2" x14ac:dyDescent="0.15">
      <c r="A7248" s="15"/>
      <c r="B7248" s="15"/>
    </row>
    <row r="7249" spans="1:2" x14ac:dyDescent="0.15">
      <c r="A7249" s="15"/>
      <c r="B7249" s="15"/>
    </row>
    <row r="7250" spans="1:2" x14ac:dyDescent="0.15">
      <c r="A7250" s="15"/>
      <c r="B7250" s="15"/>
    </row>
    <row r="7251" spans="1:2" x14ac:dyDescent="0.15">
      <c r="A7251" s="15"/>
      <c r="B7251" s="15"/>
    </row>
    <row r="7252" spans="1:2" x14ac:dyDescent="0.15">
      <c r="A7252" s="15"/>
      <c r="B7252" s="15"/>
    </row>
    <row r="7253" spans="1:2" x14ac:dyDescent="0.15">
      <c r="A7253" s="15"/>
      <c r="B7253" s="15"/>
    </row>
    <row r="7254" spans="1:2" x14ac:dyDescent="0.15">
      <c r="A7254" s="15"/>
      <c r="B7254" s="15"/>
    </row>
    <row r="7255" spans="1:2" x14ac:dyDescent="0.15">
      <c r="A7255" s="15"/>
      <c r="B7255" s="15"/>
    </row>
    <row r="7256" spans="1:2" x14ac:dyDescent="0.15">
      <c r="A7256" s="15"/>
      <c r="B7256" s="15"/>
    </row>
    <row r="7257" spans="1:2" x14ac:dyDescent="0.15">
      <c r="A7257" s="15"/>
      <c r="B7257" s="15"/>
    </row>
    <row r="7258" spans="1:2" x14ac:dyDescent="0.15">
      <c r="A7258" s="15"/>
      <c r="B7258" s="15"/>
    </row>
    <row r="7259" spans="1:2" x14ac:dyDescent="0.15">
      <c r="A7259" s="15"/>
      <c r="B7259" s="15"/>
    </row>
    <row r="7260" spans="1:2" x14ac:dyDescent="0.15">
      <c r="A7260" s="15"/>
      <c r="B7260" s="15"/>
    </row>
    <row r="7261" spans="1:2" x14ac:dyDescent="0.15">
      <c r="A7261" s="15"/>
      <c r="B7261" s="15"/>
    </row>
    <row r="7262" spans="1:2" x14ac:dyDescent="0.15">
      <c r="A7262" s="15"/>
      <c r="B7262" s="15"/>
    </row>
    <row r="7263" spans="1:2" x14ac:dyDescent="0.15">
      <c r="A7263" s="15"/>
      <c r="B7263" s="15"/>
    </row>
    <row r="7264" spans="1:2" x14ac:dyDescent="0.15">
      <c r="A7264" s="15"/>
      <c r="B7264" s="15"/>
    </row>
    <row r="7265" spans="1:2" x14ac:dyDescent="0.15">
      <c r="A7265" s="15"/>
      <c r="B7265" s="15"/>
    </row>
    <row r="7266" spans="1:2" x14ac:dyDescent="0.15">
      <c r="A7266" s="15"/>
      <c r="B7266" s="15"/>
    </row>
    <row r="7267" spans="1:2" x14ac:dyDescent="0.15">
      <c r="A7267" s="15"/>
      <c r="B7267" s="15"/>
    </row>
    <row r="7268" spans="1:2" x14ac:dyDescent="0.15">
      <c r="A7268" s="15"/>
      <c r="B7268" s="15"/>
    </row>
    <row r="7269" spans="1:2" x14ac:dyDescent="0.15">
      <c r="A7269" s="15"/>
      <c r="B7269" s="15"/>
    </row>
    <row r="7270" spans="1:2" x14ac:dyDescent="0.15">
      <c r="A7270" s="15"/>
      <c r="B7270" s="15"/>
    </row>
    <row r="7271" spans="1:2" x14ac:dyDescent="0.15">
      <c r="A7271" s="15"/>
      <c r="B7271" s="15"/>
    </row>
    <row r="7272" spans="1:2" x14ac:dyDescent="0.15">
      <c r="A7272" s="15"/>
      <c r="B7272" s="15"/>
    </row>
    <row r="7273" spans="1:2" x14ac:dyDescent="0.15">
      <c r="A7273" s="15"/>
      <c r="B7273" s="15"/>
    </row>
    <row r="7274" spans="1:2" x14ac:dyDescent="0.15">
      <c r="A7274" s="15"/>
      <c r="B7274" s="15"/>
    </row>
    <row r="7275" spans="1:2" x14ac:dyDescent="0.15">
      <c r="A7275" s="15"/>
      <c r="B7275" s="15"/>
    </row>
    <row r="7276" spans="1:2" x14ac:dyDescent="0.15">
      <c r="A7276" s="15"/>
      <c r="B7276" s="15"/>
    </row>
    <row r="7277" spans="1:2" x14ac:dyDescent="0.15">
      <c r="A7277" s="15"/>
      <c r="B7277" s="15"/>
    </row>
    <row r="7278" spans="1:2" x14ac:dyDescent="0.15">
      <c r="A7278" s="15"/>
      <c r="B7278" s="15"/>
    </row>
    <row r="7279" spans="1:2" x14ac:dyDescent="0.15">
      <c r="A7279" s="15"/>
      <c r="B7279" s="15"/>
    </row>
    <row r="7280" spans="1:2" x14ac:dyDescent="0.15">
      <c r="A7280" s="15"/>
      <c r="B7280" s="15"/>
    </row>
    <row r="7281" spans="1:2" x14ac:dyDescent="0.15">
      <c r="A7281" s="15"/>
      <c r="B7281" s="15"/>
    </row>
    <row r="7282" spans="1:2" x14ac:dyDescent="0.15">
      <c r="A7282" s="15"/>
      <c r="B7282" s="15"/>
    </row>
    <row r="7283" spans="1:2" x14ac:dyDescent="0.15">
      <c r="A7283" s="15"/>
      <c r="B7283" s="15"/>
    </row>
    <row r="7284" spans="1:2" x14ac:dyDescent="0.15">
      <c r="A7284" s="15"/>
      <c r="B7284" s="15"/>
    </row>
    <row r="7285" spans="1:2" x14ac:dyDescent="0.15">
      <c r="A7285" s="15"/>
      <c r="B7285" s="15"/>
    </row>
    <row r="7286" spans="1:2" x14ac:dyDescent="0.15">
      <c r="A7286" s="15"/>
      <c r="B7286" s="15"/>
    </row>
    <row r="7287" spans="1:2" x14ac:dyDescent="0.15">
      <c r="A7287" s="15"/>
      <c r="B7287" s="15"/>
    </row>
    <row r="7288" spans="1:2" x14ac:dyDescent="0.15">
      <c r="A7288" s="15"/>
      <c r="B7288" s="15"/>
    </row>
    <row r="7289" spans="1:2" x14ac:dyDescent="0.15">
      <c r="A7289" s="15"/>
      <c r="B7289" s="15"/>
    </row>
    <row r="7290" spans="1:2" x14ac:dyDescent="0.15">
      <c r="A7290" s="15"/>
      <c r="B7290" s="15"/>
    </row>
    <row r="7291" spans="1:2" x14ac:dyDescent="0.15">
      <c r="A7291" s="15"/>
      <c r="B7291" s="15"/>
    </row>
    <row r="7292" spans="1:2" x14ac:dyDescent="0.15">
      <c r="A7292" s="15"/>
      <c r="B7292" s="15"/>
    </row>
    <row r="7293" spans="1:2" x14ac:dyDescent="0.15">
      <c r="A7293" s="15"/>
      <c r="B7293" s="15"/>
    </row>
    <row r="7294" spans="1:2" x14ac:dyDescent="0.15">
      <c r="A7294" s="15"/>
      <c r="B7294" s="15"/>
    </row>
    <row r="7295" spans="1:2" x14ac:dyDescent="0.15">
      <c r="A7295" s="15"/>
      <c r="B7295" s="15"/>
    </row>
    <row r="7296" spans="1:2" x14ac:dyDescent="0.15">
      <c r="A7296" s="15"/>
      <c r="B7296" s="15"/>
    </row>
    <row r="7297" spans="1:2" x14ac:dyDescent="0.15">
      <c r="A7297" s="15"/>
      <c r="B7297" s="15"/>
    </row>
    <row r="7298" spans="1:2" x14ac:dyDescent="0.15">
      <c r="A7298" s="15"/>
      <c r="B7298" s="15"/>
    </row>
    <row r="7299" spans="1:2" x14ac:dyDescent="0.15">
      <c r="A7299" s="15"/>
      <c r="B7299" s="15"/>
    </row>
    <row r="7300" spans="1:2" x14ac:dyDescent="0.15">
      <c r="A7300" s="15"/>
      <c r="B7300" s="15"/>
    </row>
    <row r="7301" spans="1:2" x14ac:dyDescent="0.15">
      <c r="A7301" s="15"/>
      <c r="B7301" s="15"/>
    </row>
    <row r="7302" spans="1:2" x14ac:dyDescent="0.15">
      <c r="A7302" s="15"/>
      <c r="B7302" s="15"/>
    </row>
    <row r="7303" spans="1:2" x14ac:dyDescent="0.15">
      <c r="A7303" s="15"/>
      <c r="B7303" s="15"/>
    </row>
    <row r="7304" spans="1:2" x14ac:dyDescent="0.15">
      <c r="A7304" s="15"/>
      <c r="B7304" s="15"/>
    </row>
    <row r="7305" spans="1:2" x14ac:dyDescent="0.15">
      <c r="A7305" s="15"/>
      <c r="B7305" s="15"/>
    </row>
    <row r="7306" spans="1:2" x14ac:dyDescent="0.15">
      <c r="A7306" s="15"/>
      <c r="B7306" s="15"/>
    </row>
    <row r="7307" spans="1:2" x14ac:dyDescent="0.15">
      <c r="A7307" s="15"/>
      <c r="B7307" s="15"/>
    </row>
    <row r="7308" spans="1:2" x14ac:dyDescent="0.15">
      <c r="A7308" s="15"/>
      <c r="B7308" s="15"/>
    </row>
    <row r="7309" spans="1:2" x14ac:dyDescent="0.15">
      <c r="A7309" s="15"/>
      <c r="B7309" s="15"/>
    </row>
    <row r="7310" spans="1:2" x14ac:dyDescent="0.15">
      <c r="A7310" s="15"/>
      <c r="B7310" s="15"/>
    </row>
    <row r="7311" spans="1:2" x14ac:dyDescent="0.15">
      <c r="A7311" s="15"/>
      <c r="B7311" s="15"/>
    </row>
    <row r="7312" spans="1:2" x14ac:dyDescent="0.15">
      <c r="A7312" s="15"/>
      <c r="B7312" s="15"/>
    </row>
    <row r="7313" spans="1:2" x14ac:dyDescent="0.15">
      <c r="A7313" s="15"/>
      <c r="B7313" s="15"/>
    </row>
    <row r="7314" spans="1:2" x14ac:dyDescent="0.15">
      <c r="A7314" s="15"/>
      <c r="B7314" s="15"/>
    </row>
    <row r="7315" spans="1:2" x14ac:dyDescent="0.15">
      <c r="A7315" s="15"/>
      <c r="B7315" s="15"/>
    </row>
    <row r="7316" spans="1:2" x14ac:dyDescent="0.15">
      <c r="A7316" s="15"/>
      <c r="B7316" s="15"/>
    </row>
    <row r="7317" spans="1:2" x14ac:dyDescent="0.15">
      <c r="A7317" s="15"/>
      <c r="B7317" s="15"/>
    </row>
    <row r="7318" spans="1:2" x14ac:dyDescent="0.15">
      <c r="A7318" s="15"/>
      <c r="B7318" s="15"/>
    </row>
    <row r="7319" spans="1:2" x14ac:dyDescent="0.15">
      <c r="A7319" s="15"/>
      <c r="B7319" s="15"/>
    </row>
    <row r="7320" spans="1:2" x14ac:dyDescent="0.15">
      <c r="A7320" s="15"/>
      <c r="B7320" s="15"/>
    </row>
    <row r="7321" spans="1:2" x14ac:dyDescent="0.15">
      <c r="A7321" s="15"/>
      <c r="B7321" s="15"/>
    </row>
    <row r="7322" spans="1:2" x14ac:dyDescent="0.15">
      <c r="A7322" s="15"/>
      <c r="B7322" s="15"/>
    </row>
    <row r="7323" spans="1:2" x14ac:dyDescent="0.15">
      <c r="A7323" s="15"/>
      <c r="B7323" s="15"/>
    </row>
    <row r="7324" spans="1:2" x14ac:dyDescent="0.15">
      <c r="A7324" s="15"/>
      <c r="B7324" s="15"/>
    </row>
    <row r="7325" spans="1:2" x14ac:dyDescent="0.15">
      <c r="A7325" s="15"/>
      <c r="B7325" s="15"/>
    </row>
    <row r="7326" spans="1:2" x14ac:dyDescent="0.15">
      <c r="A7326" s="15"/>
      <c r="B7326" s="15"/>
    </row>
    <row r="7327" spans="1:2" x14ac:dyDescent="0.15">
      <c r="A7327" s="15"/>
      <c r="B7327" s="15"/>
    </row>
    <row r="7328" spans="1:2" x14ac:dyDescent="0.15">
      <c r="A7328" s="15"/>
      <c r="B7328" s="15"/>
    </row>
    <row r="7329" spans="1:2" x14ac:dyDescent="0.15">
      <c r="A7329" s="15"/>
      <c r="B7329" s="15"/>
    </row>
    <row r="7330" spans="1:2" x14ac:dyDescent="0.15">
      <c r="A7330" s="15"/>
      <c r="B7330" s="15"/>
    </row>
    <row r="7331" spans="1:2" x14ac:dyDescent="0.15">
      <c r="A7331" s="15"/>
      <c r="B7331" s="15"/>
    </row>
    <row r="7332" spans="1:2" x14ac:dyDescent="0.15">
      <c r="A7332" s="15"/>
      <c r="B7332" s="15"/>
    </row>
    <row r="7333" spans="1:2" x14ac:dyDescent="0.15">
      <c r="A7333" s="15"/>
      <c r="B7333" s="15"/>
    </row>
    <row r="7334" spans="1:2" x14ac:dyDescent="0.15">
      <c r="A7334" s="15"/>
      <c r="B7334" s="15"/>
    </row>
    <row r="7335" spans="1:2" x14ac:dyDescent="0.15">
      <c r="A7335" s="15"/>
      <c r="B7335" s="15"/>
    </row>
    <row r="7336" spans="1:2" x14ac:dyDescent="0.15">
      <c r="A7336" s="15"/>
      <c r="B7336" s="15"/>
    </row>
    <row r="7337" spans="1:2" x14ac:dyDescent="0.15">
      <c r="A7337" s="15"/>
      <c r="B7337" s="15"/>
    </row>
    <row r="7338" spans="1:2" x14ac:dyDescent="0.15">
      <c r="A7338" s="15"/>
      <c r="B7338" s="15"/>
    </row>
    <row r="7339" spans="1:2" x14ac:dyDescent="0.15">
      <c r="A7339" s="15"/>
      <c r="B7339" s="15"/>
    </row>
    <row r="7340" spans="1:2" x14ac:dyDescent="0.15">
      <c r="A7340" s="15"/>
      <c r="B7340" s="15"/>
    </row>
    <row r="7341" spans="1:2" x14ac:dyDescent="0.15">
      <c r="A7341" s="15"/>
      <c r="B7341" s="15"/>
    </row>
    <row r="7342" spans="1:2" x14ac:dyDescent="0.15">
      <c r="A7342" s="15"/>
      <c r="B7342" s="15"/>
    </row>
    <row r="7343" spans="1:2" x14ac:dyDescent="0.15">
      <c r="A7343" s="15"/>
      <c r="B7343" s="15"/>
    </row>
    <row r="7344" spans="1:2" x14ac:dyDescent="0.15">
      <c r="A7344" s="15"/>
      <c r="B7344" s="15"/>
    </row>
    <row r="7345" spans="1:2" x14ac:dyDescent="0.15">
      <c r="A7345" s="15"/>
      <c r="B7345" s="15"/>
    </row>
    <row r="7346" spans="1:2" x14ac:dyDescent="0.15">
      <c r="A7346" s="15"/>
      <c r="B7346" s="15"/>
    </row>
    <row r="7347" spans="1:2" x14ac:dyDescent="0.15">
      <c r="A7347" s="15"/>
      <c r="B7347" s="15"/>
    </row>
    <row r="7348" spans="1:2" x14ac:dyDescent="0.15">
      <c r="A7348" s="15"/>
      <c r="B7348" s="15"/>
    </row>
    <row r="7349" spans="1:2" x14ac:dyDescent="0.15">
      <c r="A7349" s="15"/>
      <c r="B7349" s="15"/>
    </row>
    <row r="7350" spans="1:2" x14ac:dyDescent="0.15">
      <c r="A7350" s="15"/>
      <c r="B7350" s="15"/>
    </row>
    <row r="7351" spans="1:2" x14ac:dyDescent="0.15">
      <c r="A7351" s="15"/>
      <c r="B7351" s="15"/>
    </row>
    <row r="7352" spans="1:2" x14ac:dyDescent="0.15">
      <c r="A7352" s="15"/>
      <c r="B7352" s="15"/>
    </row>
    <row r="7353" spans="1:2" x14ac:dyDescent="0.15">
      <c r="A7353" s="15"/>
      <c r="B7353" s="15"/>
    </row>
    <row r="7354" spans="1:2" x14ac:dyDescent="0.15">
      <c r="A7354" s="15"/>
      <c r="B7354" s="15"/>
    </row>
    <row r="7355" spans="1:2" x14ac:dyDescent="0.15">
      <c r="A7355" s="15"/>
      <c r="B7355" s="15"/>
    </row>
    <row r="7356" spans="1:2" x14ac:dyDescent="0.15">
      <c r="A7356" s="15"/>
      <c r="B7356" s="15"/>
    </row>
    <row r="7357" spans="1:2" x14ac:dyDescent="0.15">
      <c r="A7357" s="15"/>
      <c r="B7357" s="15"/>
    </row>
    <row r="7358" spans="1:2" x14ac:dyDescent="0.15">
      <c r="A7358" s="15"/>
      <c r="B7358" s="15"/>
    </row>
    <row r="7359" spans="1:2" x14ac:dyDescent="0.15">
      <c r="A7359" s="15"/>
      <c r="B7359" s="15"/>
    </row>
    <row r="7360" spans="1:2" x14ac:dyDescent="0.15">
      <c r="A7360" s="15"/>
      <c r="B7360" s="15"/>
    </row>
    <row r="7361" spans="1:2" x14ac:dyDescent="0.15">
      <c r="A7361" s="15"/>
      <c r="B7361" s="15"/>
    </row>
    <row r="7362" spans="1:2" x14ac:dyDescent="0.15">
      <c r="A7362" s="15"/>
      <c r="B7362" s="15"/>
    </row>
    <row r="7363" spans="1:2" x14ac:dyDescent="0.15">
      <c r="A7363" s="15"/>
      <c r="B7363" s="15"/>
    </row>
    <row r="7364" spans="1:2" x14ac:dyDescent="0.15">
      <c r="A7364" s="15"/>
      <c r="B7364" s="15"/>
    </row>
    <row r="7365" spans="1:2" x14ac:dyDescent="0.15">
      <c r="A7365" s="15"/>
      <c r="B7365" s="15"/>
    </row>
    <row r="7366" spans="1:2" x14ac:dyDescent="0.15">
      <c r="A7366" s="15"/>
      <c r="B7366" s="15"/>
    </row>
    <row r="7367" spans="1:2" x14ac:dyDescent="0.15">
      <c r="A7367" s="15"/>
      <c r="B7367" s="15"/>
    </row>
    <row r="7368" spans="1:2" x14ac:dyDescent="0.15">
      <c r="A7368" s="15"/>
      <c r="B7368" s="15"/>
    </row>
    <row r="7369" spans="1:2" x14ac:dyDescent="0.15">
      <c r="A7369" s="15"/>
      <c r="B7369" s="15"/>
    </row>
    <row r="7370" spans="1:2" x14ac:dyDescent="0.15">
      <c r="A7370" s="15"/>
      <c r="B7370" s="15"/>
    </row>
    <row r="7371" spans="1:2" x14ac:dyDescent="0.15">
      <c r="A7371" s="15"/>
      <c r="B7371" s="15"/>
    </row>
    <row r="7372" spans="1:2" x14ac:dyDescent="0.15">
      <c r="A7372" s="15"/>
      <c r="B7372" s="15"/>
    </row>
    <row r="7373" spans="1:2" x14ac:dyDescent="0.15">
      <c r="A7373" s="15"/>
      <c r="B7373" s="15"/>
    </row>
    <row r="7374" spans="1:2" x14ac:dyDescent="0.15">
      <c r="A7374" s="15"/>
      <c r="B7374" s="15"/>
    </row>
    <row r="7375" spans="1:2" x14ac:dyDescent="0.15">
      <c r="A7375" s="15"/>
      <c r="B7375" s="15"/>
    </row>
    <row r="7376" spans="1:2" x14ac:dyDescent="0.15">
      <c r="A7376" s="15"/>
      <c r="B7376" s="15"/>
    </row>
    <row r="7377" spans="1:2" x14ac:dyDescent="0.15">
      <c r="A7377" s="15"/>
      <c r="B7377" s="15"/>
    </row>
    <row r="7378" spans="1:2" x14ac:dyDescent="0.15">
      <c r="A7378" s="15"/>
      <c r="B7378" s="15"/>
    </row>
    <row r="7379" spans="1:2" x14ac:dyDescent="0.15">
      <c r="A7379" s="15"/>
      <c r="B7379" s="15"/>
    </row>
    <row r="7380" spans="1:2" x14ac:dyDescent="0.15">
      <c r="A7380" s="15"/>
      <c r="B7380" s="15"/>
    </row>
    <row r="7381" spans="1:2" x14ac:dyDescent="0.15">
      <c r="A7381" s="15"/>
      <c r="B7381" s="15"/>
    </row>
    <row r="7382" spans="1:2" x14ac:dyDescent="0.15">
      <c r="A7382" s="15"/>
      <c r="B7382" s="15"/>
    </row>
    <row r="7383" spans="1:2" x14ac:dyDescent="0.15">
      <c r="A7383" s="15"/>
      <c r="B7383" s="15"/>
    </row>
    <row r="7384" spans="1:2" x14ac:dyDescent="0.15">
      <c r="A7384" s="15"/>
      <c r="B7384" s="15"/>
    </row>
    <row r="7385" spans="1:2" x14ac:dyDescent="0.15">
      <c r="A7385" s="15"/>
      <c r="B7385" s="15"/>
    </row>
    <row r="7386" spans="1:2" x14ac:dyDescent="0.15">
      <c r="A7386" s="15"/>
      <c r="B7386" s="15"/>
    </row>
    <row r="7387" spans="1:2" x14ac:dyDescent="0.15">
      <c r="A7387" s="15"/>
      <c r="B7387" s="15"/>
    </row>
    <row r="7388" spans="1:2" x14ac:dyDescent="0.15">
      <c r="A7388" s="15"/>
      <c r="B7388" s="15"/>
    </row>
    <row r="7389" spans="1:2" x14ac:dyDescent="0.15">
      <c r="A7389" s="15"/>
      <c r="B7389" s="15"/>
    </row>
    <row r="7390" spans="1:2" x14ac:dyDescent="0.15">
      <c r="A7390" s="15"/>
      <c r="B7390" s="15"/>
    </row>
    <row r="7391" spans="1:2" x14ac:dyDescent="0.15">
      <c r="A7391" s="15"/>
      <c r="B7391" s="15"/>
    </row>
    <row r="7392" spans="1:2" x14ac:dyDescent="0.15">
      <c r="A7392" s="15"/>
      <c r="B7392" s="15"/>
    </row>
    <row r="7393" spans="1:2" x14ac:dyDescent="0.15">
      <c r="A7393" s="15"/>
      <c r="B7393" s="15"/>
    </row>
    <row r="7394" spans="1:2" x14ac:dyDescent="0.15">
      <c r="A7394" s="15"/>
      <c r="B7394" s="15"/>
    </row>
    <row r="7395" spans="1:2" x14ac:dyDescent="0.15">
      <c r="A7395" s="15"/>
      <c r="B7395" s="15"/>
    </row>
    <row r="7396" spans="1:2" x14ac:dyDescent="0.15">
      <c r="A7396" s="15"/>
      <c r="B7396" s="15"/>
    </row>
    <row r="7397" spans="1:2" x14ac:dyDescent="0.15">
      <c r="A7397" s="15"/>
      <c r="B7397" s="15"/>
    </row>
    <row r="7398" spans="1:2" x14ac:dyDescent="0.15">
      <c r="A7398" s="15"/>
      <c r="B7398" s="15"/>
    </row>
    <row r="7399" spans="1:2" x14ac:dyDescent="0.15">
      <c r="A7399" s="15"/>
      <c r="B7399" s="15"/>
    </row>
    <row r="7400" spans="1:2" x14ac:dyDescent="0.15">
      <c r="A7400" s="15"/>
      <c r="B7400" s="15"/>
    </row>
    <row r="7401" spans="1:2" x14ac:dyDescent="0.15">
      <c r="A7401" s="15"/>
      <c r="B7401" s="15"/>
    </row>
    <row r="7402" spans="1:2" x14ac:dyDescent="0.15">
      <c r="A7402" s="15"/>
      <c r="B7402" s="15"/>
    </row>
    <row r="7403" spans="1:2" x14ac:dyDescent="0.15">
      <c r="A7403" s="15"/>
      <c r="B7403" s="15"/>
    </row>
    <row r="7404" spans="1:2" x14ac:dyDescent="0.15">
      <c r="A7404" s="15"/>
      <c r="B7404" s="15"/>
    </row>
    <row r="7405" spans="1:2" x14ac:dyDescent="0.15">
      <c r="A7405" s="15"/>
      <c r="B7405" s="15"/>
    </row>
    <row r="7406" spans="1:2" x14ac:dyDescent="0.15">
      <c r="A7406" s="15"/>
      <c r="B7406" s="15"/>
    </row>
    <row r="7407" spans="1:2" x14ac:dyDescent="0.15">
      <c r="A7407" s="15"/>
      <c r="B7407" s="15"/>
    </row>
    <row r="7408" spans="1:2" x14ac:dyDescent="0.15">
      <c r="A7408" s="15"/>
      <c r="B7408" s="15"/>
    </row>
    <row r="7409" spans="1:2" x14ac:dyDescent="0.15">
      <c r="A7409" s="15"/>
      <c r="B7409" s="15"/>
    </row>
    <row r="7410" spans="1:2" x14ac:dyDescent="0.15">
      <c r="A7410" s="15"/>
      <c r="B7410" s="15"/>
    </row>
    <row r="7411" spans="1:2" x14ac:dyDescent="0.15">
      <c r="A7411" s="15"/>
      <c r="B7411" s="15"/>
    </row>
    <row r="7412" spans="1:2" x14ac:dyDescent="0.15">
      <c r="A7412" s="15"/>
      <c r="B7412" s="15"/>
    </row>
    <row r="7413" spans="1:2" x14ac:dyDescent="0.15">
      <c r="A7413" s="15"/>
      <c r="B7413" s="15"/>
    </row>
    <row r="7414" spans="1:2" x14ac:dyDescent="0.15">
      <c r="A7414" s="15"/>
      <c r="B7414" s="15"/>
    </row>
    <row r="7415" spans="1:2" x14ac:dyDescent="0.15">
      <c r="A7415" s="15"/>
      <c r="B7415" s="15"/>
    </row>
    <row r="7416" spans="1:2" x14ac:dyDescent="0.15">
      <c r="A7416" s="15"/>
      <c r="B7416" s="15"/>
    </row>
    <row r="7417" spans="1:2" x14ac:dyDescent="0.15">
      <c r="A7417" s="15"/>
      <c r="B7417" s="15"/>
    </row>
    <row r="7418" spans="1:2" x14ac:dyDescent="0.15">
      <c r="A7418" s="15"/>
      <c r="B7418" s="15"/>
    </row>
    <row r="7419" spans="1:2" x14ac:dyDescent="0.15">
      <c r="A7419" s="15"/>
      <c r="B7419" s="15"/>
    </row>
    <row r="7420" spans="1:2" x14ac:dyDescent="0.15">
      <c r="A7420" s="15"/>
      <c r="B7420" s="15"/>
    </row>
    <row r="7421" spans="1:2" x14ac:dyDescent="0.15">
      <c r="A7421" s="15"/>
      <c r="B7421" s="15"/>
    </row>
    <row r="7422" spans="1:2" x14ac:dyDescent="0.15">
      <c r="A7422" s="15"/>
      <c r="B7422" s="15"/>
    </row>
    <row r="7423" spans="1:2" x14ac:dyDescent="0.15">
      <c r="A7423" s="15"/>
      <c r="B7423" s="15"/>
    </row>
    <row r="7424" spans="1:2" x14ac:dyDescent="0.15">
      <c r="A7424" s="15"/>
      <c r="B7424" s="15"/>
    </row>
    <row r="7425" spans="1:2" x14ac:dyDescent="0.15">
      <c r="A7425" s="15"/>
      <c r="B7425" s="15"/>
    </row>
    <row r="7426" spans="1:2" x14ac:dyDescent="0.15">
      <c r="A7426" s="15"/>
      <c r="B7426" s="15"/>
    </row>
    <row r="7427" spans="1:2" x14ac:dyDescent="0.15">
      <c r="A7427" s="15"/>
      <c r="B7427" s="15"/>
    </row>
    <row r="7428" spans="1:2" x14ac:dyDescent="0.15">
      <c r="A7428" s="15"/>
      <c r="B7428" s="15"/>
    </row>
    <row r="7429" spans="1:2" x14ac:dyDescent="0.15">
      <c r="A7429" s="15"/>
      <c r="B7429" s="15"/>
    </row>
    <row r="7430" spans="1:2" x14ac:dyDescent="0.15">
      <c r="A7430" s="15"/>
      <c r="B7430" s="15"/>
    </row>
    <row r="7431" spans="1:2" x14ac:dyDescent="0.15">
      <c r="A7431" s="15"/>
      <c r="B7431" s="15"/>
    </row>
    <row r="7432" spans="1:2" x14ac:dyDescent="0.15">
      <c r="A7432" s="15"/>
      <c r="B7432" s="15"/>
    </row>
    <row r="7433" spans="1:2" x14ac:dyDescent="0.15">
      <c r="A7433" s="15"/>
      <c r="B7433" s="15"/>
    </row>
    <row r="7434" spans="1:2" x14ac:dyDescent="0.15">
      <c r="A7434" s="15"/>
      <c r="B7434" s="15"/>
    </row>
    <row r="7435" spans="1:2" x14ac:dyDescent="0.15">
      <c r="A7435" s="15"/>
      <c r="B7435" s="15"/>
    </row>
    <row r="7436" spans="1:2" x14ac:dyDescent="0.15">
      <c r="A7436" s="15"/>
      <c r="B7436" s="15"/>
    </row>
    <row r="7437" spans="1:2" x14ac:dyDescent="0.15">
      <c r="A7437" s="15"/>
      <c r="B7437" s="15"/>
    </row>
    <row r="7438" spans="1:2" x14ac:dyDescent="0.15">
      <c r="A7438" s="15"/>
      <c r="B7438" s="15"/>
    </row>
    <row r="7439" spans="1:2" x14ac:dyDescent="0.15">
      <c r="A7439" s="15"/>
      <c r="B7439" s="15"/>
    </row>
    <row r="7440" spans="1:2" x14ac:dyDescent="0.15">
      <c r="A7440" s="15"/>
      <c r="B7440" s="15"/>
    </row>
    <row r="7441" spans="1:2" x14ac:dyDescent="0.15">
      <c r="A7441" s="15"/>
      <c r="B7441" s="15"/>
    </row>
    <row r="7442" spans="1:2" x14ac:dyDescent="0.15">
      <c r="A7442" s="15"/>
      <c r="B7442" s="15"/>
    </row>
    <row r="7443" spans="1:2" x14ac:dyDescent="0.15">
      <c r="A7443" s="15"/>
      <c r="B7443" s="15"/>
    </row>
    <row r="7444" spans="1:2" x14ac:dyDescent="0.15">
      <c r="A7444" s="15"/>
      <c r="B7444" s="15"/>
    </row>
    <row r="7445" spans="1:2" x14ac:dyDescent="0.15">
      <c r="A7445" s="15"/>
      <c r="B7445" s="15"/>
    </row>
    <row r="7446" spans="1:2" x14ac:dyDescent="0.15">
      <c r="A7446" s="15"/>
      <c r="B7446" s="15"/>
    </row>
    <row r="7447" spans="1:2" x14ac:dyDescent="0.15">
      <c r="A7447" s="15"/>
      <c r="B7447" s="15"/>
    </row>
    <row r="7448" spans="1:2" x14ac:dyDescent="0.15">
      <c r="A7448" s="15"/>
      <c r="B7448" s="15"/>
    </row>
    <row r="7449" spans="1:2" x14ac:dyDescent="0.15">
      <c r="A7449" s="15"/>
      <c r="B7449" s="15"/>
    </row>
    <row r="7450" spans="1:2" x14ac:dyDescent="0.15">
      <c r="A7450" s="15"/>
      <c r="B7450" s="15"/>
    </row>
    <row r="7451" spans="1:2" x14ac:dyDescent="0.15">
      <c r="A7451" s="15"/>
      <c r="B7451" s="15"/>
    </row>
    <row r="7452" spans="1:2" x14ac:dyDescent="0.15">
      <c r="A7452" s="15"/>
      <c r="B7452" s="15"/>
    </row>
    <row r="7453" spans="1:2" x14ac:dyDescent="0.15">
      <c r="A7453" s="15"/>
      <c r="B7453" s="15"/>
    </row>
    <row r="7454" spans="1:2" x14ac:dyDescent="0.15">
      <c r="A7454" s="15"/>
      <c r="B7454" s="15"/>
    </row>
    <row r="7455" spans="1:2" x14ac:dyDescent="0.15">
      <c r="A7455" s="15"/>
      <c r="B7455" s="15"/>
    </row>
    <row r="7456" spans="1:2" x14ac:dyDescent="0.15">
      <c r="A7456" s="15"/>
      <c r="B7456" s="15"/>
    </row>
    <row r="7457" spans="1:2" x14ac:dyDescent="0.15">
      <c r="A7457" s="15"/>
      <c r="B7457" s="15"/>
    </row>
    <row r="7458" spans="1:2" x14ac:dyDescent="0.15">
      <c r="A7458" s="15"/>
      <c r="B7458" s="15"/>
    </row>
    <row r="7459" spans="1:2" x14ac:dyDescent="0.15">
      <c r="A7459" s="15"/>
      <c r="B7459" s="15"/>
    </row>
    <row r="7460" spans="1:2" x14ac:dyDescent="0.15">
      <c r="A7460" s="15"/>
      <c r="B7460" s="15"/>
    </row>
    <row r="7461" spans="1:2" x14ac:dyDescent="0.15">
      <c r="A7461" s="15"/>
      <c r="B7461" s="15"/>
    </row>
    <row r="7462" spans="1:2" x14ac:dyDescent="0.15">
      <c r="A7462" s="15"/>
      <c r="B7462" s="15"/>
    </row>
    <row r="7463" spans="1:2" x14ac:dyDescent="0.15">
      <c r="A7463" s="15"/>
      <c r="B7463" s="15"/>
    </row>
    <row r="7464" spans="1:2" x14ac:dyDescent="0.15">
      <c r="A7464" s="15"/>
      <c r="B7464" s="15"/>
    </row>
    <row r="7465" spans="1:2" x14ac:dyDescent="0.15">
      <c r="A7465" s="15"/>
      <c r="B7465" s="15"/>
    </row>
    <row r="7466" spans="1:2" x14ac:dyDescent="0.15">
      <c r="A7466" s="15"/>
      <c r="B7466" s="15"/>
    </row>
    <row r="7467" spans="1:2" x14ac:dyDescent="0.15">
      <c r="A7467" s="15"/>
      <c r="B7467" s="15"/>
    </row>
    <row r="7468" spans="1:2" x14ac:dyDescent="0.15">
      <c r="A7468" s="15"/>
      <c r="B7468" s="15"/>
    </row>
    <row r="7469" spans="1:2" x14ac:dyDescent="0.15">
      <c r="A7469" s="15"/>
      <c r="B7469" s="15"/>
    </row>
    <row r="7470" spans="1:2" x14ac:dyDescent="0.15">
      <c r="A7470" s="15"/>
      <c r="B7470" s="15"/>
    </row>
    <row r="7471" spans="1:2" x14ac:dyDescent="0.15">
      <c r="A7471" s="15"/>
      <c r="B7471" s="15"/>
    </row>
    <row r="7472" spans="1:2" x14ac:dyDescent="0.15">
      <c r="A7472" s="15"/>
      <c r="B7472" s="15"/>
    </row>
    <row r="7473" spans="1:2" x14ac:dyDescent="0.15">
      <c r="A7473" s="15"/>
      <c r="B7473" s="15"/>
    </row>
    <row r="7474" spans="1:2" x14ac:dyDescent="0.15">
      <c r="A7474" s="15"/>
      <c r="B7474" s="15"/>
    </row>
    <row r="7475" spans="1:2" x14ac:dyDescent="0.15">
      <c r="A7475" s="15"/>
      <c r="B7475" s="15"/>
    </row>
    <row r="7476" spans="1:2" x14ac:dyDescent="0.15">
      <c r="A7476" s="15"/>
      <c r="B7476" s="15"/>
    </row>
    <row r="7477" spans="1:2" x14ac:dyDescent="0.15">
      <c r="A7477" s="15"/>
      <c r="B7477" s="15"/>
    </row>
    <row r="7478" spans="1:2" x14ac:dyDescent="0.15">
      <c r="A7478" s="15"/>
      <c r="B7478" s="15"/>
    </row>
    <row r="7479" spans="1:2" x14ac:dyDescent="0.15">
      <c r="A7479" s="15"/>
      <c r="B7479" s="15"/>
    </row>
    <row r="7480" spans="1:2" x14ac:dyDescent="0.15">
      <c r="A7480" s="15"/>
      <c r="B7480" s="15"/>
    </row>
    <row r="7481" spans="1:2" x14ac:dyDescent="0.15">
      <c r="A7481" s="15"/>
      <c r="B7481" s="15"/>
    </row>
    <row r="7482" spans="1:2" x14ac:dyDescent="0.15">
      <c r="A7482" s="15"/>
      <c r="B7482" s="15"/>
    </row>
    <row r="7483" spans="1:2" x14ac:dyDescent="0.15">
      <c r="A7483" s="15"/>
      <c r="B7483" s="15"/>
    </row>
    <row r="7484" spans="1:2" x14ac:dyDescent="0.15">
      <c r="A7484" s="15"/>
      <c r="B7484" s="15"/>
    </row>
    <row r="7485" spans="1:2" x14ac:dyDescent="0.15">
      <c r="A7485" s="15"/>
      <c r="B7485" s="15"/>
    </row>
    <row r="7486" spans="1:2" x14ac:dyDescent="0.15">
      <c r="A7486" s="15"/>
      <c r="B7486" s="15"/>
    </row>
    <row r="7487" spans="1:2" x14ac:dyDescent="0.15">
      <c r="A7487" s="15"/>
      <c r="B7487" s="15"/>
    </row>
    <row r="7488" spans="1:2" x14ac:dyDescent="0.15">
      <c r="A7488" s="15"/>
      <c r="B7488" s="15"/>
    </row>
    <row r="7489" spans="1:2" x14ac:dyDescent="0.15">
      <c r="A7489" s="15"/>
      <c r="B7489" s="15"/>
    </row>
    <row r="7490" spans="1:2" x14ac:dyDescent="0.15">
      <c r="A7490" s="15"/>
      <c r="B7490" s="15"/>
    </row>
    <row r="7491" spans="1:2" x14ac:dyDescent="0.15">
      <c r="A7491" s="15"/>
      <c r="B7491" s="15"/>
    </row>
    <row r="7492" spans="1:2" x14ac:dyDescent="0.15">
      <c r="A7492" s="15"/>
      <c r="B7492" s="15"/>
    </row>
    <row r="7493" spans="1:2" x14ac:dyDescent="0.15">
      <c r="A7493" s="15"/>
      <c r="B7493" s="15"/>
    </row>
    <row r="7494" spans="1:2" x14ac:dyDescent="0.15">
      <c r="A7494" s="15"/>
      <c r="B7494" s="15"/>
    </row>
    <row r="7495" spans="1:2" x14ac:dyDescent="0.15">
      <c r="A7495" s="15"/>
      <c r="B7495" s="15"/>
    </row>
    <row r="7496" spans="1:2" x14ac:dyDescent="0.15">
      <c r="A7496" s="15"/>
      <c r="B7496" s="15"/>
    </row>
    <row r="7497" spans="1:2" x14ac:dyDescent="0.15">
      <c r="A7497" s="15"/>
      <c r="B7497" s="15"/>
    </row>
    <row r="7498" spans="1:2" x14ac:dyDescent="0.15">
      <c r="A7498" s="15"/>
      <c r="B7498" s="15"/>
    </row>
    <row r="7499" spans="1:2" x14ac:dyDescent="0.15">
      <c r="A7499" s="15"/>
      <c r="B7499" s="15"/>
    </row>
    <row r="7500" spans="1:2" x14ac:dyDescent="0.15">
      <c r="A7500" s="15"/>
      <c r="B7500" s="15"/>
    </row>
    <row r="7501" spans="1:2" x14ac:dyDescent="0.15">
      <c r="A7501" s="15"/>
      <c r="B7501" s="15"/>
    </row>
    <row r="7502" spans="1:2" x14ac:dyDescent="0.15">
      <c r="A7502" s="15"/>
      <c r="B7502" s="15"/>
    </row>
    <row r="7503" spans="1:2" x14ac:dyDescent="0.15">
      <c r="A7503" s="15"/>
      <c r="B7503" s="15"/>
    </row>
    <row r="7504" spans="1:2" x14ac:dyDescent="0.15">
      <c r="A7504" s="15"/>
      <c r="B7504" s="15"/>
    </row>
    <row r="7505" spans="1:2" x14ac:dyDescent="0.15">
      <c r="A7505" s="15"/>
      <c r="B7505" s="15"/>
    </row>
    <row r="7506" spans="1:2" x14ac:dyDescent="0.15">
      <c r="A7506" s="15"/>
      <c r="B7506" s="15"/>
    </row>
    <row r="7507" spans="1:2" x14ac:dyDescent="0.15">
      <c r="A7507" s="15"/>
      <c r="B7507" s="15"/>
    </row>
    <row r="7508" spans="1:2" x14ac:dyDescent="0.15">
      <c r="A7508" s="15"/>
      <c r="B7508" s="15"/>
    </row>
    <row r="7509" spans="1:2" x14ac:dyDescent="0.15">
      <c r="A7509" s="15"/>
      <c r="B7509" s="15"/>
    </row>
    <row r="7510" spans="1:2" x14ac:dyDescent="0.15">
      <c r="A7510" s="15"/>
      <c r="B7510" s="15"/>
    </row>
    <row r="7511" spans="1:2" x14ac:dyDescent="0.15">
      <c r="A7511" s="15"/>
      <c r="B7511" s="15"/>
    </row>
    <row r="7512" spans="1:2" x14ac:dyDescent="0.15">
      <c r="A7512" s="15"/>
      <c r="B7512" s="15"/>
    </row>
    <row r="7513" spans="1:2" x14ac:dyDescent="0.15">
      <c r="A7513" s="15"/>
      <c r="B7513" s="15"/>
    </row>
    <row r="7514" spans="1:2" x14ac:dyDescent="0.15">
      <c r="A7514" s="15"/>
      <c r="B7514" s="15"/>
    </row>
    <row r="7515" spans="1:2" x14ac:dyDescent="0.15">
      <c r="A7515" s="15"/>
      <c r="B7515" s="15"/>
    </row>
    <row r="7516" spans="1:2" x14ac:dyDescent="0.15">
      <c r="A7516" s="15"/>
      <c r="B7516" s="15"/>
    </row>
    <row r="7517" spans="1:2" x14ac:dyDescent="0.15">
      <c r="A7517" s="15"/>
      <c r="B7517" s="15"/>
    </row>
    <row r="7518" spans="1:2" x14ac:dyDescent="0.15">
      <c r="A7518" s="15"/>
      <c r="B7518" s="15"/>
    </row>
    <row r="7519" spans="1:2" x14ac:dyDescent="0.15">
      <c r="A7519" s="15"/>
      <c r="B7519" s="15"/>
    </row>
    <row r="7520" spans="1:2" x14ac:dyDescent="0.15">
      <c r="A7520" s="15"/>
      <c r="B7520" s="15"/>
    </row>
    <row r="7521" spans="1:2" x14ac:dyDescent="0.15">
      <c r="A7521" s="15"/>
      <c r="B7521" s="15"/>
    </row>
    <row r="7522" spans="1:2" x14ac:dyDescent="0.15">
      <c r="A7522" s="15"/>
      <c r="B7522" s="15"/>
    </row>
    <row r="7523" spans="1:2" x14ac:dyDescent="0.15">
      <c r="A7523" s="15"/>
      <c r="B7523" s="15"/>
    </row>
    <row r="7524" spans="1:2" x14ac:dyDescent="0.15">
      <c r="A7524" s="15"/>
      <c r="B7524" s="15"/>
    </row>
    <row r="7525" spans="1:2" x14ac:dyDescent="0.15">
      <c r="A7525" s="15"/>
      <c r="B7525" s="15"/>
    </row>
    <row r="7526" spans="1:2" x14ac:dyDescent="0.15">
      <c r="A7526" s="15"/>
      <c r="B7526" s="15"/>
    </row>
    <row r="7527" spans="1:2" x14ac:dyDescent="0.15">
      <c r="A7527" s="15"/>
      <c r="B7527" s="15"/>
    </row>
    <row r="7528" spans="1:2" x14ac:dyDescent="0.15">
      <c r="A7528" s="15"/>
      <c r="B7528" s="15"/>
    </row>
    <row r="7529" spans="1:2" x14ac:dyDescent="0.15">
      <c r="A7529" s="15"/>
      <c r="B7529" s="15"/>
    </row>
    <row r="7530" spans="1:2" x14ac:dyDescent="0.15">
      <c r="A7530" s="15"/>
      <c r="B7530" s="15"/>
    </row>
    <row r="7531" spans="1:2" x14ac:dyDescent="0.15">
      <c r="A7531" s="15"/>
      <c r="B7531" s="15"/>
    </row>
    <row r="7532" spans="1:2" x14ac:dyDescent="0.15">
      <c r="A7532" s="15"/>
      <c r="B7532" s="15"/>
    </row>
    <row r="7533" spans="1:2" x14ac:dyDescent="0.15">
      <c r="A7533" s="15"/>
      <c r="B7533" s="15"/>
    </row>
    <row r="7534" spans="1:2" x14ac:dyDescent="0.15">
      <c r="A7534" s="15"/>
      <c r="B7534" s="15"/>
    </row>
    <row r="7535" spans="1:2" x14ac:dyDescent="0.15">
      <c r="A7535" s="15"/>
      <c r="B7535" s="15"/>
    </row>
    <row r="7536" spans="1:2" x14ac:dyDescent="0.15">
      <c r="A7536" s="15"/>
      <c r="B7536" s="15"/>
    </row>
    <row r="7537" spans="1:2" x14ac:dyDescent="0.15">
      <c r="A7537" s="15"/>
      <c r="B7537" s="15"/>
    </row>
    <row r="7538" spans="1:2" x14ac:dyDescent="0.15">
      <c r="A7538" s="15"/>
      <c r="B7538" s="15"/>
    </row>
    <row r="7539" spans="1:2" x14ac:dyDescent="0.15">
      <c r="A7539" s="15"/>
      <c r="B7539" s="15"/>
    </row>
    <row r="7540" spans="1:2" x14ac:dyDescent="0.15">
      <c r="A7540" s="15"/>
      <c r="B7540" s="15"/>
    </row>
    <row r="7541" spans="1:2" x14ac:dyDescent="0.15">
      <c r="A7541" s="15"/>
      <c r="B7541" s="15"/>
    </row>
    <row r="7542" spans="1:2" x14ac:dyDescent="0.15">
      <c r="A7542" s="15"/>
      <c r="B7542" s="15"/>
    </row>
    <row r="7543" spans="1:2" x14ac:dyDescent="0.15">
      <c r="A7543" s="15"/>
      <c r="B7543" s="15"/>
    </row>
    <row r="7544" spans="1:2" x14ac:dyDescent="0.15">
      <c r="A7544" s="15"/>
      <c r="B7544" s="15"/>
    </row>
    <row r="7545" spans="1:2" x14ac:dyDescent="0.15">
      <c r="A7545" s="15"/>
      <c r="B7545" s="15"/>
    </row>
    <row r="7546" spans="1:2" x14ac:dyDescent="0.15">
      <c r="A7546" s="15"/>
      <c r="B7546" s="15"/>
    </row>
    <row r="7547" spans="1:2" x14ac:dyDescent="0.15">
      <c r="A7547" s="15"/>
      <c r="B7547" s="15"/>
    </row>
    <row r="7548" spans="1:2" x14ac:dyDescent="0.15">
      <c r="A7548" s="15"/>
      <c r="B7548" s="15"/>
    </row>
    <row r="7549" spans="1:2" x14ac:dyDescent="0.15">
      <c r="A7549" s="15"/>
      <c r="B7549" s="15"/>
    </row>
    <row r="7550" spans="1:2" x14ac:dyDescent="0.15">
      <c r="A7550" s="15"/>
      <c r="B7550" s="15"/>
    </row>
    <row r="7551" spans="1:2" x14ac:dyDescent="0.15">
      <c r="A7551" s="15"/>
      <c r="B7551" s="15"/>
    </row>
    <row r="7552" spans="1:2" x14ac:dyDescent="0.15">
      <c r="A7552" s="15"/>
      <c r="B7552" s="15"/>
    </row>
    <row r="7553" spans="1:2" x14ac:dyDescent="0.15">
      <c r="A7553" s="15"/>
      <c r="B7553" s="15"/>
    </row>
    <row r="7554" spans="1:2" x14ac:dyDescent="0.15">
      <c r="A7554" s="15"/>
      <c r="B7554" s="15"/>
    </row>
    <row r="7555" spans="1:2" x14ac:dyDescent="0.15">
      <c r="A7555" s="15"/>
      <c r="B7555" s="15"/>
    </row>
    <row r="7556" spans="1:2" x14ac:dyDescent="0.15">
      <c r="A7556" s="15"/>
      <c r="B7556" s="15"/>
    </row>
    <row r="7557" spans="1:2" x14ac:dyDescent="0.15">
      <c r="A7557" s="15"/>
      <c r="B7557" s="15"/>
    </row>
    <row r="7558" spans="1:2" x14ac:dyDescent="0.15">
      <c r="A7558" s="15"/>
      <c r="B7558" s="15"/>
    </row>
    <row r="7559" spans="1:2" x14ac:dyDescent="0.15">
      <c r="A7559" s="15"/>
      <c r="B7559" s="15"/>
    </row>
    <row r="7560" spans="1:2" x14ac:dyDescent="0.15">
      <c r="A7560" s="15"/>
      <c r="B7560" s="15"/>
    </row>
    <row r="7561" spans="1:2" x14ac:dyDescent="0.15">
      <c r="A7561" s="15"/>
      <c r="B7561" s="15"/>
    </row>
    <row r="7562" spans="1:2" x14ac:dyDescent="0.15">
      <c r="A7562" s="15"/>
      <c r="B7562" s="15"/>
    </row>
    <row r="7563" spans="1:2" x14ac:dyDescent="0.15">
      <c r="A7563" s="15"/>
      <c r="B7563" s="15"/>
    </row>
    <row r="7564" spans="1:2" x14ac:dyDescent="0.15">
      <c r="A7564" s="15"/>
      <c r="B7564" s="15"/>
    </row>
    <row r="7565" spans="1:2" x14ac:dyDescent="0.15">
      <c r="A7565" s="15"/>
      <c r="B7565" s="15"/>
    </row>
    <row r="7566" spans="1:2" x14ac:dyDescent="0.15">
      <c r="A7566" s="15"/>
      <c r="B7566" s="15"/>
    </row>
    <row r="7567" spans="1:2" x14ac:dyDescent="0.15">
      <c r="A7567" s="15"/>
      <c r="B7567" s="15"/>
    </row>
    <row r="7568" spans="1:2" x14ac:dyDescent="0.15">
      <c r="A7568" s="15"/>
      <c r="B7568" s="15"/>
    </row>
    <row r="7569" spans="1:2" x14ac:dyDescent="0.15">
      <c r="A7569" s="15"/>
      <c r="B7569" s="15"/>
    </row>
    <row r="7570" spans="1:2" x14ac:dyDescent="0.15">
      <c r="A7570" s="15"/>
      <c r="B7570" s="15"/>
    </row>
    <row r="7571" spans="1:2" x14ac:dyDescent="0.15">
      <c r="A7571" s="15"/>
      <c r="B7571" s="15"/>
    </row>
    <row r="7572" spans="1:2" x14ac:dyDescent="0.15">
      <c r="A7572" s="15"/>
      <c r="B7572" s="15"/>
    </row>
    <row r="7573" spans="1:2" x14ac:dyDescent="0.15">
      <c r="A7573" s="15"/>
      <c r="B7573" s="15"/>
    </row>
    <row r="7574" spans="1:2" x14ac:dyDescent="0.15">
      <c r="A7574" s="15"/>
      <c r="B7574" s="15"/>
    </row>
    <row r="7575" spans="1:2" x14ac:dyDescent="0.15">
      <c r="A7575" s="15"/>
      <c r="B7575" s="15"/>
    </row>
    <row r="7576" spans="1:2" x14ac:dyDescent="0.15">
      <c r="A7576" s="15"/>
      <c r="B7576" s="15"/>
    </row>
    <row r="7577" spans="1:2" x14ac:dyDescent="0.15">
      <c r="A7577" s="15"/>
      <c r="B7577" s="15"/>
    </row>
    <row r="7578" spans="1:2" x14ac:dyDescent="0.15">
      <c r="A7578" s="15"/>
      <c r="B7578" s="15"/>
    </row>
    <row r="7579" spans="1:2" x14ac:dyDescent="0.15">
      <c r="A7579" s="15"/>
      <c r="B7579" s="15"/>
    </row>
    <row r="7580" spans="1:2" x14ac:dyDescent="0.15">
      <c r="A7580" s="15"/>
      <c r="B7580" s="15"/>
    </row>
    <row r="7581" spans="1:2" x14ac:dyDescent="0.15">
      <c r="A7581" s="15"/>
      <c r="B7581" s="15"/>
    </row>
    <row r="7582" spans="1:2" x14ac:dyDescent="0.15">
      <c r="A7582" s="15"/>
      <c r="B7582" s="15"/>
    </row>
    <row r="7583" spans="1:2" x14ac:dyDescent="0.15">
      <c r="A7583" s="15"/>
      <c r="B7583" s="15"/>
    </row>
    <row r="7584" spans="1:2" x14ac:dyDescent="0.15">
      <c r="A7584" s="15"/>
      <c r="B7584" s="15"/>
    </row>
    <row r="7585" spans="1:2" x14ac:dyDescent="0.15">
      <c r="A7585" s="15"/>
      <c r="B7585" s="15"/>
    </row>
    <row r="7586" spans="1:2" x14ac:dyDescent="0.15">
      <c r="A7586" s="15"/>
      <c r="B7586" s="15"/>
    </row>
    <row r="7587" spans="1:2" x14ac:dyDescent="0.15">
      <c r="A7587" s="15"/>
      <c r="B7587" s="15"/>
    </row>
    <row r="7588" spans="1:2" x14ac:dyDescent="0.15">
      <c r="A7588" s="15"/>
      <c r="B7588" s="15"/>
    </row>
    <row r="7589" spans="1:2" x14ac:dyDescent="0.15">
      <c r="A7589" s="15"/>
      <c r="B7589" s="15"/>
    </row>
    <row r="7590" spans="1:2" x14ac:dyDescent="0.15">
      <c r="A7590" s="15"/>
      <c r="B7590" s="15"/>
    </row>
    <row r="7591" spans="1:2" x14ac:dyDescent="0.15">
      <c r="A7591" s="15"/>
      <c r="B7591" s="15"/>
    </row>
    <row r="7592" spans="1:2" x14ac:dyDescent="0.15">
      <c r="A7592" s="15"/>
      <c r="B7592" s="15"/>
    </row>
    <row r="7593" spans="1:2" x14ac:dyDescent="0.15">
      <c r="A7593" s="15"/>
      <c r="B7593" s="15"/>
    </row>
    <row r="7594" spans="1:2" x14ac:dyDescent="0.15">
      <c r="A7594" s="15"/>
      <c r="B7594" s="15"/>
    </row>
    <row r="7595" spans="1:2" x14ac:dyDescent="0.15">
      <c r="A7595" s="15"/>
      <c r="B7595" s="15"/>
    </row>
    <row r="7596" spans="1:2" x14ac:dyDescent="0.15">
      <c r="A7596" s="15"/>
      <c r="B7596" s="15"/>
    </row>
    <row r="7597" spans="1:2" x14ac:dyDescent="0.15">
      <c r="A7597" s="15"/>
      <c r="B7597" s="15"/>
    </row>
    <row r="7598" spans="1:2" x14ac:dyDescent="0.15">
      <c r="A7598" s="15"/>
      <c r="B7598" s="15"/>
    </row>
    <row r="7599" spans="1:2" x14ac:dyDescent="0.15">
      <c r="A7599" s="15"/>
      <c r="B7599" s="15"/>
    </row>
    <row r="7600" spans="1:2" x14ac:dyDescent="0.15">
      <c r="A7600" s="15"/>
      <c r="B7600" s="15"/>
    </row>
    <row r="7601" spans="1:2" x14ac:dyDescent="0.15">
      <c r="A7601" s="15"/>
      <c r="B7601" s="15"/>
    </row>
    <row r="7602" spans="1:2" x14ac:dyDescent="0.15">
      <c r="A7602" s="15"/>
      <c r="B7602" s="15"/>
    </row>
    <row r="7603" spans="1:2" x14ac:dyDescent="0.15">
      <c r="A7603" s="15"/>
      <c r="B7603" s="15"/>
    </row>
    <row r="7604" spans="1:2" x14ac:dyDescent="0.15">
      <c r="A7604" s="15"/>
      <c r="B7604" s="15"/>
    </row>
    <row r="7605" spans="1:2" x14ac:dyDescent="0.15">
      <c r="A7605" s="15"/>
      <c r="B7605" s="15"/>
    </row>
    <row r="7606" spans="1:2" x14ac:dyDescent="0.15">
      <c r="A7606" s="15"/>
      <c r="B7606" s="15"/>
    </row>
    <row r="7607" spans="1:2" x14ac:dyDescent="0.15">
      <c r="A7607" s="15"/>
      <c r="B7607" s="15"/>
    </row>
    <row r="7608" spans="1:2" x14ac:dyDescent="0.15">
      <c r="A7608" s="15"/>
      <c r="B7608" s="15"/>
    </row>
    <row r="7609" spans="1:2" x14ac:dyDescent="0.15">
      <c r="A7609" s="15"/>
      <c r="B7609" s="15"/>
    </row>
    <row r="7610" spans="1:2" x14ac:dyDescent="0.15">
      <c r="A7610" s="15"/>
      <c r="B7610" s="15"/>
    </row>
    <row r="7611" spans="1:2" x14ac:dyDescent="0.15">
      <c r="A7611" s="15"/>
      <c r="B7611" s="15"/>
    </row>
    <row r="7612" spans="1:2" x14ac:dyDescent="0.15">
      <c r="A7612" s="15"/>
      <c r="B7612" s="15"/>
    </row>
    <row r="7613" spans="1:2" x14ac:dyDescent="0.15">
      <c r="A7613" s="15"/>
      <c r="B7613" s="15"/>
    </row>
    <row r="7614" spans="1:2" x14ac:dyDescent="0.15">
      <c r="A7614" s="15"/>
      <c r="B7614" s="15"/>
    </row>
    <row r="7615" spans="1:2" x14ac:dyDescent="0.15">
      <c r="A7615" s="15"/>
      <c r="B7615" s="15"/>
    </row>
    <row r="7616" spans="1:2" x14ac:dyDescent="0.15">
      <c r="A7616" s="15"/>
      <c r="B7616" s="15"/>
    </row>
    <row r="7617" spans="1:2" x14ac:dyDescent="0.15">
      <c r="A7617" s="15"/>
      <c r="B7617" s="15"/>
    </row>
    <row r="7618" spans="1:2" x14ac:dyDescent="0.15">
      <c r="A7618" s="15"/>
      <c r="B7618" s="15"/>
    </row>
    <row r="7619" spans="1:2" x14ac:dyDescent="0.15">
      <c r="A7619" s="15"/>
      <c r="B7619" s="15"/>
    </row>
    <row r="7620" spans="1:2" x14ac:dyDescent="0.15">
      <c r="A7620" s="15"/>
      <c r="B7620" s="15"/>
    </row>
    <row r="7621" spans="1:2" x14ac:dyDescent="0.15">
      <c r="A7621" s="15"/>
      <c r="B7621" s="15"/>
    </row>
    <row r="7622" spans="1:2" x14ac:dyDescent="0.15">
      <c r="A7622" s="15"/>
      <c r="B7622" s="15"/>
    </row>
    <row r="7623" spans="1:2" x14ac:dyDescent="0.15">
      <c r="A7623" s="15"/>
      <c r="B7623" s="15"/>
    </row>
    <row r="7624" spans="1:2" x14ac:dyDescent="0.15">
      <c r="A7624" s="15"/>
      <c r="B7624" s="15"/>
    </row>
    <row r="7625" spans="1:2" x14ac:dyDescent="0.15">
      <c r="A7625" s="15"/>
      <c r="B7625" s="15"/>
    </row>
    <row r="7626" spans="1:2" x14ac:dyDescent="0.15">
      <c r="A7626" s="15"/>
      <c r="B7626" s="15"/>
    </row>
    <row r="7627" spans="1:2" x14ac:dyDescent="0.15">
      <c r="A7627" s="15"/>
      <c r="B7627" s="15"/>
    </row>
    <row r="7628" spans="1:2" x14ac:dyDescent="0.15">
      <c r="A7628" s="15"/>
      <c r="B7628" s="15"/>
    </row>
    <row r="7629" spans="1:2" x14ac:dyDescent="0.15">
      <c r="A7629" s="15"/>
      <c r="B7629" s="15"/>
    </row>
    <row r="7630" spans="1:2" x14ac:dyDescent="0.15">
      <c r="A7630" s="15"/>
      <c r="B7630" s="15"/>
    </row>
    <row r="7631" spans="1:2" x14ac:dyDescent="0.15">
      <c r="A7631" s="15"/>
      <c r="B7631" s="15"/>
    </row>
    <row r="7632" spans="1:2" x14ac:dyDescent="0.15">
      <c r="A7632" s="15"/>
      <c r="B7632" s="15"/>
    </row>
    <row r="7633" spans="1:2" x14ac:dyDescent="0.15">
      <c r="A7633" s="15"/>
      <c r="B7633" s="15"/>
    </row>
    <row r="7634" spans="1:2" x14ac:dyDescent="0.15">
      <c r="A7634" s="15"/>
      <c r="B7634" s="15"/>
    </row>
    <row r="7635" spans="1:2" x14ac:dyDescent="0.15">
      <c r="A7635" s="15"/>
      <c r="B7635" s="15"/>
    </row>
    <row r="7636" spans="1:2" x14ac:dyDescent="0.15">
      <c r="A7636" s="15"/>
      <c r="B7636" s="15"/>
    </row>
    <row r="7637" spans="1:2" x14ac:dyDescent="0.15">
      <c r="A7637" s="15"/>
      <c r="B7637" s="15"/>
    </row>
    <row r="7638" spans="1:2" x14ac:dyDescent="0.15">
      <c r="A7638" s="15"/>
      <c r="B7638" s="15"/>
    </row>
    <row r="7639" spans="1:2" x14ac:dyDescent="0.15">
      <c r="A7639" s="15"/>
      <c r="B7639" s="15"/>
    </row>
    <row r="7640" spans="1:2" x14ac:dyDescent="0.15">
      <c r="A7640" s="15"/>
      <c r="B7640" s="15"/>
    </row>
    <row r="7641" spans="1:2" x14ac:dyDescent="0.15">
      <c r="A7641" s="15"/>
      <c r="B7641" s="15"/>
    </row>
    <row r="7642" spans="1:2" x14ac:dyDescent="0.15">
      <c r="A7642" s="15"/>
      <c r="B7642" s="15"/>
    </row>
    <row r="7643" spans="1:2" x14ac:dyDescent="0.15">
      <c r="A7643" s="15"/>
      <c r="B7643" s="15"/>
    </row>
    <row r="7644" spans="1:2" x14ac:dyDescent="0.15">
      <c r="A7644" s="15"/>
      <c r="B7644" s="15"/>
    </row>
    <row r="7645" spans="1:2" x14ac:dyDescent="0.15">
      <c r="A7645" s="15"/>
      <c r="B7645" s="15"/>
    </row>
    <row r="7646" spans="1:2" x14ac:dyDescent="0.15">
      <c r="A7646" s="15"/>
      <c r="B7646" s="15"/>
    </row>
    <row r="7647" spans="1:2" x14ac:dyDescent="0.15">
      <c r="A7647" s="15"/>
      <c r="B7647" s="15"/>
    </row>
    <row r="7648" spans="1:2" x14ac:dyDescent="0.15">
      <c r="A7648" s="15"/>
      <c r="B7648" s="15"/>
    </row>
    <row r="7649" spans="1:2" x14ac:dyDescent="0.15">
      <c r="A7649" s="15"/>
      <c r="B7649" s="15"/>
    </row>
    <row r="7650" spans="1:2" x14ac:dyDescent="0.15">
      <c r="A7650" s="15"/>
      <c r="B7650" s="15"/>
    </row>
    <row r="7651" spans="1:2" x14ac:dyDescent="0.15">
      <c r="A7651" s="15"/>
      <c r="B7651" s="15"/>
    </row>
    <row r="7652" spans="1:2" x14ac:dyDescent="0.15">
      <c r="A7652" s="15"/>
      <c r="B7652" s="15"/>
    </row>
    <row r="7653" spans="1:2" x14ac:dyDescent="0.15">
      <c r="A7653" s="15"/>
      <c r="B7653" s="15"/>
    </row>
    <row r="7654" spans="1:2" x14ac:dyDescent="0.15">
      <c r="A7654" s="15"/>
      <c r="B7654" s="15"/>
    </row>
    <row r="7655" spans="1:2" x14ac:dyDescent="0.15">
      <c r="A7655" s="15"/>
      <c r="B7655" s="15"/>
    </row>
    <row r="7656" spans="1:2" x14ac:dyDescent="0.15">
      <c r="A7656" s="15"/>
      <c r="B7656" s="15"/>
    </row>
    <row r="7657" spans="1:2" x14ac:dyDescent="0.15">
      <c r="A7657" s="15"/>
      <c r="B7657" s="15"/>
    </row>
    <row r="7658" spans="1:2" x14ac:dyDescent="0.15">
      <c r="A7658" s="15"/>
      <c r="B7658" s="15"/>
    </row>
    <row r="7659" spans="1:2" x14ac:dyDescent="0.15">
      <c r="A7659" s="15"/>
      <c r="B7659" s="15"/>
    </row>
    <row r="7660" spans="1:2" x14ac:dyDescent="0.15">
      <c r="A7660" s="15"/>
      <c r="B7660" s="15"/>
    </row>
    <row r="7661" spans="1:2" x14ac:dyDescent="0.15">
      <c r="A7661" s="15"/>
      <c r="B7661" s="15"/>
    </row>
    <row r="7662" spans="1:2" x14ac:dyDescent="0.15">
      <c r="A7662" s="15"/>
      <c r="B7662" s="15"/>
    </row>
    <row r="7663" spans="1:2" x14ac:dyDescent="0.15">
      <c r="A7663" s="15"/>
      <c r="B7663" s="15"/>
    </row>
    <row r="7664" spans="1:2" x14ac:dyDescent="0.15">
      <c r="A7664" s="15"/>
      <c r="B7664" s="15"/>
    </row>
    <row r="7665" spans="1:2" x14ac:dyDescent="0.15">
      <c r="A7665" s="15"/>
      <c r="B7665" s="15"/>
    </row>
    <row r="7666" spans="1:2" x14ac:dyDescent="0.15">
      <c r="A7666" s="15"/>
      <c r="B7666" s="15"/>
    </row>
    <row r="7667" spans="1:2" x14ac:dyDescent="0.15">
      <c r="A7667" s="15"/>
      <c r="B7667" s="15"/>
    </row>
    <row r="7668" spans="1:2" x14ac:dyDescent="0.15">
      <c r="A7668" s="15"/>
      <c r="B7668" s="15"/>
    </row>
    <row r="7669" spans="1:2" x14ac:dyDescent="0.15">
      <c r="A7669" s="15"/>
      <c r="B7669" s="15"/>
    </row>
    <row r="7670" spans="1:2" x14ac:dyDescent="0.15">
      <c r="A7670" s="15"/>
      <c r="B7670" s="15"/>
    </row>
    <row r="7671" spans="1:2" x14ac:dyDescent="0.15">
      <c r="A7671" s="15"/>
      <c r="B7671" s="15"/>
    </row>
    <row r="7672" spans="1:2" x14ac:dyDescent="0.15">
      <c r="A7672" s="15"/>
      <c r="B7672" s="15"/>
    </row>
    <row r="7673" spans="1:2" x14ac:dyDescent="0.15">
      <c r="A7673" s="15"/>
      <c r="B7673" s="15"/>
    </row>
    <row r="7674" spans="1:2" x14ac:dyDescent="0.15">
      <c r="A7674" s="15"/>
      <c r="B7674" s="15"/>
    </row>
    <row r="7675" spans="1:2" x14ac:dyDescent="0.15">
      <c r="A7675" s="15"/>
      <c r="B7675" s="15"/>
    </row>
    <row r="7676" spans="1:2" x14ac:dyDescent="0.15">
      <c r="A7676" s="15"/>
      <c r="B7676" s="15"/>
    </row>
    <row r="7677" spans="1:2" x14ac:dyDescent="0.15">
      <c r="A7677" s="15"/>
      <c r="B7677" s="15"/>
    </row>
    <row r="7678" spans="1:2" x14ac:dyDescent="0.15">
      <c r="A7678" s="15"/>
      <c r="B7678" s="15"/>
    </row>
    <row r="7679" spans="1:2" x14ac:dyDescent="0.15">
      <c r="A7679" s="15"/>
      <c r="B7679" s="15"/>
    </row>
    <row r="7680" spans="1:2" x14ac:dyDescent="0.15">
      <c r="A7680" s="15"/>
      <c r="B7680" s="15"/>
    </row>
    <row r="7681" spans="1:2" x14ac:dyDescent="0.15">
      <c r="A7681" s="15"/>
      <c r="B7681" s="15"/>
    </row>
    <row r="7682" spans="1:2" x14ac:dyDescent="0.15">
      <c r="A7682" s="15"/>
      <c r="B7682" s="15"/>
    </row>
    <row r="7683" spans="1:2" x14ac:dyDescent="0.15">
      <c r="A7683" s="15"/>
      <c r="B7683" s="15"/>
    </row>
    <row r="7684" spans="1:2" x14ac:dyDescent="0.15">
      <c r="A7684" s="15"/>
      <c r="B7684" s="15"/>
    </row>
    <row r="7685" spans="1:2" x14ac:dyDescent="0.15">
      <c r="A7685" s="15"/>
      <c r="B7685" s="15"/>
    </row>
    <row r="7686" spans="1:2" x14ac:dyDescent="0.15">
      <c r="A7686" s="15"/>
      <c r="B7686" s="15"/>
    </row>
    <row r="7687" spans="1:2" x14ac:dyDescent="0.15">
      <c r="A7687" s="15"/>
      <c r="B7687" s="15"/>
    </row>
    <row r="7688" spans="1:2" x14ac:dyDescent="0.15">
      <c r="A7688" s="15"/>
      <c r="B7688" s="15"/>
    </row>
    <row r="7689" spans="1:2" x14ac:dyDescent="0.15">
      <c r="A7689" s="15"/>
      <c r="B7689" s="15"/>
    </row>
    <row r="7690" spans="1:2" x14ac:dyDescent="0.15">
      <c r="A7690" s="15"/>
      <c r="B7690" s="15"/>
    </row>
    <row r="7691" spans="1:2" x14ac:dyDescent="0.15">
      <c r="A7691" s="15"/>
      <c r="B7691" s="15"/>
    </row>
    <row r="7692" spans="1:2" x14ac:dyDescent="0.15">
      <c r="A7692" s="15"/>
      <c r="B7692" s="15"/>
    </row>
    <row r="7693" spans="1:2" x14ac:dyDescent="0.15">
      <c r="A7693" s="15"/>
      <c r="B7693" s="15"/>
    </row>
    <row r="7694" spans="1:2" x14ac:dyDescent="0.15">
      <c r="A7694" s="15"/>
      <c r="B7694" s="15"/>
    </row>
    <row r="7695" spans="1:2" x14ac:dyDescent="0.15">
      <c r="A7695" s="15"/>
      <c r="B7695" s="15"/>
    </row>
    <row r="7696" spans="1:2" x14ac:dyDescent="0.15">
      <c r="A7696" s="15"/>
      <c r="B7696" s="15"/>
    </row>
    <row r="7697" spans="1:2" x14ac:dyDescent="0.15">
      <c r="A7697" s="15"/>
      <c r="B7697" s="15"/>
    </row>
    <row r="7698" spans="1:2" x14ac:dyDescent="0.15">
      <c r="A7698" s="15"/>
      <c r="B7698" s="15"/>
    </row>
    <row r="7699" spans="1:2" x14ac:dyDescent="0.15">
      <c r="A7699" s="15"/>
      <c r="B7699" s="15"/>
    </row>
    <row r="7700" spans="1:2" x14ac:dyDescent="0.15">
      <c r="A7700" s="15"/>
      <c r="B7700" s="15"/>
    </row>
    <row r="7701" spans="1:2" x14ac:dyDescent="0.15">
      <c r="A7701" s="15"/>
      <c r="B7701" s="15"/>
    </row>
    <row r="7702" spans="1:2" x14ac:dyDescent="0.15">
      <c r="A7702" s="15"/>
      <c r="B7702" s="15"/>
    </row>
    <row r="7703" spans="1:2" x14ac:dyDescent="0.15">
      <c r="A7703" s="15"/>
      <c r="B7703" s="15"/>
    </row>
    <row r="7704" spans="1:2" x14ac:dyDescent="0.15">
      <c r="A7704" s="15"/>
      <c r="B7704" s="15"/>
    </row>
    <row r="7705" spans="1:2" x14ac:dyDescent="0.15">
      <c r="A7705" s="15"/>
      <c r="B7705" s="15"/>
    </row>
    <row r="7706" spans="1:2" x14ac:dyDescent="0.15">
      <c r="A7706" s="15"/>
      <c r="B7706" s="15"/>
    </row>
    <row r="7707" spans="1:2" x14ac:dyDescent="0.15">
      <c r="A7707" s="15"/>
      <c r="B7707" s="15"/>
    </row>
    <row r="7708" spans="1:2" x14ac:dyDescent="0.15">
      <c r="A7708" s="15"/>
      <c r="B7708" s="15"/>
    </row>
    <row r="7709" spans="1:2" x14ac:dyDescent="0.15">
      <c r="A7709" s="15"/>
      <c r="B7709" s="15"/>
    </row>
    <row r="7710" spans="1:2" x14ac:dyDescent="0.15">
      <c r="A7710" s="15"/>
      <c r="B7710" s="15"/>
    </row>
    <row r="7711" spans="1:2" x14ac:dyDescent="0.15">
      <c r="A7711" s="15"/>
      <c r="B7711" s="15"/>
    </row>
    <row r="7712" spans="1:2" x14ac:dyDescent="0.15">
      <c r="A7712" s="15"/>
      <c r="B7712" s="15"/>
    </row>
    <row r="7713" spans="1:2" x14ac:dyDescent="0.15">
      <c r="A7713" s="15"/>
      <c r="B7713" s="15"/>
    </row>
    <row r="7714" spans="1:2" x14ac:dyDescent="0.15">
      <c r="A7714" s="15"/>
      <c r="B7714" s="15"/>
    </row>
    <row r="7715" spans="1:2" x14ac:dyDescent="0.15">
      <c r="A7715" s="15"/>
      <c r="B7715" s="15"/>
    </row>
    <row r="7716" spans="1:2" x14ac:dyDescent="0.15">
      <c r="A7716" s="15"/>
      <c r="B7716" s="15"/>
    </row>
    <row r="7717" spans="1:2" x14ac:dyDescent="0.15">
      <c r="A7717" s="15"/>
      <c r="B7717" s="15"/>
    </row>
    <row r="7718" spans="1:2" x14ac:dyDescent="0.15">
      <c r="A7718" s="15"/>
      <c r="B7718" s="15"/>
    </row>
    <row r="7719" spans="1:2" x14ac:dyDescent="0.15">
      <c r="A7719" s="15"/>
      <c r="B7719" s="15"/>
    </row>
    <row r="7720" spans="1:2" x14ac:dyDescent="0.15">
      <c r="A7720" s="15"/>
      <c r="B7720" s="15"/>
    </row>
    <row r="7721" spans="1:2" x14ac:dyDescent="0.15">
      <c r="A7721" s="15"/>
      <c r="B7721" s="15"/>
    </row>
    <row r="7722" spans="1:2" x14ac:dyDescent="0.15">
      <c r="A7722" s="15"/>
      <c r="B7722" s="15"/>
    </row>
    <row r="7723" spans="1:2" x14ac:dyDescent="0.15">
      <c r="A7723" s="15"/>
      <c r="B7723" s="15"/>
    </row>
    <row r="7724" spans="1:2" x14ac:dyDescent="0.15">
      <c r="A7724" s="15"/>
      <c r="B7724" s="15"/>
    </row>
    <row r="7725" spans="1:2" x14ac:dyDescent="0.15">
      <c r="A7725" s="15"/>
      <c r="B7725" s="15"/>
    </row>
    <row r="7726" spans="1:2" x14ac:dyDescent="0.15">
      <c r="A7726" s="15"/>
      <c r="B7726" s="15"/>
    </row>
    <row r="7727" spans="1:2" x14ac:dyDescent="0.15">
      <c r="A7727" s="15"/>
      <c r="B7727" s="15"/>
    </row>
    <row r="7728" spans="1:2" x14ac:dyDescent="0.15">
      <c r="A7728" s="15"/>
      <c r="B7728" s="15"/>
    </row>
    <row r="7729" spans="1:2" x14ac:dyDescent="0.15">
      <c r="A7729" s="15"/>
      <c r="B7729" s="15"/>
    </row>
    <row r="7730" spans="1:2" x14ac:dyDescent="0.15">
      <c r="A7730" s="15"/>
      <c r="B7730" s="15"/>
    </row>
    <row r="7731" spans="1:2" x14ac:dyDescent="0.15">
      <c r="A7731" s="15"/>
      <c r="B7731" s="15"/>
    </row>
    <row r="7732" spans="1:2" x14ac:dyDescent="0.15">
      <c r="A7732" s="15"/>
      <c r="B7732" s="15"/>
    </row>
    <row r="7733" spans="1:2" x14ac:dyDescent="0.15">
      <c r="A7733" s="15"/>
      <c r="B7733" s="15"/>
    </row>
    <row r="7734" spans="1:2" x14ac:dyDescent="0.15">
      <c r="A7734" s="15"/>
      <c r="B7734" s="15"/>
    </row>
    <row r="7735" spans="1:2" x14ac:dyDescent="0.15">
      <c r="A7735" s="15"/>
      <c r="B7735" s="15"/>
    </row>
    <row r="7736" spans="1:2" x14ac:dyDescent="0.15">
      <c r="A7736" s="15"/>
      <c r="B7736" s="15"/>
    </row>
    <row r="7737" spans="1:2" x14ac:dyDescent="0.15">
      <c r="A7737" s="15"/>
      <c r="B7737" s="15"/>
    </row>
    <row r="7738" spans="1:2" x14ac:dyDescent="0.15">
      <c r="A7738" s="15"/>
      <c r="B7738" s="15"/>
    </row>
    <row r="7739" spans="1:2" x14ac:dyDescent="0.15">
      <c r="A7739" s="15"/>
      <c r="B7739" s="15"/>
    </row>
    <row r="7740" spans="1:2" x14ac:dyDescent="0.15">
      <c r="A7740" s="15"/>
      <c r="B7740" s="15"/>
    </row>
    <row r="7741" spans="1:2" x14ac:dyDescent="0.15">
      <c r="A7741" s="15"/>
      <c r="B7741" s="15"/>
    </row>
    <row r="7742" spans="1:2" x14ac:dyDescent="0.15">
      <c r="A7742" s="15"/>
      <c r="B7742" s="15"/>
    </row>
    <row r="7743" spans="1:2" x14ac:dyDescent="0.15">
      <c r="A7743" s="15"/>
      <c r="B7743" s="15"/>
    </row>
    <row r="7744" spans="1:2" x14ac:dyDescent="0.15">
      <c r="A7744" s="15"/>
      <c r="B7744" s="15"/>
    </row>
    <row r="7745" spans="1:2" x14ac:dyDescent="0.15">
      <c r="A7745" s="15"/>
      <c r="B7745" s="15"/>
    </row>
    <row r="7746" spans="1:2" x14ac:dyDescent="0.15">
      <c r="A7746" s="15"/>
      <c r="B7746" s="15"/>
    </row>
    <row r="7747" spans="1:2" x14ac:dyDescent="0.15">
      <c r="A7747" s="15"/>
      <c r="B7747" s="15"/>
    </row>
    <row r="7748" spans="1:2" x14ac:dyDescent="0.15">
      <c r="A7748" s="15"/>
      <c r="B7748" s="15"/>
    </row>
    <row r="7749" spans="1:2" x14ac:dyDescent="0.15">
      <c r="A7749" s="15"/>
      <c r="B7749" s="15"/>
    </row>
    <row r="7750" spans="1:2" x14ac:dyDescent="0.15">
      <c r="A7750" s="15"/>
      <c r="B7750" s="15"/>
    </row>
    <row r="7751" spans="1:2" x14ac:dyDescent="0.15">
      <c r="A7751" s="15"/>
      <c r="B7751" s="15"/>
    </row>
    <row r="7752" spans="1:2" x14ac:dyDescent="0.15">
      <c r="A7752" s="15"/>
      <c r="B7752" s="15"/>
    </row>
    <row r="7753" spans="1:2" x14ac:dyDescent="0.15">
      <c r="A7753" s="15"/>
      <c r="B7753" s="15"/>
    </row>
    <row r="7754" spans="1:2" x14ac:dyDescent="0.15">
      <c r="A7754" s="15"/>
      <c r="B7754" s="15"/>
    </row>
    <row r="7755" spans="1:2" x14ac:dyDescent="0.15">
      <c r="A7755" s="15"/>
      <c r="B7755" s="15"/>
    </row>
    <row r="7756" spans="1:2" x14ac:dyDescent="0.15">
      <c r="A7756" s="15"/>
      <c r="B7756" s="15"/>
    </row>
    <row r="7757" spans="1:2" x14ac:dyDescent="0.15">
      <c r="A7757" s="15"/>
      <c r="B7757" s="15"/>
    </row>
    <row r="7758" spans="1:2" x14ac:dyDescent="0.15">
      <c r="A7758" s="15"/>
      <c r="B7758" s="15"/>
    </row>
    <row r="7759" spans="1:2" x14ac:dyDescent="0.15">
      <c r="A7759" s="15"/>
      <c r="B7759" s="15"/>
    </row>
    <row r="7760" spans="1:2" x14ac:dyDescent="0.15">
      <c r="A7760" s="15"/>
      <c r="B7760" s="15"/>
    </row>
    <row r="7761" spans="1:2" x14ac:dyDescent="0.15">
      <c r="A7761" s="15"/>
      <c r="B7761" s="15"/>
    </row>
    <row r="7762" spans="1:2" x14ac:dyDescent="0.15">
      <c r="A7762" s="15"/>
      <c r="B7762" s="15"/>
    </row>
    <row r="7763" spans="1:2" x14ac:dyDescent="0.15">
      <c r="A7763" s="15"/>
      <c r="B7763" s="15"/>
    </row>
    <row r="7764" spans="1:2" x14ac:dyDescent="0.15">
      <c r="A7764" s="15"/>
      <c r="B7764" s="15"/>
    </row>
    <row r="7765" spans="1:2" x14ac:dyDescent="0.15">
      <c r="A7765" s="15"/>
      <c r="B7765" s="15"/>
    </row>
    <row r="7766" spans="1:2" x14ac:dyDescent="0.15">
      <c r="A7766" s="15"/>
      <c r="B7766" s="15"/>
    </row>
    <row r="7767" spans="1:2" x14ac:dyDescent="0.15">
      <c r="A7767" s="15"/>
      <c r="B7767" s="15"/>
    </row>
    <row r="7768" spans="1:2" x14ac:dyDescent="0.15">
      <c r="A7768" s="15"/>
      <c r="B7768" s="15"/>
    </row>
    <row r="7769" spans="1:2" x14ac:dyDescent="0.15">
      <c r="A7769" s="15"/>
      <c r="B7769" s="15"/>
    </row>
    <row r="7770" spans="1:2" x14ac:dyDescent="0.15">
      <c r="A7770" s="15"/>
      <c r="B7770" s="15"/>
    </row>
    <row r="7771" spans="1:2" x14ac:dyDescent="0.15">
      <c r="A7771" s="15"/>
      <c r="B7771" s="15"/>
    </row>
    <row r="7772" spans="1:2" x14ac:dyDescent="0.15">
      <c r="A7772" s="15"/>
      <c r="B7772" s="15"/>
    </row>
    <row r="7773" spans="1:2" x14ac:dyDescent="0.15">
      <c r="A7773" s="15"/>
      <c r="B7773" s="15"/>
    </row>
    <row r="7774" spans="1:2" x14ac:dyDescent="0.15">
      <c r="A7774" s="15"/>
      <c r="B7774" s="15"/>
    </row>
    <row r="7775" spans="1:2" x14ac:dyDescent="0.15">
      <c r="A7775" s="15"/>
      <c r="B7775" s="15"/>
    </row>
    <row r="7776" spans="1:2" x14ac:dyDescent="0.15">
      <c r="A7776" s="15"/>
      <c r="B7776" s="15"/>
    </row>
    <row r="7777" spans="1:2" x14ac:dyDescent="0.15">
      <c r="A7777" s="15"/>
      <c r="B7777" s="15"/>
    </row>
    <row r="7778" spans="1:2" x14ac:dyDescent="0.15">
      <c r="A7778" s="15"/>
      <c r="B7778" s="15"/>
    </row>
    <row r="7779" spans="1:2" x14ac:dyDescent="0.15">
      <c r="A7779" s="15"/>
      <c r="B7779" s="15"/>
    </row>
    <row r="7780" spans="1:2" x14ac:dyDescent="0.15">
      <c r="A7780" s="15"/>
      <c r="B7780" s="15"/>
    </row>
    <row r="7781" spans="1:2" x14ac:dyDescent="0.15">
      <c r="A7781" s="15"/>
      <c r="B7781" s="15"/>
    </row>
    <row r="7782" spans="1:2" x14ac:dyDescent="0.15">
      <c r="A7782" s="15"/>
      <c r="B7782" s="15"/>
    </row>
    <row r="7783" spans="1:2" x14ac:dyDescent="0.15">
      <c r="A7783" s="15"/>
      <c r="B7783" s="15"/>
    </row>
    <row r="7784" spans="1:2" x14ac:dyDescent="0.15">
      <c r="A7784" s="15"/>
      <c r="B7784" s="15"/>
    </row>
    <row r="7785" spans="1:2" x14ac:dyDescent="0.15">
      <c r="A7785" s="15"/>
      <c r="B7785" s="15"/>
    </row>
    <row r="7786" spans="1:2" x14ac:dyDescent="0.15">
      <c r="A7786" s="15"/>
      <c r="B7786" s="15"/>
    </row>
    <row r="7787" spans="1:2" x14ac:dyDescent="0.15">
      <c r="A7787" s="15"/>
      <c r="B7787" s="15"/>
    </row>
    <row r="7788" spans="1:2" x14ac:dyDescent="0.15">
      <c r="A7788" s="15"/>
      <c r="B7788" s="15"/>
    </row>
    <row r="7789" spans="1:2" x14ac:dyDescent="0.15">
      <c r="A7789" s="15"/>
      <c r="B7789" s="15"/>
    </row>
    <row r="7790" spans="1:2" x14ac:dyDescent="0.15">
      <c r="A7790" s="15"/>
      <c r="B7790" s="15"/>
    </row>
    <row r="7791" spans="1:2" x14ac:dyDescent="0.15">
      <c r="A7791" s="15"/>
      <c r="B7791" s="15"/>
    </row>
    <row r="7792" spans="1:2" x14ac:dyDescent="0.15">
      <c r="A7792" s="15"/>
      <c r="B7792" s="15"/>
    </row>
    <row r="7793" spans="1:2" x14ac:dyDescent="0.15">
      <c r="A7793" s="15"/>
      <c r="B7793" s="15"/>
    </row>
    <row r="7794" spans="1:2" x14ac:dyDescent="0.15">
      <c r="A7794" s="15"/>
      <c r="B7794" s="15"/>
    </row>
    <row r="7795" spans="1:2" x14ac:dyDescent="0.15">
      <c r="A7795" s="15"/>
      <c r="B7795" s="15"/>
    </row>
    <row r="7796" spans="1:2" x14ac:dyDescent="0.15">
      <c r="A7796" s="15"/>
      <c r="B7796" s="15"/>
    </row>
    <row r="7797" spans="1:2" x14ac:dyDescent="0.15">
      <c r="A7797" s="15"/>
      <c r="B7797" s="15"/>
    </row>
    <row r="7798" spans="1:2" x14ac:dyDescent="0.15">
      <c r="A7798" s="15"/>
      <c r="B7798" s="15"/>
    </row>
    <row r="7799" spans="1:2" x14ac:dyDescent="0.15">
      <c r="A7799" s="15"/>
      <c r="B7799" s="15"/>
    </row>
    <row r="7800" spans="1:2" x14ac:dyDescent="0.15">
      <c r="A7800" s="15"/>
      <c r="B7800" s="15"/>
    </row>
    <row r="7801" spans="1:2" x14ac:dyDescent="0.15">
      <c r="A7801" s="15"/>
      <c r="B7801" s="15"/>
    </row>
    <row r="7802" spans="1:2" x14ac:dyDescent="0.15">
      <c r="A7802" s="15"/>
      <c r="B7802" s="15"/>
    </row>
    <row r="7803" spans="1:2" x14ac:dyDescent="0.15">
      <c r="A7803" s="15"/>
      <c r="B7803" s="15"/>
    </row>
    <row r="7804" spans="1:2" x14ac:dyDescent="0.15">
      <c r="A7804" s="15"/>
      <c r="B7804" s="15"/>
    </row>
    <row r="7805" spans="1:2" x14ac:dyDescent="0.15">
      <c r="A7805" s="15"/>
      <c r="B7805" s="15"/>
    </row>
    <row r="7806" spans="1:2" x14ac:dyDescent="0.15">
      <c r="A7806" s="15"/>
      <c r="B7806" s="15"/>
    </row>
    <row r="7807" spans="1:2" x14ac:dyDescent="0.15">
      <c r="A7807" s="15"/>
      <c r="B7807" s="15"/>
    </row>
    <row r="7808" spans="1:2" x14ac:dyDescent="0.15">
      <c r="A7808" s="15"/>
      <c r="B7808" s="15"/>
    </row>
    <row r="7809" spans="1:2" x14ac:dyDescent="0.15">
      <c r="A7809" s="15"/>
      <c r="B7809" s="15"/>
    </row>
    <row r="7810" spans="1:2" x14ac:dyDescent="0.15">
      <c r="A7810" s="15"/>
      <c r="B7810" s="15"/>
    </row>
    <row r="7811" spans="1:2" x14ac:dyDescent="0.15">
      <c r="A7811" s="15"/>
      <c r="B7811" s="15"/>
    </row>
    <row r="7812" spans="1:2" x14ac:dyDescent="0.15">
      <c r="A7812" s="15"/>
      <c r="B7812" s="15"/>
    </row>
    <row r="7813" spans="1:2" x14ac:dyDescent="0.15">
      <c r="A7813" s="15"/>
      <c r="B7813" s="15"/>
    </row>
    <row r="7814" spans="1:2" x14ac:dyDescent="0.15">
      <c r="A7814" s="15"/>
      <c r="B7814" s="15"/>
    </row>
    <row r="7815" spans="1:2" x14ac:dyDescent="0.15">
      <c r="A7815" s="15"/>
      <c r="B7815" s="15"/>
    </row>
    <row r="7816" spans="1:2" x14ac:dyDescent="0.15">
      <c r="A7816" s="15"/>
      <c r="B7816" s="15"/>
    </row>
    <row r="7817" spans="1:2" x14ac:dyDescent="0.15">
      <c r="A7817" s="15"/>
      <c r="B7817" s="15"/>
    </row>
    <row r="7818" spans="1:2" x14ac:dyDescent="0.15">
      <c r="A7818" s="15"/>
      <c r="B7818" s="15"/>
    </row>
    <row r="7819" spans="1:2" x14ac:dyDescent="0.15">
      <c r="A7819" s="15"/>
      <c r="B7819" s="15"/>
    </row>
    <row r="7820" spans="1:2" x14ac:dyDescent="0.15">
      <c r="A7820" s="15"/>
      <c r="B7820" s="15"/>
    </row>
    <row r="7821" spans="1:2" x14ac:dyDescent="0.15">
      <c r="A7821" s="15"/>
      <c r="B7821" s="15"/>
    </row>
    <row r="7822" spans="1:2" x14ac:dyDescent="0.15">
      <c r="A7822" s="15"/>
      <c r="B7822" s="15"/>
    </row>
    <row r="7823" spans="1:2" x14ac:dyDescent="0.15">
      <c r="A7823" s="15"/>
      <c r="B7823" s="15"/>
    </row>
    <row r="7824" spans="1:2" x14ac:dyDescent="0.15">
      <c r="A7824" s="15"/>
      <c r="B7824" s="15"/>
    </row>
    <row r="7825" spans="1:2" x14ac:dyDescent="0.15">
      <c r="A7825" s="15"/>
      <c r="B7825" s="15"/>
    </row>
    <row r="7826" spans="1:2" x14ac:dyDescent="0.15">
      <c r="A7826" s="15"/>
      <c r="B7826" s="15"/>
    </row>
    <row r="7827" spans="1:2" x14ac:dyDescent="0.15">
      <c r="A7827" s="15"/>
      <c r="B7827" s="15"/>
    </row>
    <row r="7828" spans="1:2" x14ac:dyDescent="0.15">
      <c r="A7828" s="15"/>
      <c r="B7828" s="15"/>
    </row>
    <row r="7829" spans="1:2" x14ac:dyDescent="0.15">
      <c r="A7829" s="15"/>
      <c r="B7829" s="15"/>
    </row>
    <row r="7830" spans="1:2" x14ac:dyDescent="0.15">
      <c r="A7830" s="15"/>
      <c r="B7830" s="15"/>
    </row>
    <row r="7831" spans="1:2" x14ac:dyDescent="0.15">
      <c r="A7831" s="15"/>
      <c r="B7831" s="15"/>
    </row>
    <row r="7832" spans="1:2" x14ac:dyDescent="0.15">
      <c r="A7832" s="15"/>
      <c r="B7832" s="15"/>
    </row>
    <row r="7833" spans="1:2" x14ac:dyDescent="0.15">
      <c r="A7833" s="15"/>
      <c r="B7833" s="15"/>
    </row>
    <row r="7834" spans="1:2" x14ac:dyDescent="0.15">
      <c r="A7834" s="15"/>
      <c r="B7834" s="15"/>
    </row>
    <row r="7835" spans="1:2" x14ac:dyDescent="0.15">
      <c r="A7835" s="15"/>
      <c r="B7835" s="15"/>
    </row>
    <row r="7836" spans="1:2" x14ac:dyDescent="0.15">
      <c r="A7836" s="15"/>
      <c r="B7836" s="15"/>
    </row>
    <row r="7837" spans="1:2" x14ac:dyDescent="0.15">
      <c r="A7837" s="15"/>
      <c r="B7837" s="15"/>
    </row>
    <row r="7838" spans="1:2" x14ac:dyDescent="0.15">
      <c r="A7838" s="15"/>
      <c r="B7838" s="15"/>
    </row>
    <row r="7839" spans="1:2" x14ac:dyDescent="0.15">
      <c r="A7839" s="15"/>
      <c r="B7839" s="15"/>
    </row>
    <row r="7840" spans="1:2" x14ac:dyDescent="0.15">
      <c r="A7840" s="15"/>
      <c r="B7840" s="15"/>
    </row>
    <row r="7841" spans="1:2" x14ac:dyDescent="0.15">
      <c r="A7841" s="15"/>
      <c r="B7841" s="15"/>
    </row>
    <row r="7842" spans="1:2" x14ac:dyDescent="0.15">
      <c r="A7842" s="15"/>
      <c r="B7842" s="15"/>
    </row>
    <row r="7843" spans="1:2" x14ac:dyDescent="0.15">
      <c r="A7843" s="15"/>
      <c r="B7843" s="15"/>
    </row>
    <row r="7844" spans="1:2" x14ac:dyDescent="0.15">
      <c r="A7844" s="15"/>
      <c r="B7844" s="15"/>
    </row>
    <row r="7845" spans="1:2" x14ac:dyDescent="0.15">
      <c r="A7845" s="15"/>
      <c r="B7845" s="15"/>
    </row>
    <row r="7846" spans="1:2" x14ac:dyDescent="0.15">
      <c r="A7846" s="15"/>
      <c r="B7846" s="15"/>
    </row>
    <row r="7847" spans="1:2" x14ac:dyDescent="0.15">
      <c r="A7847" s="15"/>
      <c r="B7847" s="15"/>
    </row>
    <row r="7848" spans="1:2" x14ac:dyDescent="0.15">
      <c r="A7848" s="15"/>
      <c r="B7848" s="15"/>
    </row>
    <row r="7849" spans="1:2" x14ac:dyDescent="0.15">
      <c r="A7849" s="15"/>
      <c r="B7849" s="15"/>
    </row>
    <row r="7850" spans="1:2" x14ac:dyDescent="0.15">
      <c r="A7850" s="15"/>
      <c r="B7850" s="15"/>
    </row>
    <row r="7851" spans="1:2" x14ac:dyDescent="0.15">
      <c r="A7851" s="15"/>
      <c r="B7851" s="15"/>
    </row>
    <row r="7852" spans="1:2" x14ac:dyDescent="0.15">
      <c r="A7852" s="15"/>
      <c r="B7852" s="15"/>
    </row>
    <row r="7853" spans="1:2" x14ac:dyDescent="0.15">
      <c r="A7853" s="15"/>
      <c r="B7853" s="15"/>
    </row>
    <row r="7854" spans="1:2" x14ac:dyDescent="0.15">
      <c r="A7854" s="15"/>
      <c r="B7854" s="15"/>
    </row>
    <row r="7855" spans="1:2" x14ac:dyDescent="0.15">
      <c r="A7855" s="15"/>
      <c r="B7855" s="15"/>
    </row>
    <row r="7856" spans="1:2" x14ac:dyDescent="0.15">
      <c r="A7856" s="15"/>
      <c r="B7856" s="15"/>
    </row>
    <row r="7857" spans="1:2" x14ac:dyDescent="0.15">
      <c r="A7857" s="15"/>
      <c r="B7857" s="15"/>
    </row>
    <row r="7858" spans="1:2" x14ac:dyDescent="0.15">
      <c r="A7858" s="15"/>
      <c r="B7858" s="15"/>
    </row>
    <row r="7859" spans="1:2" x14ac:dyDescent="0.15">
      <c r="A7859" s="15"/>
      <c r="B7859" s="15"/>
    </row>
    <row r="7860" spans="1:2" x14ac:dyDescent="0.15">
      <c r="A7860" s="15"/>
      <c r="B7860" s="15"/>
    </row>
    <row r="7861" spans="1:2" x14ac:dyDescent="0.15">
      <c r="A7861" s="15"/>
      <c r="B7861" s="15"/>
    </row>
    <row r="7862" spans="1:2" x14ac:dyDescent="0.15">
      <c r="A7862" s="15"/>
      <c r="B7862" s="15"/>
    </row>
    <row r="7863" spans="1:2" x14ac:dyDescent="0.15">
      <c r="A7863" s="15"/>
      <c r="B7863" s="15"/>
    </row>
    <row r="7864" spans="1:2" x14ac:dyDescent="0.15">
      <c r="A7864" s="15"/>
      <c r="B7864" s="15"/>
    </row>
    <row r="7865" spans="1:2" x14ac:dyDescent="0.15">
      <c r="A7865" s="15"/>
      <c r="B7865" s="15"/>
    </row>
    <row r="7866" spans="1:2" x14ac:dyDescent="0.15">
      <c r="A7866" s="15"/>
      <c r="B7866" s="15"/>
    </row>
    <row r="7867" spans="1:2" x14ac:dyDescent="0.15">
      <c r="A7867" s="15"/>
      <c r="B7867" s="15"/>
    </row>
    <row r="7868" spans="1:2" x14ac:dyDescent="0.15">
      <c r="A7868" s="15"/>
      <c r="B7868" s="15"/>
    </row>
    <row r="7869" spans="1:2" x14ac:dyDescent="0.15">
      <c r="A7869" s="15"/>
      <c r="B7869" s="15"/>
    </row>
    <row r="7870" spans="1:2" x14ac:dyDescent="0.15">
      <c r="A7870" s="15"/>
      <c r="B7870" s="15"/>
    </row>
    <row r="7871" spans="1:2" x14ac:dyDescent="0.15">
      <c r="A7871" s="15"/>
      <c r="B7871" s="15"/>
    </row>
    <row r="7872" spans="1:2" x14ac:dyDescent="0.15">
      <c r="A7872" s="15"/>
      <c r="B7872" s="15"/>
    </row>
    <row r="7873" spans="1:2" x14ac:dyDescent="0.15">
      <c r="A7873" s="15"/>
      <c r="B7873" s="15"/>
    </row>
    <row r="7874" spans="1:2" x14ac:dyDescent="0.15">
      <c r="A7874" s="15"/>
      <c r="B7874" s="15"/>
    </row>
    <row r="7875" spans="1:2" x14ac:dyDescent="0.15">
      <c r="A7875" s="15"/>
      <c r="B7875" s="15"/>
    </row>
    <row r="7876" spans="1:2" x14ac:dyDescent="0.15">
      <c r="A7876" s="15"/>
      <c r="B7876" s="15"/>
    </row>
    <row r="7877" spans="1:2" x14ac:dyDescent="0.15">
      <c r="A7877" s="15"/>
      <c r="B7877" s="15"/>
    </row>
    <row r="7878" spans="1:2" x14ac:dyDescent="0.15">
      <c r="A7878" s="15"/>
      <c r="B7878" s="15"/>
    </row>
    <row r="7879" spans="1:2" x14ac:dyDescent="0.15">
      <c r="A7879" s="15"/>
      <c r="B7879" s="15"/>
    </row>
    <row r="7880" spans="1:2" x14ac:dyDescent="0.15">
      <c r="A7880" s="15"/>
      <c r="B7880" s="15"/>
    </row>
    <row r="7881" spans="1:2" x14ac:dyDescent="0.15">
      <c r="A7881" s="15"/>
      <c r="B7881" s="15"/>
    </row>
    <row r="7882" spans="1:2" x14ac:dyDescent="0.15">
      <c r="A7882" s="15"/>
      <c r="B7882" s="15"/>
    </row>
    <row r="7883" spans="1:2" x14ac:dyDescent="0.15">
      <c r="A7883" s="15"/>
      <c r="B7883" s="15"/>
    </row>
    <row r="7884" spans="1:2" x14ac:dyDescent="0.15">
      <c r="A7884" s="15"/>
      <c r="B7884" s="15"/>
    </row>
    <row r="7885" spans="1:2" x14ac:dyDescent="0.15">
      <c r="A7885" s="15"/>
      <c r="B7885" s="15"/>
    </row>
    <row r="7886" spans="1:2" x14ac:dyDescent="0.15">
      <c r="A7886" s="15"/>
      <c r="B7886" s="15"/>
    </row>
    <row r="7887" spans="1:2" x14ac:dyDescent="0.15">
      <c r="A7887" s="15"/>
      <c r="B7887" s="15"/>
    </row>
    <row r="7888" spans="1:2" x14ac:dyDescent="0.15">
      <c r="A7888" s="15"/>
      <c r="B7888" s="15"/>
    </row>
    <row r="7889" spans="1:2" x14ac:dyDescent="0.15">
      <c r="A7889" s="15"/>
      <c r="B7889" s="15"/>
    </row>
    <row r="7890" spans="1:2" x14ac:dyDescent="0.15">
      <c r="A7890" s="15"/>
      <c r="B7890" s="15"/>
    </row>
    <row r="7891" spans="1:2" x14ac:dyDescent="0.15">
      <c r="A7891" s="15"/>
      <c r="B7891" s="15"/>
    </row>
    <row r="7892" spans="1:2" x14ac:dyDescent="0.15">
      <c r="A7892" s="15"/>
      <c r="B7892" s="15"/>
    </row>
    <row r="7893" spans="1:2" x14ac:dyDescent="0.15">
      <c r="A7893" s="15"/>
      <c r="B7893" s="15"/>
    </row>
    <row r="7894" spans="1:2" x14ac:dyDescent="0.15">
      <c r="A7894" s="15"/>
      <c r="B7894" s="15"/>
    </row>
    <row r="7895" spans="1:2" x14ac:dyDescent="0.15">
      <c r="A7895" s="15"/>
      <c r="B7895" s="15"/>
    </row>
    <row r="7896" spans="1:2" x14ac:dyDescent="0.15">
      <c r="A7896" s="15"/>
      <c r="B7896" s="15"/>
    </row>
    <row r="7897" spans="1:2" x14ac:dyDescent="0.15">
      <c r="A7897" s="15"/>
      <c r="B7897" s="15"/>
    </row>
    <row r="7898" spans="1:2" x14ac:dyDescent="0.15">
      <c r="A7898" s="15"/>
      <c r="B7898" s="15"/>
    </row>
    <row r="7899" spans="1:2" x14ac:dyDescent="0.15">
      <c r="A7899" s="15"/>
      <c r="B7899" s="15"/>
    </row>
    <row r="7900" spans="1:2" x14ac:dyDescent="0.15">
      <c r="A7900" s="15"/>
      <c r="B7900" s="15"/>
    </row>
    <row r="7901" spans="1:2" x14ac:dyDescent="0.15">
      <c r="A7901" s="15"/>
      <c r="B7901" s="15"/>
    </row>
    <row r="7902" spans="1:2" x14ac:dyDescent="0.15">
      <c r="A7902" s="15"/>
      <c r="B7902" s="15"/>
    </row>
    <row r="7903" spans="1:2" x14ac:dyDescent="0.15">
      <c r="A7903" s="15"/>
      <c r="B7903" s="15"/>
    </row>
    <row r="7904" spans="1:2" x14ac:dyDescent="0.15">
      <c r="A7904" s="15"/>
      <c r="B7904" s="15"/>
    </row>
    <row r="7905" spans="1:2" x14ac:dyDescent="0.15">
      <c r="A7905" s="15"/>
      <c r="B7905" s="15"/>
    </row>
    <row r="7906" spans="1:2" x14ac:dyDescent="0.15">
      <c r="A7906" s="15"/>
      <c r="B7906" s="15"/>
    </row>
    <row r="7907" spans="1:2" x14ac:dyDescent="0.15">
      <c r="A7907" s="15"/>
      <c r="B7907" s="15"/>
    </row>
    <row r="7908" spans="1:2" x14ac:dyDescent="0.15">
      <c r="A7908" s="15"/>
      <c r="B7908" s="15"/>
    </row>
    <row r="7909" spans="1:2" x14ac:dyDescent="0.15">
      <c r="A7909" s="15"/>
      <c r="B7909" s="15"/>
    </row>
    <row r="7910" spans="1:2" x14ac:dyDescent="0.15">
      <c r="A7910" s="15"/>
      <c r="B7910" s="15"/>
    </row>
    <row r="7911" spans="1:2" x14ac:dyDescent="0.15">
      <c r="A7911" s="15"/>
      <c r="B7911" s="15"/>
    </row>
    <row r="7912" spans="1:2" x14ac:dyDescent="0.15">
      <c r="A7912" s="15"/>
      <c r="B7912" s="15"/>
    </row>
    <row r="7913" spans="1:2" x14ac:dyDescent="0.15">
      <c r="A7913" s="15"/>
      <c r="B7913" s="15"/>
    </row>
    <row r="7914" spans="1:2" x14ac:dyDescent="0.15">
      <c r="A7914" s="15"/>
      <c r="B7914" s="15"/>
    </row>
    <row r="7915" spans="1:2" x14ac:dyDescent="0.15">
      <c r="A7915" s="15"/>
      <c r="B7915" s="15"/>
    </row>
    <row r="7916" spans="1:2" x14ac:dyDescent="0.15">
      <c r="A7916" s="15"/>
      <c r="B7916" s="15"/>
    </row>
    <row r="7917" spans="1:2" x14ac:dyDescent="0.15">
      <c r="A7917" s="15"/>
      <c r="B7917" s="15"/>
    </row>
    <row r="7918" spans="1:2" x14ac:dyDescent="0.15">
      <c r="A7918" s="15"/>
      <c r="B7918" s="15"/>
    </row>
    <row r="7919" spans="1:2" x14ac:dyDescent="0.15">
      <c r="A7919" s="15"/>
      <c r="B7919" s="15"/>
    </row>
    <row r="7920" spans="1:2" x14ac:dyDescent="0.15">
      <c r="A7920" s="15"/>
      <c r="B7920" s="15"/>
    </row>
    <row r="7921" spans="1:2" x14ac:dyDescent="0.15">
      <c r="A7921" s="15"/>
      <c r="B7921" s="15"/>
    </row>
    <row r="7922" spans="1:2" x14ac:dyDescent="0.15">
      <c r="A7922" s="15"/>
      <c r="B7922" s="15"/>
    </row>
    <row r="7923" spans="1:2" x14ac:dyDescent="0.15">
      <c r="A7923" s="15"/>
      <c r="B7923" s="15"/>
    </row>
    <row r="7924" spans="1:2" x14ac:dyDescent="0.15">
      <c r="A7924" s="15"/>
      <c r="B7924" s="15"/>
    </row>
    <row r="7925" spans="1:2" x14ac:dyDescent="0.15">
      <c r="A7925" s="15"/>
      <c r="B7925" s="15"/>
    </row>
    <row r="7926" spans="1:2" x14ac:dyDescent="0.15">
      <c r="A7926" s="15"/>
      <c r="B7926" s="15"/>
    </row>
    <row r="7927" spans="1:2" x14ac:dyDescent="0.15">
      <c r="A7927" s="15"/>
      <c r="B7927" s="15"/>
    </row>
    <row r="7928" spans="1:2" x14ac:dyDescent="0.15">
      <c r="A7928" s="15"/>
      <c r="B7928" s="15"/>
    </row>
    <row r="7929" spans="1:2" x14ac:dyDescent="0.15">
      <c r="A7929" s="15"/>
      <c r="B7929" s="15"/>
    </row>
    <row r="7930" spans="1:2" x14ac:dyDescent="0.15">
      <c r="A7930" s="15"/>
      <c r="B7930" s="15"/>
    </row>
    <row r="7931" spans="1:2" x14ac:dyDescent="0.15">
      <c r="A7931" s="15"/>
      <c r="B7931" s="15"/>
    </row>
    <row r="7932" spans="1:2" x14ac:dyDescent="0.15">
      <c r="A7932" s="15"/>
      <c r="B7932" s="15"/>
    </row>
    <row r="7933" spans="1:2" x14ac:dyDescent="0.15">
      <c r="A7933" s="15"/>
      <c r="B7933" s="15"/>
    </row>
    <row r="7934" spans="1:2" x14ac:dyDescent="0.15">
      <c r="A7934" s="15"/>
      <c r="B7934" s="15"/>
    </row>
    <row r="7935" spans="1:2" x14ac:dyDescent="0.15">
      <c r="A7935" s="15"/>
      <c r="B7935" s="15"/>
    </row>
    <row r="7936" spans="1:2" x14ac:dyDescent="0.15">
      <c r="A7936" s="15"/>
      <c r="B7936" s="15"/>
    </row>
    <row r="7937" spans="1:2" x14ac:dyDescent="0.15">
      <c r="A7937" s="15"/>
      <c r="B7937" s="15"/>
    </row>
    <row r="7938" spans="1:2" x14ac:dyDescent="0.15">
      <c r="A7938" s="15"/>
      <c r="B7938" s="15"/>
    </row>
    <row r="7939" spans="1:2" x14ac:dyDescent="0.15">
      <c r="A7939" s="15"/>
      <c r="B7939" s="15"/>
    </row>
    <row r="7940" spans="1:2" x14ac:dyDescent="0.15">
      <c r="A7940" s="15"/>
      <c r="B7940" s="15"/>
    </row>
    <row r="7941" spans="1:2" x14ac:dyDescent="0.15">
      <c r="A7941" s="15"/>
      <c r="B7941" s="15"/>
    </row>
    <row r="7942" spans="1:2" x14ac:dyDescent="0.15">
      <c r="A7942" s="15"/>
      <c r="B7942" s="15"/>
    </row>
    <row r="7943" spans="1:2" x14ac:dyDescent="0.15">
      <c r="A7943" s="15"/>
      <c r="B7943" s="15"/>
    </row>
    <row r="7944" spans="1:2" x14ac:dyDescent="0.15">
      <c r="A7944" s="15"/>
      <c r="B7944" s="15"/>
    </row>
    <row r="7945" spans="1:2" x14ac:dyDescent="0.15">
      <c r="A7945" s="15"/>
      <c r="B7945" s="15"/>
    </row>
    <row r="7946" spans="1:2" x14ac:dyDescent="0.15">
      <c r="A7946" s="15"/>
      <c r="B7946" s="15"/>
    </row>
    <row r="7947" spans="1:2" x14ac:dyDescent="0.15">
      <c r="A7947" s="15"/>
      <c r="B7947" s="15"/>
    </row>
    <row r="7948" spans="1:2" x14ac:dyDescent="0.15">
      <c r="A7948" s="15"/>
      <c r="B7948" s="15"/>
    </row>
    <row r="7949" spans="1:2" x14ac:dyDescent="0.15">
      <c r="A7949" s="15"/>
      <c r="B7949" s="15"/>
    </row>
    <row r="7950" spans="1:2" x14ac:dyDescent="0.15">
      <c r="A7950" s="15"/>
      <c r="B7950" s="15"/>
    </row>
    <row r="7951" spans="1:2" x14ac:dyDescent="0.15">
      <c r="A7951" s="15"/>
      <c r="B7951" s="15"/>
    </row>
    <row r="7952" spans="1:2" x14ac:dyDescent="0.15">
      <c r="A7952" s="15"/>
      <c r="B7952" s="15"/>
    </row>
    <row r="7953" spans="1:2" x14ac:dyDescent="0.15">
      <c r="A7953" s="15"/>
      <c r="B7953" s="15"/>
    </row>
    <row r="7954" spans="1:2" x14ac:dyDescent="0.15">
      <c r="A7954" s="15"/>
      <c r="B7954" s="15"/>
    </row>
    <row r="7955" spans="1:2" x14ac:dyDescent="0.15">
      <c r="A7955" s="15"/>
      <c r="B7955" s="15"/>
    </row>
    <row r="7956" spans="1:2" x14ac:dyDescent="0.15">
      <c r="A7956" s="15"/>
      <c r="B7956" s="15"/>
    </row>
    <row r="7957" spans="1:2" x14ac:dyDescent="0.15">
      <c r="A7957" s="15"/>
      <c r="B7957" s="15"/>
    </row>
    <row r="7958" spans="1:2" x14ac:dyDescent="0.15">
      <c r="A7958" s="15"/>
      <c r="B7958" s="15"/>
    </row>
    <row r="7959" spans="1:2" x14ac:dyDescent="0.15">
      <c r="A7959" s="15"/>
      <c r="B7959" s="15"/>
    </row>
    <row r="7960" spans="1:2" x14ac:dyDescent="0.15">
      <c r="A7960" s="15"/>
      <c r="B7960" s="15"/>
    </row>
    <row r="7961" spans="1:2" x14ac:dyDescent="0.15">
      <c r="A7961" s="15"/>
      <c r="B7961" s="15"/>
    </row>
    <row r="7962" spans="1:2" x14ac:dyDescent="0.15">
      <c r="A7962" s="15"/>
      <c r="B7962" s="15"/>
    </row>
    <row r="7963" spans="1:2" x14ac:dyDescent="0.15">
      <c r="A7963" s="15"/>
      <c r="B7963" s="15"/>
    </row>
    <row r="7964" spans="1:2" x14ac:dyDescent="0.15">
      <c r="A7964" s="15"/>
      <c r="B7964" s="15"/>
    </row>
    <row r="7965" spans="1:2" x14ac:dyDescent="0.15">
      <c r="A7965" s="15"/>
      <c r="B7965" s="15"/>
    </row>
    <row r="7966" spans="1:2" x14ac:dyDescent="0.15">
      <c r="A7966" s="15"/>
      <c r="B7966" s="15"/>
    </row>
    <row r="7967" spans="1:2" x14ac:dyDescent="0.15">
      <c r="A7967" s="15"/>
      <c r="B7967" s="15"/>
    </row>
    <row r="7968" spans="1:2" x14ac:dyDescent="0.15">
      <c r="A7968" s="15"/>
      <c r="B7968" s="15"/>
    </row>
    <row r="7969" spans="1:2" x14ac:dyDescent="0.15">
      <c r="A7969" s="15"/>
      <c r="B7969" s="15"/>
    </row>
    <row r="7970" spans="1:2" x14ac:dyDescent="0.15">
      <c r="A7970" s="15"/>
      <c r="B7970" s="15"/>
    </row>
    <row r="7971" spans="1:2" x14ac:dyDescent="0.15">
      <c r="A7971" s="15"/>
      <c r="B7971" s="15"/>
    </row>
    <row r="7972" spans="1:2" x14ac:dyDescent="0.15">
      <c r="A7972" s="15"/>
      <c r="B7972" s="15"/>
    </row>
    <row r="7973" spans="1:2" x14ac:dyDescent="0.15">
      <c r="A7973" s="15"/>
      <c r="B7973" s="15"/>
    </row>
    <row r="7974" spans="1:2" x14ac:dyDescent="0.15">
      <c r="A7974" s="15"/>
      <c r="B7974" s="15"/>
    </row>
    <row r="7975" spans="1:2" x14ac:dyDescent="0.15">
      <c r="A7975" s="15"/>
      <c r="B7975" s="15"/>
    </row>
    <row r="7976" spans="1:2" x14ac:dyDescent="0.15">
      <c r="A7976" s="15"/>
      <c r="B7976" s="15"/>
    </row>
    <row r="7977" spans="1:2" x14ac:dyDescent="0.15">
      <c r="A7977" s="15"/>
      <c r="B7977" s="15"/>
    </row>
    <row r="7978" spans="1:2" x14ac:dyDescent="0.15">
      <c r="A7978" s="15"/>
      <c r="B7978" s="15"/>
    </row>
    <row r="7979" spans="1:2" x14ac:dyDescent="0.15">
      <c r="A7979" s="15"/>
      <c r="B7979" s="15"/>
    </row>
    <row r="7980" spans="1:2" x14ac:dyDescent="0.15">
      <c r="A7980" s="15"/>
      <c r="B7980" s="15"/>
    </row>
    <row r="7981" spans="1:2" x14ac:dyDescent="0.15">
      <c r="A7981" s="15"/>
      <c r="B7981" s="15"/>
    </row>
    <row r="7982" spans="1:2" x14ac:dyDescent="0.15">
      <c r="A7982" s="15"/>
      <c r="B7982" s="15"/>
    </row>
    <row r="7983" spans="1:2" x14ac:dyDescent="0.15">
      <c r="A7983" s="15"/>
      <c r="B7983" s="15"/>
    </row>
    <row r="7984" spans="1:2" x14ac:dyDescent="0.15">
      <c r="A7984" s="15"/>
      <c r="B7984" s="15"/>
    </row>
    <row r="7985" spans="1:2" x14ac:dyDescent="0.15">
      <c r="A7985" s="15"/>
      <c r="B7985" s="15"/>
    </row>
    <row r="7986" spans="1:2" x14ac:dyDescent="0.15">
      <c r="A7986" s="15"/>
      <c r="B7986" s="15"/>
    </row>
    <row r="7987" spans="1:2" x14ac:dyDescent="0.15">
      <c r="A7987" s="15"/>
      <c r="B7987" s="15"/>
    </row>
    <row r="7988" spans="1:2" x14ac:dyDescent="0.15">
      <c r="A7988" s="15"/>
      <c r="B7988" s="15"/>
    </row>
    <row r="7989" spans="1:2" x14ac:dyDescent="0.15">
      <c r="A7989" s="15"/>
      <c r="B7989" s="15"/>
    </row>
    <row r="7990" spans="1:2" x14ac:dyDescent="0.15">
      <c r="A7990" s="15"/>
      <c r="B7990" s="15"/>
    </row>
    <row r="7991" spans="1:2" x14ac:dyDescent="0.15">
      <c r="A7991" s="15"/>
      <c r="B7991" s="15"/>
    </row>
    <row r="7992" spans="1:2" x14ac:dyDescent="0.15">
      <c r="A7992" s="15"/>
      <c r="B7992" s="15"/>
    </row>
    <row r="7993" spans="1:2" x14ac:dyDescent="0.15">
      <c r="A7993" s="15"/>
      <c r="B7993" s="15"/>
    </row>
    <row r="7994" spans="1:2" x14ac:dyDescent="0.15">
      <c r="A7994" s="15"/>
      <c r="B7994" s="15"/>
    </row>
    <row r="7995" spans="1:2" x14ac:dyDescent="0.15">
      <c r="A7995" s="15"/>
      <c r="B7995" s="15"/>
    </row>
    <row r="7996" spans="1:2" x14ac:dyDescent="0.15">
      <c r="A7996" s="15"/>
      <c r="B7996" s="15"/>
    </row>
    <row r="7997" spans="1:2" x14ac:dyDescent="0.15">
      <c r="A7997" s="15"/>
      <c r="B7997" s="15"/>
    </row>
    <row r="7998" spans="1:2" x14ac:dyDescent="0.15">
      <c r="A7998" s="15"/>
      <c r="B7998" s="15"/>
    </row>
    <row r="7999" spans="1:2" x14ac:dyDescent="0.15">
      <c r="A7999" s="15"/>
      <c r="B7999" s="15"/>
    </row>
    <row r="8000" spans="1:2" x14ac:dyDescent="0.15">
      <c r="A8000" s="15"/>
      <c r="B8000" s="15"/>
    </row>
    <row r="8001" spans="1:2" x14ac:dyDescent="0.15">
      <c r="A8001" s="15"/>
      <c r="B8001" s="15"/>
    </row>
    <row r="8002" spans="1:2" x14ac:dyDescent="0.15">
      <c r="A8002" s="15"/>
      <c r="B8002" s="15"/>
    </row>
    <row r="8003" spans="1:2" x14ac:dyDescent="0.15">
      <c r="A8003" s="15"/>
      <c r="B8003" s="15"/>
    </row>
    <row r="8004" spans="1:2" x14ac:dyDescent="0.15">
      <c r="A8004" s="15"/>
      <c r="B8004" s="15"/>
    </row>
    <row r="8005" spans="1:2" x14ac:dyDescent="0.15">
      <c r="A8005" s="15"/>
      <c r="B8005" s="15"/>
    </row>
    <row r="8006" spans="1:2" x14ac:dyDescent="0.15">
      <c r="A8006" s="15"/>
      <c r="B8006" s="15"/>
    </row>
    <row r="8007" spans="1:2" x14ac:dyDescent="0.15">
      <c r="A8007" s="15"/>
      <c r="B8007" s="15"/>
    </row>
    <row r="8008" spans="1:2" x14ac:dyDescent="0.15">
      <c r="A8008" s="15"/>
      <c r="B8008" s="15"/>
    </row>
    <row r="8009" spans="1:2" x14ac:dyDescent="0.15">
      <c r="A8009" s="15"/>
      <c r="B8009" s="15"/>
    </row>
    <row r="8010" spans="1:2" x14ac:dyDescent="0.15">
      <c r="A8010" s="15"/>
      <c r="B8010" s="15"/>
    </row>
    <row r="8011" spans="1:2" x14ac:dyDescent="0.15">
      <c r="A8011" s="15"/>
      <c r="B8011" s="15"/>
    </row>
    <row r="8012" spans="1:2" x14ac:dyDescent="0.15">
      <c r="A8012" s="15"/>
      <c r="B8012" s="15"/>
    </row>
    <row r="8013" spans="1:2" x14ac:dyDescent="0.15">
      <c r="A8013" s="15"/>
      <c r="B8013" s="15"/>
    </row>
    <row r="8014" spans="1:2" x14ac:dyDescent="0.15">
      <c r="A8014" s="15"/>
      <c r="B8014" s="15"/>
    </row>
    <row r="8015" spans="1:2" x14ac:dyDescent="0.15">
      <c r="A8015" s="15"/>
      <c r="B8015" s="15"/>
    </row>
    <row r="8016" spans="1:2" x14ac:dyDescent="0.15">
      <c r="A8016" s="15"/>
      <c r="B8016" s="15"/>
    </row>
    <row r="8017" spans="1:2" x14ac:dyDescent="0.15">
      <c r="A8017" s="15"/>
      <c r="B8017" s="15"/>
    </row>
    <row r="8018" spans="1:2" x14ac:dyDescent="0.15">
      <c r="A8018" s="15"/>
      <c r="B8018" s="15"/>
    </row>
    <row r="8019" spans="1:2" x14ac:dyDescent="0.15">
      <c r="A8019" s="15"/>
      <c r="B8019" s="15"/>
    </row>
    <row r="8020" spans="1:2" x14ac:dyDescent="0.15">
      <c r="A8020" s="15"/>
      <c r="B8020" s="15"/>
    </row>
    <row r="8021" spans="1:2" x14ac:dyDescent="0.15">
      <c r="A8021" s="15"/>
      <c r="B8021" s="15"/>
    </row>
    <row r="8022" spans="1:2" x14ac:dyDescent="0.15">
      <c r="A8022" s="15"/>
      <c r="B8022" s="15"/>
    </row>
    <row r="8023" spans="1:2" x14ac:dyDescent="0.15">
      <c r="A8023" s="15"/>
      <c r="B8023" s="15"/>
    </row>
    <row r="8024" spans="1:2" x14ac:dyDescent="0.15">
      <c r="A8024" s="15"/>
      <c r="B8024" s="15"/>
    </row>
    <row r="8025" spans="1:2" x14ac:dyDescent="0.15">
      <c r="A8025" s="15"/>
      <c r="B8025" s="15"/>
    </row>
    <row r="8026" spans="1:2" x14ac:dyDescent="0.15">
      <c r="A8026" s="15"/>
      <c r="B8026" s="15"/>
    </row>
    <row r="8027" spans="1:2" x14ac:dyDescent="0.15">
      <c r="A8027" s="15"/>
      <c r="B8027" s="15"/>
    </row>
    <row r="8028" spans="1:2" x14ac:dyDescent="0.15">
      <c r="A8028" s="15"/>
      <c r="B8028" s="15"/>
    </row>
    <row r="8029" spans="1:2" x14ac:dyDescent="0.15">
      <c r="A8029" s="15"/>
      <c r="B8029" s="15"/>
    </row>
    <row r="8030" spans="1:2" x14ac:dyDescent="0.15">
      <c r="A8030" s="15"/>
      <c r="B8030" s="15"/>
    </row>
    <row r="8031" spans="1:2" x14ac:dyDescent="0.15">
      <c r="A8031" s="15"/>
      <c r="B8031" s="15"/>
    </row>
    <row r="8032" spans="1:2" x14ac:dyDescent="0.15">
      <c r="A8032" s="15"/>
      <c r="B8032" s="15"/>
    </row>
    <row r="8033" spans="1:2" x14ac:dyDescent="0.15">
      <c r="A8033" s="15"/>
      <c r="B8033" s="15"/>
    </row>
    <row r="8034" spans="1:2" x14ac:dyDescent="0.15">
      <c r="A8034" s="15"/>
      <c r="B8034" s="15"/>
    </row>
    <row r="8035" spans="1:2" x14ac:dyDescent="0.15">
      <c r="A8035" s="15"/>
      <c r="B8035" s="15"/>
    </row>
    <row r="8036" spans="1:2" x14ac:dyDescent="0.15">
      <c r="A8036" s="15"/>
      <c r="B8036" s="15"/>
    </row>
    <row r="8037" spans="1:2" x14ac:dyDescent="0.15">
      <c r="A8037" s="15"/>
      <c r="B8037" s="15"/>
    </row>
    <row r="8038" spans="1:2" x14ac:dyDescent="0.15">
      <c r="A8038" s="15"/>
      <c r="B8038" s="15"/>
    </row>
    <row r="8039" spans="1:2" x14ac:dyDescent="0.15">
      <c r="A8039" s="15"/>
      <c r="B8039" s="15"/>
    </row>
    <row r="8040" spans="1:2" x14ac:dyDescent="0.15">
      <c r="A8040" s="15"/>
      <c r="B8040" s="15"/>
    </row>
    <row r="8041" spans="1:2" x14ac:dyDescent="0.15">
      <c r="A8041" s="15"/>
      <c r="B8041" s="15"/>
    </row>
    <row r="8042" spans="1:2" x14ac:dyDescent="0.15">
      <c r="A8042" s="15"/>
      <c r="B8042" s="15"/>
    </row>
    <row r="8043" spans="1:2" x14ac:dyDescent="0.15">
      <c r="A8043" s="15"/>
      <c r="B8043" s="15"/>
    </row>
    <row r="8044" spans="1:2" x14ac:dyDescent="0.15">
      <c r="A8044" s="15"/>
      <c r="B8044" s="15"/>
    </row>
    <row r="8045" spans="1:2" x14ac:dyDescent="0.15">
      <c r="A8045" s="15"/>
      <c r="B8045" s="15"/>
    </row>
    <row r="8046" spans="1:2" x14ac:dyDescent="0.15">
      <c r="A8046" s="15"/>
      <c r="B8046" s="15"/>
    </row>
    <row r="8047" spans="1:2" x14ac:dyDescent="0.15">
      <c r="A8047" s="15"/>
      <c r="B8047" s="15"/>
    </row>
    <row r="8048" spans="1:2" x14ac:dyDescent="0.15">
      <c r="A8048" s="15"/>
      <c r="B8048" s="15"/>
    </row>
    <row r="8049" spans="1:2" x14ac:dyDescent="0.15">
      <c r="A8049" s="15"/>
      <c r="B8049" s="15"/>
    </row>
    <row r="8050" spans="1:2" x14ac:dyDescent="0.15">
      <c r="A8050" s="15"/>
      <c r="B8050" s="15"/>
    </row>
    <row r="8051" spans="1:2" x14ac:dyDescent="0.15">
      <c r="A8051" s="15"/>
      <c r="B8051" s="15"/>
    </row>
    <row r="8052" spans="1:2" x14ac:dyDescent="0.15">
      <c r="A8052" s="15"/>
      <c r="B8052" s="15"/>
    </row>
    <row r="8053" spans="1:2" x14ac:dyDescent="0.15">
      <c r="A8053" s="15"/>
      <c r="B8053" s="15"/>
    </row>
    <row r="8054" spans="1:2" x14ac:dyDescent="0.15">
      <c r="A8054" s="15"/>
      <c r="B8054" s="15"/>
    </row>
    <row r="8055" spans="1:2" x14ac:dyDescent="0.15">
      <c r="A8055" s="15"/>
      <c r="B8055" s="15"/>
    </row>
    <row r="8056" spans="1:2" x14ac:dyDescent="0.15">
      <c r="A8056" s="15"/>
      <c r="B8056" s="15"/>
    </row>
    <row r="8057" spans="1:2" x14ac:dyDescent="0.15">
      <c r="A8057" s="15"/>
      <c r="B8057" s="15"/>
    </row>
    <row r="8058" spans="1:2" x14ac:dyDescent="0.15">
      <c r="A8058" s="15"/>
      <c r="B8058" s="15"/>
    </row>
    <row r="8059" spans="1:2" x14ac:dyDescent="0.15">
      <c r="A8059" s="15"/>
      <c r="B8059" s="15"/>
    </row>
    <row r="8060" spans="1:2" x14ac:dyDescent="0.15">
      <c r="A8060" s="15"/>
      <c r="B8060" s="15"/>
    </row>
    <row r="8061" spans="1:2" x14ac:dyDescent="0.15">
      <c r="A8061" s="15"/>
      <c r="B8061" s="15"/>
    </row>
    <row r="8062" spans="1:2" x14ac:dyDescent="0.15">
      <c r="A8062" s="15"/>
      <c r="B8062" s="15"/>
    </row>
    <row r="8063" spans="1:2" x14ac:dyDescent="0.15">
      <c r="A8063" s="15"/>
      <c r="B8063" s="15"/>
    </row>
    <row r="8064" spans="1:2" x14ac:dyDescent="0.15">
      <c r="A8064" s="15"/>
      <c r="B8064" s="15"/>
    </row>
    <row r="8065" spans="1:2" x14ac:dyDescent="0.15">
      <c r="A8065" s="15"/>
      <c r="B8065" s="15"/>
    </row>
    <row r="8066" spans="1:2" x14ac:dyDescent="0.15">
      <c r="A8066" s="15"/>
      <c r="B8066" s="15"/>
    </row>
    <row r="8067" spans="1:2" x14ac:dyDescent="0.15">
      <c r="A8067" s="15"/>
      <c r="B8067" s="15"/>
    </row>
    <row r="8068" spans="1:2" x14ac:dyDescent="0.15">
      <c r="A8068" s="15"/>
      <c r="B8068" s="15"/>
    </row>
    <row r="8069" spans="1:2" x14ac:dyDescent="0.15">
      <c r="A8069" s="15"/>
      <c r="B8069" s="15"/>
    </row>
    <row r="8070" spans="1:2" x14ac:dyDescent="0.15">
      <c r="A8070" s="15"/>
      <c r="B8070" s="15"/>
    </row>
    <row r="8071" spans="1:2" x14ac:dyDescent="0.15">
      <c r="A8071" s="15"/>
      <c r="B8071" s="15"/>
    </row>
    <row r="8072" spans="1:2" x14ac:dyDescent="0.15">
      <c r="A8072" s="15"/>
      <c r="B8072" s="15"/>
    </row>
    <row r="8073" spans="1:2" x14ac:dyDescent="0.15">
      <c r="A8073" s="15"/>
      <c r="B8073" s="15"/>
    </row>
    <row r="8074" spans="1:2" x14ac:dyDescent="0.15">
      <c r="A8074" s="15"/>
      <c r="B8074" s="15"/>
    </row>
    <row r="8075" spans="1:2" x14ac:dyDescent="0.15">
      <c r="A8075" s="15"/>
      <c r="B8075" s="15"/>
    </row>
    <row r="8076" spans="1:2" x14ac:dyDescent="0.15">
      <c r="A8076" s="15"/>
      <c r="B8076" s="15"/>
    </row>
    <row r="8077" spans="1:2" x14ac:dyDescent="0.15">
      <c r="A8077" s="15"/>
      <c r="B8077" s="15"/>
    </row>
    <row r="8078" spans="1:2" x14ac:dyDescent="0.15">
      <c r="A8078" s="15"/>
      <c r="B8078" s="15"/>
    </row>
    <row r="8079" spans="1:2" x14ac:dyDescent="0.15">
      <c r="A8079" s="15"/>
      <c r="B8079" s="15"/>
    </row>
    <row r="8080" spans="1:2" x14ac:dyDescent="0.15">
      <c r="A8080" s="15"/>
      <c r="B8080" s="15"/>
    </row>
    <row r="8081" spans="1:2" x14ac:dyDescent="0.15">
      <c r="A8081" s="15"/>
      <c r="B8081" s="15"/>
    </row>
    <row r="8082" spans="1:2" x14ac:dyDescent="0.15">
      <c r="A8082" s="15"/>
      <c r="B8082" s="15"/>
    </row>
    <row r="8083" spans="1:2" x14ac:dyDescent="0.15">
      <c r="A8083" s="15"/>
      <c r="B8083" s="15"/>
    </row>
    <row r="8084" spans="1:2" x14ac:dyDescent="0.15">
      <c r="A8084" s="15"/>
      <c r="B8084" s="15"/>
    </row>
    <row r="8085" spans="1:2" x14ac:dyDescent="0.15">
      <c r="A8085" s="15"/>
      <c r="B8085" s="15"/>
    </row>
    <row r="8086" spans="1:2" x14ac:dyDescent="0.15">
      <c r="A8086" s="15"/>
      <c r="B8086" s="15"/>
    </row>
    <row r="8087" spans="1:2" x14ac:dyDescent="0.15">
      <c r="A8087" s="15"/>
      <c r="B8087" s="15"/>
    </row>
    <row r="8088" spans="1:2" x14ac:dyDescent="0.15">
      <c r="A8088" s="15"/>
      <c r="B8088" s="15"/>
    </row>
    <row r="8089" spans="1:2" x14ac:dyDescent="0.15">
      <c r="A8089" s="15"/>
      <c r="B8089" s="15"/>
    </row>
    <row r="8090" spans="1:2" x14ac:dyDescent="0.15">
      <c r="A8090" s="15"/>
      <c r="B8090" s="15"/>
    </row>
    <row r="8091" spans="1:2" x14ac:dyDescent="0.15">
      <c r="A8091" s="15"/>
      <c r="B8091" s="15"/>
    </row>
    <row r="8092" spans="1:2" x14ac:dyDescent="0.15">
      <c r="A8092" s="15"/>
      <c r="B8092" s="15"/>
    </row>
    <row r="8093" spans="1:2" x14ac:dyDescent="0.15">
      <c r="A8093" s="15"/>
      <c r="B8093" s="15"/>
    </row>
    <row r="8094" spans="1:2" x14ac:dyDescent="0.15">
      <c r="A8094" s="15"/>
      <c r="B8094" s="15"/>
    </row>
    <row r="8095" spans="1:2" x14ac:dyDescent="0.15">
      <c r="A8095" s="15"/>
      <c r="B8095" s="15"/>
    </row>
    <row r="8096" spans="1:2" x14ac:dyDescent="0.15">
      <c r="A8096" s="15"/>
      <c r="B8096" s="15"/>
    </row>
    <row r="8097" spans="1:2" x14ac:dyDescent="0.15">
      <c r="A8097" s="15"/>
      <c r="B8097" s="15"/>
    </row>
    <row r="8098" spans="1:2" x14ac:dyDescent="0.15">
      <c r="A8098" s="15"/>
      <c r="B8098" s="15"/>
    </row>
    <row r="8099" spans="1:2" x14ac:dyDescent="0.15">
      <c r="A8099" s="15"/>
      <c r="B8099" s="15"/>
    </row>
    <row r="8100" spans="1:2" x14ac:dyDescent="0.15">
      <c r="A8100" s="15"/>
      <c r="B8100" s="15"/>
    </row>
    <row r="8101" spans="1:2" x14ac:dyDescent="0.15">
      <c r="A8101" s="15"/>
      <c r="B8101" s="15"/>
    </row>
    <row r="8102" spans="1:2" x14ac:dyDescent="0.15">
      <c r="A8102" s="15"/>
      <c r="B8102" s="15"/>
    </row>
    <row r="8103" spans="1:2" x14ac:dyDescent="0.15">
      <c r="A8103" s="15"/>
      <c r="B8103" s="15"/>
    </row>
    <row r="8104" spans="1:2" x14ac:dyDescent="0.15">
      <c r="A8104" s="15"/>
      <c r="B8104" s="15"/>
    </row>
    <row r="8105" spans="1:2" x14ac:dyDescent="0.15">
      <c r="A8105" s="15"/>
      <c r="B8105" s="15"/>
    </row>
    <row r="8106" spans="1:2" x14ac:dyDescent="0.15">
      <c r="A8106" s="15"/>
      <c r="B8106" s="15"/>
    </row>
    <row r="8107" spans="1:2" x14ac:dyDescent="0.15">
      <c r="A8107" s="15"/>
      <c r="B8107" s="15"/>
    </row>
    <row r="8108" spans="1:2" x14ac:dyDescent="0.15">
      <c r="A8108" s="15"/>
      <c r="B8108" s="15"/>
    </row>
    <row r="8109" spans="1:2" x14ac:dyDescent="0.15">
      <c r="A8109" s="15"/>
      <c r="B8109" s="15"/>
    </row>
    <row r="8110" spans="1:2" x14ac:dyDescent="0.15">
      <c r="A8110" s="15"/>
      <c r="B8110" s="15"/>
    </row>
    <row r="8111" spans="1:2" x14ac:dyDescent="0.15">
      <c r="A8111" s="15"/>
      <c r="B8111" s="15"/>
    </row>
    <row r="8112" spans="1:2" x14ac:dyDescent="0.15">
      <c r="A8112" s="15"/>
      <c r="B8112" s="15"/>
    </row>
    <row r="8113" spans="1:2" x14ac:dyDescent="0.15">
      <c r="A8113" s="15"/>
      <c r="B8113" s="15"/>
    </row>
    <row r="8114" spans="1:2" x14ac:dyDescent="0.15">
      <c r="A8114" s="15"/>
      <c r="B8114" s="15"/>
    </row>
    <row r="8115" spans="1:2" x14ac:dyDescent="0.15">
      <c r="A8115" s="15"/>
      <c r="B8115" s="15"/>
    </row>
    <row r="8116" spans="1:2" x14ac:dyDescent="0.15">
      <c r="A8116" s="15"/>
      <c r="B8116" s="15"/>
    </row>
    <row r="8117" spans="1:2" x14ac:dyDescent="0.15">
      <c r="A8117" s="15"/>
      <c r="B8117" s="15"/>
    </row>
    <row r="8118" spans="1:2" x14ac:dyDescent="0.15">
      <c r="A8118" s="15"/>
      <c r="B8118" s="15"/>
    </row>
    <row r="8119" spans="1:2" x14ac:dyDescent="0.15">
      <c r="A8119" s="15"/>
      <c r="B8119" s="15"/>
    </row>
    <row r="8120" spans="1:2" x14ac:dyDescent="0.15">
      <c r="A8120" s="15"/>
      <c r="B8120" s="15"/>
    </row>
    <row r="8121" spans="1:2" x14ac:dyDescent="0.15">
      <c r="A8121" s="15"/>
      <c r="B8121" s="15"/>
    </row>
    <row r="8122" spans="1:2" x14ac:dyDescent="0.15">
      <c r="A8122" s="15"/>
      <c r="B8122" s="15"/>
    </row>
    <row r="8123" spans="1:2" x14ac:dyDescent="0.15">
      <c r="A8123" s="15"/>
      <c r="B8123" s="15"/>
    </row>
    <row r="8124" spans="1:2" x14ac:dyDescent="0.15">
      <c r="A8124" s="15"/>
      <c r="B8124" s="15"/>
    </row>
    <row r="8125" spans="1:2" x14ac:dyDescent="0.15">
      <c r="A8125" s="15"/>
      <c r="B8125" s="15"/>
    </row>
    <row r="8126" spans="1:2" x14ac:dyDescent="0.15">
      <c r="A8126" s="15"/>
      <c r="B8126" s="15"/>
    </row>
    <row r="8127" spans="1:2" x14ac:dyDescent="0.15">
      <c r="A8127" s="15"/>
      <c r="B8127" s="15"/>
    </row>
    <row r="8128" spans="1:2" x14ac:dyDescent="0.15">
      <c r="A8128" s="15"/>
      <c r="B8128" s="15"/>
    </row>
    <row r="8129" spans="1:2" x14ac:dyDescent="0.15">
      <c r="A8129" s="15"/>
      <c r="B8129" s="15"/>
    </row>
    <row r="8130" spans="1:2" x14ac:dyDescent="0.15">
      <c r="A8130" s="15"/>
      <c r="B8130" s="15"/>
    </row>
    <row r="8131" spans="1:2" x14ac:dyDescent="0.15">
      <c r="A8131" s="15"/>
      <c r="B8131" s="15"/>
    </row>
    <row r="8132" spans="1:2" x14ac:dyDescent="0.15">
      <c r="A8132" s="15"/>
      <c r="B8132" s="15"/>
    </row>
    <row r="8133" spans="1:2" x14ac:dyDescent="0.15">
      <c r="A8133" s="15"/>
      <c r="B8133" s="15"/>
    </row>
    <row r="8134" spans="1:2" x14ac:dyDescent="0.15">
      <c r="A8134" s="15"/>
      <c r="B8134" s="15"/>
    </row>
    <row r="8135" spans="1:2" x14ac:dyDescent="0.15">
      <c r="A8135" s="15"/>
      <c r="B8135" s="15"/>
    </row>
    <row r="8136" spans="1:2" x14ac:dyDescent="0.15">
      <c r="A8136" s="15"/>
      <c r="B8136" s="15"/>
    </row>
    <row r="8137" spans="1:2" x14ac:dyDescent="0.15">
      <c r="A8137" s="15"/>
      <c r="B8137" s="15"/>
    </row>
    <row r="8138" spans="1:2" x14ac:dyDescent="0.15">
      <c r="A8138" s="15"/>
      <c r="B8138" s="15"/>
    </row>
    <row r="8139" spans="1:2" x14ac:dyDescent="0.15">
      <c r="A8139" s="15"/>
      <c r="B8139" s="15"/>
    </row>
    <row r="8140" spans="1:2" x14ac:dyDescent="0.15">
      <c r="A8140" s="15"/>
      <c r="B8140" s="15"/>
    </row>
    <row r="8141" spans="1:2" x14ac:dyDescent="0.15">
      <c r="A8141" s="15"/>
      <c r="B8141" s="15"/>
    </row>
    <row r="8142" spans="1:2" x14ac:dyDescent="0.15">
      <c r="A8142" s="15"/>
      <c r="B8142" s="15"/>
    </row>
    <row r="8143" spans="1:2" x14ac:dyDescent="0.15">
      <c r="A8143" s="15"/>
      <c r="B8143" s="15"/>
    </row>
    <row r="8144" spans="1:2" x14ac:dyDescent="0.15">
      <c r="A8144" s="15"/>
      <c r="B8144" s="15"/>
    </row>
    <row r="8145" spans="1:2" x14ac:dyDescent="0.15">
      <c r="A8145" s="15"/>
      <c r="B8145" s="15"/>
    </row>
    <row r="8146" spans="1:2" x14ac:dyDescent="0.15">
      <c r="A8146" s="15"/>
      <c r="B8146" s="15"/>
    </row>
    <row r="8147" spans="1:2" x14ac:dyDescent="0.15">
      <c r="A8147" s="15"/>
      <c r="B8147" s="15"/>
    </row>
    <row r="8148" spans="1:2" x14ac:dyDescent="0.15">
      <c r="A8148" s="15"/>
      <c r="B8148" s="15"/>
    </row>
    <row r="8149" spans="1:2" x14ac:dyDescent="0.15">
      <c r="A8149" s="15"/>
      <c r="B8149" s="15"/>
    </row>
    <row r="8150" spans="1:2" x14ac:dyDescent="0.15">
      <c r="A8150" s="15"/>
      <c r="B8150" s="15"/>
    </row>
    <row r="8151" spans="1:2" x14ac:dyDescent="0.15">
      <c r="A8151" s="15"/>
      <c r="B8151" s="15"/>
    </row>
    <row r="8152" spans="1:2" x14ac:dyDescent="0.15">
      <c r="A8152" s="15"/>
      <c r="B8152" s="15"/>
    </row>
    <row r="8153" spans="1:2" x14ac:dyDescent="0.15">
      <c r="A8153" s="15"/>
      <c r="B8153" s="15"/>
    </row>
    <row r="8154" spans="1:2" x14ac:dyDescent="0.15">
      <c r="A8154" s="15"/>
      <c r="B8154" s="15"/>
    </row>
    <row r="8155" spans="1:2" x14ac:dyDescent="0.15">
      <c r="A8155" s="15"/>
      <c r="B8155" s="15"/>
    </row>
    <row r="8156" spans="1:2" x14ac:dyDescent="0.15">
      <c r="A8156" s="15"/>
      <c r="B8156" s="15"/>
    </row>
    <row r="8157" spans="1:2" x14ac:dyDescent="0.15">
      <c r="A8157" s="15"/>
      <c r="B8157" s="15"/>
    </row>
    <row r="8158" spans="1:2" x14ac:dyDescent="0.15">
      <c r="A8158" s="15"/>
      <c r="B8158" s="15"/>
    </row>
    <row r="8159" spans="1:2" x14ac:dyDescent="0.15">
      <c r="A8159" s="15"/>
      <c r="B8159" s="15"/>
    </row>
    <row r="8160" spans="1:2" x14ac:dyDescent="0.15">
      <c r="A8160" s="15"/>
      <c r="B8160" s="15"/>
    </row>
    <row r="8161" spans="1:2" x14ac:dyDescent="0.15">
      <c r="A8161" s="15"/>
      <c r="B8161" s="15"/>
    </row>
    <row r="8162" spans="1:2" x14ac:dyDescent="0.15">
      <c r="A8162" s="15"/>
      <c r="B8162" s="15"/>
    </row>
    <row r="8163" spans="1:2" x14ac:dyDescent="0.15">
      <c r="A8163" s="15"/>
      <c r="B8163" s="15"/>
    </row>
    <row r="8164" spans="1:2" x14ac:dyDescent="0.15">
      <c r="A8164" s="15"/>
      <c r="B8164" s="15"/>
    </row>
    <row r="8165" spans="1:2" x14ac:dyDescent="0.15">
      <c r="A8165" s="15"/>
      <c r="B8165" s="15"/>
    </row>
    <row r="8166" spans="1:2" x14ac:dyDescent="0.15">
      <c r="A8166" s="15"/>
      <c r="B8166" s="15"/>
    </row>
    <row r="8167" spans="1:2" x14ac:dyDescent="0.15">
      <c r="A8167" s="15"/>
      <c r="B8167" s="15"/>
    </row>
    <row r="8168" spans="1:2" x14ac:dyDescent="0.15">
      <c r="A8168" s="15"/>
      <c r="B8168" s="15"/>
    </row>
    <row r="8169" spans="1:2" x14ac:dyDescent="0.15">
      <c r="A8169" s="15"/>
      <c r="B8169" s="15"/>
    </row>
    <row r="8170" spans="1:2" x14ac:dyDescent="0.15">
      <c r="A8170" s="15"/>
      <c r="B8170" s="15"/>
    </row>
    <row r="8171" spans="1:2" x14ac:dyDescent="0.15">
      <c r="A8171" s="15"/>
      <c r="B8171" s="15"/>
    </row>
    <row r="8172" spans="1:2" x14ac:dyDescent="0.15">
      <c r="A8172" s="15"/>
      <c r="B8172" s="15"/>
    </row>
    <row r="8173" spans="1:2" x14ac:dyDescent="0.15">
      <c r="A8173" s="15"/>
      <c r="B8173" s="15"/>
    </row>
    <row r="8174" spans="1:2" x14ac:dyDescent="0.15">
      <c r="A8174" s="15"/>
      <c r="B8174" s="15"/>
    </row>
    <row r="8175" spans="1:2" x14ac:dyDescent="0.15">
      <c r="A8175" s="15"/>
      <c r="B8175" s="15"/>
    </row>
    <row r="8176" spans="1:2" x14ac:dyDescent="0.15">
      <c r="A8176" s="15"/>
      <c r="B8176" s="15"/>
    </row>
    <row r="8177" spans="1:2" x14ac:dyDescent="0.15">
      <c r="A8177" s="15"/>
      <c r="B8177" s="15"/>
    </row>
    <row r="8178" spans="1:2" x14ac:dyDescent="0.15">
      <c r="A8178" s="15"/>
      <c r="B8178" s="15"/>
    </row>
    <row r="8179" spans="1:2" x14ac:dyDescent="0.15">
      <c r="A8179" s="15"/>
      <c r="B8179" s="15"/>
    </row>
    <row r="8180" spans="1:2" x14ac:dyDescent="0.15">
      <c r="A8180" s="15"/>
      <c r="B8180" s="15"/>
    </row>
    <row r="8181" spans="1:2" x14ac:dyDescent="0.15">
      <c r="A8181" s="15"/>
      <c r="B8181" s="15"/>
    </row>
    <row r="8182" spans="1:2" x14ac:dyDescent="0.15">
      <c r="A8182" s="15"/>
      <c r="B8182" s="15"/>
    </row>
    <row r="8183" spans="1:2" x14ac:dyDescent="0.15">
      <c r="A8183" s="15"/>
      <c r="B8183" s="15"/>
    </row>
    <row r="8184" spans="1:2" x14ac:dyDescent="0.15">
      <c r="A8184" s="15"/>
      <c r="B8184" s="15"/>
    </row>
    <row r="8185" spans="1:2" x14ac:dyDescent="0.15">
      <c r="A8185" s="15"/>
      <c r="B8185" s="15"/>
    </row>
    <row r="8186" spans="1:2" x14ac:dyDescent="0.15">
      <c r="A8186" s="15"/>
      <c r="B8186" s="15"/>
    </row>
    <row r="8187" spans="1:2" x14ac:dyDescent="0.15">
      <c r="A8187" s="15"/>
      <c r="B8187" s="15"/>
    </row>
    <row r="8188" spans="1:2" x14ac:dyDescent="0.15">
      <c r="A8188" s="15"/>
      <c r="B8188" s="15"/>
    </row>
    <row r="8189" spans="1:2" x14ac:dyDescent="0.15">
      <c r="A8189" s="15"/>
      <c r="B8189" s="15"/>
    </row>
    <row r="8190" spans="1:2" x14ac:dyDescent="0.15">
      <c r="A8190" s="15"/>
      <c r="B8190" s="15"/>
    </row>
    <row r="8191" spans="1:2" x14ac:dyDescent="0.15">
      <c r="A8191" s="15"/>
      <c r="B8191" s="15"/>
    </row>
    <row r="8192" spans="1:2" x14ac:dyDescent="0.15">
      <c r="A8192" s="15"/>
      <c r="B8192" s="15"/>
    </row>
    <row r="8193" spans="1:2" x14ac:dyDescent="0.15">
      <c r="A8193" s="15"/>
      <c r="B8193" s="15"/>
    </row>
    <row r="8194" spans="1:2" x14ac:dyDescent="0.15">
      <c r="A8194" s="15"/>
      <c r="B8194" s="15"/>
    </row>
    <row r="8195" spans="1:2" x14ac:dyDescent="0.15">
      <c r="A8195" s="15"/>
      <c r="B8195" s="15"/>
    </row>
    <row r="8196" spans="1:2" x14ac:dyDescent="0.15">
      <c r="A8196" s="15"/>
      <c r="B8196" s="15"/>
    </row>
    <row r="8197" spans="1:2" x14ac:dyDescent="0.15">
      <c r="A8197" s="15"/>
      <c r="B8197" s="15"/>
    </row>
    <row r="8198" spans="1:2" x14ac:dyDescent="0.15">
      <c r="A8198" s="15"/>
      <c r="B8198" s="15"/>
    </row>
    <row r="8199" spans="1:2" x14ac:dyDescent="0.15">
      <c r="A8199" s="15"/>
      <c r="B8199" s="15"/>
    </row>
    <row r="8200" spans="1:2" x14ac:dyDescent="0.15">
      <c r="A8200" s="15"/>
      <c r="B8200" s="15"/>
    </row>
    <row r="8201" spans="1:2" x14ac:dyDescent="0.15">
      <c r="A8201" s="15"/>
      <c r="B8201" s="15"/>
    </row>
    <row r="8202" spans="1:2" x14ac:dyDescent="0.15">
      <c r="A8202" s="15"/>
      <c r="B8202" s="15"/>
    </row>
    <row r="8203" spans="1:2" x14ac:dyDescent="0.15">
      <c r="A8203" s="15"/>
      <c r="B8203" s="15"/>
    </row>
    <row r="8204" spans="1:2" x14ac:dyDescent="0.15">
      <c r="A8204" s="15"/>
      <c r="B8204" s="15"/>
    </row>
    <row r="8205" spans="1:2" x14ac:dyDescent="0.15">
      <c r="A8205" s="15"/>
      <c r="B8205" s="15"/>
    </row>
    <row r="8206" spans="1:2" x14ac:dyDescent="0.15">
      <c r="A8206" s="15"/>
      <c r="B8206" s="15"/>
    </row>
    <row r="8207" spans="1:2" x14ac:dyDescent="0.15">
      <c r="A8207" s="15"/>
      <c r="B8207" s="15"/>
    </row>
    <row r="8208" spans="1:2" x14ac:dyDescent="0.15">
      <c r="A8208" s="15"/>
      <c r="B8208" s="15"/>
    </row>
    <row r="8209" spans="1:2" x14ac:dyDescent="0.15">
      <c r="A8209" s="15"/>
      <c r="B8209" s="15"/>
    </row>
    <row r="8210" spans="1:2" x14ac:dyDescent="0.15">
      <c r="A8210" s="15"/>
      <c r="B8210" s="15"/>
    </row>
    <row r="8211" spans="1:2" x14ac:dyDescent="0.15">
      <c r="A8211" s="15"/>
      <c r="B8211" s="15"/>
    </row>
    <row r="8212" spans="1:2" x14ac:dyDescent="0.15">
      <c r="A8212" s="15"/>
      <c r="B8212" s="15"/>
    </row>
    <row r="8213" spans="1:2" x14ac:dyDescent="0.15">
      <c r="A8213" s="15"/>
      <c r="B8213" s="15"/>
    </row>
    <row r="8214" spans="1:2" x14ac:dyDescent="0.15">
      <c r="A8214" s="15"/>
      <c r="B8214" s="15"/>
    </row>
    <row r="8215" spans="1:2" x14ac:dyDescent="0.15">
      <c r="A8215" s="15"/>
      <c r="B8215" s="15"/>
    </row>
    <row r="8216" spans="1:2" x14ac:dyDescent="0.15">
      <c r="A8216" s="15"/>
      <c r="B8216" s="15"/>
    </row>
    <row r="8217" spans="1:2" x14ac:dyDescent="0.15">
      <c r="A8217" s="15"/>
      <c r="B8217" s="15"/>
    </row>
    <row r="8218" spans="1:2" x14ac:dyDescent="0.15">
      <c r="A8218" s="15"/>
      <c r="B8218" s="15"/>
    </row>
    <row r="8219" spans="1:2" x14ac:dyDescent="0.15">
      <c r="A8219" s="15"/>
      <c r="B8219" s="15"/>
    </row>
    <row r="8220" spans="1:2" x14ac:dyDescent="0.15">
      <c r="A8220" s="15"/>
      <c r="B8220" s="15"/>
    </row>
    <row r="8221" spans="1:2" x14ac:dyDescent="0.15">
      <c r="A8221" s="15"/>
      <c r="B8221" s="15"/>
    </row>
    <row r="8222" spans="1:2" x14ac:dyDescent="0.15">
      <c r="A8222" s="15"/>
      <c r="B8222" s="15"/>
    </row>
    <row r="8223" spans="1:2" x14ac:dyDescent="0.15">
      <c r="A8223" s="15"/>
      <c r="B8223" s="15"/>
    </row>
    <row r="8224" spans="1:2" x14ac:dyDescent="0.15">
      <c r="A8224" s="15"/>
      <c r="B8224" s="15"/>
    </row>
    <row r="8225" spans="1:2" x14ac:dyDescent="0.15">
      <c r="A8225" s="15"/>
      <c r="B8225" s="15"/>
    </row>
    <row r="8226" spans="1:2" x14ac:dyDescent="0.15">
      <c r="A8226" s="15"/>
      <c r="B8226" s="15"/>
    </row>
    <row r="8227" spans="1:2" x14ac:dyDescent="0.15">
      <c r="A8227" s="15"/>
      <c r="B8227" s="15"/>
    </row>
    <row r="8228" spans="1:2" x14ac:dyDescent="0.15">
      <c r="A8228" s="15"/>
      <c r="B8228" s="15"/>
    </row>
    <row r="8229" spans="1:2" x14ac:dyDescent="0.15">
      <c r="A8229" s="15"/>
      <c r="B8229" s="15"/>
    </row>
    <row r="8230" spans="1:2" x14ac:dyDescent="0.15">
      <c r="A8230" s="15"/>
      <c r="B8230" s="15"/>
    </row>
    <row r="8231" spans="1:2" x14ac:dyDescent="0.15">
      <c r="A8231" s="15"/>
      <c r="B8231" s="15"/>
    </row>
    <row r="8232" spans="1:2" x14ac:dyDescent="0.15">
      <c r="A8232" s="15"/>
      <c r="B8232" s="15"/>
    </row>
    <row r="8233" spans="1:2" x14ac:dyDescent="0.15">
      <c r="A8233" s="15"/>
      <c r="B8233" s="15"/>
    </row>
    <row r="8234" spans="1:2" x14ac:dyDescent="0.15">
      <c r="A8234" s="15"/>
      <c r="B8234" s="15"/>
    </row>
    <row r="8235" spans="1:2" x14ac:dyDescent="0.15">
      <c r="A8235" s="15"/>
      <c r="B8235" s="15"/>
    </row>
    <row r="8236" spans="1:2" x14ac:dyDescent="0.15">
      <c r="A8236" s="15"/>
      <c r="B8236" s="15"/>
    </row>
    <row r="8237" spans="1:2" x14ac:dyDescent="0.15">
      <c r="A8237" s="15"/>
      <c r="B8237" s="15"/>
    </row>
    <row r="8238" spans="1:2" x14ac:dyDescent="0.15">
      <c r="A8238" s="15"/>
      <c r="B8238" s="15"/>
    </row>
    <row r="8239" spans="1:2" x14ac:dyDescent="0.15">
      <c r="A8239" s="15"/>
      <c r="B8239" s="15"/>
    </row>
    <row r="8240" spans="1:2" x14ac:dyDescent="0.15">
      <c r="A8240" s="15"/>
      <c r="B8240" s="15"/>
    </row>
    <row r="8241" spans="1:2" x14ac:dyDescent="0.15">
      <c r="A8241" s="15"/>
      <c r="B8241" s="15"/>
    </row>
    <row r="8242" spans="1:2" x14ac:dyDescent="0.15">
      <c r="A8242" s="15"/>
      <c r="B8242" s="15"/>
    </row>
    <row r="8243" spans="1:2" x14ac:dyDescent="0.15">
      <c r="A8243" s="15"/>
      <c r="B8243" s="15"/>
    </row>
    <row r="8244" spans="1:2" x14ac:dyDescent="0.15">
      <c r="A8244" s="15"/>
      <c r="B8244" s="15"/>
    </row>
    <row r="8245" spans="1:2" x14ac:dyDescent="0.15">
      <c r="A8245" s="15"/>
      <c r="B8245" s="15"/>
    </row>
    <row r="8246" spans="1:2" x14ac:dyDescent="0.15">
      <c r="A8246" s="15"/>
      <c r="B8246" s="15"/>
    </row>
    <row r="8247" spans="1:2" x14ac:dyDescent="0.15">
      <c r="A8247" s="15"/>
      <c r="B8247" s="15"/>
    </row>
    <row r="8248" spans="1:2" x14ac:dyDescent="0.15">
      <c r="A8248" s="15"/>
      <c r="B8248" s="15"/>
    </row>
    <row r="8249" spans="1:2" x14ac:dyDescent="0.15">
      <c r="A8249" s="15"/>
      <c r="B8249" s="15"/>
    </row>
    <row r="8250" spans="1:2" x14ac:dyDescent="0.15">
      <c r="A8250" s="15"/>
      <c r="B8250" s="15"/>
    </row>
    <row r="8251" spans="1:2" x14ac:dyDescent="0.15">
      <c r="A8251" s="15"/>
      <c r="B8251" s="15"/>
    </row>
    <row r="8252" spans="1:2" x14ac:dyDescent="0.15">
      <c r="A8252" s="15"/>
      <c r="B8252" s="15"/>
    </row>
    <row r="8253" spans="1:2" x14ac:dyDescent="0.15">
      <c r="A8253" s="15"/>
      <c r="B8253" s="15"/>
    </row>
    <row r="8254" spans="1:2" x14ac:dyDescent="0.15">
      <c r="A8254" s="15"/>
      <c r="B8254" s="15"/>
    </row>
    <row r="8255" spans="1:2" x14ac:dyDescent="0.15">
      <c r="A8255" s="15"/>
      <c r="B8255" s="15"/>
    </row>
    <row r="8256" spans="1:2" x14ac:dyDescent="0.15">
      <c r="A8256" s="15"/>
      <c r="B8256" s="15"/>
    </row>
    <row r="8257" spans="1:2" x14ac:dyDescent="0.15">
      <c r="A8257" s="15"/>
      <c r="B8257" s="15"/>
    </row>
    <row r="8258" spans="1:2" x14ac:dyDescent="0.15">
      <c r="A8258" s="15"/>
      <c r="B8258" s="15"/>
    </row>
    <row r="8259" spans="1:2" x14ac:dyDescent="0.15">
      <c r="A8259" s="15"/>
      <c r="B8259" s="15"/>
    </row>
    <row r="8260" spans="1:2" x14ac:dyDescent="0.15">
      <c r="A8260" s="15"/>
      <c r="B8260" s="15"/>
    </row>
    <row r="8261" spans="1:2" x14ac:dyDescent="0.15">
      <c r="A8261" s="15"/>
      <c r="B8261" s="15"/>
    </row>
    <row r="8262" spans="1:2" x14ac:dyDescent="0.15">
      <c r="A8262" s="15"/>
      <c r="B8262" s="15"/>
    </row>
    <row r="8263" spans="1:2" x14ac:dyDescent="0.15">
      <c r="A8263" s="15"/>
      <c r="B8263" s="15"/>
    </row>
    <row r="8264" spans="1:2" x14ac:dyDescent="0.15">
      <c r="A8264" s="15"/>
      <c r="B8264" s="15"/>
    </row>
    <row r="8265" spans="1:2" x14ac:dyDescent="0.15">
      <c r="A8265" s="15"/>
      <c r="B8265" s="15"/>
    </row>
    <row r="8266" spans="1:2" x14ac:dyDescent="0.15">
      <c r="A8266" s="15"/>
      <c r="B8266" s="15"/>
    </row>
    <row r="8267" spans="1:2" x14ac:dyDescent="0.15">
      <c r="A8267" s="15"/>
      <c r="B8267" s="15"/>
    </row>
    <row r="8268" spans="1:2" x14ac:dyDescent="0.15">
      <c r="A8268" s="15"/>
      <c r="B8268" s="15"/>
    </row>
    <row r="8269" spans="1:2" x14ac:dyDescent="0.15">
      <c r="A8269" s="15"/>
      <c r="B8269" s="15"/>
    </row>
    <row r="8270" spans="1:2" x14ac:dyDescent="0.15">
      <c r="A8270" s="15"/>
      <c r="B8270" s="15"/>
    </row>
    <row r="8271" spans="1:2" x14ac:dyDescent="0.15">
      <c r="A8271" s="15"/>
      <c r="B8271" s="15"/>
    </row>
    <row r="8272" spans="1:2" x14ac:dyDescent="0.15">
      <c r="A8272" s="15"/>
      <c r="B8272" s="15"/>
    </row>
    <row r="8273" spans="1:2" x14ac:dyDescent="0.15">
      <c r="A8273" s="15"/>
      <c r="B8273" s="15"/>
    </row>
    <row r="8274" spans="1:2" x14ac:dyDescent="0.15">
      <c r="A8274" s="15"/>
      <c r="B8274" s="15"/>
    </row>
    <row r="8275" spans="1:2" x14ac:dyDescent="0.15">
      <c r="A8275" s="15"/>
      <c r="B8275" s="15"/>
    </row>
    <row r="8276" spans="1:2" x14ac:dyDescent="0.15">
      <c r="A8276" s="15"/>
      <c r="B8276" s="15"/>
    </row>
    <row r="8277" spans="1:2" x14ac:dyDescent="0.15">
      <c r="A8277" s="15"/>
      <c r="B8277" s="15"/>
    </row>
    <row r="8278" spans="1:2" x14ac:dyDescent="0.15">
      <c r="A8278" s="15"/>
      <c r="B8278" s="15"/>
    </row>
    <row r="8279" spans="1:2" x14ac:dyDescent="0.15">
      <c r="A8279" s="15"/>
      <c r="B8279" s="15"/>
    </row>
    <row r="8280" spans="1:2" x14ac:dyDescent="0.15">
      <c r="A8280" s="15"/>
      <c r="B8280" s="15"/>
    </row>
    <row r="8281" spans="1:2" x14ac:dyDescent="0.15">
      <c r="A8281" s="15"/>
      <c r="B8281" s="15"/>
    </row>
    <row r="8282" spans="1:2" x14ac:dyDescent="0.15">
      <c r="A8282" s="15"/>
      <c r="B8282" s="15"/>
    </row>
    <row r="8283" spans="1:2" x14ac:dyDescent="0.15">
      <c r="A8283" s="15"/>
      <c r="B8283" s="15"/>
    </row>
    <row r="8284" spans="1:2" x14ac:dyDescent="0.15">
      <c r="A8284" s="15"/>
      <c r="B8284" s="15"/>
    </row>
    <row r="8285" spans="1:2" x14ac:dyDescent="0.15">
      <c r="A8285" s="15"/>
      <c r="B8285" s="15"/>
    </row>
    <row r="8286" spans="1:2" x14ac:dyDescent="0.15">
      <c r="A8286" s="15"/>
      <c r="B8286" s="15"/>
    </row>
    <row r="8287" spans="1:2" x14ac:dyDescent="0.15">
      <c r="A8287" s="15"/>
      <c r="B8287" s="15"/>
    </row>
    <row r="8288" spans="1:2" x14ac:dyDescent="0.15">
      <c r="A8288" s="15"/>
      <c r="B8288" s="15"/>
    </row>
    <row r="8289" spans="1:2" x14ac:dyDescent="0.15">
      <c r="A8289" s="15"/>
      <c r="B8289" s="15"/>
    </row>
    <row r="8290" spans="1:2" x14ac:dyDescent="0.15">
      <c r="A8290" s="15"/>
      <c r="B8290" s="15"/>
    </row>
    <row r="8291" spans="1:2" x14ac:dyDescent="0.15">
      <c r="A8291" s="15"/>
      <c r="B8291" s="15"/>
    </row>
    <row r="8292" spans="1:2" x14ac:dyDescent="0.15">
      <c r="A8292" s="15"/>
      <c r="B8292" s="15"/>
    </row>
    <row r="8293" spans="1:2" x14ac:dyDescent="0.15">
      <c r="A8293" s="15"/>
      <c r="B8293" s="15"/>
    </row>
    <row r="8294" spans="1:2" x14ac:dyDescent="0.15">
      <c r="A8294" s="15"/>
      <c r="B8294" s="15"/>
    </row>
    <row r="8295" spans="1:2" x14ac:dyDescent="0.15">
      <c r="A8295" s="15"/>
      <c r="B8295" s="15"/>
    </row>
    <row r="8296" spans="1:2" x14ac:dyDescent="0.15">
      <c r="A8296" s="15"/>
      <c r="B8296" s="15"/>
    </row>
    <row r="8297" spans="1:2" x14ac:dyDescent="0.15">
      <c r="A8297" s="15"/>
      <c r="B8297" s="15"/>
    </row>
    <row r="8298" spans="1:2" x14ac:dyDescent="0.15">
      <c r="A8298" s="15"/>
      <c r="B8298" s="15"/>
    </row>
    <row r="8299" spans="1:2" x14ac:dyDescent="0.15">
      <c r="A8299" s="15"/>
      <c r="B8299" s="15"/>
    </row>
    <row r="8300" spans="1:2" x14ac:dyDescent="0.15">
      <c r="A8300" s="15"/>
      <c r="B8300" s="15"/>
    </row>
    <row r="8301" spans="1:2" x14ac:dyDescent="0.15">
      <c r="A8301" s="15"/>
      <c r="B8301" s="15"/>
    </row>
    <row r="8302" spans="1:2" x14ac:dyDescent="0.15">
      <c r="A8302" s="15"/>
      <c r="B8302" s="15"/>
    </row>
    <row r="8303" spans="1:2" x14ac:dyDescent="0.15">
      <c r="A8303" s="15"/>
      <c r="B8303" s="15"/>
    </row>
    <row r="8304" spans="1:2" x14ac:dyDescent="0.15">
      <c r="A8304" s="15"/>
      <c r="B8304" s="15"/>
    </row>
    <row r="8305" spans="1:2" x14ac:dyDescent="0.15">
      <c r="A8305" s="15"/>
      <c r="B8305" s="15"/>
    </row>
    <row r="8306" spans="1:2" x14ac:dyDescent="0.15">
      <c r="A8306" s="15"/>
      <c r="B8306" s="15"/>
    </row>
    <row r="8307" spans="1:2" x14ac:dyDescent="0.15">
      <c r="A8307" s="15"/>
      <c r="B8307" s="15"/>
    </row>
    <row r="8308" spans="1:2" x14ac:dyDescent="0.15">
      <c r="A8308" s="15"/>
      <c r="B8308" s="15"/>
    </row>
    <row r="8309" spans="1:2" x14ac:dyDescent="0.15">
      <c r="A8309" s="15"/>
      <c r="B8309" s="15"/>
    </row>
    <row r="8310" spans="1:2" x14ac:dyDescent="0.15">
      <c r="A8310" s="15"/>
      <c r="B8310" s="15"/>
    </row>
    <row r="8311" spans="1:2" x14ac:dyDescent="0.15">
      <c r="A8311" s="15"/>
      <c r="B8311" s="15"/>
    </row>
    <row r="8312" spans="1:2" x14ac:dyDescent="0.15">
      <c r="A8312" s="15"/>
      <c r="B8312" s="15"/>
    </row>
    <row r="8313" spans="1:2" x14ac:dyDescent="0.15">
      <c r="A8313" s="15"/>
      <c r="B8313" s="15"/>
    </row>
    <row r="8314" spans="1:2" x14ac:dyDescent="0.15">
      <c r="A8314" s="15"/>
      <c r="B8314" s="15"/>
    </row>
    <row r="8315" spans="1:2" x14ac:dyDescent="0.15">
      <c r="A8315" s="15"/>
      <c r="B8315" s="15"/>
    </row>
    <row r="8316" spans="1:2" x14ac:dyDescent="0.15">
      <c r="A8316" s="15"/>
      <c r="B8316" s="15"/>
    </row>
    <row r="8317" spans="1:2" x14ac:dyDescent="0.15">
      <c r="A8317" s="15"/>
      <c r="B8317" s="15"/>
    </row>
    <row r="8318" spans="1:2" x14ac:dyDescent="0.15">
      <c r="A8318" s="15"/>
      <c r="B8318" s="15"/>
    </row>
    <row r="8319" spans="1:2" x14ac:dyDescent="0.15">
      <c r="A8319" s="15"/>
      <c r="B8319" s="15"/>
    </row>
    <row r="8320" spans="1:2" x14ac:dyDescent="0.15">
      <c r="A8320" s="15"/>
      <c r="B8320" s="15"/>
    </row>
    <row r="8321" spans="1:2" x14ac:dyDescent="0.15">
      <c r="A8321" s="15"/>
      <c r="B8321" s="15"/>
    </row>
    <row r="8322" spans="1:2" x14ac:dyDescent="0.15">
      <c r="A8322" s="15"/>
      <c r="B8322" s="15"/>
    </row>
    <row r="8323" spans="1:2" x14ac:dyDescent="0.15">
      <c r="A8323" s="15"/>
      <c r="B8323" s="15"/>
    </row>
    <row r="8324" spans="1:2" x14ac:dyDescent="0.15">
      <c r="A8324" s="15"/>
      <c r="B8324" s="15"/>
    </row>
    <row r="8325" spans="1:2" x14ac:dyDescent="0.15">
      <c r="A8325" s="15"/>
      <c r="B8325" s="15"/>
    </row>
    <row r="8326" spans="1:2" x14ac:dyDescent="0.15">
      <c r="A8326" s="15"/>
      <c r="B8326" s="15"/>
    </row>
    <row r="8327" spans="1:2" x14ac:dyDescent="0.15">
      <c r="A8327" s="15"/>
      <c r="B8327" s="15"/>
    </row>
    <row r="8328" spans="1:2" x14ac:dyDescent="0.15">
      <c r="A8328" s="15"/>
      <c r="B8328" s="15"/>
    </row>
    <row r="8329" spans="1:2" x14ac:dyDescent="0.15">
      <c r="A8329" s="15"/>
      <c r="B8329" s="15"/>
    </row>
    <row r="8330" spans="1:2" x14ac:dyDescent="0.15">
      <c r="A8330" s="15"/>
      <c r="B8330" s="15"/>
    </row>
    <row r="8331" spans="1:2" x14ac:dyDescent="0.15">
      <c r="A8331" s="15"/>
      <c r="B8331" s="15"/>
    </row>
    <row r="8332" spans="1:2" x14ac:dyDescent="0.15">
      <c r="A8332" s="15"/>
      <c r="B8332" s="15"/>
    </row>
    <row r="8333" spans="1:2" x14ac:dyDescent="0.15">
      <c r="A8333" s="15"/>
      <c r="B8333" s="15"/>
    </row>
    <row r="8334" spans="1:2" x14ac:dyDescent="0.15">
      <c r="A8334" s="15"/>
      <c r="B8334" s="15"/>
    </row>
    <row r="8335" spans="1:2" x14ac:dyDescent="0.15">
      <c r="A8335" s="15"/>
      <c r="B8335" s="15"/>
    </row>
    <row r="8336" spans="1:2" x14ac:dyDescent="0.15">
      <c r="A8336" s="15"/>
      <c r="B8336" s="15"/>
    </row>
    <row r="8337" spans="1:2" x14ac:dyDescent="0.15">
      <c r="A8337" s="15"/>
      <c r="B8337" s="15"/>
    </row>
    <row r="8338" spans="1:2" x14ac:dyDescent="0.15">
      <c r="A8338" s="15"/>
      <c r="B8338" s="15"/>
    </row>
    <row r="8339" spans="1:2" x14ac:dyDescent="0.15">
      <c r="A8339" s="15"/>
      <c r="B8339" s="15"/>
    </row>
    <row r="8340" spans="1:2" x14ac:dyDescent="0.15">
      <c r="A8340" s="15"/>
      <c r="B8340" s="15"/>
    </row>
    <row r="8341" spans="1:2" x14ac:dyDescent="0.15">
      <c r="A8341" s="15"/>
      <c r="B8341" s="15"/>
    </row>
    <row r="8342" spans="1:2" x14ac:dyDescent="0.15">
      <c r="A8342" s="15"/>
      <c r="B8342" s="15"/>
    </row>
    <row r="8343" spans="1:2" x14ac:dyDescent="0.15">
      <c r="A8343" s="15"/>
      <c r="B8343" s="15"/>
    </row>
    <row r="8344" spans="1:2" x14ac:dyDescent="0.15">
      <c r="A8344" s="15"/>
      <c r="B8344" s="15"/>
    </row>
    <row r="8345" spans="1:2" x14ac:dyDescent="0.15">
      <c r="A8345" s="15"/>
      <c r="B8345" s="15"/>
    </row>
    <row r="8346" spans="1:2" x14ac:dyDescent="0.15">
      <c r="A8346" s="15"/>
      <c r="B8346" s="15"/>
    </row>
    <row r="8347" spans="1:2" x14ac:dyDescent="0.15">
      <c r="A8347" s="15"/>
      <c r="B8347" s="15"/>
    </row>
    <row r="8348" spans="1:2" x14ac:dyDescent="0.15">
      <c r="A8348" s="15"/>
      <c r="B8348" s="15"/>
    </row>
    <row r="8349" spans="1:2" x14ac:dyDescent="0.15">
      <c r="A8349" s="15"/>
      <c r="B8349" s="15"/>
    </row>
    <row r="8350" spans="1:2" x14ac:dyDescent="0.15">
      <c r="A8350" s="15"/>
      <c r="B8350" s="15"/>
    </row>
    <row r="8351" spans="1:2" x14ac:dyDescent="0.15">
      <c r="A8351" s="15"/>
      <c r="B8351" s="15"/>
    </row>
    <row r="8352" spans="1:2" x14ac:dyDescent="0.15">
      <c r="A8352" s="15"/>
      <c r="B8352" s="15"/>
    </row>
    <row r="8353" spans="1:2" x14ac:dyDescent="0.15">
      <c r="A8353" s="15"/>
      <c r="B8353" s="15"/>
    </row>
    <row r="8354" spans="1:2" x14ac:dyDescent="0.15">
      <c r="A8354" s="15"/>
      <c r="B8354" s="15"/>
    </row>
    <row r="8355" spans="1:2" x14ac:dyDescent="0.15">
      <c r="A8355" s="15"/>
      <c r="B8355" s="15"/>
    </row>
    <row r="8356" spans="1:2" x14ac:dyDescent="0.15">
      <c r="A8356" s="15"/>
      <c r="B8356" s="15"/>
    </row>
    <row r="8357" spans="1:2" x14ac:dyDescent="0.15">
      <c r="A8357" s="15"/>
      <c r="B8357" s="15"/>
    </row>
    <row r="8358" spans="1:2" x14ac:dyDescent="0.15">
      <c r="A8358" s="15"/>
      <c r="B8358" s="15"/>
    </row>
    <row r="8359" spans="1:2" x14ac:dyDescent="0.15">
      <c r="A8359" s="15"/>
      <c r="B8359" s="15"/>
    </row>
    <row r="8360" spans="1:2" x14ac:dyDescent="0.15">
      <c r="A8360" s="15"/>
      <c r="B8360" s="15"/>
    </row>
    <row r="8361" spans="1:2" x14ac:dyDescent="0.15">
      <c r="A8361" s="15"/>
      <c r="B8361" s="15"/>
    </row>
    <row r="8362" spans="1:2" x14ac:dyDescent="0.15">
      <c r="A8362" s="15"/>
      <c r="B8362" s="15"/>
    </row>
    <row r="8363" spans="1:2" x14ac:dyDescent="0.15">
      <c r="A8363" s="15"/>
      <c r="B8363" s="15"/>
    </row>
    <row r="8364" spans="1:2" x14ac:dyDescent="0.15">
      <c r="A8364" s="15"/>
      <c r="B8364" s="15"/>
    </row>
    <row r="8365" spans="1:2" x14ac:dyDescent="0.15">
      <c r="A8365" s="15"/>
      <c r="B8365" s="15"/>
    </row>
    <row r="8366" spans="1:2" x14ac:dyDescent="0.15">
      <c r="A8366" s="15"/>
      <c r="B8366" s="15"/>
    </row>
    <row r="8367" spans="1:2" x14ac:dyDescent="0.15">
      <c r="A8367" s="15"/>
      <c r="B8367" s="15"/>
    </row>
    <row r="8368" spans="1:2" x14ac:dyDescent="0.15">
      <c r="A8368" s="15"/>
      <c r="B8368" s="15"/>
    </row>
    <row r="8369" spans="1:2" x14ac:dyDescent="0.15">
      <c r="A8369" s="15"/>
      <c r="B8369" s="15"/>
    </row>
    <row r="8370" spans="1:2" x14ac:dyDescent="0.15">
      <c r="A8370" s="15"/>
      <c r="B8370" s="15"/>
    </row>
    <row r="8371" spans="1:2" x14ac:dyDescent="0.15">
      <c r="A8371" s="15"/>
      <c r="B8371" s="15"/>
    </row>
    <row r="8372" spans="1:2" x14ac:dyDescent="0.15">
      <c r="A8372" s="15"/>
      <c r="B8372" s="15"/>
    </row>
    <row r="8373" spans="1:2" x14ac:dyDescent="0.15">
      <c r="A8373" s="15"/>
      <c r="B8373" s="15"/>
    </row>
    <row r="8374" spans="1:2" x14ac:dyDescent="0.15">
      <c r="A8374" s="15"/>
      <c r="B8374" s="15"/>
    </row>
    <row r="8375" spans="1:2" x14ac:dyDescent="0.15">
      <c r="A8375" s="15"/>
      <c r="B8375" s="15"/>
    </row>
    <row r="8376" spans="1:2" x14ac:dyDescent="0.15">
      <c r="A8376" s="15"/>
      <c r="B8376" s="15"/>
    </row>
    <row r="8377" spans="1:2" x14ac:dyDescent="0.15">
      <c r="A8377" s="15"/>
      <c r="B8377" s="15"/>
    </row>
    <row r="8378" spans="1:2" x14ac:dyDescent="0.15">
      <c r="A8378" s="15"/>
      <c r="B8378" s="15"/>
    </row>
    <row r="8379" spans="1:2" x14ac:dyDescent="0.15">
      <c r="A8379" s="15"/>
      <c r="B8379" s="15"/>
    </row>
    <row r="8380" spans="1:2" x14ac:dyDescent="0.15">
      <c r="A8380" s="15"/>
      <c r="B8380" s="15"/>
    </row>
    <row r="8381" spans="1:2" x14ac:dyDescent="0.15">
      <c r="A8381" s="15"/>
      <c r="B8381" s="15"/>
    </row>
    <row r="8382" spans="1:2" x14ac:dyDescent="0.15">
      <c r="A8382" s="15"/>
      <c r="B8382" s="15"/>
    </row>
    <row r="8383" spans="1:2" x14ac:dyDescent="0.15">
      <c r="A8383" s="15"/>
      <c r="B8383" s="15"/>
    </row>
    <row r="8384" spans="1:2" x14ac:dyDescent="0.15">
      <c r="A8384" s="15"/>
      <c r="B8384" s="15"/>
    </row>
    <row r="8385" spans="1:2" x14ac:dyDescent="0.15">
      <c r="A8385" s="15"/>
      <c r="B8385" s="15"/>
    </row>
    <row r="8386" spans="1:2" x14ac:dyDescent="0.15">
      <c r="A8386" s="15"/>
      <c r="B8386" s="15"/>
    </row>
    <row r="8387" spans="1:2" x14ac:dyDescent="0.15">
      <c r="A8387" s="15"/>
      <c r="B8387" s="15"/>
    </row>
    <row r="8388" spans="1:2" x14ac:dyDescent="0.15">
      <c r="A8388" s="15"/>
      <c r="B8388" s="15"/>
    </row>
    <row r="8389" spans="1:2" x14ac:dyDescent="0.15">
      <c r="A8389" s="15"/>
      <c r="B8389" s="15"/>
    </row>
    <row r="8390" spans="1:2" x14ac:dyDescent="0.15">
      <c r="A8390" s="15"/>
      <c r="B8390" s="15"/>
    </row>
    <row r="8391" spans="1:2" x14ac:dyDescent="0.15">
      <c r="A8391" s="15"/>
      <c r="B8391" s="15"/>
    </row>
    <row r="8392" spans="1:2" x14ac:dyDescent="0.15">
      <c r="A8392" s="15"/>
      <c r="B8392" s="15"/>
    </row>
    <row r="8393" spans="1:2" x14ac:dyDescent="0.15">
      <c r="A8393" s="15"/>
      <c r="B8393" s="15"/>
    </row>
    <row r="8394" spans="1:2" x14ac:dyDescent="0.15">
      <c r="A8394" s="15"/>
      <c r="B8394" s="15"/>
    </row>
    <row r="8395" spans="1:2" x14ac:dyDescent="0.15">
      <c r="A8395" s="15"/>
      <c r="B8395" s="15"/>
    </row>
    <row r="8396" spans="1:2" x14ac:dyDescent="0.15">
      <c r="A8396" s="15"/>
      <c r="B8396" s="15"/>
    </row>
    <row r="8397" spans="1:2" x14ac:dyDescent="0.15">
      <c r="A8397" s="15"/>
      <c r="B8397" s="15"/>
    </row>
    <row r="8398" spans="1:2" x14ac:dyDescent="0.15">
      <c r="A8398" s="15"/>
      <c r="B8398" s="15"/>
    </row>
    <row r="8399" spans="1:2" x14ac:dyDescent="0.15">
      <c r="A8399" s="15"/>
      <c r="B8399" s="15"/>
    </row>
    <row r="8400" spans="1:2" x14ac:dyDescent="0.15">
      <c r="A8400" s="15"/>
      <c r="B8400" s="15"/>
    </row>
    <row r="8401" spans="1:2" x14ac:dyDescent="0.15">
      <c r="A8401" s="15"/>
      <c r="B8401" s="15"/>
    </row>
    <row r="8402" spans="1:2" x14ac:dyDescent="0.15">
      <c r="A8402" s="15"/>
      <c r="B8402" s="15"/>
    </row>
    <row r="8403" spans="1:2" x14ac:dyDescent="0.15">
      <c r="A8403" s="15"/>
      <c r="B8403" s="15"/>
    </row>
    <row r="8404" spans="1:2" x14ac:dyDescent="0.15">
      <c r="A8404" s="15"/>
      <c r="B8404" s="15"/>
    </row>
    <row r="8405" spans="1:2" x14ac:dyDescent="0.15">
      <c r="A8405" s="15"/>
      <c r="B8405" s="15"/>
    </row>
    <row r="8406" spans="1:2" x14ac:dyDescent="0.15">
      <c r="A8406" s="15"/>
      <c r="B8406" s="15"/>
    </row>
    <row r="8407" spans="1:2" x14ac:dyDescent="0.15">
      <c r="A8407" s="15"/>
      <c r="B8407" s="15"/>
    </row>
    <row r="8408" spans="1:2" x14ac:dyDescent="0.15">
      <c r="A8408" s="15"/>
      <c r="B8408" s="15"/>
    </row>
    <row r="8409" spans="1:2" x14ac:dyDescent="0.15">
      <c r="A8409" s="15"/>
      <c r="B8409" s="15"/>
    </row>
    <row r="8410" spans="1:2" x14ac:dyDescent="0.15">
      <c r="A8410" s="15"/>
      <c r="B8410" s="15"/>
    </row>
    <row r="8411" spans="1:2" x14ac:dyDescent="0.15">
      <c r="A8411" s="15"/>
      <c r="B8411" s="15"/>
    </row>
    <row r="8412" spans="1:2" x14ac:dyDescent="0.15">
      <c r="A8412" s="15"/>
      <c r="B8412" s="15"/>
    </row>
    <row r="8413" spans="1:2" x14ac:dyDescent="0.15">
      <c r="A8413" s="15"/>
      <c r="B8413" s="15"/>
    </row>
    <row r="8414" spans="1:2" x14ac:dyDescent="0.15">
      <c r="A8414" s="15"/>
      <c r="B8414" s="15"/>
    </row>
    <row r="8415" spans="1:2" x14ac:dyDescent="0.15">
      <c r="A8415" s="15"/>
      <c r="B8415" s="15"/>
    </row>
    <row r="8416" spans="1:2" x14ac:dyDescent="0.15">
      <c r="A8416" s="15"/>
      <c r="B8416" s="15"/>
    </row>
    <row r="8417" spans="1:2" x14ac:dyDescent="0.15">
      <c r="A8417" s="15"/>
      <c r="B8417" s="15"/>
    </row>
    <row r="8418" spans="1:2" x14ac:dyDescent="0.15">
      <c r="A8418" s="15"/>
      <c r="B8418" s="15"/>
    </row>
    <row r="8419" spans="1:2" x14ac:dyDescent="0.15">
      <c r="A8419" s="15"/>
      <c r="B8419" s="15"/>
    </row>
    <row r="8420" spans="1:2" x14ac:dyDescent="0.15">
      <c r="A8420" s="15"/>
      <c r="B8420" s="15"/>
    </row>
    <row r="8421" spans="1:2" x14ac:dyDescent="0.15">
      <c r="A8421" s="15"/>
      <c r="B8421" s="15"/>
    </row>
    <row r="8422" spans="1:2" x14ac:dyDescent="0.15">
      <c r="A8422" s="15"/>
      <c r="B8422" s="15"/>
    </row>
    <row r="8423" spans="1:2" x14ac:dyDescent="0.15">
      <c r="A8423" s="15"/>
      <c r="B8423" s="15"/>
    </row>
    <row r="8424" spans="1:2" x14ac:dyDescent="0.15">
      <c r="A8424" s="15"/>
      <c r="B8424" s="15"/>
    </row>
    <row r="8425" spans="1:2" x14ac:dyDescent="0.15">
      <c r="A8425" s="15"/>
      <c r="B8425" s="15"/>
    </row>
    <row r="8426" spans="1:2" x14ac:dyDescent="0.15">
      <c r="A8426" s="15"/>
      <c r="B8426" s="15"/>
    </row>
    <row r="8427" spans="1:2" x14ac:dyDescent="0.15">
      <c r="A8427" s="15"/>
      <c r="B8427" s="15"/>
    </row>
    <row r="8428" spans="1:2" x14ac:dyDescent="0.15">
      <c r="A8428" s="15"/>
      <c r="B8428" s="15"/>
    </row>
    <row r="8429" spans="1:2" x14ac:dyDescent="0.15">
      <c r="A8429" s="15"/>
      <c r="B8429" s="15"/>
    </row>
    <row r="8430" spans="1:2" x14ac:dyDescent="0.15">
      <c r="A8430" s="15"/>
      <c r="B8430" s="15"/>
    </row>
    <row r="8431" spans="1:2" x14ac:dyDescent="0.15">
      <c r="A8431" s="15"/>
      <c r="B8431" s="15"/>
    </row>
    <row r="8432" spans="1:2" x14ac:dyDescent="0.15">
      <c r="A8432" s="15"/>
      <c r="B8432" s="15"/>
    </row>
    <row r="8433" spans="1:2" x14ac:dyDescent="0.15">
      <c r="A8433" s="15"/>
      <c r="B8433" s="15"/>
    </row>
    <row r="8434" spans="1:2" x14ac:dyDescent="0.15">
      <c r="A8434" s="15"/>
      <c r="B8434" s="15"/>
    </row>
    <row r="8435" spans="1:2" x14ac:dyDescent="0.15">
      <c r="A8435" s="15"/>
      <c r="B8435" s="15"/>
    </row>
    <row r="8436" spans="1:2" x14ac:dyDescent="0.15">
      <c r="A8436" s="15"/>
      <c r="B8436" s="15"/>
    </row>
    <row r="8437" spans="1:2" x14ac:dyDescent="0.15">
      <c r="A8437" s="15"/>
      <c r="B8437" s="15"/>
    </row>
    <row r="8438" spans="1:2" x14ac:dyDescent="0.15">
      <c r="A8438" s="15"/>
      <c r="B8438" s="15"/>
    </row>
    <row r="8439" spans="1:2" x14ac:dyDescent="0.15">
      <c r="A8439" s="15"/>
      <c r="B8439" s="15"/>
    </row>
    <row r="8440" spans="1:2" x14ac:dyDescent="0.15">
      <c r="A8440" s="15"/>
      <c r="B8440" s="15"/>
    </row>
    <row r="8441" spans="1:2" x14ac:dyDescent="0.15">
      <c r="A8441" s="15"/>
      <c r="B8441" s="15"/>
    </row>
    <row r="8442" spans="1:2" x14ac:dyDescent="0.15">
      <c r="A8442" s="15"/>
      <c r="B8442" s="15"/>
    </row>
    <row r="8443" spans="1:2" x14ac:dyDescent="0.15">
      <c r="A8443" s="15"/>
      <c r="B8443" s="15"/>
    </row>
    <row r="8444" spans="1:2" x14ac:dyDescent="0.15">
      <c r="A8444" s="15"/>
      <c r="B8444" s="15"/>
    </row>
    <row r="8445" spans="1:2" x14ac:dyDescent="0.15">
      <c r="A8445" s="15"/>
      <c r="B8445" s="15"/>
    </row>
    <row r="8446" spans="1:2" x14ac:dyDescent="0.15">
      <c r="A8446" s="15"/>
      <c r="B8446" s="15"/>
    </row>
    <row r="8447" spans="1:2" x14ac:dyDescent="0.15">
      <c r="A8447" s="15"/>
      <c r="B8447" s="15"/>
    </row>
    <row r="8448" spans="1:2" x14ac:dyDescent="0.15">
      <c r="A8448" s="15"/>
      <c r="B8448" s="15"/>
    </row>
    <row r="8449" spans="1:2" x14ac:dyDescent="0.15">
      <c r="A8449" s="15"/>
      <c r="B8449" s="15"/>
    </row>
    <row r="8450" spans="1:2" x14ac:dyDescent="0.15">
      <c r="A8450" s="15"/>
      <c r="B8450" s="15"/>
    </row>
    <row r="8451" spans="1:2" x14ac:dyDescent="0.15">
      <c r="A8451" s="15"/>
      <c r="B8451" s="15"/>
    </row>
    <row r="8452" spans="1:2" x14ac:dyDescent="0.15">
      <c r="A8452" s="15"/>
      <c r="B8452" s="15"/>
    </row>
    <row r="8453" spans="1:2" x14ac:dyDescent="0.15">
      <c r="A8453" s="15"/>
      <c r="B8453" s="15"/>
    </row>
    <row r="8454" spans="1:2" x14ac:dyDescent="0.15">
      <c r="A8454" s="15"/>
      <c r="B8454" s="15"/>
    </row>
    <row r="8455" spans="1:2" x14ac:dyDescent="0.15">
      <c r="A8455" s="15"/>
      <c r="B8455" s="15"/>
    </row>
    <row r="8456" spans="1:2" x14ac:dyDescent="0.15">
      <c r="A8456" s="15"/>
      <c r="B8456" s="15"/>
    </row>
    <row r="8457" spans="1:2" x14ac:dyDescent="0.15">
      <c r="A8457" s="15"/>
      <c r="B8457" s="15"/>
    </row>
    <row r="8458" spans="1:2" x14ac:dyDescent="0.15">
      <c r="A8458" s="15"/>
      <c r="B8458" s="15"/>
    </row>
    <row r="8459" spans="1:2" x14ac:dyDescent="0.15">
      <c r="A8459" s="15"/>
      <c r="B8459" s="15"/>
    </row>
    <row r="8460" spans="1:2" x14ac:dyDescent="0.15">
      <c r="A8460" s="15"/>
      <c r="B8460" s="15"/>
    </row>
    <row r="8461" spans="1:2" x14ac:dyDescent="0.15">
      <c r="A8461" s="15"/>
      <c r="B8461" s="15"/>
    </row>
    <row r="8462" spans="1:2" x14ac:dyDescent="0.15">
      <c r="A8462" s="15"/>
      <c r="B8462" s="15"/>
    </row>
    <row r="8463" spans="1:2" x14ac:dyDescent="0.15">
      <c r="A8463" s="15"/>
      <c r="B8463" s="15"/>
    </row>
    <row r="8464" spans="1:2" x14ac:dyDescent="0.15">
      <c r="A8464" s="15"/>
      <c r="B8464" s="15"/>
    </row>
    <row r="8465" spans="1:2" x14ac:dyDescent="0.15">
      <c r="A8465" s="15"/>
      <c r="B8465" s="15"/>
    </row>
    <row r="8466" spans="1:2" x14ac:dyDescent="0.15">
      <c r="A8466" s="15"/>
      <c r="B8466" s="15"/>
    </row>
    <row r="8467" spans="1:2" x14ac:dyDescent="0.15">
      <c r="A8467" s="15"/>
      <c r="B8467" s="15"/>
    </row>
    <row r="8468" spans="1:2" x14ac:dyDescent="0.15">
      <c r="A8468" s="15"/>
      <c r="B8468" s="15"/>
    </row>
    <row r="8469" spans="1:2" x14ac:dyDescent="0.15">
      <c r="A8469" s="15"/>
      <c r="B8469" s="15"/>
    </row>
    <row r="8470" spans="1:2" x14ac:dyDescent="0.15">
      <c r="A8470" s="15"/>
      <c r="B8470" s="15"/>
    </row>
    <row r="8471" spans="1:2" x14ac:dyDescent="0.15">
      <c r="A8471" s="15"/>
      <c r="B8471" s="15"/>
    </row>
    <row r="8472" spans="1:2" x14ac:dyDescent="0.15">
      <c r="A8472" s="15"/>
      <c r="B8472" s="15"/>
    </row>
    <row r="8473" spans="1:2" x14ac:dyDescent="0.15">
      <c r="A8473" s="15"/>
      <c r="B8473" s="15"/>
    </row>
    <row r="8474" spans="1:2" x14ac:dyDescent="0.15">
      <c r="A8474" s="15"/>
      <c r="B8474" s="15"/>
    </row>
    <row r="8475" spans="1:2" x14ac:dyDescent="0.15">
      <c r="A8475" s="15"/>
      <c r="B8475" s="15"/>
    </row>
    <row r="8476" spans="1:2" x14ac:dyDescent="0.15">
      <c r="A8476" s="15"/>
      <c r="B8476" s="15"/>
    </row>
    <row r="8477" spans="1:2" x14ac:dyDescent="0.15">
      <c r="A8477" s="15"/>
      <c r="B8477" s="15"/>
    </row>
    <row r="8478" spans="1:2" x14ac:dyDescent="0.15">
      <c r="A8478" s="15"/>
      <c r="B8478" s="15"/>
    </row>
    <row r="8479" spans="1:2" x14ac:dyDescent="0.15">
      <c r="A8479" s="15"/>
      <c r="B8479" s="15"/>
    </row>
    <row r="8480" spans="1:2" x14ac:dyDescent="0.15">
      <c r="A8480" s="15"/>
      <c r="B8480" s="15"/>
    </row>
    <row r="8481" spans="1:2" x14ac:dyDescent="0.15">
      <c r="A8481" s="15"/>
      <c r="B8481" s="15"/>
    </row>
    <row r="8482" spans="1:2" x14ac:dyDescent="0.15">
      <c r="A8482" s="15"/>
      <c r="B8482" s="15"/>
    </row>
    <row r="8483" spans="1:2" x14ac:dyDescent="0.15">
      <c r="A8483" s="15"/>
      <c r="B8483" s="15"/>
    </row>
    <row r="8484" spans="1:2" x14ac:dyDescent="0.15">
      <c r="A8484" s="15"/>
      <c r="B8484" s="15"/>
    </row>
    <row r="8485" spans="1:2" x14ac:dyDescent="0.15">
      <c r="A8485" s="15"/>
      <c r="B8485" s="15"/>
    </row>
    <row r="8486" spans="1:2" x14ac:dyDescent="0.15">
      <c r="A8486" s="15"/>
      <c r="B8486" s="15"/>
    </row>
    <row r="8487" spans="1:2" x14ac:dyDescent="0.15">
      <c r="A8487" s="15"/>
      <c r="B8487" s="15"/>
    </row>
    <row r="8488" spans="1:2" x14ac:dyDescent="0.15">
      <c r="A8488" s="15"/>
      <c r="B8488" s="15"/>
    </row>
    <row r="8489" spans="1:2" x14ac:dyDescent="0.15">
      <c r="A8489" s="15"/>
      <c r="B8489" s="15"/>
    </row>
    <row r="8490" spans="1:2" x14ac:dyDescent="0.15">
      <c r="A8490" s="15"/>
      <c r="B8490" s="15"/>
    </row>
    <row r="8491" spans="1:2" x14ac:dyDescent="0.15">
      <c r="A8491" s="15"/>
      <c r="B8491" s="15"/>
    </row>
    <row r="8492" spans="1:2" x14ac:dyDescent="0.15">
      <c r="A8492" s="15"/>
      <c r="B8492" s="15"/>
    </row>
    <row r="8493" spans="1:2" x14ac:dyDescent="0.15">
      <c r="A8493" s="15"/>
      <c r="B8493" s="15"/>
    </row>
    <row r="8494" spans="1:2" x14ac:dyDescent="0.15">
      <c r="A8494" s="15"/>
      <c r="B8494" s="15"/>
    </row>
    <row r="8495" spans="1:2" x14ac:dyDescent="0.15">
      <c r="A8495" s="15"/>
      <c r="B8495" s="15"/>
    </row>
    <row r="8496" spans="1:2" x14ac:dyDescent="0.15">
      <c r="A8496" s="15"/>
      <c r="B8496" s="15"/>
    </row>
    <row r="8497" spans="1:2" x14ac:dyDescent="0.15">
      <c r="A8497" s="15"/>
      <c r="B8497" s="15"/>
    </row>
    <row r="8498" spans="1:2" x14ac:dyDescent="0.15">
      <c r="A8498" s="15"/>
      <c r="B8498" s="15"/>
    </row>
    <row r="8499" spans="1:2" x14ac:dyDescent="0.15">
      <c r="A8499" s="15"/>
      <c r="B8499" s="15"/>
    </row>
    <row r="8500" spans="1:2" x14ac:dyDescent="0.15">
      <c r="A8500" s="15"/>
      <c r="B8500" s="15"/>
    </row>
    <row r="8501" spans="1:2" x14ac:dyDescent="0.15">
      <c r="A8501" s="15"/>
      <c r="B8501" s="15"/>
    </row>
    <row r="8502" spans="1:2" x14ac:dyDescent="0.15">
      <c r="A8502" s="15"/>
      <c r="B8502" s="15"/>
    </row>
    <row r="8503" spans="1:2" x14ac:dyDescent="0.15">
      <c r="A8503" s="15"/>
      <c r="B8503" s="15"/>
    </row>
    <row r="8504" spans="1:2" x14ac:dyDescent="0.15">
      <c r="A8504" s="15"/>
      <c r="B8504" s="15"/>
    </row>
    <row r="8505" spans="1:2" x14ac:dyDescent="0.15">
      <c r="A8505" s="15"/>
      <c r="B8505" s="15"/>
    </row>
    <row r="8506" spans="1:2" x14ac:dyDescent="0.15">
      <c r="A8506" s="15"/>
      <c r="B8506" s="15"/>
    </row>
    <row r="8507" spans="1:2" x14ac:dyDescent="0.15">
      <c r="A8507" s="15"/>
      <c r="B8507" s="15"/>
    </row>
    <row r="8508" spans="1:2" x14ac:dyDescent="0.15">
      <c r="A8508" s="15"/>
      <c r="B8508" s="15"/>
    </row>
    <row r="8509" spans="1:2" x14ac:dyDescent="0.15">
      <c r="A8509" s="15"/>
      <c r="B8509" s="15"/>
    </row>
    <row r="8510" spans="1:2" x14ac:dyDescent="0.15">
      <c r="A8510" s="15"/>
      <c r="B8510" s="15"/>
    </row>
    <row r="8511" spans="1:2" x14ac:dyDescent="0.15">
      <c r="A8511" s="15"/>
      <c r="B8511" s="15"/>
    </row>
    <row r="8512" spans="1:2" x14ac:dyDescent="0.15">
      <c r="A8512" s="15"/>
      <c r="B8512" s="15"/>
    </row>
    <row r="8513" spans="1:2" x14ac:dyDescent="0.15">
      <c r="A8513" s="15"/>
      <c r="B8513" s="15"/>
    </row>
    <row r="8514" spans="1:2" x14ac:dyDescent="0.15">
      <c r="A8514" s="15"/>
      <c r="B8514" s="15"/>
    </row>
    <row r="8515" spans="1:2" x14ac:dyDescent="0.15">
      <c r="A8515" s="15"/>
      <c r="B8515" s="15"/>
    </row>
    <row r="8516" spans="1:2" x14ac:dyDescent="0.15">
      <c r="A8516" s="15"/>
      <c r="B8516" s="15"/>
    </row>
    <row r="8517" spans="1:2" x14ac:dyDescent="0.15">
      <c r="A8517" s="15"/>
      <c r="B8517" s="15"/>
    </row>
    <row r="8518" spans="1:2" x14ac:dyDescent="0.15">
      <c r="A8518" s="15"/>
      <c r="B8518" s="15"/>
    </row>
    <row r="8519" spans="1:2" x14ac:dyDescent="0.15">
      <c r="A8519" s="15"/>
      <c r="B8519" s="15"/>
    </row>
    <row r="8520" spans="1:2" x14ac:dyDescent="0.15">
      <c r="A8520" s="15"/>
      <c r="B8520" s="15"/>
    </row>
    <row r="8521" spans="1:2" x14ac:dyDescent="0.15">
      <c r="A8521" s="15"/>
      <c r="B8521" s="15"/>
    </row>
    <row r="8522" spans="1:2" x14ac:dyDescent="0.15">
      <c r="A8522" s="15"/>
      <c r="B8522" s="15"/>
    </row>
    <row r="8523" spans="1:2" x14ac:dyDescent="0.15">
      <c r="A8523" s="15"/>
      <c r="B8523" s="15"/>
    </row>
    <row r="8524" spans="1:2" x14ac:dyDescent="0.15">
      <c r="A8524" s="15"/>
      <c r="B8524" s="15"/>
    </row>
    <row r="8525" spans="1:2" x14ac:dyDescent="0.15">
      <c r="A8525" s="15"/>
      <c r="B8525" s="15"/>
    </row>
    <row r="8526" spans="1:2" x14ac:dyDescent="0.15">
      <c r="A8526" s="15"/>
      <c r="B8526" s="15"/>
    </row>
    <row r="8527" spans="1:2" x14ac:dyDescent="0.15">
      <c r="A8527" s="15"/>
      <c r="B8527" s="15"/>
    </row>
    <row r="8528" spans="1:2" x14ac:dyDescent="0.15">
      <c r="A8528" s="15"/>
      <c r="B8528" s="15"/>
    </row>
    <row r="8529" spans="1:2" x14ac:dyDescent="0.15">
      <c r="A8529" s="15"/>
      <c r="B8529" s="15"/>
    </row>
    <row r="8530" spans="1:2" x14ac:dyDescent="0.15">
      <c r="A8530" s="15"/>
      <c r="B8530" s="15"/>
    </row>
    <row r="8531" spans="1:2" x14ac:dyDescent="0.15">
      <c r="A8531" s="15"/>
      <c r="B8531" s="15"/>
    </row>
    <row r="8532" spans="1:2" x14ac:dyDescent="0.15">
      <c r="A8532" s="15"/>
      <c r="B8532" s="15"/>
    </row>
    <row r="8533" spans="1:2" x14ac:dyDescent="0.15">
      <c r="A8533" s="15"/>
      <c r="B8533" s="15"/>
    </row>
    <row r="8534" spans="1:2" x14ac:dyDescent="0.15">
      <c r="A8534" s="15"/>
      <c r="B8534" s="15"/>
    </row>
    <row r="8535" spans="1:2" x14ac:dyDescent="0.15">
      <c r="A8535" s="15"/>
      <c r="B8535" s="15"/>
    </row>
    <row r="8536" spans="1:2" x14ac:dyDescent="0.15">
      <c r="A8536" s="15"/>
      <c r="B8536" s="15"/>
    </row>
    <row r="8537" spans="1:2" x14ac:dyDescent="0.15">
      <c r="A8537" s="15"/>
      <c r="B8537" s="15"/>
    </row>
    <row r="8538" spans="1:2" x14ac:dyDescent="0.15">
      <c r="A8538" s="15"/>
      <c r="B8538" s="15"/>
    </row>
    <row r="8539" spans="1:2" x14ac:dyDescent="0.15">
      <c r="A8539" s="15"/>
      <c r="B8539" s="15"/>
    </row>
    <row r="8540" spans="1:2" x14ac:dyDescent="0.15">
      <c r="A8540" s="15"/>
      <c r="B8540" s="15"/>
    </row>
    <row r="8541" spans="1:2" x14ac:dyDescent="0.15">
      <c r="A8541" s="15"/>
      <c r="B8541" s="15"/>
    </row>
    <row r="8542" spans="1:2" x14ac:dyDescent="0.15">
      <c r="A8542" s="15"/>
      <c r="B8542" s="15"/>
    </row>
    <row r="8543" spans="1:2" x14ac:dyDescent="0.15">
      <c r="A8543" s="15"/>
      <c r="B8543" s="15"/>
    </row>
    <row r="8544" spans="1:2" x14ac:dyDescent="0.15">
      <c r="A8544" s="15"/>
      <c r="B8544" s="15"/>
    </row>
    <row r="8545" spans="1:2" x14ac:dyDescent="0.15">
      <c r="A8545" s="15"/>
      <c r="B8545" s="15"/>
    </row>
    <row r="8546" spans="1:2" x14ac:dyDescent="0.15">
      <c r="A8546" s="15"/>
      <c r="B8546" s="15"/>
    </row>
    <row r="8547" spans="1:2" x14ac:dyDescent="0.15">
      <c r="A8547" s="15"/>
      <c r="B8547" s="15"/>
    </row>
    <row r="8548" spans="1:2" x14ac:dyDescent="0.15">
      <c r="A8548" s="15"/>
      <c r="B8548" s="15"/>
    </row>
    <row r="8549" spans="1:2" x14ac:dyDescent="0.15">
      <c r="A8549" s="15"/>
      <c r="B8549" s="15"/>
    </row>
    <row r="8550" spans="1:2" x14ac:dyDescent="0.15">
      <c r="A8550" s="15"/>
      <c r="B8550" s="15"/>
    </row>
    <row r="8551" spans="1:2" x14ac:dyDescent="0.15">
      <c r="A8551" s="15"/>
      <c r="B8551" s="15"/>
    </row>
    <row r="8552" spans="1:2" x14ac:dyDescent="0.15">
      <c r="A8552" s="15"/>
      <c r="B8552" s="15"/>
    </row>
    <row r="8553" spans="1:2" x14ac:dyDescent="0.15">
      <c r="A8553" s="15"/>
      <c r="B8553" s="15"/>
    </row>
    <row r="8554" spans="1:2" x14ac:dyDescent="0.15">
      <c r="A8554" s="15"/>
      <c r="B8554" s="15"/>
    </row>
    <row r="8555" spans="1:2" x14ac:dyDescent="0.15">
      <c r="A8555" s="15"/>
      <c r="B8555" s="15"/>
    </row>
    <row r="8556" spans="1:2" x14ac:dyDescent="0.15">
      <c r="A8556" s="15"/>
      <c r="B8556" s="15"/>
    </row>
    <row r="8557" spans="1:2" x14ac:dyDescent="0.15">
      <c r="A8557" s="15"/>
      <c r="B8557" s="15"/>
    </row>
    <row r="8558" spans="1:2" x14ac:dyDescent="0.15">
      <c r="A8558" s="15"/>
      <c r="B8558" s="15"/>
    </row>
    <row r="8559" spans="1:2" x14ac:dyDescent="0.15">
      <c r="A8559" s="15"/>
      <c r="B8559" s="15"/>
    </row>
    <row r="8560" spans="1:2" x14ac:dyDescent="0.15">
      <c r="A8560" s="15"/>
      <c r="B8560" s="15"/>
    </row>
    <row r="8561" spans="1:2" x14ac:dyDescent="0.15">
      <c r="A8561" s="15"/>
      <c r="B8561" s="15"/>
    </row>
    <row r="8562" spans="1:2" x14ac:dyDescent="0.15">
      <c r="A8562" s="15"/>
      <c r="B8562" s="15"/>
    </row>
    <row r="8563" spans="1:2" x14ac:dyDescent="0.15">
      <c r="A8563" s="15"/>
      <c r="B8563" s="15"/>
    </row>
    <row r="8564" spans="1:2" x14ac:dyDescent="0.15">
      <c r="A8564" s="15"/>
      <c r="B8564" s="15"/>
    </row>
    <row r="8565" spans="1:2" x14ac:dyDescent="0.15">
      <c r="A8565" s="15"/>
      <c r="B8565" s="15"/>
    </row>
    <row r="8566" spans="1:2" x14ac:dyDescent="0.15">
      <c r="A8566" s="15"/>
      <c r="B8566" s="15"/>
    </row>
    <row r="8567" spans="1:2" x14ac:dyDescent="0.15">
      <c r="A8567" s="15"/>
      <c r="B8567" s="15"/>
    </row>
    <row r="8568" spans="1:2" x14ac:dyDescent="0.15">
      <c r="A8568" s="15"/>
      <c r="B8568" s="15"/>
    </row>
    <row r="8569" spans="1:2" x14ac:dyDescent="0.15">
      <c r="A8569" s="15"/>
      <c r="B8569" s="15"/>
    </row>
    <row r="8570" spans="1:2" x14ac:dyDescent="0.15">
      <c r="A8570" s="15"/>
      <c r="B8570" s="15"/>
    </row>
    <row r="8571" spans="1:2" x14ac:dyDescent="0.15">
      <c r="A8571" s="15"/>
      <c r="B8571" s="15"/>
    </row>
    <row r="8572" spans="1:2" x14ac:dyDescent="0.15">
      <c r="A8572" s="15"/>
      <c r="B8572" s="15"/>
    </row>
    <row r="8573" spans="1:2" x14ac:dyDescent="0.15">
      <c r="A8573" s="15"/>
      <c r="B8573" s="15"/>
    </row>
    <row r="8574" spans="1:2" x14ac:dyDescent="0.15">
      <c r="A8574" s="15"/>
      <c r="B8574" s="15"/>
    </row>
    <row r="8575" spans="1:2" x14ac:dyDescent="0.15">
      <c r="A8575" s="15"/>
      <c r="B8575" s="15"/>
    </row>
    <row r="8576" spans="1:2" x14ac:dyDescent="0.15">
      <c r="A8576" s="15"/>
      <c r="B8576" s="15"/>
    </row>
    <row r="8577" spans="1:2" x14ac:dyDescent="0.15">
      <c r="A8577" s="15"/>
      <c r="B8577" s="15"/>
    </row>
    <row r="8578" spans="1:2" x14ac:dyDescent="0.15">
      <c r="A8578" s="15"/>
      <c r="B8578" s="15"/>
    </row>
    <row r="8579" spans="1:2" x14ac:dyDescent="0.15">
      <c r="A8579" s="15"/>
      <c r="B8579" s="15"/>
    </row>
    <row r="8580" spans="1:2" x14ac:dyDescent="0.15">
      <c r="A8580" s="15"/>
      <c r="B8580" s="15"/>
    </row>
    <row r="8581" spans="1:2" x14ac:dyDescent="0.15">
      <c r="A8581" s="15"/>
      <c r="B8581" s="15"/>
    </row>
    <row r="8582" spans="1:2" x14ac:dyDescent="0.15">
      <c r="A8582" s="15"/>
      <c r="B8582" s="15"/>
    </row>
    <row r="8583" spans="1:2" x14ac:dyDescent="0.15">
      <c r="A8583" s="15"/>
      <c r="B8583" s="15"/>
    </row>
    <row r="8584" spans="1:2" x14ac:dyDescent="0.15">
      <c r="A8584" s="15"/>
      <c r="B8584" s="15"/>
    </row>
    <row r="8585" spans="1:2" x14ac:dyDescent="0.15">
      <c r="A8585" s="15"/>
      <c r="B8585" s="15"/>
    </row>
    <row r="8586" spans="1:2" x14ac:dyDescent="0.15">
      <c r="A8586" s="15"/>
      <c r="B8586" s="15"/>
    </row>
    <row r="8587" spans="1:2" x14ac:dyDescent="0.15">
      <c r="A8587" s="15"/>
      <c r="B8587" s="15"/>
    </row>
    <row r="8588" spans="1:2" x14ac:dyDescent="0.15">
      <c r="A8588" s="15"/>
      <c r="B8588" s="15"/>
    </row>
    <row r="8589" spans="1:2" x14ac:dyDescent="0.15">
      <c r="A8589" s="15"/>
      <c r="B8589" s="15"/>
    </row>
    <row r="8590" spans="1:2" x14ac:dyDescent="0.15">
      <c r="A8590" s="15"/>
      <c r="B8590" s="15"/>
    </row>
    <row r="8591" spans="1:2" x14ac:dyDescent="0.15">
      <c r="A8591" s="15"/>
      <c r="B8591" s="15"/>
    </row>
    <row r="8592" spans="1:2" x14ac:dyDescent="0.15">
      <c r="A8592" s="15"/>
      <c r="B8592" s="15"/>
    </row>
    <row r="8593" spans="1:2" x14ac:dyDescent="0.15">
      <c r="A8593" s="15"/>
      <c r="B8593" s="15"/>
    </row>
    <row r="8594" spans="1:2" x14ac:dyDescent="0.15">
      <c r="A8594" s="15"/>
      <c r="B8594" s="15"/>
    </row>
    <row r="8595" spans="1:2" x14ac:dyDescent="0.15">
      <c r="A8595" s="15"/>
      <c r="B8595" s="15"/>
    </row>
    <row r="8596" spans="1:2" x14ac:dyDescent="0.15">
      <c r="A8596" s="15"/>
      <c r="B8596" s="15"/>
    </row>
    <row r="8597" spans="1:2" x14ac:dyDescent="0.15">
      <c r="A8597" s="15"/>
      <c r="B8597" s="15"/>
    </row>
    <row r="8598" spans="1:2" x14ac:dyDescent="0.15">
      <c r="A8598" s="15"/>
      <c r="B8598" s="15"/>
    </row>
    <row r="8599" spans="1:2" x14ac:dyDescent="0.15">
      <c r="A8599" s="15"/>
      <c r="B8599" s="15"/>
    </row>
    <row r="8600" spans="1:2" x14ac:dyDescent="0.15">
      <c r="A8600" s="15"/>
      <c r="B8600" s="15"/>
    </row>
    <row r="8601" spans="1:2" x14ac:dyDescent="0.15">
      <c r="A8601" s="15"/>
      <c r="B8601" s="15"/>
    </row>
    <row r="8602" spans="1:2" x14ac:dyDescent="0.15">
      <c r="A8602" s="15"/>
      <c r="B8602" s="15"/>
    </row>
    <row r="8603" spans="1:2" x14ac:dyDescent="0.15">
      <c r="A8603" s="15"/>
      <c r="B8603" s="15"/>
    </row>
    <row r="8604" spans="1:2" x14ac:dyDescent="0.15">
      <c r="A8604" s="15"/>
      <c r="B8604" s="15"/>
    </row>
    <row r="8605" spans="1:2" x14ac:dyDescent="0.15">
      <c r="A8605" s="15"/>
      <c r="B8605" s="15"/>
    </row>
    <row r="8606" spans="1:2" x14ac:dyDescent="0.15">
      <c r="A8606" s="15"/>
      <c r="B8606" s="15"/>
    </row>
    <row r="8607" spans="1:2" x14ac:dyDescent="0.15">
      <c r="A8607" s="15"/>
      <c r="B8607" s="15"/>
    </row>
    <row r="8608" spans="1:2" x14ac:dyDescent="0.15">
      <c r="A8608" s="15"/>
      <c r="B8608" s="15"/>
    </row>
    <row r="8609" spans="1:2" x14ac:dyDescent="0.15">
      <c r="A8609" s="15"/>
      <c r="B8609" s="15"/>
    </row>
    <row r="8610" spans="1:2" x14ac:dyDescent="0.15">
      <c r="A8610" s="15"/>
      <c r="B8610" s="15"/>
    </row>
    <row r="8611" spans="1:2" x14ac:dyDescent="0.15">
      <c r="A8611" s="15"/>
      <c r="B8611" s="15"/>
    </row>
    <row r="8612" spans="1:2" x14ac:dyDescent="0.15">
      <c r="A8612" s="15"/>
      <c r="B8612" s="15"/>
    </row>
    <row r="8613" spans="1:2" x14ac:dyDescent="0.15">
      <c r="A8613" s="15"/>
      <c r="B8613" s="15"/>
    </row>
    <row r="8614" spans="1:2" x14ac:dyDescent="0.15">
      <c r="A8614" s="15"/>
      <c r="B8614" s="15"/>
    </row>
    <row r="8615" spans="1:2" x14ac:dyDescent="0.15">
      <c r="A8615" s="15"/>
      <c r="B8615" s="15"/>
    </row>
    <row r="8616" spans="1:2" x14ac:dyDescent="0.15">
      <c r="A8616" s="15"/>
      <c r="B8616" s="15"/>
    </row>
    <row r="8617" spans="1:2" x14ac:dyDescent="0.15">
      <c r="A8617" s="15"/>
      <c r="B8617" s="15"/>
    </row>
    <row r="8618" spans="1:2" x14ac:dyDescent="0.15">
      <c r="A8618" s="15"/>
      <c r="B8618" s="15"/>
    </row>
    <row r="8619" spans="1:2" x14ac:dyDescent="0.15">
      <c r="A8619" s="15"/>
      <c r="B8619" s="15"/>
    </row>
    <row r="8620" spans="1:2" x14ac:dyDescent="0.15">
      <c r="A8620" s="15"/>
      <c r="B8620" s="15"/>
    </row>
    <row r="8621" spans="1:2" x14ac:dyDescent="0.15">
      <c r="A8621" s="15"/>
      <c r="B8621" s="15"/>
    </row>
    <row r="8622" spans="1:2" x14ac:dyDescent="0.15">
      <c r="A8622" s="15"/>
      <c r="B8622" s="15"/>
    </row>
    <row r="8623" spans="1:2" x14ac:dyDescent="0.15">
      <c r="A8623" s="15"/>
      <c r="B8623" s="15"/>
    </row>
    <row r="8624" spans="1:2" x14ac:dyDescent="0.15">
      <c r="A8624" s="15"/>
      <c r="B8624" s="15"/>
    </row>
    <row r="8625" spans="1:2" x14ac:dyDescent="0.15">
      <c r="A8625" s="15"/>
      <c r="B8625" s="15"/>
    </row>
    <row r="8626" spans="1:2" x14ac:dyDescent="0.15">
      <c r="A8626" s="15"/>
      <c r="B8626" s="15"/>
    </row>
    <row r="8627" spans="1:2" x14ac:dyDescent="0.15">
      <c r="A8627" s="15"/>
      <c r="B8627" s="15"/>
    </row>
    <row r="8628" spans="1:2" x14ac:dyDescent="0.15">
      <c r="A8628" s="15"/>
      <c r="B8628" s="15"/>
    </row>
    <row r="8629" spans="1:2" x14ac:dyDescent="0.15">
      <c r="A8629" s="15"/>
      <c r="B8629" s="15"/>
    </row>
    <row r="8630" spans="1:2" x14ac:dyDescent="0.15">
      <c r="A8630" s="15"/>
      <c r="B8630" s="15"/>
    </row>
    <row r="8631" spans="1:2" x14ac:dyDescent="0.15">
      <c r="A8631" s="15"/>
      <c r="B8631" s="15"/>
    </row>
    <row r="8632" spans="1:2" x14ac:dyDescent="0.15">
      <c r="A8632" s="15"/>
      <c r="B8632" s="15"/>
    </row>
    <row r="8633" spans="1:2" x14ac:dyDescent="0.15">
      <c r="A8633" s="15"/>
      <c r="B8633" s="15"/>
    </row>
    <row r="8634" spans="1:2" x14ac:dyDescent="0.15">
      <c r="A8634" s="15"/>
      <c r="B8634" s="15"/>
    </row>
    <row r="8635" spans="1:2" x14ac:dyDescent="0.15">
      <c r="A8635" s="15"/>
      <c r="B8635" s="15"/>
    </row>
    <row r="8636" spans="1:2" x14ac:dyDescent="0.15">
      <c r="A8636" s="15"/>
      <c r="B8636" s="15"/>
    </row>
    <row r="8637" spans="1:2" x14ac:dyDescent="0.15">
      <c r="A8637" s="15"/>
      <c r="B8637" s="15"/>
    </row>
    <row r="8638" spans="1:2" x14ac:dyDescent="0.15">
      <c r="A8638" s="15"/>
      <c r="B8638" s="15"/>
    </row>
    <row r="8639" spans="1:2" x14ac:dyDescent="0.15">
      <c r="A8639" s="15"/>
      <c r="B8639" s="15"/>
    </row>
    <row r="8640" spans="1:2" x14ac:dyDescent="0.15">
      <c r="A8640" s="15"/>
      <c r="B8640" s="15"/>
    </row>
    <row r="8641" spans="1:2" x14ac:dyDescent="0.15">
      <c r="A8641" s="15"/>
      <c r="B8641" s="15"/>
    </row>
    <row r="8642" spans="1:2" x14ac:dyDescent="0.15">
      <c r="A8642" s="15"/>
      <c r="B8642" s="15"/>
    </row>
    <row r="8643" spans="1:2" x14ac:dyDescent="0.15">
      <c r="A8643" s="15"/>
      <c r="B8643" s="15"/>
    </row>
    <row r="8644" spans="1:2" x14ac:dyDescent="0.15">
      <c r="A8644" s="15"/>
      <c r="B8644" s="15"/>
    </row>
    <row r="8645" spans="1:2" x14ac:dyDescent="0.15">
      <c r="A8645" s="15"/>
      <c r="B8645" s="15"/>
    </row>
    <row r="8646" spans="1:2" x14ac:dyDescent="0.15">
      <c r="A8646" s="15"/>
      <c r="B8646" s="15"/>
    </row>
    <row r="8647" spans="1:2" x14ac:dyDescent="0.15">
      <c r="A8647" s="15"/>
      <c r="B8647" s="15"/>
    </row>
    <row r="8648" spans="1:2" x14ac:dyDescent="0.15">
      <c r="A8648" s="15"/>
      <c r="B8648" s="15"/>
    </row>
    <row r="8649" spans="1:2" x14ac:dyDescent="0.15">
      <c r="A8649" s="15"/>
      <c r="B8649" s="15"/>
    </row>
    <row r="8650" spans="1:2" x14ac:dyDescent="0.15">
      <c r="A8650" s="15"/>
      <c r="B8650" s="15"/>
    </row>
    <row r="8651" spans="1:2" x14ac:dyDescent="0.15">
      <c r="A8651" s="15"/>
      <c r="B8651" s="15"/>
    </row>
    <row r="8652" spans="1:2" x14ac:dyDescent="0.15">
      <c r="A8652" s="15"/>
      <c r="B8652" s="15"/>
    </row>
    <row r="8653" spans="1:2" x14ac:dyDescent="0.15">
      <c r="A8653" s="15"/>
      <c r="B8653" s="15"/>
    </row>
    <row r="8654" spans="1:2" x14ac:dyDescent="0.15">
      <c r="A8654" s="15"/>
      <c r="B8654" s="15"/>
    </row>
    <row r="8655" spans="1:2" x14ac:dyDescent="0.15">
      <c r="A8655" s="15"/>
      <c r="B8655" s="15"/>
    </row>
    <row r="8656" spans="1:2" x14ac:dyDescent="0.15">
      <c r="A8656" s="15"/>
      <c r="B8656" s="15"/>
    </row>
    <row r="8657" spans="1:2" x14ac:dyDescent="0.15">
      <c r="A8657" s="15"/>
      <c r="B8657" s="15"/>
    </row>
    <row r="8658" spans="1:2" x14ac:dyDescent="0.15">
      <c r="A8658" s="15"/>
      <c r="B8658" s="15"/>
    </row>
    <row r="8659" spans="1:2" x14ac:dyDescent="0.15">
      <c r="A8659" s="15"/>
      <c r="B8659" s="15"/>
    </row>
    <row r="8660" spans="1:2" x14ac:dyDescent="0.15">
      <c r="A8660" s="15"/>
      <c r="B8660" s="15"/>
    </row>
    <row r="8661" spans="1:2" x14ac:dyDescent="0.15">
      <c r="A8661" s="15"/>
      <c r="B8661" s="15"/>
    </row>
    <row r="8662" spans="1:2" x14ac:dyDescent="0.15">
      <c r="A8662" s="15"/>
      <c r="B8662" s="15"/>
    </row>
    <row r="8663" spans="1:2" x14ac:dyDescent="0.15">
      <c r="A8663" s="15"/>
      <c r="B8663" s="15"/>
    </row>
    <row r="8664" spans="1:2" x14ac:dyDescent="0.15">
      <c r="A8664" s="15"/>
      <c r="B8664" s="15"/>
    </row>
    <row r="8665" spans="1:2" x14ac:dyDescent="0.15">
      <c r="A8665" s="15"/>
      <c r="B8665" s="15"/>
    </row>
    <row r="8666" spans="1:2" x14ac:dyDescent="0.15">
      <c r="A8666" s="15"/>
      <c r="B8666" s="15"/>
    </row>
    <row r="8667" spans="1:2" x14ac:dyDescent="0.15">
      <c r="A8667" s="15"/>
      <c r="B8667" s="15"/>
    </row>
    <row r="8668" spans="1:2" x14ac:dyDescent="0.15">
      <c r="A8668" s="15"/>
      <c r="B8668" s="15"/>
    </row>
    <row r="8669" spans="1:2" x14ac:dyDescent="0.15">
      <c r="A8669" s="15"/>
      <c r="B8669" s="15"/>
    </row>
    <row r="8670" spans="1:2" x14ac:dyDescent="0.15">
      <c r="A8670" s="15"/>
      <c r="B8670" s="15"/>
    </row>
    <row r="8671" spans="1:2" x14ac:dyDescent="0.15">
      <c r="A8671" s="15"/>
      <c r="B8671" s="15"/>
    </row>
    <row r="8672" spans="1:2" x14ac:dyDescent="0.15">
      <c r="A8672" s="15"/>
      <c r="B8672" s="15"/>
    </row>
    <row r="8673" spans="1:2" x14ac:dyDescent="0.15">
      <c r="A8673" s="15"/>
      <c r="B8673" s="15"/>
    </row>
    <row r="8674" spans="1:2" x14ac:dyDescent="0.15">
      <c r="A8674" s="15"/>
      <c r="B8674" s="15"/>
    </row>
    <row r="8675" spans="1:2" x14ac:dyDescent="0.15">
      <c r="A8675" s="15"/>
      <c r="B8675" s="15"/>
    </row>
    <row r="8676" spans="1:2" x14ac:dyDescent="0.15">
      <c r="A8676" s="15"/>
      <c r="B8676" s="15"/>
    </row>
    <row r="8677" spans="1:2" x14ac:dyDescent="0.15">
      <c r="A8677" s="15"/>
      <c r="B8677" s="15"/>
    </row>
    <row r="8678" spans="1:2" x14ac:dyDescent="0.15">
      <c r="A8678" s="15"/>
      <c r="B8678" s="15"/>
    </row>
    <row r="8679" spans="1:2" x14ac:dyDescent="0.15">
      <c r="A8679" s="15"/>
      <c r="B8679" s="15"/>
    </row>
    <row r="8680" spans="1:2" x14ac:dyDescent="0.15">
      <c r="A8680" s="15"/>
      <c r="B8680" s="15"/>
    </row>
    <row r="8681" spans="1:2" x14ac:dyDescent="0.15">
      <c r="A8681" s="15"/>
      <c r="B8681" s="15"/>
    </row>
    <row r="8682" spans="1:2" x14ac:dyDescent="0.15">
      <c r="A8682" s="15"/>
      <c r="B8682" s="15"/>
    </row>
    <row r="8683" spans="1:2" x14ac:dyDescent="0.15">
      <c r="A8683" s="15"/>
      <c r="B8683" s="15"/>
    </row>
    <row r="8684" spans="1:2" x14ac:dyDescent="0.15">
      <c r="A8684" s="15"/>
      <c r="B8684" s="15"/>
    </row>
    <row r="8685" spans="1:2" x14ac:dyDescent="0.15">
      <c r="A8685" s="15"/>
      <c r="B8685" s="15"/>
    </row>
    <row r="8686" spans="1:2" x14ac:dyDescent="0.15">
      <c r="A8686" s="15"/>
      <c r="B8686" s="15"/>
    </row>
    <row r="8687" spans="1:2" x14ac:dyDescent="0.15">
      <c r="A8687" s="15"/>
      <c r="B8687" s="15"/>
    </row>
    <row r="8688" spans="1:2" x14ac:dyDescent="0.15">
      <c r="A8688" s="15"/>
      <c r="B8688" s="15"/>
    </row>
    <row r="8689" spans="1:2" x14ac:dyDescent="0.15">
      <c r="A8689" s="15"/>
      <c r="B8689" s="15"/>
    </row>
    <row r="8690" spans="1:2" x14ac:dyDescent="0.15">
      <c r="A8690" s="15"/>
      <c r="B8690" s="15"/>
    </row>
    <row r="8691" spans="1:2" x14ac:dyDescent="0.15">
      <c r="A8691" s="15"/>
      <c r="B8691" s="15"/>
    </row>
    <row r="8692" spans="1:2" x14ac:dyDescent="0.15">
      <c r="A8692" s="15"/>
      <c r="B8692" s="15"/>
    </row>
    <row r="8693" spans="1:2" x14ac:dyDescent="0.15">
      <c r="A8693" s="15"/>
      <c r="B8693" s="15"/>
    </row>
    <row r="8694" spans="1:2" x14ac:dyDescent="0.15">
      <c r="A8694" s="15"/>
      <c r="B8694" s="15"/>
    </row>
    <row r="8695" spans="1:2" x14ac:dyDescent="0.15">
      <c r="A8695" s="15"/>
      <c r="B8695" s="15"/>
    </row>
    <row r="8696" spans="1:2" x14ac:dyDescent="0.15">
      <c r="A8696" s="15"/>
      <c r="B8696" s="15"/>
    </row>
    <row r="8697" spans="1:2" x14ac:dyDescent="0.15">
      <c r="A8697" s="15"/>
      <c r="B8697" s="15"/>
    </row>
    <row r="8698" spans="1:2" x14ac:dyDescent="0.15">
      <c r="A8698" s="15"/>
      <c r="B8698" s="15"/>
    </row>
    <row r="8699" spans="1:2" x14ac:dyDescent="0.15">
      <c r="A8699" s="15"/>
      <c r="B8699" s="15"/>
    </row>
    <row r="8700" spans="1:2" x14ac:dyDescent="0.15">
      <c r="A8700" s="15"/>
      <c r="B8700" s="15"/>
    </row>
    <row r="8701" spans="1:2" x14ac:dyDescent="0.15">
      <c r="A8701" s="15"/>
      <c r="B8701" s="15"/>
    </row>
    <row r="8702" spans="1:2" x14ac:dyDescent="0.15">
      <c r="A8702" s="15"/>
      <c r="B8702" s="15"/>
    </row>
    <row r="8703" spans="1:2" x14ac:dyDescent="0.15">
      <c r="A8703" s="15"/>
      <c r="B8703" s="15"/>
    </row>
    <row r="8704" spans="1:2" x14ac:dyDescent="0.15">
      <c r="A8704" s="15"/>
      <c r="B8704" s="15"/>
    </row>
    <row r="8705" spans="1:2" x14ac:dyDescent="0.15">
      <c r="A8705" s="15"/>
      <c r="B8705" s="15"/>
    </row>
    <row r="8706" spans="1:2" x14ac:dyDescent="0.15">
      <c r="A8706" s="15"/>
      <c r="B8706" s="15"/>
    </row>
    <row r="8707" spans="1:2" x14ac:dyDescent="0.15">
      <c r="A8707" s="15"/>
      <c r="B8707" s="15"/>
    </row>
    <row r="8708" spans="1:2" x14ac:dyDescent="0.15">
      <c r="A8708" s="15"/>
      <c r="B8708" s="15"/>
    </row>
    <row r="8709" spans="1:2" x14ac:dyDescent="0.15">
      <c r="A8709" s="15"/>
      <c r="B8709" s="15"/>
    </row>
    <row r="8710" spans="1:2" x14ac:dyDescent="0.15">
      <c r="A8710" s="15"/>
      <c r="B8710" s="15"/>
    </row>
    <row r="8711" spans="1:2" x14ac:dyDescent="0.15">
      <c r="A8711" s="15"/>
      <c r="B8711" s="15"/>
    </row>
    <row r="8712" spans="1:2" x14ac:dyDescent="0.15">
      <c r="A8712" s="15"/>
      <c r="B8712" s="15"/>
    </row>
    <row r="8713" spans="1:2" x14ac:dyDescent="0.15">
      <c r="A8713" s="15"/>
      <c r="B8713" s="15"/>
    </row>
    <row r="8714" spans="1:2" x14ac:dyDescent="0.15">
      <c r="A8714" s="15"/>
      <c r="B8714" s="15"/>
    </row>
    <row r="8715" spans="1:2" x14ac:dyDescent="0.15">
      <c r="A8715" s="15"/>
      <c r="B8715" s="15"/>
    </row>
    <row r="8716" spans="1:2" x14ac:dyDescent="0.15">
      <c r="A8716" s="15"/>
      <c r="B8716" s="15"/>
    </row>
    <row r="8717" spans="1:2" x14ac:dyDescent="0.15">
      <c r="A8717" s="15"/>
      <c r="B8717" s="15"/>
    </row>
    <row r="8718" spans="1:2" x14ac:dyDescent="0.15">
      <c r="A8718" s="15"/>
      <c r="B8718" s="15"/>
    </row>
    <row r="8719" spans="1:2" x14ac:dyDescent="0.15">
      <c r="A8719" s="15"/>
      <c r="B8719" s="15"/>
    </row>
    <row r="8720" spans="1:2" x14ac:dyDescent="0.15">
      <c r="A8720" s="15"/>
      <c r="B8720" s="15"/>
    </row>
    <row r="8721" spans="1:2" x14ac:dyDescent="0.15">
      <c r="A8721" s="15"/>
      <c r="B8721" s="15"/>
    </row>
    <row r="8722" spans="1:2" x14ac:dyDescent="0.15">
      <c r="A8722" s="15"/>
      <c r="B8722" s="15"/>
    </row>
    <row r="8723" spans="1:2" x14ac:dyDescent="0.15">
      <c r="A8723" s="15"/>
      <c r="B8723" s="15"/>
    </row>
    <row r="8724" spans="1:2" x14ac:dyDescent="0.15">
      <c r="A8724" s="15"/>
      <c r="B8724" s="15"/>
    </row>
    <row r="8725" spans="1:2" x14ac:dyDescent="0.15">
      <c r="A8725" s="15"/>
      <c r="B8725" s="15"/>
    </row>
    <row r="8726" spans="1:2" x14ac:dyDescent="0.15">
      <c r="A8726" s="15"/>
      <c r="B8726" s="15"/>
    </row>
    <row r="8727" spans="1:2" x14ac:dyDescent="0.15">
      <c r="A8727" s="15"/>
      <c r="B8727" s="15"/>
    </row>
    <row r="8728" spans="1:2" x14ac:dyDescent="0.15">
      <c r="A8728" s="15"/>
      <c r="B8728" s="15"/>
    </row>
    <row r="8729" spans="1:2" x14ac:dyDescent="0.15">
      <c r="A8729" s="15"/>
      <c r="B8729" s="15"/>
    </row>
    <row r="8730" spans="1:2" x14ac:dyDescent="0.15">
      <c r="A8730" s="15"/>
      <c r="B8730" s="15"/>
    </row>
    <row r="8731" spans="1:2" x14ac:dyDescent="0.15">
      <c r="A8731" s="15"/>
      <c r="B8731" s="15"/>
    </row>
    <row r="8732" spans="1:2" x14ac:dyDescent="0.15">
      <c r="A8732" s="15"/>
      <c r="B8732" s="15"/>
    </row>
    <row r="8733" spans="1:2" x14ac:dyDescent="0.15">
      <c r="A8733" s="15"/>
      <c r="B8733" s="15"/>
    </row>
    <row r="8734" spans="1:2" x14ac:dyDescent="0.15">
      <c r="A8734" s="15"/>
      <c r="B8734" s="15"/>
    </row>
    <row r="8735" spans="1:2" x14ac:dyDescent="0.15">
      <c r="A8735" s="15"/>
      <c r="B8735" s="15"/>
    </row>
    <row r="8736" spans="1:2" x14ac:dyDescent="0.15">
      <c r="A8736" s="15"/>
      <c r="B8736" s="15"/>
    </row>
    <row r="8737" spans="1:2" x14ac:dyDescent="0.15">
      <c r="A8737" s="15"/>
      <c r="B8737" s="15"/>
    </row>
    <row r="8738" spans="1:2" x14ac:dyDescent="0.15">
      <c r="A8738" s="15"/>
      <c r="B8738" s="15"/>
    </row>
    <row r="8739" spans="1:2" x14ac:dyDescent="0.15">
      <c r="A8739" s="15"/>
      <c r="B8739" s="15"/>
    </row>
    <row r="8740" spans="1:2" x14ac:dyDescent="0.15">
      <c r="A8740" s="15"/>
      <c r="B8740" s="15"/>
    </row>
    <row r="8741" spans="1:2" x14ac:dyDescent="0.15">
      <c r="A8741" s="15"/>
      <c r="B8741" s="15"/>
    </row>
    <row r="8742" spans="1:2" x14ac:dyDescent="0.15">
      <c r="A8742" s="15"/>
      <c r="B8742" s="15"/>
    </row>
    <row r="8743" spans="1:2" x14ac:dyDescent="0.15">
      <c r="A8743" s="15"/>
      <c r="B8743" s="15"/>
    </row>
    <row r="8744" spans="1:2" x14ac:dyDescent="0.15">
      <c r="A8744" s="15"/>
      <c r="B8744" s="15"/>
    </row>
    <row r="8745" spans="1:2" x14ac:dyDescent="0.15">
      <c r="A8745" s="15"/>
      <c r="B8745" s="15"/>
    </row>
    <row r="8746" spans="1:2" x14ac:dyDescent="0.15">
      <c r="A8746" s="15"/>
      <c r="B8746" s="15"/>
    </row>
    <row r="8747" spans="1:2" x14ac:dyDescent="0.15">
      <c r="A8747" s="15"/>
      <c r="B8747" s="15"/>
    </row>
    <row r="8748" spans="1:2" x14ac:dyDescent="0.15">
      <c r="A8748" s="15"/>
      <c r="B8748" s="15"/>
    </row>
    <row r="8749" spans="1:2" x14ac:dyDescent="0.15">
      <c r="A8749" s="15"/>
      <c r="B8749" s="15"/>
    </row>
    <row r="8750" spans="1:2" x14ac:dyDescent="0.15">
      <c r="A8750" s="15"/>
      <c r="B8750" s="15"/>
    </row>
    <row r="8751" spans="1:2" x14ac:dyDescent="0.15">
      <c r="A8751" s="15"/>
      <c r="B8751" s="15"/>
    </row>
    <row r="8752" spans="1:2" x14ac:dyDescent="0.15">
      <c r="A8752" s="15"/>
      <c r="B8752" s="15"/>
    </row>
    <row r="8753" spans="1:2" x14ac:dyDescent="0.15">
      <c r="A8753" s="15"/>
      <c r="B8753" s="15"/>
    </row>
    <row r="8754" spans="1:2" x14ac:dyDescent="0.15">
      <c r="A8754" s="15"/>
      <c r="B8754" s="15"/>
    </row>
    <row r="8755" spans="1:2" x14ac:dyDescent="0.15">
      <c r="A8755" s="15"/>
      <c r="B8755" s="15"/>
    </row>
    <row r="8756" spans="1:2" x14ac:dyDescent="0.15">
      <c r="A8756" s="15"/>
      <c r="B8756" s="15"/>
    </row>
    <row r="8757" spans="1:2" x14ac:dyDescent="0.15">
      <c r="A8757" s="15"/>
      <c r="B8757" s="15"/>
    </row>
    <row r="8758" spans="1:2" x14ac:dyDescent="0.15">
      <c r="A8758" s="15"/>
      <c r="B8758" s="15"/>
    </row>
    <row r="8759" spans="1:2" x14ac:dyDescent="0.15">
      <c r="A8759" s="15"/>
      <c r="B8759" s="15"/>
    </row>
    <row r="8760" spans="1:2" x14ac:dyDescent="0.15">
      <c r="A8760" s="15"/>
      <c r="B8760" s="15"/>
    </row>
    <row r="8761" spans="1:2" x14ac:dyDescent="0.15">
      <c r="A8761" s="15"/>
      <c r="B8761" s="15"/>
    </row>
    <row r="8762" spans="1:2" x14ac:dyDescent="0.15">
      <c r="A8762" s="15"/>
      <c r="B8762" s="15"/>
    </row>
    <row r="8763" spans="1:2" x14ac:dyDescent="0.15">
      <c r="A8763" s="15"/>
      <c r="B8763" s="15"/>
    </row>
    <row r="8764" spans="1:2" x14ac:dyDescent="0.15">
      <c r="A8764" s="15"/>
      <c r="B8764" s="15"/>
    </row>
    <row r="8765" spans="1:2" x14ac:dyDescent="0.15">
      <c r="A8765" s="15"/>
      <c r="B8765" s="15"/>
    </row>
    <row r="8766" spans="1:2" x14ac:dyDescent="0.15">
      <c r="A8766" s="15"/>
      <c r="B8766" s="15"/>
    </row>
    <row r="8767" spans="1:2" x14ac:dyDescent="0.15">
      <c r="A8767" s="15"/>
      <c r="B8767" s="15"/>
    </row>
    <row r="8768" spans="1:2" x14ac:dyDescent="0.15">
      <c r="A8768" s="15"/>
      <c r="B8768" s="15"/>
    </row>
    <row r="8769" spans="1:2" x14ac:dyDescent="0.15">
      <c r="A8769" s="15"/>
      <c r="B8769" s="15"/>
    </row>
    <row r="8770" spans="1:2" x14ac:dyDescent="0.15">
      <c r="A8770" s="15"/>
      <c r="B8770" s="15"/>
    </row>
    <row r="8771" spans="1:2" x14ac:dyDescent="0.15">
      <c r="A8771" s="15"/>
      <c r="B8771" s="15"/>
    </row>
    <row r="8772" spans="1:2" x14ac:dyDescent="0.15">
      <c r="A8772" s="15"/>
      <c r="B8772" s="15"/>
    </row>
    <row r="8773" spans="1:2" x14ac:dyDescent="0.15">
      <c r="A8773" s="15"/>
      <c r="B8773" s="15"/>
    </row>
    <row r="8774" spans="1:2" x14ac:dyDescent="0.15">
      <c r="A8774" s="15"/>
      <c r="B8774" s="15"/>
    </row>
    <row r="8775" spans="1:2" x14ac:dyDescent="0.15">
      <c r="A8775" s="15"/>
      <c r="B8775" s="15"/>
    </row>
    <row r="8776" spans="1:2" x14ac:dyDescent="0.15">
      <c r="A8776" s="15"/>
      <c r="B8776" s="15"/>
    </row>
    <row r="8777" spans="1:2" x14ac:dyDescent="0.15">
      <c r="A8777" s="15"/>
      <c r="B8777" s="15"/>
    </row>
    <row r="8778" spans="1:2" x14ac:dyDescent="0.15">
      <c r="A8778" s="15"/>
      <c r="B8778" s="15"/>
    </row>
    <row r="8779" spans="1:2" x14ac:dyDescent="0.15">
      <c r="A8779" s="15"/>
      <c r="B8779" s="15"/>
    </row>
    <row r="8780" spans="1:2" x14ac:dyDescent="0.15">
      <c r="A8780" s="15"/>
      <c r="B8780" s="15"/>
    </row>
    <row r="8781" spans="1:2" x14ac:dyDescent="0.15">
      <c r="A8781" s="15"/>
      <c r="B8781" s="15"/>
    </row>
    <row r="8782" spans="1:2" x14ac:dyDescent="0.15">
      <c r="A8782" s="15"/>
      <c r="B8782" s="15"/>
    </row>
    <row r="8783" spans="1:2" x14ac:dyDescent="0.15">
      <c r="A8783" s="15"/>
      <c r="B8783" s="15"/>
    </row>
    <row r="8784" spans="1:2" x14ac:dyDescent="0.15">
      <c r="A8784" s="15"/>
      <c r="B8784" s="15"/>
    </row>
    <row r="8785" spans="1:2" x14ac:dyDescent="0.15">
      <c r="A8785" s="15"/>
      <c r="B8785" s="15"/>
    </row>
    <row r="8786" spans="1:2" x14ac:dyDescent="0.15">
      <c r="A8786" s="15"/>
      <c r="B8786" s="15"/>
    </row>
    <row r="8787" spans="1:2" x14ac:dyDescent="0.15">
      <c r="A8787" s="15"/>
      <c r="B8787" s="15"/>
    </row>
    <row r="8788" spans="1:2" x14ac:dyDescent="0.15">
      <c r="A8788" s="15"/>
      <c r="B8788" s="15"/>
    </row>
    <row r="8789" spans="1:2" x14ac:dyDescent="0.15">
      <c r="A8789" s="15"/>
      <c r="B8789" s="15"/>
    </row>
    <row r="8790" spans="1:2" x14ac:dyDescent="0.15">
      <c r="A8790" s="15"/>
      <c r="B8790" s="15"/>
    </row>
    <row r="8791" spans="1:2" x14ac:dyDescent="0.15">
      <c r="A8791" s="15"/>
      <c r="B8791" s="15"/>
    </row>
    <row r="8792" spans="1:2" x14ac:dyDescent="0.15">
      <c r="A8792" s="15"/>
      <c r="B8792" s="15"/>
    </row>
    <row r="8793" spans="1:2" x14ac:dyDescent="0.15">
      <c r="A8793" s="15"/>
      <c r="B8793" s="15"/>
    </row>
    <row r="8794" spans="1:2" x14ac:dyDescent="0.15">
      <c r="A8794" s="15"/>
      <c r="B8794" s="15"/>
    </row>
    <row r="8795" spans="1:2" x14ac:dyDescent="0.15">
      <c r="A8795" s="15"/>
      <c r="B8795" s="15"/>
    </row>
    <row r="8796" spans="1:2" x14ac:dyDescent="0.15">
      <c r="A8796" s="15"/>
      <c r="B8796" s="15"/>
    </row>
    <row r="8797" spans="1:2" x14ac:dyDescent="0.15">
      <c r="A8797" s="15"/>
      <c r="B8797" s="15"/>
    </row>
    <row r="8798" spans="1:2" x14ac:dyDescent="0.15">
      <c r="A8798" s="15"/>
      <c r="B8798" s="15"/>
    </row>
    <row r="8799" spans="1:2" x14ac:dyDescent="0.15">
      <c r="A8799" s="15"/>
      <c r="B8799" s="15"/>
    </row>
    <row r="8800" spans="1:2" x14ac:dyDescent="0.15">
      <c r="A8800" s="15"/>
      <c r="B8800" s="15"/>
    </row>
    <row r="8801" spans="1:2" x14ac:dyDescent="0.15">
      <c r="A8801" s="15"/>
      <c r="B8801" s="15"/>
    </row>
    <row r="8802" spans="1:2" x14ac:dyDescent="0.15">
      <c r="A8802" s="15"/>
      <c r="B8802" s="15"/>
    </row>
    <row r="8803" spans="1:2" x14ac:dyDescent="0.15">
      <c r="A8803" s="15"/>
      <c r="B8803" s="15"/>
    </row>
    <row r="8804" spans="1:2" x14ac:dyDescent="0.15">
      <c r="A8804" s="15"/>
      <c r="B8804" s="15"/>
    </row>
    <row r="8805" spans="1:2" x14ac:dyDescent="0.15">
      <c r="A8805" s="15"/>
      <c r="B8805" s="15"/>
    </row>
    <row r="8806" spans="1:2" x14ac:dyDescent="0.15">
      <c r="A8806" s="15"/>
      <c r="B8806" s="15"/>
    </row>
    <row r="8807" spans="1:2" x14ac:dyDescent="0.15">
      <c r="A8807" s="15"/>
      <c r="B8807" s="15"/>
    </row>
    <row r="8808" spans="1:2" x14ac:dyDescent="0.15">
      <c r="A8808" s="15"/>
      <c r="B8808" s="15"/>
    </row>
    <row r="8809" spans="1:2" x14ac:dyDescent="0.15">
      <c r="A8809" s="15"/>
      <c r="B8809" s="15"/>
    </row>
    <row r="8810" spans="1:2" x14ac:dyDescent="0.15">
      <c r="A8810" s="15"/>
      <c r="B8810" s="15"/>
    </row>
    <row r="8811" spans="1:2" x14ac:dyDescent="0.15">
      <c r="A8811" s="15"/>
      <c r="B8811" s="15"/>
    </row>
    <row r="8812" spans="1:2" x14ac:dyDescent="0.15">
      <c r="A8812" s="15"/>
      <c r="B8812" s="15"/>
    </row>
    <row r="8813" spans="1:2" x14ac:dyDescent="0.15">
      <c r="A8813" s="15"/>
      <c r="B8813" s="15"/>
    </row>
    <row r="8814" spans="1:2" x14ac:dyDescent="0.15">
      <c r="A8814" s="15"/>
      <c r="B8814" s="15"/>
    </row>
    <row r="8815" spans="1:2" x14ac:dyDescent="0.15">
      <c r="A8815" s="15"/>
      <c r="B8815" s="15"/>
    </row>
    <row r="8816" spans="1:2" x14ac:dyDescent="0.15">
      <c r="A8816" s="15"/>
      <c r="B8816" s="15"/>
    </row>
    <row r="8817" spans="1:2" x14ac:dyDescent="0.15">
      <c r="A8817" s="15"/>
      <c r="B8817" s="15"/>
    </row>
    <row r="8818" spans="1:2" x14ac:dyDescent="0.15">
      <c r="A8818" s="15"/>
      <c r="B8818" s="15"/>
    </row>
    <row r="8819" spans="1:2" x14ac:dyDescent="0.15">
      <c r="A8819" s="15"/>
      <c r="B8819" s="15"/>
    </row>
    <row r="8820" spans="1:2" x14ac:dyDescent="0.15">
      <c r="A8820" s="15"/>
      <c r="B8820" s="15"/>
    </row>
    <row r="8821" spans="1:2" x14ac:dyDescent="0.15">
      <c r="A8821" s="15"/>
      <c r="B8821" s="15"/>
    </row>
    <row r="8822" spans="1:2" x14ac:dyDescent="0.15">
      <c r="A8822" s="15"/>
      <c r="B8822" s="15"/>
    </row>
    <row r="8823" spans="1:2" x14ac:dyDescent="0.15">
      <c r="A8823" s="15"/>
      <c r="B8823" s="15"/>
    </row>
    <row r="8824" spans="1:2" x14ac:dyDescent="0.15">
      <c r="A8824" s="15"/>
      <c r="B8824" s="15"/>
    </row>
    <row r="8825" spans="1:2" x14ac:dyDescent="0.15">
      <c r="A8825" s="15"/>
      <c r="B8825" s="15"/>
    </row>
    <row r="8826" spans="1:2" x14ac:dyDescent="0.15">
      <c r="A8826" s="15"/>
      <c r="B8826" s="15"/>
    </row>
    <row r="8827" spans="1:2" x14ac:dyDescent="0.15">
      <c r="A8827" s="15"/>
      <c r="B8827" s="15"/>
    </row>
    <row r="8828" spans="1:2" x14ac:dyDescent="0.15">
      <c r="A8828" s="15"/>
      <c r="B8828" s="15"/>
    </row>
    <row r="8829" spans="1:2" x14ac:dyDescent="0.15">
      <c r="A8829" s="15"/>
      <c r="B8829" s="15"/>
    </row>
    <row r="8830" spans="1:2" x14ac:dyDescent="0.15">
      <c r="A8830" s="15"/>
      <c r="B8830" s="15"/>
    </row>
    <row r="8831" spans="1:2" x14ac:dyDescent="0.15">
      <c r="A8831" s="15"/>
      <c r="B8831" s="15"/>
    </row>
    <row r="8832" spans="1:2" x14ac:dyDescent="0.15">
      <c r="A8832" s="15"/>
      <c r="B8832" s="15"/>
    </row>
    <row r="8833" spans="1:2" x14ac:dyDescent="0.15">
      <c r="A8833" s="15"/>
      <c r="B8833" s="15"/>
    </row>
    <row r="8834" spans="1:2" x14ac:dyDescent="0.15">
      <c r="A8834" s="15"/>
      <c r="B8834" s="15"/>
    </row>
    <row r="8835" spans="1:2" x14ac:dyDescent="0.15">
      <c r="A8835" s="15"/>
      <c r="B8835" s="15"/>
    </row>
    <row r="8836" spans="1:2" x14ac:dyDescent="0.15">
      <c r="A8836" s="15"/>
      <c r="B8836" s="15"/>
    </row>
    <row r="8837" spans="1:2" x14ac:dyDescent="0.15">
      <c r="A8837" s="15"/>
      <c r="B8837" s="15"/>
    </row>
    <row r="8838" spans="1:2" x14ac:dyDescent="0.15">
      <c r="A8838" s="15"/>
      <c r="B8838" s="15"/>
    </row>
    <row r="8839" spans="1:2" x14ac:dyDescent="0.15">
      <c r="A8839" s="15"/>
      <c r="B8839" s="15"/>
    </row>
    <row r="8840" spans="1:2" x14ac:dyDescent="0.15">
      <c r="A8840" s="15"/>
      <c r="B8840" s="15"/>
    </row>
    <row r="8841" spans="1:2" x14ac:dyDescent="0.15">
      <c r="A8841" s="15"/>
      <c r="B8841" s="15"/>
    </row>
    <row r="8842" spans="1:2" x14ac:dyDescent="0.15">
      <c r="A8842" s="15"/>
      <c r="B8842" s="15"/>
    </row>
    <row r="8843" spans="1:2" x14ac:dyDescent="0.15">
      <c r="A8843" s="15"/>
      <c r="B8843" s="15"/>
    </row>
    <row r="8844" spans="1:2" x14ac:dyDescent="0.15">
      <c r="A8844" s="15"/>
      <c r="B8844" s="15"/>
    </row>
    <row r="8845" spans="1:2" x14ac:dyDescent="0.15">
      <c r="A8845" s="15"/>
      <c r="B8845" s="15"/>
    </row>
    <row r="8846" spans="1:2" x14ac:dyDescent="0.15">
      <c r="A8846" s="15"/>
      <c r="B8846" s="15"/>
    </row>
    <row r="8847" spans="1:2" x14ac:dyDescent="0.15">
      <c r="A8847" s="15"/>
      <c r="B8847" s="15"/>
    </row>
    <row r="8848" spans="1:2" x14ac:dyDescent="0.15">
      <c r="A8848" s="15"/>
      <c r="B8848" s="15"/>
    </row>
    <row r="8849" spans="1:2" x14ac:dyDescent="0.15">
      <c r="A8849" s="15"/>
      <c r="B8849" s="15"/>
    </row>
    <row r="8850" spans="1:2" x14ac:dyDescent="0.15">
      <c r="A8850" s="15"/>
      <c r="B8850" s="15"/>
    </row>
    <row r="8851" spans="1:2" x14ac:dyDescent="0.15">
      <c r="A8851" s="15"/>
      <c r="B8851" s="15"/>
    </row>
    <row r="8852" spans="1:2" x14ac:dyDescent="0.15">
      <c r="A8852" s="15"/>
      <c r="B8852" s="15"/>
    </row>
    <row r="8853" spans="1:2" x14ac:dyDescent="0.15">
      <c r="A8853" s="15"/>
      <c r="B8853" s="15"/>
    </row>
    <row r="8854" spans="1:2" x14ac:dyDescent="0.15">
      <c r="A8854" s="15"/>
      <c r="B8854" s="15"/>
    </row>
    <row r="8855" spans="1:2" x14ac:dyDescent="0.15">
      <c r="A8855" s="15"/>
      <c r="B8855" s="15"/>
    </row>
    <row r="8856" spans="1:2" x14ac:dyDescent="0.15">
      <c r="A8856" s="15"/>
      <c r="B8856" s="15"/>
    </row>
    <row r="8857" spans="1:2" x14ac:dyDescent="0.15">
      <c r="A8857" s="15"/>
      <c r="B8857" s="15"/>
    </row>
    <row r="8858" spans="1:2" x14ac:dyDescent="0.15">
      <c r="A8858" s="15"/>
      <c r="B8858" s="15"/>
    </row>
    <row r="8859" spans="1:2" x14ac:dyDescent="0.15">
      <c r="A8859" s="15"/>
      <c r="B8859" s="15"/>
    </row>
    <row r="8860" spans="1:2" x14ac:dyDescent="0.15">
      <c r="A8860" s="15"/>
      <c r="B8860" s="15"/>
    </row>
    <row r="8861" spans="1:2" x14ac:dyDescent="0.15">
      <c r="A8861" s="15"/>
      <c r="B8861" s="15"/>
    </row>
    <row r="8862" spans="1:2" x14ac:dyDescent="0.15">
      <c r="A8862" s="15"/>
      <c r="B8862" s="15"/>
    </row>
    <row r="8863" spans="1:2" x14ac:dyDescent="0.15">
      <c r="A8863" s="15"/>
      <c r="B8863" s="15"/>
    </row>
    <row r="8864" spans="1:2" x14ac:dyDescent="0.15">
      <c r="A8864" s="15"/>
      <c r="B8864" s="15"/>
    </row>
    <row r="8865" spans="1:2" x14ac:dyDescent="0.15">
      <c r="A8865" s="15"/>
      <c r="B8865" s="15"/>
    </row>
    <row r="8866" spans="1:2" x14ac:dyDescent="0.15">
      <c r="A8866" s="15"/>
      <c r="B8866" s="15"/>
    </row>
    <row r="8867" spans="1:2" x14ac:dyDescent="0.15">
      <c r="A8867" s="15"/>
      <c r="B8867" s="15"/>
    </row>
    <row r="8868" spans="1:2" x14ac:dyDescent="0.15">
      <c r="A8868" s="15"/>
      <c r="B8868" s="15"/>
    </row>
    <row r="8869" spans="1:2" x14ac:dyDescent="0.15">
      <c r="A8869" s="15"/>
      <c r="B8869" s="15"/>
    </row>
    <row r="8870" spans="1:2" x14ac:dyDescent="0.15">
      <c r="A8870" s="15"/>
      <c r="B8870" s="15"/>
    </row>
    <row r="8871" spans="1:2" x14ac:dyDescent="0.15">
      <c r="A8871" s="15"/>
      <c r="B8871" s="15"/>
    </row>
    <row r="8872" spans="1:2" x14ac:dyDescent="0.15">
      <c r="A8872" s="15"/>
      <c r="B8872" s="15"/>
    </row>
    <row r="8873" spans="1:2" x14ac:dyDescent="0.15">
      <c r="A8873" s="15"/>
      <c r="B8873" s="15"/>
    </row>
    <row r="8874" spans="1:2" x14ac:dyDescent="0.15">
      <c r="A8874" s="15"/>
      <c r="B8874" s="15"/>
    </row>
    <row r="8875" spans="1:2" x14ac:dyDescent="0.15">
      <c r="A8875" s="15"/>
      <c r="B8875" s="15"/>
    </row>
    <row r="8876" spans="1:2" x14ac:dyDescent="0.15">
      <c r="A8876" s="15"/>
      <c r="B8876" s="15"/>
    </row>
    <row r="8877" spans="1:2" x14ac:dyDescent="0.15">
      <c r="A8877" s="15"/>
      <c r="B8877" s="15"/>
    </row>
    <row r="8878" spans="1:2" x14ac:dyDescent="0.15">
      <c r="A8878" s="15"/>
      <c r="B8878" s="15"/>
    </row>
    <row r="8879" spans="1:2" x14ac:dyDescent="0.15">
      <c r="A8879" s="15"/>
      <c r="B8879" s="15"/>
    </row>
    <row r="8880" spans="1:2" x14ac:dyDescent="0.15">
      <c r="A8880" s="15"/>
      <c r="B8880" s="15"/>
    </row>
    <row r="8881" spans="1:2" x14ac:dyDescent="0.15">
      <c r="A8881" s="15"/>
      <c r="B8881" s="15"/>
    </row>
    <row r="8882" spans="1:2" x14ac:dyDescent="0.15">
      <c r="A8882" s="15"/>
      <c r="B8882" s="15"/>
    </row>
    <row r="8883" spans="1:2" x14ac:dyDescent="0.15">
      <c r="A8883" s="15"/>
      <c r="B8883" s="15"/>
    </row>
    <row r="8884" spans="1:2" x14ac:dyDescent="0.15">
      <c r="A8884" s="15"/>
      <c r="B8884" s="15"/>
    </row>
    <row r="8885" spans="1:2" x14ac:dyDescent="0.15">
      <c r="A8885" s="15"/>
      <c r="B8885" s="15"/>
    </row>
    <row r="8886" spans="1:2" x14ac:dyDescent="0.15">
      <c r="A8886" s="15"/>
      <c r="B8886" s="15"/>
    </row>
    <row r="8887" spans="1:2" x14ac:dyDescent="0.15">
      <c r="A8887" s="15"/>
      <c r="B8887" s="15"/>
    </row>
    <row r="8888" spans="1:2" x14ac:dyDescent="0.15">
      <c r="A8888" s="15"/>
      <c r="B8888" s="15"/>
    </row>
    <row r="8889" spans="1:2" x14ac:dyDescent="0.15">
      <c r="A8889" s="15"/>
      <c r="B8889" s="15"/>
    </row>
    <row r="8890" spans="1:2" x14ac:dyDescent="0.15">
      <c r="A8890" s="15"/>
      <c r="B8890" s="15"/>
    </row>
    <row r="8891" spans="1:2" x14ac:dyDescent="0.15">
      <c r="A8891" s="15"/>
      <c r="B8891" s="15"/>
    </row>
    <row r="8892" spans="1:2" x14ac:dyDescent="0.15">
      <c r="A8892" s="15"/>
      <c r="B8892" s="15"/>
    </row>
    <row r="8893" spans="1:2" x14ac:dyDescent="0.15">
      <c r="A8893" s="15"/>
      <c r="B8893" s="15"/>
    </row>
    <row r="8894" spans="1:2" x14ac:dyDescent="0.15">
      <c r="A8894" s="15"/>
      <c r="B8894" s="15"/>
    </row>
    <row r="8895" spans="1:2" x14ac:dyDescent="0.15">
      <c r="A8895" s="15"/>
      <c r="B8895" s="15"/>
    </row>
    <row r="8896" spans="1:2" x14ac:dyDescent="0.15">
      <c r="A8896" s="15"/>
      <c r="B8896" s="15"/>
    </row>
    <row r="8897" spans="1:2" x14ac:dyDescent="0.15">
      <c r="A8897" s="15"/>
      <c r="B8897" s="15"/>
    </row>
    <row r="8898" spans="1:2" x14ac:dyDescent="0.15">
      <c r="A8898" s="15"/>
      <c r="B8898" s="15"/>
    </row>
    <row r="8899" spans="1:2" x14ac:dyDescent="0.15">
      <c r="A8899" s="15"/>
      <c r="B8899" s="15"/>
    </row>
    <row r="8900" spans="1:2" x14ac:dyDescent="0.15">
      <c r="A8900" s="15"/>
      <c r="B8900" s="15"/>
    </row>
    <row r="8901" spans="1:2" x14ac:dyDescent="0.15">
      <c r="A8901" s="15"/>
      <c r="B8901" s="15"/>
    </row>
    <row r="8902" spans="1:2" x14ac:dyDescent="0.15">
      <c r="A8902" s="15"/>
      <c r="B8902" s="15"/>
    </row>
    <row r="8903" spans="1:2" x14ac:dyDescent="0.15">
      <c r="A8903" s="15"/>
      <c r="B8903" s="15"/>
    </row>
    <row r="8904" spans="1:2" x14ac:dyDescent="0.15">
      <c r="A8904" s="15"/>
      <c r="B8904" s="15"/>
    </row>
    <row r="8905" spans="1:2" x14ac:dyDescent="0.15">
      <c r="A8905" s="15"/>
      <c r="B8905" s="15"/>
    </row>
    <row r="8906" spans="1:2" x14ac:dyDescent="0.15">
      <c r="A8906" s="15"/>
      <c r="B8906" s="15"/>
    </row>
    <row r="8907" spans="1:2" x14ac:dyDescent="0.15">
      <c r="A8907" s="15"/>
      <c r="B8907" s="15"/>
    </row>
    <row r="8908" spans="1:2" x14ac:dyDescent="0.15">
      <c r="A8908" s="15"/>
      <c r="B8908" s="15"/>
    </row>
    <row r="8909" spans="1:2" x14ac:dyDescent="0.15">
      <c r="A8909" s="15"/>
      <c r="B8909" s="15"/>
    </row>
    <row r="8910" spans="1:2" x14ac:dyDescent="0.15">
      <c r="A8910" s="15"/>
      <c r="B8910" s="15"/>
    </row>
    <row r="8911" spans="1:2" x14ac:dyDescent="0.15">
      <c r="A8911" s="15"/>
      <c r="B8911" s="15"/>
    </row>
    <row r="8912" spans="1:2" x14ac:dyDescent="0.15">
      <c r="A8912" s="15"/>
      <c r="B8912" s="15"/>
    </row>
    <row r="8913" spans="1:2" x14ac:dyDescent="0.15">
      <c r="A8913" s="15"/>
      <c r="B8913" s="15"/>
    </row>
    <row r="8914" spans="1:2" x14ac:dyDescent="0.15">
      <c r="A8914" s="15"/>
      <c r="B8914" s="15"/>
    </row>
    <row r="8915" spans="1:2" x14ac:dyDescent="0.15">
      <c r="A8915" s="15"/>
      <c r="B8915" s="15"/>
    </row>
    <row r="8916" spans="1:2" x14ac:dyDescent="0.15">
      <c r="A8916" s="15"/>
      <c r="B8916" s="15"/>
    </row>
    <row r="8917" spans="1:2" x14ac:dyDescent="0.15">
      <c r="A8917" s="15"/>
      <c r="B8917" s="15"/>
    </row>
    <row r="8918" spans="1:2" x14ac:dyDescent="0.15">
      <c r="A8918" s="15"/>
      <c r="B8918" s="15"/>
    </row>
    <row r="8919" spans="1:2" x14ac:dyDescent="0.15">
      <c r="A8919" s="15"/>
      <c r="B8919" s="15"/>
    </row>
    <row r="8920" spans="1:2" x14ac:dyDescent="0.15">
      <c r="A8920" s="15"/>
      <c r="B8920" s="15"/>
    </row>
    <row r="8921" spans="1:2" x14ac:dyDescent="0.15">
      <c r="A8921" s="15"/>
      <c r="B8921" s="15"/>
    </row>
    <row r="8922" spans="1:2" x14ac:dyDescent="0.15">
      <c r="A8922" s="15"/>
      <c r="B8922" s="15"/>
    </row>
    <row r="8923" spans="1:2" x14ac:dyDescent="0.15">
      <c r="A8923" s="15"/>
      <c r="B8923" s="15"/>
    </row>
    <row r="8924" spans="1:2" x14ac:dyDescent="0.15">
      <c r="A8924" s="15"/>
      <c r="B8924" s="15"/>
    </row>
    <row r="8925" spans="1:2" x14ac:dyDescent="0.15">
      <c r="A8925" s="15"/>
      <c r="B8925" s="15"/>
    </row>
    <row r="8926" spans="1:2" x14ac:dyDescent="0.15">
      <c r="A8926" s="15"/>
      <c r="B8926" s="15"/>
    </row>
    <row r="8927" spans="1:2" x14ac:dyDescent="0.15">
      <c r="A8927" s="15"/>
      <c r="B8927" s="15"/>
    </row>
    <row r="8928" spans="1:2" x14ac:dyDescent="0.15">
      <c r="A8928" s="15"/>
      <c r="B8928" s="15"/>
    </row>
    <row r="8929" spans="1:2" x14ac:dyDescent="0.15">
      <c r="A8929" s="15"/>
      <c r="B8929" s="15"/>
    </row>
    <row r="8930" spans="1:2" x14ac:dyDescent="0.15">
      <c r="A8930" s="15"/>
      <c r="B8930" s="15"/>
    </row>
    <row r="8931" spans="1:2" x14ac:dyDescent="0.15">
      <c r="A8931" s="15"/>
      <c r="B8931" s="15"/>
    </row>
    <row r="8932" spans="1:2" x14ac:dyDescent="0.15">
      <c r="A8932" s="15"/>
      <c r="B8932" s="15"/>
    </row>
    <row r="8933" spans="1:2" x14ac:dyDescent="0.15">
      <c r="A8933" s="15"/>
      <c r="B8933" s="15"/>
    </row>
    <row r="8934" spans="1:2" x14ac:dyDescent="0.15">
      <c r="A8934" s="15"/>
      <c r="B8934" s="15"/>
    </row>
    <row r="8935" spans="1:2" x14ac:dyDescent="0.15">
      <c r="A8935" s="15"/>
      <c r="B8935" s="15"/>
    </row>
    <row r="8936" spans="1:2" x14ac:dyDescent="0.15">
      <c r="A8936" s="15"/>
      <c r="B8936" s="15"/>
    </row>
    <row r="8937" spans="1:2" x14ac:dyDescent="0.15">
      <c r="A8937" s="15"/>
      <c r="B8937" s="15"/>
    </row>
    <row r="8938" spans="1:2" x14ac:dyDescent="0.15">
      <c r="A8938" s="15"/>
      <c r="B8938" s="15"/>
    </row>
    <row r="8939" spans="1:2" x14ac:dyDescent="0.15">
      <c r="A8939" s="15"/>
      <c r="B8939" s="15"/>
    </row>
    <row r="8940" spans="1:2" x14ac:dyDescent="0.15">
      <c r="A8940" s="15"/>
      <c r="B8940" s="15"/>
    </row>
    <row r="8941" spans="1:2" x14ac:dyDescent="0.15">
      <c r="A8941" s="15"/>
      <c r="B8941" s="15"/>
    </row>
    <row r="8942" spans="1:2" x14ac:dyDescent="0.15">
      <c r="A8942" s="15"/>
      <c r="B8942" s="15"/>
    </row>
    <row r="8943" spans="1:2" x14ac:dyDescent="0.15">
      <c r="A8943" s="15"/>
      <c r="B8943" s="15"/>
    </row>
    <row r="8944" spans="1:2" x14ac:dyDescent="0.15">
      <c r="A8944" s="15"/>
      <c r="B8944" s="15"/>
    </row>
    <row r="8945" spans="1:2" x14ac:dyDescent="0.15">
      <c r="A8945" s="15"/>
      <c r="B8945" s="15"/>
    </row>
    <row r="8946" spans="1:2" x14ac:dyDescent="0.15">
      <c r="A8946" s="15"/>
      <c r="B8946" s="15"/>
    </row>
    <row r="8947" spans="1:2" x14ac:dyDescent="0.15">
      <c r="A8947" s="15"/>
      <c r="B8947" s="15"/>
    </row>
    <row r="8948" spans="1:2" x14ac:dyDescent="0.15">
      <c r="A8948" s="15"/>
      <c r="B8948" s="15"/>
    </row>
    <row r="8949" spans="1:2" x14ac:dyDescent="0.15">
      <c r="A8949" s="15"/>
      <c r="B8949" s="15"/>
    </row>
    <row r="8950" spans="1:2" x14ac:dyDescent="0.15">
      <c r="A8950" s="15"/>
      <c r="B8950" s="15"/>
    </row>
    <row r="8951" spans="1:2" x14ac:dyDescent="0.15">
      <c r="A8951" s="15"/>
      <c r="B8951" s="15"/>
    </row>
    <row r="8952" spans="1:2" x14ac:dyDescent="0.15">
      <c r="A8952" s="15"/>
      <c r="B8952" s="15"/>
    </row>
    <row r="8953" spans="1:2" x14ac:dyDescent="0.15">
      <c r="A8953" s="15"/>
      <c r="B8953" s="15"/>
    </row>
    <row r="8954" spans="1:2" x14ac:dyDescent="0.15">
      <c r="A8954" s="15"/>
      <c r="B8954" s="15"/>
    </row>
    <row r="8955" spans="1:2" x14ac:dyDescent="0.15">
      <c r="A8955" s="15"/>
      <c r="B8955" s="15"/>
    </row>
    <row r="8956" spans="1:2" x14ac:dyDescent="0.15">
      <c r="A8956" s="15"/>
      <c r="B8956" s="15"/>
    </row>
    <row r="8957" spans="1:2" x14ac:dyDescent="0.15">
      <c r="A8957" s="15"/>
      <c r="B8957" s="15"/>
    </row>
    <row r="8958" spans="1:2" x14ac:dyDescent="0.15">
      <c r="A8958" s="15"/>
      <c r="B8958" s="15"/>
    </row>
    <row r="8959" spans="1:2" x14ac:dyDescent="0.15">
      <c r="A8959" s="15"/>
      <c r="B8959" s="15"/>
    </row>
    <row r="8960" spans="1:2" x14ac:dyDescent="0.15">
      <c r="A8960" s="15"/>
      <c r="B8960" s="15"/>
    </row>
    <row r="8961" spans="1:2" x14ac:dyDescent="0.15">
      <c r="A8961" s="15"/>
      <c r="B8961" s="15"/>
    </row>
    <row r="8962" spans="1:2" x14ac:dyDescent="0.15">
      <c r="A8962" s="15"/>
      <c r="B8962" s="15"/>
    </row>
    <row r="8963" spans="1:2" x14ac:dyDescent="0.15">
      <c r="A8963" s="15"/>
      <c r="B8963" s="15"/>
    </row>
    <row r="8964" spans="1:2" x14ac:dyDescent="0.15">
      <c r="A8964" s="15"/>
      <c r="B8964" s="15"/>
    </row>
    <row r="8965" spans="1:2" x14ac:dyDescent="0.15">
      <c r="A8965" s="15"/>
      <c r="B8965" s="15"/>
    </row>
    <row r="8966" spans="1:2" x14ac:dyDescent="0.15">
      <c r="A8966" s="15"/>
      <c r="B8966" s="15"/>
    </row>
    <row r="8967" spans="1:2" x14ac:dyDescent="0.15">
      <c r="A8967" s="15"/>
      <c r="B8967" s="15"/>
    </row>
    <row r="8968" spans="1:2" x14ac:dyDescent="0.15">
      <c r="A8968" s="15"/>
      <c r="B8968" s="15"/>
    </row>
    <row r="8969" spans="1:2" x14ac:dyDescent="0.15">
      <c r="A8969" s="15"/>
      <c r="B8969" s="15"/>
    </row>
    <row r="8970" spans="1:2" x14ac:dyDescent="0.15">
      <c r="A8970" s="15"/>
      <c r="B8970" s="15"/>
    </row>
    <row r="8971" spans="1:2" x14ac:dyDescent="0.15">
      <c r="A8971" s="15"/>
      <c r="B8971" s="15"/>
    </row>
    <row r="8972" spans="1:2" x14ac:dyDescent="0.15">
      <c r="A8972" s="15"/>
      <c r="B8972" s="15"/>
    </row>
    <row r="8973" spans="1:2" x14ac:dyDescent="0.15">
      <c r="A8973" s="15"/>
      <c r="B8973" s="15"/>
    </row>
    <row r="8974" spans="1:2" x14ac:dyDescent="0.15">
      <c r="A8974" s="15"/>
      <c r="B8974" s="15"/>
    </row>
    <row r="8975" spans="1:2" x14ac:dyDescent="0.15">
      <c r="A8975" s="15"/>
      <c r="B8975" s="15"/>
    </row>
    <row r="8976" spans="1:2" x14ac:dyDescent="0.15">
      <c r="A8976" s="15"/>
      <c r="B8976" s="15"/>
    </row>
    <row r="8977" spans="1:2" x14ac:dyDescent="0.15">
      <c r="A8977" s="15"/>
      <c r="B8977" s="15"/>
    </row>
    <row r="8978" spans="1:2" x14ac:dyDescent="0.15">
      <c r="A8978" s="15"/>
      <c r="B8978" s="15"/>
    </row>
    <row r="8979" spans="1:2" x14ac:dyDescent="0.15">
      <c r="A8979" s="15"/>
      <c r="B8979" s="15"/>
    </row>
    <row r="8980" spans="1:2" x14ac:dyDescent="0.15">
      <c r="A8980" s="15"/>
      <c r="B8980" s="15"/>
    </row>
    <row r="8981" spans="1:2" x14ac:dyDescent="0.15">
      <c r="A8981" s="15"/>
      <c r="B8981" s="15"/>
    </row>
    <row r="8982" spans="1:2" x14ac:dyDescent="0.15">
      <c r="A8982" s="15"/>
      <c r="B8982" s="15"/>
    </row>
    <row r="8983" spans="1:2" x14ac:dyDescent="0.15">
      <c r="A8983" s="15"/>
      <c r="B8983" s="15"/>
    </row>
    <row r="8984" spans="1:2" x14ac:dyDescent="0.15">
      <c r="A8984" s="15"/>
      <c r="B8984" s="15"/>
    </row>
    <row r="8985" spans="1:2" x14ac:dyDescent="0.15">
      <c r="A8985" s="15"/>
      <c r="B8985" s="15"/>
    </row>
    <row r="8986" spans="1:2" x14ac:dyDescent="0.15">
      <c r="A8986" s="15"/>
      <c r="B8986" s="15"/>
    </row>
    <row r="8987" spans="1:2" x14ac:dyDescent="0.15">
      <c r="A8987" s="15"/>
      <c r="B8987" s="15"/>
    </row>
    <row r="8988" spans="1:2" x14ac:dyDescent="0.15">
      <c r="A8988" s="15"/>
      <c r="B8988" s="15"/>
    </row>
    <row r="8989" spans="1:2" x14ac:dyDescent="0.15">
      <c r="A8989" s="15"/>
      <c r="B8989" s="15"/>
    </row>
    <row r="8990" spans="1:2" x14ac:dyDescent="0.15">
      <c r="A8990" s="15"/>
      <c r="B8990" s="15"/>
    </row>
    <row r="8991" spans="1:2" x14ac:dyDescent="0.15">
      <c r="A8991" s="15"/>
      <c r="B8991" s="15"/>
    </row>
    <row r="8992" spans="1:2" x14ac:dyDescent="0.15">
      <c r="A8992" s="15"/>
      <c r="B8992" s="15"/>
    </row>
    <row r="8993" spans="1:2" x14ac:dyDescent="0.15">
      <c r="A8993" s="15"/>
      <c r="B8993" s="15"/>
    </row>
    <row r="8994" spans="1:2" x14ac:dyDescent="0.15">
      <c r="A8994" s="15"/>
      <c r="B8994" s="15"/>
    </row>
    <row r="8995" spans="1:2" x14ac:dyDescent="0.15">
      <c r="A8995" s="15"/>
      <c r="B8995" s="15"/>
    </row>
    <row r="8996" spans="1:2" x14ac:dyDescent="0.15">
      <c r="A8996" s="15"/>
      <c r="B8996" s="15"/>
    </row>
    <row r="8997" spans="1:2" x14ac:dyDescent="0.15">
      <c r="A8997" s="15"/>
      <c r="B8997" s="15"/>
    </row>
    <row r="8998" spans="1:2" x14ac:dyDescent="0.15">
      <c r="A8998" s="15"/>
      <c r="B8998" s="15"/>
    </row>
    <row r="8999" spans="1:2" x14ac:dyDescent="0.15">
      <c r="A8999" s="15"/>
      <c r="B8999" s="15"/>
    </row>
    <row r="9000" spans="1:2" x14ac:dyDescent="0.15">
      <c r="A9000" s="15"/>
      <c r="B9000" s="15"/>
    </row>
    <row r="9001" spans="1:2" x14ac:dyDescent="0.15">
      <c r="A9001" s="15"/>
      <c r="B9001" s="15"/>
    </row>
    <row r="9002" spans="1:2" x14ac:dyDescent="0.15">
      <c r="A9002" s="15"/>
      <c r="B9002" s="15"/>
    </row>
    <row r="9003" spans="1:2" x14ac:dyDescent="0.15">
      <c r="A9003" s="15"/>
      <c r="B9003" s="15"/>
    </row>
    <row r="9004" spans="1:2" x14ac:dyDescent="0.15">
      <c r="A9004" s="15"/>
      <c r="B9004" s="15"/>
    </row>
    <row r="9005" spans="1:2" x14ac:dyDescent="0.15">
      <c r="A9005" s="15"/>
      <c r="B9005" s="15"/>
    </row>
    <row r="9006" spans="1:2" x14ac:dyDescent="0.15">
      <c r="A9006" s="15"/>
      <c r="B9006" s="15"/>
    </row>
    <row r="9007" spans="1:2" x14ac:dyDescent="0.15">
      <c r="A9007" s="15"/>
      <c r="B9007" s="15"/>
    </row>
    <row r="9008" spans="1:2" x14ac:dyDescent="0.15">
      <c r="A9008" s="15"/>
      <c r="B9008" s="15"/>
    </row>
    <row r="9009" spans="1:2" x14ac:dyDescent="0.15">
      <c r="A9009" s="15"/>
      <c r="B9009" s="15"/>
    </row>
    <row r="9010" spans="1:2" x14ac:dyDescent="0.15">
      <c r="A9010" s="15"/>
      <c r="B9010" s="15"/>
    </row>
    <row r="9011" spans="1:2" x14ac:dyDescent="0.15">
      <c r="A9011" s="15"/>
      <c r="B9011" s="15"/>
    </row>
    <row r="9012" spans="1:2" x14ac:dyDescent="0.15">
      <c r="A9012" s="15"/>
      <c r="B9012" s="15"/>
    </row>
    <row r="9013" spans="1:2" x14ac:dyDescent="0.15">
      <c r="A9013" s="15"/>
      <c r="B9013" s="15"/>
    </row>
    <row r="9014" spans="1:2" x14ac:dyDescent="0.15">
      <c r="A9014" s="15"/>
      <c r="B9014" s="15"/>
    </row>
    <row r="9015" spans="1:2" x14ac:dyDescent="0.15">
      <c r="A9015" s="15"/>
      <c r="B9015" s="15"/>
    </row>
    <row r="9016" spans="1:2" x14ac:dyDescent="0.15">
      <c r="A9016" s="15"/>
      <c r="B9016" s="15"/>
    </row>
    <row r="9017" spans="1:2" x14ac:dyDescent="0.15">
      <c r="A9017" s="15"/>
      <c r="B9017" s="15"/>
    </row>
    <row r="9018" spans="1:2" x14ac:dyDescent="0.15">
      <c r="A9018" s="15"/>
      <c r="B9018" s="15"/>
    </row>
    <row r="9019" spans="1:2" x14ac:dyDescent="0.15">
      <c r="A9019" s="15"/>
      <c r="B9019" s="15"/>
    </row>
    <row r="9020" spans="1:2" x14ac:dyDescent="0.15">
      <c r="A9020" s="15"/>
      <c r="B9020" s="15"/>
    </row>
    <row r="9021" spans="1:2" x14ac:dyDescent="0.15">
      <c r="A9021" s="15"/>
      <c r="B9021" s="15"/>
    </row>
    <row r="9022" spans="1:2" x14ac:dyDescent="0.15">
      <c r="A9022" s="15"/>
      <c r="B9022" s="15"/>
    </row>
    <row r="9023" spans="1:2" x14ac:dyDescent="0.15">
      <c r="A9023" s="15"/>
      <c r="B9023" s="15"/>
    </row>
    <row r="9024" spans="1:2" x14ac:dyDescent="0.15">
      <c r="A9024" s="15"/>
      <c r="B9024" s="15"/>
    </row>
    <row r="9025" spans="1:2" x14ac:dyDescent="0.15">
      <c r="A9025" s="15"/>
      <c r="B9025" s="15"/>
    </row>
    <row r="9026" spans="1:2" x14ac:dyDescent="0.15">
      <c r="A9026" s="15"/>
      <c r="B9026" s="15"/>
    </row>
    <row r="9027" spans="1:2" x14ac:dyDescent="0.15">
      <c r="A9027" s="15"/>
      <c r="B9027" s="15"/>
    </row>
    <row r="9028" spans="1:2" x14ac:dyDescent="0.15">
      <c r="A9028" s="15"/>
      <c r="B9028" s="15"/>
    </row>
    <row r="9029" spans="1:2" x14ac:dyDescent="0.15">
      <c r="A9029" s="15"/>
      <c r="B9029" s="15"/>
    </row>
    <row r="9030" spans="1:2" x14ac:dyDescent="0.15">
      <c r="A9030" s="15"/>
      <c r="B9030" s="15"/>
    </row>
    <row r="9031" spans="1:2" x14ac:dyDescent="0.15">
      <c r="A9031" s="15"/>
      <c r="B9031" s="15"/>
    </row>
    <row r="9032" spans="1:2" x14ac:dyDescent="0.15">
      <c r="A9032" s="15"/>
      <c r="B9032" s="15"/>
    </row>
    <row r="9033" spans="1:2" x14ac:dyDescent="0.15">
      <c r="A9033" s="15"/>
      <c r="B9033" s="15"/>
    </row>
    <row r="9034" spans="1:2" x14ac:dyDescent="0.15">
      <c r="A9034" s="15"/>
      <c r="B9034" s="15"/>
    </row>
    <row r="9035" spans="1:2" x14ac:dyDescent="0.15">
      <c r="A9035" s="15"/>
      <c r="B9035" s="15"/>
    </row>
    <row r="9036" spans="1:2" x14ac:dyDescent="0.15">
      <c r="A9036" s="15"/>
      <c r="B9036" s="15"/>
    </row>
    <row r="9037" spans="1:2" x14ac:dyDescent="0.15">
      <c r="A9037" s="15"/>
      <c r="B9037" s="15"/>
    </row>
    <row r="9038" spans="1:2" x14ac:dyDescent="0.15">
      <c r="A9038" s="15"/>
      <c r="B9038" s="15"/>
    </row>
    <row r="9039" spans="1:2" x14ac:dyDescent="0.15">
      <c r="A9039" s="15"/>
      <c r="B9039" s="15"/>
    </row>
    <row r="9040" spans="1:2" x14ac:dyDescent="0.15">
      <c r="A9040" s="15"/>
      <c r="B9040" s="15"/>
    </row>
    <row r="9041" spans="1:2" x14ac:dyDescent="0.15">
      <c r="A9041" s="15"/>
      <c r="B9041" s="15"/>
    </row>
    <row r="9042" spans="1:2" x14ac:dyDescent="0.15">
      <c r="A9042" s="15"/>
      <c r="B9042" s="15"/>
    </row>
    <row r="9043" spans="1:2" x14ac:dyDescent="0.15">
      <c r="A9043" s="15"/>
      <c r="B9043" s="15"/>
    </row>
    <row r="9044" spans="1:2" x14ac:dyDescent="0.15">
      <c r="A9044" s="15"/>
      <c r="B9044" s="15"/>
    </row>
    <row r="9045" spans="1:2" x14ac:dyDescent="0.15">
      <c r="A9045" s="15"/>
      <c r="B9045" s="15"/>
    </row>
    <row r="9046" spans="1:2" x14ac:dyDescent="0.15">
      <c r="A9046" s="15"/>
      <c r="B9046" s="15"/>
    </row>
    <row r="9047" spans="1:2" x14ac:dyDescent="0.15">
      <c r="A9047" s="15"/>
      <c r="B9047" s="15"/>
    </row>
    <row r="9048" spans="1:2" x14ac:dyDescent="0.15">
      <c r="A9048" s="15"/>
      <c r="B9048" s="15"/>
    </row>
    <row r="9049" spans="1:2" x14ac:dyDescent="0.15">
      <c r="A9049" s="15"/>
      <c r="B9049" s="15"/>
    </row>
    <row r="9050" spans="1:2" x14ac:dyDescent="0.15">
      <c r="A9050" s="15"/>
      <c r="B9050" s="15"/>
    </row>
    <row r="9051" spans="1:2" x14ac:dyDescent="0.15">
      <c r="A9051" s="15"/>
      <c r="B9051" s="15"/>
    </row>
    <row r="9052" spans="1:2" x14ac:dyDescent="0.15">
      <c r="A9052" s="15"/>
      <c r="B9052" s="15"/>
    </row>
    <row r="9053" spans="1:2" x14ac:dyDescent="0.15">
      <c r="A9053" s="15"/>
      <c r="B9053" s="15"/>
    </row>
    <row r="9054" spans="1:2" x14ac:dyDescent="0.15">
      <c r="A9054" s="15"/>
      <c r="B9054" s="15"/>
    </row>
    <row r="9055" spans="1:2" x14ac:dyDescent="0.15">
      <c r="A9055" s="15"/>
      <c r="B9055" s="15"/>
    </row>
    <row r="9056" spans="1:2" x14ac:dyDescent="0.15">
      <c r="A9056" s="15"/>
      <c r="B9056" s="15"/>
    </row>
    <row r="9057" spans="1:2" x14ac:dyDescent="0.15">
      <c r="A9057" s="15"/>
      <c r="B9057" s="15"/>
    </row>
    <row r="9058" spans="1:2" x14ac:dyDescent="0.15">
      <c r="A9058" s="15"/>
      <c r="B9058" s="15"/>
    </row>
    <row r="9059" spans="1:2" x14ac:dyDescent="0.15">
      <c r="A9059" s="15"/>
      <c r="B9059" s="15"/>
    </row>
    <row r="9060" spans="1:2" x14ac:dyDescent="0.15">
      <c r="A9060" s="15"/>
      <c r="B9060" s="15"/>
    </row>
    <row r="9061" spans="1:2" x14ac:dyDescent="0.15">
      <c r="A9061" s="15"/>
      <c r="B9061" s="15"/>
    </row>
    <row r="9062" spans="1:2" x14ac:dyDescent="0.15">
      <c r="A9062" s="15"/>
      <c r="B9062" s="15"/>
    </row>
    <row r="9063" spans="1:2" x14ac:dyDescent="0.15">
      <c r="A9063" s="15"/>
      <c r="B9063" s="15"/>
    </row>
    <row r="9064" spans="1:2" x14ac:dyDescent="0.15">
      <c r="A9064" s="15"/>
      <c r="B9064" s="15"/>
    </row>
    <row r="9065" spans="1:2" x14ac:dyDescent="0.15">
      <c r="A9065" s="15"/>
      <c r="B9065" s="15"/>
    </row>
    <row r="9066" spans="1:2" x14ac:dyDescent="0.15">
      <c r="A9066" s="15"/>
      <c r="B9066" s="15"/>
    </row>
    <row r="9067" spans="1:2" x14ac:dyDescent="0.15">
      <c r="A9067" s="15"/>
      <c r="B9067" s="15"/>
    </row>
    <row r="9068" spans="1:2" x14ac:dyDescent="0.15">
      <c r="A9068" s="15"/>
      <c r="B9068" s="15"/>
    </row>
    <row r="9069" spans="1:2" x14ac:dyDescent="0.15">
      <c r="A9069" s="15"/>
      <c r="B9069" s="15"/>
    </row>
    <row r="9070" spans="1:2" x14ac:dyDescent="0.15">
      <c r="A9070" s="15"/>
      <c r="B9070" s="15"/>
    </row>
    <row r="9071" spans="1:2" x14ac:dyDescent="0.15">
      <c r="A9071" s="15"/>
      <c r="B9071" s="15"/>
    </row>
    <row r="9072" spans="1:2" x14ac:dyDescent="0.15">
      <c r="A9072" s="15"/>
      <c r="B9072" s="15"/>
    </row>
    <row r="9073" spans="1:2" x14ac:dyDescent="0.15">
      <c r="A9073" s="15"/>
      <c r="B9073" s="15"/>
    </row>
    <row r="9074" spans="1:2" x14ac:dyDescent="0.15">
      <c r="A9074" s="15"/>
      <c r="B9074" s="15"/>
    </row>
    <row r="9075" spans="1:2" x14ac:dyDescent="0.15">
      <c r="A9075" s="15"/>
      <c r="B9075" s="15"/>
    </row>
    <row r="9076" spans="1:2" x14ac:dyDescent="0.15">
      <c r="A9076" s="15"/>
      <c r="B9076" s="15"/>
    </row>
    <row r="9077" spans="1:2" x14ac:dyDescent="0.15">
      <c r="A9077" s="15"/>
      <c r="B9077" s="15"/>
    </row>
    <row r="9078" spans="1:2" x14ac:dyDescent="0.15">
      <c r="A9078" s="15"/>
      <c r="B9078" s="15"/>
    </row>
    <row r="9079" spans="1:2" x14ac:dyDescent="0.15">
      <c r="A9079" s="15"/>
      <c r="B9079" s="15"/>
    </row>
    <row r="9080" spans="1:2" x14ac:dyDescent="0.15">
      <c r="A9080" s="15"/>
      <c r="B9080" s="15"/>
    </row>
    <row r="9081" spans="1:2" x14ac:dyDescent="0.15">
      <c r="A9081" s="15"/>
      <c r="B9081" s="15"/>
    </row>
    <row r="9082" spans="1:2" x14ac:dyDescent="0.15">
      <c r="A9082" s="15"/>
      <c r="B9082" s="15"/>
    </row>
    <row r="9083" spans="1:2" x14ac:dyDescent="0.15">
      <c r="A9083" s="15"/>
      <c r="B9083" s="15"/>
    </row>
    <row r="9084" spans="1:2" x14ac:dyDescent="0.15">
      <c r="A9084" s="15"/>
      <c r="B9084" s="15"/>
    </row>
    <row r="9085" spans="1:2" x14ac:dyDescent="0.15">
      <c r="A9085" s="15"/>
      <c r="B9085" s="15"/>
    </row>
    <row r="9086" spans="1:2" x14ac:dyDescent="0.15">
      <c r="A9086" s="15"/>
      <c r="B9086" s="15"/>
    </row>
    <row r="9087" spans="1:2" x14ac:dyDescent="0.15">
      <c r="A9087" s="15"/>
      <c r="B9087" s="15"/>
    </row>
    <row r="9088" spans="1:2" x14ac:dyDescent="0.15">
      <c r="A9088" s="15"/>
      <c r="B9088" s="15"/>
    </row>
    <row r="9089" spans="1:2" x14ac:dyDescent="0.15">
      <c r="A9089" s="15"/>
      <c r="B9089" s="15"/>
    </row>
    <row r="9090" spans="1:2" x14ac:dyDescent="0.15">
      <c r="A9090" s="15"/>
      <c r="B9090" s="15"/>
    </row>
    <row r="9091" spans="1:2" x14ac:dyDescent="0.15">
      <c r="A9091" s="15"/>
      <c r="B9091" s="15"/>
    </row>
    <row r="9092" spans="1:2" x14ac:dyDescent="0.15">
      <c r="A9092" s="15"/>
      <c r="B9092" s="15"/>
    </row>
    <row r="9093" spans="1:2" x14ac:dyDescent="0.15">
      <c r="A9093" s="15"/>
      <c r="B9093" s="15"/>
    </row>
    <row r="9094" spans="1:2" x14ac:dyDescent="0.15">
      <c r="A9094" s="15"/>
      <c r="B9094" s="15"/>
    </row>
    <row r="9095" spans="1:2" x14ac:dyDescent="0.15">
      <c r="A9095" s="15"/>
      <c r="B9095" s="15"/>
    </row>
    <row r="9096" spans="1:2" x14ac:dyDescent="0.15">
      <c r="A9096" s="15"/>
      <c r="B9096" s="15"/>
    </row>
    <row r="9097" spans="1:2" x14ac:dyDescent="0.15">
      <c r="A9097" s="15"/>
      <c r="B9097" s="15"/>
    </row>
    <row r="9098" spans="1:2" x14ac:dyDescent="0.15">
      <c r="A9098" s="15"/>
      <c r="B9098" s="15"/>
    </row>
    <row r="9099" spans="1:2" x14ac:dyDescent="0.15">
      <c r="A9099" s="15"/>
      <c r="B9099" s="15"/>
    </row>
    <row r="9100" spans="1:2" x14ac:dyDescent="0.15">
      <c r="A9100" s="15"/>
      <c r="B9100" s="15"/>
    </row>
    <row r="9101" spans="1:2" x14ac:dyDescent="0.15">
      <c r="A9101" s="15"/>
      <c r="B9101" s="15"/>
    </row>
    <row r="9102" spans="1:2" x14ac:dyDescent="0.15">
      <c r="A9102" s="15"/>
      <c r="B9102" s="15"/>
    </row>
    <row r="9103" spans="1:2" x14ac:dyDescent="0.15">
      <c r="A9103" s="15"/>
      <c r="B9103" s="15"/>
    </row>
    <row r="9104" spans="1:2" x14ac:dyDescent="0.15">
      <c r="A9104" s="15"/>
      <c r="B9104" s="15"/>
    </row>
    <row r="9105" spans="1:2" x14ac:dyDescent="0.15">
      <c r="A9105" s="15"/>
      <c r="B9105" s="15"/>
    </row>
    <row r="9106" spans="1:2" x14ac:dyDescent="0.15">
      <c r="A9106" s="15"/>
      <c r="B9106" s="15"/>
    </row>
    <row r="9107" spans="1:2" x14ac:dyDescent="0.15">
      <c r="A9107" s="15"/>
      <c r="B9107" s="15"/>
    </row>
    <row r="9108" spans="1:2" x14ac:dyDescent="0.15">
      <c r="A9108" s="15"/>
      <c r="B9108" s="15"/>
    </row>
    <row r="9109" spans="1:2" x14ac:dyDescent="0.15">
      <c r="A9109" s="15"/>
      <c r="B9109" s="15"/>
    </row>
    <row r="9110" spans="1:2" x14ac:dyDescent="0.15">
      <c r="A9110" s="15"/>
      <c r="B9110" s="15"/>
    </row>
    <row r="9111" spans="1:2" x14ac:dyDescent="0.15">
      <c r="A9111" s="15"/>
      <c r="B9111" s="15"/>
    </row>
    <row r="9112" spans="1:2" x14ac:dyDescent="0.15">
      <c r="A9112" s="15"/>
      <c r="B9112" s="15"/>
    </row>
    <row r="9113" spans="1:2" x14ac:dyDescent="0.15">
      <c r="A9113" s="15"/>
      <c r="B9113" s="15"/>
    </row>
    <row r="9114" spans="1:2" x14ac:dyDescent="0.15">
      <c r="A9114" s="15"/>
      <c r="B9114" s="15"/>
    </row>
    <row r="9115" spans="1:2" x14ac:dyDescent="0.15">
      <c r="A9115" s="15"/>
      <c r="B9115" s="15"/>
    </row>
    <row r="9116" spans="1:2" x14ac:dyDescent="0.15">
      <c r="A9116" s="15"/>
      <c r="B9116" s="15"/>
    </row>
    <row r="9117" spans="1:2" x14ac:dyDescent="0.15">
      <c r="A9117" s="15"/>
      <c r="B9117" s="15"/>
    </row>
    <row r="9118" spans="1:2" x14ac:dyDescent="0.15">
      <c r="A9118" s="15"/>
      <c r="B9118" s="15"/>
    </row>
    <row r="9119" spans="1:2" x14ac:dyDescent="0.15">
      <c r="A9119" s="15"/>
      <c r="B9119" s="15"/>
    </row>
    <row r="9120" spans="1:2" x14ac:dyDescent="0.15">
      <c r="A9120" s="15"/>
      <c r="B9120" s="15"/>
    </row>
    <row r="9121" spans="1:2" x14ac:dyDescent="0.15">
      <c r="A9121" s="15"/>
      <c r="B9121" s="15"/>
    </row>
    <row r="9122" spans="1:2" x14ac:dyDescent="0.15">
      <c r="A9122" s="15"/>
      <c r="B9122" s="15"/>
    </row>
    <row r="9123" spans="1:2" x14ac:dyDescent="0.15">
      <c r="A9123" s="15"/>
      <c r="B9123" s="15"/>
    </row>
    <row r="9124" spans="1:2" x14ac:dyDescent="0.15">
      <c r="A9124" s="15"/>
      <c r="B9124" s="15"/>
    </row>
    <row r="9125" spans="1:2" x14ac:dyDescent="0.15">
      <c r="A9125" s="15"/>
      <c r="B9125" s="15"/>
    </row>
    <row r="9126" spans="1:2" x14ac:dyDescent="0.15">
      <c r="A9126" s="15"/>
      <c r="B9126" s="15"/>
    </row>
    <row r="9127" spans="1:2" x14ac:dyDescent="0.15">
      <c r="A9127" s="15"/>
      <c r="B9127" s="15"/>
    </row>
    <row r="9128" spans="1:2" x14ac:dyDescent="0.15">
      <c r="A9128" s="15"/>
      <c r="B9128" s="15"/>
    </row>
    <row r="9129" spans="1:2" x14ac:dyDescent="0.15">
      <c r="A9129" s="15"/>
      <c r="B9129" s="15"/>
    </row>
    <row r="9130" spans="1:2" x14ac:dyDescent="0.15">
      <c r="A9130" s="15"/>
      <c r="B9130" s="15"/>
    </row>
    <row r="9131" spans="1:2" x14ac:dyDescent="0.15">
      <c r="A9131" s="15"/>
      <c r="B9131" s="15"/>
    </row>
    <row r="9132" spans="1:2" x14ac:dyDescent="0.15">
      <c r="A9132" s="15"/>
      <c r="B9132" s="15"/>
    </row>
    <row r="9133" spans="1:2" x14ac:dyDescent="0.15">
      <c r="A9133" s="15"/>
      <c r="B9133" s="15"/>
    </row>
    <row r="9134" spans="1:2" x14ac:dyDescent="0.15">
      <c r="A9134" s="15"/>
      <c r="B9134" s="15"/>
    </row>
    <row r="9135" spans="1:2" x14ac:dyDescent="0.15">
      <c r="A9135" s="15"/>
      <c r="B9135" s="15"/>
    </row>
    <row r="9136" spans="1:2" x14ac:dyDescent="0.15">
      <c r="A9136" s="15"/>
      <c r="B9136" s="15"/>
    </row>
    <row r="9137" spans="1:2" x14ac:dyDescent="0.15">
      <c r="A9137" s="15"/>
      <c r="B9137" s="15"/>
    </row>
    <row r="9138" spans="1:2" x14ac:dyDescent="0.15">
      <c r="A9138" s="15"/>
      <c r="B9138" s="15"/>
    </row>
    <row r="9139" spans="1:2" x14ac:dyDescent="0.15">
      <c r="A9139" s="15"/>
      <c r="B9139" s="15"/>
    </row>
    <row r="9140" spans="1:2" x14ac:dyDescent="0.15">
      <c r="A9140" s="15"/>
      <c r="B9140" s="15"/>
    </row>
    <row r="9141" spans="1:2" x14ac:dyDescent="0.15">
      <c r="A9141" s="15"/>
      <c r="B9141" s="15"/>
    </row>
    <row r="9142" spans="1:2" x14ac:dyDescent="0.15">
      <c r="A9142" s="15"/>
      <c r="B9142" s="15"/>
    </row>
    <row r="9143" spans="1:2" x14ac:dyDescent="0.15">
      <c r="A9143" s="15"/>
      <c r="B9143" s="15"/>
    </row>
    <row r="9144" spans="1:2" x14ac:dyDescent="0.15">
      <c r="A9144" s="15"/>
      <c r="B9144" s="15"/>
    </row>
    <row r="9145" spans="1:2" x14ac:dyDescent="0.15">
      <c r="A9145" s="15"/>
      <c r="B9145" s="15"/>
    </row>
    <row r="9146" spans="1:2" x14ac:dyDescent="0.15">
      <c r="A9146" s="15"/>
      <c r="B9146" s="15"/>
    </row>
    <row r="9147" spans="1:2" x14ac:dyDescent="0.15">
      <c r="A9147" s="15"/>
      <c r="B9147" s="15"/>
    </row>
    <row r="9148" spans="1:2" x14ac:dyDescent="0.15">
      <c r="A9148" s="15"/>
      <c r="B9148" s="15"/>
    </row>
    <row r="9149" spans="1:2" x14ac:dyDescent="0.15">
      <c r="A9149" s="15"/>
      <c r="B9149" s="15"/>
    </row>
    <row r="9150" spans="1:2" x14ac:dyDescent="0.15">
      <c r="A9150" s="15"/>
      <c r="B9150" s="15"/>
    </row>
    <row r="9151" spans="1:2" x14ac:dyDescent="0.15">
      <c r="A9151" s="15"/>
      <c r="B9151" s="15"/>
    </row>
    <row r="9152" spans="1:2" x14ac:dyDescent="0.15">
      <c r="A9152" s="15"/>
      <c r="B9152" s="15"/>
    </row>
    <row r="9153" spans="1:2" x14ac:dyDescent="0.15">
      <c r="A9153" s="15"/>
      <c r="B9153" s="15"/>
    </row>
    <row r="9154" spans="1:2" x14ac:dyDescent="0.15">
      <c r="A9154" s="15"/>
      <c r="B9154" s="15"/>
    </row>
    <row r="9155" spans="1:2" x14ac:dyDescent="0.15">
      <c r="A9155" s="15"/>
      <c r="B9155" s="15"/>
    </row>
    <row r="9156" spans="1:2" x14ac:dyDescent="0.15">
      <c r="A9156" s="15"/>
      <c r="B9156" s="15"/>
    </row>
    <row r="9157" spans="1:2" x14ac:dyDescent="0.15">
      <c r="A9157" s="15"/>
      <c r="B9157" s="15"/>
    </row>
    <row r="9158" spans="1:2" x14ac:dyDescent="0.15">
      <c r="A9158" s="15"/>
      <c r="B9158" s="15"/>
    </row>
    <row r="9159" spans="1:2" x14ac:dyDescent="0.15">
      <c r="A9159" s="15"/>
      <c r="B9159" s="15"/>
    </row>
    <row r="9160" spans="1:2" x14ac:dyDescent="0.15">
      <c r="A9160" s="15"/>
      <c r="B9160" s="15"/>
    </row>
    <row r="9161" spans="1:2" x14ac:dyDescent="0.15">
      <c r="A9161" s="15"/>
      <c r="B9161" s="15"/>
    </row>
    <row r="9162" spans="1:2" x14ac:dyDescent="0.15">
      <c r="A9162" s="15"/>
      <c r="B9162" s="15"/>
    </row>
    <row r="9163" spans="1:2" x14ac:dyDescent="0.15">
      <c r="A9163" s="15"/>
      <c r="B9163" s="15"/>
    </row>
    <row r="9164" spans="1:2" x14ac:dyDescent="0.15">
      <c r="A9164" s="15"/>
      <c r="B9164" s="15"/>
    </row>
    <row r="9165" spans="1:2" x14ac:dyDescent="0.15">
      <c r="A9165" s="15"/>
      <c r="B9165" s="15"/>
    </row>
    <row r="9166" spans="1:2" x14ac:dyDescent="0.15">
      <c r="A9166" s="15"/>
      <c r="B9166" s="15"/>
    </row>
    <row r="9167" spans="1:2" x14ac:dyDescent="0.15">
      <c r="A9167" s="15"/>
      <c r="B9167" s="15"/>
    </row>
    <row r="9168" spans="1:2" x14ac:dyDescent="0.15">
      <c r="A9168" s="15"/>
      <c r="B9168" s="15"/>
    </row>
    <row r="9169" spans="1:2" x14ac:dyDescent="0.15">
      <c r="A9169" s="15"/>
      <c r="B9169" s="15"/>
    </row>
    <row r="9170" spans="1:2" x14ac:dyDescent="0.15">
      <c r="A9170" s="15"/>
      <c r="B9170" s="15"/>
    </row>
    <row r="9171" spans="1:2" x14ac:dyDescent="0.15">
      <c r="A9171" s="15"/>
      <c r="B9171" s="15"/>
    </row>
    <row r="9172" spans="1:2" x14ac:dyDescent="0.15">
      <c r="A9172" s="15"/>
      <c r="B9172" s="15"/>
    </row>
    <row r="9173" spans="1:2" x14ac:dyDescent="0.15">
      <c r="A9173" s="15"/>
      <c r="B9173" s="15"/>
    </row>
    <row r="9174" spans="1:2" x14ac:dyDescent="0.15">
      <c r="A9174" s="15"/>
      <c r="B9174" s="15"/>
    </row>
    <row r="9175" spans="1:2" x14ac:dyDescent="0.15">
      <c r="A9175" s="15"/>
      <c r="B9175" s="15"/>
    </row>
    <row r="9176" spans="1:2" x14ac:dyDescent="0.15">
      <c r="A9176" s="15"/>
      <c r="B9176" s="15"/>
    </row>
    <row r="9177" spans="1:2" x14ac:dyDescent="0.15">
      <c r="A9177" s="15"/>
      <c r="B9177" s="15"/>
    </row>
    <row r="9178" spans="1:2" x14ac:dyDescent="0.15">
      <c r="A9178" s="15"/>
      <c r="B9178" s="15"/>
    </row>
    <row r="9179" spans="1:2" x14ac:dyDescent="0.15">
      <c r="A9179" s="15"/>
      <c r="B9179" s="15"/>
    </row>
    <row r="9180" spans="1:2" x14ac:dyDescent="0.15">
      <c r="A9180" s="15"/>
      <c r="B9180" s="15"/>
    </row>
    <row r="9181" spans="1:2" x14ac:dyDescent="0.15">
      <c r="A9181" s="15"/>
      <c r="B9181" s="15"/>
    </row>
    <row r="9182" spans="1:2" x14ac:dyDescent="0.15">
      <c r="A9182" s="15"/>
      <c r="B9182" s="15"/>
    </row>
    <row r="9183" spans="1:2" x14ac:dyDescent="0.15">
      <c r="A9183" s="15"/>
      <c r="B9183" s="15"/>
    </row>
    <row r="9184" spans="1:2" x14ac:dyDescent="0.15">
      <c r="A9184" s="15"/>
      <c r="B9184" s="15"/>
    </row>
    <row r="9185" spans="1:2" x14ac:dyDescent="0.15">
      <c r="A9185" s="15"/>
      <c r="B9185" s="15"/>
    </row>
    <row r="9186" spans="1:2" x14ac:dyDescent="0.15">
      <c r="A9186" s="15"/>
      <c r="B9186" s="15"/>
    </row>
    <row r="9187" spans="1:2" x14ac:dyDescent="0.15">
      <c r="A9187" s="15"/>
      <c r="B9187" s="15"/>
    </row>
    <row r="9188" spans="1:2" x14ac:dyDescent="0.15">
      <c r="A9188" s="15"/>
      <c r="B9188" s="15"/>
    </row>
    <row r="9189" spans="1:2" x14ac:dyDescent="0.15">
      <c r="A9189" s="15"/>
      <c r="B9189" s="15"/>
    </row>
    <row r="9190" spans="1:2" x14ac:dyDescent="0.15">
      <c r="A9190" s="15"/>
      <c r="B9190" s="15"/>
    </row>
    <row r="9191" spans="1:2" x14ac:dyDescent="0.15">
      <c r="A9191" s="15"/>
      <c r="B9191" s="15"/>
    </row>
    <row r="9192" spans="1:2" x14ac:dyDescent="0.15">
      <c r="A9192" s="15"/>
      <c r="B9192" s="15"/>
    </row>
    <row r="9193" spans="1:2" x14ac:dyDescent="0.15">
      <c r="A9193" s="15"/>
      <c r="B9193" s="15"/>
    </row>
    <row r="9194" spans="1:2" x14ac:dyDescent="0.15">
      <c r="A9194" s="15"/>
      <c r="B9194" s="15"/>
    </row>
    <row r="9195" spans="1:2" x14ac:dyDescent="0.15">
      <c r="A9195" s="15"/>
      <c r="B9195" s="15"/>
    </row>
    <row r="9196" spans="1:2" x14ac:dyDescent="0.15">
      <c r="A9196" s="15"/>
      <c r="B9196" s="15"/>
    </row>
    <row r="9197" spans="1:2" x14ac:dyDescent="0.15">
      <c r="A9197" s="15"/>
      <c r="B9197" s="15"/>
    </row>
    <row r="9198" spans="1:2" x14ac:dyDescent="0.15">
      <c r="A9198" s="15"/>
      <c r="B9198" s="15"/>
    </row>
    <row r="9199" spans="1:2" x14ac:dyDescent="0.15">
      <c r="A9199" s="15"/>
      <c r="B9199" s="15"/>
    </row>
    <row r="9200" spans="1:2" x14ac:dyDescent="0.15">
      <c r="A9200" s="15"/>
      <c r="B9200" s="15"/>
    </row>
    <row r="9201" spans="1:2" x14ac:dyDescent="0.15">
      <c r="A9201" s="15"/>
      <c r="B9201" s="15"/>
    </row>
    <row r="9202" spans="1:2" x14ac:dyDescent="0.15">
      <c r="A9202" s="15"/>
      <c r="B9202" s="15"/>
    </row>
    <row r="9203" spans="1:2" x14ac:dyDescent="0.15">
      <c r="A9203" s="15"/>
      <c r="B9203" s="15"/>
    </row>
    <row r="9204" spans="1:2" x14ac:dyDescent="0.15">
      <c r="A9204" s="15"/>
      <c r="B9204" s="15"/>
    </row>
    <row r="9205" spans="1:2" x14ac:dyDescent="0.15">
      <c r="A9205" s="15"/>
      <c r="B9205" s="15"/>
    </row>
    <row r="9206" spans="1:2" x14ac:dyDescent="0.15">
      <c r="A9206" s="15"/>
      <c r="B9206" s="15"/>
    </row>
    <row r="9207" spans="1:2" x14ac:dyDescent="0.15">
      <c r="A9207" s="15"/>
      <c r="B9207" s="15"/>
    </row>
    <row r="9208" spans="1:2" x14ac:dyDescent="0.15">
      <c r="A9208" s="15"/>
      <c r="B9208" s="15"/>
    </row>
    <row r="9209" spans="1:2" x14ac:dyDescent="0.15">
      <c r="A9209" s="15"/>
      <c r="B9209" s="15"/>
    </row>
    <row r="9210" spans="1:2" x14ac:dyDescent="0.15">
      <c r="A9210" s="15"/>
      <c r="B9210" s="15"/>
    </row>
    <row r="9211" spans="1:2" x14ac:dyDescent="0.15">
      <c r="A9211" s="15"/>
      <c r="B9211" s="15"/>
    </row>
    <row r="9212" spans="1:2" x14ac:dyDescent="0.15">
      <c r="A9212" s="15"/>
      <c r="B9212" s="15"/>
    </row>
    <row r="9213" spans="1:2" x14ac:dyDescent="0.15">
      <c r="A9213" s="15"/>
      <c r="B9213" s="15"/>
    </row>
    <row r="9214" spans="1:2" x14ac:dyDescent="0.15">
      <c r="A9214" s="15"/>
      <c r="B9214" s="15"/>
    </row>
    <row r="9215" spans="1:2" x14ac:dyDescent="0.15">
      <c r="A9215" s="15"/>
      <c r="B9215" s="15"/>
    </row>
    <row r="9216" spans="1:2" x14ac:dyDescent="0.15">
      <c r="A9216" s="15"/>
      <c r="B9216" s="15"/>
    </row>
    <row r="9217" spans="1:2" x14ac:dyDescent="0.15">
      <c r="A9217" s="15"/>
      <c r="B9217" s="15"/>
    </row>
    <row r="9218" spans="1:2" x14ac:dyDescent="0.15">
      <c r="A9218" s="15"/>
      <c r="B9218" s="15"/>
    </row>
    <row r="9219" spans="1:2" x14ac:dyDescent="0.15">
      <c r="A9219" s="15"/>
      <c r="B9219" s="15"/>
    </row>
    <row r="9220" spans="1:2" x14ac:dyDescent="0.15">
      <c r="A9220" s="15"/>
      <c r="B9220" s="15"/>
    </row>
    <row r="9221" spans="1:2" x14ac:dyDescent="0.15">
      <c r="A9221" s="15"/>
      <c r="B9221" s="15"/>
    </row>
    <row r="9222" spans="1:2" x14ac:dyDescent="0.15">
      <c r="A9222" s="15"/>
      <c r="B9222" s="15"/>
    </row>
    <row r="9223" spans="1:2" x14ac:dyDescent="0.15">
      <c r="A9223" s="15"/>
      <c r="B9223" s="15"/>
    </row>
    <row r="9224" spans="1:2" x14ac:dyDescent="0.15">
      <c r="A9224" s="15"/>
      <c r="B9224" s="15"/>
    </row>
    <row r="9225" spans="1:2" x14ac:dyDescent="0.15">
      <c r="A9225" s="15"/>
      <c r="B9225" s="15"/>
    </row>
    <row r="9226" spans="1:2" x14ac:dyDescent="0.15">
      <c r="A9226" s="15"/>
      <c r="B9226" s="15"/>
    </row>
    <row r="9227" spans="1:2" x14ac:dyDescent="0.15">
      <c r="A9227" s="15"/>
      <c r="B9227" s="15"/>
    </row>
    <row r="9228" spans="1:2" x14ac:dyDescent="0.15">
      <c r="A9228" s="15"/>
      <c r="B9228" s="15"/>
    </row>
    <row r="9229" spans="1:2" x14ac:dyDescent="0.15">
      <c r="A9229" s="15"/>
      <c r="B9229" s="15"/>
    </row>
    <row r="9230" spans="1:2" x14ac:dyDescent="0.15">
      <c r="A9230" s="15"/>
      <c r="B9230" s="15"/>
    </row>
    <row r="9231" spans="1:2" x14ac:dyDescent="0.15">
      <c r="A9231" s="15"/>
      <c r="B9231" s="15"/>
    </row>
    <row r="9232" spans="1:2" x14ac:dyDescent="0.15">
      <c r="A9232" s="15"/>
      <c r="B9232" s="15"/>
    </row>
    <row r="9233" spans="1:2" x14ac:dyDescent="0.15">
      <c r="A9233" s="15"/>
      <c r="B9233" s="15"/>
    </row>
    <row r="9234" spans="1:2" x14ac:dyDescent="0.15">
      <c r="A9234" s="15"/>
      <c r="B9234" s="15"/>
    </row>
    <row r="9235" spans="1:2" x14ac:dyDescent="0.15">
      <c r="A9235" s="15"/>
      <c r="B9235" s="15"/>
    </row>
    <row r="9236" spans="1:2" x14ac:dyDescent="0.15">
      <c r="A9236" s="15"/>
      <c r="B9236" s="15"/>
    </row>
    <row r="9237" spans="1:2" x14ac:dyDescent="0.15">
      <c r="A9237" s="15"/>
      <c r="B9237" s="15"/>
    </row>
    <row r="9238" spans="1:2" x14ac:dyDescent="0.15">
      <c r="A9238" s="15"/>
      <c r="B9238" s="15"/>
    </row>
    <row r="9239" spans="1:2" x14ac:dyDescent="0.15">
      <c r="A9239" s="15"/>
      <c r="B9239" s="15"/>
    </row>
    <row r="9240" spans="1:2" x14ac:dyDescent="0.15">
      <c r="A9240" s="15"/>
      <c r="B9240" s="15"/>
    </row>
    <row r="9241" spans="1:2" x14ac:dyDescent="0.15">
      <c r="A9241" s="15"/>
      <c r="B9241" s="15"/>
    </row>
    <row r="9242" spans="1:2" x14ac:dyDescent="0.15">
      <c r="A9242" s="15"/>
      <c r="B9242" s="15"/>
    </row>
    <row r="9243" spans="1:2" x14ac:dyDescent="0.15">
      <c r="A9243" s="15"/>
      <c r="B9243" s="15"/>
    </row>
    <row r="9244" spans="1:2" x14ac:dyDescent="0.15">
      <c r="A9244" s="15"/>
      <c r="B9244" s="15"/>
    </row>
    <row r="9245" spans="1:2" x14ac:dyDescent="0.15">
      <c r="A9245" s="15"/>
      <c r="B9245" s="15"/>
    </row>
    <row r="9246" spans="1:2" x14ac:dyDescent="0.15">
      <c r="A9246" s="15"/>
      <c r="B9246" s="15"/>
    </row>
    <row r="9247" spans="1:2" x14ac:dyDescent="0.15">
      <c r="A9247" s="15"/>
      <c r="B9247" s="15"/>
    </row>
    <row r="9248" spans="1:2" x14ac:dyDescent="0.15">
      <c r="A9248" s="15"/>
      <c r="B9248" s="15"/>
    </row>
    <row r="9249" spans="1:2" x14ac:dyDescent="0.15">
      <c r="A9249" s="15"/>
      <c r="B9249" s="15"/>
    </row>
    <row r="9250" spans="1:2" x14ac:dyDescent="0.15">
      <c r="A9250" s="15"/>
      <c r="B9250" s="15"/>
    </row>
    <row r="9251" spans="1:2" x14ac:dyDescent="0.15">
      <c r="A9251" s="15"/>
      <c r="B9251" s="15"/>
    </row>
    <row r="9252" spans="1:2" x14ac:dyDescent="0.15">
      <c r="A9252" s="15"/>
      <c r="B9252" s="15"/>
    </row>
    <row r="9253" spans="1:2" x14ac:dyDescent="0.15">
      <c r="A9253" s="15"/>
      <c r="B9253" s="15"/>
    </row>
    <row r="9254" spans="1:2" x14ac:dyDescent="0.15">
      <c r="A9254" s="15"/>
      <c r="B9254" s="15"/>
    </row>
    <row r="9255" spans="1:2" x14ac:dyDescent="0.15">
      <c r="A9255" s="15"/>
      <c r="B9255" s="15"/>
    </row>
    <row r="9256" spans="1:2" x14ac:dyDescent="0.15">
      <c r="A9256" s="15"/>
      <c r="B9256" s="15"/>
    </row>
    <row r="9257" spans="1:2" x14ac:dyDescent="0.15">
      <c r="A9257" s="15"/>
      <c r="B9257" s="15"/>
    </row>
    <row r="9258" spans="1:2" x14ac:dyDescent="0.15">
      <c r="A9258" s="15"/>
      <c r="B9258" s="15"/>
    </row>
    <row r="9259" spans="1:2" x14ac:dyDescent="0.15">
      <c r="A9259" s="15"/>
      <c r="B9259" s="15"/>
    </row>
    <row r="9260" spans="1:2" x14ac:dyDescent="0.15">
      <c r="A9260" s="15"/>
      <c r="B9260" s="15"/>
    </row>
    <row r="9261" spans="1:2" x14ac:dyDescent="0.15">
      <c r="A9261" s="15"/>
      <c r="B9261" s="15"/>
    </row>
    <row r="9262" spans="1:2" x14ac:dyDescent="0.15">
      <c r="A9262" s="15"/>
      <c r="B9262" s="15"/>
    </row>
    <row r="9263" spans="1:2" x14ac:dyDescent="0.15">
      <c r="A9263" s="15"/>
      <c r="B9263" s="15"/>
    </row>
    <row r="9264" spans="1:2" x14ac:dyDescent="0.15">
      <c r="A9264" s="15"/>
      <c r="B9264" s="15"/>
    </row>
    <row r="9265" spans="1:2" x14ac:dyDescent="0.15">
      <c r="A9265" s="15"/>
      <c r="B9265" s="15"/>
    </row>
    <row r="9266" spans="1:2" x14ac:dyDescent="0.15">
      <c r="A9266" s="15"/>
      <c r="B9266" s="15"/>
    </row>
    <row r="9267" spans="1:2" x14ac:dyDescent="0.15">
      <c r="A9267" s="15"/>
      <c r="B9267" s="15"/>
    </row>
    <row r="9268" spans="1:2" x14ac:dyDescent="0.15">
      <c r="A9268" s="15"/>
      <c r="B9268" s="15"/>
    </row>
    <row r="9269" spans="1:2" x14ac:dyDescent="0.15">
      <c r="A9269" s="15"/>
      <c r="B9269" s="15"/>
    </row>
    <row r="9270" spans="1:2" x14ac:dyDescent="0.15">
      <c r="A9270" s="15"/>
      <c r="B9270" s="15"/>
    </row>
    <row r="9271" spans="1:2" x14ac:dyDescent="0.15">
      <c r="A9271" s="15"/>
      <c r="B9271" s="15"/>
    </row>
    <row r="9272" spans="1:2" x14ac:dyDescent="0.15">
      <c r="A9272" s="15"/>
      <c r="B9272" s="15"/>
    </row>
    <row r="9273" spans="1:2" x14ac:dyDescent="0.15">
      <c r="A9273" s="15"/>
      <c r="B9273" s="15"/>
    </row>
    <row r="9274" spans="1:2" x14ac:dyDescent="0.15">
      <c r="A9274" s="15"/>
      <c r="B9274" s="15"/>
    </row>
    <row r="9275" spans="1:2" x14ac:dyDescent="0.15">
      <c r="A9275" s="15"/>
      <c r="B9275" s="15"/>
    </row>
    <row r="9276" spans="1:2" x14ac:dyDescent="0.15">
      <c r="A9276" s="15"/>
      <c r="B9276" s="15"/>
    </row>
    <row r="9277" spans="1:2" x14ac:dyDescent="0.15">
      <c r="A9277" s="15"/>
      <c r="B9277" s="15"/>
    </row>
    <row r="9278" spans="1:2" x14ac:dyDescent="0.15">
      <c r="A9278" s="15"/>
      <c r="B9278" s="15"/>
    </row>
    <row r="9279" spans="1:2" x14ac:dyDescent="0.15">
      <c r="A9279" s="15"/>
      <c r="B9279" s="15"/>
    </row>
    <row r="9280" spans="1:2" x14ac:dyDescent="0.15">
      <c r="A9280" s="15"/>
      <c r="B9280" s="15"/>
    </row>
    <row r="9281" spans="1:2" x14ac:dyDescent="0.15">
      <c r="A9281" s="15"/>
      <c r="B9281" s="15"/>
    </row>
    <row r="9282" spans="1:2" x14ac:dyDescent="0.15">
      <c r="A9282" s="15"/>
      <c r="B9282" s="15"/>
    </row>
    <row r="9283" spans="1:2" x14ac:dyDescent="0.15">
      <c r="A9283" s="15"/>
      <c r="B9283" s="15"/>
    </row>
    <row r="9284" spans="1:2" x14ac:dyDescent="0.15">
      <c r="A9284" s="15"/>
      <c r="B9284" s="15"/>
    </row>
    <row r="9285" spans="1:2" x14ac:dyDescent="0.15">
      <c r="A9285" s="15"/>
      <c r="B9285" s="15"/>
    </row>
    <row r="9286" spans="1:2" x14ac:dyDescent="0.15">
      <c r="A9286" s="15"/>
      <c r="B9286" s="15"/>
    </row>
    <row r="9287" spans="1:2" x14ac:dyDescent="0.15">
      <c r="A9287" s="15"/>
      <c r="B9287" s="15"/>
    </row>
    <row r="9288" spans="1:2" x14ac:dyDescent="0.15">
      <c r="A9288" s="15"/>
      <c r="B9288" s="15"/>
    </row>
    <row r="9289" spans="1:2" x14ac:dyDescent="0.15">
      <c r="A9289" s="15"/>
      <c r="B9289" s="15"/>
    </row>
    <row r="9290" spans="1:2" x14ac:dyDescent="0.15">
      <c r="A9290" s="15"/>
      <c r="B9290" s="15"/>
    </row>
    <row r="9291" spans="1:2" x14ac:dyDescent="0.15">
      <c r="A9291" s="15"/>
      <c r="B9291" s="15"/>
    </row>
    <row r="9292" spans="1:2" x14ac:dyDescent="0.15">
      <c r="A9292" s="15"/>
      <c r="B9292" s="15"/>
    </row>
    <row r="9293" spans="1:2" x14ac:dyDescent="0.15">
      <c r="A9293" s="15"/>
      <c r="B9293" s="15"/>
    </row>
    <row r="9294" spans="1:2" x14ac:dyDescent="0.15">
      <c r="A9294" s="15"/>
      <c r="B9294" s="15"/>
    </row>
    <row r="9295" spans="1:2" x14ac:dyDescent="0.15">
      <c r="A9295" s="15"/>
      <c r="B9295" s="15"/>
    </row>
    <row r="9296" spans="1:2" x14ac:dyDescent="0.15">
      <c r="A9296" s="15"/>
      <c r="B9296" s="15"/>
    </row>
    <row r="9297" spans="1:2" x14ac:dyDescent="0.15">
      <c r="A9297" s="15"/>
      <c r="B9297" s="15"/>
    </row>
    <row r="9298" spans="1:2" x14ac:dyDescent="0.15">
      <c r="A9298" s="15"/>
      <c r="B9298" s="15"/>
    </row>
    <row r="9299" spans="1:2" x14ac:dyDescent="0.15">
      <c r="A9299" s="15"/>
      <c r="B9299" s="15"/>
    </row>
    <row r="9300" spans="1:2" x14ac:dyDescent="0.15">
      <c r="A9300" s="15"/>
      <c r="B9300" s="15"/>
    </row>
    <row r="9301" spans="1:2" x14ac:dyDescent="0.15">
      <c r="A9301" s="15"/>
      <c r="B9301" s="15"/>
    </row>
    <row r="9302" spans="1:2" x14ac:dyDescent="0.15">
      <c r="A9302" s="15"/>
      <c r="B9302" s="15"/>
    </row>
    <row r="9303" spans="1:2" x14ac:dyDescent="0.15">
      <c r="A9303" s="15"/>
      <c r="B9303" s="15"/>
    </row>
    <row r="9304" spans="1:2" x14ac:dyDescent="0.15">
      <c r="A9304" s="15"/>
      <c r="B9304" s="15"/>
    </row>
    <row r="9305" spans="1:2" x14ac:dyDescent="0.15">
      <c r="A9305" s="15"/>
      <c r="B9305" s="15"/>
    </row>
    <row r="9306" spans="1:2" x14ac:dyDescent="0.15">
      <c r="A9306" s="15"/>
      <c r="B9306" s="15"/>
    </row>
    <row r="9307" spans="1:2" x14ac:dyDescent="0.15">
      <c r="A9307" s="15"/>
      <c r="B9307" s="15"/>
    </row>
    <row r="9308" spans="1:2" x14ac:dyDescent="0.15">
      <c r="A9308" s="15"/>
      <c r="B9308" s="15"/>
    </row>
    <row r="9309" spans="1:2" x14ac:dyDescent="0.15">
      <c r="A9309" s="15"/>
      <c r="B9309" s="15"/>
    </row>
    <row r="9310" spans="1:2" x14ac:dyDescent="0.15">
      <c r="A9310" s="15"/>
      <c r="B9310" s="15"/>
    </row>
    <row r="9311" spans="1:2" x14ac:dyDescent="0.15">
      <c r="A9311" s="15"/>
      <c r="B9311" s="15"/>
    </row>
    <row r="9312" spans="1:2" x14ac:dyDescent="0.15">
      <c r="A9312" s="15"/>
      <c r="B9312" s="15"/>
    </row>
    <row r="9313" spans="1:2" x14ac:dyDescent="0.15">
      <c r="A9313" s="15"/>
      <c r="B9313" s="15"/>
    </row>
    <row r="9314" spans="1:2" x14ac:dyDescent="0.15">
      <c r="A9314" s="15"/>
      <c r="B9314" s="15"/>
    </row>
    <row r="9315" spans="1:2" x14ac:dyDescent="0.15">
      <c r="A9315" s="15"/>
      <c r="B9315" s="15"/>
    </row>
    <row r="9316" spans="1:2" x14ac:dyDescent="0.15">
      <c r="A9316" s="15"/>
      <c r="B9316" s="15"/>
    </row>
    <row r="9317" spans="1:2" x14ac:dyDescent="0.15">
      <c r="A9317" s="15"/>
      <c r="B9317" s="15"/>
    </row>
    <row r="9318" spans="1:2" x14ac:dyDescent="0.15">
      <c r="A9318" s="15"/>
      <c r="B9318" s="15"/>
    </row>
    <row r="9319" spans="1:2" x14ac:dyDescent="0.15">
      <c r="A9319" s="15"/>
      <c r="B9319" s="15"/>
    </row>
    <row r="9320" spans="1:2" x14ac:dyDescent="0.15">
      <c r="A9320" s="15"/>
      <c r="B9320" s="15"/>
    </row>
    <row r="9321" spans="1:2" x14ac:dyDescent="0.15">
      <c r="A9321" s="15"/>
      <c r="B9321" s="15"/>
    </row>
    <row r="9322" spans="1:2" x14ac:dyDescent="0.15">
      <c r="A9322" s="15"/>
      <c r="B9322" s="15"/>
    </row>
    <row r="9323" spans="1:2" x14ac:dyDescent="0.15">
      <c r="A9323" s="15"/>
      <c r="B9323" s="15"/>
    </row>
    <row r="9324" spans="1:2" x14ac:dyDescent="0.15">
      <c r="A9324" s="15"/>
      <c r="B9324" s="15"/>
    </row>
    <row r="9325" spans="1:2" x14ac:dyDescent="0.15">
      <c r="A9325" s="15"/>
      <c r="B9325" s="15"/>
    </row>
    <row r="9326" spans="1:2" x14ac:dyDescent="0.15">
      <c r="A9326" s="15"/>
      <c r="B9326" s="15"/>
    </row>
    <row r="9327" spans="1:2" x14ac:dyDescent="0.15">
      <c r="A9327" s="15"/>
      <c r="B9327" s="15"/>
    </row>
    <row r="9328" spans="1:2" x14ac:dyDescent="0.15">
      <c r="A9328" s="15"/>
      <c r="B9328" s="15"/>
    </row>
    <row r="9329" spans="1:2" x14ac:dyDescent="0.15">
      <c r="A9329" s="15"/>
      <c r="B9329" s="15"/>
    </row>
    <row r="9330" spans="1:2" x14ac:dyDescent="0.15">
      <c r="A9330" s="15"/>
      <c r="B9330" s="15"/>
    </row>
    <row r="9331" spans="1:2" x14ac:dyDescent="0.15">
      <c r="A9331" s="15"/>
      <c r="B9331" s="15"/>
    </row>
    <row r="9332" spans="1:2" x14ac:dyDescent="0.15">
      <c r="A9332" s="15"/>
      <c r="B9332" s="15"/>
    </row>
    <row r="9333" spans="1:2" x14ac:dyDescent="0.15">
      <c r="A9333" s="15"/>
      <c r="B9333" s="15"/>
    </row>
    <row r="9334" spans="1:2" x14ac:dyDescent="0.15">
      <c r="A9334" s="15"/>
      <c r="B9334" s="15"/>
    </row>
    <row r="9335" spans="1:2" x14ac:dyDescent="0.15">
      <c r="A9335" s="15"/>
      <c r="B9335" s="15"/>
    </row>
    <row r="9336" spans="1:2" x14ac:dyDescent="0.15">
      <c r="A9336" s="15"/>
      <c r="B9336" s="15"/>
    </row>
    <row r="9337" spans="1:2" x14ac:dyDescent="0.15">
      <c r="A9337" s="15"/>
      <c r="B9337" s="15"/>
    </row>
    <row r="9338" spans="1:2" x14ac:dyDescent="0.15">
      <c r="A9338" s="15"/>
      <c r="B9338" s="15"/>
    </row>
    <row r="9339" spans="1:2" x14ac:dyDescent="0.15">
      <c r="A9339" s="15"/>
      <c r="B9339" s="15"/>
    </row>
    <row r="9340" spans="1:2" x14ac:dyDescent="0.15">
      <c r="A9340" s="15"/>
      <c r="B9340" s="15"/>
    </row>
    <row r="9341" spans="1:2" x14ac:dyDescent="0.15">
      <c r="A9341" s="15"/>
      <c r="B9341" s="15"/>
    </row>
    <row r="9342" spans="1:2" x14ac:dyDescent="0.15">
      <c r="A9342" s="15"/>
      <c r="B9342" s="15"/>
    </row>
    <row r="9343" spans="1:2" x14ac:dyDescent="0.15">
      <c r="A9343" s="15"/>
      <c r="B9343" s="15"/>
    </row>
    <row r="9344" spans="1:2" x14ac:dyDescent="0.15">
      <c r="A9344" s="15"/>
      <c r="B9344" s="15"/>
    </row>
    <row r="9345" spans="1:2" x14ac:dyDescent="0.15">
      <c r="A9345" s="15"/>
      <c r="B9345" s="15"/>
    </row>
    <row r="9346" spans="1:2" x14ac:dyDescent="0.15">
      <c r="A9346" s="15"/>
      <c r="B9346" s="15"/>
    </row>
    <row r="9347" spans="1:2" x14ac:dyDescent="0.15">
      <c r="A9347" s="15"/>
      <c r="B9347" s="15"/>
    </row>
    <row r="9348" spans="1:2" x14ac:dyDescent="0.15">
      <c r="A9348" s="15"/>
      <c r="B9348" s="15"/>
    </row>
    <row r="9349" spans="1:2" x14ac:dyDescent="0.15">
      <c r="A9349" s="15"/>
      <c r="B9349" s="15"/>
    </row>
    <row r="9350" spans="1:2" x14ac:dyDescent="0.15">
      <c r="A9350" s="15"/>
      <c r="B9350" s="15"/>
    </row>
    <row r="9351" spans="1:2" x14ac:dyDescent="0.15">
      <c r="A9351" s="15"/>
      <c r="B9351" s="15"/>
    </row>
    <row r="9352" spans="1:2" x14ac:dyDescent="0.15">
      <c r="A9352" s="15"/>
      <c r="B9352" s="15"/>
    </row>
    <row r="9353" spans="1:2" x14ac:dyDescent="0.15">
      <c r="A9353" s="15"/>
      <c r="B9353" s="15"/>
    </row>
    <row r="9354" spans="1:2" x14ac:dyDescent="0.15">
      <c r="A9354" s="15"/>
      <c r="B9354" s="15"/>
    </row>
    <row r="9355" spans="1:2" x14ac:dyDescent="0.15">
      <c r="A9355" s="15"/>
      <c r="B9355" s="15"/>
    </row>
    <row r="9356" spans="1:2" x14ac:dyDescent="0.15">
      <c r="A9356" s="15"/>
      <c r="B9356" s="15"/>
    </row>
    <row r="9357" spans="1:2" x14ac:dyDescent="0.15">
      <c r="A9357" s="15"/>
      <c r="B9357" s="15"/>
    </row>
    <row r="9358" spans="1:2" x14ac:dyDescent="0.15">
      <c r="A9358" s="15"/>
      <c r="B9358" s="15"/>
    </row>
    <row r="9359" spans="1:2" x14ac:dyDescent="0.15">
      <c r="A9359" s="15"/>
      <c r="B9359" s="15"/>
    </row>
    <row r="9360" spans="1:2" x14ac:dyDescent="0.15">
      <c r="A9360" s="15"/>
      <c r="B9360" s="15"/>
    </row>
    <row r="9361" spans="1:2" x14ac:dyDescent="0.15">
      <c r="A9361" s="15"/>
      <c r="B9361" s="15"/>
    </row>
    <row r="9362" spans="1:2" x14ac:dyDescent="0.15">
      <c r="A9362" s="15"/>
      <c r="B9362" s="15"/>
    </row>
    <row r="9363" spans="1:2" x14ac:dyDescent="0.15">
      <c r="A9363" s="15"/>
      <c r="B9363" s="15"/>
    </row>
    <row r="9364" spans="1:2" x14ac:dyDescent="0.15">
      <c r="A9364" s="15"/>
      <c r="B9364" s="15"/>
    </row>
    <row r="9365" spans="1:2" x14ac:dyDescent="0.15">
      <c r="A9365" s="15"/>
      <c r="B9365" s="15"/>
    </row>
    <row r="9366" spans="1:2" x14ac:dyDescent="0.15">
      <c r="A9366" s="15"/>
      <c r="B9366" s="15"/>
    </row>
    <row r="9367" spans="1:2" x14ac:dyDescent="0.15">
      <c r="A9367" s="15"/>
      <c r="B9367" s="15"/>
    </row>
    <row r="9368" spans="1:2" x14ac:dyDescent="0.15">
      <c r="A9368" s="15"/>
      <c r="B9368" s="15"/>
    </row>
    <row r="9369" spans="1:2" x14ac:dyDescent="0.15">
      <c r="A9369" s="15"/>
      <c r="B9369" s="15"/>
    </row>
    <row r="9370" spans="1:2" x14ac:dyDescent="0.15">
      <c r="A9370" s="15"/>
      <c r="B9370" s="15"/>
    </row>
    <row r="9371" spans="1:2" x14ac:dyDescent="0.15">
      <c r="A9371" s="15"/>
      <c r="B9371" s="15"/>
    </row>
    <row r="9372" spans="1:2" x14ac:dyDescent="0.15">
      <c r="A9372" s="15"/>
      <c r="B9372" s="15"/>
    </row>
    <row r="9373" spans="1:2" x14ac:dyDescent="0.15">
      <c r="A9373" s="15"/>
      <c r="B9373" s="15"/>
    </row>
    <row r="9374" spans="1:2" x14ac:dyDescent="0.15">
      <c r="A9374" s="15"/>
      <c r="B9374" s="15"/>
    </row>
    <row r="9375" spans="1:2" x14ac:dyDescent="0.15">
      <c r="A9375" s="15"/>
      <c r="B9375" s="15"/>
    </row>
    <row r="9376" spans="1:2" x14ac:dyDescent="0.15">
      <c r="A9376" s="15"/>
      <c r="B9376" s="15"/>
    </row>
    <row r="9377" spans="1:2" x14ac:dyDescent="0.15">
      <c r="A9377" s="15"/>
      <c r="B9377" s="15"/>
    </row>
    <row r="9378" spans="1:2" x14ac:dyDescent="0.15">
      <c r="A9378" s="15"/>
      <c r="B9378" s="15"/>
    </row>
    <row r="9379" spans="1:2" x14ac:dyDescent="0.15">
      <c r="A9379" s="15"/>
      <c r="B9379" s="15"/>
    </row>
    <row r="9380" spans="1:2" x14ac:dyDescent="0.15">
      <c r="A9380" s="15"/>
      <c r="B9380" s="15"/>
    </row>
    <row r="9381" spans="1:2" x14ac:dyDescent="0.15">
      <c r="A9381" s="15"/>
      <c r="B9381" s="15"/>
    </row>
    <row r="9382" spans="1:2" x14ac:dyDescent="0.15">
      <c r="A9382" s="15"/>
      <c r="B9382" s="15"/>
    </row>
    <row r="9383" spans="1:2" x14ac:dyDescent="0.15">
      <c r="A9383" s="15"/>
      <c r="B9383" s="15"/>
    </row>
    <row r="9384" spans="1:2" x14ac:dyDescent="0.15">
      <c r="A9384" s="15"/>
      <c r="B9384" s="15"/>
    </row>
    <row r="9385" spans="1:2" x14ac:dyDescent="0.15">
      <c r="A9385" s="15"/>
      <c r="B9385" s="15"/>
    </row>
    <row r="9386" spans="1:2" x14ac:dyDescent="0.15">
      <c r="A9386" s="15"/>
      <c r="B9386" s="15"/>
    </row>
    <row r="9387" spans="1:2" x14ac:dyDescent="0.15">
      <c r="A9387" s="15"/>
      <c r="B9387" s="15"/>
    </row>
    <row r="9388" spans="1:2" x14ac:dyDescent="0.15">
      <c r="A9388" s="15"/>
      <c r="B9388" s="15"/>
    </row>
    <row r="9389" spans="1:2" x14ac:dyDescent="0.15">
      <c r="A9389" s="15"/>
      <c r="B9389" s="15"/>
    </row>
    <row r="9390" spans="1:2" x14ac:dyDescent="0.15">
      <c r="A9390" s="15"/>
      <c r="B9390" s="15"/>
    </row>
    <row r="9391" spans="1:2" x14ac:dyDescent="0.15">
      <c r="A9391" s="15"/>
      <c r="B9391" s="15"/>
    </row>
    <row r="9392" spans="1:2" x14ac:dyDescent="0.15">
      <c r="A9392" s="15"/>
      <c r="B9392" s="15"/>
    </row>
    <row r="9393" spans="1:2" x14ac:dyDescent="0.15">
      <c r="A9393" s="15"/>
      <c r="B9393" s="15"/>
    </row>
    <row r="9394" spans="1:2" x14ac:dyDescent="0.15">
      <c r="A9394" s="15"/>
      <c r="B9394" s="15"/>
    </row>
    <row r="9395" spans="1:2" x14ac:dyDescent="0.15">
      <c r="A9395" s="15"/>
      <c r="B9395" s="15"/>
    </row>
    <row r="9396" spans="1:2" x14ac:dyDescent="0.15">
      <c r="A9396" s="15"/>
      <c r="B9396" s="15"/>
    </row>
    <row r="9397" spans="1:2" x14ac:dyDescent="0.15">
      <c r="A9397" s="15"/>
      <c r="B9397" s="15"/>
    </row>
    <row r="9398" spans="1:2" x14ac:dyDescent="0.15">
      <c r="A9398" s="15"/>
      <c r="B9398" s="15"/>
    </row>
    <row r="9399" spans="1:2" x14ac:dyDescent="0.15">
      <c r="A9399" s="15"/>
      <c r="B9399" s="15"/>
    </row>
    <row r="9400" spans="1:2" x14ac:dyDescent="0.15">
      <c r="A9400" s="15"/>
      <c r="B9400" s="15"/>
    </row>
    <row r="9401" spans="1:2" x14ac:dyDescent="0.15">
      <c r="A9401" s="15"/>
      <c r="B9401" s="15"/>
    </row>
    <row r="9402" spans="1:2" x14ac:dyDescent="0.15">
      <c r="A9402" s="15"/>
      <c r="B9402" s="15"/>
    </row>
    <row r="9403" spans="1:2" x14ac:dyDescent="0.15">
      <c r="A9403" s="15"/>
      <c r="B9403" s="15"/>
    </row>
    <row r="9404" spans="1:2" x14ac:dyDescent="0.15">
      <c r="A9404" s="15"/>
      <c r="B9404" s="15"/>
    </row>
    <row r="9405" spans="1:2" x14ac:dyDescent="0.15">
      <c r="A9405" s="15"/>
      <c r="B9405" s="15"/>
    </row>
    <row r="9406" spans="1:2" x14ac:dyDescent="0.15">
      <c r="A9406" s="15"/>
      <c r="B9406" s="15"/>
    </row>
    <row r="9407" spans="1:2" x14ac:dyDescent="0.15">
      <c r="A9407" s="15"/>
      <c r="B9407" s="15"/>
    </row>
    <row r="9408" spans="1:2" x14ac:dyDescent="0.15">
      <c r="A9408" s="15"/>
      <c r="B9408" s="15"/>
    </row>
    <row r="9409" spans="1:2" x14ac:dyDescent="0.15">
      <c r="A9409" s="15"/>
      <c r="B9409" s="15"/>
    </row>
    <row r="9410" spans="1:2" x14ac:dyDescent="0.15">
      <c r="A9410" s="15"/>
      <c r="B9410" s="15"/>
    </row>
    <row r="9411" spans="1:2" x14ac:dyDescent="0.15">
      <c r="A9411" s="15"/>
      <c r="B9411" s="15"/>
    </row>
    <row r="9412" spans="1:2" x14ac:dyDescent="0.15">
      <c r="A9412" s="15"/>
      <c r="B9412" s="15"/>
    </row>
    <row r="9413" spans="1:2" x14ac:dyDescent="0.15">
      <c r="A9413" s="15"/>
      <c r="B9413" s="15"/>
    </row>
    <row r="9414" spans="1:2" x14ac:dyDescent="0.15">
      <c r="A9414" s="15"/>
      <c r="B9414" s="15"/>
    </row>
    <row r="9415" spans="1:2" x14ac:dyDescent="0.15">
      <c r="A9415" s="15"/>
      <c r="B9415" s="15"/>
    </row>
    <row r="9416" spans="1:2" x14ac:dyDescent="0.15">
      <c r="A9416" s="15"/>
      <c r="B9416" s="15"/>
    </row>
    <row r="9417" spans="1:2" x14ac:dyDescent="0.15">
      <c r="A9417" s="15"/>
      <c r="B9417" s="15"/>
    </row>
    <row r="9418" spans="1:2" x14ac:dyDescent="0.15">
      <c r="A9418" s="15"/>
      <c r="B9418" s="15"/>
    </row>
    <row r="9419" spans="1:2" x14ac:dyDescent="0.15">
      <c r="A9419" s="15"/>
      <c r="B9419" s="15"/>
    </row>
    <row r="9420" spans="1:2" x14ac:dyDescent="0.15">
      <c r="A9420" s="15"/>
      <c r="B9420" s="15"/>
    </row>
    <row r="9421" spans="1:2" x14ac:dyDescent="0.15">
      <c r="A9421" s="15"/>
      <c r="B9421" s="15"/>
    </row>
    <row r="9422" spans="1:2" x14ac:dyDescent="0.15">
      <c r="A9422" s="15"/>
      <c r="B9422" s="15"/>
    </row>
    <row r="9423" spans="1:2" x14ac:dyDescent="0.15">
      <c r="A9423" s="15"/>
      <c r="B9423" s="15"/>
    </row>
    <row r="9424" spans="1:2" x14ac:dyDescent="0.15">
      <c r="A9424" s="15"/>
      <c r="B9424" s="15"/>
    </row>
    <row r="9425" spans="1:2" x14ac:dyDescent="0.15">
      <c r="A9425" s="15"/>
      <c r="B9425" s="15"/>
    </row>
    <row r="9426" spans="1:2" x14ac:dyDescent="0.15">
      <c r="A9426" s="15"/>
      <c r="B9426" s="15"/>
    </row>
    <row r="9427" spans="1:2" x14ac:dyDescent="0.15">
      <c r="A9427" s="15"/>
      <c r="B9427" s="15"/>
    </row>
    <row r="9428" spans="1:2" x14ac:dyDescent="0.15">
      <c r="A9428" s="15"/>
      <c r="B9428" s="15"/>
    </row>
    <row r="9429" spans="1:2" x14ac:dyDescent="0.15">
      <c r="A9429" s="15"/>
      <c r="B9429" s="15"/>
    </row>
    <row r="9430" spans="1:2" x14ac:dyDescent="0.15">
      <c r="A9430" s="15"/>
      <c r="B9430" s="15"/>
    </row>
    <row r="9431" spans="1:2" x14ac:dyDescent="0.15">
      <c r="A9431" s="15"/>
      <c r="B9431" s="15"/>
    </row>
    <row r="9432" spans="1:2" x14ac:dyDescent="0.15">
      <c r="A9432" s="15"/>
      <c r="B9432" s="15"/>
    </row>
    <row r="9433" spans="1:2" x14ac:dyDescent="0.15">
      <c r="A9433" s="15"/>
      <c r="B9433" s="15"/>
    </row>
    <row r="9434" spans="1:2" x14ac:dyDescent="0.15">
      <c r="A9434" s="15"/>
      <c r="B9434" s="15"/>
    </row>
    <row r="9435" spans="1:2" x14ac:dyDescent="0.15">
      <c r="A9435" s="15"/>
      <c r="B9435" s="15"/>
    </row>
    <row r="9436" spans="1:2" x14ac:dyDescent="0.15">
      <c r="A9436" s="15"/>
      <c r="B9436" s="15"/>
    </row>
    <row r="9437" spans="1:2" x14ac:dyDescent="0.15">
      <c r="A9437" s="15"/>
      <c r="B9437" s="15"/>
    </row>
    <row r="9438" spans="1:2" x14ac:dyDescent="0.15">
      <c r="A9438" s="15"/>
      <c r="B9438" s="15"/>
    </row>
    <row r="9439" spans="1:2" x14ac:dyDescent="0.15">
      <c r="A9439" s="15"/>
      <c r="B9439" s="15"/>
    </row>
    <row r="9440" spans="1:2" x14ac:dyDescent="0.15">
      <c r="A9440" s="15"/>
      <c r="B9440" s="15"/>
    </row>
    <row r="9441" spans="1:2" x14ac:dyDescent="0.15">
      <c r="A9441" s="15"/>
      <c r="B9441" s="15"/>
    </row>
    <row r="9442" spans="1:2" x14ac:dyDescent="0.15">
      <c r="A9442" s="15"/>
      <c r="B9442" s="15"/>
    </row>
    <row r="9443" spans="1:2" x14ac:dyDescent="0.15">
      <c r="A9443" s="15"/>
      <c r="B9443" s="15"/>
    </row>
    <row r="9444" spans="1:2" x14ac:dyDescent="0.15">
      <c r="A9444" s="15"/>
      <c r="B9444" s="15"/>
    </row>
    <row r="9445" spans="1:2" x14ac:dyDescent="0.15">
      <c r="A9445" s="15"/>
      <c r="B9445" s="15"/>
    </row>
    <row r="9446" spans="1:2" x14ac:dyDescent="0.15">
      <c r="A9446" s="15"/>
      <c r="B9446" s="15"/>
    </row>
    <row r="9447" spans="1:2" x14ac:dyDescent="0.15">
      <c r="A9447" s="15"/>
      <c r="B9447" s="15"/>
    </row>
    <row r="9448" spans="1:2" x14ac:dyDescent="0.15">
      <c r="A9448" s="15"/>
      <c r="B9448" s="15"/>
    </row>
    <row r="9449" spans="1:2" x14ac:dyDescent="0.15">
      <c r="A9449" s="15"/>
      <c r="B9449" s="15"/>
    </row>
    <row r="9450" spans="1:2" x14ac:dyDescent="0.15">
      <c r="A9450" s="15"/>
      <c r="B9450" s="15"/>
    </row>
    <row r="9451" spans="1:2" x14ac:dyDescent="0.15">
      <c r="A9451" s="15"/>
      <c r="B9451" s="15"/>
    </row>
    <row r="9452" spans="1:2" x14ac:dyDescent="0.15">
      <c r="A9452" s="15"/>
      <c r="B9452" s="15"/>
    </row>
    <row r="9453" spans="1:2" x14ac:dyDescent="0.15">
      <c r="A9453" s="15"/>
      <c r="B9453" s="15"/>
    </row>
    <row r="9454" spans="1:2" x14ac:dyDescent="0.15">
      <c r="A9454" s="15"/>
      <c r="B9454" s="15"/>
    </row>
    <row r="9455" spans="1:2" x14ac:dyDescent="0.15">
      <c r="A9455" s="15"/>
      <c r="B9455" s="15"/>
    </row>
    <row r="9456" spans="1:2" x14ac:dyDescent="0.15">
      <c r="A9456" s="15"/>
      <c r="B9456" s="15"/>
    </row>
    <row r="9457" spans="1:2" x14ac:dyDescent="0.15">
      <c r="A9457" s="15"/>
      <c r="B9457" s="15"/>
    </row>
    <row r="9458" spans="1:2" x14ac:dyDescent="0.15">
      <c r="A9458" s="15"/>
      <c r="B9458" s="15"/>
    </row>
    <row r="9459" spans="1:2" x14ac:dyDescent="0.15">
      <c r="A9459" s="15"/>
      <c r="B9459" s="15"/>
    </row>
    <row r="9460" spans="1:2" x14ac:dyDescent="0.15">
      <c r="A9460" s="15"/>
      <c r="B9460" s="15"/>
    </row>
    <row r="9461" spans="1:2" x14ac:dyDescent="0.15">
      <c r="A9461" s="15"/>
      <c r="B9461" s="15"/>
    </row>
    <row r="9462" spans="1:2" x14ac:dyDescent="0.15">
      <c r="A9462" s="15"/>
      <c r="B9462" s="15"/>
    </row>
    <row r="9463" spans="1:2" x14ac:dyDescent="0.15">
      <c r="A9463" s="15"/>
      <c r="B9463" s="15"/>
    </row>
    <row r="9464" spans="1:2" x14ac:dyDescent="0.15">
      <c r="A9464" s="15"/>
      <c r="B9464" s="15"/>
    </row>
    <row r="9465" spans="1:2" x14ac:dyDescent="0.15">
      <c r="A9465" s="15"/>
      <c r="B9465" s="15"/>
    </row>
    <row r="9466" spans="1:2" x14ac:dyDescent="0.15">
      <c r="A9466" s="15"/>
      <c r="B9466" s="15"/>
    </row>
    <row r="9467" spans="1:2" x14ac:dyDescent="0.15">
      <c r="A9467" s="15"/>
      <c r="B9467" s="15"/>
    </row>
    <row r="9468" spans="1:2" x14ac:dyDescent="0.15">
      <c r="A9468" s="15"/>
      <c r="B9468" s="15"/>
    </row>
    <row r="9469" spans="1:2" x14ac:dyDescent="0.15">
      <c r="A9469" s="15"/>
      <c r="B9469" s="15"/>
    </row>
    <row r="9470" spans="1:2" x14ac:dyDescent="0.15">
      <c r="A9470" s="15"/>
      <c r="B9470" s="15"/>
    </row>
    <row r="9471" spans="1:2" x14ac:dyDescent="0.15">
      <c r="A9471" s="15"/>
      <c r="B9471" s="15"/>
    </row>
    <row r="9472" spans="1:2" x14ac:dyDescent="0.15">
      <c r="A9472" s="15"/>
      <c r="B9472" s="15"/>
    </row>
    <row r="9473" spans="1:2" x14ac:dyDescent="0.15">
      <c r="A9473" s="15"/>
      <c r="B9473" s="15"/>
    </row>
    <row r="9474" spans="1:2" x14ac:dyDescent="0.15">
      <c r="A9474" s="15"/>
      <c r="B9474" s="15"/>
    </row>
    <row r="9475" spans="1:2" x14ac:dyDescent="0.15">
      <c r="A9475" s="15"/>
      <c r="B9475" s="15"/>
    </row>
    <row r="9476" spans="1:2" x14ac:dyDescent="0.15">
      <c r="A9476" s="15"/>
      <c r="B9476" s="15"/>
    </row>
    <row r="9477" spans="1:2" x14ac:dyDescent="0.15">
      <c r="A9477" s="15"/>
      <c r="B9477" s="15"/>
    </row>
    <row r="9478" spans="1:2" x14ac:dyDescent="0.15">
      <c r="A9478" s="15"/>
      <c r="B9478" s="15"/>
    </row>
    <row r="9479" spans="1:2" x14ac:dyDescent="0.15">
      <c r="A9479" s="15"/>
      <c r="B9479" s="15"/>
    </row>
    <row r="9480" spans="1:2" x14ac:dyDescent="0.15">
      <c r="A9480" s="15"/>
      <c r="B9480" s="15"/>
    </row>
    <row r="9481" spans="1:2" x14ac:dyDescent="0.15">
      <c r="A9481" s="15"/>
      <c r="B9481" s="15"/>
    </row>
    <row r="9482" spans="1:2" x14ac:dyDescent="0.15">
      <c r="A9482" s="15"/>
      <c r="B9482" s="15"/>
    </row>
    <row r="9483" spans="1:2" x14ac:dyDescent="0.15">
      <c r="A9483" s="15"/>
      <c r="B9483" s="15"/>
    </row>
    <row r="9484" spans="1:2" x14ac:dyDescent="0.15">
      <c r="A9484" s="15"/>
      <c r="B9484" s="15"/>
    </row>
    <row r="9485" spans="1:2" x14ac:dyDescent="0.15">
      <c r="A9485" s="15"/>
      <c r="B9485" s="15"/>
    </row>
    <row r="9486" spans="1:2" x14ac:dyDescent="0.15">
      <c r="A9486" s="15"/>
      <c r="B9486" s="15"/>
    </row>
    <row r="9487" spans="1:2" x14ac:dyDescent="0.15">
      <c r="A9487" s="15"/>
      <c r="B9487" s="15"/>
    </row>
    <row r="9488" spans="1:2" x14ac:dyDescent="0.15">
      <c r="A9488" s="15"/>
      <c r="B9488" s="15"/>
    </row>
    <row r="9489" spans="1:2" x14ac:dyDescent="0.15">
      <c r="A9489" s="15"/>
      <c r="B9489" s="15"/>
    </row>
    <row r="9490" spans="1:2" x14ac:dyDescent="0.15">
      <c r="A9490" s="15"/>
      <c r="B9490" s="15"/>
    </row>
    <row r="9491" spans="1:2" x14ac:dyDescent="0.15">
      <c r="A9491" s="15"/>
      <c r="B9491" s="15"/>
    </row>
    <row r="9492" spans="1:2" x14ac:dyDescent="0.15">
      <c r="A9492" s="15"/>
      <c r="B9492" s="15"/>
    </row>
    <row r="9493" spans="1:2" x14ac:dyDescent="0.15">
      <c r="A9493" s="15"/>
      <c r="B9493" s="15"/>
    </row>
    <row r="9494" spans="1:2" x14ac:dyDescent="0.15">
      <c r="A9494" s="15"/>
      <c r="B9494" s="15"/>
    </row>
    <row r="9495" spans="1:2" x14ac:dyDescent="0.15">
      <c r="A9495" s="15"/>
      <c r="B9495" s="15"/>
    </row>
    <row r="9496" spans="1:2" x14ac:dyDescent="0.15">
      <c r="A9496" s="15"/>
      <c r="B9496" s="15"/>
    </row>
    <row r="9497" spans="1:2" x14ac:dyDescent="0.15">
      <c r="A9497" s="15"/>
      <c r="B9497" s="15"/>
    </row>
    <row r="9498" spans="1:2" x14ac:dyDescent="0.15">
      <c r="A9498" s="15"/>
      <c r="B9498" s="15"/>
    </row>
    <row r="9499" spans="1:2" x14ac:dyDescent="0.15">
      <c r="A9499" s="15"/>
      <c r="B9499" s="15"/>
    </row>
    <row r="9500" spans="1:2" x14ac:dyDescent="0.15">
      <c r="A9500" s="15"/>
      <c r="B9500" s="15"/>
    </row>
    <row r="9501" spans="1:2" x14ac:dyDescent="0.15">
      <c r="A9501" s="15"/>
      <c r="B9501" s="15"/>
    </row>
    <row r="9502" spans="1:2" x14ac:dyDescent="0.15">
      <c r="A9502" s="15"/>
      <c r="B9502" s="15"/>
    </row>
    <row r="9503" spans="1:2" x14ac:dyDescent="0.15">
      <c r="A9503" s="15"/>
      <c r="B9503" s="15"/>
    </row>
    <row r="9504" spans="1:2" x14ac:dyDescent="0.15">
      <c r="A9504" s="15"/>
      <c r="B9504" s="15"/>
    </row>
    <row r="9505" spans="1:2" x14ac:dyDescent="0.15">
      <c r="A9505" s="15"/>
      <c r="B9505" s="15"/>
    </row>
    <row r="9506" spans="1:2" x14ac:dyDescent="0.15">
      <c r="A9506" s="15"/>
      <c r="B9506" s="15"/>
    </row>
    <row r="9507" spans="1:2" x14ac:dyDescent="0.15">
      <c r="A9507" s="15"/>
      <c r="B9507" s="15"/>
    </row>
    <row r="9508" spans="1:2" x14ac:dyDescent="0.15">
      <c r="A9508" s="15"/>
      <c r="B9508" s="15"/>
    </row>
    <row r="9509" spans="1:2" x14ac:dyDescent="0.15">
      <c r="A9509" s="15"/>
      <c r="B9509" s="15"/>
    </row>
    <row r="9510" spans="1:2" x14ac:dyDescent="0.15">
      <c r="A9510" s="15"/>
      <c r="B9510" s="15"/>
    </row>
    <row r="9511" spans="1:2" x14ac:dyDescent="0.15">
      <c r="A9511" s="15"/>
      <c r="B9511" s="15"/>
    </row>
    <row r="9512" spans="1:2" x14ac:dyDescent="0.15">
      <c r="A9512" s="15"/>
      <c r="B9512" s="15"/>
    </row>
    <row r="9513" spans="1:2" x14ac:dyDescent="0.15">
      <c r="A9513" s="15"/>
      <c r="B9513" s="15"/>
    </row>
    <row r="9514" spans="1:2" x14ac:dyDescent="0.15">
      <c r="A9514" s="15"/>
      <c r="B9514" s="15"/>
    </row>
    <row r="9515" spans="1:2" x14ac:dyDescent="0.15">
      <c r="A9515" s="15"/>
      <c r="B9515" s="15"/>
    </row>
    <row r="9516" spans="1:2" x14ac:dyDescent="0.15">
      <c r="A9516" s="15"/>
      <c r="B9516" s="15"/>
    </row>
    <row r="9517" spans="1:2" x14ac:dyDescent="0.15">
      <c r="A9517" s="15"/>
      <c r="B9517" s="15"/>
    </row>
    <row r="9518" spans="1:2" x14ac:dyDescent="0.15">
      <c r="A9518" s="15"/>
      <c r="B9518" s="15"/>
    </row>
    <row r="9519" spans="1:2" x14ac:dyDescent="0.15">
      <c r="A9519" s="15"/>
      <c r="B9519" s="15"/>
    </row>
    <row r="9520" spans="1:2" x14ac:dyDescent="0.15">
      <c r="A9520" s="15"/>
      <c r="B9520" s="15"/>
    </row>
    <row r="9521" spans="1:2" x14ac:dyDescent="0.15">
      <c r="A9521" s="15"/>
      <c r="B9521" s="15"/>
    </row>
    <row r="9522" spans="1:2" x14ac:dyDescent="0.15">
      <c r="A9522" s="15"/>
      <c r="B9522" s="15"/>
    </row>
    <row r="9523" spans="1:2" x14ac:dyDescent="0.15">
      <c r="A9523" s="15"/>
      <c r="B9523" s="15"/>
    </row>
    <row r="9524" spans="1:2" x14ac:dyDescent="0.15">
      <c r="A9524" s="15"/>
      <c r="B9524" s="15"/>
    </row>
    <row r="9525" spans="1:2" x14ac:dyDescent="0.15">
      <c r="A9525" s="15"/>
      <c r="B9525" s="15"/>
    </row>
    <row r="9526" spans="1:2" x14ac:dyDescent="0.15">
      <c r="A9526" s="15"/>
      <c r="B9526" s="15"/>
    </row>
    <row r="9527" spans="1:2" x14ac:dyDescent="0.15">
      <c r="A9527" s="15"/>
      <c r="B9527" s="15"/>
    </row>
    <row r="9528" spans="1:2" x14ac:dyDescent="0.15">
      <c r="A9528" s="15"/>
      <c r="B9528" s="15"/>
    </row>
    <row r="9529" spans="1:2" x14ac:dyDescent="0.15">
      <c r="A9529" s="15"/>
      <c r="B9529" s="15"/>
    </row>
    <row r="9530" spans="1:2" x14ac:dyDescent="0.15">
      <c r="A9530" s="15"/>
      <c r="B9530" s="15"/>
    </row>
    <row r="9531" spans="1:2" x14ac:dyDescent="0.15">
      <c r="A9531" s="15"/>
      <c r="B9531" s="15"/>
    </row>
    <row r="9532" spans="1:2" x14ac:dyDescent="0.15">
      <c r="A9532" s="15"/>
      <c r="B9532" s="15"/>
    </row>
    <row r="9533" spans="1:2" x14ac:dyDescent="0.15">
      <c r="A9533" s="15"/>
      <c r="B9533" s="15"/>
    </row>
    <row r="9534" spans="1:2" x14ac:dyDescent="0.15">
      <c r="A9534" s="15"/>
      <c r="B9534" s="15"/>
    </row>
    <row r="9535" spans="1:2" x14ac:dyDescent="0.15">
      <c r="A9535" s="15"/>
      <c r="B9535" s="15"/>
    </row>
    <row r="9536" spans="1:2" x14ac:dyDescent="0.15">
      <c r="A9536" s="15"/>
      <c r="B9536" s="15"/>
    </row>
    <row r="9537" spans="1:2" x14ac:dyDescent="0.15">
      <c r="A9537" s="15"/>
      <c r="B9537" s="15"/>
    </row>
    <row r="9538" spans="1:2" x14ac:dyDescent="0.15">
      <c r="A9538" s="15"/>
      <c r="B9538" s="15"/>
    </row>
    <row r="9539" spans="1:2" x14ac:dyDescent="0.15">
      <c r="A9539" s="15"/>
      <c r="B9539" s="15"/>
    </row>
    <row r="9540" spans="1:2" x14ac:dyDescent="0.15">
      <c r="A9540" s="15"/>
      <c r="B9540" s="15"/>
    </row>
    <row r="9541" spans="1:2" x14ac:dyDescent="0.15">
      <c r="A9541" s="15"/>
      <c r="B9541" s="15"/>
    </row>
    <row r="9542" spans="1:2" x14ac:dyDescent="0.15">
      <c r="A9542" s="15"/>
      <c r="B9542" s="15"/>
    </row>
    <row r="9543" spans="1:2" x14ac:dyDescent="0.15">
      <c r="A9543" s="15"/>
      <c r="B9543" s="15"/>
    </row>
    <row r="9544" spans="1:2" x14ac:dyDescent="0.15">
      <c r="A9544" s="15"/>
      <c r="B9544" s="15"/>
    </row>
    <row r="9545" spans="1:2" x14ac:dyDescent="0.15">
      <c r="A9545" s="15"/>
      <c r="B9545" s="15"/>
    </row>
    <row r="9546" spans="1:2" x14ac:dyDescent="0.15">
      <c r="A9546" s="15"/>
      <c r="B9546" s="15"/>
    </row>
    <row r="9547" spans="1:2" x14ac:dyDescent="0.15">
      <c r="A9547" s="15"/>
      <c r="B9547" s="15"/>
    </row>
    <row r="9548" spans="1:2" x14ac:dyDescent="0.15">
      <c r="A9548" s="15"/>
      <c r="B9548" s="15"/>
    </row>
    <row r="9549" spans="1:2" x14ac:dyDescent="0.15">
      <c r="A9549" s="15"/>
      <c r="B9549" s="15"/>
    </row>
    <row r="9550" spans="1:2" x14ac:dyDescent="0.15">
      <c r="A9550" s="15"/>
      <c r="B9550" s="15"/>
    </row>
    <row r="9551" spans="1:2" x14ac:dyDescent="0.15">
      <c r="A9551" s="15"/>
      <c r="B9551" s="15"/>
    </row>
    <row r="9552" spans="1:2" x14ac:dyDescent="0.15">
      <c r="A9552" s="15"/>
      <c r="B9552" s="15"/>
    </row>
    <row r="9553" spans="1:2" x14ac:dyDescent="0.15">
      <c r="A9553" s="15"/>
      <c r="B9553" s="15"/>
    </row>
    <row r="9554" spans="1:2" x14ac:dyDescent="0.15">
      <c r="A9554" s="15"/>
      <c r="B9554" s="15"/>
    </row>
    <row r="9555" spans="1:2" x14ac:dyDescent="0.15">
      <c r="A9555" s="15"/>
      <c r="B9555" s="15"/>
    </row>
    <row r="9556" spans="1:2" x14ac:dyDescent="0.15">
      <c r="A9556" s="15"/>
      <c r="B9556" s="15"/>
    </row>
    <row r="9557" spans="1:2" x14ac:dyDescent="0.15">
      <c r="A9557" s="15"/>
      <c r="B9557" s="15"/>
    </row>
    <row r="9558" spans="1:2" x14ac:dyDescent="0.15">
      <c r="A9558" s="15"/>
      <c r="B9558" s="15"/>
    </row>
    <row r="9559" spans="1:2" x14ac:dyDescent="0.15">
      <c r="A9559" s="15"/>
      <c r="B9559" s="15"/>
    </row>
    <row r="9560" spans="1:2" x14ac:dyDescent="0.15">
      <c r="A9560" s="15"/>
      <c r="B9560" s="15"/>
    </row>
    <row r="9561" spans="1:2" x14ac:dyDescent="0.15">
      <c r="A9561" s="15"/>
      <c r="B9561" s="15"/>
    </row>
    <row r="9562" spans="1:2" x14ac:dyDescent="0.15">
      <c r="A9562" s="15"/>
      <c r="B9562" s="15"/>
    </row>
    <row r="9563" spans="1:2" x14ac:dyDescent="0.15">
      <c r="A9563" s="15"/>
      <c r="B9563" s="15"/>
    </row>
    <row r="9564" spans="1:2" x14ac:dyDescent="0.15">
      <c r="A9564" s="15"/>
      <c r="B9564" s="15"/>
    </row>
    <row r="9565" spans="1:2" x14ac:dyDescent="0.15">
      <c r="A9565" s="15"/>
      <c r="B9565" s="15"/>
    </row>
    <row r="9566" spans="1:2" x14ac:dyDescent="0.15">
      <c r="A9566" s="15"/>
      <c r="B9566" s="15"/>
    </row>
    <row r="9567" spans="1:2" x14ac:dyDescent="0.15">
      <c r="A9567" s="15"/>
      <c r="B9567" s="15"/>
    </row>
    <row r="9568" spans="1:2" x14ac:dyDescent="0.15">
      <c r="A9568" s="15"/>
      <c r="B9568" s="15"/>
    </row>
    <row r="9569" spans="1:2" x14ac:dyDescent="0.15">
      <c r="A9569" s="15"/>
      <c r="B9569" s="15"/>
    </row>
    <row r="9570" spans="1:2" x14ac:dyDescent="0.15">
      <c r="A9570" s="15"/>
      <c r="B9570" s="15"/>
    </row>
    <row r="9571" spans="1:2" x14ac:dyDescent="0.15">
      <c r="A9571" s="15"/>
      <c r="B9571" s="15"/>
    </row>
    <row r="9572" spans="1:2" x14ac:dyDescent="0.15">
      <c r="A9572" s="15"/>
      <c r="B9572" s="15"/>
    </row>
    <row r="9573" spans="1:2" x14ac:dyDescent="0.15">
      <c r="A9573" s="15"/>
      <c r="B9573" s="15"/>
    </row>
    <row r="9574" spans="1:2" x14ac:dyDescent="0.15">
      <c r="A9574" s="15"/>
      <c r="B9574" s="15"/>
    </row>
    <row r="9575" spans="1:2" x14ac:dyDescent="0.15">
      <c r="A9575" s="15"/>
      <c r="B9575" s="15"/>
    </row>
    <row r="9576" spans="1:2" x14ac:dyDescent="0.15">
      <c r="A9576" s="15"/>
      <c r="B9576" s="15"/>
    </row>
    <row r="9577" spans="1:2" x14ac:dyDescent="0.15">
      <c r="A9577" s="15"/>
      <c r="B9577" s="15"/>
    </row>
    <row r="9578" spans="1:2" x14ac:dyDescent="0.15">
      <c r="A9578" s="15"/>
      <c r="B9578" s="15"/>
    </row>
    <row r="9579" spans="1:2" x14ac:dyDescent="0.15">
      <c r="A9579" s="15"/>
      <c r="B9579" s="15"/>
    </row>
    <row r="9580" spans="1:2" x14ac:dyDescent="0.15">
      <c r="A9580" s="15"/>
      <c r="B9580" s="15"/>
    </row>
    <row r="9581" spans="1:2" x14ac:dyDescent="0.15">
      <c r="A9581" s="15"/>
      <c r="B9581" s="15"/>
    </row>
    <row r="9582" spans="1:2" x14ac:dyDescent="0.15">
      <c r="A9582" s="15"/>
      <c r="B9582" s="15"/>
    </row>
    <row r="9583" spans="1:2" x14ac:dyDescent="0.15">
      <c r="A9583" s="15"/>
      <c r="B9583" s="15"/>
    </row>
    <row r="9584" spans="1:2" x14ac:dyDescent="0.15">
      <c r="A9584" s="15"/>
      <c r="B9584" s="15"/>
    </row>
    <row r="9585" spans="1:2" x14ac:dyDescent="0.15">
      <c r="A9585" s="15"/>
      <c r="B9585" s="15"/>
    </row>
    <row r="9586" spans="1:2" x14ac:dyDescent="0.15">
      <c r="A9586" s="15"/>
      <c r="B9586" s="15"/>
    </row>
    <row r="9587" spans="1:2" x14ac:dyDescent="0.15">
      <c r="A9587" s="15"/>
      <c r="B9587" s="15"/>
    </row>
    <row r="9588" spans="1:2" x14ac:dyDescent="0.15">
      <c r="A9588" s="15"/>
      <c r="B9588" s="15"/>
    </row>
    <row r="9589" spans="1:2" x14ac:dyDescent="0.15">
      <c r="A9589" s="15"/>
      <c r="B9589" s="15"/>
    </row>
    <row r="9590" spans="1:2" x14ac:dyDescent="0.15">
      <c r="A9590" s="15"/>
      <c r="B9590" s="15"/>
    </row>
    <row r="9591" spans="1:2" x14ac:dyDescent="0.15">
      <c r="A9591" s="15"/>
      <c r="B9591" s="15"/>
    </row>
    <row r="9592" spans="1:2" x14ac:dyDescent="0.15">
      <c r="A9592" s="15"/>
      <c r="B9592" s="15"/>
    </row>
    <row r="9593" spans="1:2" x14ac:dyDescent="0.15">
      <c r="A9593" s="15"/>
      <c r="B9593" s="15"/>
    </row>
    <row r="9594" spans="1:2" x14ac:dyDescent="0.15">
      <c r="A9594" s="15"/>
      <c r="B9594" s="15"/>
    </row>
    <row r="9595" spans="1:2" x14ac:dyDescent="0.15">
      <c r="A9595" s="15"/>
      <c r="B9595" s="15"/>
    </row>
    <row r="9596" spans="1:2" x14ac:dyDescent="0.15">
      <c r="A9596" s="15"/>
      <c r="B9596" s="15"/>
    </row>
    <row r="9597" spans="1:2" x14ac:dyDescent="0.15">
      <c r="A9597" s="15"/>
      <c r="B9597" s="15"/>
    </row>
    <row r="9598" spans="1:2" x14ac:dyDescent="0.15">
      <c r="A9598" s="15"/>
      <c r="B9598" s="15"/>
    </row>
    <row r="9599" spans="1:2" x14ac:dyDescent="0.15">
      <c r="A9599" s="15"/>
      <c r="B9599" s="15"/>
    </row>
    <row r="9600" spans="1:2" x14ac:dyDescent="0.15">
      <c r="A9600" s="15"/>
      <c r="B9600" s="15"/>
    </row>
    <row r="9601" spans="1:2" x14ac:dyDescent="0.15">
      <c r="A9601" s="15"/>
      <c r="B9601" s="15"/>
    </row>
    <row r="9602" spans="1:2" x14ac:dyDescent="0.15">
      <c r="A9602" s="15"/>
      <c r="B9602" s="15"/>
    </row>
    <row r="9603" spans="1:2" x14ac:dyDescent="0.15">
      <c r="A9603" s="15"/>
      <c r="B9603" s="15"/>
    </row>
    <row r="9604" spans="1:2" x14ac:dyDescent="0.15">
      <c r="A9604" s="15"/>
      <c r="B9604" s="15"/>
    </row>
    <row r="9605" spans="1:2" x14ac:dyDescent="0.15">
      <c r="A9605" s="15"/>
      <c r="B9605" s="15"/>
    </row>
    <row r="9606" spans="1:2" x14ac:dyDescent="0.15">
      <c r="A9606" s="15"/>
      <c r="B9606" s="15"/>
    </row>
    <row r="9607" spans="1:2" x14ac:dyDescent="0.15">
      <c r="A9607" s="15"/>
      <c r="B9607" s="15"/>
    </row>
    <row r="9608" spans="1:2" x14ac:dyDescent="0.15">
      <c r="A9608" s="15"/>
      <c r="B9608" s="15"/>
    </row>
    <row r="9609" spans="1:2" x14ac:dyDescent="0.15">
      <c r="A9609" s="15"/>
      <c r="B9609" s="15"/>
    </row>
    <row r="9610" spans="1:2" x14ac:dyDescent="0.15">
      <c r="A9610" s="15"/>
      <c r="B9610" s="15"/>
    </row>
    <row r="9611" spans="1:2" x14ac:dyDescent="0.15">
      <c r="A9611" s="15"/>
      <c r="B9611" s="15"/>
    </row>
    <row r="9612" spans="1:2" x14ac:dyDescent="0.15">
      <c r="A9612" s="15"/>
      <c r="B9612" s="15"/>
    </row>
    <row r="9613" spans="1:2" x14ac:dyDescent="0.15">
      <c r="A9613" s="15"/>
      <c r="B9613" s="15"/>
    </row>
    <row r="9614" spans="1:2" x14ac:dyDescent="0.15">
      <c r="A9614" s="15"/>
      <c r="B9614" s="15"/>
    </row>
    <row r="9615" spans="1:2" x14ac:dyDescent="0.15">
      <c r="A9615" s="15"/>
      <c r="B9615" s="15"/>
    </row>
    <row r="9616" spans="1:2" x14ac:dyDescent="0.15">
      <c r="A9616" s="15"/>
      <c r="B9616" s="15"/>
    </row>
    <row r="9617" spans="1:2" x14ac:dyDescent="0.15">
      <c r="A9617" s="15"/>
      <c r="B9617" s="15"/>
    </row>
    <row r="9618" spans="1:2" x14ac:dyDescent="0.15">
      <c r="A9618" s="15"/>
      <c r="B9618" s="15"/>
    </row>
    <row r="9619" spans="1:2" x14ac:dyDescent="0.15">
      <c r="A9619" s="15"/>
      <c r="B9619" s="15"/>
    </row>
    <row r="9620" spans="1:2" x14ac:dyDescent="0.15">
      <c r="A9620" s="15"/>
      <c r="B9620" s="15"/>
    </row>
    <row r="9621" spans="1:2" x14ac:dyDescent="0.15">
      <c r="A9621" s="15"/>
      <c r="B9621" s="15"/>
    </row>
    <row r="9622" spans="1:2" x14ac:dyDescent="0.15">
      <c r="A9622" s="15"/>
      <c r="B9622" s="15"/>
    </row>
    <row r="9623" spans="1:2" x14ac:dyDescent="0.15">
      <c r="A9623" s="15"/>
      <c r="B9623" s="15"/>
    </row>
    <row r="9624" spans="1:2" x14ac:dyDescent="0.15">
      <c r="A9624" s="15"/>
      <c r="B9624" s="15"/>
    </row>
    <row r="9625" spans="1:2" x14ac:dyDescent="0.15">
      <c r="A9625" s="15"/>
      <c r="B9625" s="15"/>
    </row>
    <row r="9626" spans="1:2" x14ac:dyDescent="0.15">
      <c r="A9626" s="15"/>
      <c r="B9626" s="15"/>
    </row>
    <row r="9627" spans="1:2" x14ac:dyDescent="0.15">
      <c r="A9627" s="15"/>
      <c r="B9627" s="15"/>
    </row>
    <row r="9628" spans="1:2" x14ac:dyDescent="0.15">
      <c r="A9628" s="15"/>
      <c r="B9628" s="15"/>
    </row>
    <row r="9629" spans="1:2" x14ac:dyDescent="0.15">
      <c r="A9629" s="15"/>
      <c r="B9629" s="15"/>
    </row>
    <row r="9630" spans="1:2" x14ac:dyDescent="0.15">
      <c r="A9630" s="15"/>
      <c r="B9630" s="15"/>
    </row>
    <row r="9631" spans="1:2" x14ac:dyDescent="0.15">
      <c r="A9631" s="15"/>
      <c r="B9631" s="15"/>
    </row>
    <row r="9632" spans="1:2" x14ac:dyDescent="0.15">
      <c r="A9632" s="15"/>
      <c r="B9632" s="15"/>
    </row>
    <row r="9633" spans="1:2" x14ac:dyDescent="0.15">
      <c r="A9633" s="15"/>
      <c r="B9633" s="15"/>
    </row>
    <row r="9634" spans="1:2" x14ac:dyDescent="0.15">
      <c r="A9634" s="15"/>
      <c r="B9634" s="15"/>
    </row>
    <row r="9635" spans="1:2" x14ac:dyDescent="0.15">
      <c r="A9635" s="15"/>
      <c r="B9635" s="15"/>
    </row>
    <row r="9636" spans="1:2" x14ac:dyDescent="0.15">
      <c r="A9636" s="15"/>
      <c r="B9636" s="15"/>
    </row>
    <row r="9637" spans="1:2" x14ac:dyDescent="0.15">
      <c r="A9637" s="15"/>
      <c r="B9637" s="15"/>
    </row>
    <row r="9638" spans="1:2" x14ac:dyDescent="0.15">
      <c r="A9638" s="15"/>
      <c r="B9638" s="15"/>
    </row>
    <row r="9639" spans="1:2" x14ac:dyDescent="0.15">
      <c r="A9639" s="15"/>
      <c r="B9639" s="15"/>
    </row>
    <row r="9640" spans="1:2" x14ac:dyDescent="0.15">
      <c r="A9640" s="15"/>
      <c r="B9640" s="15"/>
    </row>
    <row r="9641" spans="1:2" x14ac:dyDescent="0.15">
      <c r="A9641" s="15"/>
      <c r="B9641" s="15"/>
    </row>
    <row r="9642" spans="1:2" x14ac:dyDescent="0.15">
      <c r="A9642" s="15"/>
      <c r="B9642" s="15"/>
    </row>
    <row r="9643" spans="1:2" x14ac:dyDescent="0.15">
      <c r="A9643" s="15"/>
      <c r="B9643" s="15"/>
    </row>
    <row r="9644" spans="1:2" x14ac:dyDescent="0.15">
      <c r="A9644" s="15"/>
      <c r="B9644" s="15"/>
    </row>
    <row r="9645" spans="1:2" x14ac:dyDescent="0.15">
      <c r="A9645" s="15"/>
      <c r="B9645" s="15"/>
    </row>
    <row r="9646" spans="1:2" x14ac:dyDescent="0.15">
      <c r="A9646" s="15"/>
      <c r="B9646" s="15"/>
    </row>
    <row r="9647" spans="1:2" x14ac:dyDescent="0.15">
      <c r="A9647" s="15"/>
      <c r="B9647" s="15"/>
    </row>
    <row r="9648" spans="1:2" x14ac:dyDescent="0.15">
      <c r="A9648" s="15"/>
      <c r="B9648" s="15"/>
    </row>
    <row r="9649" spans="1:2" x14ac:dyDescent="0.15">
      <c r="A9649" s="15"/>
      <c r="B9649" s="15"/>
    </row>
    <row r="9650" spans="1:2" x14ac:dyDescent="0.15">
      <c r="A9650" s="15"/>
      <c r="B9650" s="15"/>
    </row>
    <row r="9651" spans="1:2" x14ac:dyDescent="0.15">
      <c r="A9651" s="15"/>
      <c r="B9651" s="15"/>
    </row>
    <row r="9652" spans="1:2" x14ac:dyDescent="0.15">
      <c r="A9652" s="15"/>
      <c r="B9652" s="15"/>
    </row>
    <row r="9653" spans="1:2" x14ac:dyDescent="0.15">
      <c r="A9653" s="15"/>
      <c r="B9653" s="15"/>
    </row>
    <row r="9654" spans="1:2" x14ac:dyDescent="0.15">
      <c r="A9654" s="15"/>
      <c r="B9654" s="15"/>
    </row>
    <row r="9655" spans="1:2" x14ac:dyDescent="0.15">
      <c r="A9655" s="15"/>
      <c r="B9655" s="15"/>
    </row>
    <row r="9656" spans="1:2" x14ac:dyDescent="0.15">
      <c r="A9656" s="15"/>
      <c r="B9656" s="15"/>
    </row>
    <row r="9657" spans="1:2" x14ac:dyDescent="0.15">
      <c r="A9657" s="15"/>
      <c r="B9657" s="15"/>
    </row>
    <row r="9658" spans="1:2" x14ac:dyDescent="0.15">
      <c r="A9658" s="15"/>
      <c r="B9658" s="15"/>
    </row>
    <row r="9659" spans="1:2" x14ac:dyDescent="0.15">
      <c r="A9659" s="15"/>
      <c r="B9659" s="15"/>
    </row>
    <row r="9660" spans="1:2" x14ac:dyDescent="0.15">
      <c r="A9660" s="15"/>
      <c r="B9660" s="15"/>
    </row>
    <row r="9661" spans="1:2" x14ac:dyDescent="0.15">
      <c r="A9661" s="15"/>
      <c r="B9661" s="15"/>
    </row>
    <row r="9662" spans="1:2" x14ac:dyDescent="0.15">
      <c r="A9662" s="15"/>
      <c r="B9662" s="15"/>
    </row>
    <row r="9663" spans="1:2" x14ac:dyDescent="0.15">
      <c r="A9663" s="15"/>
      <c r="B9663" s="15"/>
    </row>
    <row r="9664" spans="1:2" x14ac:dyDescent="0.15">
      <c r="A9664" s="15"/>
      <c r="B9664" s="15"/>
    </row>
    <row r="9665" spans="1:2" x14ac:dyDescent="0.15">
      <c r="A9665" s="15"/>
      <c r="B9665" s="15"/>
    </row>
    <row r="9666" spans="1:2" x14ac:dyDescent="0.15">
      <c r="A9666" s="15"/>
      <c r="B9666" s="15"/>
    </row>
    <row r="9667" spans="1:2" x14ac:dyDescent="0.15">
      <c r="A9667" s="15"/>
      <c r="B9667" s="15"/>
    </row>
    <row r="9668" spans="1:2" x14ac:dyDescent="0.15">
      <c r="A9668" s="15"/>
      <c r="B9668" s="15"/>
    </row>
    <row r="9669" spans="1:2" x14ac:dyDescent="0.15">
      <c r="A9669" s="15"/>
      <c r="B9669" s="15"/>
    </row>
    <row r="9670" spans="1:2" x14ac:dyDescent="0.15">
      <c r="A9670" s="15"/>
      <c r="B9670" s="15"/>
    </row>
    <row r="9671" spans="1:2" x14ac:dyDescent="0.15">
      <c r="A9671" s="15"/>
      <c r="B9671" s="15"/>
    </row>
    <row r="9672" spans="1:2" x14ac:dyDescent="0.15">
      <c r="A9672" s="15"/>
      <c r="B9672" s="15"/>
    </row>
    <row r="9673" spans="1:2" x14ac:dyDescent="0.15">
      <c r="A9673" s="15"/>
      <c r="B9673" s="15"/>
    </row>
    <row r="9674" spans="1:2" x14ac:dyDescent="0.15">
      <c r="A9674" s="15"/>
      <c r="B9674" s="15"/>
    </row>
    <row r="9675" spans="1:2" x14ac:dyDescent="0.15">
      <c r="A9675" s="15"/>
      <c r="B9675" s="15"/>
    </row>
    <row r="9676" spans="1:2" x14ac:dyDescent="0.15">
      <c r="A9676" s="15"/>
      <c r="B9676" s="15"/>
    </row>
    <row r="9677" spans="1:2" x14ac:dyDescent="0.15">
      <c r="A9677" s="15"/>
      <c r="B9677" s="15"/>
    </row>
    <row r="9678" spans="1:2" x14ac:dyDescent="0.15">
      <c r="A9678" s="15"/>
      <c r="B9678" s="15"/>
    </row>
    <row r="9679" spans="1:2" x14ac:dyDescent="0.15">
      <c r="A9679" s="15"/>
      <c r="B9679" s="15"/>
    </row>
    <row r="9680" spans="1:2" x14ac:dyDescent="0.15">
      <c r="A9680" s="15"/>
      <c r="B9680" s="15"/>
    </row>
    <row r="9681" spans="1:2" x14ac:dyDescent="0.15">
      <c r="A9681" s="15"/>
      <c r="B9681" s="15"/>
    </row>
    <row r="9682" spans="1:2" x14ac:dyDescent="0.15">
      <c r="A9682" s="15"/>
      <c r="B9682" s="15"/>
    </row>
    <row r="9683" spans="1:2" x14ac:dyDescent="0.15">
      <c r="A9683" s="15"/>
      <c r="B9683" s="15"/>
    </row>
    <row r="9684" spans="1:2" x14ac:dyDescent="0.15">
      <c r="A9684" s="15"/>
      <c r="B9684" s="15"/>
    </row>
    <row r="9685" spans="1:2" x14ac:dyDescent="0.15">
      <c r="A9685" s="15"/>
      <c r="B9685" s="15"/>
    </row>
    <row r="9686" spans="1:2" x14ac:dyDescent="0.15">
      <c r="A9686" s="15"/>
      <c r="B9686" s="15"/>
    </row>
    <row r="9687" spans="1:2" x14ac:dyDescent="0.15">
      <c r="A9687" s="15"/>
      <c r="B9687" s="15"/>
    </row>
    <row r="9688" spans="1:2" x14ac:dyDescent="0.15">
      <c r="A9688" s="15"/>
      <c r="B9688" s="15"/>
    </row>
    <row r="9689" spans="1:2" x14ac:dyDescent="0.15">
      <c r="A9689" s="15"/>
      <c r="B9689" s="15"/>
    </row>
    <row r="9690" spans="1:2" x14ac:dyDescent="0.15">
      <c r="A9690" s="15"/>
      <c r="B9690" s="15"/>
    </row>
    <row r="9691" spans="1:2" x14ac:dyDescent="0.15">
      <c r="A9691" s="15"/>
      <c r="B9691" s="15"/>
    </row>
    <row r="9692" spans="1:2" x14ac:dyDescent="0.15">
      <c r="A9692" s="15"/>
      <c r="B9692" s="15"/>
    </row>
    <row r="9693" spans="1:2" x14ac:dyDescent="0.15">
      <c r="A9693" s="15"/>
      <c r="B9693" s="15"/>
    </row>
    <row r="9694" spans="1:2" x14ac:dyDescent="0.15">
      <c r="A9694" s="15"/>
      <c r="B9694" s="15"/>
    </row>
    <row r="9695" spans="1:2" x14ac:dyDescent="0.15">
      <c r="A9695" s="15"/>
      <c r="B9695" s="15"/>
    </row>
    <row r="9696" spans="1:2" x14ac:dyDescent="0.15">
      <c r="A9696" s="15"/>
      <c r="B9696" s="15"/>
    </row>
    <row r="9697" spans="1:2" x14ac:dyDescent="0.15">
      <c r="A9697" s="15"/>
      <c r="B9697" s="15"/>
    </row>
    <row r="9698" spans="1:2" x14ac:dyDescent="0.15">
      <c r="A9698" s="15"/>
      <c r="B9698" s="15"/>
    </row>
    <row r="9699" spans="1:2" x14ac:dyDescent="0.15">
      <c r="A9699" s="15"/>
      <c r="B9699" s="15"/>
    </row>
    <row r="9700" spans="1:2" x14ac:dyDescent="0.15">
      <c r="A9700" s="15"/>
      <c r="B9700" s="15"/>
    </row>
    <row r="9701" spans="1:2" x14ac:dyDescent="0.15">
      <c r="A9701" s="15"/>
      <c r="B9701" s="15"/>
    </row>
    <row r="9702" spans="1:2" x14ac:dyDescent="0.15">
      <c r="A9702" s="15"/>
      <c r="B9702" s="15"/>
    </row>
    <row r="9703" spans="1:2" x14ac:dyDescent="0.15">
      <c r="A9703" s="15"/>
      <c r="B9703" s="15"/>
    </row>
    <row r="9704" spans="1:2" x14ac:dyDescent="0.15">
      <c r="A9704" s="15"/>
      <c r="B9704" s="15"/>
    </row>
    <row r="9705" spans="1:2" x14ac:dyDescent="0.15">
      <c r="A9705" s="15"/>
      <c r="B9705" s="15"/>
    </row>
    <row r="9706" spans="1:2" x14ac:dyDescent="0.15">
      <c r="A9706" s="15"/>
      <c r="B9706" s="15"/>
    </row>
    <row r="9707" spans="1:2" x14ac:dyDescent="0.15">
      <c r="A9707" s="15"/>
      <c r="B9707" s="15"/>
    </row>
    <row r="9708" spans="1:2" x14ac:dyDescent="0.15">
      <c r="A9708" s="15"/>
      <c r="B9708" s="15"/>
    </row>
    <row r="9709" spans="1:2" x14ac:dyDescent="0.15">
      <c r="A9709" s="15"/>
      <c r="B9709" s="15"/>
    </row>
    <row r="9710" spans="1:2" x14ac:dyDescent="0.15">
      <c r="A9710" s="15"/>
      <c r="B9710" s="15"/>
    </row>
    <row r="9711" spans="1:2" x14ac:dyDescent="0.15">
      <c r="A9711" s="15"/>
      <c r="B9711" s="15"/>
    </row>
    <row r="9712" spans="1:2" x14ac:dyDescent="0.15">
      <c r="A9712" s="15"/>
      <c r="B9712" s="15"/>
    </row>
    <row r="9713" spans="1:2" x14ac:dyDescent="0.15">
      <c r="A9713" s="15"/>
      <c r="B9713" s="15"/>
    </row>
    <row r="9714" spans="1:2" x14ac:dyDescent="0.15">
      <c r="A9714" s="15"/>
      <c r="B9714" s="15"/>
    </row>
    <row r="9715" spans="1:2" x14ac:dyDescent="0.15">
      <c r="A9715" s="15"/>
      <c r="B9715" s="15"/>
    </row>
    <row r="9716" spans="1:2" x14ac:dyDescent="0.15">
      <c r="A9716" s="15"/>
      <c r="B9716" s="15"/>
    </row>
    <row r="9717" spans="1:2" x14ac:dyDescent="0.15">
      <c r="A9717" s="15"/>
      <c r="B9717" s="15"/>
    </row>
    <row r="9718" spans="1:2" x14ac:dyDescent="0.15">
      <c r="A9718" s="15"/>
      <c r="B9718" s="15"/>
    </row>
    <row r="9719" spans="1:2" x14ac:dyDescent="0.15">
      <c r="A9719" s="15"/>
      <c r="B9719" s="15"/>
    </row>
    <row r="9720" spans="1:2" x14ac:dyDescent="0.15">
      <c r="A9720" s="15"/>
      <c r="B9720" s="15"/>
    </row>
    <row r="9721" spans="1:2" x14ac:dyDescent="0.15">
      <c r="A9721" s="15"/>
      <c r="B9721" s="15"/>
    </row>
    <row r="9722" spans="1:2" x14ac:dyDescent="0.15">
      <c r="A9722" s="15"/>
      <c r="B9722" s="15"/>
    </row>
    <row r="9723" spans="1:2" x14ac:dyDescent="0.15">
      <c r="A9723" s="15"/>
      <c r="B9723" s="15"/>
    </row>
    <row r="9724" spans="1:2" x14ac:dyDescent="0.15">
      <c r="A9724" s="15"/>
      <c r="B9724" s="15"/>
    </row>
    <row r="9725" spans="1:2" x14ac:dyDescent="0.15">
      <c r="A9725" s="15"/>
      <c r="B9725" s="15"/>
    </row>
    <row r="9726" spans="1:2" x14ac:dyDescent="0.15">
      <c r="A9726" s="15"/>
      <c r="B9726" s="15"/>
    </row>
    <row r="9727" spans="1:2" x14ac:dyDescent="0.15">
      <c r="A9727" s="15"/>
      <c r="B9727" s="15"/>
    </row>
    <row r="9728" spans="1:2" x14ac:dyDescent="0.15">
      <c r="A9728" s="15"/>
      <c r="B9728" s="15"/>
    </row>
    <row r="9729" spans="1:2" x14ac:dyDescent="0.15">
      <c r="A9729" s="15"/>
      <c r="B9729" s="15"/>
    </row>
    <row r="9730" spans="1:2" x14ac:dyDescent="0.15">
      <c r="A9730" s="15"/>
      <c r="B9730" s="15"/>
    </row>
    <row r="9731" spans="1:2" x14ac:dyDescent="0.15">
      <c r="A9731" s="15"/>
      <c r="B9731" s="15"/>
    </row>
    <row r="9732" spans="1:2" x14ac:dyDescent="0.15">
      <c r="A9732" s="15"/>
      <c r="B9732" s="15"/>
    </row>
    <row r="9733" spans="1:2" x14ac:dyDescent="0.15">
      <c r="A9733" s="15"/>
      <c r="B9733" s="15"/>
    </row>
    <row r="9734" spans="1:2" x14ac:dyDescent="0.15">
      <c r="A9734" s="15"/>
      <c r="B9734" s="15"/>
    </row>
    <row r="9735" spans="1:2" x14ac:dyDescent="0.15">
      <c r="A9735" s="15"/>
      <c r="B9735" s="15"/>
    </row>
    <row r="9736" spans="1:2" x14ac:dyDescent="0.15">
      <c r="A9736" s="15"/>
      <c r="B9736" s="15"/>
    </row>
    <row r="9737" spans="1:2" x14ac:dyDescent="0.15">
      <c r="A9737" s="15"/>
      <c r="B9737" s="15"/>
    </row>
    <row r="9738" spans="1:2" x14ac:dyDescent="0.15">
      <c r="A9738" s="15"/>
      <c r="B9738" s="15"/>
    </row>
    <row r="9739" spans="1:2" x14ac:dyDescent="0.15">
      <c r="A9739" s="15"/>
      <c r="B9739" s="15"/>
    </row>
    <row r="9740" spans="1:2" x14ac:dyDescent="0.15">
      <c r="A9740" s="15"/>
      <c r="B9740" s="15"/>
    </row>
    <row r="9741" spans="1:2" x14ac:dyDescent="0.15">
      <c r="A9741" s="15"/>
      <c r="B9741" s="15"/>
    </row>
    <row r="9742" spans="1:2" x14ac:dyDescent="0.15">
      <c r="A9742" s="15"/>
      <c r="B9742" s="15"/>
    </row>
    <row r="9743" spans="1:2" x14ac:dyDescent="0.15">
      <c r="A9743" s="15"/>
      <c r="B9743" s="15"/>
    </row>
    <row r="9744" spans="1:2" x14ac:dyDescent="0.15">
      <c r="A9744" s="15"/>
      <c r="B9744" s="15"/>
    </row>
    <row r="9745" spans="1:2" x14ac:dyDescent="0.15">
      <c r="A9745" s="15"/>
      <c r="B9745" s="15"/>
    </row>
    <row r="9746" spans="1:2" x14ac:dyDescent="0.15">
      <c r="A9746" s="15"/>
      <c r="B9746" s="15"/>
    </row>
    <row r="9747" spans="1:2" x14ac:dyDescent="0.15">
      <c r="A9747" s="15"/>
      <c r="B9747" s="15"/>
    </row>
    <row r="9748" spans="1:2" x14ac:dyDescent="0.15">
      <c r="A9748" s="15"/>
      <c r="B9748" s="15"/>
    </row>
    <row r="9749" spans="1:2" x14ac:dyDescent="0.15">
      <c r="A9749" s="15"/>
      <c r="B9749" s="15"/>
    </row>
    <row r="9750" spans="1:2" x14ac:dyDescent="0.15">
      <c r="A9750" s="15"/>
      <c r="B9750" s="15"/>
    </row>
    <row r="9751" spans="1:2" x14ac:dyDescent="0.15">
      <c r="A9751" s="15"/>
      <c r="B9751" s="15"/>
    </row>
    <row r="9752" spans="1:2" x14ac:dyDescent="0.15">
      <c r="A9752" s="15"/>
      <c r="B9752" s="15"/>
    </row>
    <row r="9753" spans="1:2" x14ac:dyDescent="0.15">
      <c r="A9753" s="15"/>
      <c r="B9753" s="15"/>
    </row>
    <row r="9754" spans="1:2" x14ac:dyDescent="0.15">
      <c r="A9754" s="15"/>
      <c r="B9754" s="15"/>
    </row>
    <row r="9755" spans="1:2" x14ac:dyDescent="0.15">
      <c r="A9755" s="15"/>
      <c r="B9755" s="15"/>
    </row>
    <row r="9756" spans="1:2" x14ac:dyDescent="0.15">
      <c r="A9756" s="15"/>
      <c r="B9756" s="15"/>
    </row>
    <row r="9757" spans="1:2" x14ac:dyDescent="0.15">
      <c r="A9757" s="15"/>
      <c r="B9757" s="15"/>
    </row>
    <row r="9758" spans="1:2" x14ac:dyDescent="0.15">
      <c r="A9758" s="15"/>
      <c r="B9758" s="15"/>
    </row>
    <row r="9759" spans="1:2" x14ac:dyDescent="0.15">
      <c r="A9759" s="15"/>
      <c r="B9759" s="15"/>
    </row>
    <row r="9760" spans="1:2" x14ac:dyDescent="0.15">
      <c r="A9760" s="15"/>
      <c r="B9760" s="15"/>
    </row>
    <row r="9761" spans="1:2" x14ac:dyDescent="0.15">
      <c r="A9761" s="15"/>
      <c r="B9761" s="15"/>
    </row>
    <row r="9762" spans="1:2" x14ac:dyDescent="0.15">
      <c r="A9762" s="15"/>
      <c r="B9762" s="15"/>
    </row>
    <row r="9763" spans="1:2" x14ac:dyDescent="0.15">
      <c r="A9763" s="15"/>
      <c r="B9763" s="15"/>
    </row>
    <row r="9764" spans="1:2" x14ac:dyDescent="0.15">
      <c r="A9764" s="15"/>
      <c r="B9764" s="15"/>
    </row>
    <row r="9765" spans="1:2" x14ac:dyDescent="0.15">
      <c r="A9765" s="15"/>
      <c r="B9765" s="15"/>
    </row>
    <row r="9766" spans="1:2" x14ac:dyDescent="0.15">
      <c r="A9766" s="15"/>
      <c r="B9766" s="15"/>
    </row>
    <row r="9767" spans="1:2" x14ac:dyDescent="0.15">
      <c r="A9767" s="15"/>
      <c r="B9767" s="15"/>
    </row>
    <row r="9768" spans="1:2" x14ac:dyDescent="0.15">
      <c r="A9768" s="15"/>
      <c r="B9768" s="15"/>
    </row>
    <row r="9769" spans="1:2" x14ac:dyDescent="0.15">
      <c r="A9769" s="15"/>
      <c r="B9769" s="15"/>
    </row>
    <row r="9770" spans="1:2" x14ac:dyDescent="0.15">
      <c r="A9770" s="15"/>
      <c r="B9770" s="15"/>
    </row>
    <row r="9771" spans="1:2" x14ac:dyDescent="0.15">
      <c r="A9771" s="15"/>
      <c r="B9771" s="15"/>
    </row>
    <row r="9772" spans="1:2" x14ac:dyDescent="0.15">
      <c r="A9772" s="15"/>
      <c r="B9772" s="15"/>
    </row>
    <row r="9773" spans="1:2" x14ac:dyDescent="0.15">
      <c r="A9773" s="15"/>
      <c r="B9773" s="15"/>
    </row>
    <row r="9774" spans="1:2" x14ac:dyDescent="0.15">
      <c r="A9774" s="15"/>
      <c r="B9774" s="15"/>
    </row>
    <row r="9775" spans="1:2" x14ac:dyDescent="0.15">
      <c r="A9775" s="15"/>
      <c r="B9775" s="15"/>
    </row>
    <row r="9776" spans="1:2" x14ac:dyDescent="0.15">
      <c r="A9776" s="15"/>
      <c r="B9776" s="15"/>
    </row>
    <row r="9777" spans="1:2" x14ac:dyDescent="0.15">
      <c r="A9777" s="15"/>
      <c r="B9777" s="15"/>
    </row>
    <row r="9778" spans="1:2" x14ac:dyDescent="0.15">
      <c r="A9778" s="15"/>
      <c r="B9778" s="15"/>
    </row>
    <row r="9779" spans="1:2" x14ac:dyDescent="0.15">
      <c r="A9779" s="15"/>
      <c r="B9779" s="15"/>
    </row>
    <row r="9780" spans="1:2" x14ac:dyDescent="0.15">
      <c r="A9780" s="15"/>
      <c r="B9780" s="15"/>
    </row>
    <row r="9781" spans="1:2" x14ac:dyDescent="0.15">
      <c r="A9781" s="15"/>
      <c r="B9781" s="15"/>
    </row>
    <row r="9782" spans="1:2" x14ac:dyDescent="0.15">
      <c r="A9782" s="15"/>
      <c r="B9782" s="15"/>
    </row>
    <row r="9783" spans="1:2" x14ac:dyDescent="0.15">
      <c r="A9783" s="15"/>
      <c r="B9783" s="15"/>
    </row>
    <row r="9784" spans="1:2" x14ac:dyDescent="0.15">
      <c r="A9784" s="15"/>
      <c r="B9784" s="15"/>
    </row>
    <row r="9785" spans="1:2" x14ac:dyDescent="0.15">
      <c r="A9785" s="15"/>
      <c r="B9785" s="15"/>
    </row>
    <row r="9786" spans="1:2" x14ac:dyDescent="0.15">
      <c r="A9786" s="15"/>
      <c r="B9786" s="15"/>
    </row>
    <row r="9787" spans="1:2" x14ac:dyDescent="0.15">
      <c r="A9787" s="15"/>
      <c r="B9787" s="15"/>
    </row>
    <row r="9788" spans="1:2" x14ac:dyDescent="0.15">
      <c r="A9788" s="15"/>
      <c r="B9788" s="15"/>
    </row>
    <row r="9789" spans="1:2" x14ac:dyDescent="0.15">
      <c r="A9789" s="15"/>
      <c r="B9789" s="15"/>
    </row>
    <row r="9790" spans="1:2" x14ac:dyDescent="0.15">
      <c r="A9790" s="15"/>
      <c r="B9790" s="15"/>
    </row>
    <row r="9791" spans="1:2" x14ac:dyDescent="0.15">
      <c r="A9791" s="15"/>
      <c r="B9791" s="15"/>
    </row>
    <row r="9792" spans="1:2" x14ac:dyDescent="0.15">
      <c r="A9792" s="15"/>
      <c r="B9792" s="15"/>
    </row>
    <row r="9793" spans="1:2" x14ac:dyDescent="0.15">
      <c r="A9793" s="15"/>
      <c r="B9793" s="15"/>
    </row>
    <row r="9794" spans="1:2" x14ac:dyDescent="0.15">
      <c r="A9794" s="15"/>
      <c r="B9794" s="15"/>
    </row>
    <row r="9795" spans="1:2" x14ac:dyDescent="0.15">
      <c r="A9795" s="15"/>
      <c r="B9795" s="15"/>
    </row>
    <row r="9796" spans="1:2" x14ac:dyDescent="0.15">
      <c r="A9796" s="15"/>
      <c r="B9796" s="15"/>
    </row>
    <row r="9797" spans="1:2" x14ac:dyDescent="0.15">
      <c r="A9797" s="15"/>
      <c r="B9797" s="15"/>
    </row>
    <row r="9798" spans="1:2" x14ac:dyDescent="0.15">
      <c r="A9798" s="15"/>
      <c r="B9798" s="15"/>
    </row>
    <row r="9799" spans="1:2" x14ac:dyDescent="0.15">
      <c r="A9799" s="15"/>
      <c r="B9799" s="15"/>
    </row>
    <row r="9800" spans="1:2" x14ac:dyDescent="0.15">
      <c r="A9800" s="15"/>
      <c r="B9800" s="15"/>
    </row>
    <row r="9801" spans="1:2" x14ac:dyDescent="0.15">
      <c r="A9801" s="15"/>
      <c r="B9801" s="15"/>
    </row>
    <row r="9802" spans="1:2" x14ac:dyDescent="0.15">
      <c r="A9802" s="15"/>
      <c r="B9802" s="15"/>
    </row>
    <row r="9803" spans="1:2" x14ac:dyDescent="0.15">
      <c r="A9803" s="15"/>
      <c r="B9803" s="15"/>
    </row>
    <row r="9804" spans="1:2" x14ac:dyDescent="0.15">
      <c r="A9804" s="15"/>
      <c r="B9804" s="15"/>
    </row>
    <row r="9805" spans="1:2" x14ac:dyDescent="0.15">
      <c r="A9805" s="15"/>
      <c r="B9805" s="15"/>
    </row>
    <row r="9806" spans="1:2" x14ac:dyDescent="0.15">
      <c r="A9806" s="15"/>
      <c r="B9806" s="15"/>
    </row>
    <row r="9807" spans="1:2" x14ac:dyDescent="0.15">
      <c r="A9807" s="15"/>
      <c r="B9807" s="15"/>
    </row>
    <row r="9808" spans="1:2" x14ac:dyDescent="0.15">
      <c r="A9808" s="15"/>
      <c r="B9808" s="15"/>
    </row>
    <row r="9809" spans="1:2" x14ac:dyDescent="0.15">
      <c r="A9809" s="15"/>
      <c r="B9809" s="15"/>
    </row>
    <row r="9810" spans="1:2" x14ac:dyDescent="0.15">
      <c r="A9810" s="15"/>
      <c r="B9810" s="15"/>
    </row>
    <row r="9811" spans="1:2" x14ac:dyDescent="0.15">
      <c r="A9811" s="15"/>
      <c r="B9811" s="15"/>
    </row>
    <row r="9812" spans="1:2" x14ac:dyDescent="0.15">
      <c r="A9812" s="15"/>
      <c r="B9812" s="15"/>
    </row>
    <row r="9813" spans="1:2" x14ac:dyDescent="0.15">
      <c r="A9813" s="15"/>
      <c r="B9813" s="15"/>
    </row>
    <row r="9814" spans="1:2" x14ac:dyDescent="0.15">
      <c r="A9814" s="15"/>
      <c r="B9814" s="15"/>
    </row>
    <row r="9815" spans="1:2" x14ac:dyDescent="0.15">
      <c r="A9815" s="15"/>
      <c r="B9815" s="15"/>
    </row>
    <row r="9816" spans="1:2" x14ac:dyDescent="0.15">
      <c r="A9816" s="15"/>
      <c r="B9816" s="15"/>
    </row>
    <row r="9817" spans="1:2" x14ac:dyDescent="0.15">
      <c r="A9817" s="15"/>
      <c r="B9817" s="15"/>
    </row>
    <row r="9818" spans="1:2" x14ac:dyDescent="0.15">
      <c r="A9818" s="15"/>
      <c r="B9818" s="15"/>
    </row>
    <row r="9819" spans="1:2" x14ac:dyDescent="0.15">
      <c r="A9819" s="15"/>
      <c r="B9819" s="15"/>
    </row>
    <row r="9820" spans="1:2" x14ac:dyDescent="0.15">
      <c r="A9820" s="15"/>
      <c r="B9820" s="15"/>
    </row>
    <row r="9821" spans="1:2" x14ac:dyDescent="0.15">
      <c r="A9821" s="15"/>
      <c r="B9821" s="15"/>
    </row>
    <row r="9822" spans="1:2" x14ac:dyDescent="0.15">
      <c r="A9822" s="15"/>
      <c r="B9822" s="15"/>
    </row>
    <row r="9823" spans="1:2" x14ac:dyDescent="0.15">
      <c r="A9823" s="15"/>
      <c r="B9823" s="15"/>
    </row>
    <row r="9824" spans="1:2" x14ac:dyDescent="0.15">
      <c r="A9824" s="15"/>
      <c r="B9824" s="15"/>
    </row>
    <row r="9825" spans="1:2" x14ac:dyDescent="0.15">
      <c r="A9825" s="15"/>
      <c r="B9825" s="15"/>
    </row>
    <row r="9826" spans="1:2" x14ac:dyDescent="0.15">
      <c r="A9826" s="15"/>
      <c r="B9826" s="15"/>
    </row>
    <row r="9827" spans="1:2" x14ac:dyDescent="0.15">
      <c r="A9827" s="15"/>
      <c r="B9827" s="15"/>
    </row>
    <row r="9828" spans="1:2" x14ac:dyDescent="0.15">
      <c r="A9828" s="15"/>
      <c r="B9828" s="15"/>
    </row>
    <row r="9829" spans="1:2" x14ac:dyDescent="0.15">
      <c r="A9829" s="15"/>
      <c r="B9829" s="15"/>
    </row>
    <row r="9830" spans="1:2" x14ac:dyDescent="0.15">
      <c r="A9830" s="15"/>
      <c r="B9830" s="15"/>
    </row>
    <row r="9831" spans="1:2" x14ac:dyDescent="0.15">
      <c r="A9831" s="15"/>
      <c r="B9831" s="15"/>
    </row>
    <row r="9832" spans="1:2" x14ac:dyDescent="0.15">
      <c r="A9832" s="15"/>
      <c r="B9832" s="15"/>
    </row>
    <row r="9833" spans="1:2" x14ac:dyDescent="0.15">
      <c r="A9833" s="15"/>
      <c r="B9833" s="15"/>
    </row>
    <row r="9834" spans="1:2" x14ac:dyDescent="0.15">
      <c r="A9834" s="15"/>
      <c r="B9834" s="15"/>
    </row>
    <row r="9835" spans="1:2" x14ac:dyDescent="0.15">
      <c r="A9835" s="15"/>
      <c r="B9835" s="15"/>
    </row>
    <row r="9836" spans="1:2" x14ac:dyDescent="0.15">
      <c r="A9836" s="15"/>
      <c r="B9836" s="15"/>
    </row>
    <row r="9837" spans="1:2" x14ac:dyDescent="0.15">
      <c r="A9837" s="15"/>
      <c r="B9837" s="15"/>
    </row>
    <row r="9838" spans="1:2" x14ac:dyDescent="0.15">
      <c r="A9838" s="15"/>
      <c r="B9838" s="15"/>
    </row>
    <row r="9839" spans="1:2" x14ac:dyDescent="0.15">
      <c r="A9839" s="15"/>
      <c r="B9839" s="15"/>
    </row>
    <row r="9840" spans="1:2" x14ac:dyDescent="0.15">
      <c r="A9840" s="15"/>
      <c r="B9840" s="15"/>
    </row>
    <row r="9841" spans="1:2" x14ac:dyDescent="0.15">
      <c r="A9841" s="15"/>
      <c r="B9841" s="15"/>
    </row>
    <row r="9842" spans="1:2" x14ac:dyDescent="0.15">
      <c r="A9842" s="15"/>
      <c r="B9842" s="15"/>
    </row>
    <row r="9843" spans="1:2" x14ac:dyDescent="0.15">
      <c r="A9843" s="15"/>
      <c r="B9843" s="15"/>
    </row>
    <row r="9844" spans="1:2" x14ac:dyDescent="0.15">
      <c r="A9844" s="15"/>
      <c r="B9844" s="15"/>
    </row>
    <row r="9845" spans="1:2" x14ac:dyDescent="0.15">
      <c r="A9845" s="15"/>
      <c r="B9845" s="15"/>
    </row>
    <row r="9846" spans="1:2" x14ac:dyDescent="0.15">
      <c r="A9846" s="15"/>
      <c r="B9846" s="15"/>
    </row>
    <row r="9847" spans="1:2" x14ac:dyDescent="0.15">
      <c r="A9847" s="15"/>
      <c r="B9847" s="15"/>
    </row>
    <row r="9848" spans="1:2" x14ac:dyDescent="0.15">
      <c r="A9848" s="15"/>
      <c r="B9848" s="15"/>
    </row>
    <row r="9849" spans="1:2" x14ac:dyDescent="0.15">
      <c r="A9849" s="15"/>
      <c r="B9849" s="15"/>
    </row>
    <row r="9850" spans="1:2" x14ac:dyDescent="0.15">
      <c r="A9850" s="15"/>
      <c r="B9850" s="15"/>
    </row>
    <row r="9851" spans="1:2" x14ac:dyDescent="0.15">
      <c r="A9851" s="15"/>
      <c r="B9851" s="15"/>
    </row>
    <row r="9852" spans="1:2" x14ac:dyDescent="0.15">
      <c r="A9852" s="15"/>
      <c r="B9852" s="15"/>
    </row>
    <row r="9853" spans="1:2" x14ac:dyDescent="0.15">
      <c r="A9853" s="15"/>
      <c r="B9853" s="15"/>
    </row>
    <row r="9854" spans="1:2" x14ac:dyDescent="0.15">
      <c r="A9854" s="15"/>
      <c r="B9854" s="15"/>
    </row>
    <row r="9855" spans="1:2" x14ac:dyDescent="0.15">
      <c r="A9855" s="15"/>
      <c r="B9855" s="15"/>
    </row>
    <row r="9856" spans="1:2" x14ac:dyDescent="0.15">
      <c r="A9856" s="15"/>
      <c r="B9856" s="15"/>
    </row>
    <row r="9857" spans="1:2" x14ac:dyDescent="0.15">
      <c r="A9857" s="15"/>
      <c r="B9857" s="15"/>
    </row>
    <row r="9858" spans="1:2" x14ac:dyDescent="0.15">
      <c r="A9858" s="15"/>
      <c r="B9858" s="15"/>
    </row>
    <row r="9859" spans="1:2" x14ac:dyDescent="0.15">
      <c r="A9859" s="15"/>
      <c r="B9859" s="15"/>
    </row>
    <row r="9860" spans="1:2" x14ac:dyDescent="0.15">
      <c r="A9860" s="15"/>
      <c r="B9860" s="15"/>
    </row>
    <row r="9861" spans="1:2" x14ac:dyDescent="0.15">
      <c r="A9861" s="15"/>
      <c r="B9861" s="15"/>
    </row>
    <row r="9862" spans="1:2" x14ac:dyDescent="0.15">
      <c r="A9862" s="15"/>
      <c r="B9862" s="15"/>
    </row>
    <row r="9863" spans="1:2" x14ac:dyDescent="0.15">
      <c r="A9863" s="15"/>
      <c r="B9863" s="15"/>
    </row>
    <row r="9864" spans="1:2" x14ac:dyDescent="0.15">
      <c r="A9864" s="15"/>
      <c r="B9864" s="15"/>
    </row>
    <row r="9865" spans="1:2" x14ac:dyDescent="0.15">
      <c r="A9865" s="15"/>
      <c r="B9865" s="15"/>
    </row>
    <row r="9866" spans="1:2" x14ac:dyDescent="0.15">
      <c r="A9866" s="15"/>
      <c r="B9866" s="15"/>
    </row>
    <row r="9867" spans="1:2" x14ac:dyDescent="0.15">
      <c r="A9867" s="15"/>
      <c r="B9867" s="15"/>
    </row>
    <row r="9868" spans="1:2" x14ac:dyDescent="0.15">
      <c r="A9868" s="15"/>
      <c r="B9868" s="15"/>
    </row>
    <row r="9869" spans="1:2" x14ac:dyDescent="0.15">
      <c r="A9869" s="15"/>
      <c r="B9869" s="15"/>
    </row>
    <row r="9870" spans="1:2" x14ac:dyDescent="0.15">
      <c r="A9870" s="15"/>
      <c r="B9870" s="15"/>
    </row>
    <row r="9871" spans="1:2" x14ac:dyDescent="0.15">
      <c r="A9871" s="15"/>
      <c r="B9871" s="15"/>
    </row>
    <row r="9872" spans="1:2" x14ac:dyDescent="0.15">
      <c r="A9872" s="15"/>
      <c r="B9872" s="15"/>
    </row>
    <row r="9873" spans="1:2" x14ac:dyDescent="0.15">
      <c r="A9873" s="15"/>
      <c r="B9873" s="15"/>
    </row>
    <row r="9874" spans="1:2" x14ac:dyDescent="0.15">
      <c r="A9874" s="15"/>
      <c r="B9874" s="15"/>
    </row>
    <row r="9875" spans="1:2" x14ac:dyDescent="0.15">
      <c r="A9875" s="15"/>
      <c r="B9875" s="15"/>
    </row>
    <row r="9876" spans="1:2" x14ac:dyDescent="0.15">
      <c r="A9876" s="15"/>
      <c r="B9876" s="15"/>
    </row>
    <row r="9877" spans="1:2" x14ac:dyDescent="0.15">
      <c r="A9877" s="15"/>
      <c r="B9877" s="15"/>
    </row>
    <row r="9878" spans="1:2" x14ac:dyDescent="0.15">
      <c r="A9878" s="15"/>
      <c r="B9878" s="15"/>
    </row>
    <row r="9879" spans="1:2" x14ac:dyDescent="0.15">
      <c r="A9879" s="15"/>
      <c r="B9879" s="15"/>
    </row>
    <row r="9880" spans="1:2" x14ac:dyDescent="0.15">
      <c r="A9880" s="15"/>
      <c r="B9880" s="15"/>
    </row>
    <row r="9881" spans="1:2" x14ac:dyDescent="0.15">
      <c r="A9881" s="15"/>
      <c r="B9881" s="15"/>
    </row>
    <row r="9882" spans="1:2" x14ac:dyDescent="0.15">
      <c r="A9882" s="15"/>
      <c r="B9882" s="15"/>
    </row>
    <row r="9883" spans="1:2" x14ac:dyDescent="0.15">
      <c r="A9883" s="15"/>
      <c r="B9883" s="15"/>
    </row>
    <row r="9884" spans="1:2" x14ac:dyDescent="0.15">
      <c r="A9884" s="15"/>
      <c r="B9884" s="15"/>
    </row>
    <row r="9885" spans="1:2" x14ac:dyDescent="0.15">
      <c r="A9885" s="15"/>
      <c r="B9885" s="15"/>
    </row>
    <row r="9886" spans="1:2" x14ac:dyDescent="0.15">
      <c r="A9886" s="15"/>
      <c r="B9886" s="15"/>
    </row>
    <row r="9887" spans="1:2" x14ac:dyDescent="0.15">
      <c r="A9887" s="15"/>
      <c r="B9887" s="15"/>
    </row>
    <row r="9888" spans="1:2" x14ac:dyDescent="0.15">
      <c r="A9888" s="15"/>
      <c r="B9888" s="15"/>
    </row>
    <row r="9889" spans="1:2" x14ac:dyDescent="0.15">
      <c r="A9889" s="15"/>
      <c r="B9889" s="15"/>
    </row>
    <row r="9890" spans="1:2" x14ac:dyDescent="0.15">
      <c r="A9890" s="15"/>
      <c r="B9890" s="15"/>
    </row>
    <row r="9891" spans="1:2" x14ac:dyDescent="0.15">
      <c r="A9891" s="15"/>
      <c r="B9891" s="15"/>
    </row>
    <row r="9892" spans="1:2" x14ac:dyDescent="0.15">
      <c r="A9892" s="15"/>
      <c r="B9892" s="15"/>
    </row>
    <row r="9893" spans="1:2" x14ac:dyDescent="0.15">
      <c r="A9893" s="15"/>
      <c r="B9893" s="15"/>
    </row>
    <row r="9894" spans="1:2" x14ac:dyDescent="0.15">
      <c r="A9894" s="15"/>
      <c r="B9894" s="15"/>
    </row>
    <row r="9895" spans="1:2" x14ac:dyDescent="0.15">
      <c r="A9895" s="15"/>
      <c r="B9895" s="15"/>
    </row>
    <row r="9896" spans="1:2" x14ac:dyDescent="0.15">
      <c r="A9896" s="15"/>
      <c r="B9896" s="15"/>
    </row>
    <row r="9897" spans="1:2" x14ac:dyDescent="0.15">
      <c r="A9897" s="15"/>
      <c r="B9897" s="15"/>
    </row>
    <row r="9898" spans="1:2" x14ac:dyDescent="0.15">
      <c r="A9898" s="15"/>
      <c r="B9898" s="15"/>
    </row>
    <row r="9899" spans="1:2" x14ac:dyDescent="0.15">
      <c r="A9899" s="15"/>
      <c r="B9899" s="15"/>
    </row>
    <row r="9900" spans="1:2" x14ac:dyDescent="0.15">
      <c r="A9900" s="15"/>
      <c r="B9900" s="15"/>
    </row>
    <row r="9901" spans="1:2" x14ac:dyDescent="0.15">
      <c r="A9901" s="15"/>
      <c r="B9901" s="15"/>
    </row>
    <row r="9902" spans="1:2" x14ac:dyDescent="0.15">
      <c r="A9902" s="15"/>
      <c r="B9902" s="15"/>
    </row>
    <row r="9903" spans="1:2" x14ac:dyDescent="0.15">
      <c r="A9903" s="15"/>
      <c r="B9903" s="15"/>
    </row>
    <row r="9904" spans="1:2" x14ac:dyDescent="0.15">
      <c r="A9904" s="15"/>
      <c r="B9904" s="15"/>
    </row>
    <row r="9905" spans="1:2" x14ac:dyDescent="0.15">
      <c r="A9905" s="15"/>
      <c r="B9905" s="15"/>
    </row>
    <row r="9906" spans="1:2" x14ac:dyDescent="0.15">
      <c r="A9906" s="15"/>
      <c r="B9906" s="15"/>
    </row>
    <row r="9907" spans="1:2" x14ac:dyDescent="0.15">
      <c r="A9907" s="15"/>
      <c r="B9907" s="15"/>
    </row>
    <row r="9908" spans="1:2" x14ac:dyDescent="0.15">
      <c r="A9908" s="15"/>
      <c r="B9908" s="15"/>
    </row>
    <row r="9909" spans="1:2" x14ac:dyDescent="0.15">
      <c r="A9909" s="15"/>
      <c r="B9909" s="15"/>
    </row>
    <row r="9910" spans="1:2" x14ac:dyDescent="0.15">
      <c r="A9910" s="15"/>
      <c r="B9910" s="15"/>
    </row>
    <row r="9911" spans="1:2" x14ac:dyDescent="0.15">
      <c r="A9911" s="15"/>
      <c r="B9911" s="15"/>
    </row>
    <row r="9912" spans="1:2" x14ac:dyDescent="0.15">
      <c r="A9912" s="15"/>
      <c r="B9912" s="15"/>
    </row>
    <row r="9913" spans="1:2" x14ac:dyDescent="0.15">
      <c r="A9913" s="15"/>
      <c r="B9913" s="15"/>
    </row>
    <row r="9914" spans="1:2" x14ac:dyDescent="0.15">
      <c r="A9914" s="15"/>
      <c r="B9914" s="15"/>
    </row>
    <row r="9915" spans="1:2" x14ac:dyDescent="0.15">
      <c r="A9915" s="15"/>
      <c r="B9915" s="15"/>
    </row>
    <row r="9916" spans="1:2" x14ac:dyDescent="0.15">
      <c r="A9916" s="15"/>
      <c r="B9916" s="15"/>
    </row>
    <row r="9917" spans="1:2" x14ac:dyDescent="0.15">
      <c r="A9917" s="15"/>
      <c r="B9917" s="15"/>
    </row>
    <row r="9918" spans="1:2" x14ac:dyDescent="0.15">
      <c r="A9918" s="15"/>
      <c r="B9918" s="15"/>
    </row>
    <row r="9919" spans="1:2" x14ac:dyDescent="0.15">
      <c r="A9919" s="15"/>
      <c r="B9919" s="15"/>
    </row>
    <row r="9920" spans="1:2" x14ac:dyDescent="0.15">
      <c r="A9920" s="15"/>
      <c r="B9920" s="15"/>
    </row>
    <row r="9921" spans="1:2" x14ac:dyDescent="0.15">
      <c r="A9921" s="15"/>
      <c r="B9921" s="15"/>
    </row>
    <row r="9922" spans="1:2" x14ac:dyDescent="0.15">
      <c r="A9922" s="15"/>
      <c r="B9922" s="15"/>
    </row>
    <row r="9923" spans="1:2" x14ac:dyDescent="0.15">
      <c r="A9923" s="15"/>
      <c r="B9923" s="15"/>
    </row>
    <row r="9924" spans="1:2" x14ac:dyDescent="0.15">
      <c r="A9924" s="15"/>
      <c r="B9924" s="15"/>
    </row>
    <row r="9925" spans="1:2" x14ac:dyDescent="0.15">
      <c r="A9925" s="15"/>
      <c r="B9925" s="15"/>
    </row>
    <row r="9926" spans="1:2" x14ac:dyDescent="0.15">
      <c r="A9926" s="15"/>
      <c r="B9926" s="15"/>
    </row>
    <row r="9927" spans="1:2" x14ac:dyDescent="0.15">
      <c r="A9927" s="15"/>
      <c r="B9927" s="15"/>
    </row>
    <row r="9928" spans="1:2" x14ac:dyDescent="0.15">
      <c r="A9928" s="15"/>
      <c r="B9928" s="15"/>
    </row>
    <row r="9929" spans="1:2" x14ac:dyDescent="0.15">
      <c r="A9929" s="15"/>
      <c r="B9929" s="15"/>
    </row>
    <row r="9930" spans="1:2" x14ac:dyDescent="0.15">
      <c r="A9930" s="15"/>
      <c r="B9930" s="15"/>
    </row>
    <row r="9931" spans="1:2" x14ac:dyDescent="0.15">
      <c r="A9931" s="15"/>
      <c r="B9931" s="15"/>
    </row>
    <row r="9932" spans="1:2" x14ac:dyDescent="0.15">
      <c r="A9932" s="15"/>
      <c r="B9932" s="15"/>
    </row>
    <row r="9933" spans="1:2" x14ac:dyDescent="0.15">
      <c r="A9933" s="15"/>
      <c r="B9933" s="15"/>
    </row>
    <row r="9934" spans="1:2" x14ac:dyDescent="0.15">
      <c r="A9934" s="15"/>
      <c r="B9934" s="15"/>
    </row>
    <row r="9935" spans="1:2" x14ac:dyDescent="0.15">
      <c r="A9935" s="15"/>
      <c r="B9935" s="15"/>
    </row>
    <row r="9936" spans="1:2" x14ac:dyDescent="0.15">
      <c r="A9936" s="15"/>
      <c r="B9936" s="15"/>
    </row>
    <row r="9937" spans="1:2" x14ac:dyDescent="0.15">
      <c r="A9937" s="15"/>
      <c r="B9937" s="15"/>
    </row>
    <row r="9938" spans="1:2" x14ac:dyDescent="0.15">
      <c r="A9938" s="15"/>
      <c r="B9938" s="15"/>
    </row>
    <row r="9939" spans="1:2" x14ac:dyDescent="0.15">
      <c r="A9939" s="15"/>
      <c r="B9939" s="15"/>
    </row>
    <row r="9940" spans="1:2" x14ac:dyDescent="0.15">
      <c r="A9940" s="15"/>
      <c r="B9940" s="15"/>
    </row>
    <row r="9941" spans="1:2" x14ac:dyDescent="0.15">
      <c r="A9941" s="15"/>
      <c r="B9941" s="15"/>
    </row>
    <row r="9942" spans="1:2" x14ac:dyDescent="0.15">
      <c r="A9942" s="15"/>
      <c r="B9942" s="15"/>
    </row>
    <row r="9943" spans="1:2" x14ac:dyDescent="0.15">
      <c r="A9943" s="15"/>
      <c r="B9943" s="15"/>
    </row>
    <row r="9944" spans="1:2" x14ac:dyDescent="0.15">
      <c r="A9944" s="15"/>
      <c r="B9944" s="15"/>
    </row>
    <row r="9945" spans="1:2" x14ac:dyDescent="0.15">
      <c r="A9945" s="15"/>
      <c r="B9945" s="15"/>
    </row>
    <row r="9946" spans="1:2" x14ac:dyDescent="0.15">
      <c r="A9946" s="15"/>
      <c r="B9946" s="15"/>
    </row>
    <row r="9947" spans="1:2" x14ac:dyDescent="0.15">
      <c r="A9947" s="15"/>
      <c r="B9947" s="15"/>
    </row>
    <row r="9948" spans="1:2" x14ac:dyDescent="0.15">
      <c r="A9948" s="15"/>
      <c r="B9948" s="15"/>
    </row>
    <row r="9949" spans="1:2" x14ac:dyDescent="0.15">
      <c r="A9949" s="15"/>
      <c r="B9949" s="15"/>
    </row>
    <row r="9950" spans="1:2" x14ac:dyDescent="0.15">
      <c r="A9950" s="15"/>
      <c r="B9950" s="15"/>
    </row>
    <row r="9951" spans="1:2" x14ac:dyDescent="0.15">
      <c r="A9951" s="15"/>
      <c r="B9951" s="15"/>
    </row>
    <row r="9952" spans="1:2" x14ac:dyDescent="0.15">
      <c r="A9952" s="15"/>
      <c r="B9952" s="15"/>
    </row>
    <row r="9953" spans="1:2" x14ac:dyDescent="0.15">
      <c r="A9953" s="15"/>
      <c r="B9953" s="15"/>
    </row>
    <row r="9954" spans="1:2" x14ac:dyDescent="0.15">
      <c r="A9954" s="15"/>
      <c r="B9954" s="15"/>
    </row>
    <row r="9955" spans="1:2" x14ac:dyDescent="0.15">
      <c r="A9955" s="15"/>
      <c r="B9955" s="15"/>
    </row>
    <row r="9956" spans="1:2" x14ac:dyDescent="0.15">
      <c r="A9956" s="15"/>
      <c r="B9956" s="15"/>
    </row>
    <row r="9957" spans="1:2" x14ac:dyDescent="0.15">
      <c r="A9957" s="15"/>
      <c r="B9957" s="15"/>
    </row>
    <row r="9958" spans="1:2" x14ac:dyDescent="0.15">
      <c r="A9958" s="15"/>
      <c r="B9958" s="15"/>
    </row>
    <row r="9959" spans="1:2" x14ac:dyDescent="0.15">
      <c r="A9959" s="15"/>
      <c r="B9959" s="15"/>
    </row>
    <row r="9960" spans="1:2" x14ac:dyDescent="0.15">
      <c r="A9960" s="15"/>
      <c r="B9960" s="15"/>
    </row>
    <row r="9961" spans="1:2" x14ac:dyDescent="0.15">
      <c r="A9961" s="15"/>
      <c r="B9961" s="15"/>
    </row>
    <row r="9962" spans="1:2" x14ac:dyDescent="0.15">
      <c r="A9962" s="15"/>
      <c r="B9962" s="15"/>
    </row>
    <row r="9963" spans="1:2" x14ac:dyDescent="0.15">
      <c r="A9963" s="15"/>
      <c r="B9963" s="15"/>
    </row>
    <row r="9964" spans="1:2" x14ac:dyDescent="0.15">
      <c r="A9964" s="15"/>
      <c r="B9964" s="15"/>
    </row>
    <row r="9965" spans="1:2" x14ac:dyDescent="0.15">
      <c r="A9965" s="15"/>
      <c r="B9965" s="15"/>
    </row>
    <row r="9966" spans="1:2" x14ac:dyDescent="0.15">
      <c r="A9966" s="15"/>
      <c r="B9966" s="15"/>
    </row>
    <row r="9967" spans="1:2" x14ac:dyDescent="0.15">
      <c r="A9967" s="15"/>
      <c r="B9967" s="15"/>
    </row>
    <row r="9968" spans="1:2" x14ac:dyDescent="0.15">
      <c r="A9968" s="15"/>
      <c r="B9968" s="15"/>
    </row>
    <row r="9969" spans="1:2" x14ac:dyDescent="0.15">
      <c r="A9969" s="15"/>
      <c r="B9969" s="15"/>
    </row>
    <row r="9970" spans="1:2" x14ac:dyDescent="0.15">
      <c r="A9970" s="15"/>
      <c r="B9970" s="15"/>
    </row>
    <row r="9971" spans="1:2" x14ac:dyDescent="0.15">
      <c r="A9971" s="15"/>
      <c r="B9971" s="15"/>
    </row>
    <row r="9972" spans="1:2" x14ac:dyDescent="0.15">
      <c r="A9972" s="15"/>
      <c r="B9972" s="15"/>
    </row>
    <row r="9973" spans="1:2" x14ac:dyDescent="0.15">
      <c r="A9973" s="15"/>
      <c r="B9973" s="15"/>
    </row>
    <row r="9974" spans="1:2" x14ac:dyDescent="0.15">
      <c r="A9974" s="15"/>
      <c r="B9974" s="15"/>
    </row>
    <row r="9975" spans="1:2" x14ac:dyDescent="0.15">
      <c r="A9975" s="15"/>
      <c r="B9975" s="15"/>
    </row>
    <row r="9976" spans="1:2" x14ac:dyDescent="0.15">
      <c r="A9976" s="15"/>
      <c r="B9976" s="15"/>
    </row>
    <row r="9977" spans="1:2" x14ac:dyDescent="0.15">
      <c r="A9977" s="15"/>
      <c r="B9977" s="15"/>
    </row>
    <row r="9978" spans="1:2" x14ac:dyDescent="0.15">
      <c r="A9978" s="15"/>
      <c r="B9978" s="15"/>
    </row>
    <row r="9979" spans="1:2" x14ac:dyDescent="0.15">
      <c r="A9979" s="15"/>
      <c r="B9979" s="15"/>
    </row>
    <row r="9980" spans="1:2" x14ac:dyDescent="0.15">
      <c r="A9980" s="15"/>
      <c r="B9980" s="15"/>
    </row>
    <row r="9981" spans="1:2" x14ac:dyDescent="0.15">
      <c r="A9981" s="15"/>
      <c r="B9981" s="15"/>
    </row>
    <row r="9982" spans="1:2" x14ac:dyDescent="0.15">
      <c r="A9982" s="15"/>
      <c r="B9982" s="15"/>
    </row>
    <row r="9983" spans="1:2" x14ac:dyDescent="0.15">
      <c r="A9983" s="15"/>
      <c r="B9983" s="15"/>
    </row>
    <row r="9984" spans="1:2" x14ac:dyDescent="0.15">
      <c r="A9984" s="15"/>
      <c r="B9984" s="15"/>
    </row>
    <row r="9985" spans="1:2" x14ac:dyDescent="0.15">
      <c r="A9985" s="15"/>
      <c r="B9985" s="15"/>
    </row>
    <row r="9986" spans="1:2" x14ac:dyDescent="0.15">
      <c r="A9986" s="15"/>
      <c r="B9986" s="15"/>
    </row>
    <row r="9987" spans="1:2" x14ac:dyDescent="0.15">
      <c r="A9987" s="15"/>
      <c r="B9987" s="15"/>
    </row>
    <row r="9988" spans="1:2" x14ac:dyDescent="0.15">
      <c r="A9988" s="15"/>
      <c r="B9988" s="15"/>
    </row>
    <row r="9989" spans="1:2" x14ac:dyDescent="0.15">
      <c r="A9989" s="15"/>
      <c r="B9989" s="15"/>
    </row>
    <row r="9990" spans="1:2" x14ac:dyDescent="0.15">
      <c r="A9990" s="15"/>
      <c r="B9990" s="15"/>
    </row>
    <row r="9991" spans="1:2" x14ac:dyDescent="0.15">
      <c r="A9991" s="15"/>
      <c r="B9991" s="15"/>
    </row>
    <row r="9992" spans="1:2" x14ac:dyDescent="0.15">
      <c r="A9992" s="15"/>
      <c r="B9992" s="15"/>
    </row>
    <row r="9993" spans="1:2" x14ac:dyDescent="0.15">
      <c r="A9993" s="15"/>
      <c r="B9993" s="15"/>
    </row>
    <row r="9994" spans="1:2" x14ac:dyDescent="0.15">
      <c r="A9994" s="15"/>
      <c r="B9994" s="15"/>
    </row>
    <row r="9995" spans="1:2" x14ac:dyDescent="0.15">
      <c r="A9995" s="15"/>
      <c r="B9995" s="15"/>
    </row>
    <row r="9996" spans="1:2" x14ac:dyDescent="0.15">
      <c r="A9996" s="15"/>
      <c r="B9996" s="15"/>
    </row>
    <row r="9997" spans="1:2" x14ac:dyDescent="0.15">
      <c r="A9997" s="15"/>
      <c r="B9997" s="15"/>
    </row>
    <row r="9998" spans="1:2" x14ac:dyDescent="0.15">
      <c r="A9998" s="15"/>
      <c r="B9998" s="15"/>
    </row>
    <row r="9999" spans="1:2" x14ac:dyDescent="0.15">
      <c r="A9999" s="15"/>
      <c r="B9999" s="15"/>
    </row>
    <row r="10000" spans="1:2" x14ac:dyDescent="0.15">
      <c r="A10000" s="15"/>
      <c r="B10000" s="15"/>
    </row>
    <row r="10001" spans="1:2" x14ac:dyDescent="0.15">
      <c r="A10001" s="15"/>
      <c r="B10001" s="15"/>
    </row>
    <row r="10002" spans="1:2" x14ac:dyDescent="0.15">
      <c r="A10002" s="15"/>
      <c r="B10002" s="15"/>
    </row>
    <row r="10003" spans="1:2" x14ac:dyDescent="0.15">
      <c r="A10003" s="15"/>
      <c r="B10003" s="15"/>
    </row>
    <row r="10004" spans="1:2" x14ac:dyDescent="0.15">
      <c r="A10004" s="15"/>
      <c r="B10004" s="15"/>
    </row>
    <row r="10005" spans="1:2" x14ac:dyDescent="0.15">
      <c r="A10005" s="15"/>
      <c r="B10005" s="15"/>
    </row>
    <row r="10006" spans="1:2" x14ac:dyDescent="0.15">
      <c r="A10006" s="15"/>
      <c r="B10006" s="15"/>
    </row>
    <row r="10007" spans="1:2" x14ac:dyDescent="0.15">
      <c r="A10007" s="15"/>
      <c r="B10007" s="15"/>
    </row>
    <row r="10008" spans="1:2" x14ac:dyDescent="0.15">
      <c r="A10008" s="15"/>
      <c r="B10008" s="15"/>
    </row>
    <row r="10009" spans="1:2" x14ac:dyDescent="0.15">
      <c r="A10009" s="15"/>
      <c r="B10009" s="15"/>
    </row>
    <row r="10010" spans="1:2" x14ac:dyDescent="0.15">
      <c r="A10010" s="15"/>
      <c r="B10010" s="15"/>
    </row>
    <row r="10011" spans="1:2" x14ac:dyDescent="0.15">
      <c r="A10011" s="15"/>
      <c r="B10011" s="15"/>
    </row>
    <row r="10012" spans="1:2" x14ac:dyDescent="0.15">
      <c r="A10012" s="15"/>
      <c r="B10012" s="15"/>
    </row>
    <row r="10013" spans="1:2" x14ac:dyDescent="0.15">
      <c r="A10013" s="15"/>
      <c r="B10013" s="15"/>
    </row>
    <row r="10014" spans="1:2" x14ac:dyDescent="0.15">
      <c r="A10014" s="15"/>
      <c r="B10014" s="15"/>
    </row>
    <row r="10015" spans="1:2" x14ac:dyDescent="0.15">
      <c r="A10015" s="15"/>
      <c r="B10015" s="15"/>
    </row>
    <row r="10016" spans="1:2" x14ac:dyDescent="0.15">
      <c r="A10016" s="15"/>
      <c r="B10016" s="15"/>
    </row>
    <row r="10017" spans="1:2" x14ac:dyDescent="0.15">
      <c r="A10017" s="15"/>
      <c r="B10017" s="15"/>
    </row>
    <row r="10018" spans="1:2" x14ac:dyDescent="0.15">
      <c r="A10018" s="15"/>
      <c r="B10018" s="15"/>
    </row>
    <row r="10019" spans="1:2" x14ac:dyDescent="0.15">
      <c r="A10019" s="15"/>
      <c r="B10019" s="15"/>
    </row>
    <row r="10020" spans="1:2" x14ac:dyDescent="0.15">
      <c r="A10020" s="15"/>
      <c r="B10020" s="15"/>
    </row>
    <row r="10021" spans="1:2" x14ac:dyDescent="0.15">
      <c r="A10021" s="15"/>
      <c r="B10021" s="15"/>
    </row>
    <row r="10022" spans="1:2" x14ac:dyDescent="0.15">
      <c r="A10022" s="15"/>
      <c r="B10022" s="15"/>
    </row>
    <row r="10023" spans="1:2" x14ac:dyDescent="0.15">
      <c r="A10023" s="15"/>
      <c r="B10023" s="15"/>
    </row>
    <row r="10024" spans="1:2" x14ac:dyDescent="0.15">
      <c r="A10024" s="15"/>
      <c r="B10024" s="15"/>
    </row>
    <row r="10025" spans="1:2" x14ac:dyDescent="0.15">
      <c r="A10025" s="15"/>
      <c r="B10025" s="15"/>
    </row>
    <row r="10026" spans="1:2" x14ac:dyDescent="0.15">
      <c r="A10026" s="15"/>
      <c r="B10026" s="15"/>
    </row>
    <row r="10027" spans="1:2" x14ac:dyDescent="0.15">
      <c r="A10027" s="15"/>
      <c r="B10027" s="15"/>
    </row>
    <row r="10028" spans="1:2" x14ac:dyDescent="0.15">
      <c r="A10028" s="15"/>
      <c r="B10028" s="15"/>
    </row>
    <row r="10029" spans="1:2" x14ac:dyDescent="0.15">
      <c r="A10029" s="15"/>
      <c r="B10029" s="15"/>
    </row>
    <row r="10030" spans="1:2" x14ac:dyDescent="0.15">
      <c r="A10030" s="15"/>
      <c r="B10030" s="15"/>
    </row>
    <row r="10031" spans="1:2" x14ac:dyDescent="0.15">
      <c r="A10031" s="15"/>
      <c r="B10031" s="15"/>
    </row>
    <row r="10032" spans="1:2" x14ac:dyDescent="0.15">
      <c r="A10032" s="15"/>
      <c r="B10032" s="15"/>
    </row>
    <row r="10033" spans="1:2" x14ac:dyDescent="0.15">
      <c r="A10033" s="15"/>
      <c r="B10033" s="15"/>
    </row>
    <row r="10034" spans="1:2" x14ac:dyDescent="0.15">
      <c r="A10034" s="15"/>
      <c r="B10034" s="15"/>
    </row>
    <row r="10035" spans="1:2" x14ac:dyDescent="0.15">
      <c r="A10035" s="15"/>
      <c r="B10035" s="15"/>
    </row>
    <row r="10036" spans="1:2" x14ac:dyDescent="0.15">
      <c r="A10036" s="15"/>
      <c r="B10036" s="15"/>
    </row>
    <row r="10037" spans="1:2" x14ac:dyDescent="0.15">
      <c r="A10037" s="15"/>
      <c r="B10037" s="15"/>
    </row>
    <row r="10038" spans="1:2" x14ac:dyDescent="0.15">
      <c r="A10038" s="15"/>
      <c r="B10038" s="15"/>
    </row>
    <row r="10039" spans="1:2" x14ac:dyDescent="0.15">
      <c r="A10039" s="15"/>
      <c r="B10039" s="15"/>
    </row>
    <row r="10040" spans="1:2" x14ac:dyDescent="0.15">
      <c r="A10040" s="15"/>
      <c r="B10040" s="15"/>
    </row>
    <row r="10041" spans="1:2" x14ac:dyDescent="0.15">
      <c r="A10041" s="15"/>
      <c r="B10041" s="15"/>
    </row>
    <row r="10042" spans="1:2" x14ac:dyDescent="0.15">
      <c r="A10042" s="15"/>
      <c r="B10042" s="15"/>
    </row>
    <row r="10043" spans="1:2" x14ac:dyDescent="0.15">
      <c r="A10043" s="15"/>
      <c r="B10043" s="15"/>
    </row>
    <row r="10044" spans="1:2" x14ac:dyDescent="0.15">
      <c r="A10044" s="15"/>
      <c r="B10044" s="15"/>
    </row>
    <row r="10045" spans="1:2" x14ac:dyDescent="0.15">
      <c r="A10045" s="15"/>
      <c r="B10045" s="15"/>
    </row>
    <row r="10046" spans="1:2" x14ac:dyDescent="0.15">
      <c r="A10046" s="15"/>
      <c r="B10046" s="15"/>
    </row>
    <row r="10047" spans="1:2" x14ac:dyDescent="0.15">
      <c r="A10047" s="15"/>
      <c r="B10047" s="15"/>
    </row>
    <row r="10048" spans="1:2" x14ac:dyDescent="0.15">
      <c r="A10048" s="15"/>
      <c r="B10048" s="15"/>
    </row>
    <row r="10049" spans="1:2" x14ac:dyDescent="0.15">
      <c r="A10049" s="15"/>
      <c r="B10049" s="15"/>
    </row>
    <row r="10050" spans="1:2" x14ac:dyDescent="0.15">
      <c r="A10050" s="15"/>
      <c r="B10050" s="15"/>
    </row>
    <row r="10051" spans="1:2" x14ac:dyDescent="0.15">
      <c r="A10051" s="15"/>
      <c r="B10051" s="15"/>
    </row>
    <row r="10052" spans="1:2" x14ac:dyDescent="0.15">
      <c r="A10052" s="15"/>
      <c r="B10052" s="15"/>
    </row>
    <row r="10053" spans="1:2" x14ac:dyDescent="0.15">
      <c r="A10053" s="15"/>
      <c r="B10053" s="15"/>
    </row>
    <row r="10054" spans="1:2" x14ac:dyDescent="0.15">
      <c r="A10054" s="15"/>
      <c r="B10054" s="15"/>
    </row>
    <row r="10055" spans="1:2" x14ac:dyDescent="0.15">
      <c r="A10055" s="15"/>
      <c r="B10055" s="15"/>
    </row>
    <row r="10056" spans="1:2" x14ac:dyDescent="0.15">
      <c r="A10056" s="15"/>
      <c r="B10056" s="15"/>
    </row>
    <row r="10057" spans="1:2" x14ac:dyDescent="0.15">
      <c r="A10057" s="15"/>
      <c r="B10057" s="15"/>
    </row>
    <row r="10058" spans="1:2" x14ac:dyDescent="0.15">
      <c r="A10058" s="15"/>
      <c r="B10058" s="15"/>
    </row>
    <row r="10059" spans="1:2" x14ac:dyDescent="0.15">
      <c r="A10059" s="15"/>
      <c r="B10059" s="15"/>
    </row>
    <row r="10060" spans="1:2" x14ac:dyDescent="0.15">
      <c r="A10060" s="15"/>
      <c r="B10060" s="15"/>
    </row>
    <row r="10061" spans="1:2" x14ac:dyDescent="0.15">
      <c r="A10061" s="15"/>
      <c r="B10061" s="15"/>
    </row>
    <row r="10062" spans="1:2" x14ac:dyDescent="0.15">
      <c r="A10062" s="15"/>
      <c r="B10062" s="15"/>
    </row>
    <row r="10063" spans="1:2" x14ac:dyDescent="0.15">
      <c r="A10063" s="15"/>
      <c r="B10063" s="15"/>
    </row>
    <row r="10064" spans="1:2" x14ac:dyDescent="0.15">
      <c r="A10064" s="15"/>
      <c r="B10064" s="15"/>
    </row>
    <row r="10065" spans="1:2" x14ac:dyDescent="0.15">
      <c r="A10065" s="15"/>
      <c r="B10065" s="15"/>
    </row>
    <row r="10066" spans="1:2" x14ac:dyDescent="0.15">
      <c r="A10066" s="15"/>
      <c r="B10066" s="15"/>
    </row>
    <row r="10067" spans="1:2" x14ac:dyDescent="0.15">
      <c r="A10067" s="15"/>
      <c r="B10067" s="15"/>
    </row>
    <row r="10068" spans="1:2" x14ac:dyDescent="0.15">
      <c r="A10068" s="15"/>
      <c r="B10068" s="15"/>
    </row>
    <row r="10069" spans="1:2" x14ac:dyDescent="0.15">
      <c r="A10069" s="15"/>
      <c r="B10069" s="15"/>
    </row>
    <row r="10070" spans="1:2" x14ac:dyDescent="0.15">
      <c r="A10070" s="15"/>
      <c r="B10070" s="15"/>
    </row>
    <row r="10071" spans="1:2" x14ac:dyDescent="0.15">
      <c r="A10071" s="15"/>
      <c r="B10071" s="15"/>
    </row>
    <row r="10072" spans="1:2" x14ac:dyDescent="0.15">
      <c r="A10072" s="15"/>
      <c r="B10072" s="15"/>
    </row>
    <row r="10073" spans="1:2" x14ac:dyDescent="0.15">
      <c r="A10073" s="15"/>
      <c r="B10073" s="15"/>
    </row>
    <row r="10074" spans="1:2" x14ac:dyDescent="0.15">
      <c r="A10074" s="15"/>
      <c r="B10074" s="15"/>
    </row>
    <row r="10075" spans="1:2" x14ac:dyDescent="0.15">
      <c r="A10075" s="15"/>
      <c r="B10075" s="15"/>
    </row>
    <row r="10076" spans="1:2" x14ac:dyDescent="0.15">
      <c r="A10076" s="15"/>
      <c r="B10076" s="15"/>
    </row>
    <row r="10077" spans="1:2" x14ac:dyDescent="0.15">
      <c r="A10077" s="15"/>
      <c r="B10077" s="15"/>
    </row>
    <row r="10078" spans="1:2" x14ac:dyDescent="0.15">
      <c r="A10078" s="15"/>
      <c r="B10078" s="15"/>
    </row>
    <row r="10079" spans="1:2" x14ac:dyDescent="0.15">
      <c r="A10079" s="15"/>
      <c r="B10079" s="15"/>
    </row>
    <row r="10080" spans="1:2" x14ac:dyDescent="0.15">
      <c r="A10080" s="15"/>
      <c r="B10080" s="15"/>
    </row>
    <row r="10081" spans="1:2" x14ac:dyDescent="0.15">
      <c r="A10081" s="15"/>
      <c r="B10081" s="15"/>
    </row>
    <row r="10082" spans="1:2" x14ac:dyDescent="0.15">
      <c r="A10082" s="15"/>
      <c r="B10082" s="15"/>
    </row>
    <row r="10083" spans="1:2" x14ac:dyDescent="0.15">
      <c r="A10083" s="15"/>
      <c r="B10083" s="15"/>
    </row>
    <row r="10084" spans="1:2" x14ac:dyDescent="0.15">
      <c r="A10084" s="15"/>
      <c r="B10084" s="15"/>
    </row>
    <row r="10085" spans="1:2" x14ac:dyDescent="0.15">
      <c r="A10085" s="15"/>
      <c r="B10085" s="15"/>
    </row>
    <row r="10086" spans="1:2" x14ac:dyDescent="0.15">
      <c r="A10086" s="15"/>
      <c r="B10086" s="15"/>
    </row>
    <row r="10087" spans="1:2" x14ac:dyDescent="0.15">
      <c r="A10087" s="15"/>
      <c r="B10087" s="15"/>
    </row>
    <row r="10088" spans="1:2" x14ac:dyDescent="0.15">
      <c r="A10088" s="15"/>
      <c r="B10088" s="15"/>
    </row>
    <row r="10089" spans="1:2" x14ac:dyDescent="0.15">
      <c r="A10089" s="15"/>
      <c r="B10089" s="15"/>
    </row>
    <row r="10090" spans="1:2" x14ac:dyDescent="0.15">
      <c r="A10090" s="15"/>
      <c r="B10090" s="15"/>
    </row>
    <row r="10091" spans="1:2" x14ac:dyDescent="0.15">
      <c r="A10091" s="15"/>
      <c r="B10091" s="15"/>
    </row>
    <row r="10092" spans="1:2" x14ac:dyDescent="0.15">
      <c r="A10092" s="15"/>
      <c r="B10092" s="15"/>
    </row>
    <row r="10093" spans="1:2" x14ac:dyDescent="0.15">
      <c r="A10093" s="15"/>
      <c r="B10093" s="15"/>
    </row>
    <row r="10094" spans="1:2" x14ac:dyDescent="0.15">
      <c r="A10094" s="15"/>
      <c r="B10094" s="15"/>
    </row>
    <row r="10095" spans="1:2" x14ac:dyDescent="0.15">
      <c r="A10095" s="15"/>
      <c r="B10095" s="15"/>
    </row>
    <row r="10096" spans="1:2" x14ac:dyDescent="0.15">
      <c r="A10096" s="15"/>
      <c r="B10096" s="15"/>
    </row>
    <row r="10097" spans="1:2" x14ac:dyDescent="0.15">
      <c r="A10097" s="15"/>
      <c r="B10097" s="15"/>
    </row>
    <row r="10098" spans="1:2" x14ac:dyDescent="0.15">
      <c r="A10098" s="15"/>
      <c r="B10098" s="15"/>
    </row>
    <row r="10099" spans="1:2" x14ac:dyDescent="0.15">
      <c r="A10099" s="15"/>
      <c r="B10099" s="15"/>
    </row>
    <row r="10100" spans="1:2" x14ac:dyDescent="0.15">
      <c r="A10100" s="15"/>
      <c r="B10100" s="15"/>
    </row>
    <row r="10101" spans="1:2" x14ac:dyDescent="0.15">
      <c r="A10101" s="15"/>
      <c r="B10101" s="15"/>
    </row>
    <row r="10102" spans="1:2" x14ac:dyDescent="0.15">
      <c r="A10102" s="15"/>
      <c r="B10102" s="15"/>
    </row>
    <row r="10103" spans="1:2" x14ac:dyDescent="0.15">
      <c r="A10103" s="15"/>
      <c r="B10103" s="15"/>
    </row>
    <row r="10104" spans="1:2" x14ac:dyDescent="0.15">
      <c r="A10104" s="15"/>
      <c r="B10104" s="15"/>
    </row>
    <row r="10105" spans="1:2" x14ac:dyDescent="0.15">
      <c r="A10105" s="15"/>
      <c r="B10105" s="15"/>
    </row>
    <row r="10106" spans="1:2" x14ac:dyDescent="0.15">
      <c r="A10106" s="15"/>
      <c r="B10106" s="15"/>
    </row>
    <row r="10107" spans="1:2" x14ac:dyDescent="0.15">
      <c r="A10107" s="15"/>
      <c r="B10107" s="15"/>
    </row>
    <row r="10108" spans="1:2" x14ac:dyDescent="0.15">
      <c r="A10108" s="15"/>
      <c r="B10108" s="15"/>
    </row>
    <row r="10109" spans="1:2" x14ac:dyDescent="0.15">
      <c r="A10109" s="15"/>
      <c r="B10109" s="15"/>
    </row>
    <row r="10110" spans="1:2" x14ac:dyDescent="0.15">
      <c r="A10110" s="15"/>
      <c r="B10110" s="15"/>
    </row>
    <row r="10111" spans="1:2" x14ac:dyDescent="0.15">
      <c r="A10111" s="15"/>
      <c r="B10111" s="15"/>
    </row>
    <row r="10112" spans="1:2" x14ac:dyDescent="0.15">
      <c r="A10112" s="15"/>
      <c r="B10112" s="15"/>
    </row>
    <row r="10113" spans="1:2" x14ac:dyDescent="0.15">
      <c r="A10113" s="15"/>
      <c r="B10113" s="15"/>
    </row>
    <row r="10114" spans="1:2" x14ac:dyDescent="0.15">
      <c r="A10114" s="15"/>
      <c r="B10114" s="15"/>
    </row>
    <row r="10115" spans="1:2" x14ac:dyDescent="0.15">
      <c r="A10115" s="15"/>
      <c r="B10115" s="15"/>
    </row>
    <row r="10116" spans="1:2" x14ac:dyDescent="0.15">
      <c r="A10116" s="15"/>
      <c r="B10116" s="15"/>
    </row>
    <row r="10117" spans="1:2" x14ac:dyDescent="0.15">
      <c r="A10117" s="15"/>
      <c r="B10117" s="15"/>
    </row>
    <row r="10118" spans="1:2" x14ac:dyDescent="0.15">
      <c r="A10118" s="15"/>
      <c r="B10118" s="15"/>
    </row>
    <row r="10119" spans="1:2" x14ac:dyDescent="0.15">
      <c r="A10119" s="15"/>
      <c r="B10119" s="15"/>
    </row>
    <row r="10120" spans="1:2" x14ac:dyDescent="0.15">
      <c r="A10120" s="15"/>
      <c r="B10120" s="15"/>
    </row>
    <row r="10121" spans="1:2" x14ac:dyDescent="0.15">
      <c r="A10121" s="15"/>
      <c r="B10121" s="15"/>
    </row>
    <row r="10122" spans="1:2" x14ac:dyDescent="0.15">
      <c r="A10122" s="15"/>
      <c r="B10122" s="15"/>
    </row>
    <row r="10123" spans="1:2" x14ac:dyDescent="0.15">
      <c r="A10123" s="15"/>
      <c r="B10123" s="15"/>
    </row>
    <row r="10124" spans="1:2" x14ac:dyDescent="0.15">
      <c r="A10124" s="15"/>
      <c r="B10124" s="15"/>
    </row>
    <row r="10125" spans="1:2" x14ac:dyDescent="0.15">
      <c r="A10125" s="15"/>
      <c r="B10125" s="15"/>
    </row>
    <row r="10126" spans="1:2" x14ac:dyDescent="0.15">
      <c r="A10126" s="15"/>
      <c r="B10126" s="15"/>
    </row>
    <row r="10127" spans="1:2" x14ac:dyDescent="0.15">
      <c r="A10127" s="15"/>
      <c r="B10127" s="15"/>
    </row>
    <row r="10128" spans="1:2" x14ac:dyDescent="0.15">
      <c r="A10128" s="15"/>
      <c r="B10128" s="15"/>
    </row>
    <row r="10129" spans="1:2" x14ac:dyDescent="0.15">
      <c r="A10129" s="15"/>
      <c r="B10129" s="15"/>
    </row>
    <row r="10130" spans="1:2" x14ac:dyDescent="0.15">
      <c r="A10130" s="15"/>
      <c r="B10130" s="15"/>
    </row>
    <row r="10131" spans="1:2" x14ac:dyDescent="0.15">
      <c r="A10131" s="15"/>
      <c r="B10131" s="15"/>
    </row>
    <row r="10132" spans="1:2" x14ac:dyDescent="0.15">
      <c r="A10132" s="15"/>
      <c r="B10132" s="15"/>
    </row>
    <row r="10133" spans="1:2" x14ac:dyDescent="0.15">
      <c r="A10133" s="15"/>
      <c r="B10133" s="15"/>
    </row>
    <row r="10134" spans="1:2" x14ac:dyDescent="0.15">
      <c r="A10134" s="15"/>
      <c r="B10134" s="15"/>
    </row>
    <row r="10135" spans="1:2" x14ac:dyDescent="0.15">
      <c r="A10135" s="15"/>
      <c r="B10135" s="15"/>
    </row>
    <row r="10136" spans="1:2" x14ac:dyDescent="0.15">
      <c r="A10136" s="15"/>
      <c r="B10136" s="15"/>
    </row>
    <row r="10137" spans="1:2" x14ac:dyDescent="0.15">
      <c r="A10137" s="15"/>
      <c r="B10137" s="15"/>
    </row>
    <row r="10138" spans="1:2" x14ac:dyDescent="0.15">
      <c r="A10138" s="15"/>
      <c r="B10138" s="15"/>
    </row>
    <row r="10139" spans="1:2" x14ac:dyDescent="0.15">
      <c r="A10139" s="15"/>
      <c r="B10139" s="15"/>
    </row>
    <row r="10140" spans="1:2" x14ac:dyDescent="0.15">
      <c r="A10140" s="15"/>
      <c r="B10140" s="15"/>
    </row>
    <row r="10141" spans="1:2" x14ac:dyDescent="0.15">
      <c r="A10141" s="15"/>
      <c r="B10141" s="15"/>
    </row>
    <row r="10142" spans="1:2" x14ac:dyDescent="0.15">
      <c r="A10142" s="15"/>
      <c r="B10142" s="15"/>
    </row>
    <row r="10143" spans="1:2" x14ac:dyDescent="0.15">
      <c r="A10143" s="15"/>
      <c r="B10143" s="15"/>
    </row>
    <row r="10144" spans="1:2" x14ac:dyDescent="0.15">
      <c r="A10144" s="15"/>
      <c r="B10144" s="15"/>
    </row>
    <row r="10145" spans="1:2" x14ac:dyDescent="0.15">
      <c r="A10145" s="15"/>
      <c r="B10145" s="15"/>
    </row>
    <row r="10146" spans="1:2" x14ac:dyDescent="0.15">
      <c r="A10146" s="15"/>
      <c r="B10146" s="15"/>
    </row>
    <row r="10147" spans="1:2" x14ac:dyDescent="0.15">
      <c r="A10147" s="15"/>
      <c r="B10147" s="15"/>
    </row>
    <row r="10148" spans="1:2" x14ac:dyDescent="0.15">
      <c r="A10148" s="15"/>
      <c r="B10148" s="15"/>
    </row>
    <row r="10149" spans="1:2" x14ac:dyDescent="0.15">
      <c r="A10149" s="15"/>
      <c r="B10149" s="15"/>
    </row>
    <row r="10150" spans="1:2" x14ac:dyDescent="0.15">
      <c r="A10150" s="15"/>
      <c r="B10150" s="15"/>
    </row>
    <row r="10151" spans="1:2" x14ac:dyDescent="0.15">
      <c r="A10151" s="15"/>
      <c r="B10151" s="15"/>
    </row>
    <row r="10152" spans="1:2" x14ac:dyDescent="0.15">
      <c r="A10152" s="15"/>
      <c r="B10152" s="15"/>
    </row>
    <row r="10153" spans="1:2" x14ac:dyDescent="0.15">
      <c r="A10153" s="15"/>
      <c r="B10153" s="15"/>
    </row>
    <row r="10154" spans="1:2" x14ac:dyDescent="0.15">
      <c r="A10154" s="15"/>
      <c r="B10154" s="15"/>
    </row>
    <row r="10155" spans="1:2" x14ac:dyDescent="0.15">
      <c r="A10155" s="15"/>
      <c r="B10155" s="15"/>
    </row>
    <row r="10156" spans="1:2" x14ac:dyDescent="0.15">
      <c r="A10156" s="15"/>
      <c r="B10156" s="15"/>
    </row>
    <row r="10157" spans="1:2" x14ac:dyDescent="0.15">
      <c r="A10157" s="15"/>
      <c r="B10157" s="15"/>
    </row>
    <row r="10158" spans="1:2" x14ac:dyDescent="0.15">
      <c r="A10158" s="15"/>
      <c r="B10158" s="15"/>
    </row>
    <row r="10159" spans="1:2" x14ac:dyDescent="0.15">
      <c r="A10159" s="15"/>
      <c r="B10159" s="15"/>
    </row>
    <row r="10160" spans="1:2" x14ac:dyDescent="0.15">
      <c r="A10160" s="15"/>
      <c r="B10160" s="15"/>
    </row>
    <row r="10161" spans="1:2" x14ac:dyDescent="0.15">
      <c r="A10161" s="15"/>
      <c r="B10161" s="15"/>
    </row>
    <row r="10162" spans="1:2" x14ac:dyDescent="0.15">
      <c r="A10162" s="15"/>
      <c r="B10162" s="15"/>
    </row>
    <row r="10163" spans="1:2" x14ac:dyDescent="0.15">
      <c r="A10163" s="15"/>
      <c r="B10163" s="15"/>
    </row>
    <row r="10164" spans="1:2" x14ac:dyDescent="0.15">
      <c r="A10164" s="15"/>
      <c r="B10164" s="15"/>
    </row>
    <row r="10165" spans="1:2" x14ac:dyDescent="0.15">
      <c r="A10165" s="15"/>
      <c r="B10165" s="15"/>
    </row>
    <row r="10166" spans="1:2" x14ac:dyDescent="0.15">
      <c r="A10166" s="15"/>
      <c r="B10166" s="15"/>
    </row>
    <row r="10167" spans="1:2" x14ac:dyDescent="0.15">
      <c r="A10167" s="15"/>
      <c r="B10167" s="15"/>
    </row>
    <row r="10168" spans="1:2" x14ac:dyDescent="0.15">
      <c r="A10168" s="15"/>
      <c r="B10168" s="15"/>
    </row>
    <row r="10169" spans="1:2" x14ac:dyDescent="0.15">
      <c r="A10169" s="15"/>
      <c r="B10169" s="15"/>
    </row>
    <row r="10170" spans="1:2" x14ac:dyDescent="0.15">
      <c r="A10170" s="15"/>
      <c r="B10170" s="15"/>
    </row>
    <row r="10171" spans="1:2" x14ac:dyDescent="0.15">
      <c r="A10171" s="15"/>
      <c r="B10171" s="15"/>
    </row>
    <row r="10172" spans="1:2" x14ac:dyDescent="0.15">
      <c r="A10172" s="15"/>
      <c r="B10172" s="15"/>
    </row>
    <row r="10173" spans="1:2" x14ac:dyDescent="0.15">
      <c r="A10173" s="15"/>
      <c r="B10173" s="15"/>
    </row>
    <row r="10174" spans="1:2" x14ac:dyDescent="0.15">
      <c r="A10174" s="15"/>
      <c r="B10174" s="15"/>
    </row>
    <row r="10175" spans="1:2" x14ac:dyDescent="0.15">
      <c r="A10175" s="15"/>
      <c r="B10175" s="15"/>
    </row>
    <row r="10176" spans="1:2" x14ac:dyDescent="0.15">
      <c r="A10176" s="15"/>
      <c r="B10176" s="15"/>
    </row>
    <row r="10177" spans="1:2" x14ac:dyDescent="0.15">
      <c r="A10177" s="15"/>
      <c r="B10177" s="15"/>
    </row>
    <row r="10178" spans="1:2" x14ac:dyDescent="0.15">
      <c r="A10178" s="15"/>
      <c r="B10178" s="15"/>
    </row>
    <row r="10179" spans="1:2" x14ac:dyDescent="0.15">
      <c r="A10179" s="15"/>
      <c r="B10179" s="15"/>
    </row>
    <row r="10180" spans="1:2" x14ac:dyDescent="0.15">
      <c r="A10180" s="15"/>
      <c r="B10180" s="15"/>
    </row>
    <row r="10181" spans="1:2" x14ac:dyDescent="0.15">
      <c r="A10181" s="15"/>
      <c r="B10181" s="15"/>
    </row>
    <row r="10182" spans="1:2" x14ac:dyDescent="0.15">
      <c r="A10182" s="15"/>
      <c r="B10182" s="15"/>
    </row>
    <row r="10183" spans="1:2" x14ac:dyDescent="0.15">
      <c r="A10183" s="15"/>
      <c r="B10183" s="15"/>
    </row>
    <row r="10184" spans="1:2" x14ac:dyDescent="0.15">
      <c r="A10184" s="15"/>
      <c r="B10184" s="15"/>
    </row>
    <row r="10185" spans="1:2" x14ac:dyDescent="0.15">
      <c r="A10185" s="15"/>
      <c r="B10185" s="15"/>
    </row>
    <row r="10186" spans="1:2" x14ac:dyDescent="0.15">
      <c r="A10186" s="15"/>
      <c r="B10186" s="15"/>
    </row>
    <row r="10187" spans="1:2" x14ac:dyDescent="0.15">
      <c r="A10187" s="15"/>
      <c r="B10187" s="15"/>
    </row>
    <row r="10188" spans="1:2" x14ac:dyDescent="0.15">
      <c r="A10188" s="15"/>
      <c r="B10188" s="15"/>
    </row>
    <row r="10189" spans="1:2" x14ac:dyDescent="0.15">
      <c r="A10189" s="15"/>
      <c r="B10189" s="15"/>
    </row>
    <row r="10190" spans="1:2" x14ac:dyDescent="0.15">
      <c r="A10190" s="15"/>
      <c r="B10190" s="15"/>
    </row>
    <row r="10191" spans="1:2" x14ac:dyDescent="0.15">
      <c r="A10191" s="15"/>
      <c r="B10191" s="15"/>
    </row>
    <row r="10192" spans="1:2" x14ac:dyDescent="0.15">
      <c r="A10192" s="15"/>
      <c r="B10192" s="15"/>
    </row>
    <row r="10193" spans="1:2" x14ac:dyDescent="0.15">
      <c r="A10193" s="15"/>
      <c r="B10193" s="15"/>
    </row>
    <row r="10194" spans="1:2" x14ac:dyDescent="0.15">
      <c r="A10194" s="15"/>
      <c r="B10194" s="15"/>
    </row>
    <row r="10195" spans="1:2" x14ac:dyDescent="0.15">
      <c r="A10195" s="15"/>
      <c r="B10195" s="15"/>
    </row>
    <row r="10196" spans="1:2" x14ac:dyDescent="0.15">
      <c r="A10196" s="15"/>
      <c r="B10196" s="15"/>
    </row>
    <row r="10197" spans="1:2" x14ac:dyDescent="0.15">
      <c r="A10197" s="15"/>
      <c r="B10197" s="15"/>
    </row>
    <row r="10198" spans="1:2" x14ac:dyDescent="0.15">
      <c r="A10198" s="15"/>
      <c r="B10198" s="15"/>
    </row>
    <row r="10199" spans="1:2" x14ac:dyDescent="0.15">
      <c r="A10199" s="15"/>
      <c r="B10199" s="15"/>
    </row>
    <row r="10200" spans="1:2" x14ac:dyDescent="0.15">
      <c r="A10200" s="15"/>
      <c r="B10200" s="15"/>
    </row>
    <row r="10201" spans="1:2" x14ac:dyDescent="0.15">
      <c r="A10201" s="15"/>
      <c r="B10201" s="15"/>
    </row>
    <row r="10202" spans="1:2" x14ac:dyDescent="0.15">
      <c r="A10202" s="15"/>
      <c r="B10202" s="15"/>
    </row>
    <row r="10203" spans="1:2" x14ac:dyDescent="0.15">
      <c r="A10203" s="15"/>
      <c r="B10203" s="15"/>
    </row>
    <row r="10204" spans="1:2" x14ac:dyDescent="0.15">
      <c r="A10204" s="15"/>
      <c r="B10204" s="15"/>
    </row>
    <row r="10205" spans="1:2" x14ac:dyDescent="0.15">
      <c r="A10205" s="15"/>
      <c r="B10205" s="15"/>
    </row>
    <row r="10206" spans="1:2" x14ac:dyDescent="0.15">
      <c r="A10206" s="15"/>
      <c r="B10206" s="15"/>
    </row>
    <row r="10207" spans="1:2" x14ac:dyDescent="0.15">
      <c r="A10207" s="15"/>
      <c r="B10207" s="15"/>
    </row>
    <row r="10208" spans="1:2" x14ac:dyDescent="0.15">
      <c r="A10208" s="15"/>
      <c r="B10208" s="15"/>
    </row>
    <row r="10209" spans="1:2" x14ac:dyDescent="0.15">
      <c r="A10209" s="15"/>
      <c r="B10209" s="15"/>
    </row>
    <row r="10210" spans="1:2" x14ac:dyDescent="0.15">
      <c r="A10210" s="15"/>
      <c r="B10210" s="15"/>
    </row>
    <row r="10211" spans="1:2" x14ac:dyDescent="0.15">
      <c r="A10211" s="15"/>
      <c r="B10211" s="15"/>
    </row>
    <row r="10212" spans="1:2" x14ac:dyDescent="0.15">
      <c r="A10212" s="15"/>
      <c r="B10212" s="15"/>
    </row>
    <row r="10213" spans="1:2" x14ac:dyDescent="0.15">
      <c r="A10213" s="15"/>
      <c r="B10213" s="15"/>
    </row>
    <row r="10214" spans="1:2" x14ac:dyDescent="0.15">
      <c r="A10214" s="15"/>
      <c r="B10214" s="15"/>
    </row>
    <row r="10215" spans="1:2" x14ac:dyDescent="0.15">
      <c r="A10215" s="15"/>
      <c r="B10215" s="15"/>
    </row>
    <row r="10216" spans="1:2" x14ac:dyDescent="0.15">
      <c r="A10216" s="15"/>
      <c r="B10216" s="15"/>
    </row>
    <row r="10217" spans="1:2" x14ac:dyDescent="0.15">
      <c r="A10217" s="15"/>
      <c r="B10217" s="15"/>
    </row>
    <row r="10218" spans="1:2" x14ac:dyDescent="0.15">
      <c r="A10218" s="15"/>
      <c r="B10218" s="15"/>
    </row>
    <row r="10219" spans="1:2" x14ac:dyDescent="0.15">
      <c r="A10219" s="15"/>
      <c r="B10219" s="15"/>
    </row>
    <row r="10220" spans="1:2" x14ac:dyDescent="0.15">
      <c r="A10220" s="15"/>
      <c r="B10220" s="15"/>
    </row>
    <row r="10221" spans="1:2" x14ac:dyDescent="0.15">
      <c r="A10221" s="15"/>
      <c r="B10221" s="15"/>
    </row>
    <row r="10222" spans="1:2" x14ac:dyDescent="0.15">
      <c r="A10222" s="15"/>
      <c r="B10222" s="15"/>
    </row>
    <row r="10223" spans="1:2" x14ac:dyDescent="0.15">
      <c r="A10223" s="15"/>
      <c r="B10223" s="15"/>
    </row>
    <row r="10224" spans="1:2" x14ac:dyDescent="0.15">
      <c r="A10224" s="15"/>
      <c r="B10224" s="15"/>
    </row>
    <row r="10225" spans="1:2" x14ac:dyDescent="0.15">
      <c r="A10225" s="15"/>
      <c r="B10225" s="15"/>
    </row>
    <row r="10226" spans="1:2" x14ac:dyDescent="0.15">
      <c r="A10226" s="15"/>
      <c r="B10226" s="15"/>
    </row>
    <row r="10227" spans="1:2" x14ac:dyDescent="0.15">
      <c r="A10227" s="15"/>
      <c r="B10227" s="15"/>
    </row>
    <row r="10228" spans="1:2" x14ac:dyDescent="0.15">
      <c r="A10228" s="15"/>
      <c r="B10228" s="15"/>
    </row>
    <row r="10229" spans="1:2" x14ac:dyDescent="0.15">
      <c r="A10229" s="15"/>
      <c r="B10229" s="15"/>
    </row>
    <row r="10230" spans="1:2" x14ac:dyDescent="0.15">
      <c r="A10230" s="15"/>
      <c r="B10230" s="15"/>
    </row>
    <row r="10231" spans="1:2" x14ac:dyDescent="0.15">
      <c r="A10231" s="15"/>
      <c r="B10231" s="15"/>
    </row>
    <row r="10232" spans="1:2" x14ac:dyDescent="0.15">
      <c r="A10232" s="15"/>
      <c r="B10232" s="15"/>
    </row>
    <row r="10233" spans="1:2" x14ac:dyDescent="0.15">
      <c r="A10233" s="15"/>
      <c r="B10233" s="15"/>
    </row>
    <row r="10234" spans="1:2" x14ac:dyDescent="0.15">
      <c r="A10234" s="15"/>
      <c r="B10234" s="15"/>
    </row>
    <row r="10235" spans="1:2" x14ac:dyDescent="0.15">
      <c r="A10235" s="15"/>
      <c r="B10235" s="15"/>
    </row>
    <row r="10236" spans="1:2" x14ac:dyDescent="0.15">
      <c r="A10236" s="15"/>
      <c r="B10236" s="15"/>
    </row>
    <row r="10237" spans="1:2" x14ac:dyDescent="0.15">
      <c r="A10237" s="15"/>
      <c r="B10237" s="15"/>
    </row>
    <row r="10238" spans="1:2" x14ac:dyDescent="0.15">
      <c r="A10238" s="15"/>
      <c r="B10238" s="15"/>
    </row>
    <row r="10239" spans="1:2" x14ac:dyDescent="0.15">
      <c r="A10239" s="15"/>
      <c r="B10239" s="15"/>
    </row>
    <row r="10240" spans="1:2" x14ac:dyDescent="0.15">
      <c r="A10240" s="15"/>
      <c r="B10240" s="15"/>
    </row>
    <row r="10241" spans="1:2" x14ac:dyDescent="0.15">
      <c r="A10241" s="15"/>
      <c r="B10241" s="15"/>
    </row>
    <row r="10242" spans="1:2" x14ac:dyDescent="0.15">
      <c r="A10242" s="15"/>
      <c r="B10242" s="15"/>
    </row>
    <row r="10243" spans="1:2" x14ac:dyDescent="0.15">
      <c r="A10243" s="15"/>
      <c r="B10243" s="15"/>
    </row>
    <row r="10244" spans="1:2" x14ac:dyDescent="0.15">
      <c r="A10244" s="15"/>
      <c r="B10244" s="15"/>
    </row>
    <row r="10245" spans="1:2" x14ac:dyDescent="0.15">
      <c r="A10245" s="15"/>
      <c r="B10245" s="15"/>
    </row>
    <row r="10246" spans="1:2" x14ac:dyDescent="0.15">
      <c r="A10246" s="15"/>
      <c r="B10246" s="15"/>
    </row>
    <row r="10247" spans="1:2" x14ac:dyDescent="0.15">
      <c r="A10247" s="15"/>
      <c r="B10247" s="15"/>
    </row>
    <row r="10248" spans="1:2" x14ac:dyDescent="0.15">
      <c r="A10248" s="15"/>
      <c r="B10248" s="15"/>
    </row>
    <row r="10249" spans="1:2" x14ac:dyDescent="0.15">
      <c r="A10249" s="15"/>
      <c r="B10249" s="15"/>
    </row>
    <row r="10250" spans="1:2" x14ac:dyDescent="0.15">
      <c r="A10250" s="15"/>
      <c r="B10250" s="15"/>
    </row>
    <row r="10251" spans="1:2" x14ac:dyDescent="0.15">
      <c r="A10251" s="15"/>
      <c r="B10251" s="15"/>
    </row>
    <row r="10252" spans="1:2" x14ac:dyDescent="0.15">
      <c r="A10252" s="15"/>
      <c r="B10252" s="15"/>
    </row>
    <row r="10253" spans="1:2" x14ac:dyDescent="0.15">
      <c r="A10253" s="15"/>
      <c r="B10253" s="15"/>
    </row>
    <row r="10254" spans="1:2" x14ac:dyDescent="0.15">
      <c r="A10254" s="15"/>
      <c r="B10254" s="15"/>
    </row>
    <row r="10255" spans="1:2" x14ac:dyDescent="0.15">
      <c r="A10255" s="15"/>
      <c r="B10255" s="15"/>
    </row>
    <row r="10256" spans="1:2" x14ac:dyDescent="0.15">
      <c r="A10256" s="15"/>
      <c r="B10256" s="15"/>
    </row>
    <row r="10257" spans="1:2" x14ac:dyDescent="0.15">
      <c r="A10257" s="15"/>
      <c r="B10257" s="15"/>
    </row>
    <row r="10258" spans="1:2" x14ac:dyDescent="0.15">
      <c r="A10258" s="15"/>
      <c r="B10258" s="15"/>
    </row>
    <row r="10259" spans="1:2" x14ac:dyDescent="0.15">
      <c r="A10259" s="15"/>
      <c r="B10259" s="15"/>
    </row>
    <row r="10260" spans="1:2" x14ac:dyDescent="0.15">
      <c r="A10260" s="15"/>
      <c r="B10260" s="15"/>
    </row>
    <row r="10261" spans="1:2" x14ac:dyDescent="0.15">
      <c r="A10261" s="15"/>
      <c r="B10261" s="15"/>
    </row>
    <row r="10262" spans="1:2" x14ac:dyDescent="0.15">
      <c r="A10262" s="15"/>
      <c r="B10262" s="15"/>
    </row>
    <row r="10263" spans="1:2" x14ac:dyDescent="0.15">
      <c r="A10263" s="15"/>
      <c r="B10263" s="15"/>
    </row>
    <row r="10264" spans="1:2" x14ac:dyDescent="0.15">
      <c r="A10264" s="15"/>
      <c r="B10264" s="15"/>
    </row>
    <row r="10265" spans="1:2" x14ac:dyDescent="0.15">
      <c r="A10265" s="15"/>
      <c r="B10265" s="15"/>
    </row>
    <row r="10266" spans="1:2" x14ac:dyDescent="0.15">
      <c r="A10266" s="15"/>
      <c r="B10266" s="15"/>
    </row>
    <row r="10267" spans="1:2" x14ac:dyDescent="0.15">
      <c r="A10267" s="15"/>
      <c r="B10267" s="15"/>
    </row>
    <row r="10268" spans="1:2" x14ac:dyDescent="0.15">
      <c r="A10268" s="15"/>
      <c r="B10268" s="15"/>
    </row>
    <row r="10269" spans="1:2" x14ac:dyDescent="0.15">
      <c r="A10269" s="15"/>
      <c r="B10269" s="15"/>
    </row>
    <row r="10270" spans="1:2" x14ac:dyDescent="0.15">
      <c r="A10270" s="15"/>
      <c r="B10270" s="15"/>
    </row>
    <row r="10271" spans="1:2" x14ac:dyDescent="0.15">
      <c r="A10271" s="15"/>
      <c r="B10271" s="15"/>
    </row>
    <row r="10272" spans="1:2" x14ac:dyDescent="0.15">
      <c r="A10272" s="15"/>
      <c r="B10272" s="15"/>
    </row>
    <row r="10273" spans="1:2" x14ac:dyDescent="0.15">
      <c r="A10273" s="15"/>
      <c r="B10273" s="15"/>
    </row>
    <row r="10274" spans="1:2" x14ac:dyDescent="0.15">
      <c r="A10274" s="15"/>
      <c r="B10274" s="15"/>
    </row>
    <row r="10275" spans="1:2" x14ac:dyDescent="0.15">
      <c r="A10275" s="15"/>
      <c r="B10275" s="15"/>
    </row>
    <row r="10276" spans="1:2" x14ac:dyDescent="0.15">
      <c r="A10276" s="15"/>
      <c r="B10276" s="15"/>
    </row>
    <row r="10277" spans="1:2" x14ac:dyDescent="0.15">
      <c r="A10277" s="15"/>
      <c r="B10277" s="15"/>
    </row>
    <row r="10278" spans="1:2" x14ac:dyDescent="0.15">
      <c r="A10278" s="15"/>
      <c r="B10278" s="15"/>
    </row>
    <row r="10279" spans="1:2" x14ac:dyDescent="0.15">
      <c r="A10279" s="15"/>
      <c r="B10279" s="15"/>
    </row>
    <row r="10280" spans="1:2" x14ac:dyDescent="0.15">
      <c r="A10280" s="15"/>
      <c r="B10280" s="15"/>
    </row>
    <row r="10281" spans="1:2" x14ac:dyDescent="0.15">
      <c r="A10281" s="15"/>
      <c r="B10281" s="15"/>
    </row>
    <row r="10282" spans="1:2" x14ac:dyDescent="0.15">
      <c r="A10282" s="15"/>
      <c r="B10282" s="15"/>
    </row>
    <row r="10283" spans="1:2" x14ac:dyDescent="0.15">
      <c r="A10283" s="15"/>
      <c r="B10283" s="15"/>
    </row>
    <row r="10284" spans="1:2" x14ac:dyDescent="0.15">
      <c r="A10284" s="15"/>
      <c r="B10284" s="15"/>
    </row>
    <row r="10285" spans="1:2" x14ac:dyDescent="0.15">
      <c r="A10285" s="15"/>
      <c r="B10285" s="15"/>
    </row>
    <row r="10286" spans="1:2" x14ac:dyDescent="0.15">
      <c r="A10286" s="15"/>
      <c r="B10286" s="15"/>
    </row>
    <row r="10287" spans="1:2" x14ac:dyDescent="0.15">
      <c r="A10287" s="15"/>
      <c r="B10287" s="15"/>
    </row>
    <row r="10288" spans="1:2" x14ac:dyDescent="0.15">
      <c r="A10288" s="15"/>
      <c r="B10288" s="15"/>
    </row>
    <row r="10289" spans="1:2" x14ac:dyDescent="0.15">
      <c r="A10289" s="15"/>
      <c r="B10289" s="15"/>
    </row>
    <row r="10290" spans="1:2" x14ac:dyDescent="0.15">
      <c r="A10290" s="15"/>
      <c r="B10290" s="15"/>
    </row>
    <row r="10291" spans="1:2" x14ac:dyDescent="0.15">
      <c r="A10291" s="15"/>
      <c r="B10291" s="15"/>
    </row>
    <row r="10292" spans="1:2" x14ac:dyDescent="0.15">
      <c r="A10292" s="15"/>
      <c r="B10292" s="15"/>
    </row>
    <row r="10293" spans="1:2" x14ac:dyDescent="0.15">
      <c r="A10293" s="15"/>
      <c r="B10293" s="15"/>
    </row>
    <row r="10294" spans="1:2" x14ac:dyDescent="0.15">
      <c r="A10294" s="15"/>
      <c r="B10294" s="15"/>
    </row>
    <row r="10295" spans="1:2" x14ac:dyDescent="0.15">
      <c r="A10295" s="15"/>
      <c r="B10295" s="15"/>
    </row>
    <row r="10296" spans="1:2" x14ac:dyDescent="0.15">
      <c r="A10296" s="15"/>
      <c r="B10296" s="15"/>
    </row>
    <row r="10297" spans="1:2" x14ac:dyDescent="0.15">
      <c r="A10297" s="15"/>
      <c r="B10297" s="15"/>
    </row>
    <row r="10298" spans="1:2" x14ac:dyDescent="0.15">
      <c r="A10298" s="15"/>
      <c r="B10298" s="15"/>
    </row>
    <row r="10299" spans="1:2" x14ac:dyDescent="0.15">
      <c r="A10299" s="15"/>
      <c r="B10299" s="15"/>
    </row>
    <row r="10300" spans="1:2" x14ac:dyDescent="0.15">
      <c r="A10300" s="15"/>
      <c r="B10300" s="15"/>
    </row>
    <row r="10301" spans="1:2" x14ac:dyDescent="0.15">
      <c r="A10301" s="15"/>
      <c r="B10301" s="15"/>
    </row>
    <row r="10302" spans="1:2" x14ac:dyDescent="0.15">
      <c r="A10302" s="15"/>
      <c r="B10302" s="15"/>
    </row>
    <row r="10303" spans="1:2" x14ac:dyDescent="0.15">
      <c r="A10303" s="15"/>
      <c r="B10303" s="15"/>
    </row>
    <row r="10304" spans="1:2" x14ac:dyDescent="0.15">
      <c r="A10304" s="15"/>
      <c r="B10304" s="15"/>
    </row>
    <row r="10305" spans="1:2" x14ac:dyDescent="0.15">
      <c r="A10305" s="15"/>
      <c r="B10305" s="15"/>
    </row>
    <row r="10306" spans="1:2" x14ac:dyDescent="0.15">
      <c r="A10306" s="15"/>
      <c r="B10306" s="15"/>
    </row>
    <row r="10307" spans="1:2" x14ac:dyDescent="0.15">
      <c r="A10307" s="15"/>
      <c r="B10307" s="15"/>
    </row>
    <row r="10308" spans="1:2" x14ac:dyDescent="0.15">
      <c r="A10308" s="15"/>
      <c r="B10308" s="15"/>
    </row>
    <row r="10309" spans="1:2" x14ac:dyDescent="0.15">
      <c r="A10309" s="15"/>
      <c r="B10309" s="15"/>
    </row>
    <row r="10310" spans="1:2" x14ac:dyDescent="0.15">
      <c r="A10310" s="15"/>
      <c r="B10310" s="15"/>
    </row>
    <row r="10311" spans="1:2" x14ac:dyDescent="0.15">
      <c r="A10311" s="15"/>
      <c r="B10311" s="15"/>
    </row>
    <row r="10312" spans="1:2" x14ac:dyDescent="0.15">
      <c r="A10312" s="15"/>
      <c r="B10312" s="15"/>
    </row>
    <row r="10313" spans="1:2" x14ac:dyDescent="0.15">
      <c r="A10313" s="15"/>
      <c r="B10313" s="15"/>
    </row>
    <row r="10314" spans="1:2" x14ac:dyDescent="0.15">
      <c r="A10314" s="15"/>
      <c r="B10314" s="15"/>
    </row>
    <row r="10315" spans="1:2" x14ac:dyDescent="0.15">
      <c r="A10315" s="15"/>
      <c r="B10315" s="15"/>
    </row>
    <row r="10316" spans="1:2" x14ac:dyDescent="0.15">
      <c r="A10316" s="15"/>
      <c r="B10316" s="15"/>
    </row>
    <row r="10317" spans="1:2" x14ac:dyDescent="0.15">
      <c r="A10317" s="15"/>
      <c r="B10317" s="15"/>
    </row>
    <row r="10318" spans="1:2" x14ac:dyDescent="0.15">
      <c r="A10318" s="15"/>
      <c r="B10318" s="15"/>
    </row>
    <row r="10319" spans="1:2" x14ac:dyDescent="0.15">
      <c r="A10319" s="15"/>
      <c r="B10319" s="15"/>
    </row>
    <row r="10320" spans="1:2" x14ac:dyDescent="0.15">
      <c r="A10320" s="15"/>
      <c r="B10320" s="15"/>
    </row>
    <row r="10321" spans="1:2" x14ac:dyDescent="0.15">
      <c r="A10321" s="15"/>
      <c r="B10321" s="15"/>
    </row>
    <row r="10322" spans="1:2" x14ac:dyDescent="0.15">
      <c r="A10322" s="15"/>
      <c r="B10322" s="15"/>
    </row>
    <row r="10323" spans="1:2" x14ac:dyDescent="0.15">
      <c r="A10323" s="15"/>
      <c r="B10323" s="15"/>
    </row>
    <row r="10324" spans="1:2" x14ac:dyDescent="0.15">
      <c r="A10324" s="15"/>
      <c r="B10324" s="15"/>
    </row>
    <row r="10325" spans="1:2" x14ac:dyDescent="0.15">
      <c r="A10325" s="15"/>
      <c r="B10325" s="15"/>
    </row>
    <row r="10326" spans="1:2" x14ac:dyDescent="0.15">
      <c r="A10326" s="15"/>
      <c r="B10326" s="15"/>
    </row>
    <row r="10327" spans="1:2" x14ac:dyDescent="0.15">
      <c r="A10327" s="15"/>
      <c r="B10327" s="15"/>
    </row>
    <row r="10328" spans="1:2" x14ac:dyDescent="0.15">
      <c r="A10328" s="15"/>
      <c r="B10328" s="15"/>
    </row>
    <row r="10329" spans="1:2" x14ac:dyDescent="0.15">
      <c r="A10329" s="15"/>
      <c r="B10329" s="15"/>
    </row>
    <row r="10330" spans="1:2" x14ac:dyDescent="0.15">
      <c r="A10330" s="15"/>
      <c r="B10330" s="15"/>
    </row>
    <row r="10331" spans="1:2" x14ac:dyDescent="0.15">
      <c r="A10331" s="15"/>
      <c r="B10331" s="15"/>
    </row>
    <row r="10332" spans="1:2" x14ac:dyDescent="0.15">
      <c r="A10332" s="15"/>
      <c r="B10332" s="15"/>
    </row>
    <row r="10333" spans="1:2" x14ac:dyDescent="0.15">
      <c r="A10333" s="15"/>
      <c r="B10333" s="15"/>
    </row>
    <row r="10334" spans="1:2" x14ac:dyDescent="0.15">
      <c r="A10334" s="15"/>
      <c r="B10334" s="15"/>
    </row>
    <row r="10335" spans="1:2" x14ac:dyDescent="0.15">
      <c r="A10335" s="15"/>
      <c r="B10335" s="15"/>
    </row>
    <row r="10336" spans="1:2" x14ac:dyDescent="0.15">
      <c r="A10336" s="15"/>
      <c r="B10336" s="15"/>
    </row>
    <row r="10337" spans="1:2" x14ac:dyDescent="0.15">
      <c r="A10337" s="15"/>
      <c r="B10337" s="15"/>
    </row>
    <row r="10338" spans="1:2" x14ac:dyDescent="0.15">
      <c r="A10338" s="15"/>
      <c r="B10338" s="15"/>
    </row>
    <row r="10339" spans="1:2" x14ac:dyDescent="0.15">
      <c r="A10339" s="15"/>
      <c r="B10339" s="15"/>
    </row>
    <row r="10340" spans="1:2" x14ac:dyDescent="0.15">
      <c r="A10340" s="15"/>
      <c r="B10340" s="15"/>
    </row>
    <row r="10341" spans="1:2" x14ac:dyDescent="0.15">
      <c r="A10341" s="15"/>
      <c r="B10341" s="15"/>
    </row>
    <row r="10342" spans="1:2" x14ac:dyDescent="0.15">
      <c r="A10342" s="15"/>
      <c r="B10342" s="15"/>
    </row>
    <row r="10343" spans="1:2" x14ac:dyDescent="0.15">
      <c r="A10343" s="15"/>
      <c r="B10343" s="15"/>
    </row>
    <row r="10344" spans="1:2" x14ac:dyDescent="0.15">
      <c r="A10344" s="15"/>
      <c r="B10344" s="15"/>
    </row>
    <row r="10345" spans="1:2" x14ac:dyDescent="0.15">
      <c r="A10345" s="15"/>
      <c r="B10345" s="15"/>
    </row>
    <row r="10346" spans="1:2" x14ac:dyDescent="0.15">
      <c r="A10346" s="15"/>
      <c r="B10346" s="15"/>
    </row>
    <row r="10347" spans="1:2" x14ac:dyDescent="0.15">
      <c r="A10347" s="15"/>
      <c r="B10347" s="15"/>
    </row>
    <row r="10348" spans="1:2" x14ac:dyDescent="0.15">
      <c r="A10348" s="15"/>
      <c r="B10348" s="15"/>
    </row>
    <row r="10349" spans="1:2" x14ac:dyDescent="0.15">
      <c r="A10349" s="15"/>
      <c r="B10349" s="15"/>
    </row>
    <row r="10350" spans="1:2" x14ac:dyDescent="0.15">
      <c r="A10350" s="15"/>
      <c r="B10350" s="15"/>
    </row>
    <row r="10351" spans="1:2" x14ac:dyDescent="0.15">
      <c r="A10351" s="15"/>
      <c r="B10351" s="15"/>
    </row>
    <row r="10352" spans="1:2" x14ac:dyDescent="0.15">
      <c r="A10352" s="15"/>
      <c r="B10352" s="15"/>
    </row>
    <row r="10353" spans="1:2" x14ac:dyDescent="0.15">
      <c r="A10353" s="15"/>
      <c r="B10353" s="15"/>
    </row>
    <row r="10354" spans="1:2" x14ac:dyDescent="0.15">
      <c r="A10354" s="15"/>
      <c r="B10354" s="15"/>
    </row>
    <row r="10355" spans="1:2" x14ac:dyDescent="0.15">
      <c r="A10355" s="15"/>
      <c r="B10355" s="15"/>
    </row>
    <row r="10356" spans="1:2" x14ac:dyDescent="0.15">
      <c r="A10356" s="15"/>
      <c r="B10356" s="15"/>
    </row>
    <row r="10357" spans="1:2" x14ac:dyDescent="0.15">
      <c r="A10357" s="15"/>
      <c r="B10357" s="15"/>
    </row>
    <row r="10358" spans="1:2" x14ac:dyDescent="0.15">
      <c r="A10358" s="15"/>
      <c r="B10358" s="15"/>
    </row>
    <row r="10359" spans="1:2" x14ac:dyDescent="0.15">
      <c r="A10359" s="15"/>
      <c r="B10359" s="15"/>
    </row>
    <row r="10360" spans="1:2" x14ac:dyDescent="0.15">
      <c r="A10360" s="15"/>
      <c r="B10360" s="15"/>
    </row>
    <row r="10361" spans="1:2" x14ac:dyDescent="0.15">
      <c r="A10361" s="15"/>
      <c r="B10361" s="15"/>
    </row>
    <row r="10362" spans="1:2" x14ac:dyDescent="0.15">
      <c r="A10362" s="15"/>
      <c r="B10362" s="15"/>
    </row>
    <row r="10363" spans="1:2" x14ac:dyDescent="0.15">
      <c r="A10363" s="15"/>
      <c r="B10363" s="15"/>
    </row>
    <row r="10364" spans="1:2" x14ac:dyDescent="0.15">
      <c r="A10364" s="15"/>
      <c r="B10364" s="15"/>
    </row>
    <row r="10365" spans="1:2" x14ac:dyDescent="0.15">
      <c r="A10365" s="15"/>
      <c r="B10365" s="15"/>
    </row>
    <row r="10366" spans="1:2" x14ac:dyDescent="0.15">
      <c r="A10366" s="15"/>
      <c r="B10366" s="15"/>
    </row>
    <row r="10367" spans="1:2" x14ac:dyDescent="0.15">
      <c r="A10367" s="15"/>
      <c r="B10367" s="15"/>
    </row>
    <row r="10368" spans="1:2" x14ac:dyDescent="0.15">
      <c r="A10368" s="15"/>
      <c r="B10368" s="15"/>
    </row>
    <row r="10369" spans="1:2" x14ac:dyDescent="0.15">
      <c r="A10369" s="15"/>
      <c r="B10369" s="15"/>
    </row>
    <row r="10370" spans="1:2" x14ac:dyDescent="0.15">
      <c r="A10370" s="15"/>
      <c r="B10370" s="15"/>
    </row>
    <row r="10371" spans="1:2" x14ac:dyDescent="0.15">
      <c r="A10371" s="15"/>
      <c r="B10371" s="15"/>
    </row>
    <row r="10372" spans="1:2" x14ac:dyDescent="0.15">
      <c r="A10372" s="15"/>
      <c r="B10372" s="15"/>
    </row>
    <row r="10373" spans="1:2" x14ac:dyDescent="0.15">
      <c r="A10373" s="15"/>
      <c r="B10373" s="15"/>
    </row>
    <row r="10374" spans="1:2" x14ac:dyDescent="0.15">
      <c r="A10374" s="15"/>
      <c r="B10374" s="15"/>
    </row>
    <row r="10375" spans="1:2" x14ac:dyDescent="0.15">
      <c r="A10375" s="15"/>
      <c r="B10375" s="15"/>
    </row>
    <row r="10376" spans="1:2" x14ac:dyDescent="0.15">
      <c r="A10376" s="15"/>
      <c r="B10376" s="15"/>
    </row>
    <row r="10377" spans="1:2" x14ac:dyDescent="0.15">
      <c r="A10377" s="15"/>
      <c r="B10377" s="15"/>
    </row>
    <row r="10378" spans="1:2" x14ac:dyDescent="0.15">
      <c r="A10378" s="15"/>
      <c r="B10378" s="15"/>
    </row>
    <row r="10379" spans="1:2" x14ac:dyDescent="0.15">
      <c r="A10379" s="15"/>
      <c r="B10379" s="15"/>
    </row>
    <row r="10380" spans="1:2" x14ac:dyDescent="0.15">
      <c r="A10380" s="15"/>
      <c r="B10380" s="15"/>
    </row>
    <row r="10381" spans="1:2" x14ac:dyDescent="0.15">
      <c r="A10381" s="15"/>
      <c r="B10381" s="15"/>
    </row>
    <row r="10382" spans="1:2" x14ac:dyDescent="0.15">
      <c r="A10382" s="15"/>
      <c r="B10382" s="15"/>
    </row>
    <row r="10383" spans="1:2" x14ac:dyDescent="0.15">
      <c r="A10383" s="15"/>
      <c r="B10383" s="15"/>
    </row>
    <row r="10384" spans="1:2" x14ac:dyDescent="0.15">
      <c r="A10384" s="15"/>
      <c r="B10384" s="15"/>
    </row>
    <row r="10385" spans="1:2" x14ac:dyDescent="0.15">
      <c r="A10385" s="15"/>
      <c r="B10385" s="15"/>
    </row>
    <row r="10386" spans="1:2" x14ac:dyDescent="0.15">
      <c r="A10386" s="15"/>
      <c r="B10386" s="15"/>
    </row>
    <row r="10387" spans="1:2" x14ac:dyDescent="0.15">
      <c r="A10387" s="15"/>
      <c r="B10387" s="15"/>
    </row>
    <row r="10388" spans="1:2" x14ac:dyDescent="0.15">
      <c r="A10388" s="15"/>
      <c r="B10388" s="15"/>
    </row>
    <row r="10389" spans="1:2" x14ac:dyDescent="0.15">
      <c r="A10389" s="15"/>
      <c r="B10389" s="15"/>
    </row>
    <row r="10390" spans="1:2" x14ac:dyDescent="0.15">
      <c r="A10390" s="15"/>
      <c r="B10390" s="15"/>
    </row>
    <row r="10391" spans="1:2" x14ac:dyDescent="0.15">
      <c r="A10391" s="15"/>
      <c r="B10391" s="15"/>
    </row>
    <row r="10392" spans="1:2" x14ac:dyDescent="0.15">
      <c r="A10392" s="15"/>
      <c r="B10392" s="15"/>
    </row>
    <row r="10393" spans="1:2" x14ac:dyDescent="0.15">
      <c r="A10393" s="15"/>
      <c r="B10393" s="15"/>
    </row>
    <row r="10394" spans="1:2" x14ac:dyDescent="0.15">
      <c r="A10394" s="15"/>
      <c r="B10394" s="15"/>
    </row>
    <row r="10395" spans="1:2" x14ac:dyDescent="0.15">
      <c r="A10395" s="15"/>
      <c r="B10395" s="15"/>
    </row>
    <row r="10396" spans="1:2" x14ac:dyDescent="0.15">
      <c r="A10396" s="15"/>
      <c r="B10396" s="15"/>
    </row>
    <row r="10397" spans="1:2" x14ac:dyDescent="0.15">
      <c r="A10397" s="15"/>
      <c r="B10397" s="15"/>
    </row>
    <row r="10398" spans="1:2" x14ac:dyDescent="0.15">
      <c r="A10398" s="15"/>
      <c r="B10398" s="15"/>
    </row>
    <row r="10399" spans="1:2" x14ac:dyDescent="0.15">
      <c r="A10399" s="15"/>
      <c r="B10399" s="15"/>
    </row>
    <row r="10400" spans="1:2" x14ac:dyDescent="0.15">
      <c r="A10400" s="15"/>
      <c r="B10400" s="15"/>
    </row>
    <row r="10401" spans="1:2" x14ac:dyDescent="0.15">
      <c r="A10401" s="15"/>
      <c r="B10401" s="15"/>
    </row>
    <row r="10402" spans="1:2" x14ac:dyDescent="0.15">
      <c r="A10402" s="15"/>
      <c r="B10402" s="15"/>
    </row>
    <row r="10403" spans="1:2" x14ac:dyDescent="0.15">
      <c r="A10403" s="15"/>
      <c r="B10403" s="15"/>
    </row>
    <row r="10404" spans="1:2" x14ac:dyDescent="0.15">
      <c r="A10404" s="15"/>
      <c r="B10404" s="15"/>
    </row>
    <row r="10405" spans="1:2" x14ac:dyDescent="0.15">
      <c r="A10405" s="15"/>
      <c r="B10405" s="15"/>
    </row>
    <row r="10406" spans="1:2" x14ac:dyDescent="0.15">
      <c r="A10406" s="15"/>
      <c r="B10406" s="15"/>
    </row>
    <row r="10407" spans="1:2" x14ac:dyDescent="0.15">
      <c r="A10407" s="15"/>
      <c r="B10407" s="15"/>
    </row>
    <row r="10408" spans="1:2" x14ac:dyDescent="0.15">
      <c r="A10408" s="15"/>
      <c r="B10408" s="15"/>
    </row>
    <row r="10409" spans="1:2" x14ac:dyDescent="0.15">
      <c r="A10409" s="15"/>
      <c r="B10409" s="15"/>
    </row>
    <row r="10410" spans="1:2" x14ac:dyDescent="0.15">
      <c r="A10410" s="15"/>
      <c r="B10410" s="15"/>
    </row>
    <row r="10411" spans="1:2" x14ac:dyDescent="0.15">
      <c r="A10411" s="15"/>
      <c r="B10411" s="15"/>
    </row>
    <row r="10412" spans="1:2" x14ac:dyDescent="0.15">
      <c r="A10412" s="15"/>
      <c r="B10412" s="15"/>
    </row>
    <row r="10413" spans="1:2" x14ac:dyDescent="0.15">
      <c r="A10413" s="15"/>
      <c r="B10413" s="15"/>
    </row>
    <row r="10414" spans="1:2" x14ac:dyDescent="0.15">
      <c r="A10414" s="15"/>
      <c r="B10414" s="15"/>
    </row>
    <row r="10415" spans="1:2" x14ac:dyDescent="0.15">
      <c r="A10415" s="15"/>
      <c r="B10415" s="15"/>
    </row>
    <row r="10416" spans="1:2" x14ac:dyDescent="0.15">
      <c r="A10416" s="15"/>
      <c r="B10416" s="15"/>
    </row>
    <row r="10417" spans="1:2" x14ac:dyDescent="0.15">
      <c r="A10417" s="15"/>
      <c r="B10417" s="15"/>
    </row>
    <row r="10418" spans="1:2" x14ac:dyDescent="0.15">
      <c r="A10418" s="15"/>
      <c r="B10418" s="15"/>
    </row>
    <row r="10419" spans="1:2" x14ac:dyDescent="0.15">
      <c r="A10419" s="15"/>
      <c r="B10419" s="15"/>
    </row>
    <row r="10420" spans="1:2" x14ac:dyDescent="0.15">
      <c r="A10420" s="15"/>
      <c r="B10420" s="15"/>
    </row>
    <row r="10421" spans="1:2" x14ac:dyDescent="0.15">
      <c r="A10421" s="15"/>
      <c r="B10421" s="15"/>
    </row>
    <row r="10422" spans="1:2" x14ac:dyDescent="0.15">
      <c r="A10422" s="15"/>
      <c r="B10422" s="15"/>
    </row>
    <row r="10423" spans="1:2" x14ac:dyDescent="0.15">
      <c r="A10423" s="15"/>
      <c r="B10423" s="15"/>
    </row>
    <row r="10424" spans="1:2" x14ac:dyDescent="0.15">
      <c r="A10424" s="15"/>
      <c r="B10424" s="15"/>
    </row>
    <row r="10425" spans="1:2" x14ac:dyDescent="0.15">
      <c r="A10425" s="15"/>
      <c r="B10425" s="15"/>
    </row>
    <row r="10426" spans="1:2" x14ac:dyDescent="0.15">
      <c r="A10426" s="15"/>
      <c r="B10426" s="15"/>
    </row>
    <row r="10427" spans="1:2" x14ac:dyDescent="0.15">
      <c r="A10427" s="15"/>
      <c r="B10427" s="15"/>
    </row>
    <row r="10428" spans="1:2" x14ac:dyDescent="0.15">
      <c r="A10428" s="15"/>
      <c r="B10428" s="15"/>
    </row>
    <row r="10429" spans="1:2" x14ac:dyDescent="0.15">
      <c r="A10429" s="15"/>
      <c r="B10429" s="15"/>
    </row>
    <row r="10430" spans="1:2" x14ac:dyDescent="0.15">
      <c r="A10430" s="15"/>
      <c r="B10430" s="15"/>
    </row>
    <row r="10431" spans="1:2" x14ac:dyDescent="0.15">
      <c r="A10431" s="15"/>
      <c r="B10431" s="15"/>
    </row>
    <row r="10432" spans="1:2" x14ac:dyDescent="0.15">
      <c r="A10432" s="15"/>
      <c r="B10432" s="15"/>
    </row>
    <row r="10433" spans="1:2" x14ac:dyDescent="0.15">
      <c r="A10433" s="15"/>
      <c r="B10433" s="15"/>
    </row>
    <row r="10434" spans="1:2" x14ac:dyDescent="0.15">
      <c r="A10434" s="15"/>
      <c r="B10434" s="15"/>
    </row>
    <row r="10435" spans="1:2" x14ac:dyDescent="0.15">
      <c r="A10435" s="15"/>
      <c r="B10435" s="15"/>
    </row>
    <row r="10436" spans="1:2" x14ac:dyDescent="0.15">
      <c r="A10436" s="15"/>
      <c r="B10436" s="15"/>
    </row>
    <row r="10437" spans="1:2" x14ac:dyDescent="0.15">
      <c r="A10437" s="15"/>
      <c r="B10437" s="15"/>
    </row>
    <row r="10438" spans="1:2" x14ac:dyDescent="0.15">
      <c r="A10438" s="15"/>
      <c r="B10438" s="15"/>
    </row>
    <row r="10439" spans="1:2" x14ac:dyDescent="0.15">
      <c r="A10439" s="15"/>
      <c r="B10439" s="15"/>
    </row>
    <row r="10440" spans="1:2" x14ac:dyDescent="0.15">
      <c r="A10440" s="15"/>
      <c r="B10440" s="15"/>
    </row>
    <row r="10441" spans="1:2" x14ac:dyDescent="0.15">
      <c r="A10441" s="15"/>
      <c r="B10441" s="15"/>
    </row>
    <row r="10442" spans="1:2" x14ac:dyDescent="0.15">
      <c r="A10442" s="15"/>
      <c r="B10442" s="15"/>
    </row>
    <row r="10443" spans="1:2" x14ac:dyDescent="0.15">
      <c r="A10443" s="15"/>
      <c r="B10443" s="15"/>
    </row>
    <row r="10444" spans="1:2" x14ac:dyDescent="0.15">
      <c r="A10444" s="15"/>
      <c r="B10444" s="15"/>
    </row>
    <row r="10445" spans="1:2" x14ac:dyDescent="0.15">
      <c r="A10445" s="15"/>
      <c r="B10445" s="15"/>
    </row>
    <row r="10446" spans="1:2" x14ac:dyDescent="0.15">
      <c r="A10446" s="15"/>
      <c r="B10446" s="15"/>
    </row>
    <row r="10447" spans="1:2" x14ac:dyDescent="0.15">
      <c r="A10447" s="15"/>
      <c r="B10447" s="15"/>
    </row>
    <row r="10448" spans="1:2" x14ac:dyDescent="0.15">
      <c r="A10448" s="15"/>
      <c r="B10448" s="15"/>
    </row>
    <row r="10449" spans="1:2" x14ac:dyDescent="0.15">
      <c r="A10449" s="15"/>
      <c r="B10449" s="15"/>
    </row>
    <row r="10450" spans="1:2" x14ac:dyDescent="0.15">
      <c r="A10450" s="15"/>
      <c r="B10450" s="15"/>
    </row>
    <row r="10451" spans="1:2" x14ac:dyDescent="0.15">
      <c r="A10451" s="15"/>
      <c r="B10451" s="15"/>
    </row>
    <row r="10452" spans="1:2" x14ac:dyDescent="0.15">
      <c r="A10452" s="15"/>
      <c r="B10452" s="15"/>
    </row>
    <row r="10453" spans="1:2" x14ac:dyDescent="0.15">
      <c r="A10453" s="15"/>
      <c r="B10453" s="15"/>
    </row>
    <row r="10454" spans="1:2" x14ac:dyDescent="0.15">
      <c r="A10454" s="15"/>
      <c r="B10454" s="15"/>
    </row>
    <row r="10455" spans="1:2" x14ac:dyDescent="0.15">
      <c r="A10455" s="15"/>
      <c r="B10455" s="15"/>
    </row>
    <row r="10456" spans="1:2" x14ac:dyDescent="0.15">
      <c r="A10456" s="15"/>
      <c r="B10456" s="15"/>
    </row>
    <row r="10457" spans="1:2" x14ac:dyDescent="0.15">
      <c r="A10457" s="15"/>
      <c r="B10457" s="15"/>
    </row>
    <row r="10458" spans="1:2" x14ac:dyDescent="0.15">
      <c r="A10458" s="15"/>
      <c r="B10458" s="15"/>
    </row>
    <row r="10459" spans="1:2" x14ac:dyDescent="0.15">
      <c r="A10459" s="15"/>
      <c r="B10459" s="15"/>
    </row>
    <row r="10460" spans="1:2" x14ac:dyDescent="0.15">
      <c r="A10460" s="15"/>
      <c r="B10460" s="15"/>
    </row>
    <row r="10461" spans="1:2" x14ac:dyDescent="0.15">
      <c r="A10461" s="15"/>
      <c r="B10461" s="15"/>
    </row>
    <row r="10462" spans="1:2" x14ac:dyDescent="0.15">
      <c r="A10462" s="15"/>
      <c r="B10462" s="15"/>
    </row>
    <row r="10463" spans="1:2" x14ac:dyDescent="0.15">
      <c r="A10463" s="15"/>
      <c r="B10463" s="15"/>
    </row>
    <row r="10464" spans="1:2" x14ac:dyDescent="0.15">
      <c r="A10464" s="15"/>
      <c r="B10464" s="15"/>
    </row>
    <row r="10465" spans="1:2" x14ac:dyDescent="0.15">
      <c r="A10465" s="15"/>
      <c r="B10465" s="15"/>
    </row>
    <row r="10466" spans="1:2" x14ac:dyDescent="0.15">
      <c r="A10466" s="15"/>
      <c r="B10466" s="15"/>
    </row>
    <row r="10467" spans="1:2" x14ac:dyDescent="0.15">
      <c r="A10467" s="15"/>
      <c r="B10467" s="15"/>
    </row>
    <row r="10468" spans="1:2" x14ac:dyDescent="0.15">
      <c r="A10468" s="15"/>
      <c r="B10468" s="15"/>
    </row>
    <row r="10469" spans="1:2" x14ac:dyDescent="0.15">
      <c r="A10469" s="15"/>
      <c r="B10469" s="15"/>
    </row>
    <row r="10470" spans="1:2" x14ac:dyDescent="0.15">
      <c r="A10470" s="15"/>
      <c r="B10470" s="15"/>
    </row>
    <row r="10471" spans="1:2" x14ac:dyDescent="0.15">
      <c r="A10471" s="15"/>
      <c r="B10471" s="15"/>
    </row>
    <row r="10472" spans="1:2" x14ac:dyDescent="0.15">
      <c r="A10472" s="15"/>
      <c r="B10472" s="15"/>
    </row>
    <row r="10473" spans="1:2" x14ac:dyDescent="0.15">
      <c r="A10473" s="15"/>
      <c r="B10473" s="15"/>
    </row>
    <row r="10474" spans="1:2" x14ac:dyDescent="0.15">
      <c r="A10474" s="15"/>
      <c r="B10474" s="15"/>
    </row>
    <row r="10475" spans="1:2" x14ac:dyDescent="0.15">
      <c r="A10475" s="15"/>
      <c r="B10475" s="15"/>
    </row>
    <row r="10476" spans="1:2" x14ac:dyDescent="0.15">
      <c r="A10476" s="15"/>
      <c r="B10476" s="15"/>
    </row>
    <row r="10477" spans="1:2" x14ac:dyDescent="0.15">
      <c r="A10477" s="15"/>
      <c r="B10477" s="15"/>
    </row>
    <row r="10478" spans="1:2" x14ac:dyDescent="0.15">
      <c r="A10478" s="15"/>
      <c r="B10478" s="15"/>
    </row>
    <row r="10479" spans="1:2" x14ac:dyDescent="0.15">
      <c r="A10479" s="15"/>
      <c r="B10479" s="15"/>
    </row>
    <row r="10480" spans="1:2" x14ac:dyDescent="0.15">
      <c r="A10480" s="15"/>
      <c r="B10480" s="15"/>
    </row>
    <row r="10481" spans="1:2" x14ac:dyDescent="0.15">
      <c r="A10481" s="15"/>
      <c r="B10481" s="15"/>
    </row>
    <row r="10482" spans="1:2" x14ac:dyDescent="0.15">
      <c r="A10482" s="15"/>
      <c r="B10482" s="15"/>
    </row>
    <row r="10483" spans="1:2" x14ac:dyDescent="0.15">
      <c r="A10483" s="15"/>
      <c r="B10483" s="15"/>
    </row>
    <row r="10484" spans="1:2" x14ac:dyDescent="0.15">
      <c r="A10484" s="15"/>
      <c r="B10484" s="15"/>
    </row>
    <row r="10485" spans="1:2" x14ac:dyDescent="0.15">
      <c r="A10485" s="15"/>
      <c r="B10485" s="15"/>
    </row>
    <row r="10486" spans="1:2" x14ac:dyDescent="0.15">
      <c r="A10486" s="15"/>
      <c r="B10486" s="15"/>
    </row>
    <row r="10487" spans="1:2" x14ac:dyDescent="0.15">
      <c r="A10487" s="15"/>
      <c r="B10487" s="15"/>
    </row>
    <row r="10488" spans="1:2" x14ac:dyDescent="0.15">
      <c r="A10488" s="15"/>
      <c r="B10488" s="15"/>
    </row>
    <row r="10489" spans="1:2" x14ac:dyDescent="0.15">
      <c r="A10489" s="15"/>
      <c r="B10489" s="15"/>
    </row>
    <row r="10490" spans="1:2" x14ac:dyDescent="0.15">
      <c r="A10490" s="15"/>
      <c r="B10490" s="15"/>
    </row>
    <row r="10491" spans="1:2" x14ac:dyDescent="0.15">
      <c r="A10491" s="15"/>
      <c r="B10491" s="15"/>
    </row>
    <row r="10492" spans="1:2" x14ac:dyDescent="0.15">
      <c r="A10492" s="15"/>
      <c r="B10492" s="15"/>
    </row>
    <row r="10493" spans="1:2" x14ac:dyDescent="0.15">
      <c r="A10493" s="15"/>
      <c r="B10493" s="15"/>
    </row>
    <row r="10494" spans="1:2" x14ac:dyDescent="0.15">
      <c r="A10494" s="15"/>
      <c r="B10494" s="15"/>
    </row>
    <row r="10495" spans="1:2" x14ac:dyDescent="0.15">
      <c r="A10495" s="15"/>
      <c r="B10495" s="15"/>
    </row>
    <row r="10496" spans="1:2" x14ac:dyDescent="0.15">
      <c r="A10496" s="15"/>
      <c r="B10496" s="15"/>
    </row>
    <row r="10497" spans="1:2" x14ac:dyDescent="0.15">
      <c r="A10497" s="15"/>
      <c r="B10497" s="15"/>
    </row>
    <row r="10498" spans="1:2" x14ac:dyDescent="0.15">
      <c r="A10498" s="15"/>
      <c r="B10498" s="15"/>
    </row>
    <row r="10499" spans="1:2" x14ac:dyDescent="0.15">
      <c r="A10499" s="15"/>
      <c r="B10499" s="15"/>
    </row>
    <row r="10500" spans="1:2" x14ac:dyDescent="0.15">
      <c r="A10500" s="15"/>
      <c r="B10500" s="15"/>
    </row>
    <row r="10501" spans="1:2" x14ac:dyDescent="0.15">
      <c r="A10501" s="15"/>
      <c r="B10501" s="15"/>
    </row>
    <row r="10502" spans="1:2" x14ac:dyDescent="0.15">
      <c r="A10502" s="15"/>
      <c r="B10502" s="15"/>
    </row>
    <row r="10503" spans="1:2" x14ac:dyDescent="0.15">
      <c r="A10503" s="15"/>
      <c r="B10503" s="15"/>
    </row>
    <row r="10504" spans="1:2" x14ac:dyDescent="0.15">
      <c r="A10504" s="15"/>
      <c r="B10504" s="15"/>
    </row>
    <row r="10505" spans="1:2" x14ac:dyDescent="0.15">
      <c r="A10505" s="15"/>
      <c r="B10505" s="15"/>
    </row>
    <row r="10506" spans="1:2" x14ac:dyDescent="0.15">
      <c r="A10506" s="15"/>
      <c r="B10506" s="15"/>
    </row>
    <row r="10507" spans="1:2" x14ac:dyDescent="0.15">
      <c r="A10507" s="15"/>
      <c r="B10507" s="15"/>
    </row>
    <row r="10508" spans="1:2" x14ac:dyDescent="0.15">
      <c r="A10508" s="15"/>
      <c r="B10508" s="15"/>
    </row>
    <row r="10509" spans="1:2" x14ac:dyDescent="0.15">
      <c r="A10509" s="15"/>
      <c r="B10509" s="15"/>
    </row>
    <row r="10510" spans="1:2" x14ac:dyDescent="0.15">
      <c r="A10510" s="15"/>
      <c r="B10510" s="15"/>
    </row>
    <row r="10511" spans="1:2" x14ac:dyDescent="0.15">
      <c r="A10511" s="15"/>
      <c r="B10511" s="15"/>
    </row>
    <row r="10512" spans="1:2" x14ac:dyDescent="0.15">
      <c r="A10512" s="15"/>
      <c r="B10512" s="15"/>
    </row>
    <row r="10513" spans="1:2" x14ac:dyDescent="0.15">
      <c r="A10513" s="15"/>
      <c r="B10513" s="15"/>
    </row>
    <row r="10514" spans="1:2" x14ac:dyDescent="0.15">
      <c r="A10514" s="15"/>
      <c r="B10514" s="15"/>
    </row>
    <row r="10515" spans="1:2" x14ac:dyDescent="0.15">
      <c r="A10515" s="15"/>
      <c r="B10515" s="15"/>
    </row>
    <row r="10516" spans="1:2" x14ac:dyDescent="0.15">
      <c r="A10516" s="15"/>
      <c r="B10516" s="15"/>
    </row>
    <row r="10517" spans="1:2" x14ac:dyDescent="0.15">
      <c r="A10517" s="15"/>
      <c r="B10517" s="15"/>
    </row>
    <row r="10518" spans="1:2" x14ac:dyDescent="0.15">
      <c r="A10518" s="15"/>
      <c r="B10518" s="15"/>
    </row>
    <row r="10519" spans="1:2" x14ac:dyDescent="0.15">
      <c r="A10519" s="15"/>
      <c r="B10519" s="15"/>
    </row>
    <row r="10520" spans="1:2" x14ac:dyDescent="0.15">
      <c r="A10520" s="15"/>
      <c r="B10520" s="15"/>
    </row>
    <row r="10521" spans="1:2" x14ac:dyDescent="0.15">
      <c r="A10521" s="15"/>
      <c r="B10521" s="15"/>
    </row>
    <row r="10522" spans="1:2" x14ac:dyDescent="0.15">
      <c r="A10522" s="15"/>
      <c r="B10522" s="15"/>
    </row>
    <row r="10523" spans="1:2" x14ac:dyDescent="0.15">
      <c r="A10523" s="15"/>
      <c r="B10523" s="15"/>
    </row>
    <row r="10524" spans="1:2" x14ac:dyDescent="0.15">
      <c r="A10524" s="15"/>
      <c r="B10524" s="15"/>
    </row>
    <row r="10525" spans="1:2" x14ac:dyDescent="0.15">
      <c r="A10525" s="15"/>
      <c r="B10525" s="15"/>
    </row>
    <row r="10526" spans="1:2" x14ac:dyDescent="0.15">
      <c r="A10526" s="15"/>
      <c r="B10526" s="15"/>
    </row>
    <row r="10527" spans="1:2" x14ac:dyDescent="0.15">
      <c r="A10527" s="15"/>
      <c r="B10527" s="15"/>
    </row>
    <row r="10528" spans="1:2" x14ac:dyDescent="0.15">
      <c r="A10528" s="15"/>
      <c r="B10528" s="15"/>
    </row>
    <row r="10529" spans="1:2" x14ac:dyDescent="0.15">
      <c r="A10529" s="15"/>
      <c r="B10529" s="15"/>
    </row>
    <row r="10530" spans="1:2" x14ac:dyDescent="0.15">
      <c r="A10530" s="15"/>
      <c r="B10530" s="15"/>
    </row>
    <row r="10531" spans="1:2" x14ac:dyDescent="0.15">
      <c r="A10531" s="15"/>
      <c r="B10531" s="15"/>
    </row>
    <row r="10532" spans="1:2" x14ac:dyDescent="0.15">
      <c r="A10532" s="15"/>
      <c r="B10532" s="15"/>
    </row>
    <row r="10533" spans="1:2" x14ac:dyDescent="0.15">
      <c r="A10533" s="15"/>
      <c r="B10533" s="15"/>
    </row>
    <row r="10534" spans="1:2" x14ac:dyDescent="0.15">
      <c r="A10534" s="15"/>
      <c r="B10534" s="15"/>
    </row>
    <row r="10535" spans="1:2" x14ac:dyDescent="0.15">
      <c r="A10535" s="15"/>
      <c r="B10535" s="15"/>
    </row>
    <row r="10536" spans="1:2" x14ac:dyDescent="0.15">
      <c r="A10536" s="15"/>
      <c r="B10536" s="15"/>
    </row>
    <row r="10537" spans="1:2" x14ac:dyDescent="0.15">
      <c r="A10537" s="15"/>
      <c r="B10537" s="15"/>
    </row>
    <row r="10538" spans="1:2" x14ac:dyDescent="0.15">
      <c r="A10538" s="15"/>
      <c r="B10538" s="15"/>
    </row>
    <row r="10539" spans="1:2" x14ac:dyDescent="0.15">
      <c r="A10539" s="15"/>
      <c r="B10539" s="15"/>
    </row>
    <row r="10540" spans="1:2" x14ac:dyDescent="0.15">
      <c r="A10540" s="15"/>
      <c r="B10540" s="15"/>
    </row>
    <row r="10541" spans="1:2" x14ac:dyDescent="0.15">
      <c r="A10541" s="15"/>
      <c r="B10541" s="15"/>
    </row>
    <row r="10542" spans="1:2" x14ac:dyDescent="0.15">
      <c r="A10542" s="15"/>
      <c r="B10542" s="15"/>
    </row>
    <row r="10543" spans="1:2" x14ac:dyDescent="0.15">
      <c r="A10543" s="15"/>
      <c r="B10543" s="15"/>
    </row>
    <row r="10544" spans="1:2" x14ac:dyDescent="0.15">
      <c r="A10544" s="15"/>
      <c r="B10544" s="15"/>
    </row>
    <row r="10545" spans="1:2" x14ac:dyDescent="0.15">
      <c r="A10545" s="15"/>
      <c r="B10545" s="15"/>
    </row>
    <row r="10546" spans="1:2" x14ac:dyDescent="0.15">
      <c r="A10546" s="15"/>
      <c r="B10546" s="15"/>
    </row>
    <row r="10547" spans="1:2" x14ac:dyDescent="0.15">
      <c r="A10547" s="15"/>
      <c r="B10547" s="15"/>
    </row>
    <row r="10548" spans="1:2" x14ac:dyDescent="0.15">
      <c r="A10548" s="15"/>
      <c r="B10548" s="15"/>
    </row>
    <row r="10549" spans="1:2" x14ac:dyDescent="0.15">
      <c r="A10549" s="15"/>
      <c r="B10549" s="15"/>
    </row>
    <row r="10550" spans="1:2" x14ac:dyDescent="0.15">
      <c r="A10550" s="15"/>
      <c r="B10550" s="15"/>
    </row>
    <row r="10551" spans="1:2" x14ac:dyDescent="0.15">
      <c r="A10551" s="15"/>
      <c r="B10551" s="15"/>
    </row>
    <row r="10552" spans="1:2" x14ac:dyDescent="0.15">
      <c r="A10552" s="15"/>
      <c r="B10552" s="15"/>
    </row>
    <row r="10553" spans="1:2" x14ac:dyDescent="0.15">
      <c r="A10553" s="15"/>
      <c r="B10553" s="15"/>
    </row>
    <row r="10554" spans="1:2" x14ac:dyDescent="0.15">
      <c r="A10554" s="15"/>
      <c r="B10554" s="15"/>
    </row>
    <row r="10555" spans="1:2" x14ac:dyDescent="0.15">
      <c r="A10555" s="15"/>
      <c r="B10555" s="15"/>
    </row>
    <row r="10556" spans="1:2" x14ac:dyDescent="0.15">
      <c r="A10556" s="15"/>
      <c r="B10556" s="15"/>
    </row>
    <row r="10557" spans="1:2" x14ac:dyDescent="0.15">
      <c r="A10557" s="15"/>
      <c r="B10557" s="15"/>
    </row>
    <row r="10558" spans="1:2" x14ac:dyDescent="0.15">
      <c r="A10558" s="15"/>
      <c r="B10558" s="15"/>
    </row>
    <row r="10559" spans="1:2" x14ac:dyDescent="0.15">
      <c r="A10559" s="15"/>
      <c r="B10559" s="15"/>
    </row>
    <row r="10560" spans="1:2" x14ac:dyDescent="0.15">
      <c r="A10560" s="15"/>
      <c r="B10560" s="15"/>
    </row>
    <row r="10561" spans="1:2" x14ac:dyDescent="0.15">
      <c r="A10561" s="15"/>
      <c r="B10561" s="15"/>
    </row>
    <row r="10562" spans="1:2" x14ac:dyDescent="0.15">
      <c r="A10562" s="15"/>
      <c r="B10562" s="15"/>
    </row>
    <row r="10563" spans="1:2" x14ac:dyDescent="0.15">
      <c r="A10563" s="15"/>
      <c r="B10563" s="15"/>
    </row>
    <row r="10564" spans="1:2" x14ac:dyDescent="0.15">
      <c r="A10564" s="15"/>
      <c r="B10564" s="15"/>
    </row>
    <row r="10565" spans="1:2" x14ac:dyDescent="0.15">
      <c r="A10565" s="15"/>
      <c r="B10565" s="15"/>
    </row>
    <row r="10566" spans="1:2" x14ac:dyDescent="0.15">
      <c r="A10566" s="15"/>
      <c r="B10566" s="15"/>
    </row>
    <row r="10567" spans="1:2" x14ac:dyDescent="0.15">
      <c r="A10567" s="15"/>
      <c r="B10567" s="15"/>
    </row>
    <row r="10568" spans="1:2" x14ac:dyDescent="0.15">
      <c r="A10568" s="15"/>
      <c r="B10568" s="15"/>
    </row>
    <row r="10569" spans="1:2" x14ac:dyDescent="0.15">
      <c r="A10569" s="15"/>
      <c r="B10569" s="15"/>
    </row>
    <row r="10570" spans="1:2" x14ac:dyDescent="0.15">
      <c r="A10570" s="15"/>
      <c r="B10570" s="15"/>
    </row>
    <row r="10571" spans="1:2" x14ac:dyDescent="0.15">
      <c r="A10571" s="15"/>
      <c r="B10571" s="15"/>
    </row>
    <row r="10572" spans="1:2" x14ac:dyDescent="0.15">
      <c r="A10572" s="15"/>
      <c r="B10572" s="15"/>
    </row>
    <row r="10573" spans="1:2" x14ac:dyDescent="0.15">
      <c r="A10573" s="15"/>
      <c r="B10573" s="15"/>
    </row>
    <row r="10574" spans="1:2" x14ac:dyDescent="0.15">
      <c r="A10574" s="15"/>
      <c r="B10574" s="15"/>
    </row>
    <row r="10575" spans="1:2" x14ac:dyDescent="0.15">
      <c r="A10575" s="15"/>
      <c r="B10575" s="15"/>
    </row>
    <row r="10576" spans="1:2" x14ac:dyDescent="0.15">
      <c r="A10576" s="15"/>
      <c r="B10576" s="15"/>
    </row>
    <row r="10577" spans="1:2" x14ac:dyDescent="0.15">
      <c r="A10577" s="15"/>
      <c r="B10577" s="15"/>
    </row>
    <row r="10578" spans="1:2" x14ac:dyDescent="0.15">
      <c r="A10578" s="15"/>
      <c r="B10578" s="15"/>
    </row>
    <row r="10579" spans="1:2" x14ac:dyDescent="0.15">
      <c r="A10579" s="15"/>
      <c r="B10579" s="15"/>
    </row>
    <row r="10580" spans="1:2" x14ac:dyDescent="0.15">
      <c r="A10580" s="15"/>
      <c r="B10580" s="15"/>
    </row>
    <row r="10581" spans="1:2" x14ac:dyDescent="0.15">
      <c r="A10581" s="15"/>
      <c r="B10581" s="15"/>
    </row>
    <row r="10582" spans="1:2" x14ac:dyDescent="0.15">
      <c r="A10582" s="15"/>
      <c r="B10582" s="15"/>
    </row>
    <row r="10583" spans="1:2" x14ac:dyDescent="0.15">
      <c r="A10583" s="15"/>
      <c r="B10583" s="15"/>
    </row>
    <row r="10584" spans="1:2" x14ac:dyDescent="0.15">
      <c r="A10584" s="15"/>
      <c r="B10584" s="15"/>
    </row>
    <row r="10585" spans="1:2" x14ac:dyDescent="0.15">
      <c r="A10585" s="15"/>
      <c r="B10585" s="15"/>
    </row>
    <row r="10586" spans="1:2" x14ac:dyDescent="0.15">
      <c r="A10586" s="15"/>
      <c r="B10586" s="15"/>
    </row>
    <row r="10587" spans="1:2" x14ac:dyDescent="0.15">
      <c r="A10587" s="15"/>
      <c r="B10587" s="15"/>
    </row>
    <row r="10588" spans="1:2" x14ac:dyDescent="0.15">
      <c r="A10588" s="15"/>
      <c r="B10588" s="15"/>
    </row>
    <row r="10589" spans="1:2" x14ac:dyDescent="0.15">
      <c r="A10589" s="15"/>
      <c r="B10589" s="15"/>
    </row>
    <row r="10590" spans="1:2" x14ac:dyDescent="0.15">
      <c r="A10590" s="15"/>
      <c r="B10590" s="15"/>
    </row>
    <row r="10591" spans="1:2" x14ac:dyDescent="0.15">
      <c r="A10591" s="15"/>
      <c r="B10591" s="15"/>
    </row>
    <row r="10592" spans="1:2" x14ac:dyDescent="0.15">
      <c r="A10592" s="15"/>
      <c r="B10592" s="15"/>
    </row>
    <row r="10593" spans="1:2" x14ac:dyDescent="0.15">
      <c r="A10593" s="15"/>
      <c r="B10593" s="15"/>
    </row>
    <row r="10594" spans="1:2" x14ac:dyDescent="0.15">
      <c r="A10594" s="15"/>
      <c r="B10594" s="15"/>
    </row>
    <row r="10595" spans="1:2" x14ac:dyDescent="0.15">
      <c r="A10595" s="15"/>
      <c r="B10595" s="15"/>
    </row>
    <row r="10596" spans="1:2" x14ac:dyDescent="0.15">
      <c r="A10596" s="15"/>
      <c r="B10596" s="15"/>
    </row>
    <row r="10597" spans="1:2" x14ac:dyDescent="0.15">
      <c r="A10597" s="15"/>
      <c r="B10597" s="15"/>
    </row>
    <row r="10598" spans="1:2" x14ac:dyDescent="0.15">
      <c r="A10598" s="15"/>
      <c r="B10598" s="15"/>
    </row>
    <row r="10599" spans="1:2" x14ac:dyDescent="0.15">
      <c r="A10599" s="15"/>
      <c r="B10599" s="15"/>
    </row>
    <row r="10600" spans="1:2" x14ac:dyDescent="0.15">
      <c r="A10600" s="15"/>
      <c r="B10600" s="15"/>
    </row>
    <row r="10601" spans="1:2" x14ac:dyDescent="0.15">
      <c r="A10601" s="15"/>
      <c r="B10601" s="15"/>
    </row>
    <row r="10602" spans="1:2" x14ac:dyDescent="0.15">
      <c r="A10602" s="15"/>
      <c r="B10602" s="15"/>
    </row>
    <row r="10603" spans="1:2" x14ac:dyDescent="0.15">
      <c r="A10603" s="15"/>
      <c r="B10603" s="15"/>
    </row>
    <row r="10604" spans="1:2" x14ac:dyDescent="0.15">
      <c r="A10604" s="15"/>
      <c r="B10604" s="15"/>
    </row>
    <row r="10605" spans="1:2" x14ac:dyDescent="0.15">
      <c r="A10605" s="15"/>
      <c r="B10605" s="15"/>
    </row>
    <row r="10606" spans="1:2" x14ac:dyDescent="0.15">
      <c r="A10606" s="15"/>
      <c r="B10606" s="15"/>
    </row>
    <row r="10607" spans="1:2" x14ac:dyDescent="0.15">
      <c r="A10607" s="15"/>
      <c r="B10607" s="15"/>
    </row>
    <row r="10608" spans="1:2" x14ac:dyDescent="0.15">
      <c r="A10608" s="15"/>
      <c r="B10608" s="15"/>
    </row>
    <row r="10609" spans="1:2" x14ac:dyDescent="0.15">
      <c r="A10609" s="15"/>
      <c r="B10609" s="15"/>
    </row>
    <row r="10610" spans="1:2" x14ac:dyDescent="0.15">
      <c r="A10610" s="15"/>
      <c r="B10610" s="15"/>
    </row>
    <row r="10611" spans="1:2" x14ac:dyDescent="0.15">
      <c r="A10611" s="15"/>
      <c r="B10611" s="15"/>
    </row>
    <row r="10612" spans="1:2" x14ac:dyDescent="0.15">
      <c r="A10612" s="15"/>
      <c r="B10612" s="15"/>
    </row>
    <row r="10613" spans="1:2" x14ac:dyDescent="0.15">
      <c r="A10613" s="15"/>
      <c r="B10613" s="15"/>
    </row>
    <row r="10614" spans="1:2" x14ac:dyDescent="0.15">
      <c r="A10614" s="15"/>
      <c r="B10614" s="15"/>
    </row>
    <row r="10615" spans="1:2" x14ac:dyDescent="0.15">
      <c r="A10615" s="15"/>
      <c r="B10615" s="15"/>
    </row>
    <row r="10616" spans="1:2" x14ac:dyDescent="0.15">
      <c r="A10616" s="15"/>
      <c r="B10616" s="15"/>
    </row>
    <row r="10617" spans="1:2" x14ac:dyDescent="0.15">
      <c r="A10617" s="15"/>
      <c r="B10617" s="15"/>
    </row>
    <row r="10618" spans="1:2" x14ac:dyDescent="0.15">
      <c r="A10618" s="15"/>
      <c r="B10618" s="15"/>
    </row>
    <row r="10619" spans="1:2" x14ac:dyDescent="0.15">
      <c r="A10619" s="15"/>
      <c r="B10619" s="15"/>
    </row>
    <row r="10620" spans="1:2" x14ac:dyDescent="0.15">
      <c r="A10620" s="15"/>
      <c r="B10620" s="15"/>
    </row>
    <row r="10621" spans="1:2" x14ac:dyDescent="0.15">
      <c r="A10621" s="15"/>
      <c r="B10621" s="15"/>
    </row>
    <row r="10622" spans="1:2" x14ac:dyDescent="0.15">
      <c r="A10622" s="15"/>
      <c r="B10622" s="15"/>
    </row>
    <row r="10623" spans="1:2" x14ac:dyDescent="0.15">
      <c r="A10623" s="15"/>
      <c r="B10623" s="15"/>
    </row>
    <row r="10624" spans="1:2" x14ac:dyDescent="0.15">
      <c r="A10624" s="15"/>
      <c r="B10624" s="15"/>
    </row>
    <row r="10625" spans="1:2" x14ac:dyDescent="0.15">
      <c r="A10625" s="15"/>
      <c r="B10625" s="15"/>
    </row>
    <row r="10626" spans="1:2" x14ac:dyDescent="0.15">
      <c r="A10626" s="15"/>
      <c r="B10626" s="15"/>
    </row>
    <row r="10627" spans="1:2" x14ac:dyDescent="0.15">
      <c r="A10627" s="15"/>
      <c r="B10627" s="15"/>
    </row>
    <row r="10628" spans="1:2" x14ac:dyDescent="0.15">
      <c r="A10628" s="15"/>
      <c r="B10628" s="15"/>
    </row>
    <row r="10629" spans="1:2" x14ac:dyDescent="0.15">
      <c r="A10629" s="15"/>
      <c r="B10629" s="15"/>
    </row>
    <row r="10630" spans="1:2" x14ac:dyDescent="0.15">
      <c r="A10630" s="15"/>
      <c r="B10630" s="15"/>
    </row>
    <row r="10631" spans="1:2" x14ac:dyDescent="0.15">
      <c r="A10631" s="15"/>
      <c r="B10631" s="15"/>
    </row>
    <row r="10632" spans="1:2" x14ac:dyDescent="0.15">
      <c r="A10632" s="15"/>
      <c r="B10632" s="15"/>
    </row>
    <row r="10633" spans="1:2" x14ac:dyDescent="0.15">
      <c r="A10633" s="15"/>
      <c r="B10633" s="15"/>
    </row>
    <row r="10634" spans="1:2" x14ac:dyDescent="0.15">
      <c r="A10634" s="15"/>
      <c r="B10634" s="15"/>
    </row>
    <row r="10635" spans="1:2" x14ac:dyDescent="0.15">
      <c r="A10635" s="15"/>
      <c r="B10635" s="15"/>
    </row>
    <row r="10636" spans="1:2" x14ac:dyDescent="0.15">
      <c r="A10636" s="15"/>
      <c r="B10636" s="15"/>
    </row>
    <row r="10637" spans="1:2" x14ac:dyDescent="0.15">
      <c r="A10637" s="15"/>
      <c r="B10637" s="15"/>
    </row>
    <row r="10638" spans="1:2" x14ac:dyDescent="0.15">
      <c r="A10638" s="15"/>
      <c r="B10638" s="15"/>
    </row>
    <row r="10639" spans="1:2" x14ac:dyDescent="0.15">
      <c r="A10639" s="15"/>
      <c r="B10639" s="15"/>
    </row>
    <row r="10640" spans="1:2" x14ac:dyDescent="0.15">
      <c r="A10640" s="15"/>
      <c r="B10640" s="15"/>
    </row>
    <row r="10641" spans="1:2" x14ac:dyDescent="0.15">
      <c r="A10641" s="15"/>
      <c r="B10641" s="15"/>
    </row>
    <row r="10642" spans="1:2" x14ac:dyDescent="0.15">
      <c r="A10642" s="15"/>
      <c r="B10642" s="15"/>
    </row>
    <row r="10643" spans="1:2" x14ac:dyDescent="0.15">
      <c r="A10643" s="15"/>
      <c r="B10643" s="15"/>
    </row>
    <row r="10644" spans="1:2" x14ac:dyDescent="0.15">
      <c r="A10644" s="15"/>
      <c r="B10644" s="15"/>
    </row>
    <row r="10645" spans="1:2" x14ac:dyDescent="0.15">
      <c r="A10645" s="15"/>
      <c r="B10645" s="15"/>
    </row>
    <row r="10646" spans="1:2" x14ac:dyDescent="0.15">
      <c r="A10646" s="15"/>
      <c r="B10646" s="15"/>
    </row>
    <row r="10647" spans="1:2" x14ac:dyDescent="0.15">
      <c r="A10647" s="15"/>
      <c r="B10647" s="15"/>
    </row>
    <row r="10648" spans="1:2" x14ac:dyDescent="0.15">
      <c r="A10648" s="15"/>
      <c r="B10648" s="15"/>
    </row>
    <row r="10649" spans="1:2" x14ac:dyDescent="0.15">
      <c r="A10649" s="15"/>
      <c r="B10649" s="15"/>
    </row>
    <row r="10650" spans="1:2" x14ac:dyDescent="0.15">
      <c r="A10650" s="15"/>
      <c r="B10650" s="15"/>
    </row>
    <row r="10651" spans="1:2" x14ac:dyDescent="0.15">
      <c r="A10651" s="15"/>
      <c r="B10651" s="15"/>
    </row>
    <row r="10652" spans="1:2" x14ac:dyDescent="0.15">
      <c r="A10652" s="15"/>
      <c r="B10652" s="15"/>
    </row>
    <row r="10653" spans="1:2" x14ac:dyDescent="0.15">
      <c r="A10653" s="15"/>
      <c r="B10653" s="15"/>
    </row>
    <row r="10654" spans="1:2" x14ac:dyDescent="0.15">
      <c r="A10654" s="15"/>
      <c r="B10654" s="15"/>
    </row>
    <row r="10655" spans="1:2" x14ac:dyDescent="0.15">
      <c r="A10655" s="15"/>
      <c r="B10655" s="15"/>
    </row>
    <row r="10656" spans="1:2" x14ac:dyDescent="0.15">
      <c r="A10656" s="15"/>
      <c r="B10656" s="15"/>
    </row>
    <row r="10657" spans="1:2" x14ac:dyDescent="0.15">
      <c r="A10657" s="15"/>
      <c r="B10657" s="15"/>
    </row>
    <row r="10658" spans="1:2" x14ac:dyDescent="0.15">
      <c r="A10658" s="15"/>
      <c r="B10658" s="15"/>
    </row>
    <row r="10659" spans="1:2" x14ac:dyDescent="0.15">
      <c r="A10659" s="15"/>
      <c r="B10659" s="15"/>
    </row>
    <row r="10660" spans="1:2" x14ac:dyDescent="0.15">
      <c r="A10660" s="15"/>
      <c r="B10660" s="15"/>
    </row>
    <row r="10661" spans="1:2" x14ac:dyDescent="0.15">
      <c r="A10661" s="15"/>
      <c r="B10661" s="15"/>
    </row>
    <row r="10662" spans="1:2" x14ac:dyDescent="0.15">
      <c r="A10662" s="15"/>
      <c r="B10662" s="15"/>
    </row>
    <row r="10663" spans="1:2" x14ac:dyDescent="0.15">
      <c r="A10663" s="15"/>
      <c r="B10663" s="15"/>
    </row>
    <row r="10664" spans="1:2" x14ac:dyDescent="0.15">
      <c r="A10664" s="15"/>
      <c r="B10664" s="15"/>
    </row>
    <row r="10665" spans="1:2" x14ac:dyDescent="0.15">
      <c r="A10665" s="15"/>
      <c r="B10665" s="15"/>
    </row>
    <row r="10666" spans="1:2" x14ac:dyDescent="0.15">
      <c r="A10666" s="15"/>
      <c r="B10666" s="15"/>
    </row>
    <row r="10667" spans="1:2" x14ac:dyDescent="0.15">
      <c r="A10667" s="15"/>
      <c r="B10667" s="15"/>
    </row>
    <row r="10668" spans="1:2" x14ac:dyDescent="0.15">
      <c r="A10668" s="15"/>
      <c r="B10668" s="15"/>
    </row>
    <row r="10669" spans="1:2" x14ac:dyDescent="0.15">
      <c r="A10669" s="15"/>
      <c r="B10669" s="15"/>
    </row>
    <row r="10670" spans="1:2" x14ac:dyDescent="0.15">
      <c r="A10670" s="15"/>
      <c r="B10670" s="15"/>
    </row>
    <row r="10671" spans="1:2" x14ac:dyDescent="0.15">
      <c r="A10671" s="15"/>
      <c r="B10671" s="15"/>
    </row>
    <row r="10672" spans="1:2" x14ac:dyDescent="0.15">
      <c r="A10672" s="15"/>
      <c r="B10672" s="15"/>
    </row>
    <row r="10673" spans="1:2" x14ac:dyDescent="0.15">
      <c r="A10673" s="15"/>
      <c r="B10673" s="15"/>
    </row>
    <row r="10674" spans="1:2" x14ac:dyDescent="0.15">
      <c r="A10674" s="15"/>
      <c r="B10674" s="15"/>
    </row>
    <row r="10675" spans="1:2" x14ac:dyDescent="0.15">
      <c r="A10675" s="15"/>
      <c r="B10675" s="15"/>
    </row>
    <row r="10676" spans="1:2" x14ac:dyDescent="0.15">
      <c r="A10676" s="15"/>
      <c r="B10676" s="15"/>
    </row>
    <row r="10677" spans="1:2" x14ac:dyDescent="0.15">
      <c r="A10677" s="15"/>
      <c r="B10677" s="15"/>
    </row>
    <row r="10678" spans="1:2" x14ac:dyDescent="0.15">
      <c r="A10678" s="15"/>
      <c r="B10678" s="15"/>
    </row>
    <row r="10679" spans="1:2" x14ac:dyDescent="0.15">
      <c r="A10679" s="15"/>
      <c r="B10679" s="15"/>
    </row>
    <row r="10680" spans="1:2" x14ac:dyDescent="0.15">
      <c r="A10680" s="15"/>
      <c r="B10680" s="15"/>
    </row>
    <row r="10681" spans="1:2" x14ac:dyDescent="0.15">
      <c r="A10681" s="15"/>
      <c r="B10681" s="15"/>
    </row>
    <row r="10682" spans="1:2" x14ac:dyDescent="0.15">
      <c r="A10682" s="15"/>
      <c r="B10682" s="15"/>
    </row>
    <row r="10683" spans="1:2" x14ac:dyDescent="0.15">
      <c r="A10683" s="15"/>
      <c r="B10683" s="15"/>
    </row>
    <row r="10684" spans="1:2" x14ac:dyDescent="0.15">
      <c r="A10684" s="15"/>
      <c r="B10684" s="15"/>
    </row>
    <row r="10685" spans="1:2" x14ac:dyDescent="0.15">
      <c r="A10685" s="15"/>
      <c r="B10685" s="15"/>
    </row>
    <row r="10686" spans="1:2" x14ac:dyDescent="0.15">
      <c r="A10686" s="15"/>
      <c r="B10686" s="15"/>
    </row>
    <row r="10687" spans="1:2" x14ac:dyDescent="0.15">
      <c r="A10687" s="15"/>
      <c r="B10687" s="15"/>
    </row>
    <row r="10688" spans="1:2" x14ac:dyDescent="0.15">
      <c r="A10688" s="15"/>
      <c r="B10688" s="15"/>
    </row>
    <row r="10689" spans="1:2" x14ac:dyDescent="0.15">
      <c r="A10689" s="15"/>
      <c r="B10689" s="15"/>
    </row>
    <row r="10690" spans="1:2" x14ac:dyDescent="0.15">
      <c r="A10690" s="15"/>
      <c r="B10690" s="15"/>
    </row>
    <row r="10691" spans="1:2" x14ac:dyDescent="0.15">
      <c r="A10691" s="15"/>
      <c r="B10691" s="15"/>
    </row>
    <row r="10692" spans="1:2" x14ac:dyDescent="0.15">
      <c r="A10692" s="15"/>
      <c r="B10692" s="15"/>
    </row>
    <row r="10693" spans="1:2" x14ac:dyDescent="0.15">
      <c r="A10693" s="15"/>
      <c r="B10693" s="15"/>
    </row>
    <row r="10694" spans="1:2" x14ac:dyDescent="0.15">
      <c r="A10694" s="15"/>
      <c r="B10694" s="15"/>
    </row>
    <row r="10695" spans="1:2" x14ac:dyDescent="0.15">
      <c r="A10695" s="15"/>
      <c r="B10695" s="15"/>
    </row>
    <row r="10696" spans="1:2" x14ac:dyDescent="0.15">
      <c r="A10696" s="15"/>
      <c r="B10696" s="15"/>
    </row>
    <row r="10697" spans="1:2" x14ac:dyDescent="0.15">
      <c r="A10697" s="15"/>
      <c r="B10697" s="15"/>
    </row>
    <row r="10698" spans="1:2" x14ac:dyDescent="0.15">
      <c r="A10698" s="15"/>
      <c r="B10698" s="15"/>
    </row>
    <row r="10699" spans="1:2" x14ac:dyDescent="0.15">
      <c r="A10699" s="15"/>
      <c r="B10699" s="15"/>
    </row>
    <row r="10700" spans="1:2" x14ac:dyDescent="0.15">
      <c r="A10700" s="15"/>
      <c r="B10700" s="15"/>
    </row>
    <row r="10701" spans="1:2" x14ac:dyDescent="0.15">
      <c r="A10701" s="15"/>
      <c r="B10701" s="15"/>
    </row>
    <row r="10702" spans="1:2" x14ac:dyDescent="0.15">
      <c r="A10702" s="15"/>
      <c r="B10702" s="15"/>
    </row>
    <row r="10703" spans="1:2" x14ac:dyDescent="0.15">
      <c r="A10703" s="15"/>
      <c r="B10703" s="15"/>
    </row>
    <row r="10704" spans="1:2" x14ac:dyDescent="0.15">
      <c r="A10704" s="15"/>
      <c r="B10704" s="15"/>
    </row>
    <row r="10705" spans="1:2" x14ac:dyDescent="0.15">
      <c r="A10705" s="15"/>
      <c r="B10705" s="15"/>
    </row>
    <row r="10706" spans="1:2" x14ac:dyDescent="0.15">
      <c r="A10706" s="15"/>
      <c r="B10706" s="15"/>
    </row>
    <row r="10707" spans="1:2" x14ac:dyDescent="0.15">
      <c r="A10707" s="15"/>
      <c r="B10707" s="15"/>
    </row>
    <row r="10708" spans="1:2" x14ac:dyDescent="0.15">
      <c r="A10708" s="15"/>
      <c r="B10708" s="15"/>
    </row>
    <row r="10709" spans="1:2" x14ac:dyDescent="0.15">
      <c r="A10709" s="15"/>
      <c r="B10709" s="15"/>
    </row>
    <row r="10710" spans="1:2" x14ac:dyDescent="0.15">
      <c r="A10710" s="15"/>
      <c r="B10710" s="15"/>
    </row>
    <row r="10711" spans="1:2" x14ac:dyDescent="0.15">
      <c r="A10711" s="15"/>
      <c r="B10711" s="15"/>
    </row>
    <row r="10712" spans="1:2" x14ac:dyDescent="0.15">
      <c r="A10712" s="15"/>
      <c r="B10712" s="15"/>
    </row>
    <row r="10713" spans="1:2" x14ac:dyDescent="0.15">
      <c r="A10713" s="15"/>
      <c r="B10713" s="15"/>
    </row>
    <row r="10714" spans="1:2" x14ac:dyDescent="0.15">
      <c r="A10714" s="15"/>
      <c r="B10714" s="15"/>
    </row>
    <row r="10715" spans="1:2" x14ac:dyDescent="0.15">
      <c r="A10715" s="15"/>
      <c r="B10715" s="15"/>
    </row>
    <row r="10716" spans="1:2" x14ac:dyDescent="0.15">
      <c r="A10716" s="15"/>
      <c r="B10716" s="15"/>
    </row>
    <row r="10717" spans="1:2" x14ac:dyDescent="0.15">
      <c r="A10717" s="15"/>
      <c r="B10717" s="15"/>
    </row>
    <row r="10718" spans="1:2" x14ac:dyDescent="0.15">
      <c r="A10718" s="15"/>
      <c r="B10718" s="15"/>
    </row>
    <row r="10719" spans="1:2" x14ac:dyDescent="0.15">
      <c r="A10719" s="15"/>
      <c r="B10719" s="15"/>
    </row>
    <row r="10720" spans="1:2" x14ac:dyDescent="0.15">
      <c r="A10720" s="15"/>
      <c r="B10720" s="15"/>
    </row>
    <row r="10721" spans="1:2" x14ac:dyDescent="0.15">
      <c r="A10721" s="15"/>
      <c r="B10721" s="15"/>
    </row>
    <row r="10722" spans="1:2" x14ac:dyDescent="0.15">
      <c r="A10722" s="15"/>
      <c r="B10722" s="15"/>
    </row>
    <row r="10723" spans="1:2" x14ac:dyDescent="0.15">
      <c r="A10723" s="15"/>
      <c r="B10723" s="15"/>
    </row>
    <row r="10724" spans="1:2" x14ac:dyDescent="0.15">
      <c r="A10724" s="15"/>
      <c r="B10724" s="15"/>
    </row>
    <row r="10725" spans="1:2" x14ac:dyDescent="0.15">
      <c r="A10725" s="15"/>
      <c r="B10725" s="15"/>
    </row>
    <row r="10726" spans="1:2" x14ac:dyDescent="0.15">
      <c r="A10726" s="15"/>
      <c r="B10726" s="15"/>
    </row>
    <row r="10727" spans="1:2" x14ac:dyDescent="0.15">
      <c r="A10727" s="15"/>
      <c r="B10727" s="15"/>
    </row>
    <row r="10728" spans="1:2" x14ac:dyDescent="0.15">
      <c r="A10728" s="15"/>
      <c r="B10728" s="15"/>
    </row>
    <row r="10729" spans="1:2" x14ac:dyDescent="0.15">
      <c r="A10729" s="15"/>
      <c r="B10729" s="15"/>
    </row>
    <row r="10730" spans="1:2" x14ac:dyDescent="0.15">
      <c r="A10730" s="15"/>
      <c r="B10730" s="15"/>
    </row>
    <row r="10731" spans="1:2" x14ac:dyDescent="0.15">
      <c r="A10731" s="15"/>
      <c r="B10731" s="15"/>
    </row>
    <row r="10732" spans="1:2" x14ac:dyDescent="0.15">
      <c r="A10732" s="15"/>
      <c r="B10732" s="15"/>
    </row>
    <row r="10733" spans="1:2" x14ac:dyDescent="0.15">
      <c r="A10733" s="15"/>
      <c r="B10733" s="15"/>
    </row>
    <row r="10734" spans="1:2" x14ac:dyDescent="0.15">
      <c r="A10734" s="15"/>
      <c r="B10734" s="15"/>
    </row>
    <row r="10735" spans="1:2" x14ac:dyDescent="0.15">
      <c r="A10735" s="15"/>
      <c r="B10735" s="15"/>
    </row>
    <row r="10736" spans="1:2" x14ac:dyDescent="0.15">
      <c r="A10736" s="15"/>
      <c r="B10736" s="15"/>
    </row>
    <row r="10737" spans="1:2" x14ac:dyDescent="0.15">
      <c r="A10737" s="15"/>
      <c r="B10737" s="15"/>
    </row>
    <row r="10738" spans="1:2" x14ac:dyDescent="0.15">
      <c r="A10738" s="15"/>
      <c r="B10738" s="15"/>
    </row>
    <row r="10739" spans="1:2" x14ac:dyDescent="0.15">
      <c r="A10739" s="15"/>
      <c r="B10739" s="15"/>
    </row>
    <row r="10740" spans="1:2" x14ac:dyDescent="0.15">
      <c r="A10740" s="15"/>
      <c r="B10740" s="15"/>
    </row>
    <row r="10741" spans="1:2" x14ac:dyDescent="0.15">
      <c r="A10741" s="15"/>
      <c r="B10741" s="15"/>
    </row>
    <row r="10742" spans="1:2" x14ac:dyDescent="0.15">
      <c r="A10742" s="15"/>
      <c r="B10742" s="15"/>
    </row>
    <row r="10743" spans="1:2" x14ac:dyDescent="0.15">
      <c r="A10743" s="15"/>
      <c r="B10743" s="15"/>
    </row>
    <row r="10744" spans="1:2" x14ac:dyDescent="0.15">
      <c r="A10744" s="15"/>
      <c r="B10744" s="15"/>
    </row>
    <row r="10745" spans="1:2" x14ac:dyDescent="0.15">
      <c r="A10745" s="15"/>
      <c r="B10745" s="15"/>
    </row>
    <row r="10746" spans="1:2" x14ac:dyDescent="0.15">
      <c r="A10746" s="15"/>
      <c r="B10746" s="15"/>
    </row>
    <row r="10747" spans="1:2" x14ac:dyDescent="0.15">
      <c r="A10747" s="15"/>
      <c r="B10747" s="15"/>
    </row>
    <row r="10748" spans="1:2" x14ac:dyDescent="0.15">
      <c r="A10748" s="15"/>
      <c r="B10748" s="15"/>
    </row>
    <row r="10749" spans="1:2" x14ac:dyDescent="0.15">
      <c r="A10749" s="15"/>
      <c r="B10749" s="15"/>
    </row>
    <row r="10750" spans="1:2" x14ac:dyDescent="0.15">
      <c r="A10750" s="15"/>
      <c r="B10750" s="15"/>
    </row>
    <row r="10751" spans="1:2" x14ac:dyDescent="0.15">
      <c r="A10751" s="15"/>
      <c r="B10751" s="15"/>
    </row>
    <row r="10752" spans="1:2" x14ac:dyDescent="0.15">
      <c r="A10752" s="15"/>
      <c r="B10752" s="15"/>
    </row>
    <row r="10753" spans="1:2" x14ac:dyDescent="0.15">
      <c r="A10753" s="15"/>
      <c r="B10753" s="15"/>
    </row>
    <row r="10754" spans="1:2" x14ac:dyDescent="0.15">
      <c r="A10754" s="15"/>
      <c r="B10754" s="15"/>
    </row>
    <row r="10755" spans="1:2" x14ac:dyDescent="0.15">
      <c r="A10755" s="15"/>
      <c r="B10755" s="15"/>
    </row>
    <row r="10756" spans="1:2" x14ac:dyDescent="0.15">
      <c r="A10756" s="15"/>
      <c r="B10756" s="15"/>
    </row>
    <row r="10757" spans="1:2" x14ac:dyDescent="0.15">
      <c r="A10757" s="15"/>
      <c r="B10757" s="15"/>
    </row>
    <row r="10758" spans="1:2" x14ac:dyDescent="0.15">
      <c r="A10758" s="15"/>
      <c r="B10758" s="15"/>
    </row>
    <row r="10759" spans="1:2" x14ac:dyDescent="0.15">
      <c r="A10759" s="15"/>
      <c r="B10759" s="15"/>
    </row>
    <row r="10760" spans="1:2" x14ac:dyDescent="0.15">
      <c r="A10760" s="15"/>
      <c r="B10760" s="15"/>
    </row>
    <row r="10761" spans="1:2" x14ac:dyDescent="0.15">
      <c r="A10761" s="15"/>
      <c r="B10761" s="15"/>
    </row>
    <row r="10762" spans="1:2" x14ac:dyDescent="0.15">
      <c r="A10762" s="15"/>
      <c r="B10762" s="15"/>
    </row>
    <row r="10763" spans="1:2" x14ac:dyDescent="0.15">
      <c r="A10763" s="15"/>
      <c r="B10763" s="15"/>
    </row>
    <row r="10764" spans="1:2" x14ac:dyDescent="0.15">
      <c r="A10764" s="15"/>
      <c r="B10764" s="15"/>
    </row>
    <row r="10765" spans="1:2" x14ac:dyDescent="0.15">
      <c r="A10765" s="15"/>
      <c r="B10765" s="15"/>
    </row>
    <row r="10766" spans="1:2" x14ac:dyDescent="0.15">
      <c r="A10766" s="15"/>
      <c r="B10766" s="15"/>
    </row>
    <row r="10767" spans="1:2" x14ac:dyDescent="0.15">
      <c r="A10767" s="15"/>
      <c r="B10767" s="15"/>
    </row>
    <row r="10768" spans="1:2" x14ac:dyDescent="0.15">
      <c r="A10768" s="15"/>
      <c r="B10768" s="15"/>
    </row>
    <row r="10769" spans="1:2" x14ac:dyDescent="0.15">
      <c r="A10769" s="15"/>
      <c r="B10769" s="15"/>
    </row>
    <row r="10770" spans="1:2" x14ac:dyDescent="0.15">
      <c r="A10770" s="15"/>
      <c r="B10770" s="15"/>
    </row>
    <row r="10771" spans="1:2" x14ac:dyDescent="0.15">
      <c r="A10771" s="15"/>
      <c r="B10771" s="15"/>
    </row>
    <row r="10772" spans="1:2" x14ac:dyDescent="0.15">
      <c r="A10772" s="15"/>
      <c r="B10772" s="15"/>
    </row>
    <row r="10773" spans="1:2" x14ac:dyDescent="0.15">
      <c r="A10773" s="15"/>
      <c r="B10773" s="15"/>
    </row>
    <row r="10774" spans="1:2" x14ac:dyDescent="0.15">
      <c r="A10774" s="15"/>
      <c r="B10774" s="15"/>
    </row>
    <row r="10775" spans="1:2" x14ac:dyDescent="0.15">
      <c r="A10775" s="15"/>
      <c r="B10775" s="15"/>
    </row>
    <row r="10776" spans="1:2" x14ac:dyDescent="0.15">
      <c r="A10776" s="15"/>
      <c r="B10776" s="15"/>
    </row>
    <row r="10777" spans="1:2" x14ac:dyDescent="0.15">
      <c r="A10777" s="15"/>
      <c r="B10777" s="15"/>
    </row>
    <row r="10778" spans="1:2" x14ac:dyDescent="0.15">
      <c r="A10778" s="15"/>
      <c r="B10778" s="15"/>
    </row>
    <row r="10779" spans="1:2" x14ac:dyDescent="0.15">
      <c r="A10779" s="15"/>
      <c r="B10779" s="15"/>
    </row>
    <row r="10780" spans="1:2" x14ac:dyDescent="0.15">
      <c r="A10780" s="15"/>
      <c r="B10780" s="15"/>
    </row>
    <row r="10781" spans="1:2" x14ac:dyDescent="0.15">
      <c r="A10781" s="15"/>
      <c r="B10781" s="15"/>
    </row>
    <row r="10782" spans="1:2" x14ac:dyDescent="0.15">
      <c r="A10782" s="15"/>
      <c r="B10782" s="15"/>
    </row>
    <row r="10783" spans="1:2" x14ac:dyDescent="0.15">
      <c r="A10783" s="15"/>
      <c r="B10783" s="15"/>
    </row>
    <row r="10784" spans="1:2" x14ac:dyDescent="0.15">
      <c r="A10784" s="15"/>
      <c r="B10784" s="15"/>
    </row>
    <row r="10785" spans="1:2" x14ac:dyDescent="0.15">
      <c r="A10785" s="15"/>
      <c r="B10785" s="15"/>
    </row>
    <row r="10786" spans="1:2" x14ac:dyDescent="0.15">
      <c r="A10786" s="15"/>
      <c r="B10786" s="15"/>
    </row>
    <row r="10787" spans="1:2" x14ac:dyDescent="0.15">
      <c r="A10787" s="15"/>
      <c r="B10787" s="15"/>
    </row>
    <row r="10788" spans="1:2" x14ac:dyDescent="0.15">
      <c r="A10788" s="15"/>
      <c r="B10788" s="15"/>
    </row>
    <row r="10789" spans="1:2" x14ac:dyDescent="0.15">
      <c r="A10789" s="15"/>
      <c r="B10789" s="15"/>
    </row>
    <row r="10790" spans="1:2" x14ac:dyDescent="0.15">
      <c r="A10790" s="15"/>
      <c r="B10790" s="15"/>
    </row>
    <row r="10791" spans="1:2" x14ac:dyDescent="0.15">
      <c r="A10791" s="15"/>
      <c r="B10791" s="15"/>
    </row>
    <row r="10792" spans="1:2" x14ac:dyDescent="0.15">
      <c r="A10792" s="15"/>
      <c r="B10792" s="15"/>
    </row>
    <row r="10793" spans="1:2" x14ac:dyDescent="0.15">
      <c r="A10793" s="15"/>
      <c r="B10793" s="15"/>
    </row>
    <row r="10794" spans="1:2" x14ac:dyDescent="0.15">
      <c r="A10794" s="15"/>
      <c r="B10794" s="15"/>
    </row>
    <row r="10795" spans="1:2" x14ac:dyDescent="0.15">
      <c r="A10795" s="15"/>
      <c r="B10795" s="15"/>
    </row>
    <row r="10796" spans="1:2" x14ac:dyDescent="0.15">
      <c r="A10796" s="15"/>
      <c r="B10796" s="15"/>
    </row>
    <row r="10797" spans="1:2" x14ac:dyDescent="0.15">
      <c r="A10797" s="15"/>
      <c r="B10797" s="15"/>
    </row>
    <row r="10798" spans="1:2" x14ac:dyDescent="0.15">
      <c r="A10798" s="15"/>
      <c r="B10798" s="15"/>
    </row>
    <row r="10799" spans="1:2" x14ac:dyDescent="0.15">
      <c r="A10799" s="15"/>
      <c r="B10799" s="15"/>
    </row>
    <row r="10800" spans="1:2" x14ac:dyDescent="0.15">
      <c r="A10800" s="15"/>
      <c r="B10800" s="15"/>
    </row>
    <row r="10801" spans="1:2" x14ac:dyDescent="0.15">
      <c r="A10801" s="15"/>
      <c r="B10801" s="15"/>
    </row>
    <row r="10802" spans="1:2" x14ac:dyDescent="0.15">
      <c r="A10802" s="15"/>
      <c r="B10802" s="15"/>
    </row>
    <row r="10803" spans="1:2" x14ac:dyDescent="0.15">
      <c r="A10803" s="15"/>
      <c r="B10803" s="15"/>
    </row>
    <row r="10804" spans="1:2" x14ac:dyDescent="0.15">
      <c r="A10804" s="15"/>
      <c r="B10804" s="15"/>
    </row>
    <row r="10805" spans="1:2" x14ac:dyDescent="0.15">
      <c r="A10805" s="15"/>
      <c r="B10805" s="15"/>
    </row>
    <row r="10806" spans="1:2" x14ac:dyDescent="0.15">
      <c r="A10806" s="15"/>
      <c r="B10806" s="15"/>
    </row>
    <row r="10807" spans="1:2" x14ac:dyDescent="0.15">
      <c r="A10807" s="15"/>
      <c r="B10807" s="15"/>
    </row>
    <row r="10808" spans="1:2" x14ac:dyDescent="0.15">
      <c r="A10808" s="15"/>
      <c r="B10808" s="15"/>
    </row>
    <row r="10809" spans="1:2" x14ac:dyDescent="0.15">
      <c r="A10809" s="15"/>
      <c r="B10809" s="15"/>
    </row>
    <row r="10810" spans="1:2" x14ac:dyDescent="0.15">
      <c r="A10810" s="15"/>
      <c r="B10810" s="15"/>
    </row>
    <row r="10811" spans="1:2" x14ac:dyDescent="0.15">
      <c r="A10811" s="15"/>
      <c r="B10811" s="15"/>
    </row>
    <row r="10812" spans="1:2" x14ac:dyDescent="0.15">
      <c r="A10812" s="15"/>
      <c r="B10812" s="15"/>
    </row>
    <row r="10813" spans="1:2" x14ac:dyDescent="0.15">
      <c r="A10813" s="15"/>
      <c r="B10813" s="15"/>
    </row>
    <row r="10814" spans="1:2" x14ac:dyDescent="0.15">
      <c r="A10814" s="15"/>
      <c r="B10814" s="15"/>
    </row>
    <row r="10815" spans="1:2" x14ac:dyDescent="0.15">
      <c r="A10815" s="15"/>
      <c r="B10815" s="15"/>
    </row>
    <row r="10816" spans="1:2" x14ac:dyDescent="0.15">
      <c r="A10816" s="15"/>
      <c r="B10816" s="15"/>
    </row>
    <row r="10817" spans="1:2" x14ac:dyDescent="0.15">
      <c r="A10817" s="15"/>
      <c r="B10817" s="15"/>
    </row>
    <row r="10818" spans="1:2" x14ac:dyDescent="0.15">
      <c r="A10818" s="15"/>
      <c r="B10818" s="15"/>
    </row>
    <row r="10819" spans="1:2" x14ac:dyDescent="0.15">
      <c r="A10819" s="15"/>
      <c r="B10819" s="15"/>
    </row>
    <row r="10820" spans="1:2" x14ac:dyDescent="0.15">
      <c r="A10820" s="15"/>
      <c r="B10820" s="15"/>
    </row>
    <row r="10821" spans="1:2" x14ac:dyDescent="0.15">
      <c r="A10821" s="15"/>
      <c r="B10821" s="15"/>
    </row>
    <row r="10822" spans="1:2" x14ac:dyDescent="0.15">
      <c r="A10822" s="15"/>
      <c r="B10822" s="15"/>
    </row>
    <row r="10823" spans="1:2" x14ac:dyDescent="0.15">
      <c r="A10823" s="15"/>
      <c r="B10823" s="15"/>
    </row>
    <row r="10824" spans="1:2" x14ac:dyDescent="0.15">
      <c r="A10824" s="15"/>
      <c r="B10824" s="15"/>
    </row>
    <row r="10825" spans="1:2" x14ac:dyDescent="0.15">
      <c r="A10825" s="15"/>
      <c r="B10825" s="15"/>
    </row>
    <row r="10826" spans="1:2" x14ac:dyDescent="0.15">
      <c r="A10826" s="15"/>
      <c r="B10826" s="15"/>
    </row>
    <row r="10827" spans="1:2" x14ac:dyDescent="0.15">
      <c r="A10827" s="15"/>
      <c r="B10827" s="15"/>
    </row>
    <row r="10828" spans="1:2" x14ac:dyDescent="0.15">
      <c r="A10828" s="15"/>
      <c r="B10828" s="15"/>
    </row>
    <row r="10829" spans="1:2" x14ac:dyDescent="0.15">
      <c r="A10829" s="15"/>
      <c r="B10829" s="15"/>
    </row>
    <row r="10830" spans="1:2" x14ac:dyDescent="0.15">
      <c r="A10830" s="15"/>
      <c r="B10830" s="15"/>
    </row>
    <row r="10831" spans="1:2" x14ac:dyDescent="0.15">
      <c r="A10831" s="15"/>
      <c r="B10831" s="15"/>
    </row>
    <row r="10832" spans="1:2" x14ac:dyDescent="0.15">
      <c r="A10832" s="15"/>
      <c r="B10832" s="15"/>
    </row>
    <row r="10833" spans="1:2" x14ac:dyDescent="0.15">
      <c r="A10833" s="15"/>
      <c r="B10833" s="15"/>
    </row>
    <row r="10834" spans="1:2" x14ac:dyDescent="0.15">
      <c r="A10834" s="15"/>
      <c r="B10834" s="15"/>
    </row>
    <row r="10835" spans="1:2" x14ac:dyDescent="0.15">
      <c r="A10835" s="15"/>
      <c r="B10835" s="15"/>
    </row>
    <row r="10836" spans="1:2" x14ac:dyDescent="0.15">
      <c r="A10836" s="15"/>
      <c r="B10836" s="15"/>
    </row>
    <row r="10837" spans="1:2" x14ac:dyDescent="0.15">
      <c r="A10837" s="15"/>
      <c r="B10837" s="15"/>
    </row>
    <row r="10838" spans="1:2" x14ac:dyDescent="0.15">
      <c r="A10838" s="15"/>
      <c r="B10838" s="15"/>
    </row>
    <row r="10839" spans="1:2" x14ac:dyDescent="0.15">
      <c r="A10839" s="15"/>
      <c r="B10839" s="15"/>
    </row>
    <row r="10840" spans="1:2" x14ac:dyDescent="0.15">
      <c r="A10840" s="15"/>
      <c r="B10840" s="15"/>
    </row>
    <row r="10841" spans="1:2" x14ac:dyDescent="0.15">
      <c r="A10841" s="15"/>
      <c r="B10841" s="15"/>
    </row>
    <row r="10842" spans="1:2" x14ac:dyDescent="0.15">
      <c r="A10842" s="15"/>
      <c r="B10842" s="15"/>
    </row>
    <row r="10843" spans="1:2" x14ac:dyDescent="0.15">
      <c r="A10843" s="15"/>
      <c r="B10843" s="15"/>
    </row>
    <row r="10844" spans="1:2" x14ac:dyDescent="0.15">
      <c r="A10844" s="15"/>
      <c r="B10844" s="15"/>
    </row>
    <row r="10845" spans="1:2" x14ac:dyDescent="0.15">
      <c r="A10845" s="15"/>
      <c r="B10845" s="15"/>
    </row>
    <row r="10846" spans="1:2" x14ac:dyDescent="0.15">
      <c r="A10846" s="15"/>
      <c r="B10846" s="15"/>
    </row>
    <row r="10847" spans="1:2" x14ac:dyDescent="0.15">
      <c r="A10847" s="15"/>
      <c r="B10847" s="15"/>
    </row>
    <row r="10848" spans="1:2" x14ac:dyDescent="0.15">
      <c r="A10848" s="15"/>
      <c r="B10848" s="15"/>
    </row>
    <row r="10849" spans="1:2" x14ac:dyDescent="0.15">
      <c r="A10849" s="15"/>
      <c r="B10849" s="15"/>
    </row>
    <row r="10850" spans="1:2" x14ac:dyDescent="0.15">
      <c r="A10850" s="15"/>
      <c r="B10850" s="15"/>
    </row>
    <row r="10851" spans="1:2" x14ac:dyDescent="0.15">
      <c r="A10851" s="15"/>
      <c r="B10851" s="15"/>
    </row>
    <row r="10852" spans="1:2" x14ac:dyDescent="0.15">
      <c r="A10852" s="15"/>
      <c r="B10852" s="15"/>
    </row>
    <row r="10853" spans="1:2" x14ac:dyDescent="0.15">
      <c r="A10853" s="15"/>
      <c r="B10853" s="15"/>
    </row>
    <row r="10854" spans="1:2" x14ac:dyDescent="0.15">
      <c r="A10854" s="15"/>
      <c r="B10854" s="15"/>
    </row>
    <row r="10855" spans="1:2" x14ac:dyDescent="0.15">
      <c r="A10855" s="15"/>
      <c r="B10855" s="15"/>
    </row>
    <row r="10856" spans="1:2" x14ac:dyDescent="0.15">
      <c r="A10856" s="15"/>
      <c r="B10856" s="15"/>
    </row>
    <row r="10857" spans="1:2" x14ac:dyDescent="0.15">
      <c r="A10857" s="15"/>
      <c r="B10857" s="15"/>
    </row>
    <row r="10858" spans="1:2" x14ac:dyDescent="0.15">
      <c r="A10858" s="15"/>
      <c r="B10858" s="15"/>
    </row>
    <row r="10859" spans="1:2" x14ac:dyDescent="0.15">
      <c r="A10859" s="15"/>
      <c r="B10859" s="15"/>
    </row>
    <row r="10860" spans="1:2" x14ac:dyDescent="0.15">
      <c r="A10860" s="15"/>
      <c r="B10860" s="15"/>
    </row>
    <row r="10861" spans="1:2" x14ac:dyDescent="0.15">
      <c r="A10861" s="15"/>
      <c r="B10861" s="15"/>
    </row>
    <row r="10862" spans="1:2" x14ac:dyDescent="0.15">
      <c r="A10862" s="15"/>
      <c r="B10862" s="15"/>
    </row>
    <row r="10863" spans="1:2" x14ac:dyDescent="0.15">
      <c r="A10863" s="15"/>
      <c r="B10863" s="15"/>
    </row>
    <row r="10864" spans="1:2" x14ac:dyDescent="0.15">
      <c r="A10864" s="15"/>
      <c r="B10864" s="15"/>
    </row>
    <row r="10865" spans="1:2" x14ac:dyDescent="0.15">
      <c r="A10865" s="15"/>
      <c r="B10865" s="15"/>
    </row>
    <row r="10866" spans="1:2" x14ac:dyDescent="0.15">
      <c r="A10866" s="15"/>
      <c r="B10866" s="15"/>
    </row>
    <row r="10867" spans="1:2" x14ac:dyDescent="0.15">
      <c r="A10867" s="15"/>
      <c r="B10867" s="15"/>
    </row>
    <row r="10868" spans="1:2" x14ac:dyDescent="0.15">
      <c r="A10868" s="15"/>
      <c r="B10868" s="15"/>
    </row>
    <row r="10869" spans="1:2" x14ac:dyDescent="0.15">
      <c r="A10869" s="15"/>
      <c r="B10869" s="15"/>
    </row>
    <row r="10870" spans="1:2" x14ac:dyDescent="0.15">
      <c r="A10870" s="15"/>
      <c r="B10870" s="15"/>
    </row>
    <row r="10871" spans="1:2" x14ac:dyDescent="0.15">
      <c r="A10871" s="15"/>
      <c r="B10871" s="15"/>
    </row>
    <row r="10872" spans="1:2" x14ac:dyDescent="0.15">
      <c r="A10872" s="15"/>
      <c r="B10872" s="15"/>
    </row>
    <row r="10873" spans="1:2" x14ac:dyDescent="0.15">
      <c r="A10873" s="15"/>
      <c r="B10873" s="15"/>
    </row>
    <row r="10874" spans="1:2" x14ac:dyDescent="0.15">
      <c r="A10874" s="15"/>
      <c r="B10874" s="15"/>
    </row>
    <row r="10875" spans="1:2" x14ac:dyDescent="0.15">
      <c r="A10875" s="15"/>
      <c r="B10875" s="15"/>
    </row>
    <row r="10876" spans="1:2" x14ac:dyDescent="0.15">
      <c r="A10876" s="15"/>
      <c r="B10876" s="15"/>
    </row>
    <row r="10877" spans="1:2" x14ac:dyDescent="0.15">
      <c r="A10877" s="15"/>
      <c r="B10877" s="15"/>
    </row>
    <row r="10878" spans="1:2" x14ac:dyDescent="0.15">
      <c r="A10878" s="15"/>
      <c r="B10878" s="15"/>
    </row>
    <row r="10879" spans="1:2" x14ac:dyDescent="0.15">
      <c r="A10879" s="15"/>
      <c r="B10879" s="15"/>
    </row>
    <row r="10880" spans="1:2" x14ac:dyDescent="0.15">
      <c r="A10880" s="15"/>
      <c r="B10880" s="15"/>
    </row>
    <row r="10881" spans="1:2" x14ac:dyDescent="0.15">
      <c r="A10881" s="15"/>
      <c r="B10881" s="15"/>
    </row>
    <row r="10882" spans="1:2" x14ac:dyDescent="0.15">
      <c r="A10882" s="15"/>
      <c r="B10882" s="15"/>
    </row>
    <row r="10883" spans="1:2" x14ac:dyDescent="0.15">
      <c r="A10883" s="15"/>
      <c r="B10883" s="15"/>
    </row>
    <row r="10884" spans="1:2" x14ac:dyDescent="0.15">
      <c r="A10884" s="15"/>
      <c r="B10884" s="15"/>
    </row>
    <row r="10885" spans="1:2" x14ac:dyDescent="0.15">
      <c r="A10885" s="15"/>
      <c r="B10885" s="15"/>
    </row>
    <row r="10886" spans="1:2" x14ac:dyDescent="0.15">
      <c r="A10886" s="15"/>
      <c r="B10886" s="15"/>
    </row>
    <row r="10887" spans="1:2" x14ac:dyDescent="0.15">
      <c r="A10887" s="15"/>
      <c r="B10887" s="15"/>
    </row>
    <row r="10888" spans="1:2" x14ac:dyDescent="0.15">
      <c r="A10888" s="15"/>
      <c r="B10888" s="15"/>
    </row>
    <row r="10889" spans="1:2" x14ac:dyDescent="0.15">
      <c r="A10889" s="15"/>
      <c r="B10889" s="15"/>
    </row>
    <row r="10890" spans="1:2" x14ac:dyDescent="0.15">
      <c r="A10890" s="15"/>
      <c r="B10890" s="15"/>
    </row>
    <row r="10891" spans="1:2" x14ac:dyDescent="0.15">
      <c r="A10891" s="15"/>
      <c r="B10891" s="15"/>
    </row>
    <row r="10892" spans="1:2" x14ac:dyDescent="0.15">
      <c r="A10892" s="15"/>
      <c r="B10892" s="15"/>
    </row>
    <row r="10893" spans="1:2" x14ac:dyDescent="0.15">
      <c r="A10893" s="15"/>
      <c r="B10893" s="15"/>
    </row>
    <row r="10894" spans="1:2" x14ac:dyDescent="0.15">
      <c r="A10894" s="15"/>
      <c r="B10894" s="15"/>
    </row>
    <row r="10895" spans="1:2" x14ac:dyDescent="0.15">
      <c r="A10895" s="15"/>
      <c r="B10895" s="15"/>
    </row>
    <row r="10896" spans="1:2" x14ac:dyDescent="0.15">
      <c r="A10896" s="15"/>
      <c r="B10896" s="15"/>
    </row>
    <row r="10897" spans="1:2" x14ac:dyDescent="0.15">
      <c r="A10897" s="15"/>
      <c r="B10897" s="15"/>
    </row>
    <row r="10898" spans="1:2" x14ac:dyDescent="0.15">
      <c r="A10898" s="15"/>
      <c r="B10898" s="15"/>
    </row>
    <row r="10899" spans="1:2" x14ac:dyDescent="0.15">
      <c r="A10899" s="15"/>
      <c r="B10899" s="15"/>
    </row>
    <row r="10900" spans="1:2" x14ac:dyDescent="0.15">
      <c r="A10900" s="15"/>
      <c r="B10900" s="15"/>
    </row>
    <row r="10901" spans="1:2" x14ac:dyDescent="0.15">
      <c r="A10901" s="15"/>
      <c r="B10901" s="15"/>
    </row>
    <row r="10902" spans="1:2" x14ac:dyDescent="0.15">
      <c r="A10902" s="15"/>
      <c r="B10902" s="15"/>
    </row>
    <row r="10903" spans="1:2" x14ac:dyDescent="0.15">
      <c r="A10903" s="15"/>
      <c r="B10903" s="15"/>
    </row>
    <row r="10904" spans="1:2" x14ac:dyDescent="0.15">
      <c r="A10904" s="15"/>
      <c r="B10904" s="15"/>
    </row>
    <row r="10905" spans="1:2" x14ac:dyDescent="0.15">
      <c r="A10905" s="15"/>
      <c r="B10905" s="15"/>
    </row>
    <row r="10906" spans="1:2" x14ac:dyDescent="0.15">
      <c r="A10906" s="15"/>
      <c r="B10906" s="15"/>
    </row>
    <row r="10907" spans="1:2" x14ac:dyDescent="0.15">
      <c r="A10907" s="15"/>
      <c r="B10907" s="15"/>
    </row>
    <row r="10908" spans="1:2" x14ac:dyDescent="0.15">
      <c r="A10908" s="15"/>
      <c r="B10908" s="15"/>
    </row>
    <row r="10909" spans="1:2" x14ac:dyDescent="0.15">
      <c r="A10909" s="15"/>
      <c r="B10909" s="15"/>
    </row>
    <row r="10910" spans="1:2" x14ac:dyDescent="0.15">
      <c r="A10910" s="15"/>
      <c r="B10910" s="15"/>
    </row>
    <row r="10911" spans="1:2" x14ac:dyDescent="0.15">
      <c r="A10911" s="15"/>
      <c r="B10911" s="15"/>
    </row>
    <row r="10912" spans="1:2" x14ac:dyDescent="0.15">
      <c r="A10912" s="15"/>
      <c r="B10912" s="15"/>
    </row>
    <row r="10913" spans="1:2" x14ac:dyDescent="0.15">
      <c r="A10913" s="15"/>
      <c r="B10913" s="15"/>
    </row>
    <row r="10914" spans="1:2" x14ac:dyDescent="0.15">
      <c r="A10914" s="15"/>
      <c r="B10914" s="15"/>
    </row>
    <row r="10915" spans="1:2" x14ac:dyDescent="0.15">
      <c r="A10915" s="15"/>
      <c r="B10915" s="15"/>
    </row>
    <row r="10916" spans="1:2" x14ac:dyDescent="0.15">
      <c r="A10916" s="15"/>
      <c r="B10916" s="15"/>
    </row>
    <row r="10917" spans="1:2" x14ac:dyDescent="0.15">
      <c r="A10917" s="15"/>
      <c r="B10917" s="15"/>
    </row>
    <row r="10918" spans="1:2" x14ac:dyDescent="0.15">
      <c r="A10918" s="15"/>
      <c r="B10918" s="15"/>
    </row>
    <row r="10919" spans="1:2" x14ac:dyDescent="0.15">
      <c r="A10919" s="15"/>
      <c r="B10919" s="15"/>
    </row>
    <row r="10920" spans="1:2" x14ac:dyDescent="0.15">
      <c r="A10920" s="15"/>
      <c r="B10920" s="15"/>
    </row>
    <row r="10921" spans="1:2" x14ac:dyDescent="0.15">
      <c r="A10921" s="15"/>
      <c r="B10921" s="15"/>
    </row>
    <row r="10922" spans="1:2" x14ac:dyDescent="0.15">
      <c r="A10922" s="15"/>
      <c r="B10922" s="15"/>
    </row>
    <row r="10923" spans="1:2" x14ac:dyDescent="0.15">
      <c r="A10923" s="15"/>
      <c r="B10923" s="15"/>
    </row>
    <row r="10924" spans="1:2" x14ac:dyDescent="0.15">
      <c r="A10924" s="15"/>
      <c r="B10924" s="15"/>
    </row>
    <row r="10925" spans="1:2" x14ac:dyDescent="0.15">
      <c r="A10925" s="15"/>
      <c r="B10925" s="15"/>
    </row>
    <row r="10926" spans="1:2" x14ac:dyDescent="0.15">
      <c r="A10926" s="15"/>
      <c r="B10926" s="15"/>
    </row>
    <row r="10927" spans="1:2" x14ac:dyDescent="0.15">
      <c r="A10927" s="15"/>
      <c r="B10927" s="15"/>
    </row>
    <row r="10928" spans="1:2" x14ac:dyDescent="0.15">
      <c r="A10928" s="15"/>
      <c r="B10928" s="15"/>
    </row>
    <row r="10929" spans="1:2" x14ac:dyDescent="0.15">
      <c r="A10929" s="15"/>
      <c r="B10929" s="15"/>
    </row>
    <row r="10930" spans="1:2" x14ac:dyDescent="0.15">
      <c r="A10930" s="15"/>
      <c r="B10930" s="15"/>
    </row>
    <row r="10931" spans="1:2" x14ac:dyDescent="0.15">
      <c r="A10931" s="15"/>
      <c r="B10931" s="15"/>
    </row>
    <row r="10932" spans="1:2" x14ac:dyDescent="0.15">
      <c r="A10932" s="15"/>
      <c r="B10932" s="15"/>
    </row>
    <row r="10933" spans="1:2" x14ac:dyDescent="0.15">
      <c r="A10933" s="15"/>
      <c r="B10933" s="15"/>
    </row>
    <row r="10934" spans="1:2" x14ac:dyDescent="0.15">
      <c r="A10934" s="15"/>
      <c r="B10934" s="15"/>
    </row>
    <row r="10935" spans="1:2" x14ac:dyDescent="0.15">
      <c r="A10935" s="15"/>
      <c r="B10935" s="15"/>
    </row>
    <row r="10936" spans="1:2" x14ac:dyDescent="0.15">
      <c r="A10936" s="15"/>
      <c r="B10936" s="15"/>
    </row>
    <row r="10937" spans="1:2" x14ac:dyDescent="0.15">
      <c r="A10937" s="15"/>
      <c r="B10937" s="15"/>
    </row>
    <row r="10938" spans="1:2" x14ac:dyDescent="0.15">
      <c r="A10938" s="15"/>
      <c r="B10938" s="15"/>
    </row>
    <row r="10939" spans="1:2" x14ac:dyDescent="0.15">
      <c r="A10939" s="15"/>
      <c r="B10939" s="15"/>
    </row>
    <row r="10940" spans="1:2" x14ac:dyDescent="0.15">
      <c r="A10940" s="15"/>
      <c r="B10940" s="15"/>
    </row>
    <row r="10941" spans="1:2" x14ac:dyDescent="0.15">
      <c r="A10941" s="15"/>
      <c r="B10941" s="15"/>
    </row>
    <row r="10942" spans="1:2" x14ac:dyDescent="0.15">
      <c r="A10942" s="15"/>
      <c r="B10942" s="15"/>
    </row>
    <row r="10943" spans="1:2" x14ac:dyDescent="0.15">
      <c r="A10943" s="15"/>
      <c r="B10943" s="15"/>
    </row>
    <row r="10944" spans="1:2" x14ac:dyDescent="0.15">
      <c r="A10944" s="15"/>
      <c r="B10944" s="15"/>
    </row>
    <row r="10945" spans="1:2" x14ac:dyDescent="0.15">
      <c r="A10945" s="15"/>
      <c r="B10945" s="15"/>
    </row>
    <row r="10946" spans="1:2" x14ac:dyDescent="0.15">
      <c r="A10946" s="15"/>
      <c r="B10946" s="15"/>
    </row>
    <row r="10947" spans="1:2" x14ac:dyDescent="0.15">
      <c r="A10947" s="15"/>
      <c r="B10947" s="15"/>
    </row>
    <row r="10948" spans="1:2" x14ac:dyDescent="0.15">
      <c r="A10948" s="15"/>
      <c r="B10948" s="15"/>
    </row>
    <row r="10949" spans="1:2" x14ac:dyDescent="0.15">
      <c r="A10949" s="15"/>
      <c r="B10949" s="15"/>
    </row>
    <row r="10950" spans="1:2" x14ac:dyDescent="0.15">
      <c r="A10950" s="15"/>
      <c r="B10950" s="15"/>
    </row>
    <row r="10951" spans="1:2" x14ac:dyDescent="0.15">
      <c r="A10951" s="15"/>
      <c r="B10951" s="15"/>
    </row>
    <row r="10952" spans="1:2" x14ac:dyDescent="0.15">
      <c r="A10952" s="15"/>
      <c r="B10952" s="15"/>
    </row>
    <row r="10953" spans="1:2" x14ac:dyDescent="0.15">
      <c r="A10953" s="15"/>
      <c r="B10953" s="15"/>
    </row>
    <row r="10954" spans="1:2" x14ac:dyDescent="0.15">
      <c r="A10954" s="15"/>
      <c r="B10954" s="15"/>
    </row>
    <row r="10955" spans="1:2" x14ac:dyDescent="0.15">
      <c r="A10955" s="15"/>
      <c r="B10955" s="15"/>
    </row>
    <row r="10956" spans="1:2" x14ac:dyDescent="0.15">
      <c r="A10956" s="15"/>
      <c r="B10956" s="15"/>
    </row>
    <row r="10957" spans="1:2" x14ac:dyDescent="0.15">
      <c r="A10957" s="15"/>
      <c r="B10957" s="15"/>
    </row>
    <row r="10958" spans="1:2" x14ac:dyDescent="0.15">
      <c r="A10958" s="15"/>
      <c r="B10958" s="15"/>
    </row>
    <row r="10959" spans="1:2" x14ac:dyDescent="0.15">
      <c r="A10959" s="15"/>
      <c r="B10959" s="15"/>
    </row>
    <row r="10960" spans="1:2" x14ac:dyDescent="0.15">
      <c r="A10960" s="15"/>
      <c r="B10960" s="15"/>
    </row>
    <row r="10961" spans="1:2" x14ac:dyDescent="0.15">
      <c r="A10961" s="15"/>
      <c r="B10961" s="15"/>
    </row>
    <row r="10962" spans="1:2" x14ac:dyDescent="0.15">
      <c r="A10962" s="15"/>
      <c r="B10962" s="15"/>
    </row>
    <row r="10963" spans="1:2" x14ac:dyDescent="0.15">
      <c r="A10963" s="15"/>
      <c r="B10963" s="15"/>
    </row>
    <row r="10964" spans="1:2" x14ac:dyDescent="0.15">
      <c r="A10964" s="15"/>
      <c r="B10964" s="15"/>
    </row>
    <row r="10965" spans="1:2" x14ac:dyDescent="0.15">
      <c r="A10965" s="15"/>
      <c r="B10965" s="15"/>
    </row>
    <row r="10966" spans="1:2" x14ac:dyDescent="0.15">
      <c r="A10966" s="15"/>
      <c r="B10966" s="15"/>
    </row>
    <row r="10967" spans="1:2" x14ac:dyDescent="0.15">
      <c r="A10967" s="15"/>
      <c r="B10967" s="15"/>
    </row>
    <row r="10968" spans="1:2" x14ac:dyDescent="0.15">
      <c r="A10968" s="15"/>
      <c r="B10968" s="15"/>
    </row>
    <row r="10969" spans="1:2" x14ac:dyDescent="0.15">
      <c r="A10969" s="15"/>
      <c r="B10969" s="15"/>
    </row>
    <row r="10970" spans="1:2" x14ac:dyDescent="0.15">
      <c r="A10970" s="15"/>
      <c r="B10970" s="15"/>
    </row>
    <row r="10971" spans="1:2" x14ac:dyDescent="0.15">
      <c r="A10971" s="15"/>
      <c r="B10971" s="15"/>
    </row>
    <row r="10972" spans="1:2" x14ac:dyDescent="0.15">
      <c r="A10972" s="15"/>
      <c r="B10972" s="15"/>
    </row>
    <row r="10973" spans="1:2" x14ac:dyDescent="0.15">
      <c r="A10973" s="15"/>
      <c r="B10973" s="15"/>
    </row>
    <row r="10974" spans="1:2" x14ac:dyDescent="0.15">
      <c r="A10974" s="15"/>
      <c r="B10974" s="15"/>
    </row>
    <row r="10975" spans="1:2" x14ac:dyDescent="0.15">
      <c r="A10975" s="15"/>
      <c r="B10975" s="15"/>
    </row>
    <row r="10976" spans="1:2" x14ac:dyDescent="0.15">
      <c r="A10976" s="15"/>
      <c r="B10976" s="15"/>
    </row>
    <row r="10977" spans="1:2" x14ac:dyDescent="0.15">
      <c r="A10977" s="15"/>
      <c r="B10977" s="15"/>
    </row>
    <row r="10978" spans="1:2" x14ac:dyDescent="0.15">
      <c r="A10978" s="15"/>
      <c r="B10978" s="15"/>
    </row>
    <row r="10979" spans="1:2" x14ac:dyDescent="0.15">
      <c r="A10979" s="15"/>
      <c r="B10979" s="15"/>
    </row>
    <row r="10980" spans="1:2" x14ac:dyDescent="0.15">
      <c r="A10980" s="15"/>
      <c r="B10980" s="15"/>
    </row>
    <row r="10981" spans="1:2" x14ac:dyDescent="0.15">
      <c r="A10981" s="15"/>
      <c r="B10981" s="15"/>
    </row>
    <row r="10982" spans="1:2" x14ac:dyDescent="0.15">
      <c r="A10982" s="15"/>
      <c r="B10982" s="15"/>
    </row>
    <row r="10983" spans="1:2" x14ac:dyDescent="0.15">
      <c r="A10983" s="15"/>
      <c r="B10983" s="15"/>
    </row>
    <row r="10984" spans="1:2" x14ac:dyDescent="0.15">
      <c r="A10984" s="15"/>
      <c r="B10984" s="15"/>
    </row>
    <row r="10985" spans="1:2" x14ac:dyDescent="0.15">
      <c r="A10985" s="15"/>
      <c r="B10985" s="15"/>
    </row>
    <row r="10986" spans="1:2" x14ac:dyDescent="0.15">
      <c r="A10986" s="15"/>
      <c r="B10986" s="15"/>
    </row>
    <row r="10987" spans="1:2" x14ac:dyDescent="0.15">
      <c r="A10987" s="15"/>
      <c r="B10987" s="15"/>
    </row>
    <row r="10988" spans="1:2" x14ac:dyDescent="0.15">
      <c r="A10988" s="15"/>
      <c r="B10988" s="15"/>
    </row>
    <row r="10989" spans="1:2" x14ac:dyDescent="0.15">
      <c r="A10989" s="15"/>
      <c r="B10989" s="15"/>
    </row>
    <row r="10990" spans="1:2" x14ac:dyDescent="0.15">
      <c r="A10990" s="15"/>
      <c r="B10990" s="15"/>
    </row>
    <row r="10991" spans="1:2" x14ac:dyDescent="0.15">
      <c r="A10991" s="15"/>
      <c r="B10991" s="15"/>
    </row>
    <row r="10992" spans="1:2" x14ac:dyDescent="0.15">
      <c r="A10992" s="15"/>
      <c r="B10992" s="15"/>
    </row>
    <row r="10993" spans="1:2" x14ac:dyDescent="0.15">
      <c r="A10993" s="15"/>
      <c r="B10993" s="15"/>
    </row>
    <row r="10994" spans="1:2" x14ac:dyDescent="0.15">
      <c r="A10994" s="15"/>
      <c r="B10994" s="15"/>
    </row>
    <row r="10995" spans="1:2" x14ac:dyDescent="0.15">
      <c r="A10995" s="15"/>
      <c r="B10995" s="15"/>
    </row>
    <row r="10996" spans="1:2" x14ac:dyDescent="0.15">
      <c r="A10996" s="15"/>
      <c r="B10996" s="15"/>
    </row>
    <row r="10997" spans="1:2" x14ac:dyDescent="0.15">
      <c r="A10997" s="15"/>
      <c r="B10997" s="15"/>
    </row>
    <row r="10998" spans="1:2" x14ac:dyDescent="0.15">
      <c r="A10998" s="15"/>
      <c r="B10998" s="15"/>
    </row>
    <row r="10999" spans="1:2" x14ac:dyDescent="0.15">
      <c r="A10999" s="15"/>
      <c r="B10999" s="15"/>
    </row>
    <row r="11000" spans="1:2" x14ac:dyDescent="0.15">
      <c r="A11000" s="15"/>
      <c r="B11000" s="15"/>
    </row>
    <row r="11001" spans="1:2" x14ac:dyDescent="0.15">
      <c r="A11001" s="15"/>
      <c r="B11001" s="15"/>
    </row>
    <row r="11002" spans="1:2" x14ac:dyDescent="0.15">
      <c r="A11002" s="15"/>
      <c r="B11002" s="15"/>
    </row>
    <row r="11003" spans="1:2" x14ac:dyDescent="0.15">
      <c r="A11003" s="15"/>
      <c r="B11003" s="15"/>
    </row>
    <row r="11004" spans="1:2" x14ac:dyDescent="0.15">
      <c r="A11004" s="15"/>
      <c r="B11004" s="15"/>
    </row>
    <row r="11005" spans="1:2" x14ac:dyDescent="0.15">
      <c r="A11005" s="15"/>
      <c r="B11005" s="15"/>
    </row>
    <row r="11006" spans="1:2" x14ac:dyDescent="0.15">
      <c r="A11006" s="15"/>
      <c r="B11006" s="15"/>
    </row>
    <row r="11007" spans="1:2" x14ac:dyDescent="0.15">
      <c r="A11007" s="15"/>
      <c r="B11007" s="15"/>
    </row>
    <row r="11008" spans="1:2" x14ac:dyDescent="0.15">
      <c r="A11008" s="15"/>
      <c r="B11008" s="15"/>
    </row>
    <row r="11009" spans="1:2" x14ac:dyDescent="0.15">
      <c r="A11009" s="15"/>
      <c r="B11009" s="15"/>
    </row>
    <row r="11010" spans="1:2" x14ac:dyDescent="0.15">
      <c r="A11010" s="15"/>
      <c r="B11010" s="15"/>
    </row>
    <row r="11011" spans="1:2" x14ac:dyDescent="0.15">
      <c r="A11011" s="15"/>
      <c r="B11011" s="15"/>
    </row>
    <row r="11012" spans="1:2" x14ac:dyDescent="0.15">
      <c r="A11012" s="15"/>
      <c r="B11012" s="15"/>
    </row>
    <row r="11013" spans="1:2" x14ac:dyDescent="0.15">
      <c r="A11013" s="15"/>
      <c r="B11013" s="15"/>
    </row>
    <row r="11014" spans="1:2" x14ac:dyDescent="0.15">
      <c r="A11014" s="15"/>
      <c r="B11014" s="15"/>
    </row>
    <row r="11015" spans="1:2" x14ac:dyDescent="0.15">
      <c r="A11015" s="15"/>
      <c r="B11015" s="15"/>
    </row>
    <row r="11016" spans="1:2" x14ac:dyDescent="0.15">
      <c r="A11016" s="15"/>
      <c r="B11016" s="15"/>
    </row>
    <row r="11017" spans="1:2" x14ac:dyDescent="0.15">
      <c r="A11017" s="15"/>
      <c r="B11017" s="15"/>
    </row>
    <row r="11018" spans="1:2" x14ac:dyDescent="0.15">
      <c r="A11018" s="15"/>
      <c r="B11018" s="15"/>
    </row>
    <row r="11019" spans="1:2" x14ac:dyDescent="0.15">
      <c r="A11019" s="15"/>
      <c r="B11019" s="15"/>
    </row>
    <row r="11020" spans="1:2" x14ac:dyDescent="0.15">
      <c r="A11020" s="15"/>
      <c r="B11020" s="15"/>
    </row>
    <row r="11021" spans="1:2" x14ac:dyDescent="0.15">
      <c r="A11021" s="15"/>
      <c r="B11021" s="15"/>
    </row>
    <row r="11022" spans="1:2" x14ac:dyDescent="0.15">
      <c r="A11022" s="15"/>
      <c r="B11022" s="15"/>
    </row>
    <row r="11023" spans="1:2" x14ac:dyDescent="0.15">
      <c r="A11023" s="15"/>
      <c r="B11023" s="15"/>
    </row>
    <row r="11024" spans="1:2" x14ac:dyDescent="0.15">
      <c r="A11024" s="15"/>
      <c r="B11024" s="15"/>
    </row>
    <row r="11025" spans="1:2" x14ac:dyDescent="0.15">
      <c r="A11025" s="15"/>
      <c r="B11025" s="15"/>
    </row>
    <row r="11026" spans="1:2" x14ac:dyDescent="0.15">
      <c r="A11026" s="15"/>
      <c r="B11026" s="15"/>
    </row>
    <row r="11027" spans="1:2" x14ac:dyDescent="0.15">
      <c r="A11027" s="15"/>
      <c r="B11027" s="15"/>
    </row>
    <row r="11028" spans="1:2" x14ac:dyDescent="0.15">
      <c r="A11028" s="15"/>
      <c r="B11028" s="15"/>
    </row>
    <row r="11029" spans="1:2" x14ac:dyDescent="0.15">
      <c r="A11029" s="15"/>
      <c r="B11029" s="15"/>
    </row>
    <row r="11030" spans="1:2" x14ac:dyDescent="0.15">
      <c r="A11030" s="15"/>
      <c r="B11030" s="15"/>
    </row>
    <row r="11031" spans="1:2" x14ac:dyDescent="0.15">
      <c r="A11031" s="15"/>
      <c r="B11031" s="15"/>
    </row>
    <row r="11032" spans="1:2" x14ac:dyDescent="0.15">
      <c r="A11032" s="15"/>
      <c r="B11032" s="15"/>
    </row>
    <row r="11033" spans="1:2" x14ac:dyDescent="0.15">
      <c r="A11033" s="15"/>
      <c r="B11033" s="15"/>
    </row>
    <row r="11034" spans="1:2" x14ac:dyDescent="0.15">
      <c r="A11034" s="15"/>
      <c r="B11034" s="15"/>
    </row>
    <row r="11035" spans="1:2" x14ac:dyDescent="0.15">
      <c r="A11035" s="15"/>
      <c r="B11035" s="15"/>
    </row>
    <row r="11036" spans="1:2" x14ac:dyDescent="0.15">
      <c r="A11036" s="15"/>
      <c r="B11036" s="15"/>
    </row>
    <row r="11037" spans="1:2" x14ac:dyDescent="0.15">
      <c r="A11037" s="15"/>
      <c r="B11037" s="15"/>
    </row>
    <row r="11038" spans="1:2" x14ac:dyDescent="0.15">
      <c r="A11038" s="15"/>
      <c r="B11038" s="15"/>
    </row>
    <row r="11039" spans="1:2" x14ac:dyDescent="0.15">
      <c r="A11039" s="15"/>
      <c r="B11039" s="15"/>
    </row>
    <row r="11040" spans="1:2" x14ac:dyDescent="0.15">
      <c r="A11040" s="15"/>
      <c r="B11040" s="15"/>
    </row>
    <row r="11041" spans="1:2" x14ac:dyDescent="0.15">
      <c r="A11041" s="15"/>
      <c r="B11041" s="15"/>
    </row>
    <row r="11042" spans="1:2" x14ac:dyDescent="0.15">
      <c r="A11042" s="15"/>
      <c r="B11042" s="15"/>
    </row>
    <row r="11043" spans="1:2" x14ac:dyDescent="0.15">
      <c r="A11043" s="15"/>
      <c r="B11043" s="15"/>
    </row>
    <row r="11044" spans="1:2" x14ac:dyDescent="0.15">
      <c r="A11044" s="15"/>
      <c r="B11044" s="15"/>
    </row>
    <row r="11045" spans="1:2" x14ac:dyDescent="0.15">
      <c r="A11045" s="15"/>
      <c r="B11045" s="15"/>
    </row>
    <row r="11046" spans="1:2" x14ac:dyDescent="0.15">
      <c r="A11046" s="15"/>
      <c r="B11046" s="15"/>
    </row>
    <row r="11047" spans="1:2" x14ac:dyDescent="0.15">
      <c r="A11047" s="15"/>
      <c r="B11047" s="15"/>
    </row>
    <row r="11048" spans="1:2" x14ac:dyDescent="0.15">
      <c r="A11048" s="15"/>
      <c r="B11048" s="15"/>
    </row>
    <row r="11049" spans="1:2" x14ac:dyDescent="0.15">
      <c r="A11049" s="15"/>
      <c r="B11049" s="15"/>
    </row>
    <row r="11050" spans="1:2" x14ac:dyDescent="0.15">
      <c r="A11050" s="15"/>
      <c r="B11050" s="15"/>
    </row>
    <row r="11051" spans="1:2" x14ac:dyDescent="0.15">
      <c r="A11051" s="15"/>
      <c r="B11051" s="15"/>
    </row>
    <row r="11052" spans="1:2" x14ac:dyDescent="0.15">
      <c r="A11052" s="15"/>
      <c r="B11052" s="15"/>
    </row>
    <row r="11053" spans="1:2" x14ac:dyDescent="0.15">
      <c r="A11053" s="15"/>
      <c r="B11053" s="15"/>
    </row>
    <row r="11054" spans="1:2" x14ac:dyDescent="0.15">
      <c r="A11054" s="15"/>
      <c r="B11054" s="15"/>
    </row>
    <row r="11055" spans="1:2" x14ac:dyDescent="0.15">
      <c r="A11055" s="15"/>
      <c r="B11055" s="15"/>
    </row>
    <row r="11056" spans="1:2" x14ac:dyDescent="0.15">
      <c r="A11056" s="15"/>
      <c r="B11056" s="15"/>
    </row>
    <row r="11057" spans="1:2" x14ac:dyDescent="0.15">
      <c r="A11057" s="15"/>
      <c r="B11057" s="15"/>
    </row>
    <row r="11058" spans="1:2" x14ac:dyDescent="0.15">
      <c r="A11058" s="15"/>
      <c r="B11058" s="15"/>
    </row>
    <row r="11059" spans="1:2" x14ac:dyDescent="0.15">
      <c r="A11059" s="15"/>
      <c r="B11059" s="15"/>
    </row>
    <row r="11060" spans="1:2" x14ac:dyDescent="0.15">
      <c r="A11060" s="15"/>
      <c r="B11060" s="15"/>
    </row>
    <row r="11061" spans="1:2" x14ac:dyDescent="0.15">
      <c r="A11061" s="15"/>
      <c r="B11061" s="15"/>
    </row>
    <row r="11062" spans="1:2" x14ac:dyDescent="0.15">
      <c r="A11062" s="15"/>
      <c r="B11062" s="15"/>
    </row>
    <row r="11063" spans="1:2" x14ac:dyDescent="0.15">
      <c r="A11063" s="15"/>
      <c r="B11063" s="15"/>
    </row>
    <row r="11064" spans="1:2" x14ac:dyDescent="0.15">
      <c r="A11064" s="15"/>
      <c r="B11064" s="15"/>
    </row>
    <row r="11065" spans="1:2" x14ac:dyDescent="0.15">
      <c r="A11065" s="15"/>
      <c r="B11065" s="15"/>
    </row>
    <row r="11066" spans="1:2" x14ac:dyDescent="0.15">
      <c r="A11066" s="15"/>
      <c r="B11066" s="15"/>
    </row>
    <row r="11067" spans="1:2" x14ac:dyDescent="0.15">
      <c r="A11067" s="15"/>
      <c r="B11067" s="15"/>
    </row>
    <row r="11068" spans="1:2" x14ac:dyDescent="0.15">
      <c r="A11068" s="15"/>
      <c r="B11068" s="15"/>
    </row>
    <row r="11069" spans="1:2" x14ac:dyDescent="0.15">
      <c r="A11069" s="15"/>
      <c r="B11069" s="15"/>
    </row>
    <row r="11070" spans="1:2" x14ac:dyDescent="0.15">
      <c r="A11070" s="15"/>
      <c r="B11070" s="15"/>
    </row>
    <row r="11071" spans="1:2" x14ac:dyDescent="0.15">
      <c r="A11071" s="15"/>
      <c r="B11071" s="15"/>
    </row>
    <row r="11072" spans="1:2" x14ac:dyDescent="0.15">
      <c r="A11072" s="15"/>
      <c r="B11072" s="15"/>
    </row>
    <row r="11073" spans="1:2" x14ac:dyDescent="0.15">
      <c r="A11073" s="15"/>
      <c r="B11073" s="15"/>
    </row>
    <row r="11074" spans="1:2" x14ac:dyDescent="0.15">
      <c r="A11074" s="15"/>
      <c r="B11074" s="15"/>
    </row>
    <row r="11075" spans="1:2" x14ac:dyDescent="0.15">
      <c r="A11075" s="15"/>
      <c r="B11075" s="15"/>
    </row>
    <row r="11076" spans="1:2" x14ac:dyDescent="0.15">
      <c r="A11076" s="15"/>
      <c r="B11076" s="15"/>
    </row>
    <row r="11077" spans="1:2" x14ac:dyDescent="0.15">
      <c r="A11077" s="15"/>
      <c r="B11077" s="15"/>
    </row>
    <row r="11078" spans="1:2" x14ac:dyDescent="0.15">
      <c r="A11078" s="15"/>
      <c r="B11078" s="15"/>
    </row>
    <row r="11079" spans="1:2" x14ac:dyDescent="0.15">
      <c r="A11079" s="15"/>
      <c r="B11079" s="15"/>
    </row>
    <row r="11080" spans="1:2" x14ac:dyDescent="0.15">
      <c r="A11080" s="15"/>
      <c r="B11080" s="15"/>
    </row>
    <row r="11081" spans="1:2" x14ac:dyDescent="0.15">
      <c r="A11081" s="15"/>
      <c r="B11081" s="15"/>
    </row>
    <row r="11082" spans="1:2" x14ac:dyDescent="0.15">
      <c r="A11082" s="15"/>
      <c r="B11082" s="15"/>
    </row>
    <row r="11083" spans="1:2" x14ac:dyDescent="0.15">
      <c r="A11083" s="15"/>
      <c r="B11083" s="15"/>
    </row>
    <row r="11084" spans="1:2" x14ac:dyDescent="0.15">
      <c r="A11084" s="15"/>
      <c r="B11084" s="15"/>
    </row>
    <row r="11085" spans="1:2" x14ac:dyDescent="0.15">
      <c r="A11085" s="15"/>
      <c r="B11085" s="15"/>
    </row>
    <row r="11086" spans="1:2" x14ac:dyDescent="0.15">
      <c r="A11086" s="15"/>
      <c r="B11086" s="15"/>
    </row>
    <row r="11087" spans="1:2" x14ac:dyDescent="0.15">
      <c r="A11087" s="15"/>
      <c r="B11087" s="15"/>
    </row>
    <row r="11088" spans="1:2" x14ac:dyDescent="0.15">
      <c r="A11088" s="15"/>
      <c r="B11088" s="15"/>
    </row>
    <row r="11089" spans="1:2" x14ac:dyDescent="0.15">
      <c r="A11089" s="15"/>
      <c r="B11089" s="15"/>
    </row>
    <row r="11090" spans="1:2" x14ac:dyDescent="0.15">
      <c r="A11090" s="15"/>
      <c r="B11090" s="15"/>
    </row>
    <row r="11091" spans="1:2" x14ac:dyDescent="0.15">
      <c r="A11091" s="15"/>
      <c r="B11091" s="15"/>
    </row>
    <row r="11092" spans="1:2" x14ac:dyDescent="0.15">
      <c r="A11092" s="15"/>
      <c r="B11092" s="15"/>
    </row>
    <row r="11093" spans="1:2" x14ac:dyDescent="0.15">
      <c r="A11093" s="15"/>
      <c r="B11093" s="15"/>
    </row>
    <row r="11094" spans="1:2" x14ac:dyDescent="0.15">
      <c r="A11094" s="15"/>
      <c r="B11094" s="15"/>
    </row>
    <row r="11095" spans="1:2" x14ac:dyDescent="0.15">
      <c r="A11095" s="15"/>
      <c r="B11095" s="15"/>
    </row>
    <row r="11096" spans="1:2" x14ac:dyDescent="0.15">
      <c r="A11096" s="15"/>
      <c r="B11096" s="15"/>
    </row>
    <row r="11097" spans="1:2" x14ac:dyDescent="0.15">
      <c r="A11097" s="15"/>
      <c r="B11097" s="15"/>
    </row>
    <row r="11098" spans="1:2" x14ac:dyDescent="0.15">
      <c r="A11098" s="15"/>
      <c r="B11098" s="15"/>
    </row>
    <row r="11099" spans="1:2" x14ac:dyDescent="0.15">
      <c r="A11099" s="15"/>
      <c r="B11099" s="15"/>
    </row>
    <row r="11100" spans="1:2" x14ac:dyDescent="0.15">
      <c r="A11100" s="15"/>
      <c r="B11100" s="15"/>
    </row>
    <row r="11101" spans="1:2" x14ac:dyDescent="0.15">
      <c r="A11101" s="15"/>
      <c r="B11101" s="15"/>
    </row>
    <row r="11102" spans="1:2" x14ac:dyDescent="0.15">
      <c r="A11102" s="15"/>
      <c r="B11102" s="15"/>
    </row>
    <row r="11103" spans="1:2" x14ac:dyDescent="0.15">
      <c r="A11103" s="15"/>
      <c r="B11103" s="15"/>
    </row>
    <row r="11104" spans="1:2" x14ac:dyDescent="0.15">
      <c r="A11104" s="15"/>
      <c r="B11104" s="15"/>
    </row>
    <row r="11105" spans="1:2" x14ac:dyDescent="0.15">
      <c r="A11105" s="15"/>
      <c r="B11105" s="15"/>
    </row>
    <row r="11106" spans="1:2" x14ac:dyDescent="0.15">
      <c r="A11106" s="15"/>
      <c r="B11106" s="15"/>
    </row>
    <row r="11107" spans="1:2" x14ac:dyDescent="0.15">
      <c r="A11107" s="15"/>
      <c r="B11107" s="15"/>
    </row>
    <row r="11108" spans="1:2" x14ac:dyDescent="0.15">
      <c r="A11108" s="15"/>
      <c r="B11108" s="15"/>
    </row>
    <row r="11109" spans="1:2" x14ac:dyDescent="0.15">
      <c r="A11109" s="15"/>
      <c r="B11109" s="15"/>
    </row>
    <row r="11110" spans="1:2" x14ac:dyDescent="0.15">
      <c r="A11110" s="15"/>
      <c r="B11110" s="15"/>
    </row>
    <row r="11111" spans="1:2" x14ac:dyDescent="0.15">
      <c r="A11111" s="15"/>
      <c r="B11111" s="15"/>
    </row>
    <row r="11112" spans="1:2" x14ac:dyDescent="0.15">
      <c r="A11112" s="15"/>
      <c r="B11112" s="15"/>
    </row>
    <row r="11113" spans="1:2" x14ac:dyDescent="0.15">
      <c r="A11113" s="15"/>
      <c r="B11113" s="15"/>
    </row>
    <row r="11114" spans="1:2" x14ac:dyDescent="0.15">
      <c r="A11114" s="15"/>
      <c r="B11114" s="15"/>
    </row>
    <row r="11115" spans="1:2" x14ac:dyDescent="0.15">
      <c r="A11115" s="15"/>
      <c r="B11115" s="15"/>
    </row>
    <row r="11116" spans="1:2" x14ac:dyDescent="0.15">
      <c r="A11116" s="15"/>
      <c r="B11116" s="15"/>
    </row>
    <row r="11117" spans="1:2" x14ac:dyDescent="0.15">
      <c r="A11117" s="15"/>
      <c r="B11117" s="15"/>
    </row>
    <row r="11118" spans="1:2" x14ac:dyDescent="0.15">
      <c r="A11118" s="15"/>
      <c r="B11118" s="15"/>
    </row>
    <row r="11119" spans="1:2" x14ac:dyDescent="0.15">
      <c r="A11119" s="15"/>
      <c r="B11119" s="15"/>
    </row>
    <row r="11120" spans="1:2" x14ac:dyDescent="0.15">
      <c r="A11120" s="15"/>
      <c r="B11120" s="15"/>
    </row>
    <row r="11121" spans="1:2" x14ac:dyDescent="0.15">
      <c r="A11121" s="15"/>
      <c r="B11121" s="15"/>
    </row>
    <row r="11122" spans="1:2" x14ac:dyDescent="0.15">
      <c r="A11122" s="15"/>
      <c r="B11122" s="15"/>
    </row>
    <row r="11123" spans="1:2" x14ac:dyDescent="0.15">
      <c r="A11123" s="15"/>
      <c r="B11123" s="15"/>
    </row>
    <row r="11124" spans="1:2" x14ac:dyDescent="0.15">
      <c r="A11124" s="15"/>
      <c r="B11124" s="15"/>
    </row>
    <row r="11125" spans="1:2" x14ac:dyDescent="0.15">
      <c r="A11125" s="15"/>
      <c r="B11125" s="15"/>
    </row>
    <row r="11126" spans="1:2" x14ac:dyDescent="0.15">
      <c r="A11126" s="15"/>
      <c r="B11126" s="15"/>
    </row>
    <row r="11127" spans="1:2" x14ac:dyDescent="0.15">
      <c r="A11127" s="15"/>
      <c r="B11127" s="15"/>
    </row>
    <row r="11128" spans="1:2" x14ac:dyDescent="0.15">
      <c r="A11128" s="15"/>
      <c r="B11128" s="15"/>
    </row>
    <row r="11129" spans="1:2" x14ac:dyDescent="0.15">
      <c r="A11129" s="15"/>
      <c r="B11129" s="15"/>
    </row>
    <row r="11130" spans="1:2" x14ac:dyDescent="0.15">
      <c r="A11130" s="15"/>
      <c r="B11130" s="15"/>
    </row>
    <row r="11131" spans="1:2" x14ac:dyDescent="0.15">
      <c r="A11131" s="15"/>
      <c r="B11131" s="15"/>
    </row>
    <row r="11132" spans="1:2" x14ac:dyDescent="0.15">
      <c r="A11132" s="15"/>
      <c r="B11132" s="15"/>
    </row>
    <row r="11133" spans="1:2" x14ac:dyDescent="0.15">
      <c r="A11133" s="15"/>
      <c r="B11133" s="15"/>
    </row>
    <row r="11134" spans="1:2" x14ac:dyDescent="0.15">
      <c r="A11134" s="15"/>
      <c r="B11134" s="15"/>
    </row>
    <row r="11135" spans="1:2" x14ac:dyDescent="0.15">
      <c r="A11135" s="15"/>
      <c r="B11135" s="15"/>
    </row>
    <row r="11136" spans="1:2" x14ac:dyDescent="0.15">
      <c r="A11136" s="15"/>
      <c r="B11136" s="15"/>
    </row>
    <row r="11137" spans="1:2" x14ac:dyDescent="0.15">
      <c r="A11137" s="15"/>
      <c r="B11137" s="15"/>
    </row>
    <row r="11138" spans="1:2" x14ac:dyDescent="0.15">
      <c r="A11138" s="15"/>
      <c r="B11138" s="15"/>
    </row>
    <row r="11139" spans="1:2" x14ac:dyDescent="0.15">
      <c r="A11139" s="15"/>
      <c r="B11139" s="15"/>
    </row>
    <row r="11140" spans="1:2" x14ac:dyDescent="0.15">
      <c r="A11140" s="15"/>
      <c r="B11140" s="15"/>
    </row>
    <row r="11141" spans="1:2" x14ac:dyDescent="0.15">
      <c r="A11141" s="15"/>
      <c r="B11141" s="15"/>
    </row>
    <row r="11142" spans="1:2" x14ac:dyDescent="0.15">
      <c r="A11142" s="15"/>
      <c r="B11142" s="15"/>
    </row>
    <row r="11143" spans="1:2" x14ac:dyDescent="0.15">
      <c r="A11143" s="15"/>
      <c r="B11143" s="15"/>
    </row>
    <row r="11144" spans="1:2" x14ac:dyDescent="0.15">
      <c r="A11144" s="15"/>
      <c r="B11144" s="15"/>
    </row>
    <row r="11145" spans="1:2" x14ac:dyDescent="0.15">
      <c r="A11145" s="15"/>
      <c r="B11145" s="15"/>
    </row>
    <row r="11146" spans="1:2" x14ac:dyDescent="0.15">
      <c r="A11146" s="15"/>
      <c r="B11146" s="15"/>
    </row>
    <row r="11147" spans="1:2" x14ac:dyDescent="0.15">
      <c r="A11147" s="15"/>
      <c r="B11147" s="15"/>
    </row>
    <row r="11148" spans="1:2" x14ac:dyDescent="0.15">
      <c r="A11148" s="15"/>
      <c r="B11148" s="15"/>
    </row>
    <row r="11149" spans="1:2" x14ac:dyDescent="0.15">
      <c r="A11149" s="15"/>
      <c r="B11149" s="15"/>
    </row>
    <row r="11150" spans="1:2" x14ac:dyDescent="0.15">
      <c r="A11150" s="15"/>
      <c r="B11150" s="15"/>
    </row>
    <row r="11151" spans="1:2" x14ac:dyDescent="0.15">
      <c r="A11151" s="15"/>
      <c r="B11151" s="15"/>
    </row>
    <row r="11152" spans="1:2" x14ac:dyDescent="0.15">
      <c r="A11152" s="15"/>
      <c r="B11152" s="15"/>
    </row>
    <row r="11153" spans="1:2" x14ac:dyDescent="0.15">
      <c r="A11153" s="15"/>
      <c r="B11153" s="15"/>
    </row>
    <row r="11154" spans="1:2" x14ac:dyDescent="0.15">
      <c r="A11154" s="15"/>
      <c r="B11154" s="15"/>
    </row>
    <row r="11155" spans="1:2" x14ac:dyDescent="0.15">
      <c r="A11155" s="15"/>
      <c r="B11155" s="15"/>
    </row>
    <row r="11156" spans="1:2" x14ac:dyDescent="0.15">
      <c r="A11156" s="15"/>
      <c r="B11156" s="15"/>
    </row>
    <row r="11157" spans="1:2" x14ac:dyDescent="0.15">
      <c r="A11157" s="15"/>
      <c r="B11157" s="15"/>
    </row>
    <row r="11158" spans="1:2" x14ac:dyDescent="0.15">
      <c r="A11158" s="15"/>
      <c r="B11158" s="15"/>
    </row>
    <row r="11159" spans="1:2" x14ac:dyDescent="0.15">
      <c r="A11159" s="15"/>
      <c r="B11159" s="15"/>
    </row>
    <row r="11160" spans="1:2" x14ac:dyDescent="0.15">
      <c r="A11160" s="15"/>
      <c r="B11160" s="15"/>
    </row>
    <row r="11161" spans="1:2" x14ac:dyDescent="0.15">
      <c r="A11161" s="15"/>
      <c r="B11161" s="15"/>
    </row>
    <row r="11162" spans="1:2" x14ac:dyDescent="0.15">
      <c r="A11162" s="15"/>
      <c r="B11162" s="15"/>
    </row>
    <row r="11163" spans="1:2" x14ac:dyDescent="0.15">
      <c r="A11163" s="15"/>
      <c r="B11163" s="15"/>
    </row>
    <row r="11164" spans="1:2" x14ac:dyDescent="0.15">
      <c r="A11164" s="15"/>
      <c r="B11164" s="15"/>
    </row>
    <row r="11165" spans="1:2" x14ac:dyDescent="0.15">
      <c r="A11165" s="15"/>
      <c r="B11165" s="15"/>
    </row>
    <row r="11166" spans="1:2" x14ac:dyDescent="0.15">
      <c r="A11166" s="15"/>
      <c r="B11166" s="15"/>
    </row>
    <row r="11167" spans="1:2" x14ac:dyDescent="0.15">
      <c r="A11167" s="15"/>
      <c r="B11167" s="15"/>
    </row>
    <row r="11168" spans="1:2" x14ac:dyDescent="0.15">
      <c r="A11168" s="15"/>
      <c r="B11168" s="15"/>
    </row>
    <row r="11169" spans="1:2" x14ac:dyDescent="0.15">
      <c r="A11169" s="15"/>
      <c r="B11169" s="15"/>
    </row>
    <row r="11170" spans="1:2" x14ac:dyDescent="0.15">
      <c r="A11170" s="15"/>
      <c r="B11170" s="15"/>
    </row>
    <row r="11171" spans="1:2" x14ac:dyDescent="0.15">
      <c r="A11171" s="15"/>
      <c r="B11171" s="15"/>
    </row>
    <row r="11172" spans="1:2" x14ac:dyDescent="0.15">
      <c r="A11172" s="15"/>
      <c r="B11172" s="15"/>
    </row>
    <row r="11173" spans="1:2" x14ac:dyDescent="0.15">
      <c r="A11173" s="15"/>
      <c r="B11173" s="15"/>
    </row>
    <row r="11174" spans="1:2" x14ac:dyDescent="0.15">
      <c r="A11174" s="15"/>
      <c r="B11174" s="15"/>
    </row>
    <row r="11175" spans="1:2" x14ac:dyDescent="0.15">
      <c r="A11175" s="15"/>
      <c r="B11175" s="15"/>
    </row>
    <row r="11176" spans="1:2" x14ac:dyDescent="0.15">
      <c r="A11176" s="15"/>
      <c r="B11176" s="15"/>
    </row>
    <row r="11177" spans="1:2" x14ac:dyDescent="0.15">
      <c r="A11177" s="15"/>
      <c r="B11177" s="15"/>
    </row>
    <row r="11178" spans="1:2" x14ac:dyDescent="0.15">
      <c r="A11178" s="15"/>
      <c r="B11178" s="15"/>
    </row>
    <row r="11179" spans="1:2" x14ac:dyDescent="0.15">
      <c r="A11179" s="15"/>
      <c r="B11179" s="15"/>
    </row>
    <row r="11180" spans="1:2" x14ac:dyDescent="0.15">
      <c r="A11180" s="15"/>
      <c r="B11180" s="15"/>
    </row>
    <row r="11181" spans="1:2" x14ac:dyDescent="0.15">
      <c r="A11181" s="15"/>
      <c r="B11181" s="15"/>
    </row>
    <row r="11182" spans="1:2" x14ac:dyDescent="0.15">
      <c r="A11182" s="15"/>
      <c r="B11182" s="15"/>
    </row>
    <row r="11183" spans="1:2" x14ac:dyDescent="0.15">
      <c r="A11183" s="15"/>
      <c r="B11183" s="15"/>
    </row>
    <row r="11184" spans="1:2" x14ac:dyDescent="0.15">
      <c r="A11184" s="15"/>
      <c r="B11184" s="15"/>
    </row>
    <row r="11185" spans="1:2" x14ac:dyDescent="0.15">
      <c r="A11185" s="15"/>
      <c r="B11185" s="15"/>
    </row>
    <row r="11186" spans="1:2" x14ac:dyDescent="0.15">
      <c r="A11186" s="15"/>
      <c r="B11186" s="15"/>
    </row>
    <row r="11187" spans="1:2" x14ac:dyDescent="0.15">
      <c r="A11187" s="15"/>
      <c r="B11187" s="15"/>
    </row>
    <row r="11188" spans="1:2" x14ac:dyDescent="0.15">
      <c r="A11188" s="15"/>
      <c r="B11188" s="15"/>
    </row>
    <row r="11189" spans="1:2" x14ac:dyDescent="0.15">
      <c r="A11189" s="15"/>
      <c r="B11189" s="15"/>
    </row>
    <row r="11190" spans="1:2" x14ac:dyDescent="0.15">
      <c r="A11190" s="15"/>
      <c r="B11190" s="15"/>
    </row>
    <row r="11191" spans="1:2" x14ac:dyDescent="0.15">
      <c r="A11191" s="15"/>
      <c r="B11191" s="15"/>
    </row>
    <row r="11192" spans="1:2" x14ac:dyDescent="0.15">
      <c r="A11192" s="15"/>
      <c r="B11192" s="15"/>
    </row>
    <row r="11193" spans="1:2" x14ac:dyDescent="0.15">
      <c r="A11193" s="15"/>
      <c r="B11193" s="15"/>
    </row>
    <row r="11194" spans="1:2" x14ac:dyDescent="0.15">
      <c r="A11194" s="15"/>
      <c r="B11194" s="15"/>
    </row>
    <row r="11195" spans="1:2" x14ac:dyDescent="0.15">
      <c r="A11195" s="15"/>
      <c r="B11195" s="15"/>
    </row>
    <row r="11196" spans="1:2" x14ac:dyDescent="0.15">
      <c r="A11196" s="15"/>
      <c r="B11196" s="15"/>
    </row>
    <row r="11197" spans="1:2" x14ac:dyDescent="0.15">
      <c r="A11197" s="15"/>
      <c r="B11197" s="15"/>
    </row>
    <row r="11198" spans="1:2" x14ac:dyDescent="0.15">
      <c r="A11198" s="15"/>
      <c r="B11198" s="15"/>
    </row>
    <row r="11199" spans="1:2" x14ac:dyDescent="0.15">
      <c r="A11199" s="15"/>
      <c r="B11199" s="15"/>
    </row>
    <row r="11200" spans="1:2" x14ac:dyDescent="0.15">
      <c r="A11200" s="15"/>
      <c r="B11200" s="15"/>
    </row>
    <row r="11201" spans="1:2" x14ac:dyDescent="0.15">
      <c r="A11201" s="15"/>
      <c r="B11201" s="15"/>
    </row>
    <row r="11202" spans="1:2" x14ac:dyDescent="0.15">
      <c r="A11202" s="15"/>
      <c r="B11202" s="15"/>
    </row>
    <row r="11203" spans="1:2" x14ac:dyDescent="0.15">
      <c r="A11203" s="15"/>
      <c r="B11203" s="15"/>
    </row>
    <row r="11204" spans="1:2" x14ac:dyDescent="0.15">
      <c r="A11204" s="15"/>
      <c r="B11204" s="15"/>
    </row>
    <row r="11205" spans="1:2" x14ac:dyDescent="0.15">
      <c r="A11205" s="15"/>
      <c r="B11205" s="15"/>
    </row>
    <row r="11206" spans="1:2" x14ac:dyDescent="0.15">
      <c r="A11206" s="15"/>
      <c r="B11206" s="15"/>
    </row>
    <row r="11207" spans="1:2" x14ac:dyDescent="0.15">
      <c r="A11207" s="15"/>
      <c r="B11207" s="15"/>
    </row>
    <row r="11208" spans="1:2" x14ac:dyDescent="0.15">
      <c r="A11208" s="15"/>
      <c r="B11208" s="15"/>
    </row>
    <row r="11209" spans="1:2" x14ac:dyDescent="0.15">
      <c r="A11209" s="15"/>
      <c r="B11209" s="15"/>
    </row>
    <row r="11210" spans="1:2" x14ac:dyDescent="0.15">
      <c r="A11210" s="15"/>
      <c r="B11210" s="15"/>
    </row>
    <row r="11211" spans="1:2" x14ac:dyDescent="0.15">
      <c r="A11211" s="15"/>
      <c r="B11211" s="15"/>
    </row>
    <row r="11212" spans="1:2" x14ac:dyDescent="0.15">
      <c r="A11212" s="15"/>
      <c r="B11212" s="15"/>
    </row>
    <row r="11213" spans="1:2" x14ac:dyDescent="0.15">
      <c r="A11213" s="15"/>
      <c r="B11213" s="15"/>
    </row>
    <row r="11214" spans="1:2" x14ac:dyDescent="0.15">
      <c r="A11214" s="15"/>
      <c r="B11214" s="15"/>
    </row>
    <row r="11215" spans="1:2" x14ac:dyDescent="0.15">
      <c r="A11215" s="15"/>
      <c r="B11215" s="15"/>
    </row>
    <row r="11216" spans="1:2" x14ac:dyDescent="0.15">
      <c r="A11216" s="15"/>
      <c r="B11216" s="15"/>
    </row>
    <row r="11217" spans="1:2" x14ac:dyDescent="0.15">
      <c r="A11217" s="15"/>
      <c r="B11217" s="15"/>
    </row>
    <row r="11218" spans="1:2" x14ac:dyDescent="0.15">
      <c r="A11218" s="15"/>
      <c r="B11218" s="15"/>
    </row>
    <row r="11219" spans="1:2" x14ac:dyDescent="0.15">
      <c r="A11219" s="15"/>
      <c r="B11219" s="15"/>
    </row>
    <row r="11220" spans="1:2" x14ac:dyDescent="0.15">
      <c r="A11220" s="15"/>
      <c r="B11220" s="15"/>
    </row>
    <row r="11221" spans="1:2" x14ac:dyDescent="0.15">
      <c r="A11221" s="15"/>
      <c r="B11221" s="15"/>
    </row>
    <row r="11222" spans="1:2" x14ac:dyDescent="0.15">
      <c r="A11222" s="15"/>
      <c r="B11222" s="15"/>
    </row>
    <row r="11223" spans="1:2" x14ac:dyDescent="0.15">
      <c r="A11223" s="15"/>
      <c r="B11223" s="15"/>
    </row>
    <row r="11224" spans="1:2" x14ac:dyDescent="0.15">
      <c r="A11224" s="15"/>
      <c r="B11224" s="15"/>
    </row>
    <row r="11225" spans="1:2" x14ac:dyDescent="0.15">
      <c r="A11225" s="15"/>
      <c r="B11225" s="15"/>
    </row>
    <row r="11226" spans="1:2" x14ac:dyDescent="0.15">
      <c r="A11226" s="15"/>
      <c r="B11226" s="15"/>
    </row>
    <row r="11227" spans="1:2" x14ac:dyDescent="0.15">
      <c r="A11227" s="15"/>
      <c r="B11227" s="15"/>
    </row>
    <row r="11228" spans="1:2" x14ac:dyDescent="0.15">
      <c r="A11228" s="15"/>
      <c r="B11228" s="15"/>
    </row>
    <row r="11229" spans="1:2" x14ac:dyDescent="0.15">
      <c r="A11229" s="15"/>
      <c r="B11229" s="15"/>
    </row>
    <row r="11230" spans="1:2" x14ac:dyDescent="0.15">
      <c r="A11230" s="15"/>
      <c r="B11230" s="15"/>
    </row>
    <row r="11231" spans="1:2" x14ac:dyDescent="0.15">
      <c r="A11231" s="15"/>
      <c r="B11231" s="15"/>
    </row>
    <row r="11232" spans="1:2" x14ac:dyDescent="0.15">
      <c r="A11232" s="15"/>
      <c r="B11232" s="15"/>
    </row>
    <row r="11233" spans="1:2" x14ac:dyDescent="0.15">
      <c r="A11233" s="15"/>
      <c r="B11233" s="15"/>
    </row>
    <row r="11234" spans="1:2" x14ac:dyDescent="0.15">
      <c r="A11234" s="15"/>
      <c r="B11234" s="15"/>
    </row>
    <row r="11235" spans="1:2" x14ac:dyDescent="0.15">
      <c r="A11235" s="15"/>
      <c r="B11235" s="15"/>
    </row>
    <row r="11236" spans="1:2" x14ac:dyDescent="0.15">
      <c r="A11236" s="15"/>
      <c r="B11236" s="15"/>
    </row>
    <row r="11237" spans="1:2" x14ac:dyDescent="0.15">
      <c r="A11237" s="15"/>
      <c r="B11237" s="15"/>
    </row>
    <row r="11238" spans="1:2" x14ac:dyDescent="0.15">
      <c r="A11238" s="15"/>
      <c r="B11238" s="15"/>
    </row>
    <row r="11239" spans="1:2" x14ac:dyDescent="0.15">
      <c r="A11239" s="15"/>
      <c r="B11239" s="15"/>
    </row>
    <row r="11240" spans="1:2" x14ac:dyDescent="0.15">
      <c r="A11240" s="15"/>
      <c r="B11240" s="15"/>
    </row>
    <row r="11241" spans="1:2" x14ac:dyDescent="0.15">
      <c r="A11241" s="15"/>
      <c r="B11241" s="15"/>
    </row>
    <row r="11242" spans="1:2" x14ac:dyDescent="0.15">
      <c r="A11242" s="15"/>
      <c r="B11242" s="15"/>
    </row>
    <row r="11243" spans="1:2" x14ac:dyDescent="0.15">
      <c r="A11243" s="15"/>
      <c r="B11243" s="15"/>
    </row>
    <row r="11244" spans="1:2" x14ac:dyDescent="0.15">
      <c r="A11244" s="15"/>
      <c r="B11244" s="15"/>
    </row>
    <row r="11245" spans="1:2" x14ac:dyDescent="0.15">
      <c r="A11245" s="15"/>
      <c r="B11245" s="15"/>
    </row>
    <row r="11246" spans="1:2" x14ac:dyDescent="0.15">
      <c r="A11246" s="15"/>
      <c r="B11246" s="15"/>
    </row>
    <row r="11247" spans="1:2" x14ac:dyDescent="0.15">
      <c r="A11247" s="15"/>
      <c r="B11247" s="15"/>
    </row>
    <row r="11248" spans="1:2" x14ac:dyDescent="0.15">
      <c r="A11248" s="15"/>
      <c r="B11248" s="15"/>
    </row>
    <row r="11249" spans="1:2" x14ac:dyDescent="0.15">
      <c r="A11249" s="15"/>
      <c r="B11249" s="15"/>
    </row>
    <row r="11250" spans="1:2" x14ac:dyDescent="0.15">
      <c r="A11250" s="15"/>
      <c r="B11250" s="15"/>
    </row>
    <row r="11251" spans="1:2" x14ac:dyDescent="0.15">
      <c r="A11251" s="15"/>
      <c r="B11251" s="15"/>
    </row>
    <row r="11252" spans="1:2" x14ac:dyDescent="0.15">
      <c r="A11252" s="15"/>
      <c r="B11252" s="15"/>
    </row>
    <row r="11253" spans="1:2" x14ac:dyDescent="0.15">
      <c r="A11253" s="15"/>
      <c r="B11253" s="15"/>
    </row>
    <row r="11254" spans="1:2" x14ac:dyDescent="0.15">
      <c r="A11254" s="15"/>
      <c r="B11254" s="15"/>
    </row>
    <row r="11255" spans="1:2" x14ac:dyDescent="0.15">
      <c r="A11255" s="15"/>
      <c r="B11255" s="15"/>
    </row>
    <row r="11256" spans="1:2" x14ac:dyDescent="0.15">
      <c r="A11256" s="15"/>
      <c r="B11256" s="15"/>
    </row>
    <row r="11257" spans="1:2" x14ac:dyDescent="0.15">
      <c r="A11257" s="15"/>
      <c r="B11257" s="15"/>
    </row>
    <row r="11258" spans="1:2" x14ac:dyDescent="0.15">
      <c r="A11258" s="15"/>
      <c r="B11258" s="15"/>
    </row>
    <row r="11259" spans="1:2" x14ac:dyDescent="0.15">
      <c r="A11259" s="15"/>
      <c r="B11259" s="15"/>
    </row>
    <row r="11260" spans="1:2" x14ac:dyDescent="0.15">
      <c r="A11260" s="15"/>
      <c r="B11260" s="15"/>
    </row>
    <row r="11261" spans="1:2" x14ac:dyDescent="0.15">
      <c r="A11261" s="15"/>
      <c r="B11261" s="15"/>
    </row>
    <row r="11262" spans="1:2" x14ac:dyDescent="0.15">
      <c r="A11262" s="15"/>
      <c r="B11262" s="15"/>
    </row>
    <row r="11263" spans="1:2" x14ac:dyDescent="0.15">
      <c r="A11263" s="15"/>
      <c r="B11263" s="15"/>
    </row>
    <row r="11264" spans="1:2" x14ac:dyDescent="0.15">
      <c r="A11264" s="15"/>
      <c r="B11264" s="15"/>
    </row>
    <row r="11265" spans="1:2" x14ac:dyDescent="0.15">
      <c r="A11265" s="15"/>
      <c r="B11265" s="15"/>
    </row>
    <row r="11266" spans="1:2" x14ac:dyDescent="0.15">
      <c r="A11266" s="15"/>
      <c r="B11266" s="15"/>
    </row>
    <row r="11267" spans="1:2" x14ac:dyDescent="0.15">
      <c r="A11267" s="15"/>
      <c r="B11267" s="15"/>
    </row>
    <row r="11268" spans="1:2" x14ac:dyDescent="0.15">
      <c r="A11268" s="15"/>
      <c r="B11268" s="15"/>
    </row>
    <row r="11269" spans="1:2" x14ac:dyDescent="0.15">
      <c r="A11269" s="15"/>
      <c r="B11269" s="15"/>
    </row>
    <row r="11270" spans="1:2" x14ac:dyDescent="0.15">
      <c r="A11270" s="15"/>
      <c r="B11270" s="15"/>
    </row>
    <row r="11271" spans="1:2" x14ac:dyDescent="0.15">
      <c r="A11271" s="15"/>
      <c r="B11271" s="15"/>
    </row>
    <row r="11272" spans="1:2" x14ac:dyDescent="0.15">
      <c r="A11272" s="15"/>
      <c r="B11272" s="15"/>
    </row>
    <row r="11273" spans="1:2" x14ac:dyDescent="0.15">
      <c r="A11273" s="15"/>
      <c r="B11273" s="15"/>
    </row>
    <row r="11274" spans="1:2" x14ac:dyDescent="0.15">
      <c r="A11274" s="15"/>
      <c r="B11274" s="15"/>
    </row>
    <row r="11275" spans="1:2" x14ac:dyDescent="0.15">
      <c r="A11275" s="15"/>
      <c r="B11275" s="15"/>
    </row>
    <row r="11276" spans="1:2" x14ac:dyDescent="0.15">
      <c r="A11276" s="15"/>
      <c r="B11276" s="15"/>
    </row>
    <row r="11277" spans="1:2" x14ac:dyDescent="0.15">
      <c r="A11277" s="15"/>
      <c r="B11277" s="15"/>
    </row>
    <row r="11278" spans="1:2" x14ac:dyDescent="0.15">
      <c r="A11278" s="15"/>
      <c r="B11278" s="15"/>
    </row>
    <row r="11279" spans="1:2" x14ac:dyDescent="0.15">
      <c r="A11279" s="15"/>
      <c r="B11279" s="15"/>
    </row>
    <row r="11280" spans="1:2" x14ac:dyDescent="0.15">
      <c r="A11280" s="15"/>
      <c r="B11280" s="15"/>
    </row>
    <row r="11281" spans="1:2" x14ac:dyDescent="0.15">
      <c r="A11281" s="15"/>
      <c r="B11281" s="15"/>
    </row>
    <row r="11282" spans="1:2" x14ac:dyDescent="0.15">
      <c r="A11282" s="15"/>
      <c r="B11282" s="15"/>
    </row>
    <row r="11283" spans="1:2" x14ac:dyDescent="0.15">
      <c r="A11283" s="15"/>
      <c r="B11283" s="15"/>
    </row>
    <row r="11284" spans="1:2" x14ac:dyDescent="0.15">
      <c r="A11284" s="15"/>
      <c r="B11284" s="15"/>
    </row>
    <row r="11285" spans="1:2" x14ac:dyDescent="0.15">
      <c r="A11285" s="15"/>
      <c r="B11285" s="15"/>
    </row>
    <row r="11286" spans="1:2" x14ac:dyDescent="0.15">
      <c r="A11286" s="15"/>
      <c r="B11286" s="15"/>
    </row>
    <row r="11287" spans="1:2" x14ac:dyDescent="0.15">
      <c r="A11287" s="15"/>
      <c r="B11287" s="15"/>
    </row>
    <row r="11288" spans="1:2" x14ac:dyDescent="0.15">
      <c r="A11288" s="15"/>
      <c r="B11288" s="15"/>
    </row>
    <row r="11289" spans="1:2" x14ac:dyDescent="0.15">
      <c r="A11289" s="15"/>
      <c r="B11289" s="15"/>
    </row>
    <row r="11290" spans="1:2" x14ac:dyDescent="0.15">
      <c r="A11290" s="15"/>
      <c r="B11290" s="15"/>
    </row>
    <row r="11291" spans="1:2" x14ac:dyDescent="0.15">
      <c r="A11291" s="15"/>
      <c r="B11291" s="15"/>
    </row>
    <row r="11292" spans="1:2" x14ac:dyDescent="0.15">
      <c r="A11292" s="15"/>
      <c r="B11292" s="15"/>
    </row>
    <row r="11293" spans="1:2" x14ac:dyDescent="0.15">
      <c r="A11293" s="15"/>
      <c r="B11293" s="15"/>
    </row>
    <row r="11294" spans="1:2" x14ac:dyDescent="0.15">
      <c r="A11294" s="15"/>
      <c r="B11294" s="15"/>
    </row>
    <row r="11295" spans="1:2" x14ac:dyDescent="0.15">
      <c r="A11295" s="15"/>
      <c r="B11295" s="15"/>
    </row>
    <row r="11296" spans="1:2" x14ac:dyDescent="0.15">
      <c r="A11296" s="15"/>
      <c r="B11296" s="15"/>
    </row>
    <row r="11297" spans="1:2" x14ac:dyDescent="0.15">
      <c r="A11297" s="15"/>
      <c r="B11297" s="15"/>
    </row>
    <row r="11298" spans="1:2" x14ac:dyDescent="0.15">
      <c r="A11298" s="15"/>
      <c r="B11298" s="15"/>
    </row>
    <row r="11299" spans="1:2" x14ac:dyDescent="0.15">
      <c r="A11299" s="15"/>
      <c r="B11299" s="15"/>
    </row>
    <row r="11300" spans="1:2" x14ac:dyDescent="0.15">
      <c r="A11300" s="15"/>
      <c r="B11300" s="15"/>
    </row>
    <row r="11301" spans="1:2" x14ac:dyDescent="0.15">
      <c r="A11301" s="15"/>
      <c r="B11301" s="15"/>
    </row>
    <row r="11302" spans="1:2" x14ac:dyDescent="0.15">
      <c r="A11302" s="15"/>
      <c r="B11302" s="15"/>
    </row>
    <row r="11303" spans="1:2" x14ac:dyDescent="0.15">
      <c r="A11303" s="15"/>
      <c r="B11303" s="15"/>
    </row>
    <row r="11304" spans="1:2" x14ac:dyDescent="0.15">
      <c r="A11304" s="15"/>
      <c r="B11304" s="15"/>
    </row>
    <row r="11305" spans="1:2" x14ac:dyDescent="0.15">
      <c r="A11305" s="15"/>
      <c r="B11305" s="15"/>
    </row>
    <row r="11306" spans="1:2" x14ac:dyDescent="0.15">
      <c r="A11306" s="15"/>
      <c r="B11306" s="15"/>
    </row>
    <row r="11307" spans="1:2" x14ac:dyDescent="0.15">
      <c r="A11307" s="15"/>
      <c r="B11307" s="15"/>
    </row>
    <row r="11308" spans="1:2" x14ac:dyDescent="0.15">
      <c r="A11308" s="15"/>
      <c r="B11308" s="15"/>
    </row>
    <row r="11309" spans="1:2" x14ac:dyDescent="0.15">
      <c r="A11309" s="15"/>
      <c r="B11309" s="15"/>
    </row>
    <row r="11310" spans="1:2" x14ac:dyDescent="0.15">
      <c r="A11310" s="15"/>
      <c r="B11310" s="15"/>
    </row>
    <row r="11311" spans="1:2" x14ac:dyDescent="0.15">
      <c r="A11311" s="15"/>
      <c r="B11311" s="15"/>
    </row>
    <row r="11312" spans="1:2" x14ac:dyDescent="0.15">
      <c r="A11312" s="15"/>
      <c r="B11312" s="15"/>
    </row>
    <row r="11313" spans="1:2" x14ac:dyDescent="0.15">
      <c r="A11313" s="15"/>
      <c r="B11313" s="15"/>
    </row>
    <row r="11314" spans="1:2" x14ac:dyDescent="0.15">
      <c r="A11314" s="15"/>
      <c r="B11314" s="15"/>
    </row>
    <row r="11315" spans="1:2" x14ac:dyDescent="0.15">
      <c r="A11315" s="15"/>
      <c r="B11315" s="15"/>
    </row>
    <row r="11316" spans="1:2" x14ac:dyDescent="0.15">
      <c r="A11316" s="15"/>
      <c r="B11316" s="15"/>
    </row>
    <row r="11317" spans="1:2" x14ac:dyDescent="0.15">
      <c r="A11317" s="15"/>
      <c r="B11317" s="15"/>
    </row>
    <row r="11318" spans="1:2" x14ac:dyDescent="0.15">
      <c r="A11318" s="15"/>
      <c r="B11318" s="15"/>
    </row>
    <row r="11319" spans="1:2" x14ac:dyDescent="0.15">
      <c r="A11319" s="15"/>
      <c r="B11319" s="15"/>
    </row>
    <row r="11320" spans="1:2" x14ac:dyDescent="0.15">
      <c r="A11320" s="15"/>
      <c r="B11320" s="15"/>
    </row>
    <row r="11321" spans="1:2" x14ac:dyDescent="0.15">
      <c r="A11321" s="15"/>
      <c r="B11321" s="15"/>
    </row>
    <row r="11322" spans="1:2" x14ac:dyDescent="0.15">
      <c r="A11322" s="15"/>
      <c r="B11322" s="15"/>
    </row>
    <row r="11323" spans="1:2" x14ac:dyDescent="0.15">
      <c r="A11323" s="15"/>
      <c r="B11323" s="15"/>
    </row>
    <row r="11324" spans="1:2" x14ac:dyDescent="0.15">
      <c r="A11324" s="15"/>
      <c r="B11324" s="15"/>
    </row>
    <row r="11325" spans="1:2" x14ac:dyDescent="0.15">
      <c r="A11325" s="15"/>
      <c r="B11325" s="15"/>
    </row>
    <row r="11326" spans="1:2" x14ac:dyDescent="0.15">
      <c r="A11326" s="15"/>
      <c r="B11326" s="15"/>
    </row>
    <row r="11327" spans="1:2" x14ac:dyDescent="0.15">
      <c r="A11327" s="15"/>
      <c r="B11327" s="15"/>
    </row>
    <row r="11328" spans="1:2" x14ac:dyDescent="0.15">
      <c r="A11328" s="15"/>
      <c r="B11328" s="15"/>
    </row>
    <row r="11329" spans="1:2" x14ac:dyDescent="0.15">
      <c r="A11329" s="15"/>
      <c r="B11329" s="15"/>
    </row>
    <row r="11330" spans="1:2" x14ac:dyDescent="0.15">
      <c r="A11330" s="15"/>
      <c r="B11330" s="15"/>
    </row>
    <row r="11331" spans="1:2" x14ac:dyDescent="0.15">
      <c r="A11331" s="15"/>
      <c r="B11331" s="15"/>
    </row>
    <row r="11332" spans="1:2" x14ac:dyDescent="0.15">
      <c r="A11332" s="15"/>
      <c r="B11332" s="15"/>
    </row>
    <row r="11333" spans="1:2" x14ac:dyDescent="0.15">
      <c r="A11333" s="15"/>
      <c r="B11333" s="15"/>
    </row>
    <row r="11334" spans="1:2" x14ac:dyDescent="0.15">
      <c r="A11334" s="15"/>
      <c r="B11334" s="15"/>
    </row>
    <row r="11335" spans="1:2" x14ac:dyDescent="0.15">
      <c r="A11335" s="15"/>
      <c r="B11335" s="15"/>
    </row>
    <row r="11336" spans="1:2" x14ac:dyDescent="0.15">
      <c r="A11336" s="15"/>
      <c r="B11336" s="15"/>
    </row>
    <row r="11337" spans="1:2" x14ac:dyDescent="0.15">
      <c r="A11337" s="15"/>
      <c r="B11337" s="15"/>
    </row>
    <row r="11338" spans="1:2" x14ac:dyDescent="0.15">
      <c r="A11338" s="15"/>
      <c r="B11338" s="15"/>
    </row>
    <row r="11339" spans="1:2" x14ac:dyDescent="0.15">
      <c r="A11339" s="15"/>
      <c r="B11339" s="15"/>
    </row>
    <row r="11340" spans="1:2" x14ac:dyDescent="0.15">
      <c r="A11340" s="15"/>
      <c r="B11340" s="15"/>
    </row>
    <row r="11341" spans="1:2" x14ac:dyDescent="0.15">
      <c r="A11341" s="15"/>
      <c r="B11341" s="15"/>
    </row>
    <row r="11342" spans="1:2" x14ac:dyDescent="0.15">
      <c r="A11342" s="15"/>
      <c r="B11342" s="15"/>
    </row>
    <row r="11343" spans="1:2" x14ac:dyDescent="0.15">
      <c r="A11343" s="15"/>
      <c r="B11343" s="15"/>
    </row>
    <row r="11344" spans="1:2" x14ac:dyDescent="0.15">
      <c r="A11344" s="15"/>
      <c r="B11344" s="15"/>
    </row>
    <row r="11345" spans="1:2" x14ac:dyDescent="0.15">
      <c r="A11345" s="15"/>
      <c r="B11345" s="15"/>
    </row>
    <row r="11346" spans="1:2" x14ac:dyDescent="0.15">
      <c r="A11346" s="15"/>
      <c r="B11346" s="15"/>
    </row>
    <row r="11347" spans="1:2" x14ac:dyDescent="0.15">
      <c r="A11347" s="15"/>
      <c r="B11347" s="15"/>
    </row>
    <row r="11348" spans="1:2" x14ac:dyDescent="0.15">
      <c r="A11348" s="15"/>
      <c r="B11348" s="15"/>
    </row>
    <row r="11349" spans="1:2" x14ac:dyDescent="0.15">
      <c r="A11349" s="15"/>
      <c r="B11349" s="15"/>
    </row>
    <row r="11350" spans="1:2" x14ac:dyDescent="0.15">
      <c r="A11350" s="15"/>
      <c r="B11350" s="15"/>
    </row>
    <row r="11351" spans="1:2" x14ac:dyDescent="0.15">
      <c r="A11351" s="15"/>
      <c r="B11351" s="15"/>
    </row>
    <row r="11352" spans="1:2" x14ac:dyDescent="0.15">
      <c r="A11352" s="15"/>
      <c r="B11352" s="15"/>
    </row>
    <row r="11353" spans="1:2" x14ac:dyDescent="0.15">
      <c r="A11353" s="15"/>
      <c r="B11353" s="15"/>
    </row>
    <row r="11354" spans="1:2" x14ac:dyDescent="0.15">
      <c r="A11354" s="15"/>
      <c r="B11354" s="15"/>
    </row>
    <row r="11355" spans="1:2" x14ac:dyDescent="0.15">
      <c r="A11355" s="15"/>
      <c r="B11355" s="15"/>
    </row>
    <row r="11356" spans="1:2" x14ac:dyDescent="0.15">
      <c r="A11356" s="15"/>
      <c r="B11356" s="15"/>
    </row>
    <row r="11357" spans="1:2" x14ac:dyDescent="0.15">
      <c r="A11357" s="15"/>
      <c r="B11357" s="15"/>
    </row>
    <row r="11358" spans="1:2" x14ac:dyDescent="0.15">
      <c r="A11358" s="15"/>
      <c r="B11358" s="15"/>
    </row>
    <row r="11359" spans="1:2" x14ac:dyDescent="0.15">
      <c r="A11359" s="15"/>
      <c r="B11359" s="15"/>
    </row>
    <row r="11360" spans="1:2" x14ac:dyDescent="0.15">
      <c r="A11360" s="15"/>
      <c r="B11360" s="15"/>
    </row>
    <row r="11361" spans="1:2" x14ac:dyDescent="0.15">
      <c r="A11361" s="15"/>
      <c r="B11361" s="15"/>
    </row>
    <row r="11362" spans="1:2" x14ac:dyDescent="0.15">
      <c r="A11362" s="15"/>
      <c r="B11362" s="15"/>
    </row>
    <row r="11363" spans="1:2" x14ac:dyDescent="0.15">
      <c r="A11363" s="15"/>
      <c r="B11363" s="15"/>
    </row>
    <row r="11364" spans="1:2" x14ac:dyDescent="0.15">
      <c r="A11364" s="15"/>
      <c r="B11364" s="15"/>
    </row>
    <row r="11365" spans="1:2" x14ac:dyDescent="0.15">
      <c r="A11365" s="15"/>
      <c r="B11365" s="15"/>
    </row>
    <row r="11366" spans="1:2" x14ac:dyDescent="0.15">
      <c r="A11366" s="15"/>
      <c r="B11366" s="15"/>
    </row>
    <row r="11367" spans="1:2" x14ac:dyDescent="0.15">
      <c r="A11367" s="15"/>
      <c r="B11367" s="15"/>
    </row>
    <row r="11368" spans="1:2" x14ac:dyDescent="0.15">
      <c r="A11368" s="15"/>
      <c r="B11368" s="15"/>
    </row>
    <row r="11369" spans="1:2" x14ac:dyDescent="0.15">
      <c r="A11369" s="15"/>
      <c r="B11369" s="15"/>
    </row>
    <row r="11370" spans="1:2" x14ac:dyDescent="0.15">
      <c r="A11370" s="15"/>
      <c r="B11370" s="15"/>
    </row>
    <row r="11371" spans="1:2" x14ac:dyDescent="0.15">
      <c r="A11371" s="15"/>
      <c r="B11371" s="15"/>
    </row>
    <row r="11372" spans="1:2" x14ac:dyDescent="0.15">
      <c r="A11372" s="15"/>
      <c r="B11372" s="15"/>
    </row>
    <row r="11373" spans="1:2" x14ac:dyDescent="0.15">
      <c r="A11373" s="15"/>
      <c r="B11373" s="15"/>
    </row>
    <row r="11374" spans="1:2" x14ac:dyDescent="0.15">
      <c r="A11374" s="15"/>
      <c r="B11374" s="15"/>
    </row>
    <row r="11375" spans="1:2" x14ac:dyDescent="0.15">
      <c r="A11375" s="15"/>
      <c r="B11375" s="15"/>
    </row>
    <row r="11376" spans="1:2" x14ac:dyDescent="0.15">
      <c r="A11376" s="15"/>
      <c r="B11376" s="15"/>
    </row>
    <row r="11377" spans="1:2" x14ac:dyDescent="0.15">
      <c r="A11377" s="15"/>
      <c r="B11377" s="15"/>
    </row>
    <row r="11378" spans="1:2" x14ac:dyDescent="0.15">
      <c r="A11378" s="15"/>
      <c r="B11378" s="15"/>
    </row>
    <row r="11379" spans="1:2" x14ac:dyDescent="0.15">
      <c r="A11379" s="15"/>
      <c r="B11379" s="15"/>
    </row>
    <row r="11380" spans="1:2" x14ac:dyDescent="0.15">
      <c r="A11380" s="15"/>
      <c r="B11380" s="15"/>
    </row>
    <row r="11381" spans="1:2" x14ac:dyDescent="0.15">
      <c r="A11381" s="15"/>
      <c r="B11381" s="15"/>
    </row>
    <row r="11382" spans="1:2" x14ac:dyDescent="0.15">
      <c r="A11382" s="15"/>
      <c r="B11382" s="15"/>
    </row>
    <row r="11383" spans="1:2" x14ac:dyDescent="0.15">
      <c r="A11383" s="15"/>
      <c r="B11383" s="15"/>
    </row>
    <row r="11384" spans="1:2" x14ac:dyDescent="0.15">
      <c r="A11384" s="15"/>
      <c r="B11384" s="15"/>
    </row>
    <row r="11385" spans="1:2" x14ac:dyDescent="0.15">
      <c r="A11385" s="15"/>
      <c r="B11385" s="15"/>
    </row>
    <row r="11386" spans="1:2" x14ac:dyDescent="0.15">
      <c r="A11386" s="15"/>
      <c r="B11386" s="15"/>
    </row>
    <row r="11387" spans="1:2" x14ac:dyDescent="0.15">
      <c r="A11387" s="15"/>
      <c r="B11387" s="15"/>
    </row>
    <row r="11388" spans="1:2" x14ac:dyDescent="0.15">
      <c r="A11388" s="15"/>
      <c r="B11388" s="15"/>
    </row>
    <row r="11389" spans="1:2" x14ac:dyDescent="0.15">
      <c r="A11389" s="15"/>
      <c r="B11389" s="15"/>
    </row>
    <row r="11390" spans="1:2" x14ac:dyDescent="0.15">
      <c r="A11390" s="15"/>
      <c r="B11390" s="15"/>
    </row>
    <row r="11391" spans="1:2" x14ac:dyDescent="0.15">
      <c r="A11391" s="15"/>
      <c r="B11391" s="15"/>
    </row>
    <row r="11392" spans="1:2" x14ac:dyDescent="0.15">
      <c r="A11392" s="15"/>
      <c r="B11392" s="15"/>
    </row>
    <row r="11393" spans="1:2" x14ac:dyDescent="0.15">
      <c r="A11393" s="15"/>
      <c r="B11393" s="15"/>
    </row>
    <row r="11394" spans="1:2" x14ac:dyDescent="0.15">
      <c r="A11394" s="15"/>
      <c r="B11394" s="15"/>
    </row>
    <row r="11395" spans="1:2" x14ac:dyDescent="0.15">
      <c r="A11395" s="15"/>
      <c r="B11395" s="15"/>
    </row>
    <row r="11396" spans="1:2" x14ac:dyDescent="0.15">
      <c r="A11396" s="15"/>
      <c r="B11396" s="15"/>
    </row>
    <row r="11397" spans="1:2" x14ac:dyDescent="0.15">
      <c r="A11397" s="15"/>
      <c r="B11397" s="15"/>
    </row>
    <row r="11398" spans="1:2" x14ac:dyDescent="0.15">
      <c r="A11398" s="15"/>
      <c r="B11398" s="15"/>
    </row>
    <row r="11399" spans="1:2" x14ac:dyDescent="0.15">
      <c r="A11399" s="15"/>
      <c r="B11399" s="15"/>
    </row>
    <row r="11400" spans="1:2" x14ac:dyDescent="0.15">
      <c r="A11400" s="15"/>
      <c r="B11400" s="15"/>
    </row>
    <row r="11401" spans="1:2" x14ac:dyDescent="0.15">
      <c r="A11401" s="15"/>
      <c r="B11401" s="15"/>
    </row>
    <row r="11402" spans="1:2" x14ac:dyDescent="0.15">
      <c r="A11402" s="15"/>
      <c r="B11402" s="15"/>
    </row>
    <row r="11403" spans="1:2" x14ac:dyDescent="0.15">
      <c r="A11403" s="15"/>
      <c r="B11403" s="15"/>
    </row>
    <row r="11404" spans="1:2" x14ac:dyDescent="0.15">
      <c r="A11404" s="15"/>
      <c r="B11404" s="15"/>
    </row>
    <row r="11405" spans="1:2" x14ac:dyDescent="0.15">
      <c r="A11405" s="15"/>
      <c r="B11405" s="15"/>
    </row>
    <row r="11406" spans="1:2" x14ac:dyDescent="0.15">
      <c r="A11406" s="15"/>
      <c r="B11406" s="15"/>
    </row>
    <row r="11407" spans="1:2" x14ac:dyDescent="0.15">
      <c r="A11407" s="15"/>
      <c r="B11407" s="15"/>
    </row>
    <row r="11408" spans="1:2" x14ac:dyDescent="0.15">
      <c r="A11408" s="15"/>
      <c r="B11408" s="15"/>
    </row>
    <row r="11409" spans="1:2" x14ac:dyDescent="0.15">
      <c r="A11409" s="15"/>
      <c r="B11409" s="15"/>
    </row>
    <row r="11410" spans="1:2" x14ac:dyDescent="0.15">
      <c r="A11410" s="15"/>
      <c r="B11410" s="15"/>
    </row>
    <row r="11411" spans="1:2" x14ac:dyDescent="0.15">
      <c r="A11411" s="15"/>
      <c r="B11411" s="15"/>
    </row>
    <row r="11412" spans="1:2" x14ac:dyDescent="0.15">
      <c r="A11412" s="15"/>
      <c r="B11412" s="15"/>
    </row>
    <row r="11413" spans="1:2" x14ac:dyDescent="0.15">
      <c r="A11413" s="15"/>
      <c r="B11413" s="15"/>
    </row>
    <row r="11414" spans="1:2" x14ac:dyDescent="0.15">
      <c r="A11414" s="15"/>
      <c r="B11414" s="15"/>
    </row>
    <row r="11415" spans="1:2" x14ac:dyDescent="0.15">
      <c r="A11415" s="15"/>
      <c r="B11415" s="15"/>
    </row>
    <row r="11416" spans="1:2" x14ac:dyDescent="0.15">
      <c r="A11416" s="15"/>
      <c r="B11416" s="15"/>
    </row>
    <row r="11417" spans="1:2" x14ac:dyDescent="0.15">
      <c r="A11417" s="15"/>
      <c r="B11417" s="15"/>
    </row>
    <row r="11418" spans="1:2" x14ac:dyDescent="0.15">
      <c r="A11418" s="15"/>
      <c r="B11418" s="15"/>
    </row>
    <row r="11419" spans="1:2" x14ac:dyDescent="0.15">
      <c r="A11419" s="15"/>
      <c r="B11419" s="15"/>
    </row>
    <row r="11420" spans="1:2" x14ac:dyDescent="0.15">
      <c r="A11420" s="15"/>
      <c r="B11420" s="15"/>
    </row>
    <row r="11421" spans="1:2" x14ac:dyDescent="0.15">
      <c r="A11421" s="15"/>
      <c r="B11421" s="15"/>
    </row>
    <row r="11422" spans="1:2" x14ac:dyDescent="0.15">
      <c r="A11422" s="15"/>
      <c r="B11422" s="15"/>
    </row>
    <row r="11423" spans="1:2" x14ac:dyDescent="0.15">
      <c r="A11423" s="15"/>
      <c r="B11423" s="15"/>
    </row>
    <row r="11424" spans="1:2" x14ac:dyDescent="0.15">
      <c r="A11424" s="15"/>
      <c r="B11424" s="15"/>
    </row>
    <row r="11425" spans="1:2" x14ac:dyDescent="0.15">
      <c r="A11425" s="15"/>
      <c r="B11425" s="15"/>
    </row>
    <row r="11426" spans="1:2" x14ac:dyDescent="0.15">
      <c r="A11426" s="15"/>
      <c r="B11426" s="15"/>
    </row>
    <row r="11427" spans="1:2" x14ac:dyDescent="0.15">
      <c r="A11427" s="15"/>
      <c r="B11427" s="15"/>
    </row>
    <row r="11428" spans="1:2" x14ac:dyDescent="0.15">
      <c r="A11428" s="15"/>
      <c r="B11428" s="15"/>
    </row>
    <row r="11429" spans="1:2" x14ac:dyDescent="0.15">
      <c r="A11429" s="15"/>
      <c r="B11429" s="15"/>
    </row>
    <row r="11430" spans="1:2" x14ac:dyDescent="0.15">
      <c r="A11430" s="15"/>
      <c r="B11430" s="15"/>
    </row>
    <row r="11431" spans="1:2" x14ac:dyDescent="0.15">
      <c r="A11431" s="15"/>
      <c r="B11431" s="15"/>
    </row>
    <row r="11432" spans="1:2" x14ac:dyDescent="0.15">
      <c r="A11432" s="15"/>
      <c r="B11432" s="15"/>
    </row>
    <row r="11433" spans="1:2" x14ac:dyDescent="0.15">
      <c r="A11433" s="15"/>
      <c r="B11433" s="15"/>
    </row>
    <row r="11434" spans="1:2" x14ac:dyDescent="0.15">
      <c r="A11434" s="15"/>
      <c r="B11434" s="15"/>
    </row>
    <row r="11435" spans="1:2" x14ac:dyDescent="0.15">
      <c r="A11435" s="15"/>
      <c r="B11435" s="15"/>
    </row>
    <row r="11436" spans="1:2" x14ac:dyDescent="0.15">
      <c r="A11436" s="15"/>
      <c r="B11436" s="15"/>
    </row>
    <row r="11437" spans="1:2" x14ac:dyDescent="0.15">
      <c r="A11437" s="15"/>
      <c r="B11437" s="15"/>
    </row>
    <row r="11438" spans="1:2" x14ac:dyDescent="0.15">
      <c r="A11438" s="15"/>
      <c r="B11438" s="15"/>
    </row>
    <row r="11439" spans="1:2" x14ac:dyDescent="0.15">
      <c r="A11439" s="15"/>
      <c r="B11439" s="15"/>
    </row>
    <row r="11440" spans="1:2" x14ac:dyDescent="0.15">
      <c r="A11440" s="15"/>
      <c r="B11440" s="15"/>
    </row>
    <row r="11441" spans="1:2" x14ac:dyDescent="0.15">
      <c r="A11441" s="15"/>
      <c r="B11441" s="15"/>
    </row>
    <row r="11442" spans="1:2" x14ac:dyDescent="0.15">
      <c r="A11442" s="15"/>
      <c r="B11442" s="15"/>
    </row>
    <row r="11443" spans="1:2" x14ac:dyDescent="0.15">
      <c r="A11443" s="15"/>
      <c r="B11443" s="15"/>
    </row>
    <row r="11444" spans="1:2" x14ac:dyDescent="0.15">
      <c r="A11444" s="15"/>
      <c r="B11444" s="15"/>
    </row>
    <row r="11445" spans="1:2" x14ac:dyDescent="0.15">
      <c r="A11445" s="15"/>
      <c r="B11445" s="15"/>
    </row>
    <row r="11446" spans="1:2" x14ac:dyDescent="0.15">
      <c r="A11446" s="15"/>
      <c r="B11446" s="15"/>
    </row>
    <row r="11447" spans="1:2" x14ac:dyDescent="0.15">
      <c r="A11447" s="15"/>
      <c r="B11447" s="15"/>
    </row>
    <row r="11448" spans="1:2" x14ac:dyDescent="0.15">
      <c r="A11448" s="15"/>
      <c r="B11448" s="15"/>
    </row>
    <row r="11449" spans="1:2" x14ac:dyDescent="0.15">
      <c r="A11449" s="15"/>
      <c r="B11449" s="15"/>
    </row>
    <row r="11450" spans="1:2" x14ac:dyDescent="0.15">
      <c r="A11450" s="15"/>
      <c r="B11450" s="15"/>
    </row>
    <row r="11451" spans="1:2" x14ac:dyDescent="0.15">
      <c r="A11451" s="15"/>
      <c r="B11451" s="15"/>
    </row>
    <row r="11452" spans="1:2" x14ac:dyDescent="0.15">
      <c r="A11452" s="15"/>
      <c r="B11452" s="15"/>
    </row>
    <row r="11453" spans="1:2" x14ac:dyDescent="0.15">
      <c r="A11453" s="15"/>
      <c r="B11453" s="15"/>
    </row>
    <row r="11454" spans="1:2" x14ac:dyDescent="0.15">
      <c r="A11454" s="15"/>
      <c r="B11454" s="15"/>
    </row>
    <row r="11455" spans="1:2" x14ac:dyDescent="0.15">
      <c r="A11455" s="15"/>
      <c r="B11455" s="15"/>
    </row>
    <row r="11456" spans="1:2" x14ac:dyDescent="0.15">
      <c r="A11456" s="15"/>
      <c r="B11456" s="15"/>
    </row>
    <row r="11457" spans="1:2" x14ac:dyDescent="0.15">
      <c r="A11457" s="15"/>
      <c r="B11457" s="15"/>
    </row>
    <row r="11458" spans="1:2" x14ac:dyDescent="0.15">
      <c r="A11458" s="15"/>
      <c r="B11458" s="15"/>
    </row>
    <row r="11459" spans="1:2" x14ac:dyDescent="0.15">
      <c r="A11459" s="15"/>
      <c r="B11459" s="15"/>
    </row>
    <row r="11460" spans="1:2" x14ac:dyDescent="0.15">
      <c r="A11460" s="15"/>
      <c r="B11460" s="15"/>
    </row>
    <row r="11461" spans="1:2" x14ac:dyDescent="0.15">
      <c r="A11461" s="15"/>
      <c r="B11461" s="15"/>
    </row>
    <row r="11462" spans="1:2" x14ac:dyDescent="0.15">
      <c r="A11462" s="15"/>
      <c r="B11462" s="15"/>
    </row>
    <row r="11463" spans="1:2" x14ac:dyDescent="0.15">
      <c r="A11463" s="15"/>
      <c r="B11463" s="15"/>
    </row>
    <row r="11464" spans="1:2" x14ac:dyDescent="0.15">
      <c r="A11464" s="15"/>
      <c r="B11464" s="15"/>
    </row>
    <row r="11465" spans="1:2" x14ac:dyDescent="0.15">
      <c r="A11465" s="15"/>
      <c r="B11465" s="15"/>
    </row>
    <row r="11466" spans="1:2" x14ac:dyDescent="0.15">
      <c r="A11466" s="15"/>
      <c r="B11466" s="15"/>
    </row>
    <row r="11467" spans="1:2" x14ac:dyDescent="0.15">
      <c r="A11467" s="15"/>
      <c r="B11467" s="15"/>
    </row>
    <row r="11468" spans="1:2" x14ac:dyDescent="0.15">
      <c r="A11468" s="15"/>
      <c r="B11468" s="15"/>
    </row>
    <row r="11469" spans="1:2" x14ac:dyDescent="0.15">
      <c r="A11469" s="15"/>
      <c r="B11469" s="15"/>
    </row>
    <row r="11470" spans="1:2" x14ac:dyDescent="0.15">
      <c r="A11470" s="15"/>
      <c r="B11470" s="15"/>
    </row>
    <row r="11471" spans="1:2" x14ac:dyDescent="0.15">
      <c r="A11471" s="15"/>
      <c r="B11471" s="15"/>
    </row>
    <row r="11472" spans="1:2" x14ac:dyDescent="0.15">
      <c r="A11472" s="15"/>
      <c r="B11472" s="15"/>
    </row>
    <row r="11473" spans="1:2" x14ac:dyDescent="0.15">
      <c r="A11473" s="15"/>
      <c r="B11473" s="15"/>
    </row>
    <row r="11474" spans="1:2" x14ac:dyDescent="0.15">
      <c r="A11474" s="15"/>
      <c r="B11474" s="15"/>
    </row>
    <row r="11475" spans="1:2" x14ac:dyDescent="0.15">
      <c r="A11475" s="15"/>
      <c r="B11475" s="15"/>
    </row>
    <row r="11476" spans="1:2" x14ac:dyDescent="0.15">
      <c r="A11476" s="15"/>
      <c r="B11476" s="15"/>
    </row>
    <row r="11477" spans="1:2" x14ac:dyDescent="0.15">
      <c r="A11477" s="15"/>
      <c r="B11477" s="15"/>
    </row>
    <row r="11478" spans="1:2" x14ac:dyDescent="0.15">
      <c r="A11478" s="15"/>
      <c r="B11478" s="15"/>
    </row>
    <row r="11479" spans="1:2" x14ac:dyDescent="0.15">
      <c r="A11479" s="15"/>
      <c r="B11479" s="15"/>
    </row>
    <row r="11480" spans="1:2" x14ac:dyDescent="0.15">
      <c r="A11480" s="15"/>
      <c r="B11480" s="15"/>
    </row>
    <row r="11481" spans="1:2" x14ac:dyDescent="0.15">
      <c r="A11481" s="15"/>
      <c r="B11481" s="15"/>
    </row>
    <row r="11482" spans="1:2" x14ac:dyDescent="0.15">
      <c r="A11482" s="15"/>
      <c r="B11482" s="15"/>
    </row>
    <row r="11483" spans="1:2" x14ac:dyDescent="0.15">
      <c r="A11483" s="15"/>
      <c r="B11483" s="15"/>
    </row>
    <row r="11484" spans="1:2" x14ac:dyDescent="0.15">
      <c r="A11484" s="15"/>
      <c r="B11484" s="15"/>
    </row>
    <row r="11485" spans="1:2" x14ac:dyDescent="0.15">
      <c r="A11485" s="15"/>
      <c r="B11485" s="15"/>
    </row>
    <row r="11486" spans="1:2" x14ac:dyDescent="0.15">
      <c r="A11486" s="15"/>
      <c r="B11486" s="15"/>
    </row>
    <row r="11487" spans="1:2" x14ac:dyDescent="0.15">
      <c r="A11487" s="15"/>
      <c r="B11487" s="15"/>
    </row>
    <row r="11488" spans="1:2" x14ac:dyDescent="0.15">
      <c r="A11488" s="15"/>
      <c r="B11488" s="15"/>
    </row>
    <row r="11489" spans="1:2" x14ac:dyDescent="0.15">
      <c r="A11489" s="15"/>
      <c r="B11489" s="15"/>
    </row>
    <row r="11490" spans="1:2" x14ac:dyDescent="0.15">
      <c r="A11490" s="15"/>
      <c r="B11490" s="15"/>
    </row>
    <row r="11491" spans="1:2" x14ac:dyDescent="0.15">
      <c r="A11491" s="15"/>
      <c r="B11491" s="15"/>
    </row>
    <row r="11492" spans="1:2" x14ac:dyDescent="0.15">
      <c r="A11492" s="15"/>
      <c r="B11492" s="15"/>
    </row>
    <row r="11493" spans="1:2" x14ac:dyDescent="0.15">
      <c r="A11493" s="15"/>
      <c r="B11493" s="15"/>
    </row>
    <row r="11494" spans="1:2" x14ac:dyDescent="0.15">
      <c r="A11494" s="15"/>
      <c r="B11494" s="15"/>
    </row>
    <row r="11495" spans="1:2" x14ac:dyDescent="0.15">
      <c r="A11495" s="15"/>
      <c r="B11495" s="15"/>
    </row>
    <row r="11496" spans="1:2" x14ac:dyDescent="0.15">
      <c r="A11496" s="15"/>
      <c r="B11496" s="15"/>
    </row>
    <row r="11497" spans="1:2" x14ac:dyDescent="0.15">
      <c r="A11497" s="15"/>
      <c r="B11497" s="15"/>
    </row>
    <row r="11498" spans="1:2" x14ac:dyDescent="0.15">
      <c r="A11498" s="15"/>
      <c r="B11498" s="15"/>
    </row>
    <row r="11499" spans="1:2" x14ac:dyDescent="0.15">
      <c r="A11499" s="15"/>
      <c r="B11499" s="15"/>
    </row>
    <row r="11500" spans="1:2" x14ac:dyDescent="0.15">
      <c r="A11500" s="15"/>
      <c r="B11500" s="15"/>
    </row>
    <row r="11501" spans="1:2" x14ac:dyDescent="0.15">
      <c r="A11501" s="15"/>
      <c r="B11501" s="15"/>
    </row>
    <row r="11502" spans="1:2" x14ac:dyDescent="0.15">
      <c r="A11502" s="15"/>
      <c r="B11502" s="15"/>
    </row>
    <row r="11503" spans="1:2" x14ac:dyDescent="0.15">
      <c r="A11503" s="15"/>
      <c r="B11503" s="15"/>
    </row>
    <row r="11504" spans="1:2" x14ac:dyDescent="0.15">
      <c r="A11504" s="15"/>
      <c r="B11504" s="15"/>
    </row>
    <row r="11505" spans="1:2" x14ac:dyDescent="0.15">
      <c r="A11505" s="15"/>
      <c r="B11505" s="15"/>
    </row>
    <row r="11506" spans="1:2" x14ac:dyDescent="0.15">
      <c r="A11506" s="15"/>
      <c r="B11506" s="15"/>
    </row>
    <row r="11507" spans="1:2" x14ac:dyDescent="0.15">
      <c r="A11507" s="15"/>
      <c r="B11507" s="15"/>
    </row>
    <row r="11508" spans="1:2" x14ac:dyDescent="0.15">
      <c r="A11508" s="15"/>
      <c r="B11508" s="15"/>
    </row>
    <row r="11509" spans="1:2" x14ac:dyDescent="0.15">
      <c r="A11509" s="15"/>
      <c r="B11509" s="15"/>
    </row>
    <row r="11510" spans="1:2" x14ac:dyDescent="0.15">
      <c r="A11510" s="15"/>
      <c r="B11510" s="15"/>
    </row>
    <row r="11511" spans="1:2" x14ac:dyDescent="0.15">
      <c r="A11511" s="15"/>
      <c r="B11511" s="15"/>
    </row>
    <row r="11512" spans="1:2" x14ac:dyDescent="0.15">
      <c r="A11512" s="15"/>
      <c r="B11512" s="15"/>
    </row>
    <row r="11513" spans="1:2" x14ac:dyDescent="0.15">
      <c r="A11513" s="15"/>
      <c r="B11513" s="15"/>
    </row>
    <row r="11514" spans="1:2" x14ac:dyDescent="0.15">
      <c r="A11514" s="15"/>
      <c r="B11514" s="15"/>
    </row>
    <row r="11515" spans="1:2" x14ac:dyDescent="0.15">
      <c r="A11515" s="15"/>
      <c r="B11515" s="15"/>
    </row>
    <row r="11516" spans="1:2" x14ac:dyDescent="0.15">
      <c r="A11516" s="15"/>
      <c r="B11516" s="15"/>
    </row>
    <row r="11517" spans="1:2" x14ac:dyDescent="0.15">
      <c r="A11517" s="15"/>
      <c r="B11517" s="15"/>
    </row>
    <row r="11518" spans="1:2" x14ac:dyDescent="0.15">
      <c r="A11518" s="15"/>
      <c r="B11518" s="15"/>
    </row>
    <row r="11519" spans="1:2" x14ac:dyDescent="0.15">
      <c r="A11519" s="15"/>
      <c r="B11519" s="15"/>
    </row>
    <row r="11520" spans="1:2" x14ac:dyDescent="0.15">
      <c r="A11520" s="15"/>
      <c r="B11520" s="15"/>
    </row>
    <row r="11521" spans="1:2" x14ac:dyDescent="0.15">
      <c r="A11521" s="15"/>
      <c r="B11521" s="15"/>
    </row>
    <row r="11522" spans="1:2" x14ac:dyDescent="0.15">
      <c r="A11522" s="15"/>
      <c r="B11522" s="15"/>
    </row>
    <row r="11523" spans="1:2" x14ac:dyDescent="0.15">
      <c r="A11523" s="15"/>
      <c r="B11523" s="15"/>
    </row>
    <row r="11524" spans="1:2" x14ac:dyDescent="0.15">
      <c r="A11524" s="15"/>
      <c r="B11524" s="15"/>
    </row>
    <row r="11525" spans="1:2" x14ac:dyDescent="0.15">
      <c r="A11525" s="15"/>
      <c r="B11525" s="15"/>
    </row>
    <row r="11526" spans="1:2" x14ac:dyDescent="0.15">
      <c r="A11526" s="15"/>
      <c r="B11526" s="15"/>
    </row>
    <row r="11527" spans="1:2" x14ac:dyDescent="0.15">
      <c r="A11527" s="15"/>
      <c r="B11527" s="15"/>
    </row>
    <row r="11528" spans="1:2" x14ac:dyDescent="0.15">
      <c r="A11528" s="15"/>
      <c r="B11528" s="15"/>
    </row>
    <row r="11529" spans="1:2" x14ac:dyDescent="0.15">
      <c r="A11529" s="15"/>
      <c r="B11529" s="15"/>
    </row>
    <row r="11530" spans="1:2" x14ac:dyDescent="0.15">
      <c r="A11530" s="15"/>
      <c r="B11530" s="15"/>
    </row>
    <row r="11531" spans="1:2" x14ac:dyDescent="0.15">
      <c r="A11531" s="15"/>
      <c r="B11531" s="15"/>
    </row>
    <row r="11532" spans="1:2" x14ac:dyDescent="0.15">
      <c r="A11532" s="15"/>
      <c r="B11532" s="15"/>
    </row>
    <row r="11533" spans="1:2" x14ac:dyDescent="0.15">
      <c r="A11533" s="15"/>
      <c r="B11533" s="15"/>
    </row>
    <row r="11534" spans="1:2" x14ac:dyDescent="0.15">
      <c r="A11534" s="15"/>
      <c r="B11534" s="15"/>
    </row>
    <row r="11535" spans="1:2" x14ac:dyDescent="0.15">
      <c r="A11535" s="15"/>
      <c r="B11535" s="15"/>
    </row>
    <row r="11536" spans="1:2" x14ac:dyDescent="0.15">
      <c r="A11536" s="15"/>
      <c r="B11536" s="15"/>
    </row>
    <row r="11537" spans="1:2" x14ac:dyDescent="0.15">
      <c r="A11537" s="15"/>
      <c r="B11537" s="15"/>
    </row>
    <row r="11538" spans="1:2" x14ac:dyDescent="0.15">
      <c r="A11538" s="15"/>
      <c r="B11538" s="15"/>
    </row>
    <row r="11539" spans="1:2" x14ac:dyDescent="0.15">
      <c r="A11539" s="15"/>
      <c r="B11539" s="15"/>
    </row>
    <row r="11540" spans="1:2" x14ac:dyDescent="0.15">
      <c r="A11540" s="15"/>
      <c r="B11540" s="15"/>
    </row>
    <row r="11541" spans="1:2" x14ac:dyDescent="0.15">
      <c r="A11541" s="15"/>
      <c r="B11541" s="15"/>
    </row>
    <row r="11542" spans="1:2" x14ac:dyDescent="0.15">
      <c r="A11542" s="15"/>
      <c r="B11542" s="15"/>
    </row>
    <row r="11543" spans="1:2" x14ac:dyDescent="0.15">
      <c r="A11543" s="15"/>
      <c r="B11543" s="15"/>
    </row>
    <row r="11544" spans="1:2" x14ac:dyDescent="0.15">
      <c r="A11544" s="15"/>
      <c r="B11544" s="15"/>
    </row>
    <row r="11545" spans="1:2" x14ac:dyDescent="0.15">
      <c r="A11545" s="15"/>
      <c r="B11545" s="15"/>
    </row>
    <row r="11546" spans="1:2" x14ac:dyDescent="0.15">
      <c r="A11546" s="15"/>
      <c r="B11546" s="15"/>
    </row>
    <row r="11547" spans="1:2" x14ac:dyDescent="0.15">
      <c r="A11547" s="15"/>
      <c r="B11547" s="15"/>
    </row>
    <row r="11548" spans="1:2" x14ac:dyDescent="0.15">
      <c r="A11548" s="15"/>
      <c r="B11548" s="15"/>
    </row>
    <row r="11549" spans="1:2" x14ac:dyDescent="0.15">
      <c r="A11549" s="15"/>
      <c r="B11549" s="15"/>
    </row>
    <row r="11550" spans="1:2" x14ac:dyDescent="0.15">
      <c r="A11550" s="15"/>
      <c r="B11550" s="15"/>
    </row>
    <row r="11551" spans="1:2" x14ac:dyDescent="0.15">
      <c r="A11551" s="15"/>
      <c r="B11551" s="15"/>
    </row>
    <row r="11552" spans="1:2" x14ac:dyDescent="0.15">
      <c r="A11552" s="15"/>
      <c r="B11552" s="15"/>
    </row>
    <row r="11553" spans="1:2" x14ac:dyDescent="0.15">
      <c r="A11553" s="15"/>
      <c r="B11553" s="15"/>
    </row>
    <row r="11554" spans="1:2" x14ac:dyDescent="0.15">
      <c r="A11554" s="15"/>
      <c r="B11554" s="15"/>
    </row>
    <row r="11555" spans="1:2" x14ac:dyDescent="0.15">
      <c r="A11555" s="15"/>
      <c r="B11555" s="15"/>
    </row>
    <row r="11556" spans="1:2" x14ac:dyDescent="0.15">
      <c r="A11556" s="15"/>
      <c r="B11556" s="15"/>
    </row>
    <row r="11557" spans="1:2" x14ac:dyDescent="0.15">
      <c r="A11557" s="15"/>
      <c r="B11557" s="15"/>
    </row>
    <row r="11558" spans="1:2" x14ac:dyDescent="0.15">
      <c r="A11558" s="15"/>
      <c r="B11558" s="15"/>
    </row>
    <row r="11559" spans="1:2" x14ac:dyDescent="0.15">
      <c r="A11559" s="15"/>
      <c r="B11559" s="15"/>
    </row>
    <row r="11560" spans="1:2" x14ac:dyDescent="0.15">
      <c r="A11560" s="15"/>
      <c r="B11560" s="15"/>
    </row>
    <row r="11561" spans="1:2" x14ac:dyDescent="0.15">
      <c r="A11561" s="15"/>
      <c r="B11561" s="15"/>
    </row>
    <row r="11562" spans="1:2" x14ac:dyDescent="0.15">
      <c r="A11562" s="15"/>
      <c r="B11562" s="15"/>
    </row>
    <row r="11563" spans="1:2" x14ac:dyDescent="0.15">
      <c r="A11563" s="15"/>
      <c r="B11563" s="15"/>
    </row>
    <row r="11564" spans="1:2" x14ac:dyDescent="0.15">
      <c r="A11564" s="15"/>
      <c r="B11564" s="15"/>
    </row>
    <row r="11565" spans="1:2" x14ac:dyDescent="0.15">
      <c r="A11565" s="15"/>
      <c r="B11565" s="15"/>
    </row>
    <row r="11566" spans="1:2" x14ac:dyDescent="0.15">
      <c r="A11566" s="15"/>
      <c r="B11566" s="15"/>
    </row>
    <row r="11567" spans="1:2" x14ac:dyDescent="0.15">
      <c r="A11567" s="15"/>
      <c r="B11567" s="15"/>
    </row>
    <row r="11568" spans="1:2" x14ac:dyDescent="0.15">
      <c r="A11568" s="15"/>
      <c r="B11568" s="15"/>
    </row>
    <row r="11569" spans="1:2" x14ac:dyDescent="0.15">
      <c r="A11569" s="15"/>
      <c r="B11569" s="15"/>
    </row>
    <row r="11570" spans="1:2" x14ac:dyDescent="0.15">
      <c r="A11570" s="15"/>
      <c r="B11570" s="15"/>
    </row>
    <row r="11571" spans="1:2" x14ac:dyDescent="0.15">
      <c r="A11571" s="15"/>
      <c r="B11571" s="15"/>
    </row>
    <row r="11572" spans="1:2" x14ac:dyDescent="0.15">
      <c r="A11572" s="15"/>
      <c r="B11572" s="15"/>
    </row>
    <row r="11573" spans="1:2" x14ac:dyDescent="0.15">
      <c r="A11573" s="15"/>
      <c r="B11573" s="15"/>
    </row>
    <row r="11574" spans="1:2" x14ac:dyDescent="0.15">
      <c r="A11574" s="15"/>
      <c r="B11574" s="15"/>
    </row>
    <row r="11575" spans="1:2" x14ac:dyDescent="0.15">
      <c r="A11575" s="15"/>
      <c r="B11575" s="15"/>
    </row>
    <row r="11576" spans="1:2" x14ac:dyDescent="0.15">
      <c r="A11576" s="15"/>
      <c r="B11576" s="15"/>
    </row>
    <row r="11577" spans="1:2" x14ac:dyDescent="0.15">
      <c r="A11577" s="15"/>
      <c r="B11577" s="15"/>
    </row>
    <row r="11578" spans="1:2" x14ac:dyDescent="0.15">
      <c r="A11578" s="15"/>
      <c r="B11578" s="15"/>
    </row>
    <row r="11579" spans="1:2" x14ac:dyDescent="0.15">
      <c r="A11579" s="15"/>
      <c r="B11579" s="15"/>
    </row>
    <row r="11580" spans="1:2" x14ac:dyDescent="0.15">
      <c r="A11580" s="15"/>
      <c r="B11580" s="15"/>
    </row>
    <row r="11581" spans="1:2" x14ac:dyDescent="0.15">
      <c r="A11581" s="15"/>
      <c r="B11581" s="15"/>
    </row>
    <row r="11582" spans="1:2" x14ac:dyDescent="0.15">
      <c r="A11582" s="15"/>
      <c r="B11582" s="15"/>
    </row>
    <row r="11583" spans="1:2" x14ac:dyDescent="0.15">
      <c r="A11583" s="15"/>
      <c r="B11583" s="15"/>
    </row>
    <row r="11584" spans="1:2" x14ac:dyDescent="0.15">
      <c r="A11584" s="15"/>
      <c r="B11584" s="15"/>
    </row>
    <row r="11585" spans="1:2" x14ac:dyDescent="0.15">
      <c r="A11585" s="15"/>
      <c r="B11585" s="15"/>
    </row>
    <row r="11586" spans="1:2" x14ac:dyDescent="0.15">
      <c r="A11586" s="15"/>
      <c r="B11586" s="15"/>
    </row>
    <row r="11587" spans="1:2" x14ac:dyDescent="0.15">
      <c r="A11587" s="15"/>
      <c r="B11587" s="15"/>
    </row>
    <row r="11588" spans="1:2" x14ac:dyDescent="0.15">
      <c r="A11588" s="15"/>
      <c r="B11588" s="15"/>
    </row>
    <row r="11589" spans="1:2" x14ac:dyDescent="0.15">
      <c r="A11589" s="15"/>
      <c r="B11589" s="15"/>
    </row>
    <row r="11590" spans="1:2" x14ac:dyDescent="0.15">
      <c r="A11590" s="15"/>
      <c r="B11590" s="15"/>
    </row>
    <row r="11591" spans="1:2" x14ac:dyDescent="0.15">
      <c r="A11591" s="15"/>
      <c r="B11591" s="15"/>
    </row>
    <row r="11592" spans="1:2" x14ac:dyDescent="0.15">
      <c r="A11592" s="15"/>
      <c r="B11592" s="15"/>
    </row>
    <row r="11593" spans="1:2" x14ac:dyDescent="0.15">
      <c r="A11593" s="15"/>
      <c r="B11593" s="15"/>
    </row>
    <row r="11594" spans="1:2" x14ac:dyDescent="0.15">
      <c r="A11594" s="15"/>
      <c r="B11594" s="15"/>
    </row>
    <row r="11595" spans="1:2" x14ac:dyDescent="0.15">
      <c r="A11595" s="15"/>
      <c r="B11595" s="15"/>
    </row>
    <row r="11596" spans="1:2" x14ac:dyDescent="0.15">
      <c r="A11596" s="15"/>
      <c r="B11596" s="15"/>
    </row>
    <row r="11597" spans="1:2" x14ac:dyDescent="0.15">
      <c r="A11597" s="15"/>
      <c r="B11597" s="15"/>
    </row>
    <row r="11598" spans="1:2" x14ac:dyDescent="0.15">
      <c r="A11598" s="15"/>
      <c r="B11598" s="15"/>
    </row>
    <row r="11599" spans="1:2" x14ac:dyDescent="0.15">
      <c r="A11599" s="15"/>
      <c r="B11599" s="15"/>
    </row>
    <row r="11600" spans="1:2" x14ac:dyDescent="0.15">
      <c r="A11600" s="15"/>
      <c r="B11600" s="15"/>
    </row>
    <row r="11601" spans="1:2" x14ac:dyDescent="0.15">
      <c r="A11601" s="15"/>
      <c r="B11601" s="15"/>
    </row>
    <row r="11602" spans="1:2" x14ac:dyDescent="0.15">
      <c r="A11602" s="15"/>
      <c r="B11602" s="15"/>
    </row>
    <row r="11603" spans="1:2" x14ac:dyDescent="0.15">
      <c r="A11603" s="15"/>
      <c r="B11603" s="15"/>
    </row>
    <row r="11604" spans="1:2" x14ac:dyDescent="0.15">
      <c r="A11604" s="15"/>
      <c r="B11604" s="15"/>
    </row>
    <row r="11605" spans="1:2" x14ac:dyDescent="0.15">
      <c r="A11605" s="15"/>
      <c r="B11605" s="15"/>
    </row>
    <row r="11606" spans="1:2" x14ac:dyDescent="0.15">
      <c r="A11606" s="15"/>
      <c r="B11606" s="15"/>
    </row>
    <row r="11607" spans="1:2" x14ac:dyDescent="0.15">
      <c r="A11607" s="15"/>
      <c r="B11607" s="15"/>
    </row>
    <row r="11608" spans="1:2" x14ac:dyDescent="0.15">
      <c r="A11608" s="15"/>
      <c r="B11608" s="15"/>
    </row>
    <row r="11609" spans="1:2" x14ac:dyDescent="0.15">
      <c r="A11609" s="15"/>
      <c r="B11609" s="15"/>
    </row>
    <row r="11610" spans="1:2" x14ac:dyDescent="0.15">
      <c r="A11610" s="15"/>
      <c r="B11610" s="15"/>
    </row>
    <row r="11611" spans="1:2" x14ac:dyDescent="0.15">
      <c r="A11611" s="15"/>
      <c r="B11611" s="15"/>
    </row>
    <row r="11612" spans="1:2" x14ac:dyDescent="0.15">
      <c r="A11612" s="15"/>
      <c r="B11612" s="15"/>
    </row>
    <row r="11613" spans="1:2" x14ac:dyDescent="0.15">
      <c r="A11613" s="15"/>
      <c r="B11613" s="15"/>
    </row>
    <row r="11614" spans="1:2" x14ac:dyDescent="0.15">
      <c r="A11614" s="15"/>
      <c r="B11614" s="15"/>
    </row>
    <row r="11615" spans="1:2" x14ac:dyDescent="0.15">
      <c r="A11615" s="15"/>
      <c r="B11615" s="15"/>
    </row>
    <row r="11616" spans="1:2" x14ac:dyDescent="0.15">
      <c r="A11616" s="15"/>
      <c r="B11616" s="15"/>
    </row>
    <row r="11617" spans="1:2" x14ac:dyDescent="0.15">
      <c r="A11617" s="15"/>
      <c r="B11617" s="15"/>
    </row>
    <row r="11618" spans="1:2" x14ac:dyDescent="0.15">
      <c r="A11618" s="15"/>
      <c r="B11618" s="15"/>
    </row>
    <row r="11619" spans="1:2" x14ac:dyDescent="0.15">
      <c r="A11619" s="15"/>
      <c r="B11619" s="15"/>
    </row>
    <row r="11620" spans="1:2" x14ac:dyDescent="0.15">
      <c r="A11620" s="15"/>
      <c r="B11620" s="15"/>
    </row>
    <row r="11621" spans="1:2" x14ac:dyDescent="0.15">
      <c r="A11621" s="15"/>
      <c r="B11621" s="15"/>
    </row>
    <row r="11622" spans="1:2" x14ac:dyDescent="0.15">
      <c r="A11622" s="15"/>
      <c r="B11622" s="15"/>
    </row>
    <row r="11623" spans="1:2" x14ac:dyDescent="0.15">
      <c r="A11623" s="15"/>
      <c r="B11623" s="15"/>
    </row>
    <row r="11624" spans="1:2" x14ac:dyDescent="0.15">
      <c r="A11624" s="15"/>
      <c r="B11624" s="15"/>
    </row>
    <row r="11625" spans="1:2" x14ac:dyDescent="0.15">
      <c r="A11625" s="15"/>
      <c r="B11625" s="15"/>
    </row>
    <row r="11626" spans="1:2" x14ac:dyDescent="0.15">
      <c r="A11626" s="15"/>
      <c r="B11626" s="15"/>
    </row>
    <row r="11627" spans="1:2" x14ac:dyDescent="0.15">
      <c r="A11627" s="15"/>
      <c r="B11627" s="15"/>
    </row>
    <row r="11628" spans="1:2" x14ac:dyDescent="0.15">
      <c r="A11628" s="15"/>
      <c r="B11628" s="15"/>
    </row>
    <row r="11629" spans="1:2" x14ac:dyDescent="0.15">
      <c r="A11629" s="15"/>
      <c r="B11629" s="15"/>
    </row>
    <row r="11630" spans="1:2" x14ac:dyDescent="0.15">
      <c r="A11630" s="15"/>
      <c r="B11630" s="15"/>
    </row>
    <row r="11631" spans="1:2" x14ac:dyDescent="0.15">
      <c r="A11631" s="15"/>
      <c r="B11631" s="15"/>
    </row>
    <row r="11632" spans="1:2" x14ac:dyDescent="0.15">
      <c r="A11632" s="15"/>
      <c r="B11632" s="15"/>
    </row>
    <row r="11633" spans="1:2" x14ac:dyDescent="0.15">
      <c r="A11633" s="15"/>
      <c r="B11633" s="15"/>
    </row>
    <row r="11634" spans="1:2" x14ac:dyDescent="0.15">
      <c r="A11634" s="15"/>
      <c r="B11634" s="15"/>
    </row>
    <row r="11635" spans="1:2" x14ac:dyDescent="0.15">
      <c r="A11635" s="15"/>
      <c r="B11635" s="15"/>
    </row>
    <row r="11636" spans="1:2" x14ac:dyDescent="0.15">
      <c r="A11636" s="15"/>
      <c r="B11636" s="15"/>
    </row>
    <row r="11637" spans="1:2" x14ac:dyDescent="0.15">
      <c r="A11637" s="15"/>
      <c r="B11637" s="15"/>
    </row>
    <row r="11638" spans="1:2" x14ac:dyDescent="0.15">
      <c r="A11638" s="15"/>
      <c r="B11638" s="15"/>
    </row>
    <row r="11639" spans="1:2" x14ac:dyDescent="0.15">
      <c r="A11639" s="15"/>
      <c r="B11639" s="15"/>
    </row>
    <row r="11640" spans="1:2" x14ac:dyDescent="0.15">
      <c r="A11640" s="15"/>
      <c r="B11640" s="15"/>
    </row>
    <row r="11641" spans="1:2" x14ac:dyDescent="0.15">
      <c r="A11641" s="15"/>
      <c r="B11641" s="15"/>
    </row>
    <row r="11642" spans="1:2" x14ac:dyDescent="0.15">
      <c r="A11642" s="15"/>
      <c r="B11642" s="15"/>
    </row>
    <row r="11643" spans="1:2" x14ac:dyDescent="0.15">
      <c r="A11643" s="15"/>
      <c r="B11643" s="15"/>
    </row>
    <row r="11644" spans="1:2" x14ac:dyDescent="0.15">
      <c r="A11644" s="15"/>
      <c r="B11644" s="15"/>
    </row>
    <row r="11645" spans="1:2" x14ac:dyDescent="0.15">
      <c r="A11645" s="15"/>
      <c r="B11645" s="15"/>
    </row>
    <row r="11646" spans="1:2" x14ac:dyDescent="0.15">
      <c r="A11646" s="15"/>
      <c r="B11646" s="15"/>
    </row>
    <row r="11647" spans="1:2" x14ac:dyDescent="0.15">
      <c r="A11647" s="15"/>
      <c r="B11647" s="15"/>
    </row>
    <row r="11648" spans="1:2" x14ac:dyDescent="0.15">
      <c r="A11648" s="15"/>
      <c r="B11648" s="15"/>
    </row>
    <row r="11649" spans="1:2" x14ac:dyDescent="0.15">
      <c r="A11649" s="15"/>
      <c r="B11649" s="15"/>
    </row>
    <row r="11650" spans="1:2" x14ac:dyDescent="0.15">
      <c r="A11650" s="15"/>
      <c r="B11650" s="15"/>
    </row>
    <row r="11651" spans="1:2" x14ac:dyDescent="0.15">
      <c r="A11651" s="15"/>
      <c r="B11651" s="15"/>
    </row>
    <row r="11652" spans="1:2" x14ac:dyDescent="0.15">
      <c r="A11652" s="15"/>
      <c r="B11652" s="15"/>
    </row>
    <row r="11653" spans="1:2" x14ac:dyDescent="0.15">
      <c r="A11653" s="15"/>
      <c r="B11653" s="15"/>
    </row>
    <row r="11654" spans="1:2" x14ac:dyDescent="0.15">
      <c r="A11654" s="15"/>
      <c r="B11654" s="15"/>
    </row>
    <row r="11655" spans="1:2" x14ac:dyDescent="0.15">
      <c r="A11655" s="15"/>
      <c r="B11655" s="15"/>
    </row>
    <row r="11656" spans="1:2" x14ac:dyDescent="0.15">
      <c r="A11656" s="15"/>
      <c r="B11656" s="15"/>
    </row>
    <row r="11657" spans="1:2" x14ac:dyDescent="0.15">
      <c r="A11657" s="15"/>
      <c r="B11657" s="15"/>
    </row>
    <row r="11658" spans="1:2" x14ac:dyDescent="0.15">
      <c r="A11658" s="15"/>
      <c r="B11658" s="15"/>
    </row>
    <row r="11659" spans="1:2" x14ac:dyDescent="0.15">
      <c r="A11659" s="15"/>
      <c r="B11659" s="15"/>
    </row>
    <row r="11660" spans="1:2" x14ac:dyDescent="0.15">
      <c r="A11660" s="15"/>
      <c r="B11660" s="15"/>
    </row>
    <row r="11661" spans="1:2" x14ac:dyDescent="0.15">
      <c r="A11661" s="15"/>
      <c r="B11661" s="15"/>
    </row>
    <row r="11662" spans="1:2" x14ac:dyDescent="0.15">
      <c r="A11662" s="15"/>
      <c r="B11662" s="15"/>
    </row>
    <row r="11663" spans="1:2" x14ac:dyDescent="0.15">
      <c r="A11663" s="15"/>
      <c r="B11663" s="15"/>
    </row>
    <row r="11664" spans="1:2" x14ac:dyDescent="0.15">
      <c r="A11664" s="15"/>
      <c r="B11664" s="15"/>
    </row>
    <row r="11665" spans="1:2" x14ac:dyDescent="0.15">
      <c r="A11665" s="15"/>
      <c r="B11665" s="15"/>
    </row>
    <row r="11666" spans="1:2" x14ac:dyDescent="0.15">
      <c r="A11666" s="15"/>
      <c r="B11666" s="15"/>
    </row>
    <row r="11667" spans="1:2" x14ac:dyDescent="0.15">
      <c r="A11667" s="15"/>
      <c r="B11667" s="15"/>
    </row>
    <row r="11668" spans="1:2" x14ac:dyDescent="0.15">
      <c r="A11668" s="15"/>
      <c r="B11668" s="15"/>
    </row>
    <row r="11669" spans="1:2" x14ac:dyDescent="0.15">
      <c r="A11669" s="15"/>
      <c r="B11669" s="15"/>
    </row>
    <row r="11670" spans="1:2" x14ac:dyDescent="0.15">
      <c r="A11670" s="15"/>
      <c r="B11670" s="15"/>
    </row>
    <row r="11671" spans="1:2" x14ac:dyDescent="0.15">
      <c r="A11671" s="15"/>
      <c r="B11671" s="15"/>
    </row>
    <row r="11672" spans="1:2" x14ac:dyDescent="0.15">
      <c r="A11672" s="15"/>
      <c r="B11672" s="15"/>
    </row>
    <row r="11673" spans="1:2" x14ac:dyDescent="0.15">
      <c r="A11673" s="15"/>
      <c r="B11673" s="15"/>
    </row>
    <row r="11674" spans="1:2" x14ac:dyDescent="0.15">
      <c r="A11674" s="15"/>
      <c r="B11674" s="15"/>
    </row>
    <row r="11675" spans="1:2" x14ac:dyDescent="0.15">
      <c r="A11675" s="15"/>
      <c r="B11675" s="15"/>
    </row>
    <row r="11676" spans="1:2" x14ac:dyDescent="0.15">
      <c r="A11676" s="15"/>
      <c r="B11676" s="15"/>
    </row>
    <row r="11677" spans="1:2" x14ac:dyDescent="0.15">
      <c r="A11677" s="15"/>
      <c r="B11677" s="15"/>
    </row>
    <row r="11678" spans="1:2" x14ac:dyDescent="0.15">
      <c r="A11678" s="15"/>
      <c r="B11678" s="15"/>
    </row>
    <row r="11679" spans="1:2" x14ac:dyDescent="0.15">
      <c r="A11679" s="15"/>
      <c r="B11679" s="15"/>
    </row>
    <row r="11680" spans="1:2" x14ac:dyDescent="0.15">
      <c r="A11680" s="15"/>
      <c r="B11680" s="15"/>
    </row>
    <row r="11681" spans="1:2" x14ac:dyDescent="0.15">
      <c r="A11681" s="15"/>
      <c r="B11681" s="15"/>
    </row>
    <row r="11682" spans="1:2" x14ac:dyDescent="0.15">
      <c r="A11682" s="15"/>
      <c r="B11682" s="15"/>
    </row>
    <row r="11683" spans="1:2" x14ac:dyDescent="0.15">
      <c r="A11683" s="15"/>
      <c r="B11683" s="15"/>
    </row>
    <row r="11684" spans="1:2" x14ac:dyDescent="0.15">
      <c r="A11684" s="15"/>
      <c r="B11684" s="15"/>
    </row>
    <row r="11685" spans="1:2" x14ac:dyDescent="0.15">
      <c r="A11685" s="15"/>
      <c r="B11685" s="15"/>
    </row>
    <row r="11686" spans="1:2" x14ac:dyDescent="0.15">
      <c r="A11686" s="15"/>
      <c r="B11686" s="15"/>
    </row>
    <row r="11687" spans="1:2" x14ac:dyDescent="0.15">
      <c r="A11687" s="15"/>
      <c r="B11687" s="15"/>
    </row>
    <row r="11688" spans="1:2" x14ac:dyDescent="0.15">
      <c r="A11688" s="15"/>
      <c r="B11688" s="15"/>
    </row>
    <row r="11689" spans="1:2" x14ac:dyDescent="0.15">
      <c r="A11689" s="15"/>
      <c r="B11689" s="15"/>
    </row>
    <row r="11690" spans="1:2" x14ac:dyDescent="0.15">
      <c r="A11690" s="15"/>
      <c r="B11690" s="15"/>
    </row>
    <row r="11691" spans="1:2" x14ac:dyDescent="0.15">
      <c r="A11691" s="15"/>
      <c r="B11691" s="15"/>
    </row>
    <row r="11692" spans="1:2" x14ac:dyDescent="0.15">
      <c r="A11692" s="15"/>
      <c r="B11692" s="15"/>
    </row>
    <row r="11693" spans="1:2" x14ac:dyDescent="0.15">
      <c r="A11693" s="15"/>
      <c r="B11693" s="15"/>
    </row>
    <row r="11694" spans="1:2" x14ac:dyDescent="0.15">
      <c r="A11694" s="15"/>
      <c r="B11694" s="15"/>
    </row>
    <row r="11695" spans="1:2" x14ac:dyDescent="0.15">
      <c r="A11695" s="15"/>
      <c r="B11695" s="15"/>
    </row>
    <row r="11696" spans="1:2" x14ac:dyDescent="0.15">
      <c r="A11696" s="15"/>
      <c r="B11696" s="15"/>
    </row>
    <row r="11697" spans="1:2" x14ac:dyDescent="0.15">
      <c r="A11697" s="15"/>
      <c r="B11697" s="15"/>
    </row>
    <row r="11698" spans="1:2" x14ac:dyDescent="0.15">
      <c r="A11698" s="15"/>
      <c r="B11698" s="15"/>
    </row>
    <row r="11699" spans="1:2" x14ac:dyDescent="0.15">
      <c r="A11699" s="15"/>
      <c r="B11699" s="15"/>
    </row>
    <row r="11700" spans="1:2" x14ac:dyDescent="0.15">
      <c r="A11700" s="15"/>
      <c r="B11700" s="15"/>
    </row>
    <row r="11701" spans="1:2" x14ac:dyDescent="0.15">
      <c r="A11701" s="15"/>
      <c r="B11701" s="15"/>
    </row>
    <row r="11702" spans="1:2" x14ac:dyDescent="0.15">
      <c r="A11702" s="15"/>
      <c r="B11702" s="15"/>
    </row>
    <row r="11703" spans="1:2" x14ac:dyDescent="0.15">
      <c r="A11703" s="15"/>
      <c r="B11703" s="15"/>
    </row>
    <row r="11704" spans="1:2" x14ac:dyDescent="0.15">
      <c r="A11704" s="15"/>
      <c r="B11704" s="15"/>
    </row>
    <row r="11705" spans="1:2" x14ac:dyDescent="0.15">
      <c r="A11705" s="15"/>
      <c r="B11705" s="15"/>
    </row>
    <row r="11706" spans="1:2" x14ac:dyDescent="0.15">
      <c r="A11706" s="15"/>
      <c r="B11706" s="15"/>
    </row>
    <row r="11707" spans="1:2" x14ac:dyDescent="0.15">
      <c r="A11707" s="15"/>
      <c r="B11707" s="15"/>
    </row>
    <row r="11708" spans="1:2" x14ac:dyDescent="0.15">
      <c r="A11708" s="15"/>
      <c r="B11708" s="15"/>
    </row>
    <row r="11709" spans="1:2" x14ac:dyDescent="0.15">
      <c r="A11709" s="15"/>
      <c r="B11709" s="15"/>
    </row>
    <row r="11710" spans="1:2" x14ac:dyDescent="0.15">
      <c r="A11710" s="15"/>
      <c r="B11710" s="15"/>
    </row>
    <row r="11711" spans="1:2" x14ac:dyDescent="0.15">
      <c r="A11711" s="15"/>
      <c r="B11711" s="15"/>
    </row>
    <row r="11712" spans="1:2" x14ac:dyDescent="0.15">
      <c r="A11712" s="15"/>
      <c r="B11712" s="15"/>
    </row>
    <row r="11713" spans="1:2" x14ac:dyDescent="0.15">
      <c r="A11713" s="15"/>
      <c r="B11713" s="15"/>
    </row>
    <row r="11714" spans="1:2" x14ac:dyDescent="0.15">
      <c r="A11714" s="15"/>
      <c r="B11714" s="15"/>
    </row>
    <row r="11715" spans="1:2" x14ac:dyDescent="0.15">
      <c r="A11715" s="15"/>
      <c r="B11715" s="15"/>
    </row>
    <row r="11716" spans="1:2" x14ac:dyDescent="0.15">
      <c r="A11716" s="15"/>
      <c r="B11716" s="15"/>
    </row>
    <row r="11717" spans="1:2" x14ac:dyDescent="0.15">
      <c r="A11717" s="15"/>
      <c r="B11717" s="15"/>
    </row>
    <row r="11718" spans="1:2" x14ac:dyDescent="0.15">
      <c r="A11718" s="15"/>
      <c r="B11718" s="15"/>
    </row>
    <row r="11719" spans="1:2" x14ac:dyDescent="0.15">
      <c r="A11719" s="15"/>
      <c r="B11719" s="15"/>
    </row>
    <row r="11720" spans="1:2" x14ac:dyDescent="0.15">
      <c r="A11720" s="15"/>
      <c r="B11720" s="15"/>
    </row>
    <row r="11721" spans="1:2" x14ac:dyDescent="0.15">
      <c r="A11721" s="15"/>
      <c r="B11721" s="15"/>
    </row>
    <row r="11722" spans="1:2" x14ac:dyDescent="0.15">
      <c r="A11722" s="15"/>
      <c r="B11722" s="15"/>
    </row>
    <row r="11723" spans="1:2" x14ac:dyDescent="0.15">
      <c r="A11723" s="15"/>
      <c r="B11723" s="15"/>
    </row>
    <row r="11724" spans="1:2" x14ac:dyDescent="0.15">
      <c r="A11724" s="15"/>
      <c r="B11724" s="15"/>
    </row>
    <row r="11725" spans="1:2" x14ac:dyDescent="0.15">
      <c r="A11725" s="15"/>
      <c r="B11725" s="15"/>
    </row>
    <row r="11726" spans="1:2" x14ac:dyDescent="0.15">
      <c r="A11726" s="15"/>
      <c r="B11726" s="15"/>
    </row>
    <row r="11727" spans="1:2" x14ac:dyDescent="0.15">
      <c r="A11727" s="15"/>
      <c r="B11727" s="15"/>
    </row>
    <row r="11728" spans="1:2" x14ac:dyDescent="0.15">
      <c r="A11728" s="15"/>
      <c r="B11728" s="15"/>
    </row>
    <row r="11729" spans="1:2" x14ac:dyDescent="0.15">
      <c r="A11729" s="15"/>
      <c r="B11729" s="15"/>
    </row>
    <row r="11730" spans="1:2" x14ac:dyDescent="0.15">
      <c r="A11730" s="15"/>
      <c r="B11730" s="15"/>
    </row>
    <row r="11731" spans="1:2" x14ac:dyDescent="0.15">
      <c r="A11731" s="15"/>
      <c r="B11731" s="15"/>
    </row>
    <row r="11732" spans="1:2" x14ac:dyDescent="0.15">
      <c r="A11732" s="15"/>
      <c r="B11732" s="15"/>
    </row>
    <row r="11733" spans="1:2" x14ac:dyDescent="0.15">
      <c r="A11733" s="15"/>
      <c r="B11733" s="15"/>
    </row>
    <row r="11734" spans="1:2" x14ac:dyDescent="0.15">
      <c r="A11734" s="15"/>
      <c r="B11734" s="15"/>
    </row>
    <row r="11735" spans="1:2" x14ac:dyDescent="0.15">
      <c r="A11735" s="15"/>
      <c r="B11735" s="15"/>
    </row>
    <row r="11736" spans="1:2" x14ac:dyDescent="0.15">
      <c r="A11736" s="15"/>
      <c r="B11736" s="15"/>
    </row>
    <row r="11737" spans="1:2" x14ac:dyDescent="0.15">
      <c r="A11737" s="15"/>
      <c r="B11737" s="15"/>
    </row>
    <row r="11738" spans="1:2" x14ac:dyDescent="0.15">
      <c r="A11738" s="15"/>
      <c r="B11738" s="15"/>
    </row>
    <row r="11739" spans="1:2" x14ac:dyDescent="0.15">
      <c r="A11739" s="15"/>
      <c r="B11739" s="15"/>
    </row>
    <row r="11740" spans="1:2" x14ac:dyDescent="0.15">
      <c r="A11740" s="15"/>
      <c r="B11740" s="15"/>
    </row>
    <row r="11741" spans="1:2" x14ac:dyDescent="0.15">
      <c r="A11741" s="15"/>
      <c r="B11741" s="15"/>
    </row>
    <row r="11742" spans="1:2" x14ac:dyDescent="0.15">
      <c r="A11742" s="15"/>
      <c r="B11742" s="15"/>
    </row>
    <row r="11743" spans="1:2" x14ac:dyDescent="0.15">
      <c r="A11743" s="15"/>
      <c r="B11743" s="15"/>
    </row>
    <row r="11744" spans="1:2" x14ac:dyDescent="0.15">
      <c r="A11744" s="15"/>
      <c r="B11744" s="15"/>
    </row>
    <row r="11745" spans="1:2" x14ac:dyDescent="0.15">
      <c r="A11745" s="15"/>
      <c r="B11745" s="15"/>
    </row>
    <row r="11746" spans="1:2" x14ac:dyDescent="0.15">
      <c r="A11746" s="15"/>
      <c r="B11746" s="15"/>
    </row>
    <row r="11747" spans="1:2" x14ac:dyDescent="0.15">
      <c r="A11747" s="15"/>
      <c r="B11747" s="15"/>
    </row>
    <row r="11748" spans="1:2" x14ac:dyDescent="0.15">
      <c r="A11748" s="15"/>
      <c r="B11748" s="15"/>
    </row>
    <row r="11749" spans="1:2" x14ac:dyDescent="0.15">
      <c r="A11749" s="15"/>
      <c r="B11749" s="15"/>
    </row>
    <row r="11750" spans="1:2" x14ac:dyDescent="0.15">
      <c r="A11750" s="15"/>
      <c r="B11750" s="15"/>
    </row>
    <row r="11751" spans="1:2" x14ac:dyDescent="0.15">
      <c r="A11751" s="15"/>
      <c r="B11751" s="15"/>
    </row>
    <row r="11752" spans="1:2" x14ac:dyDescent="0.15">
      <c r="A11752" s="15"/>
      <c r="B11752" s="15"/>
    </row>
    <row r="11753" spans="1:2" x14ac:dyDescent="0.15">
      <c r="A11753" s="15"/>
      <c r="B11753" s="15"/>
    </row>
    <row r="11754" spans="1:2" x14ac:dyDescent="0.15">
      <c r="A11754" s="15"/>
      <c r="B11754" s="15"/>
    </row>
    <row r="11755" spans="1:2" x14ac:dyDescent="0.15">
      <c r="A11755" s="15"/>
      <c r="B11755" s="15"/>
    </row>
    <row r="11756" spans="1:2" x14ac:dyDescent="0.15">
      <c r="A11756" s="15"/>
      <c r="B11756" s="15"/>
    </row>
    <row r="11757" spans="1:2" x14ac:dyDescent="0.15">
      <c r="A11757" s="15"/>
      <c r="B11757" s="15"/>
    </row>
    <row r="11758" spans="1:2" x14ac:dyDescent="0.15">
      <c r="A11758" s="15"/>
      <c r="B11758" s="15"/>
    </row>
    <row r="11759" spans="1:2" x14ac:dyDescent="0.15">
      <c r="A11759" s="15"/>
      <c r="B11759" s="15"/>
    </row>
    <row r="11760" spans="1:2" x14ac:dyDescent="0.15">
      <c r="A11760" s="15"/>
      <c r="B11760" s="15"/>
    </row>
    <row r="11761" spans="1:2" x14ac:dyDescent="0.15">
      <c r="A11761" s="15"/>
      <c r="B11761" s="15"/>
    </row>
    <row r="11762" spans="1:2" x14ac:dyDescent="0.15">
      <c r="A11762" s="15"/>
      <c r="B11762" s="15"/>
    </row>
    <row r="11763" spans="1:2" x14ac:dyDescent="0.15">
      <c r="A11763" s="15"/>
      <c r="B11763" s="15"/>
    </row>
    <row r="11764" spans="1:2" x14ac:dyDescent="0.15">
      <c r="A11764" s="15"/>
      <c r="B11764" s="15"/>
    </row>
    <row r="11765" spans="1:2" x14ac:dyDescent="0.15">
      <c r="A11765" s="15"/>
      <c r="B11765" s="15"/>
    </row>
    <row r="11766" spans="1:2" x14ac:dyDescent="0.15">
      <c r="A11766" s="15"/>
      <c r="B11766" s="15"/>
    </row>
    <row r="11767" spans="1:2" x14ac:dyDescent="0.15">
      <c r="A11767" s="15"/>
      <c r="B11767" s="15"/>
    </row>
    <row r="11768" spans="1:2" x14ac:dyDescent="0.15">
      <c r="A11768" s="15"/>
      <c r="B11768" s="15"/>
    </row>
    <row r="11769" spans="1:2" x14ac:dyDescent="0.15">
      <c r="A11769" s="15"/>
      <c r="B11769" s="15"/>
    </row>
    <row r="11770" spans="1:2" x14ac:dyDescent="0.15">
      <c r="A11770" s="15"/>
      <c r="B11770" s="15"/>
    </row>
    <row r="11771" spans="1:2" x14ac:dyDescent="0.15">
      <c r="A11771" s="15"/>
      <c r="B11771" s="15"/>
    </row>
    <row r="11772" spans="1:2" x14ac:dyDescent="0.15">
      <c r="A11772" s="15"/>
      <c r="B11772" s="15"/>
    </row>
    <row r="11773" spans="1:2" x14ac:dyDescent="0.15">
      <c r="A11773" s="15"/>
      <c r="B11773" s="15"/>
    </row>
    <row r="11774" spans="1:2" x14ac:dyDescent="0.15">
      <c r="A11774" s="15"/>
      <c r="B11774" s="15"/>
    </row>
    <row r="11775" spans="1:2" x14ac:dyDescent="0.15">
      <c r="A11775" s="15"/>
      <c r="B11775" s="15"/>
    </row>
    <row r="11776" spans="1:2" x14ac:dyDescent="0.15">
      <c r="A11776" s="15"/>
      <c r="B11776" s="15"/>
    </row>
    <row r="11777" spans="1:2" x14ac:dyDescent="0.15">
      <c r="A11777" s="15"/>
      <c r="B11777" s="15"/>
    </row>
    <row r="11778" spans="1:2" x14ac:dyDescent="0.15">
      <c r="A11778" s="15"/>
      <c r="B11778" s="15"/>
    </row>
    <row r="11779" spans="1:2" x14ac:dyDescent="0.15">
      <c r="A11779" s="15"/>
      <c r="B11779" s="15"/>
    </row>
    <row r="11780" spans="1:2" x14ac:dyDescent="0.15">
      <c r="A11780" s="15"/>
      <c r="B11780" s="15"/>
    </row>
    <row r="11781" spans="1:2" x14ac:dyDescent="0.15">
      <c r="A11781" s="15"/>
      <c r="B11781" s="15"/>
    </row>
    <row r="11782" spans="1:2" x14ac:dyDescent="0.15">
      <c r="A11782" s="15"/>
      <c r="B11782" s="15"/>
    </row>
    <row r="11783" spans="1:2" x14ac:dyDescent="0.15">
      <c r="A11783" s="15"/>
      <c r="B11783" s="15"/>
    </row>
    <row r="11784" spans="1:2" x14ac:dyDescent="0.15">
      <c r="A11784" s="15"/>
      <c r="B11784" s="15"/>
    </row>
    <row r="11785" spans="1:2" x14ac:dyDescent="0.15">
      <c r="A11785" s="15"/>
      <c r="B11785" s="15"/>
    </row>
    <row r="11786" spans="1:2" x14ac:dyDescent="0.15">
      <c r="A11786" s="15"/>
      <c r="B11786" s="15"/>
    </row>
    <row r="11787" spans="1:2" x14ac:dyDescent="0.15">
      <c r="A11787" s="15"/>
      <c r="B11787" s="15"/>
    </row>
    <row r="11788" spans="1:2" x14ac:dyDescent="0.15">
      <c r="A11788" s="15"/>
      <c r="B11788" s="15"/>
    </row>
    <row r="11789" spans="1:2" x14ac:dyDescent="0.15">
      <c r="A11789" s="15"/>
      <c r="B11789" s="15"/>
    </row>
    <row r="11790" spans="1:2" x14ac:dyDescent="0.15">
      <c r="A11790" s="15"/>
      <c r="B11790" s="15"/>
    </row>
    <row r="11791" spans="1:2" x14ac:dyDescent="0.15">
      <c r="A11791" s="15"/>
      <c r="B11791" s="15"/>
    </row>
    <row r="11792" spans="1:2" x14ac:dyDescent="0.15">
      <c r="A11792" s="15"/>
      <c r="B11792" s="15"/>
    </row>
    <row r="11793" spans="1:2" x14ac:dyDescent="0.15">
      <c r="A11793" s="15"/>
      <c r="B11793" s="15"/>
    </row>
    <row r="11794" spans="1:2" x14ac:dyDescent="0.15">
      <c r="A11794" s="15"/>
      <c r="B11794" s="15"/>
    </row>
    <row r="11795" spans="1:2" x14ac:dyDescent="0.15">
      <c r="A11795" s="15"/>
      <c r="B11795" s="15"/>
    </row>
    <row r="11796" spans="1:2" x14ac:dyDescent="0.15">
      <c r="A11796" s="15"/>
      <c r="B11796" s="15"/>
    </row>
    <row r="11797" spans="1:2" x14ac:dyDescent="0.15">
      <c r="A11797" s="15"/>
      <c r="B11797" s="15"/>
    </row>
    <row r="11798" spans="1:2" x14ac:dyDescent="0.15">
      <c r="A11798" s="15"/>
      <c r="B11798" s="15"/>
    </row>
    <row r="11799" spans="1:2" x14ac:dyDescent="0.15">
      <c r="A11799" s="15"/>
      <c r="B11799" s="15"/>
    </row>
    <row r="11800" spans="1:2" x14ac:dyDescent="0.15">
      <c r="A11800" s="15"/>
      <c r="B11800" s="15"/>
    </row>
    <row r="11801" spans="1:2" x14ac:dyDescent="0.15">
      <c r="A11801" s="15"/>
      <c r="B11801" s="15"/>
    </row>
    <row r="11802" spans="1:2" x14ac:dyDescent="0.15">
      <c r="A11802" s="15"/>
      <c r="B11802" s="15"/>
    </row>
    <row r="11803" spans="1:2" x14ac:dyDescent="0.15">
      <c r="A11803" s="15"/>
      <c r="B11803" s="15"/>
    </row>
    <row r="11804" spans="1:2" x14ac:dyDescent="0.15">
      <c r="A11804" s="15"/>
      <c r="B11804" s="15"/>
    </row>
    <row r="11805" spans="1:2" x14ac:dyDescent="0.15">
      <c r="A11805" s="15"/>
      <c r="B11805" s="15"/>
    </row>
    <row r="11806" spans="1:2" x14ac:dyDescent="0.15">
      <c r="A11806" s="15"/>
      <c r="B11806" s="15"/>
    </row>
    <row r="11807" spans="1:2" x14ac:dyDescent="0.15">
      <c r="A11807" s="15"/>
      <c r="B11807" s="15"/>
    </row>
    <row r="11808" spans="1:2" x14ac:dyDescent="0.15">
      <c r="A11808" s="15"/>
      <c r="B11808" s="15"/>
    </row>
    <row r="11809" spans="1:2" x14ac:dyDescent="0.15">
      <c r="A11809" s="15"/>
      <c r="B11809" s="15"/>
    </row>
    <row r="11810" spans="1:2" x14ac:dyDescent="0.15">
      <c r="A11810" s="15"/>
      <c r="B11810" s="15"/>
    </row>
    <row r="11811" spans="1:2" x14ac:dyDescent="0.15">
      <c r="A11811" s="15"/>
      <c r="B11811" s="15"/>
    </row>
    <row r="11812" spans="1:2" x14ac:dyDescent="0.15">
      <c r="A11812" s="15"/>
      <c r="B11812" s="15"/>
    </row>
    <row r="11813" spans="1:2" x14ac:dyDescent="0.15">
      <c r="A11813" s="15"/>
      <c r="B11813" s="15"/>
    </row>
    <row r="11814" spans="1:2" x14ac:dyDescent="0.15">
      <c r="A11814" s="15"/>
      <c r="B11814" s="15"/>
    </row>
    <row r="11815" spans="1:2" x14ac:dyDescent="0.15">
      <c r="A11815" s="15"/>
      <c r="B11815" s="15"/>
    </row>
    <row r="11816" spans="1:2" x14ac:dyDescent="0.15">
      <c r="A11816" s="15"/>
      <c r="B11816" s="15"/>
    </row>
    <row r="11817" spans="1:2" x14ac:dyDescent="0.15">
      <c r="A11817" s="15"/>
      <c r="B11817" s="15"/>
    </row>
    <row r="11818" spans="1:2" x14ac:dyDescent="0.15">
      <c r="A11818" s="15"/>
      <c r="B11818" s="15"/>
    </row>
    <row r="11819" spans="1:2" x14ac:dyDescent="0.15">
      <c r="A11819" s="15"/>
      <c r="B11819" s="15"/>
    </row>
    <row r="11820" spans="1:2" x14ac:dyDescent="0.15">
      <c r="A11820" s="15"/>
      <c r="B11820" s="15"/>
    </row>
    <row r="11821" spans="1:2" x14ac:dyDescent="0.15">
      <c r="A11821" s="15"/>
      <c r="B11821" s="15"/>
    </row>
    <row r="11822" spans="1:2" x14ac:dyDescent="0.15">
      <c r="A11822" s="15"/>
      <c r="B11822" s="15"/>
    </row>
    <row r="11823" spans="1:2" x14ac:dyDescent="0.15">
      <c r="A11823" s="15"/>
      <c r="B11823" s="15"/>
    </row>
    <row r="11824" spans="1:2" x14ac:dyDescent="0.15">
      <c r="A11824" s="15"/>
      <c r="B11824" s="15"/>
    </row>
    <row r="11825" spans="1:2" x14ac:dyDescent="0.15">
      <c r="A11825" s="15"/>
      <c r="B11825" s="15"/>
    </row>
    <row r="11826" spans="1:2" x14ac:dyDescent="0.15">
      <c r="A11826" s="15"/>
      <c r="B11826" s="15"/>
    </row>
    <row r="11827" spans="1:2" x14ac:dyDescent="0.15">
      <c r="A11827" s="15"/>
      <c r="B11827" s="15"/>
    </row>
    <row r="11828" spans="1:2" x14ac:dyDescent="0.15">
      <c r="A11828" s="15"/>
      <c r="B11828" s="15"/>
    </row>
    <row r="11829" spans="1:2" x14ac:dyDescent="0.15">
      <c r="A11829" s="15"/>
      <c r="B11829" s="15"/>
    </row>
    <row r="11830" spans="1:2" x14ac:dyDescent="0.15">
      <c r="A11830" s="15"/>
      <c r="B11830" s="15"/>
    </row>
    <row r="11831" spans="1:2" x14ac:dyDescent="0.15">
      <c r="A11831" s="15"/>
      <c r="B11831" s="15"/>
    </row>
    <row r="11832" spans="1:2" x14ac:dyDescent="0.15">
      <c r="A11832" s="15"/>
      <c r="B11832" s="15"/>
    </row>
    <row r="11833" spans="1:2" x14ac:dyDescent="0.15">
      <c r="A11833" s="15"/>
      <c r="B11833" s="15"/>
    </row>
    <row r="11834" spans="1:2" x14ac:dyDescent="0.15">
      <c r="A11834" s="15"/>
      <c r="B11834" s="15"/>
    </row>
    <row r="11835" spans="1:2" x14ac:dyDescent="0.15">
      <c r="A11835" s="15"/>
      <c r="B11835" s="15"/>
    </row>
    <row r="11836" spans="1:2" x14ac:dyDescent="0.15">
      <c r="A11836" s="15"/>
      <c r="B11836" s="15"/>
    </row>
    <row r="11837" spans="1:2" x14ac:dyDescent="0.15">
      <c r="A11837" s="15"/>
      <c r="B11837" s="15"/>
    </row>
    <row r="11838" spans="1:2" x14ac:dyDescent="0.15">
      <c r="A11838" s="15"/>
      <c r="B11838" s="15"/>
    </row>
    <row r="11839" spans="1:2" x14ac:dyDescent="0.15">
      <c r="A11839" s="15"/>
      <c r="B11839" s="15"/>
    </row>
    <row r="11840" spans="1:2" x14ac:dyDescent="0.15">
      <c r="A11840" s="15"/>
      <c r="B11840" s="15"/>
    </row>
    <row r="11841" spans="1:2" x14ac:dyDescent="0.15">
      <c r="A11841" s="15"/>
      <c r="B11841" s="15"/>
    </row>
    <row r="11842" spans="1:2" x14ac:dyDescent="0.15">
      <c r="A11842" s="15"/>
      <c r="B11842" s="15"/>
    </row>
    <row r="11843" spans="1:2" x14ac:dyDescent="0.15">
      <c r="A11843" s="15"/>
      <c r="B11843" s="15"/>
    </row>
    <row r="11844" spans="1:2" x14ac:dyDescent="0.15">
      <c r="A11844" s="15"/>
      <c r="B11844" s="15"/>
    </row>
    <row r="11845" spans="1:2" x14ac:dyDescent="0.15">
      <c r="A11845" s="15"/>
      <c r="B11845" s="15"/>
    </row>
    <row r="11846" spans="1:2" x14ac:dyDescent="0.15">
      <c r="A11846" s="15"/>
      <c r="B11846" s="15"/>
    </row>
    <row r="11847" spans="1:2" x14ac:dyDescent="0.15">
      <c r="A11847" s="15"/>
      <c r="B11847" s="15"/>
    </row>
    <row r="11848" spans="1:2" x14ac:dyDescent="0.15">
      <c r="A11848" s="15"/>
      <c r="B11848" s="15"/>
    </row>
    <row r="11849" spans="1:2" x14ac:dyDescent="0.15">
      <c r="A11849" s="15"/>
      <c r="B11849" s="15"/>
    </row>
    <row r="11850" spans="1:2" x14ac:dyDescent="0.15">
      <c r="A11850" s="15"/>
      <c r="B11850" s="15"/>
    </row>
    <row r="11851" spans="1:2" x14ac:dyDescent="0.15">
      <c r="A11851" s="15"/>
      <c r="B11851" s="15"/>
    </row>
    <row r="11852" spans="1:2" x14ac:dyDescent="0.15">
      <c r="A11852" s="15"/>
      <c r="B11852" s="15"/>
    </row>
    <row r="11853" spans="1:2" x14ac:dyDescent="0.15">
      <c r="A11853" s="15"/>
      <c r="B11853" s="15"/>
    </row>
    <row r="11854" spans="1:2" x14ac:dyDescent="0.15">
      <c r="A11854" s="15"/>
      <c r="B11854" s="15"/>
    </row>
    <row r="11855" spans="1:2" x14ac:dyDescent="0.15">
      <c r="A11855" s="15"/>
      <c r="B11855" s="15"/>
    </row>
    <row r="11856" spans="1:2" x14ac:dyDescent="0.15">
      <c r="A11856" s="15"/>
      <c r="B11856" s="15"/>
    </row>
    <row r="11857" spans="1:2" x14ac:dyDescent="0.15">
      <c r="A11857" s="15"/>
      <c r="B11857" s="15"/>
    </row>
    <row r="11858" spans="1:2" x14ac:dyDescent="0.15">
      <c r="A11858" s="15"/>
      <c r="B11858" s="15"/>
    </row>
    <row r="11859" spans="1:2" x14ac:dyDescent="0.15">
      <c r="A11859" s="15"/>
      <c r="B11859" s="15"/>
    </row>
    <row r="11860" spans="1:2" x14ac:dyDescent="0.15">
      <c r="A11860" s="15"/>
      <c r="B11860" s="15"/>
    </row>
    <row r="11861" spans="1:2" x14ac:dyDescent="0.15">
      <c r="A11861" s="15"/>
      <c r="B11861" s="15"/>
    </row>
    <row r="11862" spans="1:2" x14ac:dyDescent="0.15">
      <c r="A11862" s="15"/>
      <c r="B11862" s="15"/>
    </row>
    <row r="11863" spans="1:2" x14ac:dyDescent="0.15">
      <c r="A11863" s="15"/>
      <c r="B11863" s="15"/>
    </row>
    <row r="11864" spans="1:2" x14ac:dyDescent="0.15">
      <c r="A11864" s="15"/>
      <c r="B11864" s="15"/>
    </row>
    <row r="11865" spans="1:2" x14ac:dyDescent="0.15">
      <c r="A11865" s="15"/>
      <c r="B11865" s="15"/>
    </row>
    <row r="11866" spans="1:2" x14ac:dyDescent="0.15">
      <c r="A11866" s="15"/>
      <c r="B11866" s="15"/>
    </row>
    <row r="11867" spans="1:2" x14ac:dyDescent="0.15">
      <c r="A11867" s="15"/>
      <c r="B11867" s="15"/>
    </row>
    <row r="11868" spans="1:2" x14ac:dyDescent="0.15">
      <c r="A11868" s="15"/>
      <c r="B11868" s="15"/>
    </row>
    <row r="11869" spans="1:2" x14ac:dyDescent="0.15">
      <c r="A11869" s="15"/>
      <c r="B11869" s="15"/>
    </row>
    <row r="11870" spans="1:2" x14ac:dyDescent="0.15">
      <c r="A11870" s="15"/>
      <c r="B11870" s="15"/>
    </row>
    <row r="11871" spans="1:2" x14ac:dyDescent="0.15">
      <c r="A11871" s="15"/>
      <c r="B11871" s="15"/>
    </row>
    <row r="11872" spans="1:2" x14ac:dyDescent="0.15">
      <c r="A11872" s="15"/>
      <c r="B11872" s="15"/>
    </row>
    <row r="11873" spans="1:2" x14ac:dyDescent="0.15">
      <c r="A11873" s="15"/>
      <c r="B11873" s="15"/>
    </row>
    <row r="11874" spans="1:2" x14ac:dyDescent="0.15">
      <c r="A11874" s="15"/>
      <c r="B11874" s="15"/>
    </row>
    <row r="11875" spans="1:2" x14ac:dyDescent="0.15">
      <c r="A11875" s="15"/>
      <c r="B11875" s="15"/>
    </row>
    <row r="11876" spans="1:2" x14ac:dyDescent="0.15">
      <c r="A11876" s="15"/>
      <c r="B11876" s="15"/>
    </row>
    <row r="11877" spans="1:2" x14ac:dyDescent="0.15">
      <c r="A11877" s="15"/>
      <c r="B11877" s="15"/>
    </row>
    <row r="11878" spans="1:2" x14ac:dyDescent="0.15">
      <c r="A11878" s="15"/>
      <c r="B11878" s="15"/>
    </row>
    <row r="11879" spans="1:2" x14ac:dyDescent="0.15">
      <c r="A11879" s="15"/>
      <c r="B11879" s="15"/>
    </row>
    <row r="11880" spans="1:2" x14ac:dyDescent="0.15">
      <c r="A11880" s="15"/>
      <c r="B11880" s="15"/>
    </row>
    <row r="11881" spans="1:2" x14ac:dyDescent="0.15">
      <c r="A11881" s="15"/>
      <c r="B11881" s="15"/>
    </row>
    <row r="11882" spans="1:2" x14ac:dyDescent="0.15">
      <c r="A11882" s="15"/>
      <c r="B11882" s="15"/>
    </row>
    <row r="11883" spans="1:2" x14ac:dyDescent="0.15">
      <c r="A11883" s="15"/>
      <c r="B11883" s="15"/>
    </row>
    <row r="11884" spans="1:2" x14ac:dyDescent="0.15">
      <c r="A11884" s="15"/>
      <c r="B11884" s="15"/>
    </row>
    <row r="11885" spans="1:2" x14ac:dyDescent="0.15">
      <c r="A11885" s="15"/>
      <c r="B11885" s="15"/>
    </row>
    <row r="11886" spans="1:2" x14ac:dyDescent="0.15">
      <c r="A11886" s="15"/>
      <c r="B11886" s="15"/>
    </row>
    <row r="11887" spans="1:2" x14ac:dyDescent="0.15">
      <c r="A11887" s="15"/>
      <c r="B11887" s="15"/>
    </row>
    <row r="11888" spans="1:2" x14ac:dyDescent="0.15">
      <c r="A11888" s="15"/>
      <c r="B11888" s="15"/>
    </row>
    <row r="11889" spans="1:2" x14ac:dyDescent="0.15">
      <c r="A11889" s="15"/>
      <c r="B11889" s="15"/>
    </row>
    <row r="11890" spans="1:2" x14ac:dyDescent="0.15">
      <c r="A11890" s="15"/>
      <c r="B11890" s="15"/>
    </row>
    <row r="11891" spans="1:2" x14ac:dyDescent="0.15">
      <c r="A11891" s="15"/>
      <c r="B11891" s="15"/>
    </row>
    <row r="11892" spans="1:2" x14ac:dyDescent="0.15">
      <c r="A11892" s="15"/>
      <c r="B11892" s="15"/>
    </row>
    <row r="11893" spans="1:2" x14ac:dyDescent="0.15">
      <c r="A11893" s="15"/>
      <c r="B11893" s="15"/>
    </row>
    <row r="11894" spans="1:2" x14ac:dyDescent="0.15">
      <c r="A11894" s="15"/>
      <c r="B11894" s="15"/>
    </row>
    <row r="11895" spans="1:2" x14ac:dyDescent="0.15">
      <c r="A11895" s="15"/>
      <c r="B11895" s="15"/>
    </row>
    <row r="11896" spans="1:2" x14ac:dyDescent="0.15">
      <c r="A11896" s="15"/>
      <c r="B11896" s="15"/>
    </row>
    <row r="11897" spans="1:2" x14ac:dyDescent="0.15">
      <c r="A11897" s="15"/>
      <c r="B11897" s="15"/>
    </row>
    <row r="11898" spans="1:2" x14ac:dyDescent="0.15">
      <c r="A11898" s="15"/>
      <c r="B11898" s="15"/>
    </row>
    <row r="11899" spans="1:2" x14ac:dyDescent="0.15">
      <c r="A11899" s="15"/>
      <c r="B11899" s="15"/>
    </row>
    <row r="11900" spans="1:2" x14ac:dyDescent="0.15">
      <c r="A11900" s="15"/>
      <c r="B11900" s="15"/>
    </row>
    <row r="11901" spans="1:2" x14ac:dyDescent="0.15">
      <c r="A11901" s="15"/>
      <c r="B11901" s="15"/>
    </row>
    <row r="11902" spans="1:2" x14ac:dyDescent="0.15">
      <c r="A11902" s="15"/>
      <c r="B11902" s="15"/>
    </row>
    <row r="11903" spans="1:2" x14ac:dyDescent="0.15">
      <c r="A11903" s="15"/>
      <c r="B11903" s="15"/>
    </row>
    <row r="11904" spans="1:2" x14ac:dyDescent="0.15">
      <c r="A11904" s="15"/>
      <c r="B11904" s="15"/>
    </row>
    <row r="11905" spans="1:2" x14ac:dyDescent="0.15">
      <c r="A11905" s="15"/>
      <c r="B11905" s="15"/>
    </row>
    <row r="11906" spans="1:2" x14ac:dyDescent="0.15">
      <c r="A11906" s="15"/>
      <c r="B11906" s="15"/>
    </row>
    <row r="11907" spans="1:2" x14ac:dyDescent="0.15">
      <c r="A11907" s="15"/>
      <c r="B11907" s="15"/>
    </row>
    <row r="11908" spans="1:2" x14ac:dyDescent="0.15">
      <c r="A11908" s="15"/>
      <c r="B11908" s="15"/>
    </row>
    <row r="11909" spans="1:2" x14ac:dyDescent="0.15">
      <c r="A11909" s="15"/>
      <c r="B11909" s="15"/>
    </row>
    <row r="11910" spans="1:2" x14ac:dyDescent="0.15">
      <c r="A11910" s="15"/>
      <c r="B11910" s="15"/>
    </row>
    <row r="11911" spans="1:2" x14ac:dyDescent="0.15">
      <c r="A11911" s="15"/>
      <c r="B11911" s="15"/>
    </row>
    <row r="11912" spans="1:2" x14ac:dyDescent="0.15">
      <c r="A11912" s="15"/>
      <c r="B11912" s="15"/>
    </row>
    <row r="11913" spans="1:2" x14ac:dyDescent="0.15">
      <c r="A11913" s="15"/>
      <c r="B11913" s="15"/>
    </row>
    <row r="11914" spans="1:2" x14ac:dyDescent="0.15">
      <c r="A11914" s="15"/>
      <c r="B11914" s="15"/>
    </row>
    <row r="11915" spans="1:2" x14ac:dyDescent="0.15">
      <c r="A11915" s="15"/>
      <c r="B11915" s="15"/>
    </row>
    <row r="11916" spans="1:2" x14ac:dyDescent="0.15">
      <c r="A11916" s="15"/>
      <c r="B11916" s="15"/>
    </row>
    <row r="11917" spans="1:2" x14ac:dyDescent="0.15">
      <c r="A11917" s="15"/>
      <c r="B11917" s="15"/>
    </row>
    <row r="11918" spans="1:2" x14ac:dyDescent="0.15">
      <c r="A11918" s="15"/>
      <c r="B11918" s="15"/>
    </row>
    <row r="11919" spans="1:2" x14ac:dyDescent="0.15">
      <c r="A11919" s="15"/>
      <c r="B11919" s="15"/>
    </row>
    <row r="11920" spans="1:2" x14ac:dyDescent="0.15">
      <c r="A11920" s="15"/>
      <c r="B11920" s="15"/>
    </row>
    <row r="11921" spans="1:2" x14ac:dyDescent="0.15">
      <c r="A11921" s="15"/>
      <c r="B11921" s="15"/>
    </row>
    <row r="11922" spans="1:2" x14ac:dyDescent="0.15">
      <c r="A11922" s="15"/>
      <c r="B11922" s="15"/>
    </row>
    <row r="11923" spans="1:2" x14ac:dyDescent="0.15">
      <c r="A11923" s="15"/>
      <c r="B11923" s="15"/>
    </row>
    <row r="11924" spans="1:2" x14ac:dyDescent="0.15">
      <c r="A11924" s="15"/>
      <c r="B11924" s="15"/>
    </row>
    <row r="11925" spans="1:2" x14ac:dyDescent="0.15">
      <c r="A11925" s="15"/>
      <c r="B11925" s="15"/>
    </row>
    <row r="11926" spans="1:2" x14ac:dyDescent="0.15">
      <c r="A11926" s="15"/>
      <c r="B11926" s="15"/>
    </row>
    <row r="11927" spans="1:2" x14ac:dyDescent="0.15">
      <c r="A11927" s="15"/>
      <c r="B11927" s="15"/>
    </row>
    <row r="11928" spans="1:2" x14ac:dyDescent="0.15">
      <c r="A11928" s="15"/>
      <c r="B11928" s="15"/>
    </row>
    <row r="11929" spans="1:2" x14ac:dyDescent="0.15">
      <c r="A11929" s="15"/>
      <c r="B11929" s="15"/>
    </row>
    <row r="11930" spans="1:2" x14ac:dyDescent="0.15">
      <c r="A11930" s="15"/>
      <c r="B11930" s="15"/>
    </row>
    <row r="11931" spans="1:2" x14ac:dyDescent="0.15">
      <c r="A11931" s="15"/>
      <c r="B11931" s="15"/>
    </row>
    <row r="11932" spans="1:2" x14ac:dyDescent="0.15">
      <c r="A11932" s="15"/>
      <c r="B11932" s="15"/>
    </row>
    <row r="11933" spans="1:2" x14ac:dyDescent="0.15">
      <c r="A11933" s="15"/>
      <c r="B11933" s="15"/>
    </row>
    <row r="11934" spans="1:2" x14ac:dyDescent="0.15">
      <c r="A11934" s="15"/>
      <c r="B11934" s="15"/>
    </row>
    <row r="11935" spans="1:2" x14ac:dyDescent="0.15">
      <c r="A11935" s="15"/>
      <c r="B11935" s="15"/>
    </row>
    <row r="11936" spans="1:2" x14ac:dyDescent="0.15">
      <c r="A11936" s="15"/>
      <c r="B11936" s="15"/>
    </row>
    <row r="11937" spans="1:2" x14ac:dyDescent="0.15">
      <c r="A11937" s="15"/>
      <c r="B11937" s="15"/>
    </row>
    <row r="11938" spans="1:2" x14ac:dyDescent="0.15">
      <c r="A11938" s="15"/>
      <c r="B11938" s="15"/>
    </row>
    <row r="11939" spans="1:2" x14ac:dyDescent="0.15">
      <c r="A11939" s="15"/>
      <c r="B11939" s="15"/>
    </row>
    <row r="11940" spans="1:2" x14ac:dyDescent="0.15">
      <c r="A11940" s="15"/>
      <c r="B11940" s="15"/>
    </row>
    <row r="11941" spans="1:2" x14ac:dyDescent="0.15">
      <c r="A11941" s="15"/>
      <c r="B11941" s="15"/>
    </row>
    <row r="11942" spans="1:2" x14ac:dyDescent="0.15">
      <c r="A11942" s="15"/>
      <c r="B11942" s="15"/>
    </row>
    <row r="11943" spans="1:2" x14ac:dyDescent="0.15">
      <c r="A11943" s="15"/>
      <c r="B11943" s="15"/>
    </row>
    <row r="11944" spans="1:2" x14ac:dyDescent="0.15">
      <c r="A11944" s="15"/>
      <c r="B11944" s="15"/>
    </row>
    <row r="11945" spans="1:2" x14ac:dyDescent="0.15">
      <c r="A11945" s="15"/>
      <c r="B11945" s="15"/>
    </row>
    <row r="11946" spans="1:2" x14ac:dyDescent="0.15">
      <c r="A11946" s="15"/>
      <c r="B11946" s="15"/>
    </row>
    <row r="11947" spans="1:2" x14ac:dyDescent="0.15">
      <c r="A11947" s="15"/>
      <c r="B11947" s="15"/>
    </row>
    <row r="11948" spans="1:2" x14ac:dyDescent="0.15">
      <c r="A11948" s="15"/>
      <c r="B11948" s="15"/>
    </row>
    <row r="11949" spans="1:2" x14ac:dyDescent="0.15">
      <c r="A11949" s="15"/>
      <c r="B11949" s="15"/>
    </row>
    <row r="11950" spans="1:2" x14ac:dyDescent="0.15">
      <c r="A11950" s="15"/>
      <c r="B11950" s="15"/>
    </row>
    <row r="11951" spans="1:2" x14ac:dyDescent="0.15">
      <c r="A11951" s="15"/>
      <c r="B11951" s="15"/>
    </row>
    <row r="11952" spans="1:2" x14ac:dyDescent="0.15">
      <c r="A11952" s="15"/>
      <c r="B11952" s="15"/>
    </row>
    <row r="11953" spans="1:2" x14ac:dyDescent="0.15">
      <c r="A11953" s="15"/>
      <c r="B11953" s="15"/>
    </row>
    <row r="11954" spans="1:2" x14ac:dyDescent="0.15">
      <c r="A11954" s="15"/>
      <c r="B11954" s="15"/>
    </row>
    <row r="11955" spans="1:2" x14ac:dyDescent="0.15">
      <c r="A11955" s="15"/>
      <c r="B11955" s="15"/>
    </row>
    <row r="11956" spans="1:2" x14ac:dyDescent="0.15">
      <c r="A11956" s="15"/>
      <c r="B11956" s="15"/>
    </row>
    <row r="11957" spans="1:2" x14ac:dyDescent="0.15">
      <c r="A11957" s="15"/>
      <c r="B11957" s="15"/>
    </row>
    <row r="11958" spans="1:2" x14ac:dyDescent="0.15">
      <c r="A11958" s="15"/>
      <c r="B11958" s="15"/>
    </row>
    <row r="11959" spans="1:2" x14ac:dyDescent="0.15">
      <c r="A11959" s="15"/>
      <c r="B11959" s="15"/>
    </row>
    <row r="11960" spans="1:2" x14ac:dyDescent="0.15">
      <c r="A11960" s="15"/>
      <c r="B11960" s="15"/>
    </row>
    <row r="11961" spans="1:2" x14ac:dyDescent="0.15">
      <c r="A11961" s="15"/>
      <c r="B11961" s="15"/>
    </row>
    <row r="11962" spans="1:2" x14ac:dyDescent="0.15">
      <c r="A11962" s="15"/>
      <c r="B11962" s="15"/>
    </row>
    <row r="11963" spans="1:2" x14ac:dyDescent="0.15">
      <c r="A11963" s="15"/>
      <c r="B11963" s="15"/>
    </row>
    <row r="11964" spans="1:2" x14ac:dyDescent="0.15">
      <c r="A11964" s="15"/>
      <c r="B11964" s="15"/>
    </row>
    <row r="11965" spans="1:2" x14ac:dyDescent="0.15">
      <c r="A11965" s="15"/>
      <c r="B11965" s="15"/>
    </row>
    <row r="11966" spans="1:2" x14ac:dyDescent="0.15">
      <c r="A11966" s="15"/>
      <c r="B11966" s="15"/>
    </row>
    <row r="11967" spans="1:2" x14ac:dyDescent="0.15">
      <c r="A11967" s="15"/>
      <c r="B11967" s="15"/>
    </row>
    <row r="11968" spans="1:2" x14ac:dyDescent="0.15">
      <c r="A11968" s="15"/>
      <c r="B11968" s="15"/>
    </row>
    <row r="11969" spans="1:2" x14ac:dyDescent="0.15">
      <c r="A11969" s="15"/>
      <c r="B11969" s="15"/>
    </row>
    <row r="11970" spans="1:2" x14ac:dyDescent="0.15">
      <c r="A11970" s="15"/>
      <c r="B11970" s="15"/>
    </row>
    <row r="11971" spans="1:2" x14ac:dyDescent="0.15">
      <c r="A11971" s="15"/>
      <c r="B11971" s="15"/>
    </row>
    <row r="11972" spans="1:2" x14ac:dyDescent="0.15">
      <c r="A11972" s="15"/>
      <c r="B11972" s="15"/>
    </row>
    <row r="11973" spans="1:2" x14ac:dyDescent="0.15">
      <c r="A11973" s="15"/>
      <c r="B11973" s="15"/>
    </row>
    <row r="11974" spans="1:2" x14ac:dyDescent="0.15">
      <c r="A11974" s="15"/>
      <c r="B11974" s="15"/>
    </row>
    <row r="11975" spans="1:2" x14ac:dyDescent="0.15">
      <c r="A11975" s="15"/>
      <c r="B11975" s="15"/>
    </row>
    <row r="11976" spans="1:2" x14ac:dyDescent="0.15">
      <c r="A11976" s="15"/>
      <c r="B11976" s="15"/>
    </row>
    <row r="11977" spans="1:2" x14ac:dyDescent="0.15">
      <c r="A11977" s="15"/>
      <c r="B11977" s="15"/>
    </row>
    <row r="11978" spans="1:2" x14ac:dyDescent="0.15">
      <c r="A11978" s="15"/>
      <c r="B11978" s="15"/>
    </row>
    <row r="11979" spans="1:2" x14ac:dyDescent="0.15">
      <c r="A11979" s="15"/>
      <c r="B11979" s="15"/>
    </row>
    <row r="11980" spans="1:2" x14ac:dyDescent="0.15">
      <c r="A11980" s="15"/>
      <c r="B11980" s="15"/>
    </row>
    <row r="11981" spans="1:2" x14ac:dyDescent="0.15">
      <c r="A11981" s="15"/>
      <c r="B11981" s="15"/>
    </row>
    <row r="11982" spans="1:2" x14ac:dyDescent="0.15">
      <c r="A11982" s="15"/>
      <c r="B11982" s="15"/>
    </row>
    <row r="11983" spans="1:2" x14ac:dyDescent="0.15">
      <c r="A11983" s="15"/>
      <c r="B11983" s="15"/>
    </row>
    <row r="11984" spans="1:2" x14ac:dyDescent="0.15">
      <c r="A11984" s="15"/>
      <c r="B11984" s="15"/>
    </row>
    <row r="11985" spans="1:2" x14ac:dyDescent="0.15">
      <c r="A11985" s="15"/>
      <c r="B11985" s="15"/>
    </row>
    <row r="11986" spans="1:2" x14ac:dyDescent="0.15">
      <c r="A11986" s="15"/>
      <c r="B11986" s="15"/>
    </row>
    <row r="11987" spans="1:2" x14ac:dyDescent="0.15">
      <c r="A11987" s="15"/>
      <c r="B11987" s="15"/>
    </row>
    <row r="11988" spans="1:2" x14ac:dyDescent="0.15">
      <c r="A11988" s="15"/>
      <c r="B11988" s="15"/>
    </row>
    <row r="11989" spans="1:2" x14ac:dyDescent="0.15">
      <c r="A11989" s="15"/>
      <c r="B11989" s="15"/>
    </row>
    <row r="11990" spans="1:2" x14ac:dyDescent="0.15">
      <c r="A11990" s="15"/>
      <c r="B11990" s="15"/>
    </row>
    <row r="11991" spans="1:2" x14ac:dyDescent="0.15">
      <c r="A11991" s="15"/>
      <c r="B11991" s="15"/>
    </row>
    <row r="11992" spans="1:2" x14ac:dyDescent="0.15">
      <c r="A11992" s="15"/>
      <c r="B11992" s="15"/>
    </row>
    <row r="11993" spans="1:2" x14ac:dyDescent="0.15">
      <c r="A11993" s="15"/>
      <c r="B11993" s="15"/>
    </row>
    <row r="11994" spans="1:2" x14ac:dyDescent="0.15">
      <c r="A11994" s="15"/>
      <c r="B11994" s="15"/>
    </row>
    <row r="11995" spans="1:2" x14ac:dyDescent="0.15">
      <c r="A11995" s="15"/>
      <c r="B11995" s="15"/>
    </row>
    <row r="11996" spans="1:2" x14ac:dyDescent="0.15">
      <c r="A11996" s="15"/>
      <c r="B11996" s="15"/>
    </row>
    <row r="11997" spans="1:2" x14ac:dyDescent="0.15">
      <c r="A11997" s="15"/>
      <c r="B11997" s="15"/>
    </row>
    <row r="11998" spans="1:2" x14ac:dyDescent="0.15">
      <c r="A11998" s="15"/>
      <c r="B11998" s="15"/>
    </row>
    <row r="11999" spans="1:2" x14ac:dyDescent="0.15">
      <c r="A11999" s="15"/>
      <c r="B11999" s="15"/>
    </row>
    <row r="12000" spans="1:2" x14ac:dyDescent="0.15">
      <c r="A12000" s="15"/>
      <c r="B12000" s="15"/>
    </row>
    <row r="12001" spans="1:2" x14ac:dyDescent="0.15">
      <c r="A12001" s="15"/>
      <c r="B12001" s="15"/>
    </row>
    <row r="12002" spans="1:2" x14ac:dyDescent="0.15">
      <c r="A12002" s="15"/>
      <c r="B12002" s="15"/>
    </row>
    <row r="12003" spans="1:2" x14ac:dyDescent="0.15">
      <c r="A12003" s="15"/>
      <c r="B12003" s="15"/>
    </row>
    <row r="12004" spans="1:2" x14ac:dyDescent="0.15">
      <c r="A12004" s="15"/>
      <c r="B12004" s="15"/>
    </row>
    <row r="12005" spans="1:2" x14ac:dyDescent="0.15">
      <c r="A12005" s="15"/>
      <c r="B12005" s="15"/>
    </row>
    <row r="12006" spans="1:2" x14ac:dyDescent="0.15">
      <c r="A12006" s="15"/>
      <c r="B12006" s="15"/>
    </row>
    <row r="12007" spans="1:2" x14ac:dyDescent="0.15">
      <c r="A12007" s="15"/>
      <c r="B12007" s="15"/>
    </row>
    <row r="12008" spans="1:2" x14ac:dyDescent="0.15">
      <c r="A12008" s="15"/>
      <c r="B12008" s="15"/>
    </row>
    <row r="12009" spans="1:2" x14ac:dyDescent="0.15">
      <c r="A12009" s="15"/>
      <c r="B12009" s="15"/>
    </row>
    <row r="12010" spans="1:2" x14ac:dyDescent="0.15">
      <c r="A12010" s="15"/>
      <c r="B12010" s="15"/>
    </row>
    <row r="12011" spans="1:2" x14ac:dyDescent="0.15">
      <c r="A12011" s="15"/>
      <c r="B12011" s="15"/>
    </row>
    <row r="12012" spans="1:2" x14ac:dyDescent="0.15">
      <c r="A12012" s="15"/>
      <c r="B12012" s="15"/>
    </row>
    <row r="12013" spans="1:2" x14ac:dyDescent="0.15">
      <c r="A12013" s="15"/>
      <c r="B12013" s="15"/>
    </row>
    <row r="12014" spans="1:2" x14ac:dyDescent="0.15">
      <c r="A12014" s="15"/>
      <c r="B12014" s="15"/>
    </row>
    <row r="12015" spans="1:2" x14ac:dyDescent="0.15">
      <c r="A12015" s="15"/>
      <c r="B12015" s="15"/>
    </row>
    <row r="12016" spans="1:2" x14ac:dyDescent="0.15">
      <c r="A12016" s="15"/>
      <c r="B12016" s="15"/>
    </row>
    <row r="12017" spans="1:2" x14ac:dyDescent="0.15">
      <c r="A12017" s="15"/>
      <c r="B12017" s="15"/>
    </row>
    <row r="12018" spans="1:2" x14ac:dyDescent="0.15">
      <c r="A12018" s="15"/>
      <c r="B12018" s="15"/>
    </row>
    <row r="12019" spans="1:2" x14ac:dyDescent="0.15">
      <c r="A12019" s="15"/>
      <c r="B12019" s="15"/>
    </row>
    <row r="12020" spans="1:2" x14ac:dyDescent="0.15">
      <c r="A12020" s="15"/>
      <c r="B12020" s="15"/>
    </row>
    <row r="12021" spans="1:2" x14ac:dyDescent="0.15">
      <c r="A12021" s="15"/>
      <c r="B12021" s="15"/>
    </row>
    <row r="12022" spans="1:2" x14ac:dyDescent="0.15">
      <c r="A12022" s="15"/>
      <c r="B12022" s="15"/>
    </row>
    <row r="12023" spans="1:2" x14ac:dyDescent="0.15">
      <c r="A12023" s="15"/>
      <c r="B12023" s="15"/>
    </row>
    <row r="12024" spans="1:2" x14ac:dyDescent="0.15">
      <c r="A12024" s="15"/>
      <c r="B12024" s="15"/>
    </row>
    <row r="12025" spans="1:2" x14ac:dyDescent="0.15">
      <c r="A12025" s="15"/>
      <c r="B12025" s="15"/>
    </row>
    <row r="12026" spans="1:2" x14ac:dyDescent="0.15">
      <c r="A12026" s="15"/>
      <c r="B12026" s="15"/>
    </row>
    <row r="12027" spans="1:2" x14ac:dyDescent="0.15">
      <c r="A12027" s="15"/>
      <c r="B12027" s="15"/>
    </row>
    <row r="12028" spans="1:2" x14ac:dyDescent="0.15">
      <c r="A12028" s="15"/>
      <c r="B12028" s="15"/>
    </row>
    <row r="12029" spans="1:2" x14ac:dyDescent="0.15">
      <c r="A12029" s="15"/>
      <c r="B12029" s="15"/>
    </row>
    <row r="12030" spans="1:2" x14ac:dyDescent="0.15">
      <c r="A12030" s="15"/>
      <c r="B12030" s="15"/>
    </row>
    <row r="12031" spans="1:2" x14ac:dyDescent="0.15">
      <c r="A12031" s="15"/>
      <c r="B12031" s="15"/>
    </row>
    <row r="12032" spans="1:2" x14ac:dyDescent="0.15">
      <c r="A12032" s="15"/>
      <c r="B12032" s="15"/>
    </row>
    <row r="12033" spans="1:2" x14ac:dyDescent="0.15">
      <c r="A12033" s="15"/>
      <c r="B12033" s="15"/>
    </row>
    <row r="12034" spans="1:2" x14ac:dyDescent="0.15">
      <c r="A12034" s="15"/>
      <c r="B12034" s="15"/>
    </row>
    <row r="12035" spans="1:2" x14ac:dyDescent="0.15">
      <c r="A12035" s="15"/>
      <c r="B12035" s="15"/>
    </row>
    <row r="12036" spans="1:2" x14ac:dyDescent="0.15">
      <c r="A12036" s="15"/>
      <c r="B12036" s="15"/>
    </row>
    <row r="12037" spans="1:2" x14ac:dyDescent="0.15">
      <c r="A12037" s="15"/>
      <c r="B12037" s="15"/>
    </row>
    <row r="12038" spans="1:2" x14ac:dyDescent="0.15">
      <c r="A12038" s="15"/>
      <c r="B12038" s="15"/>
    </row>
    <row r="12039" spans="1:2" x14ac:dyDescent="0.15">
      <c r="A12039" s="15"/>
      <c r="B12039" s="15"/>
    </row>
    <row r="12040" spans="1:2" x14ac:dyDescent="0.15">
      <c r="A12040" s="15"/>
      <c r="B12040" s="15"/>
    </row>
    <row r="12041" spans="1:2" x14ac:dyDescent="0.15">
      <c r="A12041" s="15"/>
      <c r="B12041" s="15"/>
    </row>
    <row r="12042" spans="1:2" x14ac:dyDescent="0.15">
      <c r="A12042" s="15"/>
      <c r="B12042" s="15"/>
    </row>
    <row r="12043" spans="1:2" x14ac:dyDescent="0.15">
      <c r="A12043" s="15"/>
      <c r="B12043" s="15"/>
    </row>
    <row r="12044" spans="1:2" x14ac:dyDescent="0.15">
      <c r="A12044" s="15"/>
      <c r="B12044" s="15"/>
    </row>
    <row r="12045" spans="1:2" x14ac:dyDescent="0.15">
      <c r="A12045" s="15"/>
      <c r="B12045" s="15"/>
    </row>
    <row r="12046" spans="1:2" x14ac:dyDescent="0.15">
      <c r="A12046" s="15"/>
      <c r="B12046" s="15"/>
    </row>
    <row r="12047" spans="1:2" x14ac:dyDescent="0.15">
      <c r="A12047" s="15"/>
      <c r="B12047" s="15"/>
    </row>
    <row r="12048" spans="1:2" x14ac:dyDescent="0.15">
      <c r="A12048" s="15"/>
      <c r="B12048" s="15"/>
    </row>
    <row r="12049" spans="1:2" x14ac:dyDescent="0.15">
      <c r="A12049" s="15"/>
      <c r="B12049" s="15"/>
    </row>
    <row r="12050" spans="1:2" x14ac:dyDescent="0.15">
      <c r="A12050" s="15"/>
      <c r="B12050" s="15"/>
    </row>
    <row r="12051" spans="1:2" x14ac:dyDescent="0.15">
      <c r="A12051" s="15"/>
      <c r="B12051" s="15"/>
    </row>
    <row r="12052" spans="1:2" x14ac:dyDescent="0.15">
      <c r="A12052" s="15"/>
      <c r="B12052" s="15"/>
    </row>
    <row r="12053" spans="1:2" x14ac:dyDescent="0.15">
      <c r="A12053" s="15"/>
      <c r="B12053" s="15"/>
    </row>
    <row r="12054" spans="1:2" x14ac:dyDescent="0.15">
      <c r="A12054" s="15"/>
      <c r="B12054" s="15"/>
    </row>
    <row r="12055" spans="1:2" x14ac:dyDescent="0.15">
      <c r="A12055" s="15"/>
      <c r="B12055" s="15"/>
    </row>
    <row r="12056" spans="1:2" x14ac:dyDescent="0.15">
      <c r="A12056" s="15"/>
      <c r="B12056" s="15"/>
    </row>
    <row r="12057" spans="1:2" x14ac:dyDescent="0.15">
      <c r="A12057" s="15"/>
      <c r="B12057" s="15"/>
    </row>
    <row r="12058" spans="1:2" x14ac:dyDescent="0.15">
      <c r="A12058" s="15"/>
      <c r="B12058" s="15"/>
    </row>
    <row r="12059" spans="1:2" x14ac:dyDescent="0.15">
      <c r="A12059" s="15"/>
      <c r="B12059" s="15"/>
    </row>
    <row r="12060" spans="1:2" x14ac:dyDescent="0.15">
      <c r="A12060" s="15"/>
      <c r="B12060" s="15"/>
    </row>
    <row r="12061" spans="1:2" x14ac:dyDescent="0.15">
      <c r="A12061" s="15"/>
      <c r="B12061" s="15"/>
    </row>
    <row r="12062" spans="1:2" x14ac:dyDescent="0.15">
      <c r="A12062" s="15"/>
      <c r="B12062" s="15"/>
    </row>
    <row r="12063" spans="1:2" x14ac:dyDescent="0.15">
      <c r="A12063" s="15"/>
      <c r="B12063" s="15"/>
    </row>
    <row r="12064" spans="1:2" x14ac:dyDescent="0.15">
      <c r="A12064" s="15"/>
      <c r="B12064" s="15"/>
    </row>
    <row r="12065" spans="1:2" x14ac:dyDescent="0.15">
      <c r="A12065" s="15"/>
      <c r="B12065" s="15"/>
    </row>
    <row r="12066" spans="1:2" x14ac:dyDescent="0.15">
      <c r="A12066" s="15"/>
      <c r="B12066" s="15"/>
    </row>
    <row r="12067" spans="1:2" x14ac:dyDescent="0.15">
      <c r="A12067" s="15"/>
      <c r="B12067" s="15"/>
    </row>
    <row r="12068" spans="1:2" x14ac:dyDescent="0.15">
      <c r="A12068" s="15"/>
      <c r="B12068" s="15"/>
    </row>
    <row r="12069" spans="1:2" x14ac:dyDescent="0.15">
      <c r="A12069" s="15"/>
      <c r="B12069" s="15"/>
    </row>
    <row r="12070" spans="1:2" x14ac:dyDescent="0.15">
      <c r="A12070" s="15"/>
      <c r="B12070" s="15"/>
    </row>
    <row r="12071" spans="1:2" x14ac:dyDescent="0.15">
      <c r="A12071" s="15"/>
      <c r="B12071" s="15"/>
    </row>
    <row r="12072" spans="1:2" x14ac:dyDescent="0.15">
      <c r="A12072" s="15"/>
      <c r="B12072" s="15"/>
    </row>
    <row r="12073" spans="1:2" x14ac:dyDescent="0.15">
      <c r="A12073" s="15"/>
      <c r="B12073" s="15"/>
    </row>
    <row r="12074" spans="1:2" x14ac:dyDescent="0.15">
      <c r="A12074" s="15"/>
      <c r="B12074" s="15"/>
    </row>
    <row r="12075" spans="1:2" x14ac:dyDescent="0.15">
      <c r="A12075" s="15"/>
      <c r="B12075" s="15"/>
    </row>
    <row r="12076" spans="1:2" x14ac:dyDescent="0.15">
      <c r="A12076" s="15"/>
      <c r="B12076" s="15"/>
    </row>
    <row r="12077" spans="1:2" x14ac:dyDescent="0.15">
      <c r="A12077" s="15"/>
      <c r="B12077" s="15"/>
    </row>
    <row r="12078" spans="1:2" x14ac:dyDescent="0.15">
      <c r="A12078" s="15"/>
      <c r="B12078" s="15"/>
    </row>
    <row r="12079" spans="1:2" x14ac:dyDescent="0.15">
      <c r="A12079" s="15"/>
      <c r="B12079" s="15"/>
    </row>
    <row r="12080" spans="1:2" x14ac:dyDescent="0.15">
      <c r="A12080" s="15"/>
      <c r="B12080" s="15"/>
    </row>
    <row r="12081" spans="1:2" x14ac:dyDescent="0.15">
      <c r="A12081" s="15"/>
      <c r="B12081" s="15"/>
    </row>
    <row r="12082" spans="1:2" x14ac:dyDescent="0.15">
      <c r="A12082" s="15"/>
      <c r="B12082" s="15"/>
    </row>
    <row r="12083" spans="1:2" x14ac:dyDescent="0.15">
      <c r="A12083" s="15"/>
      <c r="B12083" s="15"/>
    </row>
    <row r="12084" spans="1:2" x14ac:dyDescent="0.15">
      <c r="A12084" s="15"/>
      <c r="B12084" s="15"/>
    </row>
    <row r="12085" spans="1:2" x14ac:dyDescent="0.15">
      <c r="A12085" s="15"/>
      <c r="B12085" s="15"/>
    </row>
    <row r="12086" spans="1:2" x14ac:dyDescent="0.15">
      <c r="A12086" s="15"/>
      <c r="B12086" s="15"/>
    </row>
    <row r="12087" spans="1:2" x14ac:dyDescent="0.15">
      <c r="A12087" s="15"/>
      <c r="B12087" s="15"/>
    </row>
    <row r="12088" spans="1:2" x14ac:dyDescent="0.15">
      <c r="A12088" s="15"/>
      <c r="B12088" s="15"/>
    </row>
    <row r="12089" spans="1:2" x14ac:dyDescent="0.15">
      <c r="A12089" s="15"/>
      <c r="B12089" s="15"/>
    </row>
    <row r="12090" spans="1:2" x14ac:dyDescent="0.15">
      <c r="A12090" s="15"/>
      <c r="B12090" s="15"/>
    </row>
    <row r="12091" spans="1:2" x14ac:dyDescent="0.15">
      <c r="A12091" s="15"/>
      <c r="B12091" s="15"/>
    </row>
    <row r="12092" spans="1:2" x14ac:dyDescent="0.15">
      <c r="A12092" s="15"/>
      <c r="B12092" s="15"/>
    </row>
    <row r="12093" spans="1:2" x14ac:dyDescent="0.15">
      <c r="A12093" s="15"/>
      <c r="B12093" s="15"/>
    </row>
    <row r="12094" spans="1:2" x14ac:dyDescent="0.15">
      <c r="A12094" s="15"/>
      <c r="B12094" s="15"/>
    </row>
    <row r="12095" spans="1:2" x14ac:dyDescent="0.15">
      <c r="A12095" s="15"/>
      <c r="B12095" s="15"/>
    </row>
    <row r="12096" spans="1:2" x14ac:dyDescent="0.15">
      <c r="A12096" s="15"/>
      <c r="B12096" s="15"/>
    </row>
    <row r="12097" spans="1:2" x14ac:dyDescent="0.15">
      <c r="A12097" s="15"/>
      <c r="B12097" s="15"/>
    </row>
    <row r="12098" spans="1:2" x14ac:dyDescent="0.15">
      <c r="A12098" s="15"/>
      <c r="B12098" s="15"/>
    </row>
    <row r="12099" spans="1:2" x14ac:dyDescent="0.15">
      <c r="A12099" s="15"/>
      <c r="B12099" s="15"/>
    </row>
    <row r="12100" spans="1:2" x14ac:dyDescent="0.15">
      <c r="A12100" s="15"/>
      <c r="B12100" s="15"/>
    </row>
    <row r="12101" spans="1:2" x14ac:dyDescent="0.15">
      <c r="A12101" s="15"/>
      <c r="B12101" s="15"/>
    </row>
    <row r="12102" spans="1:2" x14ac:dyDescent="0.15">
      <c r="A12102" s="15"/>
      <c r="B12102" s="15"/>
    </row>
    <row r="12103" spans="1:2" x14ac:dyDescent="0.15">
      <c r="A12103" s="15"/>
      <c r="B12103" s="15"/>
    </row>
    <row r="12104" spans="1:2" x14ac:dyDescent="0.15">
      <c r="A12104" s="15"/>
      <c r="B12104" s="15"/>
    </row>
    <row r="12105" spans="1:2" x14ac:dyDescent="0.15">
      <c r="A12105" s="15"/>
      <c r="B12105" s="15"/>
    </row>
    <row r="12106" spans="1:2" x14ac:dyDescent="0.15">
      <c r="A12106" s="15"/>
      <c r="B12106" s="15"/>
    </row>
    <row r="12107" spans="1:2" x14ac:dyDescent="0.15">
      <c r="A12107" s="15"/>
      <c r="B12107" s="15"/>
    </row>
    <row r="12108" spans="1:2" x14ac:dyDescent="0.15">
      <c r="A12108" s="15"/>
      <c r="B12108" s="15"/>
    </row>
    <row r="12109" spans="1:2" x14ac:dyDescent="0.15">
      <c r="A12109" s="15"/>
      <c r="B12109" s="15"/>
    </row>
    <row r="12110" spans="1:2" x14ac:dyDescent="0.15">
      <c r="A12110" s="15"/>
      <c r="B12110" s="15"/>
    </row>
    <row r="12111" spans="1:2" x14ac:dyDescent="0.15">
      <c r="A12111" s="15"/>
      <c r="B12111" s="15"/>
    </row>
    <row r="12112" spans="1:2" x14ac:dyDescent="0.15">
      <c r="A12112" s="15"/>
      <c r="B12112" s="15"/>
    </row>
    <row r="12113" spans="1:2" x14ac:dyDescent="0.15">
      <c r="A12113" s="15"/>
      <c r="B12113" s="15"/>
    </row>
    <row r="12114" spans="1:2" x14ac:dyDescent="0.15">
      <c r="A12114" s="15"/>
      <c r="B12114" s="15"/>
    </row>
    <row r="12115" spans="1:2" x14ac:dyDescent="0.15">
      <c r="A12115" s="15"/>
      <c r="B12115" s="15"/>
    </row>
    <row r="12116" spans="1:2" x14ac:dyDescent="0.15">
      <c r="A12116" s="15"/>
      <c r="B12116" s="15"/>
    </row>
    <row r="12117" spans="1:2" x14ac:dyDescent="0.15">
      <c r="A12117" s="15"/>
      <c r="B12117" s="15"/>
    </row>
    <row r="12118" spans="1:2" x14ac:dyDescent="0.15">
      <c r="A12118" s="15"/>
      <c r="B12118" s="15"/>
    </row>
    <row r="12119" spans="1:2" x14ac:dyDescent="0.15">
      <c r="A12119" s="15"/>
      <c r="B12119" s="15"/>
    </row>
    <row r="12120" spans="1:2" x14ac:dyDescent="0.15">
      <c r="A12120" s="15"/>
      <c r="B12120" s="15"/>
    </row>
    <row r="12121" spans="1:2" x14ac:dyDescent="0.15">
      <c r="A12121" s="15"/>
      <c r="B12121" s="15"/>
    </row>
    <row r="12122" spans="1:2" x14ac:dyDescent="0.15">
      <c r="A12122" s="15"/>
      <c r="B12122" s="15"/>
    </row>
    <row r="12123" spans="1:2" x14ac:dyDescent="0.15">
      <c r="A12123" s="15"/>
      <c r="B12123" s="15"/>
    </row>
    <row r="12124" spans="1:2" x14ac:dyDescent="0.15">
      <c r="A12124" s="15"/>
      <c r="B12124" s="15"/>
    </row>
    <row r="12125" spans="1:2" x14ac:dyDescent="0.15">
      <c r="A12125" s="15"/>
      <c r="B12125" s="15"/>
    </row>
    <row r="12126" spans="1:2" x14ac:dyDescent="0.15">
      <c r="A12126" s="15"/>
      <c r="B12126" s="15"/>
    </row>
    <row r="12127" spans="1:2" x14ac:dyDescent="0.15">
      <c r="A12127" s="15"/>
      <c r="B12127" s="15"/>
    </row>
    <row r="12128" spans="1:2" x14ac:dyDescent="0.15">
      <c r="A12128" s="15"/>
      <c r="B12128" s="15"/>
    </row>
    <row r="12129" spans="1:2" x14ac:dyDescent="0.15">
      <c r="A12129" s="15"/>
      <c r="B12129" s="15"/>
    </row>
    <row r="12130" spans="1:2" x14ac:dyDescent="0.15">
      <c r="A12130" s="15"/>
      <c r="B12130" s="15"/>
    </row>
    <row r="12131" spans="1:2" x14ac:dyDescent="0.15">
      <c r="A12131" s="15"/>
      <c r="B12131" s="15"/>
    </row>
    <row r="12132" spans="1:2" x14ac:dyDescent="0.15">
      <c r="A12132" s="15"/>
      <c r="B12132" s="15"/>
    </row>
    <row r="12133" spans="1:2" x14ac:dyDescent="0.15">
      <c r="A12133" s="15"/>
      <c r="B12133" s="15"/>
    </row>
    <row r="12134" spans="1:2" x14ac:dyDescent="0.15">
      <c r="A12134" s="15"/>
      <c r="B12134" s="15"/>
    </row>
    <row r="12135" spans="1:2" x14ac:dyDescent="0.15">
      <c r="A12135" s="15"/>
      <c r="B12135" s="15"/>
    </row>
    <row r="12136" spans="1:2" x14ac:dyDescent="0.15">
      <c r="A12136" s="15"/>
      <c r="B12136" s="15"/>
    </row>
    <row r="12137" spans="1:2" x14ac:dyDescent="0.15">
      <c r="A12137" s="15"/>
      <c r="B12137" s="15"/>
    </row>
    <row r="12138" spans="1:2" x14ac:dyDescent="0.15">
      <c r="A12138" s="15"/>
      <c r="B12138" s="15"/>
    </row>
    <row r="12139" spans="1:2" x14ac:dyDescent="0.15">
      <c r="A12139" s="15"/>
      <c r="B12139" s="15"/>
    </row>
    <row r="12140" spans="1:2" x14ac:dyDescent="0.15">
      <c r="A12140" s="15"/>
      <c r="B12140" s="15"/>
    </row>
    <row r="12141" spans="1:2" x14ac:dyDescent="0.15">
      <c r="A12141" s="15"/>
      <c r="B12141" s="15"/>
    </row>
    <row r="12142" spans="1:2" x14ac:dyDescent="0.15">
      <c r="A12142" s="15"/>
      <c r="B12142" s="15"/>
    </row>
    <row r="12143" spans="1:2" x14ac:dyDescent="0.15">
      <c r="A12143" s="15"/>
      <c r="B12143" s="15"/>
    </row>
    <row r="12144" spans="1:2" x14ac:dyDescent="0.15">
      <c r="A12144" s="15"/>
      <c r="B12144" s="15"/>
    </row>
    <row r="12145" spans="1:2" x14ac:dyDescent="0.15">
      <c r="A12145" s="15"/>
      <c r="B12145" s="15"/>
    </row>
    <row r="12146" spans="1:2" x14ac:dyDescent="0.15">
      <c r="A12146" s="15"/>
      <c r="B12146" s="15"/>
    </row>
    <row r="12147" spans="1:2" x14ac:dyDescent="0.15">
      <c r="A12147" s="15"/>
      <c r="B12147" s="15"/>
    </row>
    <row r="12148" spans="1:2" x14ac:dyDescent="0.15">
      <c r="A12148" s="15"/>
      <c r="B12148" s="15"/>
    </row>
    <row r="12149" spans="1:2" x14ac:dyDescent="0.15">
      <c r="A12149" s="15"/>
      <c r="B12149" s="15"/>
    </row>
    <row r="12150" spans="1:2" x14ac:dyDescent="0.15">
      <c r="A12150" s="15"/>
      <c r="B12150" s="15"/>
    </row>
    <row r="12151" spans="1:2" x14ac:dyDescent="0.15">
      <c r="A12151" s="15"/>
      <c r="B12151" s="15"/>
    </row>
    <row r="12152" spans="1:2" x14ac:dyDescent="0.15">
      <c r="A12152" s="15"/>
      <c r="B12152" s="15"/>
    </row>
    <row r="12153" spans="1:2" x14ac:dyDescent="0.15">
      <c r="A12153" s="15"/>
      <c r="B12153" s="15"/>
    </row>
    <row r="12154" spans="1:2" x14ac:dyDescent="0.15">
      <c r="A12154" s="15"/>
      <c r="B12154" s="15"/>
    </row>
    <row r="12155" spans="1:2" x14ac:dyDescent="0.15">
      <c r="A12155" s="15"/>
      <c r="B12155" s="15"/>
    </row>
    <row r="12156" spans="1:2" x14ac:dyDescent="0.15">
      <c r="A12156" s="15"/>
      <c r="B12156" s="15"/>
    </row>
    <row r="12157" spans="1:2" x14ac:dyDescent="0.15">
      <c r="A12157" s="15"/>
      <c r="B12157" s="15"/>
    </row>
    <row r="12158" spans="1:2" x14ac:dyDescent="0.15">
      <c r="A12158" s="15"/>
      <c r="B12158" s="15"/>
    </row>
    <row r="12159" spans="1:2" x14ac:dyDescent="0.15">
      <c r="A12159" s="15"/>
      <c r="B12159" s="15"/>
    </row>
    <row r="12160" spans="1:2" x14ac:dyDescent="0.15">
      <c r="A12160" s="15"/>
      <c r="B12160" s="15"/>
    </row>
    <row r="12161" spans="1:2" x14ac:dyDescent="0.15">
      <c r="A12161" s="15"/>
      <c r="B12161" s="15"/>
    </row>
    <row r="12162" spans="1:2" x14ac:dyDescent="0.15">
      <c r="A12162" s="15"/>
      <c r="B12162" s="15"/>
    </row>
    <row r="12163" spans="1:2" x14ac:dyDescent="0.15">
      <c r="A12163" s="15"/>
      <c r="B12163" s="15"/>
    </row>
    <row r="12164" spans="1:2" x14ac:dyDescent="0.15">
      <c r="A12164" s="15"/>
      <c r="B12164" s="15"/>
    </row>
    <row r="12165" spans="1:2" x14ac:dyDescent="0.15">
      <c r="A12165" s="15"/>
      <c r="B12165" s="15"/>
    </row>
    <row r="12166" spans="1:2" x14ac:dyDescent="0.15">
      <c r="A12166" s="15"/>
      <c r="B12166" s="15"/>
    </row>
    <row r="12167" spans="1:2" x14ac:dyDescent="0.15">
      <c r="A12167" s="15"/>
      <c r="B12167" s="15"/>
    </row>
    <row r="12168" spans="1:2" x14ac:dyDescent="0.15">
      <c r="A12168" s="15"/>
      <c r="B12168" s="15"/>
    </row>
    <row r="12169" spans="1:2" x14ac:dyDescent="0.15">
      <c r="A12169" s="15"/>
      <c r="B12169" s="15"/>
    </row>
    <row r="12170" spans="1:2" x14ac:dyDescent="0.15">
      <c r="A12170" s="15"/>
      <c r="B12170" s="15"/>
    </row>
    <row r="12171" spans="1:2" x14ac:dyDescent="0.15">
      <c r="A12171" s="15"/>
      <c r="B12171" s="15"/>
    </row>
    <row r="12172" spans="1:2" x14ac:dyDescent="0.15">
      <c r="A12172" s="15"/>
      <c r="B12172" s="15"/>
    </row>
    <row r="12173" spans="1:2" x14ac:dyDescent="0.15">
      <c r="A12173" s="15"/>
      <c r="B12173" s="15"/>
    </row>
    <row r="12174" spans="1:2" x14ac:dyDescent="0.15">
      <c r="A12174" s="15"/>
      <c r="B12174" s="15"/>
    </row>
    <row r="12175" spans="1:2" x14ac:dyDescent="0.15">
      <c r="A12175" s="15"/>
      <c r="B12175" s="15"/>
    </row>
    <row r="12176" spans="1:2" x14ac:dyDescent="0.15">
      <c r="A12176" s="15"/>
      <c r="B12176" s="15"/>
    </row>
    <row r="12177" spans="1:2" x14ac:dyDescent="0.15">
      <c r="A12177" s="15"/>
      <c r="B12177" s="15"/>
    </row>
    <row r="12178" spans="1:2" x14ac:dyDescent="0.15">
      <c r="A12178" s="15"/>
      <c r="B12178" s="15"/>
    </row>
    <row r="12179" spans="1:2" x14ac:dyDescent="0.15">
      <c r="A12179" s="15"/>
      <c r="B12179" s="15"/>
    </row>
    <row r="12180" spans="1:2" x14ac:dyDescent="0.15">
      <c r="A12180" s="15"/>
      <c r="B12180" s="15"/>
    </row>
    <row r="12181" spans="1:2" x14ac:dyDescent="0.15">
      <c r="A12181" s="15"/>
      <c r="B12181" s="15"/>
    </row>
    <row r="12182" spans="1:2" x14ac:dyDescent="0.15">
      <c r="A12182" s="15"/>
      <c r="B12182" s="15"/>
    </row>
    <row r="12183" spans="1:2" x14ac:dyDescent="0.15">
      <c r="A12183" s="15"/>
      <c r="B12183" s="15"/>
    </row>
    <row r="12184" spans="1:2" x14ac:dyDescent="0.15">
      <c r="A12184" s="15"/>
      <c r="B12184" s="15"/>
    </row>
    <row r="12185" spans="1:2" x14ac:dyDescent="0.15">
      <c r="A12185" s="15"/>
      <c r="B12185" s="15"/>
    </row>
    <row r="12186" spans="1:2" x14ac:dyDescent="0.15">
      <c r="A12186" s="15"/>
      <c r="B12186" s="15"/>
    </row>
    <row r="12187" spans="1:2" x14ac:dyDescent="0.15">
      <c r="A12187" s="15"/>
      <c r="B12187" s="15"/>
    </row>
    <row r="12188" spans="1:2" x14ac:dyDescent="0.15">
      <c r="A12188" s="15"/>
      <c r="B12188" s="15"/>
    </row>
    <row r="12189" spans="1:2" x14ac:dyDescent="0.15">
      <c r="A12189" s="15"/>
      <c r="B12189" s="15"/>
    </row>
    <row r="12190" spans="1:2" x14ac:dyDescent="0.15">
      <c r="A12190" s="15"/>
      <c r="B12190" s="15"/>
    </row>
    <row r="12191" spans="1:2" x14ac:dyDescent="0.15">
      <c r="A12191" s="15"/>
      <c r="B12191" s="15"/>
    </row>
    <row r="12192" spans="1:2" x14ac:dyDescent="0.15">
      <c r="A12192" s="15"/>
      <c r="B12192" s="15"/>
    </row>
    <row r="12193" spans="1:2" x14ac:dyDescent="0.15">
      <c r="A12193" s="15"/>
      <c r="B12193" s="15"/>
    </row>
    <row r="12194" spans="1:2" x14ac:dyDescent="0.15">
      <c r="A12194" s="15"/>
      <c r="B12194" s="15"/>
    </row>
    <row r="12195" spans="1:2" x14ac:dyDescent="0.15">
      <c r="A12195" s="15"/>
      <c r="B12195" s="15"/>
    </row>
    <row r="12196" spans="1:2" x14ac:dyDescent="0.15">
      <c r="A12196" s="15"/>
      <c r="B12196" s="15"/>
    </row>
    <row r="12197" spans="1:2" x14ac:dyDescent="0.15">
      <c r="A12197" s="15"/>
      <c r="B12197" s="15"/>
    </row>
    <row r="12198" spans="1:2" x14ac:dyDescent="0.15">
      <c r="A12198" s="15"/>
      <c r="B12198" s="15"/>
    </row>
    <row r="12199" spans="1:2" x14ac:dyDescent="0.15">
      <c r="A12199" s="15"/>
      <c r="B12199" s="15"/>
    </row>
    <row r="12200" spans="1:2" x14ac:dyDescent="0.15">
      <c r="A12200" s="15"/>
      <c r="B12200" s="15"/>
    </row>
    <row r="12201" spans="1:2" x14ac:dyDescent="0.15">
      <c r="A12201" s="15"/>
      <c r="B12201" s="15"/>
    </row>
    <row r="12202" spans="1:2" x14ac:dyDescent="0.15">
      <c r="A12202" s="15"/>
      <c r="B12202" s="15"/>
    </row>
    <row r="12203" spans="1:2" x14ac:dyDescent="0.15">
      <c r="A12203" s="15"/>
      <c r="B12203" s="15"/>
    </row>
    <row r="12204" spans="1:2" x14ac:dyDescent="0.15">
      <c r="A12204" s="15"/>
      <c r="B12204" s="15"/>
    </row>
    <row r="12205" spans="1:2" x14ac:dyDescent="0.15">
      <c r="A12205" s="15"/>
      <c r="B12205" s="15"/>
    </row>
    <row r="12206" spans="1:2" x14ac:dyDescent="0.15">
      <c r="A12206" s="15"/>
      <c r="B12206" s="15"/>
    </row>
    <row r="12207" spans="1:2" x14ac:dyDescent="0.15">
      <c r="A12207" s="15"/>
      <c r="B12207" s="15"/>
    </row>
    <row r="12208" spans="1:2" x14ac:dyDescent="0.15">
      <c r="A12208" s="15"/>
      <c r="B12208" s="15"/>
    </row>
    <row r="12209" spans="1:2" x14ac:dyDescent="0.15">
      <c r="A12209" s="15"/>
      <c r="B12209" s="15"/>
    </row>
    <row r="12210" spans="1:2" x14ac:dyDescent="0.15">
      <c r="A12210" s="15"/>
      <c r="B12210" s="15"/>
    </row>
    <row r="12211" spans="1:2" x14ac:dyDescent="0.15">
      <c r="A12211" s="15"/>
      <c r="B12211" s="15"/>
    </row>
    <row r="12212" spans="1:2" x14ac:dyDescent="0.15">
      <c r="A12212" s="15"/>
      <c r="B12212" s="15"/>
    </row>
    <row r="12213" spans="1:2" x14ac:dyDescent="0.15">
      <c r="A12213" s="15"/>
      <c r="B12213" s="15"/>
    </row>
    <row r="12214" spans="1:2" x14ac:dyDescent="0.15">
      <c r="A12214" s="15"/>
      <c r="B12214" s="15"/>
    </row>
    <row r="12215" spans="1:2" x14ac:dyDescent="0.15">
      <c r="A12215" s="15"/>
      <c r="B12215" s="15"/>
    </row>
    <row r="12216" spans="1:2" x14ac:dyDescent="0.15">
      <c r="A12216" s="15"/>
      <c r="B12216" s="15"/>
    </row>
    <row r="12217" spans="1:2" x14ac:dyDescent="0.15">
      <c r="A12217" s="15"/>
      <c r="B12217" s="15"/>
    </row>
    <row r="12218" spans="1:2" x14ac:dyDescent="0.15">
      <c r="A12218" s="15"/>
      <c r="B12218" s="15"/>
    </row>
    <row r="12219" spans="1:2" x14ac:dyDescent="0.15">
      <c r="A12219" s="15"/>
      <c r="B12219" s="15"/>
    </row>
    <row r="12220" spans="1:2" x14ac:dyDescent="0.15">
      <c r="A12220" s="15"/>
      <c r="B12220" s="15"/>
    </row>
    <row r="12221" spans="1:2" x14ac:dyDescent="0.15">
      <c r="A12221" s="15"/>
      <c r="B12221" s="15"/>
    </row>
    <row r="12222" spans="1:2" x14ac:dyDescent="0.15">
      <c r="A12222" s="15"/>
      <c r="B12222" s="15"/>
    </row>
    <row r="12223" spans="1:2" x14ac:dyDescent="0.15">
      <c r="A12223" s="15"/>
      <c r="B12223" s="15"/>
    </row>
    <row r="12224" spans="1:2" x14ac:dyDescent="0.15">
      <c r="A12224" s="15"/>
      <c r="B12224" s="15"/>
    </row>
    <row r="12225" spans="1:2" x14ac:dyDescent="0.15">
      <c r="A12225" s="15"/>
      <c r="B12225" s="15"/>
    </row>
    <row r="12226" spans="1:2" x14ac:dyDescent="0.15">
      <c r="A12226" s="15"/>
      <c r="B12226" s="15"/>
    </row>
    <row r="12227" spans="1:2" x14ac:dyDescent="0.15">
      <c r="A12227" s="15"/>
      <c r="B12227" s="15"/>
    </row>
    <row r="12228" spans="1:2" x14ac:dyDescent="0.15">
      <c r="A12228" s="15"/>
      <c r="B12228" s="15"/>
    </row>
    <row r="12229" spans="1:2" x14ac:dyDescent="0.15">
      <c r="A12229" s="15"/>
      <c r="B12229" s="15"/>
    </row>
    <row r="12230" spans="1:2" x14ac:dyDescent="0.15">
      <c r="A12230" s="15"/>
      <c r="B12230" s="15"/>
    </row>
    <row r="12231" spans="1:2" x14ac:dyDescent="0.15">
      <c r="A12231" s="15"/>
      <c r="B12231" s="15"/>
    </row>
    <row r="12232" spans="1:2" x14ac:dyDescent="0.15">
      <c r="A12232" s="15"/>
      <c r="B12232" s="15"/>
    </row>
    <row r="12233" spans="1:2" x14ac:dyDescent="0.15">
      <c r="A12233" s="15"/>
      <c r="B12233" s="15"/>
    </row>
    <row r="12234" spans="1:2" x14ac:dyDescent="0.15">
      <c r="A12234" s="15"/>
      <c r="B12234" s="15"/>
    </row>
    <row r="12235" spans="1:2" x14ac:dyDescent="0.15">
      <c r="A12235" s="15"/>
      <c r="B12235" s="15"/>
    </row>
    <row r="12236" spans="1:2" x14ac:dyDescent="0.15">
      <c r="A12236" s="15"/>
      <c r="B12236" s="15"/>
    </row>
    <row r="12237" spans="1:2" x14ac:dyDescent="0.15">
      <c r="A12237" s="15"/>
      <c r="B12237" s="15"/>
    </row>
    <row r="12238" spans="1:2" x14ac:dyDescent="0.15">
      <c r="A12238" s="15"/>
      <c r="B12238" s="15"/>
    </row>
    <row r="12239" spans="1:2" x14ac:dyDescent="0.15">
      <c r="A12239" s="15"/>
      <c r="B12239" s="15"/>
    </row>
    <row r="12240" spans="1:2" x14ac:dyDescent="0.15">
      <c r="A12240" s="15"/>
      <c r="B12240" s="15"/>
    </row>
    <row r="12241" spans="1:2" x14ac:dyDescent="0.15">
      <c r="A12241" s="15"/>
      <c r="B12241" s="15"/>
    </row>
    <row r="12242" spans="1:2" x14ac:dyDescent="0.15">
      <c r="A12242" s="15"/>
      <c r="B12242" s="15"/>
    </row>
    <row r="12243" spans="1:2" x14ac:dyDescent="0.15">
      <c r="A12243" s="15"/>
      <c r="B12243" s="15"/>
    </row>
    <row r="12244" spans="1:2" x14ac:dyDescent="0.15">
      <c r="A12244" s="15"/>
      <c r="B12244" s="15"/>
    </row>
    <row r="12245" spans="1:2" x14ac:dyDescent="0.15">
      <c r="A12245" s="15"/>
      <c r="B12245" s="15"/>
    </row>
    <row r="12246" spans="1:2" x14ac:dyDescent="0.15">
      <c r="A12246" s="15"/>
      <c r="B12246" s="15"/>
    </row>
    <row r="12247" spans="1:2" x14ac:dyDescent="0.15">
      <c r="A12247" s="15"/>
      <c r="B12247" s="15"/>
    </row>
    <row r="12248" spans="1:2" x14ac:dyDescent="0.15">
      <c r="A12248" s="15"/>
      <c r="B12248" s="15"/>
    </row>
    <row r="12249" spans="1:2" x14ac:dyDescent="0.15">
      <c r="A12249" s="15"/>
      <c r="B12249" s="15"/>
    </row>
    <row r="12250" spans="1:2" x14ac:dyDescent="0.15">
      <c r="A12250" s="15"/>
      <c r="B12250" s="15"/>
    </row>
    <row r="12251" spans="1:2" x14ac:dyDescent="0.15">
      <c r="A12251" s="15"/>
      <c r="B12251" s="15"/>
    </row>
    <row r="12252" spans="1:2" x14ac:dyDescent="0.15">
      <c r="A12252" s="15"/>
      <c r="B12252" s="15"/>
    </row>
    <row r="12253" spans="1:2" x14ac:dyDescent="0.15">
      <c r="A12253" s="15"/>
      <c r="B12253" s="15"/>
    </row>
    <row r="12254" spans="1:2" x14ac:dyDescent="0.15">
      <c r="A12254" s="15"/>
      <c r="B12254" s="15"/>
    </row>
    <row r="12255" spans="1:2" x14ac:dyDescent="0.15">
      <c r="A12255" s="15"/>
      <c r="B12255" s="15"/>
    </row>
    <row r="12256" spans="1:2" x14ac:dyDescent="0.15">
      <c r="A12256" s="15"/>
      <c r="B12256" s="15"/>
    </row>
    <row r="12257" spans="1:2" x14ac:dyDescent="0.15">
      <c r="A12257" s="15"/>
      <c r="B12257" s="15"/>
    </row>
    <row r="12258" spans="1:2" x14ac:dyDescent="0.15">
      <c r="A12258" s="15"/>
      <c r="B12258" s="15"/>
    </row>
    <row r="12259" spans="1:2" x14ac:dyDescent="0.15">
      <c r="A12259" s="15"/>
      <c r="B12259" s="15"/>
    </row>
    <row r="12260" spans="1:2" x14ac:dyDescent="0.15">
      <c r="A12260" s="15"/>
      <c r="B12260" s="15"/>
    </row>
    <row r="12261" spans="1:2" x14ac:dyDescent="0.15">
      <c r="A12261" s="15"/>
      <c r="B12261" s="15"/>
    </row>
    <row r="12262" spans="1:2" x14ac:dyDescent="0.15">
      <c r="A12262" s="15"/>
      <c r="B12262" s="15"/>
    </row>
    <row r="12263" spans="1:2" x14ac:dyDescent="0.15">
      <c r="A12263" s="15"/>
      <c r="B12263" s="15"/>
    </row>
    <row r="12264" spans="1:2" x14ac:dyDescent="0.15">
      <c r="A12264" s="15"/>
      <c r="B12264" s="15"/>
    </row>
    <row r="12265" spans="1:2" x14ac:dyDescent="0.15">
      <c r="A12265" s="15"/>
      <c r="B12265" s="15"/>
    </row>
    <row r="12266" spans="1:2" x14ac:dyDescent="0.15">
      <c r="A12266" s="15"/>
      <c r="B12266" s="15"/>
    </row>
    <row r="12267" spans="1:2" x14ac:dyDescent="0.15">
      <c r="A12267" s="15"/>
      <c r="B12267" s="15"/>
    </row>
    <row r="12268" spans="1:2" x14ac:dyDescent="0.15">
      <c r="A12268" s="15"/>
      <c r="B12268" s="15"/>
    </row>
    <row r="12269" spans="1:2" x14ac:dyDescent="0.15">
      <c r="A12269" s="15"/>
      <c r="B12269" s="15"/>
    </row>
    <row r="12270" spans="1:2" x14ac:dyDescent="0.15">
      <c r="A12270" s="15"/>
      <c r="B12270" s="15"/>
    </row>
    <row r="12271" spans="1:2" x14ac:dyDescent="0.15">
      <c r="A12271" s="15"/>
      <c r="B12271" s="15"/>
    </row>
    <row r="12272" spans="1:2" x14ac:dyDescent="0.15">
      <c r="A12272" s="15"/>
      <c r="B12272" s="15"/>
    </row>
    <row r="12273" spans="1:2" x14ac:dyDescent="0.15">
      <c r="A12273" s="15"/>
      <c r="B12273" s="15"/>
    </row>
    <row r="12274" spans="1:2" x14ac:dyDescent="0.15">
      <c r="A12274" s="15"/>
      <c r="B12274" s="15"/>
    </row>
    <row r="12275" spans="1:2" x14ac:dyDescent="0.15">
      <c r="A12275" s="15"/>
      <c r="B12275" s="15"/>
    </row>
    <row r="12276" spans="1:2" x14ac:dyDescent="0.15">
      <c r="A12276" s="15"/>
      <c r="B12276" s="15"/>
    </row>
    <row r="12277" spans="1:2" x14ac:dyDescent="0.15">
      <c r="A12277" s="15"/>
      <c r="B12277" s="15"/>
    </row>
    <row r="12278" spans="1:2" x14ac:dyDescent="0.15">
      <c r="A12278" s="15"/>
      <c r="B12278" s="15"/>
    </row>
    <row r="12279" spans="1:2" x14ac:dyDescent="0.15">
      <c r="A12279" s="15"/>
      <c r="B12279" s="15"/>
    </row>
    <row r="12280" spans="1:2" x14ac:dyDescent="0.15">
      <c r="A12280" s="15"/>
      <c r="B12280" s="15"/>
    </row>
    <row r="12281" spans="1:2" x14ac:dyDescent="0.15">
      <c r="A12281" s="15"/>
      <c r="B12281" s="15"/>
    </row>
    <row r="12282" spans="1:2" x14ac:dyDescent="0.15">
      <c r="A12282" s="15"/>
      <c r="B12282" s="15"/>
    </row>
    <row r="12283" spans="1:2" x14ac:dyDescent="0.15">
      <c r="A12283" s="15"/>
      <c r="B12283" s="15"/>
    </row>
    <row r="12284" spans="1:2" x14ac:dyDescent="0.15">
      <c r="A12284" s="15"/>
      <c r="B12284" s="15"/>
    </row>
    <row r="12285" spans="1:2" x14ac:dyDescent="0.15">
      <c r="A12285" s="15"/>
      <c r="B12285" s="15"/>
    </row>
    <row r="12286" spans="1:2" x14ac:dyDescent="0.15">
      <c r="A12286" s="15"/>
      <c r="B12286" s="15"/>
    </row>
    <row r="12287" spans="1:2" x14ac:dyDescent="0.15">
      <c r="A12287" s="15"/>
      <c r="B12287" s="15"/>
    </row>
    <row r="12288" spans="1:2" x14ac:dyDescent="0.15">
      <c r="A12288" s="15"/>
      <c r="B12288" s="15"/>
    </row>
    <row r="12289" spans="1:2" x14ac:dyDescent="0.15">
      <c r="A12289" s="15"/>
      <c r="B12289" s="15"/>
    </row>
    <row r="12290" spans="1:2" x14ac:dyDescent="0.15">
      <c r="A12290" s="15"/>
      <c r="B12290" s="15"/>
    </row>
    <row r="12291" spans="1:2" x14ac:dyDescent="0.15">
      <c r="A12291" s="15"/>
      <c r="B12291" s="15"/>
    </row>
    <row r="12292" spans="1:2" x14ac:dyDescent="0.15">
      <c r="A12292" s="15"/>
      <c r="B12292" s="15"/>
    </row>
    <row r="12293" spans="1:2" x14ac:dyDescent="0.15">
      <c r="A12293" s="15"/>
      <c r="B12293" s="15"/>
    </row>
    <row r="12294" spans="1:2" x14ac:dyDescent="0.15">
      <c r="A12294" s="15"/>
      <c r="B12294" s="15"/>
    </row>
    <row r="12295" spans="1:2" x14ac:dyDescent="0.15">
      <c r="A12295" s="15"/>
      <c r="B12295" s="15"/>
    </row>
    <row r="12296" spans="1:2" x14ac:dyDescent="0.15">
      <c r="A12296" s="15"/>
      <c r="B12296" s="15"/>
    </row>
    <row r="12297" spans="1:2" x14ac:dyDescent="0.15">
      <c r="A12297" s="15"/>
      <c r="B12297" s="15"/>
    </row>
    <row r="12298" spans="1:2" x14ac:dyDescent="0.15">
      <c r="A12298" s="15"/>
      <c r="B12298" s="15"/>
    </row>
    <row r="12299" spans="1:2" x14ac:dyDescent="0.15">
      <c r="A12299" s="15"/>
      <c r="B12299" s="15"/>
    </row>
    <row r="12300" spans="1:2" x14ac:dyDescent="0.15">
      <c r="A12300" s="15"/>
      <c r="B12300" s="15"/>
    </row>
    <row r="12301" spans="1:2" x14ac:dyDescent="0.15">
      <c r="A12301" s="15"/>
      <c r="B12301" s="15"/>
    </row>
    <row r="12302" spans="1:2" x14ac:dyDescent="0.15">
      <c r="A12302" s="15"/>
      <c r="B12302" s="15"/>
    </row>
    <row r="12303" spans="1:2" x14ac:dyDescent="0.15">
      <c r="A12303" s="15"/>
      <c r="B12303" s="15"/>
    </row>
    <row r="12304" spans="1:2" x14ac:dyDescent="0.15">
      <c r="A12304" s="15"/>
      <c r="B12304" s="15"/>
    </row>
    <row r="12305" spans="1:2" x14ac:dyDescent="0.15">
      <c r="A12305" s="15"/>
      <c r="B12305" s="15"/>
    </row>
    <row r="12306" spans="1:2" x14ac:dyDescent="0.15">
      <c r="A12306" s="15"/>
      <c r="B12306" s="15"/>
    </row>
    <row r="12307" spans="1:2" x14ac:dyDescent="0.15">
      <c r="A12307" s="15"/>
      <c r="B12307" s="15"/>
    </row>
    <row r="12308" spans="1:2" x14ac:dyDescent="0.15">
      <c r="A12308" s="15"/>
      <c r="B12308" s="15"/>
    </row>
    <row r="12309" spans="1:2" x14ac:dyDescent="0.15">
      <c r="A12309" s="15"/>
      <c r="B12309" s="15"/>
    </row>
    <row r="12310" spans="1:2" x14ac:dyDescent="0.15">
      <c r="A12310" s="15"/>
      <c r="B12310" s="15"/>
    </row>
    <row r="12311" spans="1:2" x14ac:dyDescent="0.15">
      <c r="A12311" s="15"/>
      <c r="B12311" s="15"/>
    </row>
    <row r="12312" spans="1:2" x14ac:dyDescent="0.15">
      <c r="A12312" s="15"/>
      <c r="B12312" s="15"/>
    </row>
    <row r="12313" spans="1:2" x14ac:dyDescent="0.15">
      <c r="A12313" s="15"/>
      <c r="B12313" s="15"/>
    </row>
    <row r="12314" spans="1:2" x14ac:dyDescent="0.15">
      <c r="A12314" s="15"/>
      <c r="B12314" s="15"/>
    </row>
    <row r="12315" spans="1:2" x14ac:dyDescent="0.15">
      <c r="A12315" s="15"/>
      <c r="B12315" s="15"/>
    </row>
    <row r="12316" spans="1:2" x14ac:dyDescent="0.15">
      <c r="A12316" s="15"/>
      <c r="B12316" s="15"/>
    </row>
    <row r="12317" spans="1:2" x14ac:dyDescent="0.15">
      <c r="A12317" s="15"/>
      <c r="B12317" s="15"/>
    </row>
    <row r="12318" spans="1:2" x14ac:dyDescent="0.15">
      <c r="A12318" s="15"/>
      <c r="B12318" s="15"/>
    </row>
    <row r="12319" spans="1:2" x14ac:dyDescent="0.15">
      <c r="A12319" s="15"/>
      <c r="B12319" s="15"/>
    </row>
    <row r="12320" spans="1:2" x14ac:dyDescent="0.15">
      <c r="A12320" s="15"/>
      <c r="B12320" s="15"/>
    </row>
    <row r="12321" spans="1:2" x14ac:dyDescent="0.15">
      <c r="A12321" s="15"/>
      <c r="B12321" s="15"/>
    </row>
    <row r="12322" spans="1:2" x14ac:dyDescent="0.15">
      <c r="A12322" s="15"/>
      <c r="B12322" s="15"/>
    </row>
    <row r="12323" spans="1:2" x14ac:dyDescent="0.15">
      <c r="A12323" s="15"/>
      <c r="B12323" s="15"/>
    </row>
    <row r="12324" spans="1:2" x14ac:dyDescent="0.15">
      <c r="A12324" s="15"/>
      <c r="B12324" s="15"/>
    </row>
    <row r="12325" spans="1:2" x14ac:dyDescent="0.15">
      <c r="A12325" s="15"/>
      <c r="B12325" s="15"/>
    </row>
    <row r="12326" spans="1:2" x14ac:dyDescent="0.15">
      <c r="A12326" s="15"/>
      <c r="B12326" s="15"/>
    </row>
    <row r="12327" spans="1:2" x14ac:dyDescent="0.15">
      <c r="A12327" s="15"/>
      <c r="B12327" s="15"/>
    </row>
    <row r="12328" spans="1:2" x14ac:dyDescent="0.15">
      <c r="A12328" s="15"/>
      <c r="B12328" s="15"/>
    </row>
    <row r="12329" spans="1:2" x14ac:dyDescent="0.15">
      <c r="A12329" s="15"/>
      <c r="B12329" s="15"/>
    </row>
    <row r="12330" spans="1:2" x14ac:dyDescent="0.15">
      <c r="A12330" s="15"/>
      <c r="B12330" s="15"/>
    </row>
    <row r="12331" spans="1:2" x14ac:dyDescent="0.15">
      <c r="A12331" s="15"/>
      <c r="B12331" s="15"/>
    </row>
    <row r="12332" spans="1:2" x14ac:dyDescent="0.15">
      <c r="A12332" s="15"/>
      <c r="B12332" s="15"/>
    </row>
    <row r="12333" spans="1:2" x14ac:dyDescent="0.15">
      <c r="A12333" s="15"/>
      <c r="B12333" s="15"/>
    </row>
    <row r="12334" spans="1:2" x14ac:dyDescent="0.15">
      <c r="A12334" s="15"/>
      <c r="B12334" s="15"/>
    </row>
    <row r="12335" spans="1:2" x14ac:dyDescent="0.15">
      <c r="A12335" s="15"/>
      <c r="B12335" s="15"/>
    </row>
    <row r="12336" spans="1:2" x14ac:dyDescent="0.15">
      <c r="A12336" s="15"/>
      <c r="B12336" s="15"/>
    </row>
    <row r="12337" spans="1:2" x14ac:dyDescent="0.15">
      <c r="A12337" s="15"/>
      <c r="B12337" s="15"/>
    </row>
    <row r="12338" spans="1:2" x14ac:dyDescent="0.15">
      <c r="A12338" s="15"/>
      <c r="B12338" s="15"/>
    </row>
    <row r="12339" spans="1:2" x14ac:dyDescent="0.15">
      <c r="A12339" s="15"/>
      <c r="B12339" s="15"/>
    </row>
    <row r="12340" spans="1:2" x14ac:dyDescent="0.15">
      <c r="A12340" s="15"/>
      <c r="B12340" s="15"/>
    </row>
    <row r="12341" spans="1:2" x14ac:dyDescent="0.15">
      <c r="A12341" s="15"/>
      <c r="B12341" s="15"/>
    </row>
    <row r="12342" spans="1:2" x14ac:dyDescent="0.15">
      <c r="A12342" s="15"/>
      <c r="B12342" s="15"/>
    </row>
    <row r="12343" spans="1:2" x14ac:dyDescent="0.15">
      <c r="A12343" s="15"/>
      <c r="B12343" s="15"/>
    </row>
    <row r="12344" spans="1:2" x14ac:dyDescent="0.15">
      <c r="A12344" s="15"/>
      <c r="B12344" s="15"/>
    </row>
    <row r="12345" spans="1:2" x14ac:dyDescent="0.15">
      <c r="A12345" s="15"/>
      <c r="B12345" s="15"/>
    </row>
    <row r="12346" spans="1:2" x14ac:dyDescent="0.15">
      <c r="A12346" s="15"/>
      <c r="B12346" s="15"/>
    </row>
    <row r="12347" spans="1:2" x14ac:dyDescent="0.15">
      <c r="A12347" s="15"/>
      <c r="B12347" s="15"/>
    </row>
    <row r="12348" spans="1:2" x14ac:dyDescent="0.15">
      <c r="A12348" s="15"/>
      <c r="B12348" s="15"/>
    </row>
    <row r="12349" spans="1:2" x14ac:dyDescent="0.15">
      <c r="A12349" s="15"/>
      <c r="B12349" s="15"/>
    </row>
    <row r="12350" spans="1:2" x14ac:dyDescent="0.15">
      <c r="A12350" s="15"/>
      <c r="B12350" s="15"/>
    </row>
    <row r="12351" spans="1:2" x14ac:dyDescent="0.15">
      <c r="A12351" s="15"/>
      <c r="B12351" s="15"/>
    </row>
    <row r="12352" spans="1:2" x14ac:dyDescent="0.15">
      <c r="A12352" s="15"/>
      <c r="B12352" s="15"/>
    </row>
    <row r="12353" spans="1:2" x14ac:dyDescent="0.15">
      <c r="A12353" s="15"/>
      <c r="B12353" s="15"/>
    </row>
    <row r="12354" spans="1:2" x14ac:dyDescent="0.15">
      <c r="A12354" s="15"/>
      <c r="B12354" s="15"/>
    </row>
    <row r="12355" spans="1:2" x14ac:dyDescent="0.15">
      <c r="A12355" s="15"/>
      <c r="B12355" s="15"/>
    </row>
    <row r="12356" spans="1:2" x14ac:dyDescent="0.15">
      <c r="A12356" s="15"/>
      <c r="B12356" s="15"/>
    </row>
    <row r="12357" spans="1:2" x14ac:dyDescent="0.15">
      <c r="A12357" s="15"/>
      <c r="B12357" s="15"/>
    </row>
    <row r="12358" spans="1:2" x14ac:dyDescent="0.15">
      <c r="A12358" s="15"/>
      <c r="B12358" s="15"/>
    </row>
    <row r="12359" spans="1:2" x14ac:dyDescent="0.15">
      <c r="A12359" s="15"/>
      <c r="B12359" s="15"/>
    </row>
    <row r="12360" spans="1:2" x14ac:dyDescent="0.15">
      <c r="A12360" s="15"/>
      <c r="B12360" s="15"/>
    </row>
    <row r="12361" spans="1:2" x14ac:dyDescent="0.15">
      <c r="A12361" s="15"/>
      <c r="B12361" s="15"/>
    </row>
    <row r="12362" spans="1:2" x14ac:dyDescent="0.15">
      <c r="A12362" s="15"/>
      <c r="B12362" s="15"/>
    </row>
    <row r="12363" spans="1:2" x14ac:dyDescent="0.15">
      <c r="A12363" s="15"/>
      <c r="B12363" s="15"/>
    </row>
    <row r="12364" spans="1:2" x14ac:dyDescent="0.15">
      <c r="A12364" s="15"/>
      <c r="B12364" s="15"/>
    </row>
    <row r="12365" spans="1:2" x14ac:dyDescent="0.15">
      <c r="A12365" s="15"/>
      <c r="B12365" s="15"/>
    </row>
    <row r="12366" spans="1:2" x14ac:dyDescent="0.15">
      <c r="A12366" s="15"/>
      <c r="B12366" s="15"/>
    </row>
    <row r="12367" spans="1:2" x14ac:dyDescent="0.15">
      <c r="A12367" s="15"/>
      <c r="B12367" s="15"/>
    </row>
    <row r="12368" spans="1:2" x14ac:dyDescent="0.15">
      <c r="A12368" s="15"/>
      <c r="B12368" s="15"/>
    </row>
    <row r="12369" spans="1:2" x14ac:dyDescent="0.15">
      <c r="A12369" s="15"/>
      <c r="B12369" s="15"/>
    </row>
    <row r="12370" spans="1:2" x14ac:dyDescent="0.15">
      <c r="A12370" s="15"/>
      <c r="B12370" s="15"/>
    </row>
    <row r="12371" spans="1:2" x14ac:dyDescent="0.15">
      <c r="A12371" s="15"/>
      <c r="B12371" s="15"/>
    </row>
    <row r="12372" spans="1:2" x14ac:dyDescent="0.15">
      <c r="A12372" s="15"/>
      <c r="B12372" s="15"/>
    </row>
    <row r="12373" spans="1:2" x14ac:dyDescent="0.15">
      <c r="A12373" s="15"/>
      <c r="B12373" s="15"/>
    </row>
    <row r="12374" spans="1:2" x14ac:dyDescent="0.15">
      <c r="A12374" s="15"/>
      <c r="B12374" s="15"/>
    </row>
    <row r="12375" spans="1:2" x14ac:dyDescent="0.15">
      <c r="A12375" s="15"/>
      <c r="B12375" s="15"/>
    </row>
    <row r="12376" spans="1:2" x14ac:dyDescent="0.15">
      <c r="A12376" s="15"/>
      <c r="B12376" s="15"/>
    </row>
    <row r="12377" spans="1:2" x14ac:dyDescent="0.15">
      <c r="A12377" s="15"/>
      <c r="B12377" s="15"/>
    </row>
    <row r="12378" spans="1:2" x14ac:dyDescent="0.15">
      <c r="A12378" s="15"/>
      <c r="B12378" s="15"/>
    </row>
    <row r="12379" spans="1:2" x14ac:dyDescent="0.15">
      <c r="A12379" s="15"/>
      <c r="B12379" s="15"/>
    </row>
    <row r="12380" spans="1:2" x14ac:dyDescent="0.15">
      <c r="A12380" s="15"/>
      <c r="B12380" s="15"/>
    </row>
    <row r="12381" spans="1:2" x14ac:dyDescent="0.15">
      <c r="A12381" s="15"/>
      <c r="B12381" s="15"/>
    </row>
    <row r="12382" spans="1:2" x14ac:dyDescent="0.15">
      <c r="A12382" s="15"/>
      <c r="B12382" s="15"/>
    </row>
    <row r="12383" spans="1:2" x14ac:dyDescent="0.15">
      <c r="A12383" s="15"/>
      <c r="B12383" s="15"/>
    </row>
    <row r="12384" spans="1:2" x14ac:dyDescent="0.15">
      <c r="A12384" s="15"/>
      <c r="B12384" s="15"/>
    </row>
    <row r="12385" spans="1:2" x14ac:dyDescent="0.15">
      <c r="A12385" s="15"/>
      <c r="B12385" s="15"/>
    </row>
    <row r="12386" spans="1:2" x14ac:dyDescent="0.15">
      <c r="A12386" s="15"/>
      <c r="B12386" s="15"/>
    </row>
    <row r="12387" spans="1:2" x14ac:dyDescent="0.15">
      <c r="A12387" s="15"/>
      <c r="B12387" s="15"/>
    </row>
    <row r="12388" spans="1:2" x14ac:dyDescent="0.15">
      <c r="A12388" s="15"/>
      <c r="B12388" s="15"/>
    </row>
    <row r="12389" spans="1:2" x14ac:dyDescent="0.15">
      <c r="A12389" s="15"/>
      <c r="B12389" s="15"/>
    </row>
    <row r="12390" spans="1:2" x14ac:dyDescent="0.15">
      <c r="A12390" s="15"/>
      <c r="B12390" s="15"/>
    </row>
    <row r="12391" spans="1:2" x14ac:dyDescent="0.15">
      <c r="A12391" s="15"/>
      <c r="B12391" s="15"/>
    </row>
    <row r="12392" spans="1:2" x14ac:dyDescent="0.15">
      <c r="A12392" s="15"/>
      <c r="B12392" s="15"/>
    </row>
    <row r="12393" spans="1:2" x14ac:dyDescent="0.15">
      <c r="A12393" s="15"/>
      <c r="B12393" s="15"/>
    </row>
    <row r="12394" spans="1:2" x14ac:dyDescent="0.15">
      <c r="A12394" s="15"/>
      <c r="B12394" s="15"/>
    </row>
    <row r="12395" spans="1:2" x14ac:dyDescent="0.15">
      <c r="A12395" s="15"/>
      <c r="B12395" s="15"/>
    </row>
    <row r="12396" spans="1:2" x14ac:dyDescent="0.15">
      <c r="A12396" s="15"/>
      <c r="B12396" s="15"/>
    </row>
    <row r="12397" spans="1:2" x14ac:dyDescent="0.15">
      <c r="A12397" s="15"/>
      <c r="B12397" s="15"/>
    </row>
    <row r="12398" spans="1:2" x14ac:dyDescent="0.15">
      <c r="A12398" s="15"/>
      <c r="B12398" s="15"/>
    </row>
    <row r="12399" spans="1:2" x14ac:dyDescent="0.15">
      <c r="A12399" s="15"/>
      <c r="B12399" s="15"/>
    </row>
    <row r="12400" spans="1:2" x14ac:dyDescent="0.15">
      <c r="A12400" s="15"/>
      <c r="B12400" s="15"/>
    </row>
    <row r="12401" spans="1:2" x14ac:dyDescent="0.15">
      <c r="A12401" s="15"/>
      <c r="B12401" s="15"/>
    </row>
    <row r="12402" spans="1:2" x14ac:dyDescent="0.15">
      <c r="A12402" s="15"/>
      <c r="B12402" s="15"/>
    </row>
    <row r="12403" spans="1:2" x14ac:dyDescent="0.15">
      <c r="A12403" s="15"/>
      <c r="B12403" s="15"/>
    </row>
    <row r="12404" spans="1:2" x14ac:dyDescent="0.15">
      <c r="A12404" s="15"/>
      <c r="B12404" s="15"/>
    </row>
    <row r="12405" spans="1:2" x14ac:dyDescent="0.15">
      <c r="A12405" s="15"/>
      <c r="B12405" s="15"/>
    </row>
    <row r="12406" spans="1:2" x14ac:dyDescent="0.15">
      <c r="A12406" s="15"/>
      <c r="B12406" s="15"/>
    </row>
    <row r="12407" spans="1:2" x14ac:dyDescent="0.15">
      <c r="A12407" s="15"/>
      <c r="B12407" s="15"/>
    </row>
    <row r="12408" spans="1:2" x14ac:dyDescent="0.15">
      <c r="A12408" s="15"/>
      <c r="B12408" s="15"/>
    </row>
    <row r="12409" spans="1:2" x14ac:dyDescent="0.15">
      <c r="A12409" s="15"/>
      <c r="B12409" s="15"/>
    </row>
    <row r="12410" spans="1:2" x14ac:dyDescent="0.15">
      <c r="A12410" s="15"/>
      <c r="B12410" s="15"/>
    </row>
    <row r="12411" spans="1:2" x14ac:dyDescent="0.15">
      <c r="A12411" s="15"/>
      <c r="B12411" s="15"/>
    </row>
    <row r="12412" spans="1:2" x14ac:dyDescent="0.15">
      <c r="A12412" s="15"/>
      <c r="B12412" s="15"/>
    </row>
    <row r="12413" spans="1:2" x14ac:dyDescent="0.15">
      <c r="A12413" s="15"/>
      <c r="B12413" s="15"/>
    </row>
    <row r="12414" spans="1:2" x14ac:dyDescent="0.15">
      <c r="A12414" s="15"/>
      <c r="B12414" s="15"/>
    </row>
    <row r="12415" spans="1:2" x14ac:dyDescent="0.15">
      <c r="A12415" s="15"/>
      <c r="B12415" s="15"/>
    </row>
    <row r="12416" spans="1:2" x14ac:dyDescent="0.15">
      <c r="A12416" s="15"/>
      <c r="B12416" s="15"/>
    </row>
    <row r="12417" spans="1:2" x14ac:dyDescent="0.15">
      <c r="A12417" s="15"/>
      <c r="B12417" s="15"/>
    </row>
    <row r="12418" spans="1:2" x14ac:dyDescent="0.15">
      <c r="A12418" s="15"/>
      <c r="B12418" s="15"/>
    </row>
    <row r="12419" spans="1:2" x14ac:dyDescent="0.15">
      <c r="A12419" s="15"/>
      <c r="B12419" s="15"/>
    </row>
    <row r="12420" spans="1:2" x14ac:dyDescent="0.15">
      <c r="A12420" s="15"/>
      <c r="B12420" s="15"/>
    </row>
    <row r="12421" spans="1:2" x14ac:dyDescent="0.15">
      <c r="A12421" s="15"/>
      <c r="B12421" s="15"/>
    </row>
    <row r="12422" spans="1:2" x14ac:dyDescent="0.15">
      <c r="A12422" s="15"/>
      <c r="B12422" s="15"/>
    </row>
    <row r="12423" spans="1:2" x14ac:dyDescent="0.15">
      <c r="A12423" s="15"/>
      <c r="B12423" s="15"/>
    </row>
    <row r="12424" spans="1:2" x14ac:dyDescent="0.15">
      <c r="A12424" s="15"/>
      <c r="B12424" s="15"/>
    </row>
    <row r="12425" spans="1:2" x14ac:dyDescent="0.15">
      <c r="A12425" s="15"/>
      <c r="B12425" s="15"/>
    </row>
    <row r="12426" spans="1:2" x14ac:dyDescent="0.15">
      <c r="A12426" s="15"/>
      <c r="B12426" s="15"/>
    </row>
    <row r="12427" spans="1:2" x14ac:dyDescent="0.15">
      <c r="A12427" s="15"/>
      <c r="B12427" s="15"/>
    </row>
    <row r="12428" spans="1:2" x14ac:dyDescent="0.15">
      <c r="A12428" s="15"/>
      <c r="B12428" s="15"/>
    </row>
    <row r="12429" spans="1:2" x14ac:dyDescent="0.15">
      <c r="A12429" s="15"/>
      <c r="B12429" s="15"/>
    </row>
    <row r="12430" spans="1:2" x14ac:dyDescent="0.15">
      <c r="A12430" s="15"/>
      <c r="B12430" s="15"/>
    </row>
    <row r="12431" spans="1:2" x14ac:dyDescent="0.15">
      <c r="A12431" s="15"/>
      <c r="B12431" s="15"/>
    </row>
    <row r="12432" spans="1:2" x14ac:dyDescent="0.15">
      <c r="A12432" s="15"/>
      <c r="B12432" s="15"/>
    </row>
    <row r="12433" spans="1:2" x14ac:dyDescent="0.15">
      <c r="A12433" s="15"/>
      <c r="B12433" s="15"/>
    </row>
    <row r="12434" spans="1:2" x14ac:dyDescent="0.15">
      <c r="A12434" s="15"/>
      <c r="B12434" s="15"/>
    </row>
    <row r="12435" spans="1:2" x14ac:dyDescent="0.15">
      <c r="A12435" s="15"/>
      <c r="B12435" s="15"/>
    </row>
    <row r="12436" spans="1:2" x14ac:dyDescent="0.15">
      <c r="A12436" s="15"/>
      <c r="B12436" s="15"/>
    </row>
    <row r="12437" spans="1:2" x14ac:dyDescent="0.15">
      <c r="A12437" s="15"/>
      <c r="B12437" s="15"/>
    </row>
    <row r="12438" spans="1:2" x14ac:dyDescent="0.15">
      <c r="A12438" s="15"/>
      <c r="B12438" s="15"/>
    </row>
    <row r="12439" spans="1:2" x14ac:dyDescent="0.15">
      <c r="A12439" s="15"/>
      <c r="B12439" s="15"/>
    </row>
    <row r="12440" spans="1:2" x14ac:dyDescent="0.15">
      <c r="A12440" s="15"/>
      <c r="B12440" s="15"/>
    </row>
    <row r="12441" spans="1:2" x14ac:dyDescent="0.15">
      <c r="A12441" s="15"/>
      <c r="B12441" s="15"/>
    </row>
    <row r="12442" spans="1:2" x14ac:dyDescent="0.15">
      <c r="A12442" s="15"/>
      <c r="B12442" s="15"/>
    </row>
    <row r="12443" spans="1:2" x14ac:dyDescent="0.15">
      <c r="A12443" s="15"/>
      <c r="B12443" s="15"/>
    </row>
    <row r="12444" spans="1:2" x14ac:dyDescent="0.15">
      <c r="A12444" s="15"/>
      <c r="B12444" s="15"/>
    </row>
    <row r="12445" spans="1:2" x14ac:dyDescent="0.15">
      <c r="A12445" s="15"/>
      <c r="B12445" s="15"/>
    </row>
    <row r="12446" spans="1:2" x14ac:dyDescent="0.15">
      <c r="A12446" s="15"/>
      <c r="B12446" s="15"/>
    </row>
    <row r="12447" spans="1:2" x14ac:dyDescent="0.15">
      <c r="A12447" s="15"/>
      <c r="B12447" s="15"/>
    </row>
    <row r="12448" spans="1:2" x14ac:dyDescent="0.15">
      <c r="A12448" s="15"/>
      <c r="B12448" s="15"/>
    </row>
    <row r="12449" spans="1:2" x14ac:dyDescent="0.15">
      <c r="A12449" s="15"/>
      <c r="B12449" s="15"/>
    </row>
    <row r="12450" spans="1:2" x14ac:dyDescent="0.15">
      <c r="A12450" s="15"/>
      <c r="B12450" s="15"/>
    </row>
    <row r="12451" spans="1:2" x14ac:dyDescent="0.15">
      <c r="A12451" s="15"/>
      <c r="B12451" s="15"/>
    </row>
    <row r="12452" spans="1:2" x14ac:dyDescent="0.15">
      <c r="A12452" s="15"/>
      <c r="B12452" s="15"/>
    </row>
    <row r="12453" spans="1:2" x14ac:dyDescent="0.15">
      <c r="A12453" s="15"/>
      <c r="B12453" s="15"/>
    </row>
    <row r="12454" spans="1:2" x14ac:dyDescent="0.15">
      <c r="A12454" s="15"/>
      <c r="B12454" s="15"/>
    </row>
    <row r="12455" spans="1:2" x14ac:dyDescent="0.15">
      <c r="A12455" s="15"/>
      <c r="B12455" s="15"/>
    </row>
    <row r="12456" spans="1:2" x14ac:dyDescent="0.15">
      <c r="A12456" s="15"/>
      <c r="B12456" s="15"/>
    </row>
    <row r="12457" spans="1:2" x14ac:dyDescent="0.15">
      <c r="A12457" s="15"/>
      <c r="B12457" s="15"/>
    </row>
    <row r="12458" spans="1:2" x14ac:dyDescent="0.15">
      <c r="A12458" s="15"/>
      <c r="B12458" s="15"/>
    </row>
    <row r="12459" spans="1:2" x14ac:dyDescent="0.15">
      <c r="A12459" s="15"/>
      <c r="B12459" s="15"/>
    </row>
    <row r="12460" spans="1:2" x14ac:dyDescent="0.15">
      <c r="A12460" s="15"/>
      <c r="B12460" s="15"/>
    </row>
    <row r="12461" spans="1:2" x14ac:dyDescent="0.15">
      <c r="A12461" s="15"/>
      <c r="B12461" s="15"/>
    </row>
    <row r="12462" spans="1:2" x14ac:dyDescent="0.15">
      <c r="A12462" s="15"/>
      <c r="B12462" s="15"/>
    </row>
    <row r="12463" spans="1:2" x14ac:dyDescent="0.15">
      <c r="A12463" s="15"/>
      <c r="B12463" s="15"/>
    </row>
    <row r="12464" spans="1:2" x14ac:dyDescent="0.15">
      <c r="A12464" s="15"/>
      <c r="B12464" s="15"/>
    </row>
    <row r="12465" spans="1:2" x14ac:dyDescent="0.15">
      <c r="A12465" s="15"/>
      <c r="B12465" s="15"/>
    </row>
    <row r="12466" spans="1:2" x14ac:dyDescent="0.15">
      <c r="A12466" s="15"/>
      <c r="B12466" s="15"/>
    </row>
    <row r="12467" spans="1:2" x14ac:dyDescent="0.15">
      <c r="A12467" s="15"/>
      <c r="B12467" s="15"/>
    </row>
    <row r="12468" spans="1:2" x14ac:dyDescent="0.15">
      <c r="A12468" s="15"/>
      <c r="B12468" s="15"/>
    </row>
    <row r="12469" spans="1:2" x14ac:dyDescent="0.15">
      <c r="A12469" s="15"/>
      <c r="B12469" s="15"/>
    </row>
    <row r="12470" spans="1:2" x14ac:dyDescent="0.15">
      <c r="A12470" s="15"/>
      <c r="B12470" s="15"/>
    </row>
    <row r="12471" spans="1:2" x14ac:dyDescent="0.15">
      <c r="A12471" s="15"/>
      <c r="B12471" s="15"/>
    </row>
    <row r="12472" spans="1:2" x14ac:dyDescent="0.15">
      <c r="A12472" s="15"/>
      <c r="B12472" s="15"/>
    </row>
    <row r="12473" spans="1:2" x14ac:dyDescent="0.15">
      <c r="A12473" s="15"/>
      <c r="B12473" s="15"/>
    </row>
    <row r="12474" spans="1:2" x14ac:dyDescent="0.15">
      <c r="A12474" s="15"/>
      <c r="B12474" s="15"/>
    </row>
    <row r="12475" spans="1:2" x14ac:dyDescent="0.15">
      <c r="A12475" s="15"/>
      <c r="B12475" s="15"/>
    </row>
    <row r="12476" spans="1:2" x14ac:dyDescent="0.15">
      <c r="A12476" s="15"/>
      <c r="B12476" s="15"/>
    </row>
    <row r="12477" spans="1:2" x14ac:dyDescent="0.15">
      <c r="A12477" s="15"/>
      <c r="B12477" s="15"/>
    </row>
    <row r="12478" spans="1:2" x14ac:dyDescent="0.15">
      <c r="A12478" s="15"/>
      <c r="B12478" s="15"/>
    </row>
    <row r="12479" spans="1:2" x14ac:dyDescent="0.15">
      <c r="A12479" s="15"/>
      <c r="B12479" s="15"/>
    </row>
    <row r="12480" spans="1:2" x14ac:dyDescent="0.15">
      <c r="A12480" s="15"/>
      <c r="B12480" s="15"/>
    </row>
    <row r="12481" spans="1:2" x14ac:dyDescent="0.15">
      <c r="A12481" s="15"/>
      <c r="B12481" s="15"/>
    </row>
    <row r="12482" spans="1:2" x14ac:dyDescent="0.15">
      <c r="A12482" s="15"/>
      <c r="B12482" s="15"/>
    </row>
    <row r="12483" spans="1:2" x14ac:dyDescent="0.15">
      <c r="A12483" s="15"/>
      <c r="B12483" s="15"/>
    </row>
    <row r="12484" spans="1:2" x14ac:dyDescent="0.15">
      <c r="A12484" s="15"/>
      <c r="B12484" s="15"/>
    </row>
    <row r="12485" spans="1:2" x14ac:dyDescent="0.15">
      <c r="A12485" s="15"/>
      <c r="B12485" s="15"/>
    </row>
    <row r="12486" spans="1:2" x14ac:dyDescent="0.15">
      <c r="A12486" s="15"/>
      <c r="B12486" s="15"/>
    </row>
    <row r="12487" spans="1:2" x14ac:dyDescent="0.15">
      <c r="A12487" s="15"/>
      <c r="B12487" s="15"/>
    </row>
    <row r="12488" spans="1:2" x14ac:dyDescent="0.15">
      <c r="A12488" s="15"/>
      <c r="B12488" s="15"/>
    </row>
    <row r="12489" spans="1:2" x14ac:dyDescent="0.15">
      <c r="A12489" s="15"/>
      <c r="B12489" s="15"/>
    </row>
    <row r="12490" spans="1:2" x14ac:dyDescent="0.15">
      <c r="A12490" s="15"/>
      <c r="B12490" s="15"/>
    </row>
    <row r="12491" spans="1:2" x14ac:dyDescent="0.15">
      <c r="A12491" s="15"/>
      <c r="B12491" s="15"/>
    </row>
    <row r="12492" spans="1:2" x14ac:dyDescent="0.15">
      <c r="A12492" s="15"/>
      <c r="B12492" s="15"/>
    </row>
    <row r="12493" spans="1:2" x14ac:dyDescent="0.15">
      <c r="A12493" s="15"/>
      <c r="B12493" s="15"/>
    </row>
    <row r="12494" spans="1:2" x14ac:dyDescent="0.15">
      <c r="A12494" s="15"/>
      <c r="B12494" s="15"/>
    </row>
    <row r="12495" spans="1:2" x14ac:dyDescent="0.15">
      <c r="A12495" s="15"/>
      <c r="B12495" s="15"/>
    </row>
    <row r="12496" spans="1:2" x14ac:dyDescent="0.15">
      <c r="A12496" s="15"/>
      <c r="B12496" s="15"/>
    </row>
    <row r="12497" spans="1:2" x14ac:dyDescent="0.15">
      <c r="A12497" s="15"/>
      <c r="B12497" s="15"/>
    </row>
    <row r="12498" spans="1:2" x14ac:dyDescent="0.15">
      <c r="A12498" s="15"/>
      <c r="B12498" s="15"/>
    </row>
    <row r="12499" spans="1:2" x14ac:dyDescent="0.15">
      <c r="A12499" s="15"/>
      <c r="B12499" s="15"/>
    </row>
    <row r="12500" spans="1:2" x14ac:dyDescent="0.15">
      <c r="A12500" s="15"/>
      <c r="B12500" s="15"/>
    </row>
    <row r="12501" spans="1:2" x14ac:dyDescent="0.15">
      <c r="A12501" s="15"/>
      <c r="B12501" s="15"/>
    </row>
    <row r="12502" spans="1:2" x14ac:dyDescent="0.15">
      <c r="A12502" s="15"/>
      <c r="B12502" s="15"/>
    </row>
    <row r="12503" spans="1:2" x14ac:dyDescent="0.15">
      <c r="A12503" s="15"/>
      <c r="B12503" s="15"/>
    </row>
    <row r="12504" spans="1:2" x14ac:dyDescent="0.15">
      <c r="A12504" s="15"/>
      <c r="B12504" s="15"/>
    </row>
    <row r="12505" spans="1:2" x14ac:dyDescent="0.15">
      <c r="A12505" s="15"/>
      <c r="B12505" s="15"/>
    </row>
    <row r="12506" spans="1:2" x14ac:dyDescent="0.15">
      <c r="A12506" s="15"/>
      <c r="B12506" s="15"/>
    </row>
    <row r="12507" spans="1:2" x14ac:dyDescent="0.15">
      <c r="A12507" s="15"/>
      <c r="B12507" s="15"/>
    </row>
    <row r="12508" spans="1:2" x14ac:dyDescent="0.15">
      <c r="A12508" s="15"/>
      <c r="B12508" s="15"/>
    </row>
    <row r="12509" spans="1:2" x14ac:dyDescent="0.15">
      <c r="A12509" s="15"/>
      <c r="B12509" s="15"/>
    </row>
    <row r="12510" spans="1:2" x14ac:dyDescent="0.15">
      <c r="A12510" s="15"/>
      <c r="B12510" s="15"/>
    </row>
    <row r="12511" spans="1:2" x14ac:dyDescent="0.15">
      <c r="A12511" s="15"/>
      <c r="B12511" s="15"/>
    </row>
    <row r="12512" spans="1:2" x14ac:dyDescent="0.15">
      <c r="A12512" s="15"/>
      <c r="B12512" s="15"/>
    </row>
    <row r="12513" spans="1:2" x14ac:dyDescent="0.15">
      <c r="A12513" s="15"/>
      <c r="B12513" s="15"/>
    </row>
    <row r="12514" spans="1:2" x14ac:dyDescent="0.15">
      <c r="A12514" s="15"/>
      <c r="B12514" s="15"/>
    </row>
    <row r="12515" spans="1:2" x14ac:dyDescent="0.15">
      <c r="A12515" s="15"/>
      <c r="B12515" s="15"/>
    </row>
    <row r="12516" spans="1:2" x14ac:dyDescent="0.15">
      <c r="A12516" s="15"/>
      <c r="B12516" s="15"/>
    </row>
    <row r="12517" spans="1:2" x14ac:dyDescent="0.15">
      <c r="A12517" s="15"/>
      <c r="B12517" s="15"/>
    </row>
    <row r="12518" spans="1:2" x14ac:dyDescent="0.15">
      <c r="A12518" s="15"/>
      <c r="B12518" s="15"/>
    </row>
    <row r="12519" spans="1:2" x14ac:dyDescent="0.15">
      <c r="A12519" s="15"/>
      <c r="B12519" s="15"/>
    </row>
    <row r="12520" spans="1:2" x14ac:dyDescent="0.15">
      <c r="A12520" s="15"/>
      <c r="B12520" s="15"/>
    </row>
    <row r="12521" spans="1:2" x14ac:dyDescent="0.15">
      <c r="A12521" s="15"/>
      <c r="B12521" s="15"/>
    </row>
    <row r="12522" spans="1:2" x14ac:dyDescent="0.15">
      <c r="A12522" s="15"/>
      <c r="B12522" s="15"/>
    </row>
    <row r="12523" spans="1:2" x14ac:dyDescent="0.15">
      <c r="A12523" s="15"/>
      <c r="B12523" s="15"/>
    </row>
    <row r="12524" spans="1:2" x14ac:dyDescent="0.15">
      <c r="A12524" s="15"/>
      <c r="B12524" s="15"/>
    </row>
    <row r="12525" spans="1:2" x14ac:dyDescent="0.15">
      <c r="A12525" s="15"/>
      <c r="B12525" s="15"/>
    </row>
    <row r="12526" spans="1:2" x14ac:dyDescent="0.15">
      <c r="A12526" s="15"/>
      <c r="B12526" s="15"/>
    </row>
    <row r="12527" spans="1:2" x14ac:dyDescent="0.15">
      <c r="A12527" s="15"/>
      <c r="B12527" s="15"/>
    </row>
    <row r="12528" spans="1:2" x14ac:dyDescent="0.15">
      <c r="A12528" s="15"/>
      <c r="B12528" s="15"/>
    </row>
    <row r="12529" spans="1:2" x14ac:dyDescent="0.15">
      <c r="A12529" s="15"/>
      <c r="B12529" s="15"/>
    </row>
    <row r="12530" spans="1:2" x14ac:dyDescent="0.15">
      <c r="A12530" s="15"/>
      <c r="B12530" s="15"/>
    </row>
    <row r="12531" spans="1:2" x14ac:dyDescent="0.15">
      <c r="A12531" s="15"/>
      <c r="B12531" s="15"/>
    </row>
    <row r="12532" spans="1:2" x14ac:dyDescent="0.15">
      <c r="A12532" s="15"/>
      <c r="B12532" s="15"/>
    </row>
    <row r="12533" spans="1:2" x14ac:dyDescent="0.15">
      <c r="A12533" s="15"/>
      <c r="B12533" s="15"/>
    </row>
    <row r="12534" spans="1:2" x14ac:dyDescent="0.15">
      <c r="A12534" s="15"/>
      <c r="B12534" s="15"/>
    </row>
    <row r="12535" spans="1:2" x14ac:dyDescent="0.15">
      <c r="A12535" s="15"/>
      <c r="B12535" s="15"/>
    </row>
    <row r="12536" spans="1:2" x14ac:dyDescent="0.15">
      <c r="A12536" s="15"/>
      <c r="B12536" s="15"/>
    </row>
    <row r="12537" spans="1:2" x14ac:dyDescent="0.15">
      <c r="A12537" s="15"/>
      <c r="B12537" s="15"/>
    </row>
    <row r="12538" spans="1:2" x14ac:dyDescent="0.15">
      <c r="A12538" s="15"/>
      <c r="B12538" s="15"/>
    </row>
    <row r="12539" spans="1:2" x14ac:dyDescent="0.15">
      <c r="A12539" s="15"/>
      <c r="B12539" s="15"/>
    </row>
    <row r="12540" spans="1:2" x14ac:dyDescent="0.15">
      <c r="A12540" s="15"/>
      <c r="B12540" s="15"/>
    </row>
    <row r="12541" spans="1:2" x14ac:dyDescent="0.15">
      <c r="A12541" s="15"/>
      <c r="B12541" s="15"/>
    </row>
    <row r="12542" spans="1:2" x14ac:dyDescent="0.15">
      <c r="A12542" s="15"/>
      <c r="B12542" s="15"/>
    </row>
    <row r="12543" spans="1:2" x14ac:dyDescent="0.15">
      <c r="A12543" s="15"/>
      <c r="B12543" s="15"/>
    </row>
    <row r="12544" spans="1:2" x14ac:dyDescent="0.15">
      <c r="A12544" s="15"/>
      <c r="B12544" s="15"/>
    </row>
    <row r="12545" spans="1:2" x14ac:dyDescent="0.15">
      <c r="A12545" s="15"/>
      <c r="B12545" s="15"/>
    </row>
    <row r="12546" spans="1:2" x14ac:dyDescent="0.15">
      <c r="A12546" s="15"/>
      <c r="B12546" s="15"/>
    </row>
    <row r="12547" spans="1:2" x14ac:dyDescent="0.15">
      <c r="A12547" s="15"/>
      <c r="B12547" s="15"/>
    </row>
    <row r="12548" spans="1:2" x14ac:dyDescent="0.15">
      <c r="A12548" s="15"/>
      <c r="B12548" s="15"/>
    </row>
    <row r="12549" spans="1:2" x14ac:dyDescent="0.15">
      <c r="A12549" s="15"/>
      <c r="B12549" s="15"/>
    </row>
    <row r="12550" spans="1:2" x14ac:dyDescent="0.15">
      <c r="A12550" s="15"/>
      <c r="B12550" s="15"/>
    </row>
    <row r="12551" spans="1:2" x14ac:dyDescent="0.15">
      <c r="A12551" s="15"/>
      <c r="B12551" s="15"/>
    </row>
    <row r="12552" spans="1:2" x14ac:dyDescent="0.15">
      <c r="A12552" s="15"/>
      <c r="B12552" s="15"/>
    </row>
    <row r="12553" spans="1:2" x14ac:dyDescent="0.15">
      <c r="A12553" s="15"/>
      <c r="B12553" s="15"/>
    </row>
    <row r="12554" spans="1:2" x14ac:dyDescent="0.15">
      <c r="A12554" s="15"/>
      <c r="B12554" s="15"/>
    </row>
    <row r="12555" spans="1:2" x14ac:dyDescent="0.15">
      <c r="A12555" s="15"/>
      <c r="B12555" s="15"/>
    </row>
    <row r="12556" spans="1:2" x14ac:dyDescent="0.15">
      <c r="A12556" s="15"/>
      <c r="B12556" s="15"/>
    </row>
    <row r="12557" spans="1:2" x14ac:dyDescent="0.15">
      <c r="A12557" s="15"/>
      <c r="B12557" s="15"/>
    </row>
    <row r="12558" spans="1:2" x14ac:dyDescent="0.15">
      <c r="A12558" s="15"/>
      <c r="B12558" s="15"/>
    </row>
    <row r="12559" spans="1:2" x14ac:dyDescent="0.15">
      <c r="A12559" s="15"/>
      <c r="B12559" s="15"/>
    </row>
    <row r="12560" spans="1:2" x14ac:dyDescent="0.15">
      <c r="A12560" s="15"/>
      <c r="B12560" s="15"/>
    </row>
    <row r="12561" spans="1:2" x14ac:dyDescent="0.15">
      <c r="A12561" s="15"/>
      <c r="B12561" s="15"/>
    </row>
    <row r="12562" spans="1:2" x14ac:dyDescent="0.15">
      <c r="A12562" s="15"/>
      <c r="B12562" s="15"/>
    </row>
    <row r="12563" spans="1:2" x14ac:dyDescent="0.15">
      <c r="A12563" s="15"/>
      <c r="B12563" s="15"/>
    </row>
    <row r="12564" spans="1:2" x14ac:dyDescent="0.15">
      <c r="A12564" s="15"/>
      <c r="B12564" s="15"/>
    </row>
    <row r="12565" spans="1:2" x14ac:dyDescent="0.15">
      <c r="A12565" s="15"/>
      <c r="B12565" s="15"/>
    </row>
    <row r="12566" spans="1:2" x14ac:dyDescent="0.15">
      <c r="A12566" s="15"/>
      <c r="B12566" s="15"/>
    </row>
    <row r="12567" spans="1:2" x14ac:dyDescent="0.15">
      <c r="A12567" s="15"/>
      <c r="B12567" s="15"/>
    </row>
    <row r="12568" spans="1:2" x14ac:dyDescent="0.15">
      <c r="A12568" s="15"/>
      <c r="B12568" s="15"/>
    </row>
    <row r="12569" spans="1:2" x14ac:dyDescent="0.15">
      <c r="A12569" s="15"/>
      <c r="B12569" s="15"/>
    </row>
    <row r="12570" spans="1:2" x14ac:dyDescent="0.15">
      <c r="A12570" s="15"/>
      <c r="B12570" s="15"/>
    </row>
    <row r="12571" spans="1:2" x14ac:dyDescent="0.15">
      <c r="A12571" s="15"/>
      <c r="B12571" s="15"/>
    </row>
    <row r="12572" spans="1:2" x14ac:dyDescent="0.15">
      <c r="A12572" s="15"/>
      <c r="B12572" s="15"/>
    </row>
    <row r="12573" spans="1:2" x14ac:dyDescent="0.15">
      <c r="A12573" s="15"/>
      <c r="B12573" s="15"/>
    </row>
    <row r="12574" spans="1:2" x14ac:dyDescent="0.15">
      <c r="A12574" s="15"/>
      <c r="B12574" s="15"/>
    </row>
    <row r="12575" spans="1:2" x14ac:dyDescent="0.15">
      <c r="A12575" s="15"/>
      <c r="B12575" s="15"/>
    </row>
    <row r="12576" spans="1:2" x14ac:dyDescent="0.15">
      <c r="A12576" s="15"/>
      <c r="B12576" s="15"/>
    </row>
    <row r="12577" spans="1:2" x14ac:dyDescent="0.15">
      <c r="A12577" s="15"/>
      <c r="B12577" s="15"/>
    </row>
    <row r="12578" spans="1:2" x14ac:dyDescent="0.15">
      <c r="A12578" s="15"/>
      <c r="B12578" s="15"/>
    </row>
    <row r="12579" spans="1:2" x14ac:dyDescent="0.15">
      <c r="A12579" s="15"/>
      <c r="B12579" s="15"/>
    </row>
    <row r="12580" spans="1:2" x14ac:dyDescent="0.15">
      <c r="A12580" s="15"/>
      <c r="B12580" s="15"/>
    </row>
    <row r="12581" spans="1:2" x14ac:dyDescent="0.15">
      <c r="A12581" s="15"/>
      <c r="B12581" s="15"/>
    </row>
    <row r="12582" spans="1:2" x14ac:dyDescent="0.15">
      <c r="A12582" s="15"/>
      <c r="B12582" s="15"/>
    </row>
    <row r="12583" spans="1:2" x14ac:dyDescent="0.15">
      <c r="A12583" s="15"/>
      <c r="B12583" s="15"/>
    </row>
    <row r="12584" spans="1:2" x14ac:dyDescent="0.15">
      <c r="A12584" s="15"/>
      <c r="B12584" s="15"/>
    </row>
    <row r="12585" spans="1:2" x14ac:dyDescent="0.15">
      <c r="A12585" s="15"/>
      <c r="B12585" s="15"/>
    </row>
    <row r="12586" spans="1:2" x14ac:dyDescent="0.15">
      <c r="A12586" s="15"/>
      <c r="B12586" s="15"/>
    </row>
    <row r="12587" spans="1:2" x14ac:dyDescent="0.15">
      <c r="A12587" s="15"/>
      <c r="B12587" s="15"/>
    </row>
    <row r="12588" spans="1:2" x14ac:dyDescent="0.15">
      <c r="A12588" s="15"/>
      <c r="B12588" s="15"/>
    </row>
    <row r="12589" spans="1:2" x14ac:dyDescent="0.15">
      <c r="A12589" s="15"/>
      <c r="B12589" s="15"/>
    </row>
    <row r="12590" spans="1:2" x14ac:dyDescent="0.15">
      <c r="A12590" s="15"/>
      <c r="B12590" s="15"/>
    </row>
    <row r="12591" spans="1:2" x14ac:dyDescent="0.15">
      <c r="A12591" s="15"/>
      <c r="B12591" s="15"/>
    </row>
    <row r="12592" spans="1:2" x14ac:dyDescent="0.15">
      <c r="A12592" s="15"/>
      <c r="B12592" s="15"/>
    </row>
    <row r="12593" spans="1:2" x14ac:dyDescent="0.15">
      <c r="A12593" s="15"/>
      <c r="B12593" s="15"/>
    </row>
    <row r="12594" spans="1:2" x14ac:dyDescent="0.15">
      <c r="A12594" s="15"/>
      <c r="B12594" s="15"/>
    </row>
    <row r="12595" spans="1:2" x14ac:dyDescent="0.15">
      <c r="A12595" s="15"/>
      <c r="B12595" s="15"/>
    </row>
    <row r="12596" spans="1:2" x14ac:dyDescent="0.15">
      <c r="A12596" s="15"/>
      <c r="B12596" s="15"/>
    </row>
    <row r="12597" spans="1:2" x14ac:dyDescent="0.15">
      <c r="A12597" s="15"/>
      <c r="B12597" s="15"/>
    </row>
    <row r="12598" spans="1:2" x14ac:dyDescent="0.15">
      <c r="A12598" s="15"/>
      <c r="B12598" s="15"/>
    </row>
    <row r="12599" spans="1:2" x14ac:dyDescent="0.15">
      <c r="A12599" s="15"/>
      <c r="B12599" s="15"/>
    </row>
    <row r="12600" spans="1:2" x14ac:dyDescent="0.15">
      <c r="A12600" s="15"/>
      <c r="B12600" s="15"/>
    </row>
    <row r="12601" spans="1:2" x14ac:dyDescent="0.15">
      <c r="A12601" s="15"/>
      <c r="B12601" s="15"/>
    </row>
    <row r="12602" spans="1:2" x14ac:dyDescent="0.15">
      <c r="A12602" s="15"/>
      <c r="B12602" s="15"/>
    </row>
    <row r="12603" spans="1:2" x14ac:dyDescent="0.15">
      <c r="A12603" s="15"/>
      <c r="B12603" s="15"/>
    </row>
    <row r="12604" spans="1:2" x14ac:dyDescent="0.15">
      <c r="A12604" s="15"/>
      <c r="B12604" s="15"/>
    </row>
    <row r="12605" spans="1:2" x14ac:dyDescent="0.15">
      <c r="A12605" s="15"/>
      <c r="B12605" s="15"/>
    </row>
    <row r="12606" spans="1:2" x14ac:dyDescent="0.15">
      <c r="A12606" s="15"/>
      <c r="B12606" s="15"/>
    </row>
    <row r="12607" spans="1:2" x14ac:dyDescent="0.15">
      <c r="A12607" s="15"/>
      <c r="B12607" s="15"/>
    </row>
    <row r="12608" spans="1:2" x14ac:dyDescent="0.15">
      <c r="A12608" s="15"/>
      <c r="B12608" s="15"/>
    </row>
    <row r="12609" spans="1:2" x14ac:dyDescent="0.15">
      <c r="A12609" s="15"/>
      <c r="B12609" s="15"/>
    </row>
    <row r="12610" spans="1:2" x14ac:dyDescent="0.15">
      <c r="A12610" s="15"/>
      <c r="B12610" s="15"/>
    </row>
    <row r="12611" spans="1:2" x14ac:dyDescent="0.15">
      <c r="A12611" s="15"/>
      <c r="B12611" s="15"/>
    </row>
    <row r="12612" spans="1:2" x14ac:dyDescent="0.15">
      <c r="A12612" s="15"/>
      <c r="B12612" s="15"/>
    </row>
    <row r="12613" spans="1:2" x14ac:dyDescent="0.15">
      <c r="A12613" s="15"/>
      <c r="B12613" s="15"/>
    </row>
    <row r="12614" spans="1:2" x14ac:dyDescent="0.15">
      <c r="A12614" s="15"/>
      <c r="B12614" s="15"/>
    </row>
    <row r="12615" spans="1:2" x14ac:dyDescent="0.15">
      <c r="A12615" s="15"/>
      <c r="B12615" s="15"/>
    </row>
    <row r="12616" spans="1:2" x14ac:dyDescent="0.15">
      <c r="A12616" s="15"/>
      <c r="B12616" s="15"/>
    </row>
    <row r="12617" spans="1:2" x14ac:dyDescent="0.15">
      <c r="A12617" s="15"/>
      <c r="B12617" s="15"/>
    </row>
    <row r="12618" spans="1:2" x14ac:dyDescent="0.15">
      <c r="A12618" s="15"/>
      <c r="B12618" s="15"/>
    </row>
    <row r="12619" spans="1:2" x14ac:dyDescent="0.15">
      <c r="A12619" s="15"/>
      <c r="B12619" s="15"/>
    </row>
    <row r="12620" spans="1:2" x14ac:dyDescent="0.15">
      <c r="A12620" s="15"/>
      <c r="B12620" s="15"/>
    </row>
    <row r="12621" spans="1:2" x14ac:dyDescent="0.15">
      <c r="A12621" s="15"/>
      <c r="B12621" s="15"/>
    </row>
    <row r="12622" spans="1:2" x14ac:dyDescent="0.15">
      <c r="A12622" s="15"/>
      <c r="B12622" s="15"/>
    </row>
    <row r="12623" spans="1:2" x14ac:dyDescent="0.15">
      <c r="A12623" s="15"/>
      <c r="B12623" s="15"/>
    </row>
    <row r="12624" spans="1:2" x14ac:dyDescent="0.15">
      <c r="A12624" s="15"/>
      <c r="B12624" s="15"/>
    </row>
    <row r="12625" spans="1:2" x14ac:dyDescent="0.15">
      <c r="A12625" s="15"/>
      <c r="B12625" s="15"/>
    </row>
    <row r="12626" spans="1:2" x14ac:dyDescent="0.15">
      <c r="A12626" s="15"/>
      <c r="B12626" s="15"/>
    </row>
    <row r="12627" spans="1:2" x14ac:dyDescent="0.15">
      <c r="A12627" s="15"/>
      <c r="B12627" s="15"/>
    </row>
    <row r="12628" spans="1:2" x14ac:dyDescent="0.15">
      <c r="A12628" s="15"/>
      <c r="B12628" s="15"/>
    </row>
    <row r="12629" spans="1:2" x14ac:dyDescent="0.15">
      <c r="A12629" s="15"/>
      <c r="B12629" s="15"/>
    </row>
    <row r="12630" spans="1:2" x14ac:dyDescent="0.15">
      <c r="A12630" s="15"/>
      <c r="B12630" s="15"/>
    </row>
    <row r="12631" spans="1:2" x14ac:dyDescent="0.15">
      <c r="A12631" s="15"/>
      <c r="B12631" s="15"/>
    </row>
    <row r="12632" spans="1:2" x14ac:dyDescent="0.15">
      <c r="A12632" s="15"/>
      <c r="B12632" s="15"/>
    </row>
    <row r="12633" spans="1:2" x14ac:dyDescent="0.15">
      <c r="A12633" s="15"/>
      <c r="B12633" s="15"/>
    </row>
    <row r="12634" spans="1:2" x14ac:dyDescent="0.15">
      <c r="A12634" s="15"/>
      <c r="B12634" s="15"/>
    </row>
    <row r="12635" spans="1:2" x14ac:dyDescent="0.15">
      <c r="A12635" s="15"/>
      <c r="B12635" s="15"/>
    </row>
    <row r="12636" spans="1:2" x14ac:dyDescent="0.15">
      <c r="A12636" s="15"/>
      <c r="B12636" s="15"/>
    </row>
    <row r="12637" spans="1:2" x14ac:dyDescent="0.15">
      <c r="A12637" s="15"/>
      <c r="B12637" s="15"/>
    </row>
    <row r="12638" spans="1:2" x14ac:dyDescent="0.15">
      <c r="A12638" s="15"/>
      <c r="B12638" s="15"/>
    </row>
    <row r="12639" spans="1:2" x14ac:dyDescent="0.15">
      <c r="A12639" s="15"/>
      <c r="B12639" s="15"/>
    </row>
    <row r="12640" spans="1:2" x14ac:dyDescent="0.15">
      <c r="A12640" s="15"/>
      <c r="B12640" s="15"/>
    </row>
    <row r="12641" spans="1:2" x14ac:dyDescent="0.15">
      <c r="A12641" s="15"/>
      <c r="B12641" s="15"/>
    </row>
    <row r="12642" spans="1:2" x14ac:dyDescent="0.15">
      <c r="A12642" s="15"/>
      <c r="B12642" s="15"/>
    </row>
    <row r="12643" spans="1:2" x14ac:dyDescent="0.15">
      <c r="A12643" s="15"/>
      <c r="B12643" s="15"/>
    </row>
    <row r="12644" spans="1:2" x14ac:dyDescent="0.15">
      <c r="A12644" s="15"/>
      <c r="B12644" s="15"/>
    </row>
    <row r="12645" spans="1:2" x14ac:dyDescent="0.15">
      <c r="A12645" s="15"/>
      <c r="B12645" s="15"/>
    </row>
    <row r="12646" spans="1:2" x14ac:dyDescent="0.15">
      <c r="A12646" s="15"/>
      <c r="B12646" s="15"/>
    </row>
    <row r="12647" spans="1:2" x14ac:dyDescent="0.15">
      <c r="A12647" s="15"/>
      <c r="B12647" s="15"/>
    </row>
    <row r="12648" spans="1:2" x14ac:dyDescent="0.15">
      <c r="A12648" s="15"/>
      <c r="B12648" s="15"/>
    </row>
    <row r="12649" spans="1:2" x14ac:dyDescent="0.15">
      <c r="A12649" s="15"/>
      <c r="B12649" s="15"/>
    </row>
    <row r="12650" spans="1:2" x14ac:dyDescent="0.15">
      <c r="A12650" s="15"/>
      <c r="B12650" s="15"/>
    </row>
    <row r="12651" spans="1:2" x14ac:dyDescent="0.15">
      <c r="A12651" s="15"/>
      <c r="B12651" s="15"/>
    </row>
    <row r="12652" spans="1:2" x14ac:dyDescent="0.15">
      <c r="A12652" s="15"/>
      <c r="B12652" s="15"/>
    </row>
    <row r="12653" spans="1:2" x14ac:dyDescent="0.15">
      <c r="A12653" s="15"/>
      <c r="B12653" s="15"/>
    </row>
    <row r="12654" spans="1:2" x14ac:dyDescent="0.15">
      <c r="A12654" s="15"/>
      <c r="B12654" s="15"/>
    </row>
    <row r="12655" spans="1:2" x14ac:dyDescent="0.15">
      <c r="A12655" s="15"/>
      <c r="B12655" s="15"/>
    </row>
    <row r="12656" spans="1:2" x14ac:dyDescent="0.15">
      <c r="A12656" s="15"/>
      <c r="B12656" s="15"/>
    </row>
    <row r="12657" spans="1:2" x14ac:dyDescent="0.15">
      <c r="A12657" s="15"/>
      <c r="B12657" s="15"/>
    </row>
    <row r="12658" spans="1:2" x14ac:dyDescent="0.15">
      <c r="A12658" s="15"/>
      <c r="B12658" s="15"/>
    </row>
    <row r="12659" spans="1:2" x14ac:dyDescent="0.15">
      <c r="A12659" s="15"/>
      <c r="B12659" s="15"/>
    </row>
    <row r="12660" spans="1:2" x14ac:dyDescent="0.15">
      <c r="A12660" s="15"/>
      <c r="B12660" s="15"/>
    </row>
    <row r="12661" spans="1:2" x14ac:dyDescent="0.15">
      <c r="A12661" s="15"/>
      <c r="B12661" s="15"/>
    </row>
    <row r="12662" spans="1:2" x14ac:dyDescent="0.15">
      <c r="A12662" s="15"/>
      <c r="B12662" s="15"/>
    </row>
    <row r="12663" spans="1:2" x14ac:dyDescent="0.15">
      <c r="A12663" s="15"/>
      <c r="B12663" s="15"/>
    </row>
    <row r="12664" spans="1:2" x14ac:dyDescent="0.15">
      <c r="A12664" s="15"/>
      <c r="B12664" s="15"/>
    </row>
    <row r="12665" spans="1:2" x14ac:dyDescent="0.15">
      <c r="A12665" s="15"/>
      <c r="B12665" s="15"/>
    </row>
    <row r="12666" spans="1:2" x14ac:dyDescent="0.15">
      <c r="A12666" s="15"/>
      <c r="B12666" s="15"/>
    </row>
    <row r="12667" spans="1:2" x14ac:dyDescent="0.15">
      <c r="A12667" s="15"/>
      <c r="B12667" s="15"/>
    </row>
    <row r="12668" spans="1:2" x14ac:dyDescent="0.15">
      <c r="A12668" s="15"/>
      <c r="B12668" s="15"/>
    </row>
    <row r="12669" spans="1:2" x14ac:dyDescent="0.15">
      <c r="A12669" s="15"/>
      <c r="B12669" s="15"/>
    </row>
    <row r="12670" spans="1:2" x14ac:dyDescent="0.15">
      <c r="A12670" s="15"/>
      <c r="B12670" s="15"/>
    </row>
    <row r="12671" spans="1:2" x14ac:dyDescent="0.15">
      <c r="A12671" s="15"/>
      <c r="B12671" s="15"/>
    </row>
    <row r="12672" spans="1:2" x14ac:dyDescent="0.15">
      <c r="A12672" s="15"/>
      <c r="B12672" s="15"/>
    </row>
    <row r="12673" spans="1:2" x14ac:dyDescent="0.15">
      <c r="A12673" s="15"/>
      <c r="B12673" s="15"/>
    </row>
    <row r="12674" spans="1:2" x14ac:dyDescent="0.15">
      <c r="A12674" s="15"/>
      <c r="B12674" s="15"/>
    </row>
    <row r="12675" spans="1:2" x14ac:dyDescent="0.15">
      <c r="A12675" s="15"/>
      <c r="B12675" s="15"/>
    </row>
    <row r="12676" spans="1:2" x14ac:dyDescent="0.15">
      <c r="A12676" s="15"/>
      <c r="B12676" s="15"/>
    </row>
    <row r="12677" spans="1:2" x14ac:dyDescent="0.15">
      <c r="A12677" s="15"/>
      <c r="B12677" s="15"/>
    </row>
    <row r="12678" spans="1:2" x14ac:dyDescent="0.15">
      <c r="A12678" s="15"/>
      <c r="B12678" s="15"/>
    </row>
    <row r="12679" spans="1:2" x14ac:dyDescent="0.15">
      <c r="A12679" s="15"/>
      <c r="B12679" s="15"/>
    </row>
    <row r="12680" spans="1:2" x14ac:dyDescent="0.15">
      <c r="A12680" s="15"/>
      <c r="B12680" s="15"/>
    </row>
    <row r="12681" spans="1:2" x14ac:dyDescent="0.15">
      <c r="A12681" s="15"/>
      <c r="B12681" s="15"/>
    </row>
    <row r="12682" spans="1:2" x14ac:dyDescent="0.15">
      <c r="A12682" s="15"/>
      <c r="B12682" s="15"/>
    </row>
    <row r="12683" spans="1:2" x14ac:dyDescent="0.15">
      <c r="A12683" s="15"/>
      <c r="B12683" s="15"/>
    </row>
    <row r="12684" spans="1:2" x14ac:dyDescent="0.15">
      <c r="A12684" s="15"/>
      <c r="B12684" s="15"/>
    </row>
    <row r="12685" spans="1:2" x14ac:dyDescent="0.15">
      <c r="A12685" s="15"/>
      <c r="B12685" s="15"/>
    </row>
    <row r="12686" spans="1:2" x14ac:dyDescent="0.15">
      <c r="A12686" s="15"/>
      <c r="B12686" s="15"/>
    </row>
    <row r="12687" spans="1:2" x14ac:dyDescent="0.15">
      <c r="A12687" s="15"/>
      <c r="B12687" s="15"/>
    </row>
    <row r="12688" spans="1:2" x14ac:dyDescent="0.15">
      <c r="A12688" s="15"/>
      <c r="B12688" s="15"/>
    </row>
    <row r="12689" spans="1:2" x14ac:dyDescent="0.15">
      <c r="A12689" s="15"/>
      <c r="B12689" s="15"/>
    </row>
    <row r="12690" spans="1:2" x14ac:dyDescent="0.15">
      <c r="A12690" s="15"/>
      <c r="B12690" s="15"/>
    </row>
    <row r="12691" spans="1:2" x14ac:dyDescent="0.15">
      <c r="A12691" s="15"/>
      <c r="B12691" s="15"/>
    </row>
    <row r="12692" spans="1:2" x14ac:dyDescent="0.15">
      <c r="A12692" s="15"/>
      <c r="B12692" s="15"/>
    </row>
    <row r="12693" spans="1:2" x14ac:dyDescent="0.15">
      <c r="A12693" s="15"/>
      <c r="B12693" s="15"/>
    </row>
    <row r="12694" spans="1:2" x14ac:dyDescent="0.15">
      <c r="A12694" s="15"/>
      <c r="B12694" s="15"/>
    </row>
    <row r="12695" spans="1:2" x14ac:dyDescent="0.15">
      <c r="A12695" s="15"/>
      <c r="B12695" s="15"/>
    </row>
    <row r="12696" spans="1:2" x14ac:dyDescent="0.15">
      <c r="A12696" s="15"/>
      <c r="B12696" s="15"/>
    </row>
    <row r="12697" spans="1:2" x14ac:dyDescent="0.15">
      <c r="A12697" s="15"/>
      <c r="B12697" s="15"/>
    </row>
    <row r="12698" spans="1:2" x14ac:dyDescent="0.15">
      <c r="A12698" s="15"/>
      <c r="B12698" s="15"/>
    </row>
    <row r="12699" spans="1:2" x14ac:dyDescent="0.15">
      <c r="A12699" s="15"/>
      <c r="B12699" s="15"/>
    </row>
    <row r="12700" spans="1:2" x14ac:dyDescent="0.15">
      <c r="A12700" s="15"/>
      <c r="B12700" s="15"/>
    </row>
    <row r="12701" spans="1:2" x14ac:dyDescent="0.15">
      <c r="A12701" s="15"/>
      <c r="B12701" s="15"/>
    </row>
    <row r="12702" spans="1:2" x14ac:dyDescent="0.15">
      <c r="A12702" s="15"/>
      <c r="B12702" s="15"/>
    </row>
    <row r="12703" spans="1:2" x14ac:dyDescent="0.15">
      <c r="A12703" s="15"/>
      <c r="B12703" s="15"/>
    </row>
    <row r="12704" spans="1:2" x14ac:dyDescent="0.15">
      <c r="A12704" s="15"/>
      <c r="B12704" s="15"/>
    </row>
    <row r="12705" spans="1:2" x14ac:dyDescent="0.15">
      <c r="A12705" s="15"/>
      <c r="B12705" s="15"/>
    </row>
    <row r="12706" spans="1:2" x14ac:dyDescent="0.15">
      <c r="A12706" s="15"/>
      <c r="B12706" s="15"/>
    </row>
    <row r="12707" spans="1:2" x14ac:dyDescent="0.15">
      <c r="A12707" s="15"/>
      <c r="B12707" s="15"/>
    </row>
    <row r="12708" spans="1:2" x14ac:dyDescent="0.15">
      <c r="A12708" s="15"/>
      <c r="B12708" s="15"/>
    </row>
    <row r="12709" spans="1:2" x14ac:dyDescent="0.15">
      <c r="A12709" s="15"/>
      <c r="B12709" s="15"/>
    </row>
    <row r="12710" spans="1:2" x14ac:dyDescent="0.15">
      <c r="A12710" s="15"/>
      <c r="B12710" s="15"/>
    </row>
    <row r="12711" spans="1:2" x14ac:dyDescent="0.15">
      <c r="A12711" s="15"/>
      <c r="B12711" s="15"/>
    </row>
    <row r="12712" spans="1:2" x14ac:dyDescent="0.15">
      <c r="A12712" s="15"/>
      <c r="B12712" s="15"/>
    </row>
    <row r="12713" spans="1:2" x14ac:dyDescent="0.15">
      <c r="A12713" s="15"/>
      <c r="B12713" s="15"/>
    </row>
    <row r="12714" spans="1:2" x14ac:dyDescent="0.15">
      <c r="A12714" s="15"/>
      <c r="B12714" s="15"/>
    </row>
    <row r="12715" spans="1:2" x14ac:dyDescent="0.15">
      <c r="A12715" s="15"/>
      <c r="B12715" s="15"/>
    </row>
    <row r="12716" spans="1:2" x14ac:dyDescent="0.15">
      <c r="A12716" s="15"/>
      <c r="B12716" s="15"/>
    </row>
    <row r="12717" spans="1:2" x14ac:dyDescent="0.15">
      <c r="A12717" s="15"/>
      <c r="B12717" s="15"/>
    </row>
    <row r="12718" spans="1:2" x14ac:dyDescent="0.15">
      <c r="A12718" s="15"/>
      <c r="B12718" s="15"/>
    </row>
    <row r="12719" spans="1:2" x14ac:dyDescent="0.15">
      <c r="A12719" s="15"/>
      <c r="B12719" s="15"/>
    </row>
    <row r="12720" spans="1:2" x14ac:dyDescent="0.15">
      <c r="A12720" s="15"/>
      <c r="B12720" s="15"/>
    </row>
    <row r="12721" spans="1:2" x14ac:dyDescent="0.15">
      <c r="A12721" s="15"/>
      <c r="B12721" s="15"/>
    </row>
    <row r="12722" spans="1:2" x14ac:dyDescent="0.15">
      <c r="A12722" s="15"/>
      <c r="B12722" s="15"/>
    </row>
    <row r="12723" spans="1:2" x14ac:dyDescent="0.15">
      <c r="A12723" s="15"/>
      <c r="B12723" s="15"/>
    </row>
    <row r="12724" spans="1:2" x14ac:dyDescent="0.15">
      <c r="A12724" s="15"/>
      <c r="B12724" s="15"/>
    </row>
    <row r="12725" spans="1:2" x14ac:dyDescent="0.15">
      <c r="A12725" s="15"/>
      <c r="B12725" s="15"/>
    </row>
    <row r="12726" spans="1:2" x14ac:dyDescent="0.15">
      <c r="A12726" s="15"/>
      <c r="B12726" s="15"/>
    </row>
    <row r="12727" spans="1:2" x14ac:dyDescent="0.15">
      <c r="A12727" s="15"/>
      <c r="B12727" s="15"/>
    </row>
    <row r="12728" spans="1:2" x14ac:dyDescent="0.15">
      <c r="A12728" s="15"/>
      <c r="B12728" s="15"/>
    </row>
    <row r="12729" spans="1:2" x14ac:dyDescent="0.15">
      <c r="A12729" s="15"/>
      <c r="B12729" s="15"/>
    </row>
    <row r="12730" spans="1:2" x14ac:dyDescent="0.15">
      <c r="A12730" s="15"/>
      <c r="B12730" s="15"/>
    </row>
    <row r="12731" spans="1:2" x14ac:dyDescent="0.15">
      <c r="A12731" s="15"/>
      <c r="B12731" s="15"/>
    </row>
    <row r="12732" spans="1:2" x14ac:dyDescent="0.15">
      <c r="A12732" s="15"/>
      <c r="B12732" s="15"/>
    </row>
    <row r="12733" spans="1:2" x14ac:dyDescent="0.15">
      <c r="A12733" s="15"/>
      <c r="B12733" s="15"/>
    </row>
    <row r="12734" spans="1:2" x14ac:dyDescent="0.15">
      <c r="A12734" s="15"/>
      <c r="B12734" s="15"/>
    </row>
    <row r="12735" spans="1:2" x14ac:dyDescent="0.15">
      <c r="A12735" s="15"/>
      <c r="B12735" s="15"/>
    </row>
    <row r="12736" spans="1:2" x14ac:dyDescent="0.15">
      <c r="A12736" s="15"/>
      <c r="B12736" s="15"/>
    </row>
    <row r="12737" spans="1:2" x14ac:dyDescent="0.15">
      <c r="A12737" s="15"/>
      <c r="B12737" s="15"/>
    </row>
    <row r="12738" spans="1:2" x14ac:dyDescent="0.15">
      <c r="A12738" s="15"/>
      <c r="B12738" s="15"/>
    </row>
    <row r="12739" spans="1:2" x14ac:dyDescent="0.15">
      <c r="A12739" s="15"/>
      <c r="B12739" s="15"/>
    </row>
    <row r="12740" spans="1:2" x14ac:dyDescent="0.15">
      <c r="A12740" s="15"/>
      <c r="B12740" s="15"/>
    </row>
    <row r="12741" spans="1:2" x14ac:dyDescent="0.15">
      <c r="A12741" s="15"/>
      <c r="B12741" s="15"/>
    </row>
    <row r="12742" spans="1:2" x14ac:dyDescent="0.15">
      <c r="A12742" s="15"/>
      <c r="B12742" s="15"/>
    </row>
    <row r="12743" spans="1:2" x14ac:dyDescent="0.15">
      <c r="A12743" s="15"/>
      <c r="B12743" s="15"/>
    </row>
    <row r="12744" spans="1:2" x14ac:dyDescent="0.15">
      <c r="A12744" s="15"/>
      <c r="B12744" s="15"/>
    </row>
    <row r="12745" spans="1:2" x14ac:dyDescent="0.15">
      <c r="A12745" s="15"/>
      <c r="B12745" s="15"/>
    </row>
    <row r="12746" spans="1:2" x14ac:dyDescent="0.15">
      <c r="A12746" s="15"/>
      <c r="B12746" s="15"/>
    </row>
    <row r="12747" spans="1:2" x14ac:dyDescent="0.15">
      <c r="A12747" s="15"/>
      <c r="B12747" s="15"/>
    </row>
    <row r="12748" spans="1:2" x14ac:dyDescent="0.15">
      <c r="A12748" s="15"/>
      <c r="B12748" s="15"/>
    </row>
    <row r="12749" spans="1:2" x14ac:dyDescent="0.15">
      <c r="A12749" s="15"/>
      <c r="B12749" s="15"/>
    </row>
    <row r="12750" spans="1:2" x14ac:dyDescent="0.15">
      <c r="A12750" s="15"/>
      <c r="B12750" s="15"/>
    </row>
    <row r="12751" spans="1:2" x14ac:dyDescent="0.15">
      <c r="A12751" s="15"/>
      <c r="B12751" s="15"/>
    </row>
    <row r="12752" spans="1:2" x14ac:dyDescent="0.15">
      <c r="A12752" s="15"/>
      <c r="B12752" s="15"/>
    </row>
    <row r="12753" spans="1:2" x14ac:dyDescent="0.15">
      <c r="A12753" s="15"/>
      <c r="B12753" s="15"/>
    </row>
    <row r="12754" spans="1:2" x14ac:dyDescent="0.15">
      <c r="A12754" s="15"/>
      <c r="B12754" s="15"/>
    </row>
    <row r="12755" spans="1:2" x14ac:dyDescent="0.15">
      <c r="A12755" s="15"/>
      <c r="B12755" s="15"/>
    </row>
    <row r="12756" spans="1:2" x14ac:dyDescent="0.15">
      <c r="A12756" s="15"/>
      <c r="B12756" s="15"/>
    </row>
    <row r="12757" spans="1:2" x14ac:dyDescent="0.15">
      <c r="A12757" s="15"/>
      <c r="B12757" s="15"/>
    </row>
    <row r="12758" spans="1:2" x14ac:dyDescent="0.15">
      <c r="A12758" s="15"/>
      <c r="B12758" s="15"/>
    </row>
    <row r="12759" spans="1:2" x14ac:dyDescent="0.15">
      <c r="A12759" s="15"/>
      <c r="B12759" s="15"/>
    </row>
    <row r="12760" spans="1:2" x14ac:dyDescent="0.15">
      <c r="A12760" s="15"/>
      <c r="B12760" s="15"/>
    </row>
    <row r="12761" spans="1:2" x14ac:dyDescent="0.15">
      <c r="A12761" s="15"/>
      <c r="B12761" s="15"/>
    </row>
    <row r="12762" spans="1:2" x14ac:dyDescent="0.15">
      <c r="A12762" s="15"/>
      <c r="B12762" s="15"/>
    </row>
    <row r="12763" spans="1:2" x14ac:dyDescent="0.15">
      <c r="A12763" s="15"/>
      <c r="B12763" s="15"/>
    </row>
    <row r="12764" spans="1:2" x14ac:dyDescent="0.15">
      <c r="A12764" s="15"/>
      <c r="B12764" s="15"/>
    </row>
    <row r="12765" spans="1:2" x14ac:dyDescent="0.15">
      <c r="A12765" s="15"/>
      <c r="B12765" s="15"/>
    </row>
    <row r="12766" spans="1:2" x14ac:dyDescent="0.15">
      <c r="A12766" s="15"/>
      <c r="B12766" s="15"/>
    </row>
    <row r="12767" spans="1:2" x14ac:dyDescent="0.15">
      <c r="A12767" s="15"/>
      <c r="B12767" s="15"/>
    </row>
    <row r="12768" spans="1:2" x14ac:dyDescent="0.15">
      <c r="A12768" s="15"/>
      <c r="B12768" s="15"/>
    </row>
    <row r="12769" spans="1:2" x14ac:dyDescent="0.15">
      <c r="A12769" s="15"/>
      <c r="B12769" s="15"/>
    </row>
    <row r="12770" spans="1:2" x14ac:dyDescent="0.15">
      <c r="A12770" s="15"/>
      <c r="B12770" s="15"/>
    </row>
    <row r="12771" spans="1:2" x14ac:dyDescent="0.15">
      <c r="A12771" s="15"/>
      <c r="B12771" s="15"/>
    </row>
    <row r="12772" spans="1:2" x14ac:dyDescent="0.15">
      <c r="A12772" s="15"/>
      <c r="B12772" s="15"/>
    </row>
    <row r="12773" spans="1:2" x14ac:dyDescent="0.15">
      <c r="A12773" s="15"/>
      <c r="B12773" s="15"/>
    </row>
    <row r="12774" spans="1:2" x14ac:dyDescent="0.15">
      <c r="A12774" s="15"/>
      <c r="B12774" s="15"/>
    </row>
    <row r="12775" spans="1:2" x14ac:dyDescent="0.15">
      <c r="A12775" s="15"/>
      <c r="B12775" s="15"/>
    </row>
    <row r="12776" spans="1:2" x14ac:dyDescent="0.15">
      <c r="A12776" s="15"/>
      <c r="B12776" s="15"/>
    </row>
    <row r="12777" spans="1:2" x14ac:dyDescent="0.15">
      <c r="A12777" s="15"/>
      <c r="B12777" s="15"/>
    </row>
    <row r="12778" spans="1:2" x14ac:dyDescent="0.15">
      <c r="A12778" s="15"/>
      <c r="B12778" s="15"/>
    </row>
    <row r="12779" spans="1:2" x14ac:dyDescent="0.15">
      <c r="A12779" s="15"/>
      <c r="B12779" s="15"/>
    </row>
    <row r="12780" spans="1:2" x14ac:dyDescent="0.15">
      <c r="A12780" s="15"/>
      <c r="B12780" s="15"/>
    </row>
    <row r="12781" spans="1:2" x14ac:dyDescent="0.15">
      <c r="A12781" s="15"/>
      <c r="B12781" s="15"/>
    </row>
    <row r="12782" spans="1:2" x14ac:dyDescent="0.15">
      <c r="A12782" s="15"/>
      <c r="B12782" s="15"/>
    </row>
    <row r="12783" spans="1:2" x14ac:dyDescent="0.15">
      <c r="A12783" s="15"/>
      <c r="B12783" s="15"/>
    </row>
    <row r="12784" spans="1:2" x14ac:dyDescent="0.15">
      <c r="A12784" s="15"/>
      <c r="B12784" s="15"/>
    </row>
    <row r="12785" spans="1:2" x14ac:dyDescent="0.15">
      <c r="A12785" s="15"/>
      <c r="B12785" s="15"/>
    </row>
    <row r="12786" spans="1:2" x14ac:dyDescent="0.15">
      <c r="A12786" s="15"/>
      <c r="B12786" s="15"/>
    </row>
    <row r="12787" spans="1:2" x14ac:dyDescent="0.15">
      <c r="A12787" s="15"/>
      <c r="B12787" s="15"/>
    </row>
    <row r="12788" spans="1:2" x14ac:dyDescent="0.15">
      <c r="A12788" s="15"/>
      <c r="B12788" s="15"/>
    </row>
    <row r="12789" spans="1:2" x14ac:dyDescent="0.15">
      <c r="A12789" s="15"/>
      <c r="B12789" s="15"/>
    </row>
    <row r="12790" spans="1:2" x14ac:dyDescent="0.15">
      <c r="A12790" s="15"/>
      <c r="B12790" s="15"/>
    </row>
    <row r="12791" spans="1:2" x14ac:dyDescent="0.15">
      <c r="A12791" s="15"/>
      <c r="B12791" s="15"/>
    </row>
    <row r="12792" spans="1:2" x14ac:dyDescent="0.15">
      <c r="A12792" s="15"/>
      <c r="B12792" s="15"/>
    </row>
    <row r="12793" spans="1:2" x14ac:dyDescent="0.15">
      <c r="A12793" s="15"/>
      <c r="B12793" s="15"/>
    </row>
    <row r="12794" spans="1:2" x14ac:dyDescent="0.15">
      <c r="A12794" s="15"/>
      <c r="B12794" s="15"/>
    </row>
    <row r="12795" spans="1:2" x14ac:dyDescent="0.15">
      <c r="A12795" s="15"/>
      <c r="B12795" s="15"/>
    </row>
    <row r="12796" spans="1:2" x14ac:dyDescent="0.15">
      <c r="A12796" s="15"/>
      <c r="B12796" s="15"/>
    </row>
    <row r="12797" spans="1:2" x14ac:dyDescent="0.15">
      <c r="A12797" s="15"/>
      <c r="B12797" s="15"/>
    </row>
    <row r="12798" spans="1:2" x14ac:dyDescent="0.15">
      <c r="A12798" s="15"/>
      <c r="B12798" s="15"/>
    </row>
    <row r="12799" spans="1:2" x14ac:dyDescent="0.15">
      <c r="A12799" s="15"/>
      <c r="B12799" s="15"/>
    </row>
    <row r="12800" spans="1:2" x14ac:dyDescent="0.15">
      <c r="A12800" s="15"/>
      <c r="B12800" s="15"/>
    </row>
    <row r="12801" spans="1:2" x14ac:dyDescent="0.15">
      <c r="A12801" s="15"/>
      <c r="B12801" s="15"/>
    </row>
    <row r="12802" spans="1:2" x14ac:dyDescent="0.15">
      <c r="A12802" s="15"/>
      <c r="B12802" s="15"/>
    </row>
    <row r="12803" spans="1:2" x14ac:dyDescent="0.15">
      <c r="A12803" s="15"/>
      <c r="B12803" s="15"/>
    </row>
    <row r="12804" spans="1:2" x14ac:dyDescent="0.15">
      <c r="A12804" s="15"/>
      <c r="B12804" s="15"/>
    </row>
    <row r="12805" spans="1:2" x14ac:dyDescent="0.15">
      <c r="A12805" s="15"/>
      <c r="B12805" s="15"/>
    </row>
    <row r="12806" spans="1:2" x14ac:dyDescent="0.15">
      <c r="A12806" s="15"/>
      <c r="B12806" s="15"/>
    </row>
    <row r="12807" spans="1:2" x14ac:dyDescent="0.15">
      <c r="A12807" s="15"/>
      <c r="B12807" s="15"/>
    </row>
    <row r="12808" spans="1:2" x14ac:dyDescent="0.15">
      <c r="A12808" s="15"/>
      <c r="B12808" s="15"/>
    </row>
    <row r="12809" spans="1:2" x14ac:dyDescent="0.15">
      <c r="A12809" s="15"/>
      <c r="B12809" s="15"/>
    </row>
    <row r="12810" spans="1:2" x14ac:dyDescent="0.15">
      <c r="A12810" s="15"/>
      <c r="B12810" s="15"/>
    </row>
    <row r="12811" spans="1:2" x14ac:dyDescent="0.15">
      <c r="A12811" s="15"/>
      <c r="B12811" s="15"/>
    </row>
    <row r="12812" spans="1:2" x14ac:dyDescent="0.15">
      <c r="A12812" s="15"/>
      <c r="B12812" s="15"/>
    </row>
    <row r="12813" spans="1:2" x14ac:dyDescent="0.15">
      <c r="A12813" s="15"/>
      <c r="B12813" s="15"/>
    </row>
    <row r="12814" spans="1:2" x14ac:dyDescent="0.15">
      <c r="A12814" s="15"/>
      <c r="B12814" s="15"/>
    </row>
    <row r="12815" spans="1:2" x14ac:dyDescent="0.15">
      <c r="A12815" s="15"/>
      <c r="B12815" s="15"/>
    </row>
    <row r="12816" spans="1:2" x14ac:dyDescent="0.15">
      <c r="A12816" s="15"/>
      <c r="B12816" s="15"/>
    </row>
    <row r="12817" spans="1:2" x14ac:dyDescent="0.15">
      <c r="A12817" s="15"/>
      <c r="B12817" s="15"/>
    </row>
    <row r="12818" spans="1:2" x14ac:dyDescent="0.15">
      <c r="A12818" s="15"/>
      <c r="B12818" s="15"/>
    </row>
    <row r="12819" spans="1:2" x14ac:dyDescent="0.15">
      <c r="A12819" s="15"/>
      <c r="B12819" s="15"/>
    </row>
    <row r="12820" spans="1:2" x14ac:dyDescent="0.15">
      <c r="A12820" s="15"/>
      <c r="B12820" s="15"/>
    </row>
    <row r="12821" spans="1:2" x14ac:dyDescent="0.15">
      <c r="A12821" s="15"/>
      <c r="B12821" s="15"/>
    </row>
    <row r="12822" spans="1:2" x14ac:dyDescent="0.15">
      <c r="A12822" s="15"/>
      <c r="B12822" s="15"/>
    </row>
    <row r="12823" spans="1:2" x14ac:dyDescent="0.15">
      <c r="A12823" s="15"/>
      <c r="B12823" s="15"/>
    </row>
    <row r="12824" spans="1:2" x14ac:dyDescent="0.15">
      <c r="A12824" s="15"/>
      <c r="B12824" s="15"/>
    </row>
    <row r="12825" spans="1:2" x14ac:dyDescent="0.15">
      <c r="A12825" s="15"/>
      <c r="B12825" s="15"/>
    </row>
    <row r="12826" spans="1:2" x14ac:dyDescent="0.15">
      <c r="A12826" s="15"/>
      <c r="B12826" s="15"/>
    </row>
    <row r="12827" spans="1:2" x14ac:dyDescent="0.15">
      <c r="A12827" s="15"/>
      <c r="B12827" s="15"/>
    </row>
    <row r="12828" spans="1:2" x14ac:dyDescent="0.15">
      <c r="A12828" s="15"/>
      <c r="B12828" s="15"/>
    </row>
    <row r="12829" spans="1:2" x14ac:dyDescent="0.15">
      <c r="A12829" s="15"/>
      <c r="B12829" s="15"/>
    </row>
    <row r="12830" spans="1:2" x14ac:dyDescent="0.15">
      <c r="A12830" s="15"/>
      <c r="B12830" s="15"/>
    </row>
    <row r="12831" spans="1:2" x14ac:dyDescent="0.15">
      <c r="A12831" s="15"/>
      <c r="B12831" s="15"/>
    </row>
    <row r="12832" spans="1:2" x14ac:dyDescent="0.15">
      <c r="A12832" s="15"/>
      <c r="B12832" s="15"/>
    </row>
    <row r="12833" spans="1:2" x14ac:dyDescent="0.15">
      <c r="A12833" s="15"/>
      <c r="B12833" s="15"/>
    </row>
    <row r="12834" spans="1:2" x14ac:dyDescent="0.15">
      <c r="A12834" s="15"/>
      <c r="B12834" s="15"/>
    </row>
    <row r="12835" spans="1:2" x14ac:dyDescent="0.15">
      <c r="A12835" s="15"/>
      <c r="B12835" s="15"/>
    </row>
    <row r="12836" spans="1:2" x14ac:dyDescent="0.15">
      <c r="A12836" s="15"/>
      <c r="B12836" s="15"/>
    </row>
    <row r="12837" spans="1:2" x14ac:dyDescent="0.15">
      <c r="A12837" s="15"/>
      <c r="B12837" s="15"/>
    </row>
    <row r="12838" spans="1:2" x14ac:dyDescent="0.15">
      <c r="A12838" s="15"/>
      <c r="B12838" s="15"/>
    </row>
    <row r="12839" spans="1:2" x14ac:dyDescent="0.15">
      <c r="A12839" s="15"/>
      <c r="B12839" s="15"/>
    </row>
    <row r="12840" spans="1:2" x14ac:dyDescent="0.15">
      <c r="A12840" s="15"/>
      <c r="B12840" s="15"/>
    </row>
    <row r="12841" spans="1:2" x14ac:dyDescent="0.15">
      <c r="A12841" s="15"/>
      <c r="B12841" s="15"/>
    </row>
    <row r="12842" spans="1:2" x14ac:dyDescent="0.15">
      <c r="A12842" s="15"/>
      <c r="B12842" s="15"/>
    </row>
    <row r="12843" spans="1:2" x14ac:dyDescent="0.15">
      <c r="A12843" s="15"/>
      <c r="B12843" s="15"/>
    </row>
    <row r="12844" spans="1:2" x14ac:dyDescent="0.15">
      <c r="A12844" s="15"/>
      <c r="B12844" s="15"/>
    </row>
    <row r="12845" spans="1:2" x14ac:dyDescent="0.15">
      <c r="A12845" s="15"/>
      <c r="B12845" s="15"/>
    </row>
    <row r="12846" spans="1:2" x14ac:dyDescent="0.15">
      <c r="A12846" s="15"/>
      <c r="B12846" s="15"/>
    </row>
    <row r="12847" spans="1:2" x14ac:dyDescent="0.15">
      <c r="A12847" s="15"/>
      <c r="B12847" s="15"/>
    </row>
    <row r="12848" spans="1:2" x14ac:dyDescent="0.15">
      <c r="A12848" s="15"/>
      <c r="B12848" s="15"/>
    </row>
    <row r="12849" spans="1:2" x14ac:dyDescent="0.15">
      <c r="A12849" s="15"/>
      <c r="B12849" s="15"/>
    </row>
    <row r="12850" spans="1:2" x14ac:dyDescent="0.15">
      <c r="A12850" s="15"/>
      <c r="B12850" s="15"/>
    </row>
    <row r="12851" spans="1:2" x14ac:dyDescent="0.15">
      <c r="A12851" s="15"/>
      <c r="B12851" s="15"/>
    </row>
    <row r="12852" spans="1:2" x14ac:dyDescent="0.15">
      <c r="A12852" s="15"/>
      <c r="B12852" s="15"/>
    </row>
    <row r="12853" spans="1:2" x14ac:dyDescent="0.15">
      <c r="A12853" s="15"/>
      <c r="B12853" s="15"/>
    </row>
    <row r="12854" spans="1:2" x14ac:dyDescent="0.15">
      <c r="A12854" s="15"/>
      <c r="B12854" s="15"/>
    </row>
    <row r="12855" spans="1:2" x14ac:dyDescent="0.15">
      <c r="A12855" s="15"/>
      <c r="B12855" s="15"/>
    </row>
    <row r="12856" spans="1:2" x14ac:dyDescent="0.15">
      <c r="A12856" s="15"/>
      <c r="B12856" s="15"/>
    </row>
    <row r="12857" spans="1:2" x14ac:dyDescent="0.15">
      <c r="A12857" s="15"/>
      <c r="B12857" s="15"/>
    </row>
    <row r="12858" spans="1:2" x14ac:dyDescent="0.15">
      <c r="A12858" s="15"/>
      <c r="B12858" s="15"/>
    </row>
    <row r="12859" spans="1:2" x14ac:dyDescent="0.15">
      <c r="A12859" s="15"/>
      <c r="B12859" s="15"/>
    </row>
    <row r="12860" spans="1:2" x14ac:dyDescent="0.15">
      <c r="A12860" s="15"/>
      <c r="B12860" s="15"/>
    </row>
    <row r="12861" spans="1:2" x14ac:dyDescent="0.15">
      <c r="A12861" s="15"/>
      <c r="B12861" s="15"/>
    </row>
    <row r="12862" spans="1:2" x14ac:dyDescent="0.15">
      <c r="A12862" s="15"/>
      <c r="B12862" s="15"/>
    </row>
    <row r="12863" spans="1:2" x14ac:dyDescent="0.15">
      <c r="A12863" s="15"/>
      <c r="B12863" s="15"/>
    </row>
    <row r="12864" spans="1:2" x14ac:dyDescent="0.15">
      <c r="A12864" s="15"/>
      <c r="B12864" s="15"/>
    </row>
    <row r="12865" spans="1:2" x14ac:dyDescent="0.15">
      <c r="A12865" s="15"/>
      <c r="B12865" s="15"/>
    </row>
    <row r="12866" spans="1:2" x14ac:dyDescent="0.15">
      <c r="A12866" s="15"/>
      <c r="B12866" s="15"/>
    </row>
    <row r="12867" spans="1:2" x14ac:dyDescent="0.15">
      <c r="A12867" s="15"/>
      <c r="B12867" s="15"/>
    </row>
    <row r="12868" spans="1:2" x14ac:dyDescent="0.15">
      <c r="A12868" s="15"/>
      <c r="B12868" s="15"/>
    </row>
    <row r="12869" spans="1:2" x14ac:dyDescent="0.15">
      <c r="A12869" s="15"/>
      <c r="B12869" s="15"/>
    </row>
    <row r="12870" spans="1:2" x14ac:dyDescent="0.15">
      <c r="A12870" s="15"/>
      <c r="B12870" s="15"/>
    </row>
    <row r="12871" spans="1:2" x14ac:dyDescent="0.15">
      <c r="A12871" s="15"/>
      <c r="B12871" s="15"/>
    </row>
    <row r="12872" spans="1:2" x14ac:dyDescent="0.15">
      <c r="A12872" s="15"/>
      <c r="B12872" s="15"/>
    </row>
    <row r="12873" spans="1:2" x14ac:dyDescent="0.15">
      <c r="A12873" s="15"/>
      <c r="B12873" s="15"/>
    </row>
    <row r="12874" spans="1:2" x14ac:dyDescent="0.15">
      <c r="A12874" s="15"/>
      <c r="B12874" s="15"/>
    </row>
    <row r="12875" spans="1:2" x14ac:dyDescent="0.15">
      <c r="A12875" s="15"/>
      <c r="B12875" s="15"/>
    </row>
    <row r="12876" spans="1:2" x14ac:dyDescent="0.15">
      <c r="A12876" s="15"/>
      <c r="B12876" s="15"/>
    </row>
    <row r="12877" spans="1:2" x14ac:dyDescent="0.15">
      <c r="A12877" s="15"/>
      <c r="B12877" s="15"/>
    </row>
    <row r="12878" spans="1:2" x14ac:dyDescent="0.15">
      <c r="A12878" s="15"/>
      <c r="B12878" s="15"/>
    </row>
    <row r="12879" spans="1:2" x14ac:dyDescent="0.15">
      <c r="A12879" s="15"/>
      <c r="B12879" s="15"/>
    </row>
    <row r="12880" spans="1:2" x14ac:dyDescent="0.15">
      <c r="A12880" s="15"/>
      <c r="B12880" s="15"/>
    </row>
    <row r="12881" spans="1:2" x14ac:dyDescent="0.15">
      <c r="A12881" s="15"/>
      <c r="B12881" s="15"/>
    </row>
    <row r="12882" spans="1:2" x14ac:dyDescent="0.15">
      <c r="A12882" s="15"/>
      <c r="B12882" s="15"/>
    </row>
    <row r="12883" spans="1:2" x14ac:dyDescent="0.15">
      <c r="A12883" s="15"/>
      <c r="B12883" s="15"/>
    </row>
    <row r="12884" spans="1:2" x14ac:dyDescent="0.15">
      <c r="A12884" s="15"/>
      <c r="B12884" s="15"/>
    </row>
    <row r="12885" spans="1:2" x14ac:dyDescent="0.15">
      <c r="A12885" s="15"/>
      <c r="B12885" s="15"/>
    </row>
    <row r="12886" spans="1:2" x14ac:dyDescent="0.15">
      <c r="A12886" s="15"/>
      <c r="B12886" s="15"/>
    </row>
    <row r="12887" spans="1:2" x14ac:dyDescent="0.15">
      <c r="A12887" s="15"/>
      <c r="B12887" s="15"/>
    </row>
    <row r="12888" spans="1:2" x14ac:dyDescent="0.15">
      <c r="A12888" s="15"/>
      <c r="B12888" s="15"/>
    </row>
    <row r="12889" spans="1:2" x14ac:dyDescent="0.15">
      <c r="A12889" s="15"/>
      <c r="B12889" s="15"/>
    </row>
    <row r="12890" spans="1:2" x14ac:dyDescent="0.15">
      <c r="A12890" s="15"/>
      <c r="B12890" s="15"/>
    </row>
    <row r="12891" spans="1:2" x14ac:dyDescent="0.15">
      <c r="A12891" s="15"/>
      <c r="B12891" s="15"/>
    </row>
    <row r="12892" spans="1:2" x14ac:dyDescent="0.15">
      <c r="A12892" s="15"/>
      <c r="B12892" s="15"/>
    </row>
    <row r="12893" spans="1:2" x14ac:dyDescent="0.15">
      <c r="A12893" s="15"/>
      <c r="B12893" s="15"/>
    </row>
    <row r="12894" spans="1:2" x14ac:dyDescent="0.15">
      <c r="A12894" s="15"/>
      <c r="B12894" s="15"/>
    </row>
    <row r="12895" spans="1:2" x14ac:dyDescent="0.15">
      <c r="A12895" s="15"/>
      <c r="B12895" s="15"/>
    </row>
    <row r="12896" spans="1:2" x14ac:dyDescent="0.15">
      <c r="A12896" s="15"/>
      <c r="B12896" s="15"/>
    </row>
    <row r="12897" spans="1:2" x14ac:dyDescent="0.15">
      <c r="A12897" s="15"/>
      <c r="B12897" s="15"/>
    </row>
    <row r="12898" spans="1:2" x14ac:dyDescent="0.15">
      <c r="A12898" s="15"/>
      <c r="B12898" s="15"/>
    </row>
    <row r="12899" spans="1:2" x14ac:dyDescent="0.15">
      <c r="A12899" s="15"/>
      <c r="B12899" s="15"/>
    </row>
    <row r="12900" spans="1:2" x14ac:dyDescent="0.15">
      <c r="A12900" s="15"/>
      <c r="B12900" s="15"/>
    </row>
    <row r="12901" spans="1:2" x14ac:dyDescent="0.15">
      <c r="A12901" s="15"/>
      <c r="B12901" s="15"/>
    </row>
    <row r="12902" spans="1:2" x14ac:dyDescent="0.15">
      <c r="A12902" s="15"/>
      <c r="B12902" s="15"/>
    </row>
    <row r="12903" spans="1:2" x14ac:dyDescent="0.15">
      <c r="A12903" s="15"/>
      <c r="B12903" s="15"/>
    </row>
    <row r="12904" spans="1:2" x14ac:dyDescent="0.15">
      <c r="A12904" s="15"/>
      <c r="B12904" s="15"/>
    </row>
    <row r="12905" spans="1:2" x14ac:dyDescent="0.15">
      <c r="A12905" s="15"/>
      <c r="B12905" s="15"/>
    </row>
    <row r="12906" spans="1:2" x14ac:dyDescent="0.15">
      <c r="A12906" s="15"/>
      <c r="B12906" s="15"/>
    </row>
    <row r="12907" spans="1:2" x14ac:dyDescent="0.15">
      <c r="A12907" s="15"/>
      <c r="B12907" s="15"/>
    </row>
    <row r="12908" spans="1:2" x14ac:dyDescent="0.15">
      <c r="A12908" s="15"/>
      <c r="B12908" s="15"/>
    </row>
    <row r="12909" spans="1:2" x14ac:dyDescent="0.15">
      <c r="A12909" s="15"/>
      <c r="B12909" s="15"/>
    </row>
    <row r="12910" spans="1:2" x14ac:dyDescent="0.15">
      <c r="A12910" s="15"/>
      <c r="B12910" s="15"/>
    </row>
    <row r="12911" spans="1:2" x14ac:dyDescent="0.15">
      <c r="A12911" s="15"/>
      <c r="B12911" s="15"/>
    </row>
    <row r="12912" spans="1:2" x14ac:dyDescent="0.15">
      <c r="A12912" s="15"/>
      <c r="B12912" s="15"/>
    </row>
    <row r="12913" spans="1:2" x14ac:dyDescent="0.15">
      <c r="A12913" s="15"/>
      <c r="B12913" s="15"/>
    </row>
    <row r="12914" spans="1:2" x14ac:dyDescent="0.15">
      <c r="A12914" s="15"/>
      <c r="B12914" s="15"/>
    </row>
    <row r="12915" spans="1:2" x14ac:dyDescent="0.15">
      <c r="A12915" s="15"/>
      <c r="B12915" s="15"/>
    </row>
    <row r="12916" spans="1:2" x14ac:dyDescent="0.15">
      <c r="A12916" s="15"/>
      <c r="B12916" s="15"/>
    </row>
    <row r="12917" spans="1:2" x14ac:dyDescent="0.15">
      <c r="A12917" s="15"/>
      <c r="B12917" s="15"/>
    </row>
    <row r="12918" spans="1:2" x14ac:dyDescent="0.15">
      <c r="A12918" s="15"/>
      <c r="B12918" s="15"/>
    </row>
    <row r="12919" spans="1:2" x14ac:dyDescent="0.15">
      <c r="A12919" s="15"/>
      <c r="B12919" s="15"/>
    </row>
    <row r="12920" spans="1:2" x14ac:dyDescent="0.15">
      <c r="A12920" s="15"/>
      <c r="B12920" s="15"/>
    </row>
    <row r="12921" spans="1:2" x14ac:dyDescent="0.15">
      <c r="A12921" s="15"/>
      <c r="B12921" s="15"/>
    </row>
    <row r="12922" spans="1:2" x14ac:dyDescent="0.15">
      <c r="A12922" s="15"/>
      <c r="B12922" s="15"/>
    </row>
    <row r="12923" spans="1:2" x14ac:dyDescent="0.15">
      <c r="A12923" s="15"/>
      <c r="B12923" s="15"/>
    </row>
    <row r="12924" spans="1:2" x14ac:dyDescent="0.15">
      <c r="A12924" s="15"/>
      <c r="B12924" s="15"/>
    </row>
    <row r="12925" spans="1:2" x14ac:dyDescent="0.15">
      <c r="A12925" s="15"/>
      <c r="B12925" s="15"/>
    </row>
    <row r="12926" spans="1:2" x14ac:dyDescent="0.15">
      <c r="A12926" s="15"/>
      <c r="B12926" s="15"/>
    </row>
    <row r="12927" spans="1:2" x14ac:dyDescent="0.15">
      <c r="A12927" s="15"/>
      <c r="B12927" s="15"/>
    </row>
    <row r="12928" spans="1:2" x14ac:dyDescent="0.15">
      <c r="A12928" s="15"/>
      <c r="B12928" s="15"/>
    </row>
    <row r="12929" spans="1:2" x14ac:dyDescent="0.15">
      <c r="A12929" s="15"/>
      <c r="B12929" s="15"/>
    </row>
    <row r="12930" spans="1:2" x14ac:dyDescent="0.15">
      <c r="A12930" s="15"/>
      <c r="B12930" s="15"/>
    </row>
    <row r="12931" spans="1:2" x14ac:dyDescent="0.15">
      <c r="A12931" s="15"/>
      <c r="B12931" s="15"/>
    </row>
    <row r="12932" spans="1:2" x14ac:dyDescent="0.15">
      <c r="A12932" s="15"/>
      <c r="B12932" s="15"/>
    </row>
    <row r="12933" spans="1:2" x14ac:dyDescent="0.15">
      <c r="A12933" s="15"/>
      <c r="B12933" s="15"/>
    </row>
    <row r="12934" spans="1:2" x14ac:dyDescent="0.15">
      <c r="A12934" s="15"/>
      <c r="B12934" s="15"/>
    </row>
    <row r="12935" spans="1:2" x14ac:dyDescent="0.15">
      <c r="A12935" s="15"/>
      <c r="B12935" s="15"/>
    </row>
    <row r="12936" spans="1:2" x14ac:dyDescent="0.15">
      <c r="A12936" s="15"/>
      <c r="B12936" s="15"/>
    </row>
    <row r="12937" spans="1:2" x14ac:dyDescent="0.15">
      <c r="A12937" s="15"/>
      <c r="B12937" s="15"/>
    </row>
    <row r="12938" spans="1:2" x14ac:dyDescent="0.15">
      <c r="A12938" s="15"/>
      <c r="B12938" s="15"/>
    </row>
    <row r="12939" spans="1:2" x14ac:dyDescent="0.15">
      <c r="A12939" s="15"/>
      <c r="B12939" s="15"/>
    </row>
    <row r="12940" spans="1:2" x14ac:dyDescent="0.15">
      <c r="A12940" s="15"/>
      <c r="B12940" s="15"/>
    </row>
    <row r="12941" spans="1:2" x14ac:dyDescent="0.15">
      <c r="A12941" s="15"/>
      <c r="B12941" s="15"/>
    </row>
    <row r="12942" spans="1:2" x14ac:dyDescent="0.15">
      <c r="A12942" s="15"/>
      <c r="B12942" s="15"/>
    </row>
    <row r="12943" spans="1:2" x14ac:dyDescent="0.15">
      <c r="A12943" s="15"/>
      <c r="B12943" s="15"/>
    </row>
    <row r="12944" spans="1:2" x14ac:dyDescent="0.15">
      <c r="A12944" s="15"/>
      <c r="B12944" s="15"/>
    </row>
    <row r="12945" spans="1:2" x14ac:dyDescent="0.15">
      <c r="A12945" s="15"/>
      <c r="B12945" s="15"/>
    </row>
    <row r="12946" spans="1:2" x14ac:dyDescent="0.15">
      <c r="A12946" s="15"/>
      <c r="B12946" s="15"/>
    </row>
    <row r="12947" spans="1:2" x14ac:dyDescent="0.15">
      <c r="A12947" s="15"/>
      <c r="B12947" s="15"/>
    </row>
    <row r="12948" spans="1:2" x14ac:dyDescent="0.15">
      <c r="A12948" s="15"/>
      <c r="B12948" s="15"/>
    </row>
    <row r="12949" spans="1:2" x14ac:dyDescent="0.15">
      <c r="A12949" s="15"/>
      <c r="B12949" s="15"/>
    </row>
    <row r="12950" spans="1:2" x14ac:dyDescent="0.15">
      <c r="A12950" s="15"/>
      <c r="B12950" s="15"/>
    </row>
    <row r="12951" spans="1:2" x14ac:dyDescent="0.15">
      <c r="A12951" s="15"/>
      <c r="B12951" s="15"/>
    </row>
    <row r="12952" spans="1:2" x14ac:dyDescent="0.15">
      <c r="A12952" s="15"/>
      <c r="B12952" s="15"/>
    </row>
    <row r="12953" spans="1:2" x14ac:dyDescent="0.15">
      <c r="A12953" s="15"/>
      <c r="B12953" s="15"/>
    </row>
    <row r="12954" spans="1:2" x14ac:dyDescent="0.15">
      <c r="A12954" s="15"/>
      <c r="B12954" s="15"/>
    </row>
    <row r="12955" spans="1:2" x14ac:dyDescent="0.15">
      <c r="A12955" s="15"/>
      <c r="B12955" s="15"/>
    </row>
    <row r="12956" spans="1:2" x14ac:dyDescent="0.15">
      <c r="A12956" s="15"/>
      <c r="B12956" s="15"/>
    </row>
    <row r="12957" spans="1:2" x14ac:dyDescent="0.15">
      <c r="A12957" s="15"/>
      <c r="B12957" s="15"/>
    </row>
    <row r="12958" spans="1:2" x14ac:dyDescent="0.15">
      <c r="A12958" s="15"/>
      <c r="B12958" s="15"/>
    </row>
    <row r="12959" spans="1:2" x14ac:dyDescent="0.15">
      <c r="A12959" s="15"/>
      <c r="B12959" s="15"/>
    </row>
    <row r="12960" spans="1:2" x14ac:dyDescent="0.15">
      <c r="A12960" s="15"/>
      <c r="B12960" s="15"/>
    </row>
    <row r="12961" spans="1:2" x14ac:dyDescent="0.15">
      <c r="A12961" s="15"/>
      <c r="B12961" s="15"/>
    </row>
    <row r="12962" spans="1:2" x14ac:dyDescent="0.15">
      <c r="A12962" s="15"/>
      <c r="B12962" s="15"/>
    </row>
    <row r="12963" spans="1:2" x14ac:dyDescent="0.15">
      <c r="A12963" s="15"/>
      <c r="B12963" s="15"/>
    </row>
    <row r="12964" spans="1:2" x14ac:dyDescent="0.15">
      <c r="A12964" s="15"/>
      <c r="B12964" s="15"/>
    </row>
    <row r="12965" spans="1:2" x14ac:dyDescent="0.15">
      <c r="A12965" s="15"/>
      <c r="B12965" s="15"/>
    </row>
    <row r="12966" spans="1:2" x14ac:dyDescent="0.15">
      <c r="A12966" s="15"/>
      <c r="B12966" s="15"/>
    </row>
    <row r="12967" spans="1:2" x14ac:dyDescent="0.15">
      <c r="A12967" s="15"/>
      <c r="B12967" s="15"/>
    </row>
    <row r="12968" spans="1:2" x14ac:dyDescent="0.15">
      <c r="A12968" s="15"/>
      <c r="B12968" s="15"/>
    </row>
    <row r="12969" spans="1:2" x14ac:dyDescent="0.15">
      <c r="A12969" s="15"/>
      <c r="B12969" s="15"/>
    </row>
    <row r="12970" spans="1:2" x14ac:dyDescent="0.15">
      <c r="A12970" s="15"/>
      <c r="B12970" s="15"/>
    </row>
    <row r="12971" spans="1:2" x14ac:dyDescent="0.15">
      <c r="A12971" s="15"/>
      <c r="B12971" s="15"/>
    </row>
    <row r="12972" spans="1:2" x14ac:dyDescent="0.15">
      <c r="A12972" s="15"/>
      <c r="B12972" s="15"/>
    </row>
    <row r="12973" spans="1:2" x14ac:dyDescent="0.15">
      <c r="A12973" s="15"/>
      <c r="B12973" s="15"/>
    </row>
    <row r="12974" spans="1:2" x14ac:dyDescent="0.15">
      <c r="A12974" s="15"/>
      <c r="B12974" s="15"/>
    </row>
    <row r="12975" spans="1:2" x14ac:dyDescent="0.15">
      <c r="A12975" s="15"/>
      <c r="B12975" s="15"/>
    </row>
    <row r="12976" spans="1:2" x14ac:dyDescent="0.15">
      <c r="A12976" s="15"/>
      <c r="B12976" s="15"/>
    </row>
    <row r="12977" spans="1:2" x14ac:dyDescent="0.15">
      <c r="A12977" s="15"/>
      <c r="B12977" s="15"/>
    </row>
    <row r="12978" spans="1:2" x14ac:dyDescent="0.15">
      <c r="A12978" s="15"/>
      <c r="B12978" s="15"/>
    </row>
    <row r="12979" spans="1:2" x14ac:dyDescent="0.15">
      <c r="A12979" s="15"/>
      <c r="B12979" s="15"/>
    </row>
    <row r="12980" spans="1:2" x14ac:dyDescent="0.15">
      <c r="A12980" s="15"/>
      <c r="B12980" s="15"/>
    </row>
    <row r="12981" spans="1:2" x14ac:dyDescent="0.15">
      <c r="A12981" s="15"/>
      <c r="B12981" s="15"/>
    </row>
    <row r="12982" spans="1:2" x14ac:dyDescent="0.15">
      <c r="A12982" s="15"/>
      <c r="B12982" s="15"/>
    </row>
    <row r="12983" spans="1:2" x14ac:dyDescent="0.15">
      <c r="A12983" s="15"/>
      <c r="B12983" s="15"/>
    </row>
    <row r="12984" spans="1:2" x14ac:dyDescent="0.15">
      <c r="A12984" s="15"/>
      <c r="B12984" s="15"/>
    </row>
    <row r="12985" spans="1:2" x14ac:dyDescent="0.15">
      <c r="A12985" s="15"/>
      <c r="B12985" s="15"/>
    </row>
    <row r="12986" spans="1:2" x14ac:dyDescent="0.15">
      <c r="A12986" s="15"/>
      <c r="B12986" s="15"/>
    </row>
    <row r="12987" spans="1:2" x14ac:dyDescent="0.15">
      <c r="A12987" s="15"/>
      <c r="B12987" s="15"/>
    </row>
    <row r="12988" spans="1:2" x14ac:dyDescent="0.15">
      <c r="A12988" s="15"/>
      <c r="B12988" s="15"/>
    </row>
    <row r="12989" spans="1:2" x14ac:dyDescent="0.15">
      <c r="A12989" s="15"/>
      <c r="B12989" s="15"/>
    </row>
    <row r="12990" spans="1:2" x14ac:dyDescent="0.15">
      <c r="A12990" s="15"/>
      <c r="B12990" s="15"/>
    </row>
    <row r="12991" spans="1:2" x14ac:dyDescent="0.15">
      <c r="A12991" s="15"/>
      <c r="B12991" s="15"/>
    </row>
    <row r="12992" spans="1:2" x14ac:dyDescent="0.15">
      <c r="A12992" s="15"/>
      <c r="B12992" s="15"/>
    </row>
    <row r="12993" spans="1:2" x14ac:dyDescent="0.15">
      <c r="A12993" s="15"/>
      <c r="B12993" s="15"/>
    </row>
    <row r="12994" spans="1:2" x14ac:dyDescent="0.15">
      <c r="A12994" s="15"/>
      <c r="B12994" s="15"/>
    </row>
    <row r="12995" spans="1:2" x14ac:dyDescent="0.15">
      <c r="A12995" s="15"/>
      <c r="B12995" s="15"/>
    </row>
    <row r="12996" spans="1:2" x14ac:dyDescent="0.15">
      <c r="A12996" s="15"/>
      <c r="B12996" s="15"/>
    </row>
    <row r="12997" spans="1:2" x14ac:dyDescent="0.15">
      <c r="A12997" s="15"/>
      <c r="B12997" s="15"/>
    </row>
    <row r="12998" spans="1:2" x14ac:dyDescent="0.15">
      <c r="A12998" s="15"/>
      <c r="B12998" s="15"/>
    </row>
    <row r="12999" spans="1:2" x14ac:dyDescent="0.15">
      <c r="A12999" s="15"/>
      <c r="B12999" s="15"/>
    </row>
    <row r="13000" spans="1:2" x14ac:dyDescent="0.15">
      <c r="A13000" s="15"/>
      <c r="B13000" s="15"/>
    </row>
    <row r="13001" spans="1:2" x14ac:dyDescent="0.15">
      <c r="A13001" s="15"/>
      <c r="B13001" s="15"/>
    </row>
    <row r="13002" spans="1:2" x14ac:dyDescent="0.15">
      <c r="A13002" s="15"/>
      <c r="B13002" s="15"/>
    </row>
    <row r="13003" spans="1:2" x14ac:dyDescent="0.15">
      <c r="A13003" s="15"/>
      <c r="B13003" s="15"/>
    </row>
    <row r="13004" spans="1:2" x14ac:dyDescent="0.15">
      <c r="A13004" s="15"/>
      <c r="B13004" s="15"/>
    </row>
    <row r="13005" spans="1:2" x14ac:dyDescent="0.15">
      <c r="A13005" s="15"/>
      <c r="B13005" s="15"/>
    </row>
    <row r="13006" spans="1:2" x14ac:dyDescent="0.15">
      <c r="A13006" s="15"/>
      <c r="B13006" s="15"/>
    </row>
    <row r="13007" spans="1:2" x14ac:dyDescent="0.15">
      <c r="A13007" s="15"/>
      <c r="B13007" s="15"/>
    </row>
    <row r="13008" spans="1:2" x14ac:dyDescent="0.15">
      <c r="A13008" s="15"/>
      <c r="B13008" s="15"/>
    </row>
    <row r="13009" spans="1:2" x14ac:dyDescent="0.15">
      <c r="A13009" s="15"/>
      <c r="B13009" s="15"/>
    </row>
    <row r="13010" spans="1:2" x14ac:dyDescent="0.15">
      <c r="A13010" s="15"/>
      <c r="B13010" s="15"/>
    </row>
    <row r="13011" spans="1:2" x14ac:dyDescent="0.15">
      <c r="A13011" s="15"/>
      <c r="B13011" s="15"/>
    </row>
    <row r="13012" spans="1:2" x14ac:dyDescent="0.15">
      <c r="A13012" s="15"/>
      <c r="B13012" s="15"/>
    </row>
    <row r="13013" spans="1:2" x14ac:dyDescent="0.15">
      <c r="A13013" s="15"/>
      <c r="B13013" s="15"/>
    </row>
    <row r="13014" spans="1:2" x14ac:dyDescent="0.15">
      <c r="A13014" s="15"/>
      <c r="B13014" s="15"/>
    </row>
    <row r="13015" spans="1:2" x14ac:dyDescent="0.15">
      <c r="A13015" s="15"/>
      <c r="B13015" s="15"/>
    </row>
    <row r="13016" spans="1:2" x14ac:dyDescent="0.15">
      <c r="A13016" s="15"/>
      <c r="B13016" s="15"/>
    </row>
    <row r="13017" spans="1:2" x14ac:dyDescent="0.15">
      <c r="A13017" s="15"/>
      <c r="B13017" s="15"/>
    </row>
    <row r="13018" spans="1:2" x14ac:dyDescent="0.15">
      <c r="A13018" s="15"/>
      <c r="B13018" s="15"/>
    </row>
    <row r="13019" spans="1:2" x14ac:dyDescent="0.15">
      <c r="A13019" s="15"/>
      <c r="B13019" s="15"/>
    </row>
    <row r="13020" spans="1:2" x14ac:dyDescent="0.15">
      <c r="A13020" s="15"/>
      <c r="B13020" s="15"/>
    </row>
    <row r="13021" spans="1:2" x14ac:dyDescent="0.15">
      <c r="A13021" s="15"/>
      <c r="B13021" s="15"/>
    </row>
    <row r="13022" spans="1:2" x14ac:dyDescent="0.15">
      <c r="A13022" s="15"/>
      <c r="B13022" s="15"/>
    </row>
    <row r="13023" spans="1:2" x14ac:dyDescent="0.15">
      <c r="A13023" s="15"/>
      <c r="B13023" s="15"/>
    </row>
    <row r="13024" spans="1:2" x14ac:dyDescent="0.15">
      <c r="A13024" s="15"/>
      <c r="B13024" s="15"/>
    </row>
    <row r="13025" spans="1:2" x14ac:dyDescent="0.15">
      <c r="A13025" s="15"/>
      <c r="B13025" s="15"/>
    </row>
    <row r="13026" spans="1:2" x14ac:dyDescent="0.15">
      <c r="A13026" s="15"/>
      <c r="B13026" s="15"/>
    </row>
    <row r="13027" spans="1:2" x14ac:dyDescent="0.15">
      <c r="A13027" s="15"/>
      <c r="B13027" s="15"/>
    </row>
    <row r="13028" spans="1:2" x14ac:dyDescent="0.15">
      <c r="A13028" s="15"/>
      <c r="B13028" s="15"/>
    </row>
    <row r="13029" spans="1:2" x14ac:dyDescent="0.15">
      <c r="A13029" s="15"/>
      <c r="B13029" s="15"/>
    </row>
    <row r="13030" spans="1:2" x14ac:dyDescent="0.15">
      <c r="A13030" s="15"/>
      <c r="B13030" s="15"/>
    </row>
    <row r="13031" spans="1:2" x14ac:dyDescent="0.15">
      <c r="A13031" s="15"/>
      <c r="B13031" s="15"/>
    </row>
    <row r="13032" spans="1:2" x14ac:dyDescent="0.15">
      <c r="A13032" s="15"/>
      <c r="B13032" s="15"/>
    </row>
    <row r="13033" spans="1:2" x14ac:dyDescent="0.15">
      <c r="A13033" s="15"/>
      <c r="B13033" s="15"/>
    </row>
    <row r="13034" spans="1:2" x14ac:dyDescent="0.15">
      <c r="A13034" s="15"/>
      <c r="B13034" s="15"/>
    </row>
    <row r="13035" spans="1:2" x14ac:dyDescent="0.15">
      <c r="A13035" s="15"/>
      <c r="B13035" s="15"/>
    </row>
    <row r="13036" spans="1:2" x14ac:dyDescent="0.15">
      <c r="A13036" s="15"/>
      <c r="B13036" s="15"/>
    </row>
    <row r="13037" spans="1:2" x14ac:dyDescent="0.15">
      <c r="A13037" s="15"/>
      <c r="B13037" s="15"/>
    </row>
    <row r="13038" spans="1:2" x14ac:dyDescent="0.15">
      <c r="A13038" s="15"/>
      <c r="B13038" s="15"/>
    </row>
    <row r="13039" spans="1:2" x14ac:dyDescent="0.15">
      <c r="A13039" s="15"/>
      <c r="B13039" s="15"/>
    </row>
    <row r="13040" spans="1:2" x14ac:dyDescent="0.15">
      <c r="A13040" s="15"/>
      <c r="B13040" s="15"/>
    </row>
    <row r="13041" spans="1:2" x14ac:dyDescent="0.15">
      <c r="A13041" s="15"/>
      <c r="B13041" s="15"/>
    </row>
    <row r="13042" spans="1:2" x14ac:dyDescent="0.15">
      <c r="A13042" s="15"/>
      <c r="B13042" s="15"/>
    </row>
    <row r="13043" spans="1:2" x14ac:dyDescent="0.15">
      <c r="A13043" s="15"/>
      <c r="B13043" s="15"/>
    </row>
    <row r="13044" spans="1:2" x14ac:dyDescent="0.15">
      <c r="A13044" s="15"/>
      <c r="B13044" s="15"/>
    </row>
    <row r="13045" spans="1:2" x14ac:dyDescent="0.15">
      <c r="A13045" s="15"/>
      <c r="B13045" s="15"/>
    </row>
    <row r="13046" spans="1:2" x14ac:dyDescent="0.15">
      <c r="A13046" s="15"/>
      <c r="B13046" s="15"/>
    </row>
    <row r="13047" spans="1:2" x14ac:dyDescent="0.15">
      <c r="A13047" s="15"/>
      <c r="B13047" s="15"/>
    </row>
    <row r="13048" spans="1:2" x14ac:dyDescent="0.15">
      <c r="A13048" s="15"/>
      <c r="B13048" s="15"/>
    </row>
    <row r="13049" spans="1:2" x14ac:dyDescent="0.15">
      <c r="A13049" s="15"/>
      <c r="B13049" s="15"/>
    </row>
    <row r="13050" spans="1:2" x14ac:dyDescent="0.15">
      <c r="A13050" s="15"/>
      <c r="B13050" s="15"/>
    </row>
    <row r="13051" spans="1:2" x14ac:dyDescent="0.15">
      <c r="A13051" s="15"/>
      <c r="B13051" s="15"/>
    </row>
    <row r="13052" spans="1:2" x14ac:dyDescent="0.15">
      <c r="A13052" s="15"/>
      <c r="B13052" s="15"/>
    </row>
    <row r="13053" spans="1:2" x14ac:dyDescent="0.15">
      <c r="A13053" s="15"/>
      <c r="B13053" s="15"/>
    </row>
    <row r="13054" spans="1:2" x14ac:dyDescent="0.15">
      <c r="A13054" s="15"/>
      <c r="B13054" s="15"/>
    </row>
    <row r="13055" spans="1:2" x14ac:dyDescent="0.15">
      <c r="A13055" s="15"/>
      <c r="B13055" s="15"/>
    </row>
    <row r="13056" spans="1:2" x14ac:dyDescent="0.15">
      <c r="A13056" s="15"/>
      <c r="B13056" s="15"/>
    </row>
    <row r="13057" spans="1:2" x14ac:dyDescent="0.15">
      <c r="A13057" s="15"/>
      <c r="B13057" s="15"/>
    </row>
    <row r="13058" spans="1:2" x14ac:dyDescent="0.15">
      <c r="A13058" s="15"/>
      <c r="B13058" s="15"/>
    </row>
    <row r="13059" spans="1:2" x14ac:dyDescent="0.15">
      <c r="A13059" s="15"/>
      <c r="B13059" s="15"/>
    </row>
    <row r="13060" spans="1:2" x14ac:dyDescent="0.15">
      <c r="A13060" s="15"/>
      <c r="B13060" s="15"/>
    </row>
    <row r="13061" spans="1:2" x14ac:dyDescent="0.15">
      <c r="A13061" s="15"/>
      <c r="B13061" s="15"/>
    </row>
    <row r="13062" spans="1:2" x14ac:dyDescent="0.15">
      <c r="A13062" s="15"/>
      <c r="B13062" s="15"/>
    </row>
    <row r="13063" spans="1:2" x14ac:dyDescent="0.15">
      <c r="A13063" s="15"/>
      <c r="B13063" s="15"/>
    </row>
    <row r="13064" spans="1:2" x14ac:dyDescent="0.15">
      <c r="A13064" s="15"/>
      <c r="B13064" s="15"/>
    </row>
    <row r="13065" spans="1:2" x14ac:dyDescent="0.15">
      <c r="A13065" s="15"/>
      <c r="B13065" s="15"/>
    </row>
    <row r="13066" spans="1:2" x14ac:dyDescent="0.15">
      <c r="A13066" s="15"/>
      <c r="B13066" s="15"/>
    </row>
    <row r="13067" spans="1:2" x14ac:dyDescent="0.15">
      <c r="A13067" s="15"/>
      <c r="B13067" s="15"/>
    </row>
    <row r="13068" spans="1:2" x14ac:dyDescent="0.15">
      <c r="A13068" s="15"/>
      <c r="B13068" s="15"/>
    </row>
    <row r="13069" spans="1:2" x14ac:dyDescent="0.15">
      <c r="A13069" s="15"/>
      <c r="B13069" s="15"/>
    </row>
    <row r="13070" spans="1:2" x14ac:dyDescent="0.15">
      <c r="A13070" s="15"/>
      <c r="B13070" s="15"/>
    </row>
    <row r="13071" spans="1:2" x14ac:dyDescent="0.15">
      <c r="A13071" s="15"/>
      <c r="B13071" s="15"/>
    </row>
    <row r="13072" spans="1:2" x14ac:dyDescent="0.15">
      <c r="A13072" s="15"/>
      <c r="B13072" s="15"/>
    </row>
    <row r="13073" spans="1:2" x14ac:dyDescent="0.15">
      <c r="A13073" s="15"/>
      <c r="B13073" s="15"/>
    </row>
    <row r="13074" spans="1:2" x14ac:dyDescent="0.15">
      <c r="A13074" s="15"/>
      <c r="B13074" s="15"/>
    </row>
    <row r="13075" spans="1:2" x14ac:dyDescent="0.15">
      <c r="A13075" s="15"/>
      <c r="B13075" s="15"/>
    </row>
    <row r="13076" spans="1:2" x14ac:dyDescent="0.15">
      <c r="A13076" s="15"/>
      <c r="B13076" s="15"/>
    </row>
    <row r="13077" spans="1:2" x14ac:dyDescent="0.15">
      <c r="A13077" s="15"/>
      <c r="B13077" s="15"/>
    </row>
    <row r="13078" spans="1:2" x14ac:dyDescent="0.15">
      <c r="A13078" s="15"/>
      <c r="B13078" s="15"/>
    </row>
    <row r="13079" spans="1:2" x14ac:dyDescent="0.15">
      <c r="A13079" s="15"/>
      <c r="B13079" s="15"/>
    </row>
    <row r="13080" spans="1:2" x14ac:dyDescent="0.15">
      <c r="A13080" s="15"/>
      <c r="B13080" s="15"/>
    </row>
    <row r="13081" spans="1:2" x14ac:dyDescent="0.15">
      <c r="A13081" s="15"/>
      <c r="B13081" s="15"/>
    </row>
    <row r="13082" spans="1:2" x14ac:dyDescent="0.15">
      <c r="A13082" s="15"/>
      <c r="B13082" s="15"/>
    </row>
    <row r="13083" spans="1:2" x14ac:dyDescent="0.15">
      <c r="A13083" s="15"/>
      <c r="B13083" s="15"/>
    </row>
    <row r="13084" spans="1:2" x14ac:dyDescent="0.15">
      <c r="A13084" s="15"/>
      <c r="B13084" s="15"/>
    </row>
    <row r="13085" spans="1:2" x14ac:dyDescent="0.15">
      <c r="A13085" s="15"/>
      <c r="B13085" s="15"/>
    </row>
    <row r="13086" spans="1:2" x14ac:dyDescent="0.15">
      <c r="A13086" s="15"/>
      <c r="B13086" s="15"/>
    </row>
    <row r="13087" spans="1:2" x14ac:dyDescent="0.15">
      <c r="A13087" s="15"/>
      <c r="B13087" s="15"/>
    </row>
    <row r="13088" spans="1:2" x14ac:dyDescent="0.15">
      <c r="A13088" s="15"/>
      <c r="B13088" s="15"/>
    </row>
    <row r="13089" spans="1:2" x14ac:dyDescent="0.15">
      <c r="A13089" s="15"/>
      <c r="B13089" s="15"/>
    </row>
    <row r="13090" spans="1:2" x14ac:dyDescent="0.15">
      <c r="A13090" s="15"/>
      <c r="B13090" s="15"/>
    </row>
    <row r="13091" spans="1:2" x14ac:dyDescent="0.15">
      <c r="A13091" s="15"/>
      <c r="B13091" s="15"/>
    </row>
    <row r="13092" spans="1:2" x14ac:dyDescent="0.15">
      <c r="A13092" s="15"/>
      <c r="B13092" s="15"/>
    </row>
    <row r="13093" spans="1:2" x14ac:dyDescent="0.15">
      <c r="A13093" s="15"/>
      <c r="B13093" s="15"/>
    </row>
    <row r="13094" spans="1:2" x14ac:dyDescent="0.15">
      <c r="A13094" s="15"/>
      <c r="B13094" s="15"/>
    </row>
    <row r="13095" spans="1:2" x14ac:dyDescent="0.15">
      <c r="A13095" s="15"/>
      <c r="B13095" s="15"/>
    </row>
    <row r="13096" spans="1:2" x14ac:dyDescent="0.15">
      <c r="A13096" s="15"/>
      <c r="B13096" s="15"/>
    </row>
    <row r="13097" spans="1:2" x14ac:dyDescent="0.15">
      <c r="A13097" s="15"/>
      <c r="B13097" s="15"/>
    </row>
    <row r="13098" spans="1:2" x14ac:dyDescent="0.15">
      <c r="A13098" s="15"/>
      <c r="B13098" s="15"/>
    </row>
    <row r="13099" spans="1:2" x14ac:dyDescent="0.15">
      <c r="A13099" s="15"/>
      <c r="B13099" s="15"/>
    </row>
    <row r="13100" spans="1:2" x14ac:dyDescent="0.15">
      <c r="A13100" s="15"/>
      <c r="B13100" s="15"/>
    </row>
    <row r="13101" spans="1:2" x14ac:dyDescent="0.15">
      <c r="A13101" s="15"/>
      <c r="B13101" s="15"/>
    </row>
    <row r="13102" spans="1:2" x14ac:dyDescent="0.15">
      <c r="A13102" s="15"/>
      <c r="B13102" s="15"/>
    </row>
    <row r="13103" spans="1:2" x14ac:dyDescent="0.15">
      <c r="A13103" s="15"/>
      <c r="B13103" s="15"/>
    </row>
    <row r="13104" spans="1:2" x14ac:dyDescent="0.15">
      <c r="A13104" s="15"/>
      <c r="B13104" s="15"/>
    </row>
    <row r="13105" spans="1:2" x14ac:dyDescent="0.15">
      <c r="A13105" s="15"/>
      <c r="B13105" s="15"/>
    </row>
    <row r="13106" spans="1:2" x14ac:dyDescent="0.15">
      <c r="A13106" s="15"/>
      <c r="B13106" s="15"/>
    </row>
    <row r="13107" spans="1:2" x14ac:dyDescent="0.15">
      <c r="A13107" s="15"/>
      <c r="B13107" s="15"/>
    </row>
    <row r="13108" spans="1:2" x14ac:dyDescent="0.15">
      <c r="A13108" s="15"/>
      <c r="B13108" s="15"/>
    </row>
    <row r="13109" spans="1:2" x14ac:dyDescent="0.15">
      <c r="A13109" s="15"/>
      <c r="B13109" s="15"/>
    </row>
    <row r="13110" spans="1:2" x14ac:dyDescent="0.15">
      <c r="A13110" s="15"/>
      <c r="B13110" s="15"/>
    </row>
    <row r="13111" spans="1:2" x14ac:dyDescent="0.15">
      <c r="A13111" s="15"/>
      <c r="B13111" s="15"/>
    </row>
    <row r="13112" spans="1:2" x14ac:dyDescent="0.15">
      <c r="A13112" s="15"/>
      <c r="B13112" s="15"/>
    </row>
    <row r="13113" spans="1:2" x14ac:dyDescent="0.15">
      <c r="A13113" s="15"/>
      <c r="B13113" s="15"/>
    </row>
    <row r="13114" spans="1:2" x14ac:dyDescent="0.15">
      <c r="A13114" s="15"/>
      <c r="B13114" s="15"/>
    </row>
    <row r="13115" spans="1:2" x14ac:dyDescent="0.15">
      <c r="A13115" s="15"/>
      <c r="B13115" s="15"/>
    </row>
    <row r="13116" spans="1:2" x14ac:dyDescent="0.15">
      <c r="A13116" s="15"/>
      <c r="B13116" s="15"/>
    </row>
    <row r="13117" spans="1:2" x14ac:dyDescent="0.15">
      <c r="A13117" s="15"/>
      <c r="B13117" s="15"/>
    </row>
    <row r="13118" spans="1:2" x14ac:dyDescent="0.15">
      <c r="A13118" s="15"/>
      <c r="B13118" s="15"/>
    </row>
    <row r="13119" spans="1:2" x14ac:dyDescent="0.15">
      <c r="A13119" s="15"/>
      <c r="B13119" s="15"/>
    </row>
    <row r="13120" spans="1:2" x14ac:dyDescent="0.15">
      <c r="A13120" s="15"/>
      <c r="B13120" s="15"/>
    </row>
    <row r="13121" spans="1:2" x14ac:dyDescent="0.15">
      <c r="A13121" s="15"/>
      <c r="B13121" s="15"/>
    </row>
    <row r="13122" spans="1:2" x14ac:dyDescent="0.15">
      <c r="A13122" s="15"/>
      <c r="B13122" s="15"/>
    </row>
    <row r="13123" spans="1:2" x14ac:dyDescent="0.15">
      <c r="A13123" s="15"/>
      <c r="B13123" s="15"/>
    </row>
    <row r="13124" spans="1:2" x14ac:dyDescent="0.15">
      <c r="A13124" s="15"/>
      <c r="B13124" s="15"/>
    </row>
    <row r="13125" spans="1:2" x14ac:dyDescent="0.15">
      <c r="A13125" s="15"/>
      <c r="B13125" s="15"/>
    </row>
    <row r="13126" spans="1:2" x14ac:dyDescent="0.15">
      <c r="A13126" s="15"/>
      <c r="B13126" s="15"/>
    </row>
    <row r="13127" spans="1:2" x14ac:dyDescent="0.15">
      <c r="A13127" s="15"/>
      <c r="B13127" s="15"/>
    </row>
    <row r="13128" spans="1:2" x14ac:dyDescent="0.15">
      <c r="A13128" s="15"/>
      <c r="B13128" s="15"/>
    </row>
    <row r="13129" spans="1:2" x14ac:dyDescent="0.15">
      <c r="A13129" s="15"/>
      <c r="B13129" s="15"/>
    </row>
    <row r="13130" spans="1:2" x14ac:dyDescent="0.15">
      <c r="A13130" s="15"/>
      <c r="B13130" s="15"/>
    </row>
    <row r="13131" spans="1:2" x14ac:dyDescent="0.15">
      <c r="A13131" s="15"/>
      <c r="B13131" s="15"/>
    </row>
    <row r="13132" spans="1:2" x14ac:dyDescent="0.15">
      <c r="A13132" s="15"/>
      <c r="B13132" s="15"/>
    </row>
    <row r="13133" spans="1:2" x14ac:dyDescent="0.15">
      <c r="A13133" s="15"/>
      <c r="B13133" s="15"/>
    </row>
    <row r="13134" spans="1:2" x14ac:dyDescent="0.15">
      <c r="A13134" s="15"/>
      <c r="B13134" s="15"/>
    </row>
    <row r="13135" spans="1:2" x14ac:dyDescent="0.15">
      <c r="A13135" s="15"/>
      <c r="B13135" s="15"/>
    </row>
    <row r="13136" spans="1:2" x14ac:dyDescent="0.15">
      <c r="A13136" s="15"/>
      <c r="B13136" s="15"/>
    </row>
    <row r="13137" spans="1:2" x14ac:dyDescent="0.15">
      <c r="A13137" s="15"/>
      <c r="B13137" s="15"/>
    </row>
    <row r="13138" spans="1:2" x14ac:dyDescent="0.15">
      <c r="A13138" s="15"/>
      <c r="B13138" s="15"/>
    </row>
    <row r="13139" spans="1:2" x14ac:dyDescent="0.15">
      <c r="A13139" s="15"/>
      <c r="B13139" s="15"/>
    </row>
    <row r="13140" spans="1:2" x14ac:dyDescent="0.15">
      <c r="A13140" s="15"/>
      <c r="B13140" s="15"/>
    </row>
    <row r="13141" spans="1:2" x14ac:dyDescent="0.15">
      <c r="A13141" s="15"/>
      <c r="B13141" s="15"/>
    </row>
    <row r="13142" spans="1:2" x14ac:dyDescent="0.15">
      <c r="A13142" s="15"/>
      <c r="B13142" s="15"/>
    </row>
    <row r="13143" spans="1:2" x14ac:dyDescent="0.15">
      <c r="A13143" s="15"/>
      <c r="B13143" s="15"/>
    </row>
    <row r="13144" spans="1:2" x14ac:dyDescent="0.15">
      <c r="A13144" s="15"/>
      <c r="B13144" s="15"/>
    </row>
    <row r="13145" spans="1:2" x14ac:dyDescent="0.15">
      <c r="A13145" s="15"/>
      <c r="B13145" s="15"/>
    </row>
    <row r="13146" spans="1:2" x14ac:dyDescent="0.15">
      <c r="A13146" s="15"/>
      <c r="B13146" s="15"/>
    </row>
    <row r="13147" spans="1:2" x14ac:dyDescent="0.15">
      <c r="A13147" s="15"/>
      <c r="B13147" s="15"/>
    </row>
    <row r="13148" spans="1:2" x14ac:dyDescent="0.15">
      <c r="A13148" s="15"/>
      <c r="B13148" s="15"/>
    </row>
    <row r="13149" spans="1:2" x14ac:dyDescent="0.15">
      <c r="A13149" s="15"/>
      <c r="B13149" s="15"/>
    </row>
    <row r="13150" spans="1:2" x14ac:dyDescent="0.15">
      <c r="A13150" s="15"/>
      <c r="B13150" s="15"/>
    </row>
    <row r="13151" spans="1:2" x14ac:dyDescent="0.15">
      <c r="A13151" s="15"/>
      <c r="B13151" s="15"/>
    </row>
    <row r="13152" spans="1:2" x14ac:dyDescent="0.15">
      <c r="A13152" s="15"/>
      <c r="B13152" s="15"/>
    </row>
    <row r="13153" spans="1:2" x14ac:dyDescent="0.15">
      <c r="A13153" s="15"/>
      <c r="B13153" s="15"/>
    </row>
    <row r="13154" spans="1:2" x14ac:dyDescent="0.15">
      <c r="A13154" s="15"/>
      <c r="B13154" s="15"/>
    </row>
    <row r="13155" spans="1:2" x14ac:dyDescent="0.15">
      <c r="A13155" s="15"/>
      <c r="B13155" s="15"/>
    </row>
    <row r="13156" spans="1:2" x14ac:dyDescent="0.15">
      <c r="A13156" s="15"/>
      <c r="B13156" s="15"/>
    </row>
    <row r="13157" spans="1:2" x14ac:dyDescent="0.15">
      <c r="A13157" s="15"/>
      <c r="B13157" s="15"/>
    </row>
    <row r="13158" spans="1:2" x14ac:dyDescent="0.15">
      <c r="A13158" s="15"/>
      <c r="B13158" s="15"/>
    </row>
    <row r="13159" spans="1:2" x14ac:dyDescent="0.15">
      <c r="A13159" s="15"/>
      <c r="B13159" s="15"/>
    </row>
    <row r="13160" spans="1:2" x14ac:dyDescent="0.15">
      <c r="A13160" s="15"/>
      <c r="B13160" s="15"/>
    </row>
    <row r="13161" spans="1:2" x14ac:dyDescent="0.15">
      <c r="A13161" s="15"/>
      <c r="B13161" s="15"/>
    </row>
    <row r="13162" spans="1:2" x14ac:dyDescent="0.15">
      <c r="A13162" s="15"/>
      <c r="B13162" s="15"/>
    </row>
    <row r="13163" spans="1:2" x14ac:dyDescent="0.15">
      <c r="A13163" s="15"/>
      <c r="B13163" s="15"/>
    </row>
    <row r="13164" spans="1:2" x14ac:dyDescent="0.15">
      <c r="A13164" s="15"/>
      <c r="B13164" s="15"/>
    </row>
    <row r="13165" spans="1:2" x14ac:dyDescent="0.15">
      <c r="A13165" s="15"/>
      <c r="B13165" s="15"/>
    </row>
    <row r="13166" spans="1:2" x14ac:dyDescent="0.15">
      <c r="A13166" s="15"/>
      <c r="B13166" s="15"/>
    </row>
    <row r="13167" spans="1:2" x14ac:dyDescent="0.15">
      <c r="A13167" s="15"/>
      <c r="B13167" s="15"/>
    </row>
    <row r="13168" spans="1:2" x14ac:dyDescent="0.15">
      <c r="A13168" s="15"/>
      <c r="B13168" s="15"/>
    </row>
    <row r="13169" spans="1:2" x14ac:dyDescent="0.15">
      <c r="A13169" s="15"/>
      <c r="B13169" s="15"/>
    </row>
    <row r="13170" spans="1:2" x14ac:dyDescent="0.15">
      <c r="A13170" s="15"/>
      <c r="B13170" s="15"/>
    </row>
    <row r="13171" spans="1:2" x14ac:dyDescent="0.15">
      <c r="A13171" s="15"/>
      <c r="B13171" s="15"/>
    </row>
    <row r="13172" spans="1:2" x14ac:dyDescent="0.15">
      <c r="A13172" s="15"/>
      <c r="B13172" s="15"/>
    </row>
    <row r="13173" spans="1:2" x14ac:dyDescent="0.15">
      <c r="A13173" s="15"/>
      <c r="B13173" s="15"/>
    </row>
    <row r="13174" spans="1:2" x14ac:dyDescent="0.15">
      <c r="A13174" s="15"/>
      <c r="B13174" s="15"/>
    </row>
    <row r="13175" spans="1:2" x14ac:dyDescent="0.15">
      <c r="A13175" s="15"/>
      <c r="B13175" s="15"/>
    </row>
    <row r="13176" spans="1:2" x14ac:dyDescent="0.15">
      <c r="A13176" s="15"/>
      <c r="B13176" s="15"/>
    </row>
    <row r="13177" spans="1:2" x14ac:dyDescent="0.15">
      <c r="A13177" s="15"/>
      <c r="B13177" s="15"/>
    </row>
    <row r="13178" spans="1:2" x14ac:dyDescent="0.15">
      <c r="A13178" s="15"/>
      <c r="B13178" s="15"/>
    </row>
    <row r="13179" spans="1:2" x14ac:dyDescent="0.15">
      <c r="A13179" s="15"/>
      <c r="B13179" s="15"/>
    </row>
    <row r="13180" spans="1:2" x14ac:dyDescent="0.15">
      <c r="A13180" s="15"/>
      <c r="B13180" s="15"/>
    </row>
    <row r="13181" spans="1:2" x14ac:dyDescent="0.15">
      <c r="A13181" s="15"/>
      <c r="B13181" s="15"/>
    </row>
    <row r="13182" spans="1:2" x14ac:dyDescent="0.15">
      <c r="A13182" s="15"/>
      <c r="B13182" s="15"/>
    </row>
    <row r="13183" spans="1:2" x14ac:dyDescent="0.15">
      <c r="A13183" s="15"/>
      <c r="B13183" s="15"/>
    </row>
    <row r="13184" spans="1:2" x14ac:dyDescent="0.15">
      <c r="A13184" s="15"/>
      <c r="B13184" s="15"/>
    </row>
    <row r="13185" spans="1:2" x14ac:dyDescent="0.15">
      <c r="A13185" s="15"/>
      <c r="B13185" s="15"/>
    </row>
    <row r="13186" spans="1:2" x14ac:dyDescent="0.15">
      <c r="A13186" s="15"/>
      <c r="B13186" s="15"/>
    </row>
    <row r="13187" spans="1:2" x14ac:dyDescent="0.15">
      <c r="A13187" s="15"/>
      <c r="B13187" s="15"/>
    </row>
    <row r="13188" spans="1:2" x14ac:dyDescent="0.15">
      <c r="A13188" s="15"/>
      <c r="B13188" s="15"/>
    </row>
    <row r="13189" spans="1:2" x14ac:dyDescent="0.15">
      <c r="A13189" s="15"/>
      <c r="B13189" s="15"/>
    </row>
    <row r="13190" spans="1:2" x14ac:dyDescent="0.15">
      <c r="A13190" s="15"/>
      <c r="B13190" s="15"/>
    </row>
    <row r="13191" spans="1:2" x14ac:dyDescent="0.15">
      <c r="A13191" s="15"/>
      <c r="B13191" s="15"/>
    </row>
    <row r="13192" spans="1:2" x14ac:dyDescent="0.15">
      <c r="A13192" s="15"/>
      <c r="B13192" s="15"/>
    </row>
    <row r="13193" spans="1:2" x14ac:dyDescent="0.15">
      <c r="A13193" s="15"/>
      <c r="B13193" s="15"/>
    </row>
    <row r="13194" spans="1:2" x14ac:dyDescent="0.15">
      <c r="A13194" s="15"/>
      <c r="B13194" s="15"/>
    </row>
    <row r="13195" spans="1:2" x14ac:dyDescent="0.15">
      <c r="A13195" s="15"/>
      <c r="B13195" s="15"/>
    </row>
    <row r="13196" spans="1:2" x14ac:dyDescent="0.15">
      <c r="A13196" s="15"/>
      <c r="B13196" s="15"/>
    </row>
    <row r="13197" spans="1:2" x14ac:dyDescent="0.15">
      <c r="A13197" s="15"/>
      <c r="B13197" s="15"/>
    </row>
    <row r="13198" spans="1:2" x14ac:dyDescent="0.15">
      <c r="A13198" s="15"/>
      <c r="B13198" s="15"/>
    </row>
    <row r="13199" spans="1:2" x14ac:dyDescent="0.15">
      <c r="A13199" s="15"/>
      <c r="B13199" s="15"/>
    </row>
    <row r="13200" spans="1:2" x14ac:dyDescent="0.15">
      <c r="A13200" s="15"/>
      <c r="B13200" s="15"/>
    </row>
    <row r="13201" spans="1:2" x14ac:dyDescent="0.15">
      <c r="A13201" s="15"/>
      <c r="B13201" s="15"/>
    </row>
    <row r="13202" spans="1:2" x14ac:dyDescent="0.15">
      <c r="A13202" s="15"/>
      <c r="B13202" s="15"/>
    </row>
    <row r="13203" spans="1:2" x14ac:dyDescent="0.15">
      <c r="A13203" s="15"/>
      <c r="B13203" s="15"/>
    </row>
    <row r="13204" spans="1:2" x14ac:dyDescent="0.15">
      <c r="A13204" s="15"/>
      <c r="B13204" s="15"/>
    </row>
    <row r="13205" spans="1:2" x14ac:dyDescent="0.15">
      <c r="A13205" s="15"/>
      <c r="B13205" s="15"/>
    </row>
    <row r="13206" spans="1:2" x14ac:dyDescent="0.15">
      <c r="A13206" s="15"/>
      <c r="B13206" s="15"/>
    </row>
    <row r="13207" spans="1:2" x14ac:dyDescent="0.15">
      <c r="A13207" s="15"/>
      <c r="B13207" s="15"/>
    </row>
    <row r="13208" spans="1:2" x14ac:dyDescent="0.15">
      <c r="A13208" s="15"/>
      <c r="B13208" s="15"/>
    </row>
    <row r="13209" spans="1:2" x14ac:dyDescent="0.15">
      <c r="A13209" s="15"/>
      <c r="B13209" s="15"/>
    </row>
    <row r="13210" spans="1:2" x14ac:dyDescent="0.15">
      <c r="A13210" s="15"/>
      <c r="B13210" s="15"/>
    </row>
    <row r="13211" spans="1:2" x14ac:dyDescent="0.15">
      <c r="A13211" s="15"/>
      <c r="B13211" s="15"/>
    </row>
    <row r="13212" spans="1:2" x14ac:dyDescent="0.15">
      <c r="A13212" s="15"/>
      <c r="B13212" s="15"/>
    </row>
    <row r="13213" spans="1:2" x14ac:dyDescent="0.15">
      <c r="A13213" s="15"/>
      <c r="B13213" s="15"/>
    </row>
    <row r="13214" spans="1:2" x14ac:dyDescent="0.15">
      <c r="A13214" s="15"/>
      <c r="B13214" s="15"/>
    </row>
    <row r="13215" spans="1:2" x14ac:dyDescent="0.15">
      <c r="A13215" s="15"/>
      <c r="B13215" s="15"/>
    </row>
    <row r="13216" spans="1:2" x14ac:dyDescent="0.15">
      <c r="A13216" s="15"/>
      <c r="B13216" s="15"/>
    </row>
    <row r="13217" spans="1:2" x14ac:dyDescent="0.15">
      <c r="A13217" s="15"/>
      <c r="B13217" s="15"/>
    </row>
    <row r="13218" spans="1:2" x14ac:dyDescent="0.15">
      <c r="A13218" s="15"/>
      <c r="B13218" s="15"/>
    </row>
    <row r="13219" spans="1:2" x14ac:dyDescent="0.15">
      <c r="A13219" s="15"/>
      <c r="B13219" s="15"/>
    </row>
    <row r="13220" spans="1:2" x14ac:dyDescent="0.15">
      <c r="A13220" s="15"/>
      <c r="B13220" s="15"/>
    </row>
    <row r="13221" spans="1:2" x14ac:dyDescent="0.15">
      <c r="A13221" s="15"/>
      <c r="B13221" s="15"/>
    </row>
    <row r="13222" spans="1:2" x14ac:dyDescent="0.15">
      <c r="A13222" s="15"/>
      <c r="B13222" s="15"/>
    </row>
    <row r="13223" spans="1:2" x14ac:dyDescent="0.15">
      <c r="A13223" s="15"/>
      <c r="B13223" s="15"/>
    </row>
    <row r="13224" spans="1:2" x14ac:dyDescent="0.15">
      <c r="A13224" s="15"/>
      <c r="B13224" s="15"/>
    </row>
    <row r="13225" spans="1:2" x14ac:dyDescent="0.15">
      <c r="A13225" s="15"/>
      <c r="B13225" s="15"/>
    </row>
    <row r="13226" spans="1:2" x14ac:dyDescent="0.15">
      <c r="A13226" s="15"/>
      <c r="B13226" s="15"/>
    </row>
    <row r="13227" spans="1:2" x14ac:dyDescent="0.15">
      <c r="A13227" s="15"/>
      <c r="B13227" s="15"/>
    </row>
    <row r="13228" spans="1:2" x14ac:dyDescent="0.15">
      <c r="A13228" s="15"/>
      <c r="B13228" s="15"/>
    </row>
    <row r="13229" spans="1:2" x14ac:dyDescent="0.15">
      <c r="A13229" s="15"/>
      <c r="B13229" s="15"/>
    </row>
    <row r="13230" spans="1:2" x14ac:dyDescent="0.15">
      <c r="A13230" s="15"/>
      <c r="B13230" s="15"/>
    </row>
    <row r="13231" spans="1:2" x14ac:dyDescent="0.15">
      <c r="A13231" s="15"/>
      <c r="B13231" s="15"/>
    </row>
    <row r="13232" spans="1:2" x14ac:dyDescent="0.15">
      <c r="A13232" s="15"/>
      <c r="B13232" s="15"/>
    </row>
    <row r="13233" spans="1:2" x14ac:dyDescent="0.15">
      <c r="A13233" s="15"/>
      <c r="B13233" s="15"/>
    </row>
    <row r="13234" spans="1:2" x14ac:dyDescent="0.15">
      <c r="A13234" s="15"/>
      <c r="B13234" s="15"/>
    </row>
    <row r="13235" spans="1:2" x14ac:dyDescent="0.15">
      <c r="A13235" s="15"/>
      <c r="B13235" s="15"/>
    </row>
    <row r="13236" spans="1:2" x14ac:dyDescent="0.15">
      <c r="A13236" s="15"/>
      <c r="B13236" s="15"/>
    </row>
    <row r="13237" spans="1:2" x14ac:dyDescent="0.15">
      <c r="A13237" s="15"/>
      <c r="B13237" s="15"/>
    </row>
    <row r="13238" spans="1:2" x14ac:dyDescent="0.15">
      <c r="A13238" s="15"/>
      <c r="B13238" s="15"/>
    </row>
    <row r="13239" spans="1:2" x14ac:dyDescent="0.15">
      <c r="A13239" s="15"/>
      <c r="B13239" s="15"/>
    </row>
    <row r="13240" spans="1:2" x14ac:dyDescent="0.15">
      <c r="A13240" s="15"/>
      <c r="B13240" s="15"/>
    </row>
    <row r="13241" spans="1:2" x14ac:dyDescent="0.15">
      <c r="A13241" s="15"/>
      <c r="B13241" s="15"/>
    </row>
    <row r="13242" spans="1:2" x14ac:dyDescent="0.15">
      <c r="A13242" s="15"/>
      <c r="B13242" s="15"/>
    </row>
    <row r="13243" spans="1:2" x14ac:dyDescent="0.15">
      <c r="A13243" s="15"/>
      <c r="B13243" s="15"/>
    </row>
    <row r="13244" spans="1:2" x14ac:dyDescent="0.15">
      <c r="A13244" s="15"/>
      <c r="B13244" s="15"/>
    </row>
    <row r="13245" spans="1:2" x14ac:dyDescent="0.15">
      <c r="A13245" s="15"/>
      <c r="B13245" s="15"/>
    </row>
    <row r="13246" spans="1:2" x14ac:dyDescent="0.15">
      <c r="A13246" s="15"/>
      <c r="B13246" s="15"/>
    </row>
    <row r="13247" spans="1:2" x14ac:dyDescent="0.15">
      <c r="A13247" s="15"/>
      <c r="B13247" s="15"/>
    </row>
    <row r="13248" spans="1:2" x14ac:dyDescent="0.15">
      <c r="A13248" s="15"/>
      <c r="B13248" s="15"/>
    </row>
    <row r="13249" spans="1:2" x14ac:dyDescent="0.15">
      <c r="A13249" s="15"/>
      <c r="B13249" s="15"/>
    </row>
    <row r="13250" spans="1:2" x14ac:dyDescent="0.15">
      <c r="A13250" s="15"/>
      <c r="B13250" s="15"/>
    </row>
    <row r="13251" spans="1:2" x14ac:dyDescent="0.15">
      <c r="A13251" s="15"/>
      <c r="B13251" s="15"/>
    </row>
    <row r="13252" spans="1:2" x14ac:dyDescent="0.15">
      <c r="A13252" s="15"/>
      <c r="B13252" s="15"/>
    </row>
    <row r="13253" spans="1:2" x14ac:dyDescent="0.15">
      <c r="A13253" s="15"/>
      <c r="B13253" s="15"/>
    </row>
    <row r="13254" spans="1:2" x14ac:dyDescent="0.15">
      <c r="A13254" s="15"/>
      <c r="B13254" s="15"/>
    </row>
    <row r="13255" spans="1:2" x14ac:dyDescent="0.15">
      <c r="A13255" s="15"/>
      <c r="B13255" s="15"/>
    </row>
    <row r="13256" spans="1:2" x14ac:dyDescent="0.15">
      <c r="A13256" s="15"/>
      <c r="B13256" s="15"/>
    </row>
    <row r="13257" spans="1:2" x14ac:dyDescent="0.15">
      <c r="A13257" s="15"/>
      <c r="B13257" s="15"/>
    </row>
    <row r="13258" spans="1:2" x14ac:dyDescent="0.15">
      <c r="A13258" s="15"/>
      <c r="B13258" s="15"/>
    </row>
    <row r="13259" spans="1:2" x14ac:dyDescent="0.15">
      <c r="A13259" s="15"/>
      <c r="B13259" s="15"/>
    </row>
    <row r="13260" spans="1:2" x14ac:dyDescent="0.15">
      <c r="A13260" s="15"/>
      <c r="B13260" s="15"/>
    </row>
    <row r="13261" spans="1:2" x14ac:dyDescent="0.15">
      <c r="A13261" s="15"/>
      <c r="B13261" s="15"/>
    </row>
    <row r="13262" spans="1:2" x14ac:dyDescent="0.15">
      <c r="A13262" s="15"/>
      <c r="B13262" s="15"/>
    </row>
    <row r="13263" spans="1:2" x14ac:dyDescent="0.15">
      <c r="A13263" s="15"/>
      <c r="B13263" s="15"/>
    </row>
    <row r="13264" spans="1:2" x14ac:dyDescent="0.15">
      <c r="A13264" s="15"/>
      <c r="B13264" s="15"/>
    </row>
    <row r="13265" spans="1:2" x14ac:dyDescent="0.15">
      <c r="A13265" s="15"/>
      <c r="B13265" s="15"/>
    </row>
    <row r="13266" spans="1:2" x14ac:dyDescent="0.15">
      <c r="A13266" s="15"/>
      <c r="B13266" s="15"/>
    </row>
    <row r="13267" spans="1:2" x14ac:dyDescent="0.15">
      <c r="A13267" s="15"/>
      <c r="B13267" s="15"/>
    </row>
    <row r="13268" spans="1:2" x14ac:dyDescent="0.15">
      <c r="A13268" s="15"/>
      <c r="B13268" s="15"/>
    </row>
    <row r="13269" spans="1:2" x14ac:dyDescent="0.15">
      <c r="A13269" s="15"/>
      <c r="B13269" s="15"/>
    </row>
    <row r="13270" spans="1:2" x14ac:dyDescent="0.15">
      <c r="A13270" s="15"/>
      <c r="B13270" s="15"/>
    </row>
    <row r="13271" spans="1:2" x14ac:dyDescent="0.15">
      <c r="A13271" s="15"/>
      <c r="B13271" s="15"/>
    </row>
    <row r="13272" spans="1:2" x14ac:dyDescent="0.15">
      <c r="A13272" s="15"/>
      <c r="B13272" s="15"/>
    </row>
    <row r="13273" spans="1:2" x14ac:dyDescent="0.15">
      <c r="A13273" s="15"/>
      <c r="B13273" s="15"/>
    </row>
    <row r="13274" spans="1:2" x14ac:dyDescent="0.15">
      <c r="A13274" s="15"/>
      <c r="B13274" s="15"/>
    </row>
    <row r="13275" spans="1:2" x14ac:dyDescent="0.15">
      <c r="A13275" s="15"/>
      <c r="B13275" s="15"/>
    </row>
    <row r="13276" spans="1:2" x14ac:dyDescent="0.15">
      <c r="A13276" s="15"/>
      <c r="B13276" s="15"/>
    </row>
    <row r="13277" spans="1:2" x14ac:dyDescent="0.15">
      <c r="A13277" s="15"/>
      <c r="B13277" s="15"/>
    </row>
    <row r="13278" spans="1:2" x14ac:dyDescent="0.15">
      <c r="A13278" s="15"/>
      <c r="B13278" s="15"/>
    </row>
    <row r="13279" spans="1:2" x14ac:dyDescent="0.15">
      <c r="A13279" s="15"/>
      <c r="B13279" s="15"/>
    </row>
    <row r="13280" spans="1:2" x14ac:dyDescent="0.15">
      <c r="A13280" s="15"/>
      <c r="B13280" s="15"/>
    </row>
    <row r="13281" spans="1:2" x14ac:dyDescent="0.15">
      <c r="A13281" s="15"/>
      <c r="B13281" s="15"/>
    </row>
    <row r="13282" spans="1:2" x14ac:dyDescent="0.15">
      <c r="A13282" s="15"/>
      <c r="B13282" s="15"/>
    </row>
    <row r="13283" spans="1:2" x14ac:dyDescent="0.15">
      <c r="A13283" s="15"/>
      <c r="B13283" s="15"/>
    </row>
    <row r="13284" spans="1:2" x14ac:dyDescent="0.15">
      <c r="A13284" s="15"/>
      <c r="B13284" s="15"/>
    </row>
    <row r="13285" spans="1:2" x14ac:dyDescent="0.15">
      <c r="A13285" s="15"/>
      <c r="B13285" s="15"/>
    </row>
    <row r="13286" spans="1:2" x14ac:dyDescent="0.15">
      <c r="A13286" s="15"/>
      <c r="B13286" s="15"/>
    </row>
    <row r="13287" spans="1:2" x14ac:dyDescent="0.15">
      <c r="A13287" s="15"/>
      <c r="B13287" s="15"/>
    </row>
    <row r="13288" spans="1:2" x14ac:dyDescent="0.15">
      <c r="A13288" s="15"/>
      <c r="B13288" s="15"/>
    </row>
    <row r="13289" spans="1:2" x14ac:dyDescent="0.15">
      <c r="A13289" s="15"/>
      <c r="B13289" s="15"/>
    </row>
    <row r="13290" spans="1:2" x14ac:dyDescent="0.15">
      <c r="A13290" s="15"/>
      <c r="B13290" s="15"/>
    </row>
    <row r="13291" spans="1:2" x14ac:dyDescent="0.15">
      <c r="A13291" s="15"/>
      <c r="B13291" s="15"/>
    </row>
    <row r="13292" spans="1:2" x14ac:dyDescent="0.15">
      <c r="A13292" s="15"/>
      <c r="B13292" s="15"/>
    </row>
    <row r="13293" spans="1:2" x14ac:dyDescent="0.15">
      <c r="A13293" s="15"/>
      <c r="B13293" s="15"/>
    </row>
    <row r="13294" spans="1:2" x14ac:dyDescent="0.15">
      <c r="A13294" s="15"/>
      <c r="B13294" s="15"/>
    </row>
    <row r="13295" spans="1:2" x14ac:dyDescent="0.15">
      <c r="A13295" s="15"/>
      <c r="B13295" s="15"/>
    </row>
    <row r="13296" spans="1:2" x14ac:dyDescent="0.15">
      <c r="A13296" s="15"/>
      <c r="B13296" s="15"/>
    </row>
    <row r="13297" spans="1:2" x14ac:dyDescent="0.15">
      <c r="A13297" s="15"/>
      <c r="B13297" s="15"/>
    </row>
    <row r="13298" spans="1:2" x14ac:dyDescent="0.15">
      <c r="A13298" s="15"/>
      <c r="B13298" s="15"/>
    </row>
    <row r="13299" spans="1:2" x14ac:dyDescent="0.15">
      <c r="A13299" s="15"/>
      <c r="B13299" s="15"/>
    </row>
    <row r="13300" spans="1:2" x14ac:dyDescent="0.15">
      <c r="A13300" s="15"/>
      <c r="B13300" s="15"/>
    </row>
    <row r="13301" spans="1:2" x14ac:dyDescent="0.15">
      <c r="A13301" s="15"/>
      <c r="B13301" s="15"/>
    </row>
    <row r="13302" spans="1:2" x14ac:dyDescent="0.15">
      <c r="A13302" s="15"/>
      <c r="B13302" s="15"/>
    </row>
    <row r="13303" spans="1:2" x14ac:dyDescent="0.15">
      <c r="A13303" s="15"/>
      <c r="B13303" s="15"/>
    </row>
    <row r="13304" spans="1:2" x14ac:dyDescent="0.15">
      <c r="A13304" s="15"/>
      <c r="B13304" s="15"/>
    </row>
    <row r="13305" spans="1:2" x14ac:dyDescent="0.15">
      <c r="A13305" s="15"/>
      <c r="B13305" s="15"/>
    </row>
    <row r="13306" spans="1:2" x14ac:dyDescent="0.15">
      <c r="A13306" s="15"/>
      <c r="B13306" s="15"/>
    </row>
    <row r="13307" spans="1:2" x14ac:dyDescent="0.15">
      <c r="A13307" s="15"/>
      <c r="B13307" s="15"/>
    </row>
    <row r="13308" spans="1:2" x14ac:dyDescent="0.15">
      <c r="A13308" s="15"/>
      <c r="B13308" s="15"/>
    </row>
    <row r="13309" spans="1:2" x14ac:dyDescent="0.15">
      <c r="A13309" s="15"/>
      <c r="B13309" s="15"/>
    </row>
    <row r="13310" spans="1:2" x14ac:dyDescent="0.15">
      <c r="A13310" s="15"/>
      <c r="B13310" s="15"/>
    </row>
    <row r="13311" spans="1:2" x14ac:dyDescent="0.15">
      <c r="A13311" s="15"/>
      <c r="B13311" s="15"/>
    </row>
    <row r="13312" spans="1:2" x14ac:dyDescent="0.15">
      <c r="A13312" s="15"/>
      <c r="B13312" s="15"/>
    </row>
    <row r="13313" spans="1:2" x14ac:dyDescent="0.15">
      <c r="A13313" s="15"/>
      <c r="B13313" s="15"/>
    </row>
    <row r="13314" spans="1:2" x14ac:dyDescent="0.15">
      <c r="A13314" s="15"/>
      <c r="B13314" s="15"/>
    </row>
    <row r="13315" spans="1:2" x14ac:dyDescent="0.15">
      <c r="A13315" s="15"/>
      <c r="B13315" s="15"/>
    </row>
    <row r="13316" spans="1:2" x14ac:dyDescent="0.15">
      <c r="A13316" s="15"/>
      <c r="B13316" s="15"/>
    </row>
    <row r="13317" spans="1:2" x14ac:dyDescent="0.15">
      <c r="A13317" s="15"/>
      <c r="B13317" s="15"/>
    </row>
    <row r="13318" spans="1:2" x14ac:dyDescent="0.15">
      <c r="A13318" s="15"/>
      <c r="B13318" s="15"/>
    </row>
    <row r="13319" spans="1:2" x14ac:dyDescent="0.15">
      <c r="A13319" s="15"/>
      <c r="B13319" s="15"/>
    </row>
    <row r="13320" spans="1:2" x14ac:dyDescent="0.15">
      <c r="A13320" s="15"/>
      <c r="B13320" s="15"/>
    </row>
    <row r="13321" spans="1:2" x14ac:dyDescent="0.15">
      <c r="A13321" s="15"/>
      <c r="B13321" s="15"/>
    </row>
    <row r="13322" spans="1:2" x14ac:dyDescent="0.15">
      <c r="A13322" s="15"/>
      <c r="B13322" s="15"/>
    </row>
    <row r="13323" spans="1:2" x14ac:dyDescent="0.15">
      <c r="A13323" s="15"/>
      <c r="B13323" s="15"/>
    </row>
    <row r="13324" spans="1:2" x14ac:dyDescent="0.15">
      <c r="A13324" s="15"/>
      <c r="B13324" s="15"/>
    </row>
    <row r="13325" spans="1:2" x14ac:dyDescent="0.15">
      <c r="A13325" s="15"/>
      <c r="B13325" s="15"/>
    </row>
    <row r="13326" spans="1:2" x14ac:dyDescent="0.15">
      <c r="A13326" s="15"/>
      <c r="B13326" s="15"/>
    </row>
    <row r="13327" spans="1:2" x14ac:dyDescent="0.15">
      <c r="A13327" s="15"/>
      <c r="B13327" s="15"/>
    </row>
    <row r="13328" spans="1:2" x14ac:dyDescent="0.15">
      <c r="A13328" s="15"/>
      <c r="B13328" s="15"/>
    </row>
    <row r="13329" spans="1:2" x14ac:dyDescent="0.15">
      <c r="A13329" s="15"/>
      <c r="B13329" s="15"/>
    </row>
    <row r="13330" spans="1:2" x14ac:dyDescent="0.15">
      <c r="A13330" s="15"/>
      <c r="B13330" s="15"/>
    </row>
    <row r="13331" spans="1:2" x14ac:dyDescent="0.15">
      <c r="A13331" s="15"/>
      <c r="B13331" s="15"/>
    </row>
    <row r="13332" spans="1:2" x14ac:dyDescent="0.15">
      <c r="A13332" s="15"/>
      <c r="B13332" s="15"/>
    </row>
    <row r="13333" spans="1:2" x14ac:dyDescent="0.15">
      <c r="A13333" s="15"/>
      <c r="B13333" s="15"/>
    </row>
    <row r="13334" spans="1:2" x14ac:dyDescent="0.15">
      <c r="A13334" s="15"/>
      <c r="B13334" s="15"/>
    </row>
    <row r="13335" spans="1:2" x14ac:dyDescent="0.15">
      <c r="A13335" s="15"/>
      <c r="B13335" s="15"/>
    </row>
    <row r="13336" spans="1:2" x14ac:dyDescent="0.15">
      <c r="A13336" s="15"/>
      <c r="B13336" s="15"/>
    </row>
    <row r="13337" spans="1:2" x14ac:dyDescent="0.15">
      <c r="A13337" s="15"/>
      <c r="B13337" s="15"/>
    </row>
    <row r="13338" spans="1:2" x14ac:dyDescent="0.15">
      <c r="A13338" s="15"/>
      <c r="B13338" s="15"/>
    </row>
    <row r="13339" spans="1:2" x14ac:dyDescent="0.15">
      <c r="A13339" s="15"/>
      <c r="B13339" s="15"/>
    </row>
    <row r="13340" spans="1:2" x14ac:dyDescent="0.15">
      <c r="A13340" s="15"/>
      <c r="B13340" s="15"/>
    </row>
    <row r="13341" spans="1:2" x14ac:dyDescent="0.15">
      <c r="A13341" s="15"/>
      <c r="B13341" s="15"/>
    </row>
    <row r="13342" spans="1:2" x14ac:dyDescent="0.15">
      <c r="A13342" s="15"/>
      <c r="B13342" s="15"/>
    </row>
    <row r="13343" spans="1:2" x14ac:dyDescent="0.15">
      <c r="A13343" s="15"/>
      <c r="B13343" s="15"/>
    </row>
    <row r="13344" spans="1:2" x14ac:dyDescent="0.15">
      <c r="A13344" s="15"/>
      <c r="B13344" s="15"/>
    </row>
    <row r="13345" spans="1:2" x14ac:dyDescent="0.15">
      <c r="A13345" s="15"/>
      <c r="B13345" s="15"/>
    </row>
    <row r="13346" spans="1:2" x14ac:dyDescent="0.15">
      <c r="A13346" s="15"/>
      <c r="B13346" s="15"/>
    </row>
    <row r="13347" spans="1:2" x14ac:dyDescent="0.15">
      <c r="A13347" s="15"/>
      <c r="B13347" s="15"/>
    </row>
    <row r="13348" spans="1:2" x14ac:dyDescent="0.15">
      <c r="A13348" s="15"/>
      <c r="B13348" s="15"/>
    </row>
    <row r="13349" spans="1:2" x14ac:dyDescent="0.15">
      <c r="A13349" s="15"/>
      <c r="B13349" s="15"/>
    </row>
    <row r="13350" spans="1:2" x14ac:dyDescent="0.15">
      <c r="A13350" s="15"/>
      <c r="B13350" s="15"/>
    </row>
    <row r="13351" spans="1:2" x14ac:dyDescent="0.15">
      <c r="A13351" s="15"/>
      <c r="B13351" s="15"/>
    </row>
    <row r="13352" spans="1:2" x14ac:dyDescent="0.15">
      <c r="A13352" s="15"/>
      <c r="B13352" s="15"/>
    </row>
    <row r="13353" spans="1:2" x14ac:dyDescent="0.15">
      <c r="A13353" s="15"/>
      <c r="B13353" s="15"/>
    </row>
    <row r="13354" spans="1:2" x14ac:dyDescent="0.15">
      <c r="A13354" s="15"/>
      <c r="B13354" s="15"/>
    </row>
    <row r="13355" spans="1:2" x14ac:dyDescent="0.15">
      <c r="A13355" s="15"/>
      <c r="B13355" s="15"/>
    </row>
    <row r="13356" spans="1:2" x14ac:dyDescent="0.15">
      <c r="A13356" s="15"/>
      <c r="B13356" s="15"/>
    </row>
    <row r="13357" spans="1:2" x14ac:dyDescent="0.15">
      <c r="A13357" s="15"/>
      <c r="B13357" s="15"/>
    </row>
    <row r="13358" spans="1:2" x14ac:dyDescent="0.15">
      <c r="A13358" s="15"/>
      <c r="B13358" s="15"/>
    </row>
    <row r="13359" spans="1:2" x14ac:dyDescent="0.15">
      <c r="A13359" s="15"/>
      <c r="B13359" s="15"/>
    </row>
    <row r="13360" spans="1:2" x14ac:dyDescent="0.15">
      <c r="A13360" s="15"/>
      <c r="B13360" s="15"/>
    </row>
    <row r="13361" spans="1:2" x14ac:dyDescent="0.15">
      <c r="A13361" s="15"/>
      <c r="B13361" s="15"/>
    </row>
    <row r="13362" spans="1:2" x14ac:dyDescent="0.15">
      <c r="A13362" s="15"/>
      <c r="B13362" s="15"/>
    </row>
    <row r="13363" spans="1:2" x14ac:dyDescent="0.15">
      <c r="A13363" s="15"/>
      <c r="B13363" s="15"/>
    </row>
    <row r="13364" spans="1:2" x14ac:dyDescent="0.15">
      <c r="A13364" s="15"/>
      <c r="B13364" s="15"/>
    </row>
    <row r="13365" spans="1:2" x14ac:dyDescent="0.15">
      <c r="A13365" s="15"/>
      <c r="B13365" s="15"/>
    </row>
    <row r="13366" spans="1:2" x14ac:dyDescent="0.15">
      <c r="A13366" s="15"/>
      <c r="B13366" s="15"/>
    </row>
    <row r="13367" spans="1:2" x14ac:dyDescent="0.15">
      <c r="A13367" s="15"/>
      <c r="B13367" s="15"/>
    </row>
    <row r="13368" spans="1:2" x14ac:dyDescent="0.15">
      <c r="A13368" s="15"/>
      <c r="B13368" s="15"/>
    </row>
    <row r="13369" spans="1:2" x14ac:dyDescent="0.15">
      <c r="A13369" s="15"/>
      <c r="B13369" s="15"/>
    </row>
    <row r="13370" spans="1:2" x14ac:dyDescent="0.15">
      <c r="A13370" s="15"/>
      <c r="B13370" s="15"/>
    </row>
    <row r="13371" spans="1:2" x14ac:dyDescent="0.15">
      <c r="A13371" s="15"/>
      <c r="B13371" s="15"/>
    </row>
    <row r="13372" spans="1:2" x14ac:dyDescent="0.15">
      <c r="A13372" s="15"/>
      <c r="B13372" s="15"/>
    </row>
    <row r="13373" spans="1:2" x14ac:dyDescent="0.15">
      <c r="A13373" s="15"/>
      <c r="B13373" s="15"/>
    </row>
    <row r="13374" spans="1:2" x14ac:dyDescent="0.15">
      <c r="A13374" s="15"/>
      <c r="B13374" s="15"/>
    </row>
    <row r="13375" spans="1:2" x14ac:dyDescent="0.15">
      <c r="A13375" s="15"/>
      <c r="B13375" s="15"/>
    </row>
    <row r="13376" spans="1:2" x14ac:dyDescent="0.15">
      <c r="A13376" s="15"/>
      <c r="B13376" s="15"/>
    </row>
    <row r="13377" spans="1:2" x14ac:dyDescent="0.15">
      <c r="A13377" s="15"/>
      <c r="B13377" s="15"/>
    </row>
    <row r="13378" spans="1:2" x14ac:dyDescent="0.15">
      <c r="A13378" s="15"/>
      <c r="B13378" s="15"/>
    </row>
    <row r="13379" spans="1:2" x14ac:dyDescent="0.15">
      <c r="A13379" s="15"/>
      <c r="B13379" s="15"/>
    </row>
    <row r="13380" spans="1:2" x14ac:dyDescent="0.15">
      <c r="A13380" s="15"/>
      <c r="B13380" s="15"/>
    </row>
    <row r="13381" spans="1:2" x14ac:dyDescent="0.15">
      <c r="A13381" s="15"/>
      <c r="B13381" s="15"/>
    </row>
    <row r="13382" spans="1:2" x14ac:dyDescent="0.15">
      <c r="A13382" s="15"/>
      <c r="B13382" s="15"/>
    </row>
    <row r="13383" spans="1:2" x14ac:dyDescent="0.15">
      <c r="A13383" s="15"/>
      <c r="B13383" s="15"/>
    </row>
    <row r="13384" spans="1:2" x14ac:dyDescent="0.15">
      <c r="A13384" s="15"/>
      <c r="B13384" s="15"/>
    </row>
    <row r="13385" spans="1:2" x14ac:dyDescent="0.15">
      <c r="A13385" s="15"/>
      <c r="B13385" s="15"/>
    </row>
    <row r="13386" spans="1:2" x14ac:dyDescent="0.15">
      <c r="A13386" s="15"/>
      <c r="B13386" s="15"/>
    </row>
    <row r="13387" spans="1:2" x14ac:dyDescent="0.15">
      <c r="A13387" s="15"/>
      <c r="B13387" s="15"/>
    </row>
    <row r="13388" spans="1:2" x14ac:dyDescent="0.15">
      <c r="A13388" s="15"/>
      <c r="B13388" s="15"/>
    </row>
    <row r="13389" spans="1:2" x14ac:dyDescent="0.15">
      <c r="A13389" s="15"/>
      <c r="B13389" s="15"/>
    </row>
    <row r="13390" spans="1:2" x14ac:dyDescent="0.15">
      <c r="A13390" s="15"/>
      <c r="B13390" s="15"/>
    </row>
    <row r="13391" spans="1:2" x14ac:dyDescent="0.15">
      <c r="A13391" s="15"/>
      <c r="B13391" s="15"/>
    </row>
    <row r="13392" spans="1:2" x14ac:dyDescent="0.15">
      <c r="A13392" s="15"/>
      <c r="B13392" s="15"/>
    </row>
    <row r="13393" spans="1:2" x14ac:dyDescent="0.15">
      <c r="A13393" s="15"/>
      <c r="B13393" s="15"/>
    </row>
    <row r="13394" spans="1:2" x14ac:dyDescent="0.15">
      <c r="A13394" s="15"/>
      <c r="B13394" s="15"/>
    </row>
    <row r="13395" spans="1:2" x14ac:dyDescent="0.15">
      <c r="A13395" s="15"/>
      <c r="B13395" s="15"/>
    </row>
    <row r="13396" spans="1:2" x14ac:dyDescent="0.15">
      <c r="A13396" s="15"/>
      <c r="B13396" s="15"/>
    </row>
    <row r="13397" spans="1:2" x14ac:dyDescent="0.15">
      <c r="A13397" s="15"/>
      <c r="B13397" s="15"/>
    </row>
    <row r="13398" spans="1:2" x14ac:dyDescent="0.15">
      <c r="A13398" s="15"/>
      <c r="B13398" s="15"/>
    </row>
    <row r="13399" spans="1:2" x14ac:dyDescent="0.15">
      <c r="A13399" s="15"/>
      <c r="B13399" s="15"/>
    </row>
    <row r="13400" spans="1:2" x14ac:dyDescent="0.15">
      <c r="A13400" s="15"/>
      <c r="B13400" s="15"/>
    </row>
    <row r="13401" spans="1:2" x14ac:dyDescent="0.15">
      <c r="A13401" s="15"/>
      <c r="B13401" s="15"/>
    </row>
    <row r="13402" spans="1:2" x14ac:dyDescent="0.15">
      <c r="A13402" s="15"/>
      <c r="B13402" s="15"/>
    </row>
    <row r="13403" spans="1:2" x14ac:dyDescent="0.15">
      <c r="A13403" s="15"/>
      <c r="B13403" s="15"/>
    </row>
    <row r="13404" spans="1:2" x14ac:dyDescent="0.15">
      <c r="A13404" s="15"/>
      <c r="B13404" s="15"/>
    </row>
    <row r="13405" spans="1:2" x14ac:dyDescent="0.15">
      <c r="A13405" s="15"/>
      <c r="B13405" s="15"/>
    </row>
    <row r="13406" spans="1:2" x14ac:dyDescent="0.15">
      <c r="A13406" s="15"/>
      <c r="B13406" s="15"/>
    </row>
    <row r="13407" spans="1:2" x14ac:dyDescent="0.15">
      <c r="A13407" s="15"/>
      <c r="B13407" s="15"/>
    </row>
    <row r="13408" spans="1:2" x14ac:dyDescent="0.15">
      <c r="A13408" s="15"/>
      <c r="B13408" s="15"/>
    </row>
    <row r="13409" spans="1:2" x14ac:dyDescent="0.15">
      <c r="A13409" s="15"/>
      <c r="B13409" s="15"/>
    </row>
    <row r="13410" spans="1:2" x14ac:dyDescent="0.15">
      <c r="A13410" s="15"/>
      <c r="B13410" s="15"/>
    </row>
    <row r="13411" spans="1:2" x14ac:dyDescent="0.15">
      <c r="A13411" s="15"/>
      <c r="B13411" s="15"/>
    </row>
    <row r="13412" spans="1:2" x14ac:dyDescent="0.15">
      <c r="A13412" s="15"/>
      <c r="B13412" s="15"/>
    </row>
    <row r="13413" spans="1:2" x14ac:dyDescent="0.15">
      <c r="A13413" s="15"/>
      <c r="B13413" s="15"/>
    </row>
    <row r="13414" spans="1:2" x14ac:dyDescent="0.15">
      <c r="A13414" s="15"/>
      <c r="B13414" s="15"/>
    </row>
    <row r="13415" spans="1:2" x14ac:dyDescent="0.15">
      <c r="A13415" s="15"/>
      <c r="B13415" s="15"/>
    </row>
    <row r="13416" spans="1:2" x14ac:dyDescent="0.15">
      <c r="A13416" s="15"/>
      <c r="B13416" s="15"/>
    </row>
    <row r="13417" spans="1:2" x14ac:dyDescent="0.15">
      <c r="A13417" s="15"/>
      <c r="B13417" s="15"/>
    </row>
    <row r="13418" spans="1:2" x14ac:dyDescent="0.15">
      <c r="A13418" s="15"/>
      <c r="B13418" s="15"/>
    </row>
    <row r="13419" spans="1:2" x14ac:dyDescent="0.15">
      <c r="A13419" s="15"/>
      <c r="B13419" s="15"/>
    </row>
    <row r="13420" spans="1:2" x14ac:dyDescent="0.15">
      <c r="A13420" s="15"/>
      <c r="B13420" s="15"/>
    </row>
    <row r="13421" spans="1:2" x14ac:dyDescent="0.15">
      <c r="A13421" s="15"/>
      <c r="B13421" s="15"/>
    </row>
    <row r="13422" spans="1:2" x14ac:dyDescent="0.15">
      <c r="A13422" s="15"/>
      <c r="B13422" s="15"/>
    </row>
    <row r="13423" spans="1:2" x14ac:dyDescent="0.15">
      <c r="A13423" s="15"/>
      <c r="B13423" s="15"/>
    </row>
    <row r="13424" spans="1:2" x14ac:dyDescent="0.15">
      <c r="A13424" s="15"/>
      <c r="B13424" s="15"/>
    </row>
    <row r="13425" spans="1:2" x14ac:dyDescent="0.15">
      <c r="A13425" s="15"/>
      <c r="B13425" s="15"/>
    </row>
    <row r="13426" spans="1:2" x14ac:dyDescent="0.15">
      <c r="A13426" s="15"/>
      <c r="B13426" s="15"/>
    </row>
    <row r="13427" spans="1:2" x14ac:dyDescent="0.15">
      <c r="A13427" s="15"/>
      <c r="B13427" s="15"/>
    </row>
    <row r="13428" spans="1:2" x14ac:dyDescent="0.15">
      <c r="A13428" s="15"/>
      <c r="B13428" s="15"/>
    </row>
    <row r="13429" spans="1:2" x14ac:dyDescent="0.15">
      <c r="A13429" s="15"/>
      <c r="B13429" s="15"/>
    </row>
    <row r="13430" spans="1:2" x14ac:dyDescent="0.15">
      <c r="A13430" s="15"/>
      <c r="B13430" s="15"/>
    </row>
    <row r="13431" spans="1:2" x14ac:dyDescent="0.15">
      <c r="A13431" s="15"/>
      <c r="B13431" s="15"/>
    </row>
    <row r="13432" spans="1:2" x14ac:dyDescent="0.15">
      <c r="A13432" s="15"/>
      <c r="B13432" s="15"/>
    </row>
    <row r="13433" spans="1:2" x14ac:dyDescent="0.15">
      <c r="A13433" s="15"/>
      <c r="B13433" s="15"/>
    </row>
    <row r="13434" spans="1:2" x14ac:dyDescent="0.15">
      <c r="A13434" s="15"/>
      <c r="B13434" s="15"/>
    </row>
    <row r="13435" spans="1:2" x14ac:dyDescent="0.15">
      <c r="A13435" s="15"/>
      <c r="B13435" s="15"/>
    </row>
    <row r="13436" spans="1:2" x14ac:dyDescent="0.15">
      <c r="A13436" s="15"/>
      <c r="B13436" s="15"/>
    </row>
    <row r="13437" spans="1:2" x14ac:dyDescent="0.15">
      <c r="A13437" s="15"/>
      <c r="B13437" s="15"/>
    </row>
    <row r="13438" spans="1:2" x14ac:dyDescent="0.15">
      <c r="A13438" s="15"/>
      <c r="B13438" s="15"/>
    </row>
    <row r="13439" spans="1:2" x14ac:dyDescent="0.15">
      <c r="A13439" s="15"/>
      <c r="B13439" s="15"/>
    </row>
    <row r="13440" spans="1:2" x14ac:dyDescent="0.15">
      <c r="A13440" s="15"/>
      <c r="B13440" s="15"/>
    </row>
    <row r="13441" spans="1:2" x14ac:dyDescent="0.15">
      <c r="A13441" s="15"/>
      <c r="B13441" s="15"/>
    </row>
    <row r="13442" spans="1:2" x14ac:dyDescent="0.15">
      <c r="A13442" s="15"/>
      <c r="B13442" s="15"/>
    </row>
    <row r="13443" spans="1:2" x14ac:dyDescent="0.15">
      <c r="A13443" s="15"/>
      <c r="B13443" s="15"/>
    </row>
    <row r="13444" spans="1:2" x14ac:dyDescent="0.15">
      <c r="A13444" s="15"/>
      <c r="B13444" s="15"/>
    </row>
    <row r="13445" spans="1:2" x14ac:dyDescent="0.15">
      <c r="A13445" s="15"/>
      <c r="B13445" s="15"/>
    </row>
    <row r="13446" spans="1:2" x14ac:dyDescent="0.15">
      <c r="A13446" s="15"/>
      <c r="B13446" s="15"/>
    </row>
    <row r="13447" spans="1:2" x14ac:dyDescent="0.15">
      <c r="A13447" s="15"/>
      <c r="B13447" s="15"/>
    </row>
    <row r="13448" spans="1:2" x14ac:dyDescent="0.15">
      <c r="A13448" s="15"/>
      <c r="B13448" s="15"/>
    </row>
    <row r="13449" spans="1:2" x14ac:dyDescent="0.15">
      <c r="A13449" s="15"/>
      <c r="B13449" s="15"/>
    </row>
    <row r="13450" spans="1:2" x14ac:dyDescent="0.15">
      <c r="A13450" s="15"/>
      <c r="B13450" s="15"/>
    </row>
    <row r="13451" spans="1:2" x14ac:dyDescent="0.15">
      <c r="A13451" s="15"/>
      <c r="B13451" s="15"/>
    </row>
    <row r="13452" spans="1:2" x14ac:dyDescent="0.15">
      <c r="A13452" s="15"/>
      <c r="B13452" s="15"/>
    </row>
    <row r="13453" spans="1:2" x14ac:dyDescent="0.15">
      <c r="A13453" s="15"/>
      <c r="B13453" s="15"/>
    </row>
    <row r="13454" spans="1:2" x14ac:dyDescent="0.15">
      <c r="A13454" s="15"/>
      <c r="B13454" s="15"/>
    </row>
    <row r="13455" spans="1:2" x14ac:dyDescent="0.15">
      <c r="A13455" s="15"/>
      <c r="B13455" s="15"/>
    </row>
    <row r="13456" spans="1:2" x14ac:dyDescent="0.15">
      <c r="A13456" s="15"/>
      <c r="B13456" s="15"/>
    </row>
    <row r="13457" spans="1:2" x14ac:dyDescent="0.15">
      <c r="A13457" s="15"/>
      <c r="B13457" s="15"/>
    </row>
    <row r="13458" spans="1:2" x14ac:dyDescent="0.15">
      <c r="A13458" s="15"/>
      <c r="B13458" s="15"/>
    </row>
    <row r="13459" spans="1:2" x14ac:dyDescent="0.15">
      <c r="A13459" s="15"/>
      <c r="B13459" s="15"/>
    </row>
    <row r="13460" spans="1:2" x14ac:dyDescent="0.15">
      <c r="A13460" s="15"/>
      <c r="B13460" s="15"/>
    </row>
    <row r="13461" spans="1:2" x14ac:dyDescent="0.15">
      <c r="A13461" s="15"/>
      <c r="B13461" s="15"/>
    </row>
    <row r="13462" spans="1:2" x14ac:dyDescent="0.15">
      <c r="A13462" s="15"/>
      <c r="B13462" s="15"/>
    </row>
    <row r="13463" spans="1:2" x14ac:dyDescent="0.15">
      <c r="A13463" s="15"/>
      <c r="B13463" s="15"/>
    </row>
    <row r="13464" spans="1:2" x14ac:dyDescent="0.15">
      <c r="A13464" s="15"/>
      <c r="B13464" s="15"/>
    </row>
    <row r="13465" spans="1:2" x14ac:dyDescent="0.15">
      <c r="A13465" s="15"/>
      <c r="B13465" s="15"/>
    </row>
    <row r="13466" spans="1:2" x14ac:dyDescent="0.15">
      <c r="A13466" s="15"/>
      <c r="B13466" s="15"/>
    </row>
    <row r="13467" spans="1:2" x14ac:dyDescent="0.15">
      <c r="A13467" s="15"/>
      <c r="B13467" s="15"/>
    </row>
    <row r="13468" spans="1:2" x14ac:dyDescent="0.15">
      <c r="A13468" s="15"/>
      <c r="B13468" s="15"/>
    </row>
    <row r="13469" spans="1:2" x14ac:dyDescent="0.15">
      <c r="A13469" s="15"/>
      <c r="B13469" s="15"/>
    </row>
    <row r="13470" spans="1:2" x14ac:dyDescent="0.15">
      <c r="A13470" s="15"/>
      <c r="B13470" s="15"/>
    </row>
    <row r="13471" spans="1:2" x14ac:dyDescent="0.15">
      <c r="A13471" s="15"/>
      <c r="B13471" s="15"/>
    </row>
    <row r="13472" spans="1:2" x14ac:dyDescent="0.15">
      <c r="A13472" s="15"/>
      <c r="B13472" s="15"/>
    </row>
    <row r="13473" spans="1:2" x14ac:dyDescent="0.15">
      <c r="A13473" s="15"/>
      <c r="B13473" s="15"/>
    </row>
    <row r="13474" spans="1:2" x14ac:dyDescent="0.15">
      <c r="A13474" s="15"/>
      <c r="B13474" s="15"/>
    </row>
    <row r="13475" spans="1:2" x14ac:dyDescent="0.15">
      <c r="A13475" s="15"/>
      <c r="B13475" s="15"/>
    </row>
    <row r="13476" spans="1:2" x14ac:dyDescent="0.15">
      <c r="A13476" s="15"/>
      <c r="B13476" s="15"/>
    </row>
    <row r="13477" spans="1:2" x14ac:dyDescent="0.15">
      <c r="A13477" s="15"/>
      <c r="B13477" s="15"/>
    </row>
    <row r="13478" spans="1:2" x14ac:dyDescent="0.15">
      <c r="A13478" s="15"/>
      <c r="B13478" s="15"/>
    </row>
    <row r="13479" spans="1:2" x14ac:dyDescent="0.15">
      <c r="A13479" s="15"/>
      <c r="B13479" s="15"/>
    </row>
    <row r="13480" spans="1:2" x14ac:dyDescent="0.15">
      <c r="A13480" s="15"/>
      <c r="B13480" s="15"/>
    </row>
    <row r="13481" spans="1:2" x14ac:dyDescent="0.15">
      <c r="A13481" s="15"/>
      <c r="B13481" s="15"/>
    </row>
    <row r="13482" spans="1:2" x14ac:dyDescent="0.15">
      <c r="A13482" s="15"/>
      <c r="B13482" s="15"/>
    </row>
    <row r="13483" spans="1:2" x14ac:dyDescent="0.15">
      <c r="A13483" s="15"/>
      <c r="B13483" s="15"/>
    </row>
    <row r="13484" spans="1:2" x14ac:dyDescent="0.15">
      <c r="A13484" s="15"/>
      <c r="B13484" s="15"/>
    </row>
    <row r="13485" spans="1:2" x14ac:dyDescent="0.15">
      <c r="A13485" s="15"/>
      <c r="B13485" s="15"/>
    </row>
    <row r="13486" spans="1:2" x14ac:dyDescent="0.15">
      <c r="A13486" s="15"/>
      <c r="B13486" s="15"/>
    </row>
    <row r="13487" spans="1:2" x14ac:dyDescent="0.15">
      <c r="A13487" s="15"/>
      <c r="B13487" s="15"/>
    </row>
    <row r="13488" spans="1:2" x14ac:dyDescent="0.15">
      <c r="A13488" s="15"/>
      <c r="B13488" s="15"/>
    </row>
    <row r="13489" spans="1:2" x14ac:dyDescent="0.15">
      <c r="A13489" s="15"/>
      <c r="B13489" s="15"/>
    </row>
    <row r="13490" spans="1:2" x14ac:dyDescent="0.15">
      <c r="A13490" s="15"/>
      <c r="B13490" s="15"/>
    </row>
    <row r="13491" spans="1:2" x14ac:dyDescent="0.15">
      <c r="A13491" s="15"/>
      <c r="B13491" s="15"/>
    </row>
    <row r="13492" spans="1:2" x14ac:dyDescent="0.15">
      <c r="A13492" s="15"/>
      <c r="B13492" s="15"/>
    </row>
    <row r="13493" spans="1:2" x14ac:dyDescent="0.15">
      <c r="A13493" s="15"/>
      <c r="B13493" s="15"/>
    </row>
    <row r="13494" spans="1:2" x14ac:dyDescent="0.15">
      <c r="A13494" s="15"/>
      <c r="B13494" s="15"/>
    </row>
    <row r="13495" spans="1:2" x14ac:dyDescent="0.15">
      <c r="A13495" s="15"/>
      <c r="B13495" s="15"/>
    </row>
    <row r="13496" spans="1:2" x14ac:dyDescent="0.15">
      <c r="A13496" s="15"/>
      <c r="B13496" s="15"/>
    </row>
    <row r="13497" spans="1:2" x14ac:dyDescent="0.15">
      <c r="A13497" s="15"/>
      <c r="B13497" s="15"/>
    </row>
    <row r="13498" spans="1:2" x14ac:dyDescent="0.15">
      <c r="A13498" s="15"/>
      <c r="B13498" s="15"/>
    </row>
    <row r="13499" spans="1:2" x14ac:dyDescent="0.15">
      <c r="A13499" s="15"/>
      <c r="B13499" s="15"/>
    </row>
    <row r="13500" spans="1:2" x14ac:dyDescent="0.15">
      <c r="A13500" s="15"/>
      <c r="B13500" s="15"/>
    </row>
    <row r="13501" spans="1:2" x14ac:dyDescent="0.15">
      <c r="A13501" s="15"/>
      <c r="B13501" s="15"/>
    </row>
    <row r="13502" spans="1:2" x14ac:dyDescent="0.15">
      <c r="A13502" s="15"/>
      <c r="B13502" s="15"/>
    </row>
    <row r="13503" spans="1:2" x14ac:dyDescent="0.15">
      <c r="A13503" s="15"/>
      <c r="B13503" s="15"/>
    </row>
    <row r="13504" spans="1:2" x14ac:dyDescent="0.15">
      <c r="A13504" s="15"/>
      <c r="B13504" s="15"/>
    </row>
    <row r="13505" spans="1:2" x14ac:dyDescent="0.15">
      <c r="A13505" s="15"/>
      <c r="B13505" s="15"/>
    </row>
    <row r="13506" spans="1:2" x14ac:dyDescent="0.15">
      <c r="A13506" s="15"/>
      <c r="B13506" s="15"/>
    </row>
    <row r="13507" spans="1:2" x14ac:dyDescent="0.15">
      <c r="A13507" s="15"/>
      <c r="B13507" s="15"/>
    </row>
    <row r="13508" spans="1:2" x14ac:dyDescent="0.15">
      <c r="A13508" s="15"/>
      <c r="B13508" s="15"/>
    </row>
    <row r="13509" spans="1:2" x14ac:dyDescent="0.15">
      <c r="A13509" s="15"/>
      <c r="B13509" s="15"/>
    </row>
    <row r="13510" spans="1:2" x14ac:dyDescent="0.15">
      <c r="A13510" s="15"/>
      <c r="B13510" s="15"/>
    </row>
    <row r="13511" spans="1:2" x14ac:dyDescent="0.15">
      <c r="A13511" s="15"/>
      <c r="B13511" s="15"/>
    </row>
    <row r="13512" spans="1:2" x14ac:dyDescent="0.15">
      <c r="A13512" s="15"/>
      <c r="B13512" s="15"/>
    </row>
    <row r="13513" spans="1:2" x14ac:dyDescent="0.15">
      <c r="A13513" s="15"/>
      <c r="B13513" s="15"/>
    </row>
    <row r="13514" spans="1:2" x14ac:dyDescent="0.15">
      <c r="A13514" s="15"/>
      <c r="B13514" s="15"/>
    </row>
    <row r="13515" spans="1:2" x14ac:dyDescent="0.15">
      <c r="A13515" s="15"/>
      <c r="B13515" s="15"/>
    </row>
    <row r="13516" spans="1:2" x14ac:dyDescent="0.15">
      <c r="A13516" s="15"/>
      <c r="B13516" s="15"/>
    </row>
    <row r="13517" spans="1:2" x14ac:dyDescent="0.15">
      <c r="A13517" s="15"/>
      <c r="B13517" s="15"/>
    </row>
    <row r="13518" spans="1:2" x14ac:dyDescent="0.15">
      <c r="A13518" s="15"/>
      <c r="B13518" s="15"/>
    </row>
    <row r="13519" spans="1:2" x14ac:dyDescent="0.15">
      <c r="A13519" s="15"/>
      <c r="B13519" s="15"/>
    </row>
    <row r="13520" spans="1:2" x14ac:dyDescent="0.15">
      <c r="A13520" s="15"/>
      <c r="B13520" s="15"/>
    </row>
    <row r="13521" spans="1:2" x14ac:dyDescent="0.15">
      <c r="A13521" s="15"/>
      <c r="B13521" s="15"/>
    </row>
    <row r="13522" spans="1:2" x14ac:dyDescent="0.15">
      <c r="A13522" s="15"/>
      <c r="B13522" s="15"/>
    </row>
    <row r="13523" spans="1:2" x14ac:dyDescent="0.15">
      <c r="A13523" s="15"/>
      <c r="B13523" s="15"/>
    </row>
    <row r="13524" spans="1:2" x14ac:dyDescent="0.15">
      <c r="A13524" s="15"/>
      <c r="B13524" s="15"/>
    </row>
    <row r="13525" spans="1:2" x14ac:dyDescent="0.15">
      <c r="A13525" s="15"/>
      <c r="B13525" s="15"/>
    </row>
    <row r="13526" spans="1:2" x14ac:dyDescent="0.15">
      <c r="A13526" s="15"/>
      <c r="B13526" s="15"/>
    </row>
    <row r="13527" spans="1:2" x14ac:dyDescent="0.15">
      <c r="A13527" s="15"/>
      <c r="B13527" s="15"/>
    </row>
    <row r="13528" spans="1:2" x14ac:dyDescent="0.15">
      <c r="A13528" s="15"/>
      <c r="B13528" s="15"/>
    </row>
    <row r="13529" spans="1:2" x14ac:dyDescent="0.15">
      <c r="A13529" s="15"/>
      <c r="B13529" s="15"/>
    </row>
    <row r="13530" spans="1:2" x14ac:dyDescent="0.15">
      <c r="A13530" s="15"/>
      <c r="B13530" s="15"/>
    </row>
    <row r="13531" spans="1:2" x14ac:dyDescent="0.15">
      <c r="A13531" s="15"/>
      <c r="B13531" s="15"/>
    </row>
    <row r="13532" spans="1:2" x14ac:dyDescent="0.15">
      <c r="A13532" s="15"/>
      <c r="B13532" s="15"/>
    </row>
    <row r="13533" spans="1:2" x14ac:dyDescent="0.15">
      <c r="A13533" s="15"/>
      <c r="B13533" s="15"/>
    </row>
    <row r="13534" spans="1:2" x14ac:dyDescent="0.15">
      <c r="A13534" s="15"/>
      <c r="B13534" s="15"/>
    </row>
    <row r="13535" spans="1:2" x14ac:dyDescent="0.15">
      <c r="A13535" s="15"/>
      <c r="B13535" s="15"/>
    </row>
    <row r="13536" spans="1:2" x14ac:dyDescent="0.15">
      <c r="A13536" s="15"/>
      <c r="B13536" s="15"/>
    </row>
    <row r="13537" spans="1:2" x14ac:dyDescent="0.15">
      <c r="A13537" s="15"/>
      <c r="B13537" s="15"/>
    </row>
    <row r="13538" spans="1:2" x14ac:dyDescent="0.15">
      <c r="A13538" s="15"/>
      <c r="B13538" s="15"/>
    </row>
    <row r="13539" spans="1:2" x14ac:dyDescent="0.15">
      <c r="A13539" s="15"/>
      <c r="B13539" s="15"/>
    </row>
    <row r="13540" spans="1:2" x14ac:dyDescent="0.15">
      <c r="A13540" s="15"/>
      <c r="B13540" s="15"/>
    </row>
    <row r="13541" spans="1:2" x14ac:dyDescent="0.15">
      <c r="A13541" s="15"/>
      <c r="B13541" s="15"/>
    </row>
    <row r="13542" spans="1:2" x14ac:dyDescent="0.15">
      <c r="A13542" s="15"/>
      <c r="B13542" s="15"/>
    </row>
    <row r="13543" spans="1:2" x14ac:dyDescent="0.15">
      <c r="A13543" s="15"/>
      <c r="B13543" s="15"/>
    </row>
    <row r="13544" spans="1:2" x14ac:dyDescent="0.15">
      <c r="A13544" s="15"/>
      <c r="B13544" s="15"/>
    </row>
    <row r="13545" spans="1:2" x14ac:dyDescent="0.15">
      <c r="A13545" s="15"/>
      <c r="B13545" s="15"/>
    </row>
    <row r="13546" spans="1:2" x14ac:dyDescent="0.15">
      <c r="A13546" s="15"/>
      <c r="B13546" s="15"/>
    </row>
    <row r="13547" spans="1:2" x14ac:dyDescent="0.15">
      <c r="A13547" s="15"/>
      <c r="B13547" s="15"/>
    </row>
    <row r="13548" spans="1:2" x14ac:dyDescent="0.15">
      <c r="A13548" s="15"/>
      <c r="B13548" s="15"/>
    </row>
    <row r="13549" spans="1:2" x14ac:dyDescent="0.15">
      <c r="A13549" s="15"/>
      <c r="B13549" s="15"/>
    </row>
    <row r="13550" spans="1:2" x14ac:dyDescent="0.15">
      <c r="A13550" s="15"/>
      <c r="B13550" s="15"/>
    </row>
    <row r="13551" spans="1:2" x14ac:dyDescent="0.15">
      <c r="A13551" s="15"/>
      <c r="B13551" s="15"/>
    </row>
    <row r="13552" spans="1:2" x14ac:dyDescent="0.15">
      <c r="A13552" s="15"/>
      <c r="B13552" s="15"/>
    </row>
    <row r="13553" spans="1:2" x14ac:dyDescent="0.15">
      <c r="A13553" s="15"/>
      <c r="B13553" s="15"/>
    </row>
    <row r="13554" spans="1:2" x14ac:dyDescent="0.15">
      <c r="A13554" s="15"/>
      <c r="B13554" s="15"/>
    </row>
    <row r="13555" spans="1:2" x14ac:dyDescent="0.15">
      <c r="A13555" s="15"/>
      <c r="B13555" s="15"/>
    </row>
    <row r="13556" spans="1:2" x14ac:dyDescent="0.15">
      <c r="A13556" s="15"/>
      <c r="B13556" s="15"/>
    </row>
    <row r="13557" spans="1:2" x14ac:dyDescent="0.15">
      <c r="A13557" s="15"/>
      <c r="B13557" s="15"/>
    </row>
    <row r="13558" spans="1:2" x14ac:dyDescent="0.15">
      <c r="A13558" s="15"/>
      <c r="B13558" s="15"/>
    </row>
    <row r="13559" spans="1:2" x14ac:dyDescent="0.15">
      <c r="A13559" s="15"/>
      <c r="B13559" s="15"/>
    </row>
    <row r="13560" spans="1:2" x14ac:dyDescent="0.15">
      <c r="A13560" s="15"/>
      <c r="B13560" s="15"/>
    </row>
    <row r="13561" spans="1:2" x14ac:dyDescent="0.15">
      <c r="A13561" s="15"/>
      <c r="B13561" s="15"/>
    </row>
    <row r="13562" spans="1:2" x14ac:dyDescent="0.15">
      <c r="A13562" s="15"/>
      <c r="B13562" s="15"/>
    </row>
    <row r="13563" spans="1:2" x14ac:dyDescent="0.15">
      <c r="A13563" s="15"/>
      <c r="B13563" s="15"/>
    </row>
    <row r="13564" spans="1:2" x14ac:dyDescent="0.15">
      <c r="A13564" s="15"/>
      <c r="B13564" s="15"/>
    </row>
    <row r="13565" spans="1:2" x14ac:dyDescent="0.15">
      <c r="A13565" s="15"/>
      <c r="B13565" s="15"/>
    </row>
    <row r="13566" spans="1:2" x14ac:dyDescent="0.15">
      <c r="A13566" s="15"/>
      <c r="B13566" s="15"/>
    </row>
    <row r="13567" spans="1:2" x14ac:dyDescent="0.15">
      <c r="A13567" s="15"/>
      <c r="B13567" s="15"/>
    </row>
    <row r="13568" spans="1:2" x14ac:dyDescent="0.15">
      <c r="A13568" s="15"/>
      <c r="B13568" s="15"/>
    </row>
    <row r="13569" spans="1:2" x14ac:dyDescent="0.15">
      <c r="A13569" s="15"/>
      <c r="B13569" s="15"/>
    </row>
    <row r="13570" spans="1:2" x14ac:dyDescent="0.15">
      <c r="A13570" s="15"/>
      <c r="B13570" s="15"/>
    </row>
    <row r="13571" spans="1:2" x14ac:dyDescent="0.15">
      <c r="A13571" s="15"/>
      <c r="B13571" s="15"/>
    </row>
    <row r="13572" spans="1:2" x14ac:dyDescent="0.15">
      <c r="A13572" s="15"/>
      <c r="B13572" s="15"/>
    </row>
    <row r="13573" spans="1:2" x14ac:dyDescent="0.15">
      <c r="A13573" s="15"/>
      <c r="B13573" s="15"/>
    </row>
    <row r="13574" spans="1:2" x14ac:dyDescent="0.15">
      <c r="A13574" s="15"/>
      <c r="B13574" s="15"/>
    </row>
    <row r="13575" spans="1:2" x14ac:dyDescent="0.15">
      <c r="A13575" s="15"/>
      <c r="B13575" s="15"/>
    </row>
    <row r="13576" spans="1:2" x14ac:dyDescent="0.15">
      <c r="A13576" s="15"/>
      <c r="B13576" s="15"/>
    </row>
    <row r="13577" spans="1:2" x14ac:dyDescent="0.15">
      <c r="A13577" s="15"/>
      <c r="B13577" s="15"/>
    </row>
    <row r="13578" spans="1:2" x14ac:dyDescent="0.15">
      <c r="A13578" s="15"/>
      <c r="B13578" s="15"/>
    </row>
    <row r="13579" spans="1:2" x14ac:dyDescent="0.15">
      <c r="A13579" s="15"/>
      <c r="B13579" s="15"/>
    </row>
    <row r="13580" spans="1:2" x14ac:dyDescent="0.15">
      <c r="A13580" s="15"/>
      <c r="B13580" s="15"/>
    </row>
    <row r="13581" spans="1:2" x14ac:dyDescent="0.15">
      <c r="A13581" s="15"/>
      <c r="B13581" s="15"/>
    </row>
    <row r="13582" spans="1:2" x14ac:dyDescent="0.15">
      <c r="A13582" s="15"/>
      <c r="B13582" s="15"/>
    </row>
    <row r="13583" spans="1:2" x14ac:dyDescent="0.15">
      <c r="A13583" s="15"/>
      <c r="B13583" s="15"/>
    </row>
    <row r="13584" spans="1:2" x14ac:dyDescent="0.15">
      <c r="A13584" s="15"/>
      <c r="B13584" s="15"/>
    </row>
    <row r="13585" spans="1:2" x14ac:dyDescent="0.15">
      <c r="A13585" s="15"/>
      <c r="B13585" s="15"/>
    </row>
    <row r="13586" spans="1:2" x14ac:dyDescent="0.15">
      <c r="A13586" s="15"/>
      <c r="B13586" s="15"/>
    </row>
    <row r="13587" spans="1:2" x14ac:dyDescent="0.15">
      <c r="A13587" s="15"/>
      <c r="B13587" s="15"/>
    </row>
    <row r="13588" spans="1:2" x14ac:dyDescent="0.15">
      <c r="A13588" s="15"/>
      <c r="B13588" s="15"/>
    </row>
    <row r="13589" spans="1:2" x14ac:dyDescent="0.15">
      <c r="A13589" s="15"/>
      <c r="B13589" s="15"/>
    </row>
    <row r="13590" spans="1:2" x14ac:dyDescent="0.15">
      <c r="A13590" s="15"/>
      <c r="B13590" s="15"/>
    </row>
    <row r="13591" spans="1:2" x14ac:dyDescent="0.15">
      <c r="A13591" s="15"/>
      <c r="B13591" s="15"/>
    </row>
    <row r="13592" spans="1:2" x14ac:dyDescent="0.15">
      <c r="A13592" s="15"/>
      <c r="B13592" s="15"/>
    </row>
    <row r="13593" spans="1:2" x14ac:dyDescent="0.15">
      <c r="A13593" s="15"/>
      <c r="B13593" s="15"/>
    </row>
    <row r="13594" spans="1:2" x14ac:dyDescent="0.15">
      <c r="A13594" s="15"/>
      <c r="B13594" s="15"/>
    </row>
    <row r="13595" spans="1:2" x14ac:dyDescent="0.15">
      <c r="A13595" s="15"/>
      <c r="B13595" s="15"/>
    </row>
    <row r="13596" spans="1:2" x14ac:dyDescent="0.15">
      <c r="A13596" s="15"/>
      <c r="B13596" s="15"/>
    </row>
    <row r="13597" spans="1:2" x14ac:dyDescent="0.15">
      <c r="A13597" s="15"/>
      <c r="B13597" s="15"/>
    </row>
    <row r="13598" spans="1:2" x14ac:dyDescent="0.15">
      <c r="A13598" s="15"/>
      <c r="B13598" s="15"/>
    </row>
    <row r="13599" spans="1:2" x14ac:dyDescent="0.15">
      <c r="A13599" s="15"/>
      <c r="B13599" s="15"/>
    </row>
    <row r="13600" spans="1:2" x14ac:dyDescent="0.15">
      <c r="A13600" s="15"/>
      <c r="B13600" s="15"/>
    </row>
    <row r="13601" spans="1:2" x14ac:dyDescent="0.15">
      <c r="A13601" s="15"/>
      <c r="B13601" s="15"/>
    </row>
    <row r="13602" spans="1:2" x14ac:dyDescent="0.15">
      <c r="A13602" s="15"/>
      <c r="B13602" s="15"/>
    </row>
    <row r="13603" spans="1:2" x14ac:dyDescent="0.15">
      <c r="A13603" s="15"/>
      <c r="B13603" s="15"/>
    </row>
    <row r="13604" spans="1:2" x14ac:dyDescent="0.15">
      <c r="A13604" s="15"/>
      <c r="B13604" s="15"/>
    </row>
    <row r="13605" spans="1:2" x14ac:dyDescent="0.15">
      <c r="A13605" s="15"/>
      <c r="B13605" s="15"/>
    </row>
    <row r="13606" spans="1:2" x14ac:dyDescent="0.15">
      <c r="A13606" s="15"/>
      <c r="B13606" s="15"/>
    </row>
    <row r="13607" spans="1:2" x14ac:dyDescent="0.15">
      <c r="A13607" s="15"/>
      <c r="B13607" s="15"/>
    </row>
    <row r="13608" spans="1:2" x14ac:dyDescent="0.15">
      <c r="A13608" s="15"/>
      <c r="B13608" s="15"/>
    </row>
    <row r="13609" spans="1:2" x14ac:dyDescent="0.15">
      <c r="A13609" s="15"/>
      <c r="B13609" s="15"/>
    </row>
    <row r="13610" spans="1:2" x14ac:dyDescent="0.15">
      <c r="A13610" s="15"/>
      <c r="B13610" s="15"/>
    </row>
    <row r="13611" spans="1:2" x14ac:dyDescent="0.15">
      <c r="A13611" s="15"/>
      <c r="B13611" s="15"/>
    </row>
    <row r="13612" spans="1:2" x14ac:dyDescent="0.15">
      <c r="A13612" s="15"/>
      <c r="B13612" s="15"/>
    </row>
    <row r="13613" spans="1:2" x14ac:dyDescent="0.15">
      <c r="A13613" s="15"/>
      <c r="B13613" s="15"/>
    </row>
    <row r="13614" spans="1:2" x14ac:dyDescent="0.15">
      <c r="A13614" s="15"/>
      <c r="B13614" s="15"/>
    </row>
    <row r="13615" spans="1:2" x14ac:dyDescent="0.15">
      <c r="A13615" s="15"/>
      <c r="B13615" s="15"/>
    </row>
    <row r="13616" spans="1:2" x14ac:dyDescent="0.15">
      <c r="A13616" s="15"/>
      <c r="B13616" s="15"/>
    </row>
    <row r="13617" spans="1:2" x14ac:dyDescent="0.15">
      <c r="A13617" s="15"/>
      <c r="B13617" s="15"/>
    </row>
    <row r="13618" spans="1:2" x14ac:dyDescent="0.15">
      <c r="A13618" s="15"/>
      <c r="B13618" s="15"/>
    </row>
    <row r="13619" spans="1:2" x14ac:dyDescent="0.15">
      <c r="A13619" s="15"/>
      <c r="B13619" s="15"/>
    </row>
    <row r="13620" spans="1:2" x14ac:dyDescent="0.15">
      <c r="A13620" s="15"/>
      <c r="B13620" s="15"/>
    </row>
    <row r="13621" spans="1:2" x14ac:dyDescent="0.15">
      <c r="A13621" s="15"/>
      <c r="B13621" s="15"/>
    </row>
    <row r="13622" spans="1:2" x14ac:dyDescent="0.15">
      <c r="A13622" s="15"/>
      <c r="B13622" s="15"/>
    </row>
    <row r="13623" spans="1:2" x14ac:dyDescent="0.15">
      <c r="A13623" s="15"/>
      <c r="B13623" s="15"/>
    </row>
    <row r="13624" spans="1:2" x14ac:dyDescent="0.15">
      <c r="A13624" s="15"/>
      <c r="B13624" s="15"/>
    </row>
    <row r="13625" spans="1:2" x14ac:dyDescent="0.15">
      <c r="A13625" s="15"/>
      <c r="B13625" s="15"/>
    </row>
    <row r="13626" spans="1:2" x14ac:dyDescent="0.15">
      <c r="A13626" s="15"/>
      <c r="B13626" s="15"/>
    </row>
    <row r="13627" spans="1:2" x14ac:dyDescent="0.15">
      <c r="A13627" s="15"/>
      <c r="B13627" s="15"/>
    </row>
    <row r="13628" spans="1:2" x14ac:dyDescent="0.15">
      <c r="A13628" s="15"/>
      <c r="B13628" s="15"/>
    </row>
    <row r="13629" spans="1:2" x14ac:dyDescent="0.15">
      <c r="A13629" s="15"/>
      <c r="B13629" s="15"/>
    </row>
    <row r="13630" spans="1:2" x14ac:dyDescent="0.15">
      <c r="A13630" s="15"/>
      <c r="B13630" s="15"/>
    </row>
    <row r="13631" spans="1:2" x14ac:dyDescent="0.15">
      <c r="A13631" s="15"/>
      <c r="B13631" s="15"/>
    </row>
    <row r="13632" spans="1:2" x14ac:dyDescent="0.15">
      <c r="A13632" s="15"/>
      <c r="B13632" s="15"/>
    </row>
    <row r="13633" spans="1:2" x14ac:dyDescent="0.15">
      <c r="A13633" s="15"/>
      <c r="B13633" s="15"/>
    </row>
    <row r="13634" spans="1:2" x14ac:dyDescent="0.15">
      <c r="A13634" s="15"/>
      <c r="B13634" s="15"/>
    </row>
    <row r="13635" spans="1:2" x14ac:dyDescent="0.15">
      <c r="A13635" s="15"/>
      <c r="B13635" s="15"/>
    </row>
    <row r="13636" spans="1:2" x14ac:dyDescent="0.15">
      <c r="A13636" s="15"/>
      <c r="B13636" s="15"/>
    </row>
    <row r="13637" spans="1:2" x14ac:dyDescent="0.15">
      <c r="A13637" s="15"/>
      <c r="B13637" s="15"/>
    </row>
    <row r="13638" spans="1:2" x14ac:dyDescent="0.15">
      <c r="A13638" s="15"/>
      <c r="B13638" s="15"/>
    </row>
    <row r="13639" spans="1:2" x14ac:dyDescent="0.15">
      <c r="A13639" s="15"/>
      <c r="B13639" s="15"/>
    </row>
    <row r="13640" spans="1:2" x14ac:dyDescent="0.15">
      <c r="A13640" s="15"/>
      <c r="B13640" s="15"/>
    </row>
    <row r="13641" spans="1:2" x14ac:dyDescent="0.15">
      <c r="A13641" s="15"/>
      <c r="B13641" s="15"/>
    </row>
    <row r="13642" spans="1:2" x14ac:dyDescent="0.15">
      <c r="A13642" s="15"/>
      <c r="B13642" s="15"/>
    </row>
    <row r="13643" spans="1:2" x14ac:dyDescent="0.15">
      <c r="A13643" s="15"/>
      <c r="B13643" s="15"/>
    </row>
    <row r="13644" spans="1:2" x14ac:dyDescent="0.15">
      <c r="A13644" s="15"/>
      <c r="B13644" s="15"/>
    </row>
    <row r="13645" spans="1:2" x14ac:dyDescent="0.15">
      <c r="A13645" s="15"/>
      <c r="B13645" s="15"/>
    </row>
    <row r="13646" spans="1:2" x14ac:dyDescent="0.15">
      <c r="A13646" s="15"/>
      <c r="B13646" s="15"/>
    </row>
    <row r="13647" spans="1:2" x14ac:dyDescent="0.15">
      <c r="A13647" s="15"/>
      <c r="B13647" s="15"/>
    </row>
    <row r="13648" spans="1:2" x14ac:dyDescent="0.15">
      <c r="A13648" s="15"/>
      <c r="B13648" s="15"/>
    </row>
    <row r="13649" spans="1:2" x14ac:dyDescent="0.15">
      <c r="A13649" s="15"/>
      <c r="B13649" s="15"/>
    </row>
    <row r="13650" spans="1:2" x14ac:dyDescent="0.15">
      <c r="A13650" s="15"/>
      <c r="B13650" s="15"/>
    </row>
    <row r="13651" spans="1:2" x14ac:dyDescent="0.15">
      <c r="A13651" s="15"/>
      <c r="B13651" s="15"/>
    </row>
    <row r="13652" spans="1:2" x14ac:dyDescent="0.15">
      <c r="A13652" s="15"/>
      <c r="B13652" s="15"/>
    </row>
    <row r="13653" spans="1:2" x14ac:dyDescent="0.15">
      <c r="A13653" s="15"/>
      <c r="B13653" s="15"/>
    </row>
    <row r="13654" spans="1:2" x14ac:dyDescent="0.15">
      <c r="A13654" s="15"/>
      <c r="B13654" s="15"/>
    </row>
    <row r="13655" spans="1:2" x14ac:dyDescent="0.15">
      <c r="A13655" s="15"/>
      <c r="B13655" s="15"/>
    </row>
    <row r="13656" spans="1:2" x14ac:dyDescent="0.15">
      <c r="A13656" s="15"/>
      <c r="B13656" s="15"/>
    </row>
    <row r="13657" spans="1:2" x14ac:dyDescent="0.15">
      <c r="A13657" s="15"/>
      <c r="B13657" s="15"/>
    </row>
    <row r="13658" spans="1:2" x14ac:dyDescent="0.15">
      <c r="A13658" s="15"/>
      <c r="B13658" s="15"/>
    </row>
    <row r="13659" spans="1:2" x14ac:dyDescent="0.15">
      <c r="A13659" s="15"/>
      <c r="B13659" s="15"/>
    </row>
    <row r="13660" spans="1:2" x14ac:dyDescent="0.15">
      <c r="A13660" s="15"/>
      <c r="B13660" s="15"/>
    </row>
    <row r="13661" spans="1:2" x14ac:dyDescent="0.15">
      <c r="A13661" s="15"/>
      <c r="B13661" s="15"/>
    </row>
    <row r="13662" spans="1:2" x14ac:dyDescent="0.15">
      <c r="A13662" s="15"/>
      <c r="B13662" s="15"/>
    </row>
    <row r="13663" spans="1:2" x14ac:dyDescent="0.15">
      <c r="A13663" s="15"/>
      <c r="B13663" s="15"/>
    </row>
    <row r="13664" spans="1:2" x14ac:dyDescent="0.15">
      <c r="A13664" s="15"/>
      <c r="B13664" s="15"/>
    </row>
    <row r="13665" spans="1:2" x14ac:dyDescent="0.15">
      <c r="A13665" s="15"/>
      <c r="B13665" s="15"/>
    </row>
    <row r="13666" spans="1:2" x14ac:dyDescent="0.15">
      <c r="A13666" s="15"/>
      <c r="B13666" s="15"/>
    </row>
    <row r="13667" spans="1:2" x14ac:dyDescent="0.15">
      <c r="A13667" s="15"/>
      <c r="B13667" s="15"/>
    </row>
    <row r="13668" spans="1:2" x14ac:dyDescent="0.15">
      <c r="A13668" s="15"/>
      <c r="B13668" s="15"/>
    </row>
    <row r="13669" spans="1:2" x14ac:dyDescent="0.15">
      <c r="A13669" s="15"/>
      <c r="B13669" s="15"/>
    </row>
    <row r="13670" spans="1:2" x14ac:dyDescent="0.15">
      <c r="A13670" s="15"/>
      <c r="B13670" s="15"/>
    </row>
    <row r="13671" spans="1:2" x14ac:dyDescent="0.15">
      <c r="A13671" s="15"/>
      <c r="B13671" s="15"/>
    </row>
    <row r="13672" spans="1:2" x14ac:dyDescent="0.15">
      <c r="A13672" s="15"/>
      <c r="B13672" s="15"/>
    </row>
    <row r="13673" spans="1:2" x14ac:dyDescent="0.15">
      <c r="A13673" s="15"/>
      <c r="B13673" s="15"/>
    </row>
    <row r="13674" spans="1:2" x14ac:dyDescent="0.15">
      <c r="A13674" s="15"/>
      <c r="B13674" s="15"/>
    </row>
    <row r="13675" spans="1:2" x14ac:dyDescent="0.15">
      <c r="A13675" s="15"/>
      <c r="B13675" s="15"/>
    </row>
    <row r="13676" spans="1:2" x14ac:dyDescent="0.15">
      <c r="A13676" s="15"/>
      <c r="B13676" s="15"/>
    </row>
    <row r="13677" spans="1:2" x14ac:dyDescent="0.15">
      <c r="A13677" s="15"/>
      <c r="B13677" s="15"/>
    </row>
    <row r="13678" spans="1:2" x14ac:dyDescent="0.15">
      <c r="A13678" s="15"/>
      <c r="B13678" s="15"/>
    </row>
    <row r="13679" spans="1:2" x14ac:dyDescent="0.15">
      <c r="A13679" s="15"/>
      <c r="B13679" s="15"/>
    </row>
    <row r="13680" spans="1:2" x14ac:dyDescent="0.15">
      <c r="A13680" s="15"/>
      <c r="B13680" s="15"/>
    </row>
    <row r="13681" spans="1:2" x14ac:dyDescent="0.15">
      <c r="A13681" s="15"/>
      <c r="B13681" s="15"/>
    </row>
    <row r="13682" spans="1:2" x14ac:dyDescent="0.15">
      <c r="A13682" s="15"/>
      <c r="B13682" s="15"/>
    </row>
    <row r="13683" spans="1:2" x14ac:dyDescent="0.15">
      <c r="A13683" s="15"/>
      <c r="B13683" s="15"/>
    </row>
    <row r="13684" spans="1:2" x14ac:dyDescent="0.15">
      <c r="A13684" s="15"/>
      <c r="B13684" s="15"/>
    </row>
    <row r="13685" spans="1:2" x14ac:dyDescent="0.15">
      <c r="A13685" s="15"/>
      <c r="B13685" s="15"/>
    </row>
    <row r="13686" spans="1:2" x14ac:dyDescent="0.15">
      <c r="A13686" s="15"/>
      <c r="B13686" s="15"/>
    </row>
    <row r="13687" spans="1:2" x14ac:dyDescent="0.15">
      <c r="A13687" s="15"/>
      <c r="B13687" s="15"/>
    </row>
    <row r="13688" spans="1:2" x14ac:dyDescent="0.15">
      <c r="A13688" s="15"/>
      <c r="B13688" s="15"/>
    </row>
    <row r="13689" spans="1:2" x14ac:dyDescent="0.15">
      <c r="A13689" s="15"/>
      <c r="B13689" s="15"/>
    </row>
    <row r="13690" spans="1:2" x14ac:dyDescent="0.15">
      <c r="A13690" s="15"/>
      <c r="B13690" s="15"/>
    </row>
    <row r="13691" spans="1:2" x14ac:dyDescent="0.15">
      <c r="A13691" s="15"/>
      <c r="B13691" s="15"/>
    </row>
    <row r="13692" spans="1:2" x14ac:dyDescent="0.15">
      <c r="A13692" s="15"/>
      <c r="B13692" s="15"/>
    </row>
    <row r="13693" spans="1:2" x14ac:dyDescent="0.15">
      <c r="A13693" s="15"/>
      <c r="B13693" s="15"/>
    </row>
    <row r="13694" spans="1:2" x14ac:dyDescent="0.15">
      <c r="A13694" s="15"/>
      <c r="B13694" s="15"/>
    </row>
    <row r="13695" spans="1:2" x14ac:dyDescent="0.15">
      <c r="A13695" s="15"/>
      <c r="B13695" s="15"/>
    </row>
    <row r="13696" spans="1:2" x14ac:dyDescent="0.15">
      <c r="A13696" s="15"/>
      <c r="B13696" s="15"/>
    </row>
    <row r="13697" spans="1:2" x14ac:dyDescent="0.15">
      <c r="A13697" s="15"/>
      <c r="B13697" s="15"/>
    </row>
    <row r="13698" spans="1:2" x14ac:dyDescent="0.15">
      <c r="A13698" s="15"/>
      <c r="B13698" s="15"/>
    </row>
    <row r="13699" spans="1:2" x14ac:dyDescent="0.15">
      <c r="A13699" s="15"/>
      <c r="B13699" s="15"/>
    </row>
    <row r="13700" spans="1:2" x14ac:dyDescent="0.15">
      <c r="A13700" s="15"/>
      <c r="B13700" s="15"/>
    </row>
    <row r="13701" spans="1:2" x14ac:dyDescent="0.15">
      <c r="A13701" s="15"/>
      <c r="B13701" s="15"/>
    </row>
    <row r="13702" spans="1:2" x14ac:dyDescent="0.15">
      <c r="A13702" s="15"/>
      <c r="B13702" s="15"/>
    </row>
    <row r="13703" spans="1:2" x14ac:dyDescent="0.15">
      <c r="A13703" s="15"/>
      <c r="B13703" s="15"/>
    </row>
    <row r="13704" spans="1:2" x14ac:dyDescent="0.15">
      <c r="A13704" s="15"/>
      <c r="B13704" s="15"/>
    </row>
    <row r="13705" spans="1:2" x14ac:dyDescent="0.15">
      <c r="A13705" s="15"/>
      <c r="B13705" s="15"/>
    </row>
    <row r="13706" spans="1:2" x14ac:dyDescent="0.15">
      <c r="A13706" s="15"/>
      <c r="B13706" s="15"/>
    </row>
    <row r="13707" spans="1:2" x14ac:dyDescent="0.15">
      <c r="A13707" s="15"/>
      <c r="B13707" s="15"/>
    </row>
    <row r="13708" spans="1:2" x14ac:dyDescent="0.15">
      <c r="A13708" s="15"/>
      <c r="B13708" s="15"/>
    </row>
    <row r="13709" spans="1:2" x14ac:dyDescent="0.15">
      <c r="A13709" s="15"/>
      <c r="B13709" s="15"/>
    </row>
    <row r="13710" spans="1:2" x14ac:dyDescent="0.15">
      <c r="A13710" s="15"/>
      <c r="B13710" s="15"/>
    </row>
    <row r="13711" spans="1:2" x14ac:dyDescent="0.15">
      <c r="A13711" s="15"/>
      <c r="B13711" s="15"/>
    </row>
    <row r="13712" spans="1:2" x14ac:dyDescent="0.15">
      <c r="A13712" s="15"/>
      <c r="B13712" s="15"/>
    </row>
    <row r="13713" spans="1:2" x14ac:dyDescent="0.15">
      <c r="A13713" s="15"/>
      <c r="B13713" s="15"/>
    </row>
    <row r="13714" spans="1:2" x14ac:dyDescent="0.15">
      <c r="A13714" s="15"/>
      <c r="B13714" s="15"/>
    </row>
    <row r="13715" spans="1:2" x14ac:dyDescent="0.15">
      <c r="A13715" s="15"/>
      <c r="B13715" s="15"/>
    </row>
    <row r="13716" spans="1:2" x14ac:dyDescent="0.15">
      <c r="A13716" s="15"/>
      <c r="B13716" s="15"/>
    </row>
    <row r="13717" spans="1:2" x14ac:dyDescent="0.15">
      <c r="A13717" s="15"/>
      <c r="B13717" s="15"/>
    </row>
    <row r="13718" spans="1:2" x14ac:dyDescent="0.15">
      <c r="A13718" s="15"/>
      <c r="B13718" s="15"/>
    </row>
    <row r="13719" spans="1:2" x14ac:dyDescent="0.15">
      <c r="A13719" s="15"/>
      <c r="B13719" s="15"/>
    </row>
    <row r="13720" spans="1:2" x14ac:dyDescent="0.15">
      <c r="A13720" s="15"/>
      <c r="B13720" s="15"/>
    </row>
    <row r="13721" spans="1:2" x14ac:dyDescent="0.15">
      <c r="A13721" s="15"/>
      <c r="B13721" s="15"/>
    </row>
    <row r="13722" spans="1:2" x14ac:dyDescent="0.15">
      <c r="A13722" s="15"/>
      <c r="B13722" s="15"/>
    </row>
    <row r="13723" spans="1:2" x14ac:dyDescent="0.15">
      <c r="A13723" s="15"/>
      <c r="B13723" s="15"/>
    </row>
    <row r="13724" spans="1:2" x14ac:dyDescent="0.15">
      <c r="A13724" s="15"/>
      <c r="B13724" s="15"/>
    </row>
    <row r="13725" spans="1:2" x14ac:dyDescent="0.15">
      <c r="A13725" s="15"/>
      <c r="B13725" s="15"/>
    </row>
    <row r="13726" spans="1:2" x14ac:dyDescent="0.15">
      <c r="A13726" s="15"/>
      <c r="B13726" s="15"/>
    </row>
    <row r="13727" spans="1:2" x14ac:dyDescent="0.15">
      <c r="A13727" s="15"/>
      <c r="B13727" s="15"/>
    </row>
    <row r="13728" spans="1:2" x14ac:dyDescent="0.15">
      <c r="A13728" s="15"/>
      <c r="B13728" s="15"/>
    </row>
    <row r="13729" spans="1:2" x14ac:dyDescent="0.15">
      <c r="A13729" s="15"/>
      <c r="B13729" s="15"/>
    </row>
    <row r="13730" spans="1:2" x14ac:dyDescent="0.15">
      <c r="A13730" s="15"/>
      <c r="B13730" s="15"/>
    </row>
    <row r="13731" spans="1:2" x14ac:dyDescent="0.15">
      <c r="A13731" s="15"/>
      <c r="B13731" s="15"/>
    </row>
    <row r="13732" spans="1:2" x14ac:dyDescent="0.15">
      <c r="A13732" s="15"/>
      <c r="B13732" s="15"/>
    </row>
    <row r="13733" spans="1:2" x14ac:dyDescent="0.15">
      <c r="A13733" s="15"/>
      <c r="B13733" s="15"/>
    </row>
    <row r="13734" spans="1:2" x14ac:dyDescent="0.15">
      <c r="A13734" s="15"/>
      <c r="B13734" s="15"/>
    </row>
    <row r="13735" spans="1:2" x14ac:dyDescent="0.15">
      <c r="A13735" s="15"/>
      <c r="B13735" s="15"/>
    </row>
    <row r="13736" spans="1:2" x14ac:dyDescent="0.15">
      <c r="A13736" s="15"/>
      <c r="B13736" s="15"/>
    </row>
    <row r="13737" spans="1:2" x14ac:dyDescent="0.15">
      <c r="A13737" s="15"/>
      <c r="B13737" s="15"/>
    </row>
    <row r="13738" spans="1:2" x14ac:dyDescent="0.15">
      <c r="A13738" s="15"/>
      <c r="B13738" s="15"/>
    </row>
    <row r="13739" spans="1:2" x14ac:dyDescent="0.15">
      <c r="A13739" s="15"/>
      <c r="B13739" s="15"/>
    </row>
    <row r="13740" spans="1:2" x14ac:dyDescent="0.15">
      <c r="A13740" s="15"/>
      <c r="B13740" s="15"/>
    </row>
    <row r="13741" spans="1:2" x14ac:dyDescent="0.15">
      <c r="A13741" s="15"/>
      <c r="B13741" s="15"/>
    </row>
    <row r="13742" spans="1:2" x14ac:dyDescent="0.15">
      <c r="A13742" s="15"/>
      <c r="B13742" s="15"/>
    </row>
    <row r="13743" spans="1:2" x14ac:dyDescent="0.15">
      <c r="A13743" s="15"/>
      <c r="B13743" s="15"/>
    </row>
    <row r="13744" spans="1:2" x14ac:dyDescent="0.15">
      <c r="A13744" s="15"/>
      <c r="B13744" s="15"/>
    </row>
    <row r="13745" spans="1:2" x14ac:dyDescent="0.15">
      <c r="A13745" s="15"/>
      <c r="B13745" s="15"/>
    </row>
    <row r="13746" spans="1:2" x14ac:dyDescent="0.15">
      <c r="A13746" s="15"/>
      <c r="B13746" s="15"/>
    </row>
    <row r="13747" spans="1:2" x14ac:dyDescent="0.15">
      <c r="A13747" s="15"/>
      <c r="B13747" s="15"/>
    </row>
    <row r="13748" spans="1:2" x14ac:dyDescent="0.15">
      <c r="A13748" s="15"/>
      <c r="B13748" s="15"/>
    </row>
    <row r="13749" spans="1:2" x14ac:dyDescent="0.15">
      <c r="A13749" s="15"/>
      <c r="B13749" s="15"/>
    </row>
    <row r="13750" spans="1:2" x14ac:dyDescent="0.15">
      <c r="A13750" s="15"/>
      <c r="B13750" s="15"/>
    </row>
    <row r="13751" spans="1:2" x14ac:dyDescent="0.15">
      <c r="A13751" s="15"/>
      <c r="B13751" s="15"/>
    </row>
    <row r="13752" spans="1:2" x14ac:dyDescent="0.15">
      <c r="A13752" s="15"/>
      <c r="B13752" s="15"/>
    </row>
    <row r="13753" spans="1:2" x14ac:dyDescent="0.15">
      <c r="A13753" s="15"/>
      <c r="B13753" s="15"/>
    </row>
    <row r="13754" spans="1:2" x14ac:dyDescent="0.15">
      <c r="A13754" s="15"/>
      <c r="B13754" s="15"/>
    </row>
    <row r="13755" spans="1:2" x14ac:dyDescent="0.15">
      <c r="A13755" s="15"/>
      <c r="B13755" s="15"/>
    </row>
    <row r="13756" spans="1:2" x14ac:dyDescent="0.15">
      <c r="A13756" s="15"/>
      <c r="B13756" s="15"/>
    </row>
    <row r="13757" spans="1:2" x14ac:dyDescent="0.15">
      <c r="A13757" s="15"/>
      <c r="B13757" s="15"/>
    </row>
    <row r="13758" spans="1:2" x14ac:dyDescent="0.15">
      <c r="A13758" s="15"/>
      <c r="B13758" s="15"/>
    </row>
    <row r="13759" spans="1:2" x14ac:dyDescent="0.15">
      <c r="A13759" s="15"/>
      <c r="B13759" s="15"/>
    </row>
    <row r="13760" spans="1:2" x14ac:dyDescent="0.15">
      <c r="A13760" s="15"/>
      <c r="B13760" s="15"/>
    </row>
    <row r="13761" spans="1:2" x14ac:dyDescent="0.15">
      <c r="A13761" s="15"/>
      <c r="B13761" s="15"/>
    </row>
    <row r="13762" spans="1:2" x14ac:dyDescent="0.15">
      <c r="A13762" s="15"/>
      <c r="B13762" s="15"/>
    </row>
    <row r="13763" spans="1:2" x14ac:dyDescent="0.15">
      <c r="A13763" s="15"/>
      <c r="B13763" s="15"/>
    </row>
    <row r="13764" spans="1:2" x14ac:dyDescent="0.15">
      <c r="A13764" s="15"/>
      <c r="B13764" s="15"/>
    </row>
    <row r="13765" spans="1:2" x14ac:dyDescent="0.15">
      <c r="A13765" s="15"/>
      <c r="B13765" s="15"/>
    </row>
    <row r="13766" spans="1:2" x14ac:dyDescent="0.15">
      <c r="A13766" s="15"/>
      <c r="B13766" s="15"/>
    </row>
    <row r="13767" spans="1:2" x14ac:dyDescent="0.15">
      <c r="A13767" s="15"/>
      <c r="B13767" s="15"/>
    </row>
    <row r="13768" spans="1:2" x14ac:dyDescent="0.15">
      <c r="A13768" s="15"/>
      <c r="B13768" s="15"/>
    </row>
    <row r="13769" spans="1:2" x14ac:dyDescent="0.15">
      <c r="A13769" s="15"/>
      <c r="B13769" s="15"/>
    </row>
    <row r="13770" spans="1:2" x14ac:dyDescent="0.15">
      <c r="A13770" s="15"/>
      <c r="B13770" s="15"/>
    </row>
    <row r="13771" spans="1:2" x14ac:dyDescent="0.15">
      <c r="A13771" s="15"/>
      <c r="B13771" s="15"/>
    </row>
    <row r="13772" spans="1:2" x14ac:dyDescent="0.15">
      <c r="A13772" s="15"/>
      <c r="B13772" s="15"/>
    </row>
    <row r="13773" spans="1:2" x14ac:dyDescent="0.15">
      <c r="A13773" s="15"/>
      <c r="B13773" s="15"/>
    </row>
    <row r="13774" spans="1:2" x14ac:dyDescent="0.15">
      <c r="A13774" s="15"/>
      <c r="B13774" s="15"/>
    </row>
    <row r="13775" spans="1:2" x14ac:dyDescent="0.15">
      <c r="A13775" s="15"/>
      <c r="B13775" s="15"/>
    </row>
    <row r="13776" spans="1:2" x14ac:dyDescent="0.15">
      <c r="A13776" s="15"/>
      <c r="B13776" s="15"/>
    </row>
    <row r="13777" spans="1:2" x14ac:dyDescent="0.15">
      <c r="A13777" s="15"/>
      <c r="B13777" s="15"/>
    </row>
    <row r="13778" spans="1:2" x14ac:dyDescent="0.15">
      <c r="A13778" s="15"/>
      <c r="B13778" s="15"/>
    </row>
    <row r="13779" spans="1:2" x14ac:dyDescent="0.15">
      <c r="A13779" s="15"/>
      <c r="B13779" s="15"/>
    </row>
    <row r="13780" spans="1:2" x14ac:dyDescent="0.15">
      <c r="A13780" s="15"/>
      <c r="B13780" s="15"/>
    </row>
    <row r="13781" spans="1:2" x14ac:dyDescent="0.15">
      <c r="A13781" s="15"/>
      <c r="B13781" s="15"/>
    </row>
    <row r="13782" spans="1:2" x14ac:dyDescent="0.15">
      <c r="A13782" s="15"/>
      <c r="B13782" s="15"/>
    </row>
    <row r="13783" spans="1:2" x14ac:dyDescent="0.15">
      <c r="A13783" s="15"/>
      <c r="B13783" s="15"/>
    </row>
    <row r="13784" spans="1:2" x14ac:dyDescent="0.15">
      <c r="A13784" s="15"/>
      <c r="B13784" s="15"/>
    </row>
    <row r="13785" spans="1:2" x14ac:dyDescent="0.15">
      <c r="A13785" s="15"/>
      <c r="B13785" s="15"/>
    </row>
    <row r="13786" spans="1:2" x14ac:dyDescent="0.15">
      <c r="A13786" s="15"/>
      <c r="B13786" s="15"/>
    </row>
    <row r="13787" spans="1:2" x14ac:dyDescent="0.15">
      <c r="A13787" s="15"/>
      <c r="B13787" s="15"/>
    </row>
    <row r="13788" spans="1:2" x14ac:dyDescent="0.15">
      <c r="A13788" s="15"/>
      <c r="B13788" s="15"/>
    </row>
    <row r="13789" spans="1:2" x14ac:dyDescent="0.15">
      <c r="A13789" s="15"/>
      <c r="B13789" s="15"/>
    </row>
    <row r="13790" spans="1:2" x14ac:dyDescent="0.15">
      <c r="A13790" s="15"/>
      <c r="B13790" s="15"/>
    </row>
    <row r="13791" spans="1:2" x14ac:dyDescent="0.15">
      <c r="A13791" s="15"/>
      <c r="B13791" s="15"/>
    </row>
    <row r="13792" spans="1:2" x14ac:dyDescent="0.15">
      <c r="A13792" s="15"/>
      <c r="B13792" s="15"/>
    </row>
    <row r="13793" spans="1:2" x14ac:dyDescent="0.15">
      <c r="A13793" s="15"/>
      <c r="B13793" s="15"/>
    </row>
    <row r="13794" spans="1:2" x14ac:dyDescent="0.15">
      <c r="A13794" s="15"/>
      <c r="B13794" s="15"/>
    </row>
    <row r="13795" spans="1:2" x14ac:dyDescent="0.15">
      <c r="A13795" s="15"/>
      <c r="B13795" s="15"/>
    </row>
    <row r="13796" spans="1:2" x14ac:dyDescent="0.15">
      <c r="A13796" s="15"/>
      <c r="B13796" s="15"/>
    </row>
    <row r="13797" spans="1:2" x14ac:dyDescent="0.15">
      <c r="A13797" s="15"/>
      <c r="B13797" s="15"/>
    </row>
    <row r="13798" spans="1:2" x14ac:dyDescent="0.15">
      <c r="A13798" s="15"/>
      <c r="B13798" s="15"/>
    </row>
    <row r="13799" spans="1:2" x14ac:dyDescent="0.15">
      <c r="A13799" s="15"/>
      <c r="B13799" s="15"/>
    </row>
    <row r="13800" spans="1:2" x14ac:dyDescent="0.15">
      <c r="A13800" s="15"/>
      <c r="B13800" s="15"/>
    </row>
    <row r="13801" spans="1:2" x14ac:dyDescent="0.15">
      <c r="A13801" s="15"/>
      <c r="B13801" s="15"/>
    </row>
    <row r="13802" spans="1:2" x14ac:dyDescent="0.15">
      <c r="A13802" s="15"/>
      <c r="B13802" s="15"/>
    </row>
    <row r="13803" spans="1:2" x14ac:dyDescent="0.15">
      <c r="A13803" s="15"/>
      <c r="B13803" s="15"/>
    </row>
    <row r="13804" spans="1:2" x14ac:dyDescent="0.15">
      <c r="A13804" s="15"/>
      <c r="B13804" s="15"/>
    </row>
    <row r="13805" spans="1:2" x14ac:dyDescent="0.15">
      <c r="A13805" s="15"/>
      <c r="B13805" s="15"/>
    </row>
    <row r="13806" spans="1:2" x14ac:dyDescent="0.15">
      <c r="A13806" s="15"/>
      <c r="B13806" s="15"/>
    </row>
    <row r="13807" spans="1:2" x14ac:dyDescent="0.15">
      <c r="A13807" s="15"/>
      <c r="B13807" s="15"/>
    </row>
    <row r="13808" spans="1:2" x14ac:dyDescent="0.15">
      <c r="A13808" s="15"/>
      <c r="B13808" s="15"/>
    </row>
    <row r="13809" spans="1:2" x14ac:dyDescent="0.15">
      <c r="A13809" s="15"/>
      <c r="B13809" s="15"/>
    </row>
    <row r="13810" spans="1:2" x14ac:dyDescent="0.15">
      <c r="A13810" s="15"/>
      <c r="B13810" s="15"/>
    </row>
    <row r="13811" spans="1:2" x14ac:dyDescent="0.15">
      <c r="A13811" s="15"/>
      <c r="B13811" s="15"/>
    </row>
    <row r="13812" spans="1:2" x14ac:dyDescent="0.15">
      <c r="A13812" s="15"/>
      <c r="B13812" s="15"/>
    </row>
    <row r="13813" spans="1:2" x14ac:dyDescent="0.15">
      <c r="A13813" s="15"/>
      <c r="B13813" s="15"/>
    </row>
    <row r="13814" spans="1:2" x14ac:dyDescent="0.15">
      <c r="A13814" s="15"/>
      <c r="B13814" s="15"/>
    </row>
    <row r="13815" spans="1:2" x14ac:dyDescent="0.15">
      <c r="A13815" s="15"/>
      <c r="B13815" s="15"/>
    </row>
    <row r="13816" spans="1:2" x14ac:dyDescent="0.15">
      <c r="A13816" s="15"/>
      <c r="B13816" s="15"/>
    </row>
    <row r="13817" spans="1:2" x14ac:dyDescent="0.15">
      <c r="A13817" s="15"/>
      <c r="B13817" s="15"/>
    </row>
    <row r="13818" spans="1:2" x14ac:dyDescent="0.15">
      <c r="A13818" s="15"/>
      <c r="B13818" s="15"/>
    </row>
    <row r="13819" spans="1:2" x14ac:dyDescent="0.15">
      <c r="A13819" s="15"/>
      <c r="B13819" s="15"/>
    </row>
    <row r="13820" spans="1:2" x14ac:dyDescent="0.15">
      <c r="A13820" s="15"/>
      <c r="B13820" s="15"/>
    </row>
    <row r="13821" spans="1:2" x14ac:dyDescent="0.15">
      <c r="A13821" s="15"/>
      <c r="B13821" s="15"/>
    </row>
    <row r="13822" spans="1:2" x14ac:dyDescent="0.15">
      <c r="A13822" s="15"/>
      <c r="B13822" s="15"/>
    </row>
    <row r="13823" spans="1:2" x14ac:dyDescent="0.15">
      <c r="A13823" s="15"/>
      <c r="B13823" s="15"/>
    </row>
    <row r="13824" spans="1:2" x14ac:dyDescent="0.15">
      <c r="A13824" s="15"/>
      <c r="B13824" s="15"/>
    </row>
    <row r="13825" spans="1:2" x14ac:dyDescent="0.15">
      <c r="A13825" s="15"/>
      <c r="B13825" s="15"/>
    </row>
    <row r="13826" spans="1:2" x14ac:dyDescent="0.15">
      <c r="A13826" s="15"/>
      <c r="B13826" s="15"/>
    </row>
    <row r="13827" spans="1:2" x14ac:dyDescent="0.15">
      <c r="A13827" s="15"/>
      <c r="B13827" s="15"/>
    </row>
    <row r="13828" spans="1:2" x14ac:dyDescent="0.15">
      <c r="A13828" s="15"/>
      <c r="B13828" s="15"/>
    </row>
    <row r="13829" spans="1:2" x14ac:dyDescent="0.15">
      <c r="A13829" s="15"/>
      <c r="B13829" s="15"/>
    </row>
    <row r="13830" spans="1:2" x14ac:dyDescent="0.15">
      <c r="A13830" s="15"/>
      <c r="B13830" s="15"/>
    </row>
    <row r="13831" spans="1:2" x14ac:dyDescent="0.15">
      <c r="A13831" s="15"/>
      <c r="B13831" s="15"/>
    </row>
    <row r="13832" spans="1:2" x14ac:dyDescent="0.15">
      <c r="A13832" s="15"/>
      <c r="B13832" s="15"/>
    </row>
    <row r="13833" spans="1:2" x14ac:dyDescent="0.15">
      <c r="A13833" s="15"/>
      <c r="B13833" s="15"/>
    </row>
    <row r="13834" spans="1:2" x14ac:dyDescent="0.15">
      <c r="A13834" s="15"/>
      <c r="B13834" s="15"/>
    </row>
    <row r="13835" spans="1:2" x14ac:dyDescent="0.15">
      <c r="A13835" s="15"/>
      <c r="B13835" s="15"/>
    </row>
    <row r="13836" spans="1:2" x14ac:dyDescent="0.15">
      <c r="A13836" s="15"/>
      <c r="B13836" s="15"/>
    </row>
    <row r="13837" spans="1:2" x14ac:dyDescent="0.15">
      <c r="A13837" s="15"/>
      <c r="B13837" s="15"/>
    </row>
    <row r="13838" spans="1:2" x14ac:dyDescent="0.15">
      <c r="A13838" s="15"/>
      <c r="B13838" s="15"/>
    </row>
    <row r="13839" spans="1:2" x14ac:dyDescent="0.15">
      <c r="A13839" s="15"/>
      <c r="B13839" s="15"/>
    </row>
    <row r="13840" spans="1:2" x14ac:dyDescent="0.15">
      <c r="A13840" s="15"/>
      <c r="B13840" s="15"/>
    </row>
    <row r="13841" spans="1:2" x14ac:dyDescent="0.15">
      <c r="A13841" s="15"/>
      <c r="B13841" s="15"/>
    </row>
    <row r="13842" spans="1:2" x14ac:dyDescent="0.15">
      <c r="A13842" s="15"/>
      <c r="B13842" s="15"/>
    </row>
    <row r="13843" spans="1:2" x14ac:dyDescent="0.15">
      <c r="A13843" s="15"/>
      <c r="B13843" s="15"/>
    </row>
    <row r="13844" spans="1:2" x14ac:dyDescent="0.15">
      <c r="A13844" s="15"/>
      <c r="B13844" s="15"/>
    </row>
    <row r="13845" spans="1:2" x14ac:dyDescent="0.15">
      <c r="A13845" s="15"/>
      <c r="B13845" s="15"/>
    </row>
    <row r="13846" spans="1:2" x14ac:dyDescent="0.15">
      <c r="A13846" s="15"/>
      <c r="B13846" s="15"/>
    </row>
    <row r="13847" spans="1:2" x14ac:dyDescent="0.15">
      <c r="A13847" s="15"/>
      <c r="B13847" s="15"/>
    </row>
    <row r="13848" spans="1:2" x14ac:dyDescent="0.15">
      <c r="A13848" s="15"/>
      <c r="B13848" s="15"/>
    </row>
    <row r="13849" spans="1:2" x14ac:dyDescent="0.15">
      <c r="A13849" s="15"/>
      <c r="B13849" s="15"/>
    </row>
    <row r="13850" spans="1:2" x14ac:dyDescent="0.15">
      <c r="A13850" s="15"/>
      <c r="B13850" s="15"/>
    </row>
    <row r="13851" spans="1:2" x14ac:dyDescent="0.15">
      <c r="A13851" s="15"/>
      <c r="B13851" s="15"/>
    </row>
    <row r="13852" spans="1:2" x14ac:dyDescent="0.15">
      <c r="A13852" s="15"/>
      <c r="B13852" s="15"/>
    </row>
    <row r="13853" spans="1:2" x14ac:dyDescent="0.15">
      <c r="A13853" s="15"/>
      <c r="B13853" s="15"/>
    </row>
    <row r="13854" spans="1:2" x14ac:dyDescent="0.15">
      <c r="A13854" s="15"/>
      <c r="B13854" s="15"/>
    </row>
    <row r="13855" spans="1:2" x14ac:dyDescent="0.15">
      <c r="A13855" s="15"/>
      <c r="B13855" s="15"/>
    </row>
    <row r="13856" spans="1:2" x14ac:dyDescent="0.15">
      <c r="A13856" s="15"/>
      <c r="B13856" s="15"/>
    </row>
    <row r="13857" spans="1:2" x14ac:dyDescent="0.15">
      <c r="A13857" s="15"/>
      <c r="B13857" s="15"/>
    </row>
    <row r="13858" spans="1:2" x14ac:dyDescent="0.15">
      <c r="A13858" s="15"/>
      <c r="B13858" s="15"/>
    </row>
    <row r="13859" spans="1:2" x14ac:dyDescent="0.15">
      <c r="A13859" s="15"/>
      <c r="B13859" s="15"/>
    </row>
    <row r="13860" spans="1:2" x14ac:dyDescent="0.15">
      <c r="A13860" s="15"/>
      <c r="B13860" s="15"/>
    </row>
    <row r="13861" spans="1:2" x14ac:dyDescent="0.15">
      <c r="A13861" s="15"/>
      <c r="B13861" s="15"/>
    </row>
    <row r="13862" spans="1:2" x14ac:dyDescent="0.15">
      <c r="A13862" s="15"/>
      <c r="B13862" s="15"/>
    </row>
    <row r="13863" spans="1:2" x14ac:dyDescent="0.15">
      <c r="A13863" s="15"/>
      <c r="B13863" s="15"/>
    </row>
    <row r="13864" spans="1:2" x14ac:dyDescent="0.15">
      <c r="A13864" s="15"/>
      <c r="B13864" s="15"/>
    </row>
    <row r="13865" spans="1:2" x14ac:dyDescent="0.15">
      <c r="A13865" s="15"/>
      <c r="B13865" s="15"/>
    </row>
    <row r="13866" spans="1:2" x14ac:dyDescent="0.15">
      <c r="A13866" s="15"/>
      <c r="B13866" s="15"/>
    </row>
    <row r="13867" spans="1:2" x14ac:dyDescent="0.15">
      <c r="A13867" s="15"/>
      <c r="B13867" s="15"/>
    </row>
    <row r="13868" spans="1:2" x14ac:dyDescent="0.15">
      <c r="A13868" s="15"/>
      <c r="B13868" s="15"/>
    </row>
    <row r="13869" spans="1:2" x14ac:dyDescent="0.15">
      <c r="A13869" s="15"/>
      <c r="B13869" s="15"/>
    </row>
    <row r="13870" spans="1:2" x14ac:dyDescent="0.15">
      <c r="A13870" s="15"/>
      <c r="B13870" s="15"/>
    </row>
    <row r="13871" spans="1:2" x14ac:dyDescent="0.15">
      <c r="A13871" s="15"/>
      <c r="B13871" s="15"/>
    </row>
    <row r="13872" spans="1:2" x14ac:dyDescent="0.15">
      <c r="A13872" s="15"/>
      <c r="B13872" s="15"/>
    </row>
    <row r="13873" spans="1:2" x14ac:dyDescent="0.15">
      <c r="A13873" s="15"/>
      <c r="B13873" s="15"/>
    </row>
    <row r="13874" spans="1:2" x14ac:dyDescent="0.15">
      <c r="A13874" s="15"/>
      <c r="B13874" s="15"/>
    </row>
    <row r="13875" spans="1:2" x14ac:dyDescent="0.15">
      <c r="A13875" s="15"/>
      <c r="B13875" s="15"/>
    </row>
    <row r="13876" spans="1:2" x14ac:dyDescent="0.15">
      <c r="A13876" s="15"/>
      <c r="B13876" s="15"/>
    </row>
    <row r="13877" spans="1:2" x14ac:dyDescent="0.15">
      <c r="A13877" s="15"/>
      <c r="B13877" s="15"/>
    </row>
    <row r="13878" spans="1:2" x14ac:dyDescent="0.15">
      <c r="A13878" s="15"/>
      <c r="B13878" s="15"/>
    </row>
    <row r="13879" spans="1:2" x14ac:dyDescent="0.15">
      <c r="A13879" s="15"/>
      <c r="B13879" s="15"/>
    </row>
    <row r="13880" spans="1:2" x14ac:dyDescent="0.15">
      <c r="A13880" s="15"/>
      <c r="B13880" s="15"/>
    </row>
    <row r="13881" spans="1:2" x14ac:dyDescent="0.15">
      <c r="A13881" s="15"/>
      <c r="B13881" s="15"/>
    </row>
    <row r="13882" spans="1:2" x14ac:dyDescent="0.15">
      <c r="A13882" s="15"/>
      <c r="B13882" s="15"/>
    </row>
    <row r="13883" spans="1:2" x14ac:dyDescent="0.15">
      <c r="A13883" s="15"/>
      <c r="B13883" s="15"/>
    </row>
    <row r="13884" spans="1:2" x14ac:dyDescent="0.15">
      <c r="A13884" s="15"/>
      <c r="B13884" s="15"/>
    </row>
    <row r="13885" spans="1:2" x14ac:dyDescent="0.15">
      <c r="A13885" s="15"/>
      <c r="B13885" s="15"/>
    </row>
    <row r="13886" spans="1:2" x14ac:dyDescent="0.15">
      <c r="A13886" s="15"/>
      <c r="B13886" s="15"/>
    </row>
    <row r="13887" spans="1:2" x14ac:dyDescent="0.15">
      <c r="A13887" s="15"/>
      <c r="B13887" s="15"/>
    </row>
    <row r="13888" spans="1:2" x14ac:dyDescent="0.15">
      <c r="A13888" s="15"/>
      <c r="B13888" s="15"/>
    </row>
    <row r="13889" spans="1:2" x14ac:dyDescent="0.15">
      <c r="A13889" s="15"/>
      <c r="B13889" s="15"/>
    </row>
    <row r="13890" spans="1:2" x14ac:dyDescent="0.15">
      <c r="A13890" s="15"/>
      <c r="B13890" s="15"/>
    </row>
    <row r="13891" spans="1:2" x14ac:dyDescent="0.15">
      <c r="A13891" s="15"/>
      <c r="B13891" s="15"/>
    </row>
    <row r="13892" spans="1:2" x14ac:dyDescent="0.15">
      <c r="A13892" s="15"/>
      <c r="B13892" s="15"/>
    </row>
    <row r="13893" spans="1:2" x14ac:dyDescent="0.15">
      <c r="A13893" s="15"/>
      <c r="B13893" s="15"/>
    </row>
    <row r="13894" spans="1:2" x14ac:dyDescent="0.15">
      <c r="A13894" s="15"/>
      <c r="B13894" s="15"/>
    </row>
    <row r="13895" spans="1:2" x14ac:dyDescent="0.15">
      <c r="A13895" s="15"/>
      <c r="B13895" s="15"/>
    </row>
    <row r="13896" spans="1:2" x14ac:dyDescent="0.15">
      <c r="A13896" s="15"/>
      <c r="B13896" s="15"/>
    </row>
    <row r="13897" spans="1:2" x14ac:dyDescent="0.15">
      <c r="A13897" s="15"/>
      <c r="B13897" s="15"/>
    </row>
    <row r="13898" spans="1:2" x14ac:dyDescent="0.15">
      <c r="A13898" s="15"/>
      <c r="B13898" s="15"/>
    </row>
    <row r="13899" spans="1:2" x14ac:dyDescent="0.15">
      <c r="A13899" s="15"/>
      <c r="B13899" s="15"/>
    </row>
    <row r="13900" spans="1:2" x14ac:dyDescent="0.15">
      <c r="A13900" s="15"/>
      <c r="B13900" s="15"/>
    </row>
    <row r="13901" spans="1:2" x14ac:dyDescent="0.15">
      <c r="A13901" s="15"/>
      <c r="B13901" s="15"/>
    </row>
    <row r="13902" spans="1:2" x14ac:dyDescent="0.15">
      <c r="A13902" s="15"/>
      <c r="B13902" s="15"/>
    </row>
    <row r="13903" spans="1:2" x14ac:dyDescent="0.15">
      <c r="A13903" s="15"/>
      <c r="B13903" s="15"/>
    </row>
    <row r="13904" spans="1:2" x14ac:dyDescent="0.15">
      <c r="A13904" s="15"/>
      <c r="B13904" s="15"/>
    </row>
    <row r="13905" spans="1:2" x14ac:dyDescent="0.15">
      <c r="A13905" s="15"/>
      <c r="B13905" s="15"/>
    </row>
    <row r="13906" spans="1:2" x14ac:dyDescent="0.15">
      <c r="A13906" s="15"/>
      <c r="B13906" s="15"/>
    </row>
    <row r="13907" spans="1:2" x14ac:dyDescent="0.15">
      <c r="A13907" s="15"/>
      <c r="B13907" s="15"/>
    </row>
    <row r="13908" spans="1:2" x14ac:dyDescent="0.15">
      <c r="A13908" s="15"/>
      <c r="B13908" s="15"/>
    </row>
    <row r="13909" spans="1:2" x14ac:dyDescent="0.15">
      <c r="A13909" s="15"/>
      <c r="B13909" s="15"/>
    </row>
    <row r="13910" spans="1:2" x14ac:dyDescent="0.15">
      <c r="A13910" s="15"/>
      <c r="B13910" s="15"/>
    </row>
    <row r="13911" spans="1:2" x14ac:dyDescent="0.15">
      <c r="A13911" s="15"/>
      <c r="B13911" s="15"/>
    </row>
    <row r="13912" spans="1:2" x14ac:dyDescent="0.15">
      <c r="A13912" s="15"/>
      <c r="B13912" s="15"/>
    </row>
    <row r="13913" spans="1:2" x14ac:dyDescent="0.15">
      <c r="A13913" s="15"/>
      <c r="B13913" s="15"/>
    </row>
    <row r="13914" spans="1:2" x14ac:dyDescent="0.15">
      <c r="A13914" s="15"/>
      <c r="B13914" s="15"/>
    </row>
    <row r="13915" spans="1:2" x14ac:dyDescent="0.15">
      <c r="A13915" s="15"/>
      <c r="B13915" s="15"/>
    </row>
    <row r="13916" spans="1:2" x14ac:dyDescent="0.15">
      <c r="A13916" s="15"/>
      <c r="B13916" s="15"/>
    </row>
    <row r="13917" spans="1:2" x14ac:dyDescent="0.15">
      <c r="A13917" s="15"/>
      <c r="B13917" s="15"/>
    </row>
    <row r="13918" spans="1:2" x14ac:dyDescent="0.15">
      <c r="A13918" s="15"/>
      <c r="B13918" s="15"/>
    </row>
    <row r="13919" spans="1:2" x14ac:dyDescent="0.15">
      <c r="A13919" s="15"/>
      <c r="B13919" s="15"/>
    </row>
    <row r="13920" spans="1:2" x14ac:dyDescent="0.15">
      <c r="A13920" s="15"/>
      <c r="B13920" s="15"/>
    </row>
    <row r="13921" spans="1:2" x14ac:dyDescent="0.15">
      <c r="A13921" s="15"/>
      <c r="B13921" s="15"/>
    </row>
    <row r="13922" spans="1:2" x14ac:dyDescent="0.15">
      <c r="A13922" s="15"/>
      <c r="B13922" s="15"/>
    </row>
    <row r="13923" spans="1:2" x14ac:dyDescent="0.15">
      <c r="A13923" s="15"/>
      <c r="B13923" s="15"/>
    </row>
    <row r="13924" spans="1:2" x14ac:dyDescent="0.15">
      <c r="A13924" s="15"/>
      <c r="B13924" s="15"/>
    </row>
    <row r="13925" spans="1:2" x14ac:dyDescent="0.15">
      <c r="A13925" s="15"/>
      <c r="B13925" s="15"/>
    </row>
    <row r="13926" spans="1:2" x14ac:dyDescent="0.15">
      <c r="A13926" s="15"/>
      <c r="B13926" s="15"/>
    </row>
    <row r="13927" spans="1:2" x14ac:dyDescent="0.15">
      <c r="A13927" s="15"/>
      <c r="B13927" s="15"/>
    </row>
    <row r="13928" spans="1:2" x14ac:dyDescent="0.15">
      <c r="A13928" s="15"/>
      <c r="B13928" s="15"/>
    </row>
    <row r="13929" spans="1:2" x14ac:dyDescent="0.15">
      <c r="A13929" s="15"/>
      <c r="B13929" s="15"/>
    </row>
    <row r="13930" spans="1:2" x14ac:dyDescent="0.15">
      <c r="A13930" s="15"/>
      <c r="B13930" s="15"/>
    </row>
    <row r="13931" spans="1:2" x14ac:dyDescent="0.15">
      <c r="A13931" s="15"/>
      <c r="B13931" s="15"/>
    </row>
    <row r="13932" spans="1:2" x14ac:dyDescent="0.15">
      <c r="A13932" s="15"/>
      <c r="B13932" s="15"/>
    </row>
    <row r="13933" spans="1:2" x14ac:dyDescent="0.15">
      <c r="A13933" s="15"/>
      <c r="B13933" s="15"/>
    </row>
    <row r="13934" spans="1:2" x14ac:dyDescent="0.15">
      <c r="A13934" s="15"/>
      <c r="B13934" s="15"/>
    </row>
    <row r="13935" spans="1:2" x14ac:dyDescent="0.15">
      <c r="A13935" s="15"/>
      <c r="B13935" s="15"/>
    </row>
    <row r="13936" spans="1:2" x14ac:dyDescent="0.15">
      <c r="A13936" s="15"/>
      <c r="B13936" s="15"/>
    </row>
    <row r="13937" spans="1:2" x14ac:dyDescent="0.15">
      <c r="A13937" s="15"/>
      <c r="B13937" s="15"/>
    </row>
    <row r="13938" spans="1:2" x14ac:dyDescent="0.15">
      <c r="A13938" s="15"/>
      <c r="B13938" s="15"/>
    </row>
    <row r="13939" spans="1:2" x14ac:dyDescent="0.15">
      <c r="A13939" s="15"/>
      <c r="B13939" s="15"/>
    </row>
    <row r="13940" spans="1:2" x14ac:dyDescent="0.15">
      <c r="A13940" s="15"/>
      <c r="B13940" s="15"/>
    </row>
    <row r="13941" spans="1:2" x14ac:dyDescent="0.15">
      <c r="A13941" s="15"/>
      <c r="B13941" s="15"/>
    </row>
    <row r="13942" spans="1:2" x14ac:dyDescent="0.15">
      <c r="A13942" s="15"/>
      <c r="B13942" s="15"/>
    </row>
    <row r="13943" spans="1:2" x14ac:dyDescent="0.15">
      <c r="A13943" s="15"/>
      <c r="B13943" s="15"/>
    </row>
    <row r="13944" spans="1:2" x14ac:dyDescent="0.15">
      <c r="A13944" s="15"/>
      <c r="B13944" s="15"/>
    </row>
    <row r="13945" spans="1:2" x14ac:dyDescent="0.15">
      <c r="A13945" s="15"/>
      <c r="B13945" s="15"/>
    </row>
    <row r="13946" spans="1:2" x14ac:dyDescent="0.15">
      <c r="A13946" s="15"/>
      <c r="B13946" s="15"/>
    </row>
    <row r="13947" spans="1:2" x14ac:dyDescent="0.15">
      <c r="A13947" s="15"/>
      <c r="B13947" s="15"/>
    </row>
    <row r="13948" spans="1:2" x14ac:dyDescent="0.15">
      <c r="A13948" s="15"/>
      <c r="B13948" s="15"/>
    </row>
    <row r="13949" spans="1:2" x14ac:dyDescent="0.15">
      <c r="A13949" s="15"/>
      <c r="B13949" s="15"/>
    </row>
    <row r="13950" spans="1:2" x14ac:dyDescent="0.15">
      <c r="A13950" s="15"/>
      <c r="B13950" s="15"/>
    </row>
    <row r="13951" spans="1:2" x14ac:dyDescent="0.15">
      <c r="A13951" s="15"/>
      <c r="B13951" s="15"/>
    </row>
    <row r="13952" spans="1:2" x14ac:dyDescent="0.15">
      <c r="A13952" s="15"/>
      <c r="B13952" s="15"/>
    </row>
    <row r="13953" spans="1:2" x14ac:dyDescent="0.15">
      <c r="A13953" s="15"/>
      <c r="B13953" s="15"/>
    </row>
    <row r="13954" spans="1:2" x14ac:dyDescent="0.15">
      <c r="A13954" s="15"/>
      <c r="B13954" s="15"/>
    </row>
    <row r="13955" spans="1:2" x14ac:dyDescent="0.15">
      <c r="A13955" s="15"/>
      <c r="B13955" s="15"/>
    </row>
    <row r="13956" spans="1:2" x14ac:dyDescent="0.15">
      <c r="A13956" s="15"/>
      <c r="B13956" s="15"/>
    </row>
    <row r="13957" spans="1:2" x14ac:dyDescent="0.15">
      <c r="A13957" s="15"/>
      <c r="B13957" s="15"/>
    </row>
    <row r="13958" spans="1:2" x14ac:dyDescent="0.15">
      <c r="A13958" s="15"/>
      <c r="B13958" s="15"/>
    </row>
    <row r="13959" spans="1:2" x14ac:dyDescent="0.15">
      <c r="A13959" s="15"/>
      <c r="B13959" s="15"/>
    </row>
    <row r="13960" spans="1:2" x14ac:dyDescent="0.15">
      <c r="A13960" s="15"/>
      <c r="B13960" s="15"/>
    </row>
    <row r="13961" spans="1:2" x14ac:dyDescent="0.15">
      <c r="A13961" s="15"/>
      <c r="B13961" s="15"/>
    </row>
    <row r="13962" spans="1:2" x14ac:dyDescent="0.15">
      <c r="A13962" s="15"/>
      <c r="B13962" s="15"/>
    </row>
    <row r="13963" spans="1:2" x14ac:dyDescent="0.15">
      <c r="A13963" s="15"/>
      <c r="B13963" s="15"/>
    </row>
    <row r="13964" spans="1:2" x14ac:dyDescent="0.15">
      <c r="A13964" s="15"/>
      <c r="B13964" s="15"/>
    </row>
    <row r="13965" spans="1:2" x14ac:dyDescent="0.15">
      <c r="A13965" s="15"/>
      <c r="B13965" s="15"/>
    </row>
    <row r="13966" spans="1:2" x14ac:dyDescent="0.15">
      <c r="A13966" s="15"/>
      <c r="B13966" s="15"/>
    </row>
    <row r="13967" spans="1:2" x14ac:dyDescent="0.15">
      <c r="A13967" s="15"/>
      <c r="B13967" s="15"/>
    </row>
    <row r="13968" spans="1:2" x14ac:dyDescent="0.15">
      <c r="A13968" s="15"/>
      <c r="B13968" s="15"/>
    </row>
    <row r="13969" spans="1:2" x14ac:dyDescent="0.15">
      <c r="A13969" s="15"/>
      <c r="B13969" s="15"/>
    </row>
    <row r="13970" spans="1:2" x14ac:dyDescent="0.15">
      <c r="A13970" s="15"/>
      <c r="B13970" s="15"/>
    </row>
    <row r="13971" spans="1:2" x14ac:dyDescent="0.15">
      <c r="A13971" s="15"/>
      <c r="B13971" s="15"/>
    </row>
    <row r="13972" spans="1:2" x14ac:dyDescent="0.15">
      <c r="A13972" s="15"/>
      <c r="B13972" s="15"/>
    </row>
    <row r="13973" spans="1:2" x14ac:dyDescent="0.15">
      <c r="A13973" s="15"/>
      <c r="B13973" s="15"/>
    </row>
    <row r="13974" spans="1:2" x14ac:dyDescent="0.15">
      <c r="A13974" s="15"/>
      <c r="B13974" s="15"/>
    </row>
    <row r="13975" spans="1:2" x14ac:dyDescent="0.15">
      <c r="A13975" s="15"/>
      <c r="B13975" s="15"/>
    </row>
    <row r="13976" spans="1:2" x14ac:dyDescent="0.15">
      <c r="A13976" s="15"/>
      <c r="B13976" s="15"/>
    </row>
    <row r="13977" spans="1:2" x14ac:dyDescent="0.15">
      <c r="A13977" s="15"/>
      <c r="B13977" s="15"/>
    </row>
    <row r="13978" spans="1:2" x14ac:dyDescent="0.15">
      <c r="A13978" s="15"/>
      <c r="B13978" s="15"/>
    </row>
    <row r="13979" spans="1:2" x14ac:dyDescent="0.15">
      <c r="A13979" s="15"/>
      <c r="B13979" s="15"/>
    </row>
    <row r="13980" spans="1:2" x14ac:dyDescent="0.15">
      <c r="A13980" s="15"/>
      <c r="B13980" s="15"/>
    </row>
    <row r="13981" spans="1:2" x14ac:dyDescent="0.15">
      <c r="A13981" s="15"/>
      <c r="B13981" s="15"/>
    </row>
    <row r="13982" spans="1:2" x14ac:dyDescent="0.15">
      <c r="A13982" s="15"/>
      <c r="B13982" s="15"/>
    </row>
    <row r="13983" spans="1:2" x14ac:dyDescent="0.15">
      <c r="A13983" s="15"/>
      <c r="B13983" s="15"/>
    </row>
    <row r="13984" spans="1:2" x14ac:dyDescent="0.15">
      <c r="A13984" s="15"/>
      <c r="B13984" s="15"/>
    </row>
    <row r="13985" spans="1:2" x14ac:dyDescent="0.15">
      <c r="A13985" s="15"/>
      <c r="B13985" s="15"/>
    </row>
    <row r="13986" spans="1:2" x14ac:dyDescent="0.15">
      <c r="A13986" s="15"/>
      <c r="B13986" s="15"/>
    </row>
    <row r="13987" spans="1:2" x14ac:dyDescent="0.15">
      <c r="A13987" s="15"/>
      <c r="B13987" s="15"/>
    </row>
    <row r="13988" spans="1:2" x14ac:dyDescent="0.15">
      <c r="A13988" s="15"/>
      <c r="B13988" s="15"/>
    </row>
    <row r="13989" spans="1:2" x14ac:dyDescent="0.15">
      <c r="A13989" s="15"/>
      <c r="B13989" s="15"/>
    </row>
    <row r="13990" spans="1:2" x14ac:dyDescent="0.15">
      <c r="A13990" s="15"/>
      <c r="B13990" s="15"/>
    </row>
    <row r="13991" spans="1:2" x14ac:dyDescent="0.15">
      <c r="A13991" s="15"/>
      <c r="B13991" s="15"/>
    </row>
    <row r="13992" spans="1:2" x14ac:dyDescent="0.15">
      <c r="A13992" s="15"/>
      <c r="B13992" s="15"/>
    </row>
    <row r="13993" spans="1:2" x14ac:dyDescent="0.15">
      <c r="A13993" s="15"/>
      <c r="B13993" s="15"/>
    </row>
    <row r="13994" spans="1:2" x14ac:dyDescent="0.15">
      <c r="A13994" s="15"/>
      <c r="B13994" s="15"/>
    </row>
    <row r="13995" spans="1:2" x14ac:dyDescent="0.15">
      <c r="A13995" s="15"/>
      <c r="B13995" s="15"/>
    </row>
    <row r="13996" spans="1:2" x14ac:dyDescent="0.15">
      <c r="A13996" s="15"/>
      <c r="B13996" s="15"/>
    </row>
    <row r="13997" spans="1:2" x14ac:dyDescent="0.15">
      <c r="A13997" s="15"/>
      <c r="B13997" s="15"/>
    </row>
    <row r="13998" spans="1:2" x14ac:dyDescent="0.15">
      <c r="A13998" s="15"/>
      <c r="B13998" s="15"/>
    </row>
    <row r="13999" spans="1:2" x14ac:dyDescent="0.15">
      <c r="A13999" s="15"/>
      <c r="B13999" s="15"/>
    </row>
    <row r="14000" spans="1:2" x14ac:dyDescent="0.15">
      <c r="A14000" s="15"/>
      <c r="B14000" s="15"/>
    </row>
    <row r="14001" spans="1:2" x14ac:dyDescent="0.15">
      <c r="A14001" s="15"/>
      <c r="B14001" s="15"/>
    </row>
    <row r="14002" spans="1:2" x14ac:dyDescent="0.15">
      <c r="A14002" s="15"/>
      <c r="B14002" s="15"/>
    </row>
    <row r="14003" spans="1:2" x14ac:dyDescent="0.15">
      <c r="A14003" s="15"/>
      <c r="B14003" s="15"/>
    </row>
    <row r="14004" spans="1:2" x14ac:dyDescent="0.15">
      <c r="A14004" s="15"/>
      <c r="B14004" s="15"/>
    </row>
    <row r="14005" spans="1:2" x14ac:dyDescent="0.15">
      <c r="A14005" s="15"/>
      <c r="B14005" s="15"/>
    </row>
    <row r="14006" spans="1:2" x14ac:dyDescent="0.15">
      <c r="A14006" s="15"/>
      <c r="B14006" s="15"/>
    </row>
    <row r="14007" spans="1:2" x14ac:dyDescent="0.15">
      <c r="A14007" s="15"/>
      <c r="B14007" s="15"/>
    </row>
    <row r="14008" spans="1:2" x14ac:dyDescent="0.15">
      <c r="A14008" s="15"/>
      <c r="B14008" s="15"/>
    </row>
    <row r="14009" spans="1:2" x14ac:dyDescent="0.15">
      <c r="A14009" s="15"/>
      <c r="B14009" s="15"/>
    </row>
    <row r="14010" spans="1:2" x14ac:dyDescent="0.15">
      <c r="A14010" s="15"/>
      <c r="B14010" s="15"/>
    </row>
    <row r="14011" spans="1:2" x14ac:dyDescent="0.15">
      <c r="A14011" s="15"/>
      <c r="B14011" s="15"/>
    </row>
    <row r="14012" spans="1:2" x14ac:dyDescent="0.15">
      <c r="A14012" s="15"/>
      <c r="B14012" s="15"/>
    </row>
    <row r="14013" spans="1:2" x14ac:dyDescent="0.15">
      <c r="A14013" s="15"/>
      <c r="B14013" s="15"/>
    </row>
    <row r="14014" spans="1:2" x14ac:dyDescent="0.15">
      <c r="A14014" s="15"/>
      <c r="B14014" s="15"/>
    </row>
    <row r="14015" spans="1:2" x14ac:dyDescent="0.15">
      <c r="A14015" s="15"/>
      <c r="B14015" s="15"/>
    </row>
    <row r="14016" spans="1:2" x14ac:dyDescent="0.15">
      <c r="A14016" s="15"/>
      <c r="B14016" s="15"/>
    </row>
    <row r="14017" spans="1:2" x14ac:dyDescent="0.15">
      <c r="A14017" s="15"/>
      <c r="B14017" s="15"/>
    </row>
    <row r="14018" spans="1:2" x14ac:dyDescent="0.15">
      <c r="A14018" s="15"/>
      <c r="B14018" s="15"/>
    </row>
    <row r="14019" spans="1:2" x14ac:dyDescent="0.15">
      <c r="A14019" s="15"/>
      <c r="B14019" s="15"/>
    </row>
    <row r="14020" spans="1:2" x14ac:dyDescent="0.15">
      <c r="A14020" s="15"/>
      <c r="B14020" s="15"/>
    </row>
    <row r="14021" spans="1:2" x14ac:dyDescent="0.15">
      <c r="A14021" s="15"/>
      <c r="B14021" s="15"/>
    </row>
    <row r="14022" spans="1:2" x14ac:dyDescent="0.15">
      <c r="A14022" s="15"/>
      <c r="B14022" s="15"/>
    </row>
    <row r="14023" spans="1:2" x14ac:dyDescent="0.15">
      <c r="A14023" s="15"/>
      <c r="B14023" s="15"/>
    </row>
    <row r="14024" spans="1:2" x14ac:dyDescent="0.15">
      <c r="A14024" s="15"/>
      <c r="B14024" s="15"/>
    </row>
    <row r="14025" spans="1:2" x14ac:dyDescent="0.15">
      <c r="A14025" s="15"/>
      <c r="B14025" s="15"/>
    </row>
    <row r="14026" spans="1:2" x14ac:dyDescent="0.15">
      <c r="A14026" s="15"/>
      <c r="B14026" s="15"/>
    </row>
    <row r="14027" spans="1:2" x14ac:dyDescent="0.15">
      <c r="A14027" s="15"/>
      <c r="B14027" s="15"/>
    </row>
    <row r="14028" spans="1:2" x14ac:dyDescent="0.15">
      <c r="A14028" s="15"/>
      <c r="B14028" s="15"/>
    </row>
    <row r="14029" spans="1:2" x14ac:dyDescent="0.15">
      <c r="A14029" s="15"/>
      <c r="B14029" s="15"/>
    </row>
    <row r="14030" spans="1:2" x14ac:dyDescent="0.15">
      <c r="A14030" s="15"/>
      <c r="B14030" s="15"/>
    </row>
    <row r="14031" spans="1:2" x14ac:dyDescent="0.15">
      <c r="A14031" s="15"/>
      <c r="B14031" s="15"/>
    </row>
    <row r="14032" spans="1:2" x14ac:dyDescent="0.15">
      <c r="A14032" s="15"/>
      <c r="B14032" s="15"/>
    </row>
    <row r="14033" spans="1:2" x14ac:dyDescent="0.15">
      <c r="A14033" s="15"/>
      <c r="B14033" s="15"/>
    </row>
    <row r="14034" spans="1:2" x14ac:dyDescent="0.15">
      <c r="A14034" s="15"/>
      <c r="B14034" s="15"/>
    </row>
    <row r="14035" spans="1:2" x14ac:dyDescent="0.15">
      <c r="A14035" s="15"/>
      <c r="B14035" s="15"/>
    </row>
    <row r="14036" spans="1:2" x14ac:dyDescent="0.15">
      <c r="A14036" s="15"/>
      <c r="B14036" s="15"/>
    </row>
    <row r="14037" spans="1:2" x14ac:dyDescent="0.15">
      <c r="A14037" s="15"/>
      <c r="B14037" s="15"/>
    </row>
    <row r="14038" spans="1:2" x14ac:dyDescent="0.15">
      <c r="A14038" s="15"/>
      <c r="B14038" s="15"/>
    </row>
    <row r="14039" spans="1:2" x14ac:dyDescent="0.15">
      <c r="A14039" s="15"/>
      <c r="B14039" s="15"/>
    </row>
    <row r="14040" spans="1:2" x14ac:dyDescent="0.15">
      <c r="A14040" s="15"/>
      <c r="B14040" s="15"/>
    </row>
    <row r="14041" spans="1:2" x14ac:dyDescent="0.15">
      <c r="A14041" s="15"/>
      <c r="B14041" s="15"/>
    </row>
    <row r="14042" spans="1:2" x14ac:dyDescent="0.15">
      <c r="A14042" s="15"/>
      <c r="B14042" s="15"/>
    </row>
    <row r="14043" spans="1:2" x14ac:dyDescent="0.15">
      <c r="A14043" s="15"/>
      <c r="B14043" s="15"/>
    </row>
    <row r="14044" spans="1:2" x14ac:dyDescent="0.15">
      <c r="A14044" s="15"/>
      <c r="B14044" s="15"/>
    </row>
    <row r="14045" spans="1:2" x14ac:dyDescent="0.15">
      <c r="A14045" s="15"/>
      <c r="B14045" s="15"/>
    </row>
    <row r="14046" spans="1:2" x14ac:dyDescent="0.15">
      <c r="A14046" s="15"/>
      <c r="B14046" s="15"/>
    </row>
    <row r="14047" spans="1:2" x14ac:dyDescent="0.15">
      <c r="A14047" s="15"/>
      <c r="B14047" s="15"/>
    </row>
    <row r="14048" spans="1:2" x14ac:dyDescent="0.15">
      <c r="A14048" s="15"/>
      <c r="B14048" s="15"/>
    </row>
    <row r="14049" spans="1:2" x14ac:dyDescent="0.15">
      <c r="A14049" s="15"/>
      <c r="B14049" s="15"/>
    </row>
    <row r="14050" spans="1:2" x14ac:dyDescent="0.15">
      <c r="A14050" s="15"/>
      <c r="B14050" s="15"/>
    </row>
    <row r="14051" spans="1:2" x14ac:dyDescent="0.15">
      <c r="A14051" s="15"/>
      <c r="B14051" s="15"/>
    </row>
    <row r="14052" spans="1:2" x14ac:dyDescent="0.15">
      <c r="A14052" s="15"/>
      <c r="B14052" s="15"/>
    </row>
    <row r="14053" spans="1:2" x14ac:dyDescent="0.15">
      <c r="A14053" s="15"/>
      <c r="B14053" s="15"/>
    </row>
    <row r="14054" spans="1:2" x14ac:dyDescent="0.15">
      <c r="A14054" s="15"/>
      <c r="B14054" s="15"/>
    </row>
    <row r="14055" spans="1:2" x14ac:dyDescent="0.15">
      <c r="A14055" s="15"/>
      <c r="B14055" s="15"/>
    </row>
    <row r="14056" spans="1:2" x14ac:dyDescent="0.15">
      <c r="A14056" s="15"/>
      <c r="B14056" s="15"/>
    </row>
    <row r="14057" spans="1:2" x14ac:dyDescent="0.15">
      <c r="A14057" s="15"/>
      <c r="B14057" s="15"/>
    </row>
    <row r="14058" spans="1:2" x14ac:dyDescent="0.15">
      <c r="A14058" s="15"/>
      <c r="B14058" s="15"/>
    </row>
    <row r="14059" spans="1:2" x14ac:dyDescent="0.15">
      <c r="A14059" s="15"/>
      <c r="B14059" s="15"/>
    </row>
    <row r="14060" spans="1:2" x14ac:dyDescent="0.15">
      <c r="A14060" s="15"/>
      <c r="B14060" s="15"/>
    </row>
    <row r="14061" spans="1:2" x14ac:dyDescent="0.15">
      <c r="A14061" s="15"/>
      <c r="B14061" s="15"/>
    </row>
    <row r="14062" spans="1:2" x14ac:dyDescent="0.15">
      <c r="A14062" s="15"/>
      <c r="B14062" s="15"/>
    </row>
    <row r="14063" spans="1:2" x14ac:dyDescent="0.15">
      <c r="A14063" s="15"/>
      <c r="B14063" s="15"/>
    </row>
    <row r="14064" spans="1:2" x14ac:dyDescent="0.15">
      <c r="A14064" s="15"/>
      <c r="B14064" s="15"/>
    </row>
    <row r="14065" spans="1:2" x14ac:dyDescent="0.15">
      <c r="A14065" s="15"/>
      <c r="B14065" s="15"/>
    </row>
    <row r="14066" spans="1:2" x14ac:dyDescent="0.15">
      <c r="A14066" s="15"/>
      <c r="B14066" s="15"/>
    </row>
    <row r="14067" spans="1:2" x14ac:dyDescent="0.15">
      <c r="A14067" s="15"/>
      <c r="B14067" s="15"/>
    </row>
    <row r="14068" spans="1:2" x14ac:dyDescent="0.15">
      <c r="A14068" s="15"/>
      <c r="B14068" s="15"/>
    </row>
    <row r="14069" spans="1:2" x14ac:dyDescent="0.15">
      <c r="A14069" s="15"/>
      <c r="B14069" s="15"/>
    </row>
    <row r="14070" spans="1:2" x14ac:dyDescent="0.15">
      <c r="A14070" s="15"/>
      <c r="B14070" s="15"/>
    </row>
    <row r="14071" spans="1:2" x14ac:dyDescent="0.15">
      <c r="A14071" s="15"/>
      <c r="B14071" s="15"/>
    </row>
    <row r="14072" spans="1:2" x14ac:dyDescent="0.15">
      <c r="A14072" s="15"/>
      <c r="B14072" s="15"/>
    </row>
    <row r="14073" spans="1:2" x14ac:dyDescent="0.15">
      <c r="A14073" s="15"/>
      <c r="B14073" s="15"/>
    </row>
    <row r="14074" spans="1:2" x14ac:dyDescent="0.15">
      <c r="A14074" s="15"/>
      <c r="B14074" s="15"/>
    </row>
    <row r="14075" spans="1:2" x14ac:dyDescent="0.15">
      <c r="A14075" s="15"/>
      <c r="B14075" s="15"/>
    </row>
    <row r="14076" spans="1:2" x14ac:dyDescent="0.15">
      <c r="A14076" s="15"/>
      <c r="B14076" s="15"/>
    </row>
    <row r="14077" spans="1:2" x14ac:dyDescent="0.15">
      <c r="A14077" s="15"/>
      <c r="B14077" s="15"/>
    </row>
    <row r="14078" spans="1:2" x14ac:dyDescent="0.15">
      <c r="A14078" s="15"/>
      <c r="B14078" s="15"/>
    </row>
    <row r="14079" spans="1:2" x14ac:dyDescent="0.15">
      <c r="A14079" s="15"/>
      <c r="B14079" s="15"/>
    </row>
    <row r="14080" spans="1:2" x14ac:dyDescent="0.15">
      <c r="A14080" s="15"/>
      <c r="B14080" s="15"/>
    </row>
    <row r="14081" spans="1:2" x14ac:dyDescent="0.15">
      <c r="A14081" s="15"/>
      <c r="B14081" s="15"/>
    </row>
    <row r="14082" spans="1:2" x14ac:dyDescent="0.15">
      <c r="A14082" s="15"/>
      <c r="B14082" s="15"/>
    </row>
    <row r="14083" spans="1:2" x14ac:dyDescent="0.15">
      <c r="A14083" s="15"/>
      <c r="B14083" s="15"/>
    </row>
    <row r="14084" spans="1:2" x14ac:dyDescent="0.15">
      <c r="A14084" s="15"/>
      <c r="B14084" s="15"/>
    </row>
    <row r="14085" spans="1:2" x14ac:dyDescent="0.15">
      <c r="A14085" s="15"/>
      <c r="B14085" s="15"/>
    </row>
    <row r="14086" spans="1:2" x14ac:dyDescent="0.15">
      <c r="A14086" s="15"/>
      <c r="B14086" s="15"/>
    </row>
    <row r="14087" spans="1:2" x14ac:dyDescent="0.15">
      <c r="A14087" s="15"/>
      <c r="B14087" s="15"/>
    </row>
    <row r="14088" spans="1:2" x14ac:dyDescent="0.15">
      <c r="A14088" s="15"/>
      <c r="B14088" s="15"/>
    </row>
    <row r="14089" spans="1:2" x14ac:dyDescent="0.15">
      <c r="A14089" s="15"/>
      <c r="B14089" s="15"/>
    </row>
    <row r="14090" spans="1:2" x14ac:dyDescent="0.15">
      <c r="A14090" s="15"/>
      <c r="B14090" s="15"/>
    </row>
    <row r="14091" spans="1:2" x14ac:dyDescent="0.15">
      <c r="A14091" s="15"/>
      <c r="B14091" s="15"/>
    </row>
    <row r="14092" spans="1:2" x14ac:dyDescent="0.15">
      <c r="A14092" s="15"/>
      <c r="B14092" s="15"/>
    </row>
    <row r="14093" spans="1:2" x14ac:dyDescent="0.15">
      <c r="A14093" s="15"/>
      <c r="B14093" s="15"/>
    </row>
    <row r="14094" spans="1:2" x14ac:dyDescent="0.15">
      <c r="A14094" s="15"/>
      <c r="B14094" s="15"/>
    </row>
    <row r="14095" spans="1:2" x14ac:dyDescent="0.15">
      <c r="A14095" s="15"/>
      <c r="B14095" s="15"/>
    </row>
    <row r="14096" spans="1:2" x14ac:dyDescent="0.15">
      <c r="A14096" s="15"/>
      <c r="B14096" s="15"/>
    </row>
    <row r="14097" spans="1:2" x14ac:dyDescent="0.15">
      <c r="A14097" s="15"/>
      <c r="B14097" s="15"/>
    </row>
    <row r="14098" spans="1:2" x14ac:dyDescent="0.15">
      <c r="A14098" s="15"/>
      <c r="B14098" s="15"/>
    </row>
    <row r="14099" spans="1:2" x14ac:dyDescent="0.15">
      <c r="A14099" s="15"/>
      <c r="B14099" s="15"/>
    </row>
    <row r="14100" spans="1:2" x14ac:dyDescent="0.15">
      <c r="A14100" s="15"/>
      <c r="B14100" s="15"/>
    </row>
    <row r="14101" spans="1:2" x14ac:dyDescent="0.15">
      <c r="A14101" s="15"/>
      <c r="B14101" s="15"/>
    </row>
    <row r="14102" spans="1:2" x14ac:dyDescent="0.15">
      <c r="A14102" s="15"/>
      <c r="B14102" s="15"/>
    </row>
    <row r="14103" spans="1:2" x14ac:dyDescent="0.15">
      <c r="A14103" s="15"/>
      <c r="B14103" s="15"/>
    </row>
    <row r="14104" spans="1:2" x14ac:dyDescent="0.15">
      <c r="A14104" s="15"/>
      <c r="B14104" s="15"/>
    </row>
    <row r="14105" spans="1:2" x14ac:dyDescent="0.15">
      <c r="A14105" s="15"/>
      <c r="B14105" s="15"/>
    </row>
    <row r="14106" spans="1:2" x14ac:dyDescent="0.15">
      <c r="A14106" s="15"/>
      <c r="B14106" s="15"/>
    </row>
    <row r="14107" spans="1:2" x14ac:dyDescent="0.15">
      <c r="A14107" s="15"/>
      <c r="B14107" s="15"/>
    </row>
    <row r="14108" spans="1:2" x14ac:dyDescent="0.15">
      <c r="A14108" s="15"/>
      <c r="B14108" s="15"/>
    </row>
    <row r="14109" spans="1:2" x14ac:dyDescent="0.15">
      <c r="A14109" s="15"/>
      <c r="B14109" s="15"/>
    </row>
    <row r="14110" spans="1:2" x14ac:dyDescent="0.15">
      <c r="A14110" s="15"/>
      <c r="B14110" s="15"/>
    </row>
    <row r="14111" spans="1:2" x14ac:dyDescent="0.15">
      <c r="A14111" s="15"/>
      <c r="B14111" s="15"/>
    </row>
    <row r="14112" spans="1:2" x14ac:dyDescent="0.15">
      <c r="A14112" s="15"/>
      <c r="B14112" s="15"/>
    </row>
    <row r="14113" spans="1:2" x14ac:dyDescent="0.15">
      <c r="A14113" s="15"/>
      <c r="B14113" s="15"/>
    </row>
    <row r="14114" spans="1:2" x14ac:dyDescent="0.15">
      <c r="A14114" s="15"/>
      <c r="B14114" s="15"/>
    </row>
    <row r="14115" spans="1:2" x14ac:dyDescent="0.15">
      <c r="A14115" s="15"/>
      <c r="B14115" s="15"/>
    </row>
    <row r="14116" spans="1:2" x14ac:dyDescent="0.15">
      <c r="A14116" s="15"/>
      <c r="B14116" s="15"/>
    </row>
    <row r="14117" spans="1:2" x14ac:dyDescent="0.15">
      <c r="A14117" s="15"/>
      <c r="B14117" s="15"/>
    </row>
    <row r="14118" spans="1:2" x14ac:dyDescent="0.15">
      <c r="A14118" s="15"/>
      <c r="B14118" s="15"/>
    </row>
    <row r="14119" spans="1:2" x14ac:dyDescent="0.15">
      <c r="A14119" s="15"/>
      <c r="B14119" s="15"/>
    </row>
    <row r="14120" spans="1:2" x14ac:dyDescent="0.15">
      <c r="A14120" s="15"/>
      <c r="B14120" s="15"/>
    </row>
    <row r="14121" spans="1:2" x14ac:dyDescent="0.15">
      <c r="A14121" s="15"/>
      <c r="B14121" s="15"/>
    </row>
    <row r="14122" spans="1:2" x14ac:dyDescent="0.15">
      <c r="A14122" s="15"/>
      <c r="B14122" s="15"/>
    </row>
    <row r="14123" spans="1:2" x14ac:dyDescent="0.15">
      <c r="A14123" s="15"/>
      <c r="B14123" s="15"/>
    </row>
    <row r="14124" spans="1:2" x14ac:dyDescent="0.15">
      <c r="A14124" s="15"/>
      <c r="B14124" s="15"/>
    </row>
    <row r="14125" spans="1:2" x14ac:dyDescent="0.15">
      <c r="A14125" s="15"/>
      <c r="B14125" s="15"/>
    </row>
    <row r="14126" spans="1:2" x14ac:dyDescent="0.15">
      <c r="A14126" s="15"/>
      <c r="B14126" s="15"/>
    </row>
    <row r="14127" spans="1:2" x14ac:dyDescent="0.15">
      <c r="A14127" s="15"/>
      <c r="B14127" s="15"/>
    </row>
    <row r="14128" spans="1:2" x14ac:dyDescent="0.15">
      <c r="A14128" s="15"/>
      <c r="B14128" s="15"/>
    </row>
    <row r="14129" spans="1:2" x14ac:dyDescent="0.15">
      <c r="A14129" s="15"/>
      <c r="B14129" s="15"/>
    </row>
    <row r="14130" spans="1:2" x14ac:dyDescent="0.15">
      <c r="A14130" s="15"/>
      <c r="B14130" s="15"/>
    </row>
    <row r="14131" spans="1:2" x14ac:dyDescent="0.15">
      <c r="A14131" s="15"/>
      <c r="B14131" s="15"/>
    </row>
    <row r="14132" spans="1:2" x14ac:dyDescent="0.15">
      <c r="A14132" s="15"/>
      <c r="B14132" s="15"/>
    </row>
    <row r="14133" spans="1:2" x14ac:dyDescent="0.15">
      <c r="A14133" s="15"/>
      <c r="B14133" s="15"/>
    </row>
    <row r="14134" spans="1:2" x14ac:dyDescent="0.15">
      <c r="A14134" s="15"/>
      <c r="B14134" s="15"/>
    </row>
    <row r="14135" spans="1:2" x14ac:dyDescent="0.15">
      <c r="A14135" s="15"/>
      <c r="B14135" s="15"/>
    </row>
    <row r="14136" spans="1:2" x14ac:dyDescent="0.15">
      <c r="A14136" s="15"/>
      <c r="B14136" s="15"/>
    </row>
    <row r="14137" spans="1:2" x14ac:dyDescent="0.15">
      <c r="A14137" s="15"/>
      <c r="B14137" s="15"/>
    </row>
    <row r="14138" spans="1:2" x14ac:dyDescent="0.15">
      <c r="A14138" s="15"/>
      <c r="B14138" s="15"/>
    </row>
    <row r="14139" spans="1:2" x14ac:dyDescent="0.15">
      <c r="A14139" s="15"/>
      <c r="B14139" s="15"/>
    </row>
    <row r="14140" spans="1:2" x14ac:dyDescent="0.15">
      <c r="A14140" s="15"/>
      <c r="B14140" s="15"/>
    </row>
    <row r="14141" spans="1:2" x14ac:dyDescent="0.15">
      <c r="A14141" s="15"/>
      <c r="B14141" s="15"/>
    </row>
    <row r="14142" spans="1:2" x14ac:dyDescent="0.15">
      <c r="A14142" s="15"/>
      <c r="B14142" s="15"/>
    </row>
    <row r="14143" spans="1:2" x14ac:dyDescent="0.15">
      <c r="A14143" s="15"/>
      <c r="B14143" s="15"/>
    </row>
    <row r="14144" spans="1:2" x14ac:dyDescent="0.15">
      <c r="A14144" s="15"/>
      <c r="B14144" s="15"/>
    </row>
    <row r="14145" spans="1:2" x14ac:dyDescent="0.15">
      <c r="A14145" s="15"/>
      <c r="B14145" s="15"/>
    </row>
    <row r="14146" spans="1:2" x14ac:dyDescent="0.15">
      <c r="A14146" s="15"/>
      <c r="B14146" s="15"/>
    </row>
    <row r="14147" spans="1:2" x14ac:dyDescent="0.15">
      <c r="A14147" s="15"/>
      <c r="B14147" s="15"/>
    </row>
    <row r="14148" spans="1:2" x14ac:dyDescent="0.15">
      <c r="A14148" s="15"/>
      <c r="B14148" s="15"/>
    </row>
    <row r="14149" spans="1:2" x14ac:dyDescent="0.15">
      <c r="A14149" s="15"/>
      <c r="B14149" s="15"/>
    </row>
    <row r="14150" spans="1:2" x14ac:dyDescent="0.15">
      <c r="A14150" s="15"/>
      <c r="B14150" s="15"/>
    </row>
    <row r="14151" spans="1:2" x14ac:dyDescent="0.15">
      <c r="A14151" s="15"/>
      <c r="B14151" s="15"/>
    </row>
    <row r="14152" spans="1:2" x14ac:dyDescent="0.15">
      <c r="A14152" s="15"/>
      <c r="B14152" s="15"/>
    </row>
    <row r="14153" spans="1:2" x14ac:dyDescent="0.15">
      <c r="A14153" s="15"/>
      <c r="B14153" s="15"/>
    </row>
    <row r="14154" spans="1:2" x14ac:dyDescent="0.15">
      <c r="A14154" s="15"/>
      <c r="B14154" s="15"/>
    </row>
    <row r="14155" spans="1:2" x14ac:dyDescent="0.15">
      <c r="A14155" s="15"/>
      <c r="B14155" s="15"/>
    </row>
    <row r="14156" spans="1:2" x14ac:dyDescent="0.15">
      <c r="A14156" s="15"/>
      <c r="B14156" s="15"/>
    </row>
    <row r="14157" spans="1:2" x14ac:dyDescent="0.15">
      <c r="A14157" s="15"/>
      <c r="B14157" s="15"/>
    </row>
    <row r="14158" spans="1:2" x14ac:dyDescent="0.15">
      <c r="A14158" s="15"/>
      <c r="B14158" s="15"/>
    </row>
    <row r="14159" spans="1:2" x14ac:dyDescent="0.15">
      <c r="A14159" s="15"/>
      <c r="B14159" s="15"/>
    </row>
    <row r="14160" spans="1:2" x14ac:dyDescent="0.15">
      <c r="A14160" s="15"/>
      <c r="B14160" s="15"/>
    </row>
    <row r="14161" spans="1:2" x14ac:dyDescent="0.15">
      <c r="A14161" s="15"/>
      <c r="B14161" s="15"/>
    </row>
    <row r="14162" spans="1:2" x14ac:dyDescent="0.15">
      <c r="A14162" s="15"/>
      <c r="B14162" s="15"/>
    </row>
    <row r="14163" spans="1:2" x14ac:dyDescent="0.15">
      <c r="A14163" s="15"/>
      <c r="B14163" s="15"/>
    </row>
    <row r="14164" spans="1:2" x14ac:dyDescent="0.15">
      <c r="A14164" s="15"/>
      <c r="B14164" s="15"/>
    </row>
    <row r="14165" spans="1:2" x14ac:dyDescent="0.15">
      <c r="A14165" s="15"/>
      <c r="B14165" s="15"/>
    </row>
    <row r="14166" spans="1:2" x14ac:dyDescent="0.15">
      <c r="A14166" s="15"/>
      <c r="B14166" s="15"/>
    </row>
    <row r="14167" spans="1:2" x14ac:dyDescent="0.15">
      <c r="A14167" s="15"/>
      <c r="B14167" s="15"/>
    </row>
    <row r="14168" spans="1:2" x14ac:dyDescent="0.15">
      <c r="A14168" s="15"/>
      <c r="B14168" s="15"/>
    </row>
    <row r="14169" spans="1:2" x14ac:dyDescent="0.15">
      <c r="A14169" s="15"/>
      <c r="B14169" s="15"/>
    </row>
    <row r="14170" spans="1:2" x14ac:dyDescent="0.15">
      <c r="A14170" s="15"/>
      <c r="B14170" s="15"/>
    </row>
    <row r="14171" spans="1:2" x14ac:dyDescent="0.15">
      <c r="A14171" s="15"/>
      <c r="B14171" s="15"/>
    </row>
    <row r="14172" spans="1:2" x14ac:dyDescent="0.15">
      <c r="A14172" s="15"/>
      <c r="B14172" s="15"/>
    </row>
    <row r="14173" spans="1:2" x14ac:dyDescent="0.15">
      <c r="A14173" s="15"/>
      <c r="B14173" s="15"/>
    </row>
    <row r="14174" spans="1:2" x14ac:dyDescent="0.15">
      <c r="A14174" s="15"/>
      <c r="B14174" s="15"/>
    </row>
    <row r="14175" spans="1:2" x14ac:dyDescent="0.15">
      <c r="A14175" s="15"/>
      <c r="B14175" s="15"/>
    </row>
    <row r="14176" spans="1:2" x14ac:dyDescent="0.15">
      <c r="A14176" s="15"/>
      <c r="B14176" s="15"/>
    </row>
    <row r="14177" spans="1:2" x14ac:dyDescent="0.15">
      <c r="A14177" s="15"/>
      <c r="B14177" s="15"/>
    </row>
    <row r="14178" spans="1:2" x14ac:dyDescent="0.15">
      <c r="A14178" s="15"/>
      <c r="B14178" s="15"/>
    </row>
    <row r="14179" spans="1:2" x14ac:dyDescent="0.15">
      <c r="A14179" s="15"/>
      <c r="B14179" s="15"/>
    </row>
    <row r="14180" spans="1:2" x14ac:dyDescent="0.15">
      <c r="A14180" s="15"/>
      <c r="B14180" s="15"/>
    </row>
    <row r="14181" spans="1:2" x14ac:dyDescent="0.15">
      <c r="A14181" s="15"/>
      <c r="B14181" s="15"/>
    </row>
    <row r="14182" spans="1:2" x14ac:dyDescent="0.15">
      <c r="A14182" s="15"/>
      <c r="B14182" s="15"/>
    </row>
    <row r="14183" spans="1:2" x14ac:dyDescent="0.15">
      <c r="A14183" s="15"/>
      <c r="B14183" s="15"/>
    </row>
    <row r="14184" spans="1:2" x14ac:dyDescent="0.15">
      <c r="A14184" s="15"/>
      <c r="B14184" s="15"/>
    </row>
    <row r="14185" spans="1:2" x14ac:dyDescent="0.15">
      <c r="A14185" s="15"/>
      <c r="B14185" s="15"/>
    </row>
    <row r="14186" spans="1:2" x14ac:dyDescent="0.15">
      <c r="A14186" s="15"/>
      <c r="B14186" s="15"/>
    </row>
    <row r="14187" spans="1:2" x14ac:dyDescent="0.15">
      <c r="A14187" s="15"/>
      <c r="B14187" s="15"/>
    </row>
    <row r="14188" spans="1:2" x14ac:dyDescent="0.15">
      <c r="A14188" s="15"/>
      <c r="B14188" s="15"/>
    </row>
    <row r="14189" spans="1:2" x14ac:dyDescent="0.15">
      <c r="A14189" s="15"/>
      <c r="B14189" s="15"/>
    </row>
    <row r="14190" spans="1:2" x14ac:dyDescent="0.15">
      <c r="A14190" s="15"/>
      <c r="B14190" s="15"/>
    </row>
    <row r="14191" spans="1:2" x14ac:dyDescent="0.15">
      <c r="A14191" s="15"/>
      <c r="B14191" s="15"/>
    </row>
    <row r="14192" spans="1:2" x14ac:dyDescent="0.15">
      <c r="A14192" s="15"/>
      <c r="B14192" s="15"/>
    </row>
    <row r="14193" spans="1:2" x14ac:dyDescent="0.15">
      <c r="A14193" s="15"/>
      <c r="B14193" s="15"/>
    </row>
    <row r="14194" spans="1:2" x14ac:dyDescent="0.15">
      <c r="A14194" s="15"/>
      <c r="B14194" s="15"/>
    </row>
    <row r="14195" spans="1:2" x14ac:dyDescent="0.15">
      <c r="A14195" s="15"/>
      <c r="B14195" s="15"/>
    </row>
    <row r="14196" spans="1:2" x14ac:dyDescent="0.15">
      <c r="A14196" s="15"/>
      <c r="B14196" s="15"/>
    </row>
    <row r="14197" spans="1:2" x14ac:dyDescent="0.15">
      <c r="A14197" s="15"/>
      <c r="B14197" s="15"/>
    </row>
    <row r="14198" spans="1:2" x14ac:dyDescent="0.15">
      <c r="A14198" s="15"/>
      <c r="B14198" s="15"/>
    </row>
    <row r="14199" spans="1:2" x14ac:dyDescent="0.15">
      <c r="A14199" s="15"/>
      <c r="B14199" s="15"/>
    </row>
    <row r="14200" spans="1:2" x14ac:dyDescent="0.15">
      <c r="A14200" s="15"/>
      <c r="B14200" s="15"/>
    </row>
    <row r="14201" spans="1:2" x14ac:dyDescent="0.15">
      <c r="A14201" s="15"/>
      <c r="B14201" s="15"/>
    </row>
    <row r="14202" spans="1:2" x14ac:dyDescent="0.15">
      <c r="A14202" s="15"/>
      <c r="B14202" s="15"/>
    </row>
    <row r="14203" spans="1:2" x14ac:dyDescent="0.15">
      <c r="A14203" s="15"/>
      <c r="B14203" s="15"/>
    </row>
    <row r="14204" spans="1:2" x14ac:dyDescent="0.15">
      <c r="A14204" s="15"/>
      <c r="B14204" s="15"/>
    </row>
    <row r="14205" spans="1:2" x14ac:dyDescent="0.15">
      <c r="A14205" s="15"/>
      <c r="B14205" s="15"/>
    </row>
    <row r="14206" spans="1:2" x14ac:dyDescent="0.15">
      <c r="A14206" s="15"/>
      <c r="B14206" s="15"/>
    </row>
    <row r="14207" spans="1:2" x14ac:dyDescent="0.15">
      <c r="A14207" s="15"/>
      <c r="B14207" s="15"/>
    </row>
    <row r="14208" spans="1:2" x14ac:dyDescent="0.15">
      <c r="A14208" s="15"/>
      <c r="B14208" s="15"/>
    </row>
    <row r="14209" spans="1:2" x14ac:dyDescent="0.15">
      <c r="A14209" s="15"/>
      <c r="B14209" s="15"/>
    </row>
    <row r="14210" spans="1:2" x14ac:dyDescent="0.15">
      <c r="A14210" s="15"/>
      <c r="B14210" s="15"/>
    </row>
    <row r="14211" spans="1:2" x14ac:dyDescent="0.15">
      <c r="A14211" s="15"/>
      <c r="B14211" s="15"/>
    </row>
    <row r="14212" spans="1:2" x14ac:dyDescent="0.15">
      <c r="A14212" s="15"/>
      <c r="B14212" s="15"/>
    </row>
    <row r="14213" spans="1:2" x14ac:dyDescent="0.15">
      <c r="A14213" s="15"/>
      <c r="B14213" s="15"/>
    </row>
    <row r="14214" spans="1:2" x14ac:dyDescent="0.15">
      <c r="A14214" s="15"/>
      <c r="B14214" s="15"/>
    </row>
    <row r="14215" spans="1:2" x14ac:dyDescent="0.15">
      <c r="A14215" s="15"/>
      <c r="B14215" s="15"/>
    </row>
    <row r="14216" spans="1:2" x14ac:dyDescent="0.15">
      <c r="A14216" s="15"/>
      <c r="B14216" s="15"/>
    </row>
    <row r="14217" spans="1:2" x14ac:dyDescent="0.15">
      <c r="A14217" s="15"/>
      <c r="B14217" s="15"/>
    </row>
    <row r="14218" spans="1:2" x14ac:dyDescent="0.15">
      <c r="A14218" s="15"/>
      <c r="B14218" s="15"/>
    </row>
    <row r="14219" spans="1:2" x14ac:dyDescent="0.15">
      <c r="A14219" s="15"/>
      <c r="B14219" s="15"/>
    </row>
    <row r="14220" spans="1:2" x14ac:dyDescent="0.15">
      <c r="A14220" s="15"/>
      <c r="B14220" s="15"/>
    </row>
    <row r="14221" spans="1:2" x14ac:dyDescent="0.15">
      <c r="A14221" s="15"/>
      <c r="B14221" s="15"/>
    </row>
    <row r="14222" spans="1:2" x14ac:dyDescent="0.15">
      <c r="A14222" s="15"/>
      <c r="B14222" s="15"/>
    </row>
    <row r="14223" spans="1:2" x14ac:dyDescent="0.15">
      <c r="A14223" s="15"/>
      <c r="B14223" s="15"/>
    </row>
    <row r="14224" spans="1:2" x14ac:dyDescent="0.15">
      <c r="A14224" s="15"/>
      <c r="B14224" s="15"/>
    </row>
    <row r="14225" spans="1:2" x14ac:dyDescent="0.15">
      <c r="A14225" s="15"/>
      <c r="B14225" s="15"/>
    </row>
    <row r="14226" spans="1:2" x14ac:dyDescent="0.15">
      <c r="A14226" s="15"/>
      <c r="B14226" s="15"/>
    </row>
    <row r="14227" spans="1:2" x14ac:dyDescent="0.15">
      <c r="A14227" s="15"/>
      <c r="B14227" s="15"/>
    </row>
    <row r="14228" spans="1:2" x14ac:dyDescent="0.15">
      <c r="A14228" s="15"/>
      <c r="B14228" s="15"/>
    </row>
    <row r="14229" spans="1:2" x14ac:dyDescent="0.15">
      <c r="A14229" s="15"/>
      <c r="B14229" s="15"/>
    </row>
    <row r="14230" spans="1:2" x14ac:dyDescent="0.15">
      <c r="A14230" s="15"/>
      <c r="B14230" s="15"/>
    </row>
    <row r="14231" spans="1:2" x14ac:dyDescent="0.15">
      <c r="A14231" s="15"/>
      <c r="B14231" s="15"/>
    </row>
    <row r="14232" spans="1:2" x14ac:dyDescent="0.15">
      <c r="A14232" s="15"/>
      <c r="B14232" s="15"/>
    </row>
    <row r="14233" spans="1:2" x14ac:dyDescent="0.15">
      <c r="A14233" s="15"/>
      <c r="B14233" s="15"/>
    </row>
    <row r="14234" spans="1:2" x14ac:dyDescent="0.15">
      <c r="A14234" s="15"/>
      <c r="B14234" s="15"/>
    </row>
    <row r="14235" spans="1:2" x14ac:dyDescent="0.15">
      <c r="A14235" s="15"/>
      <c r="B14235" s="15"/>
    </row>
    <row r="14236" spans="1:2" x14ac:dyDescent="0.15">
      <c r="A14236" s="15"/>
      <c r="B14236" s="15"/>
    </row>
    <row r="14237" spans="1:2" x14ac:dyDescent="0.15">
      <c r="A14237" s="15"/>
      <c r="B14237" s="15"/>
    </row>
    <row r="14238" spans="1:2" x14ac:dyDescent="0.15">
      <c r="A14238" s="15"/>
      <c r="B14238" s="15"/>
    </row>
    <row r="14239" spans="1:2" x14ac:dyDescent="0.15">
      <c r="A14239" s="15"/>
      <c r="B14239" s="15"/>
    </row>
    <row r="14240" spans="1:2" x14ac:dyDescent="0.15">
      <c r="A14240" s="15"/>
      <c r="B14240" s="15"/>
    </row>
    <row r="14241" spans="1:2" x14ac:dyDescent="0.15">
      <c r="A14241" s="15"/>
      <c r="B14241" s="15"/>
    </row>
    <row r="14242" spans="1:2" x14ac:dyDescent="0.15">
      <c r="A14242" s="15"/>
      <c r="B14242" s="15"/>
    </row>
    <row r="14243" spans="1:2" x14ac:dyDescent="0.15">
      <c r="A14243" s="15"/>
      <c r="B14243" s="15"/>
    </row>
    <row r="14244" spans="1:2" x14ac:dyDescent="0.15">
      <c r="A14244" s="15"/>
      <c r="B14244" s="15"/>
    </row>
    <row r="14245" spans="1:2" x14ac:dyDescent="0.15">
      <c r="A14245" s="15"/>
      <c r="B14245" s="15"/>
    </row>
    <row r="14246" spans="1:2" x14ac:dyDescent="0.15">
      <c r="A14246" s="15"/>
      <c r="B14246" s="15"/>
    </row>
    <row r="14247" spans="1:2" x14ac:dyDescent="0.15">
      <c r="A14247" s="15"/>
      <c r="B14247" s="15"/>
    </row>
    <row r="14248" spans="1:2" x14ac:dyDescent="0.15">
      <c r="A14248" s="15"/>
      <c r="B14248" s="15"/>
    </row>
    <row r="14249" spans="1:2" x14ac:dyDescent="0.15">
      <c r="A14249" s="15"/>
      <c r="B14249" s="15"/>
    </row>
    <row r="14250" spans="1:2" x14ac:dyDescent="0.15">
      <c r="A14250" s="15"/>
      <c r="B14250" s="15"/>
    </row>
    <row r="14251" spans="1:2" x14ac:dyDescent="0.15">
      <c r="A14251" s="15"/>
      <c r="B14251" s="15"/>
    </row>
    <row r="14252" spans="1:2" x14ac:dyDescent="0.15">
      <c r="A14252" s="15"/>
      <c r="B14252" s="15"/>
    </row>
    <row r="14253" spans="1:2" x14ac:dyDescent="0.15">
      <c r="A14253" s="15"/>
      <c r="B14253" s="15"/>
    </row>
    <row r="14254" spans="1:2" x14ac:dyDescent="0.15">
      <c r="A14254" s="15"/>
      <c r="B14254" s="15"/>
    </row>
    <row r="14255" spans="1:2" x14ac:dyDescent="0.15">
      <c r="A14255" s="15"/>
      <c r="B14255" s="15"/>
    </row>
    <row r="14256" spans="1:2" x14ac:dyDescent="0.15">
      <c r="A14256" s="15"/>
      <c r="B14256" s="15"/>
    </row>
    <row r="14257" spans="1:2" x14ac:dyDescent="0.15">
      <c r="A14257" s="15"/>
      <c r="B14257" s="15"/>
    </row>
    <row r="14258" spans="1:2" x14ac:dyDescent="0.15">
      <c r="A14258" s="15"/>
      <c r="B14258" s="15"/>
    </row>
    <row r="14259" spans="1:2" x14ac:dyDescent="0.15">
      <c r="A14259" s="15"/>
      <c r="B14259" s="15"/>
    </row>
    <row r="14260" spans="1:2" x14ac:dyDescent="0.15">
      <c r="A14260" s="15"/>
      <c r="B14260" s="15"/>
    </row>
    <row r="14261" spans="1:2" x14ac:dyDescent="0.15">
      <c r="A14261" s="15"/>
      <c r="B14261" s="15"/>
    </row>
    <row r="14262" spans="1:2" x14ac:dyDescent="0.15">
      <c r="A14262" s="15"/>
      <c r="B14262" s="15"/>
    </row>
    <row r="14263" spans="1:2" x14ac:dyDescent="0.15">
      <c r="A14263" s="15"/>
      <c r="B14263" s="15"/>
    </row>
    <row r="14264" spans="1:2" x14ac:dyDescent="0.15">
      <c r="A14264" s="15"/>
      <c r="B14264" s="15"/>
    </row>
    <row r="14265" spans="1:2" x14ac:dyDescent="0.15">
      <c r="A14265" s="15"/>
      <c r="B14265" s="15"/>
    </row>
    <row r="14266" spans="1:2" x14ac:dyDescent="0.15">
      <c r="A14266" s="15"/>
      <c r="B14266" s="15"/>
    </row>
    <row r="14267" spans="1:2" x14ac:dyDescent="0.15">
      <c r="A14267" s="15"/>
      <c r="B14267" s="15"/>
    </row>
    <row r="14268" spans="1:2" x14ac:dyDescent="0.15">
      <c r="A14268" s="15"/>
      <c r="B14268" s="15"/>
    </row>
    <row r="14269" spans="1:2" x14ac:dyDescent="0.15">
      <c r="A14269" s="15"/>
      <c r="B14269" s="15"/>
    </row>
    <row r="14270" spans="1:2" x14ac:dyDescent="0.15">
      <c r="A14270" s="15"/>
      <c r="B14270" s="15"/>
    </row>
    <row r="14271" spans="1:2" x14ac:dyDescent="0.15">
      <c r="A14271" s="15"/>
      <c r="B14271" s="15"/>
    </row>
    <row r="14272" spans="1:2" x14ac:dyDescent="0.15">
      <c r="A14272" s="15"/>
      <c r="B14272" s="15"/>
    </row>
    <row r="14273" spans="1:2" x14ac:dyDescent="0.15">
      <c r="A14273" s="15"/>
      <c r="B14273" s="15"/>
    </row>
    <row r="14274" spans="1:2" x14ac:dyDescent="0.15">
      <c r="A14274" s="15"/>
      <c r="B14274" s="15"/>
    </row>
    <row r="14275" spans="1:2" x14ac:dyDescent="0.15">
      <c r="A14275" s="15"/>
      <c r="B14275" s="15"/>
    </row>
    <row r="14276" spans="1:2" x14ac:dyDescent="0.15">
      <c r="A14276" s="15"/>
      <c r="B14276" s="15"/>
    </row>
    <row r="14277" spans="1:2" x14ac:dyDescent="0.15">
      <c r="A14277" s="15"/>
      <c r="B14277" s="15"/>
    </row>
    <row r="14278" spans="1:2" x14ac:dyDescent="0.15">
      <c r="A14278" s="15"/>
      <c r="B14278" s="15"/>
    </row>
    <row r="14279" spans="1:2" x14ac:dyDescent="0.15">
      <c r="A14279" s="15"/>
      <c r="B14279" s="15"/>
    </row>
    <row r="14280" spans="1:2" x14ac:dyDescent="0.15">
      <c r="A14280" s="15"/>
      <c r="B14280" s="15"/>
    </row>
    <row r="14281" spans="1:2" x14ac:dyDescent="0.15">
      <c r="A14281" s="15"/>
      <c r="B14281" s="15"/>
    </row>
    <row r="14282" spans="1:2" x14ac:dyDescent="0.15">
      <c r="A14282" s="15"/>
      <c r="B14282" s="15"/>
    </row>
    <row r="14283" spans="1:2" x14ac:dyDescent="0.15">
      <c r="A14283" s="15"/>
      <c r="B14283" s="15"/>
    </row>
    <row r="14284" spans="1:2" x14ac:dyDescent="0.15">
      <c r="A14284" s="15"/>
      <c r="B14284" s="15"/>
    </row>
    <row r="14285" spans="1:2" x14ac:dyDescent="0.15">
      <c r="A14285" s="15"/>
      <c r="B14285" s="15"/>
    </row>
    <row r="14286" spans="1:2" x14ac:dyDescent="0.15">
      <c r="A14286" s="15"/>
      <c r="B14286" s="15"/>
    </row>
    <row r="14287" spans="1:2" x14ac:dyDescent="0.15">
      <c r="A14287" s="15"/>
      <c r="B14287" s="15"/>
    </row>
    <row r="14288" spans="1:2" x14ac:dyDescent="0.15">
      <c r="A14288" s="15"/>
      <c r="B14288" s="15"/>
    </row>
    <row r="14289" spans="1:2" x14ac:dyDescent="0.15">
      <c r="A14289" s="15"/>
      <c r="B14289" s="15"/>
    </row>
    <row r="14290" spans="1:2" x14ac:dyDescent="0.15">
      <c r="A14290" s="15"/>
      <c r="B14290" s="15"/>
    </row>
    <row r="14291" spans="1:2" x14ac:dyDescent="0.15">
      <c r="A14291" s="15"/>
      <c r="B14291" s="15"/>
    </row>
    <row r="14292" spans="1:2" x14ac:dyDescent="0.15">
      <c r="A14292" s="15"/>
      <c r="B14292" s="15"/>
    </row>
    <row r="14293" spans="1:2" x14ac:dyDescent="0.15">
      <c r="A14293" s="15"/>
      <c r="B14293" s="15"/>
    </row>
    <row r="14294" spans="1:2" x14ac:dyDescent="0.15">
      <c r="A14294" s="15"/>
      <c r="B14294" s="15"/>
    </row>
    <row r="14295" spans="1:2" x14ac:dyDescent="0.15">
      <c r="A14295" s="15"/>
      <c r="B14295" s="15"/>
    </row>
    <row r="14296" spans="1:2" x14ac:dyDescent="0.15">
      <c r="A14296" s="15"/>
      <c r="B14296" s="15"/>
    </row>
    <row r="14297" spans="1:2" x14ac:dyDescent="0.15">
      <c r="A14297" s="15"/>
      <c r="B14297" s="15"/>
    </row>
    <row r="14298" spans="1:2" x14ac:dyDescent="0.15">
      <c r="A14298" s="15"/>
      <c r="B14298" s="15"/>
    </row>
    <row r="14299" spans="1:2" x14ac:dyDescent="0.15">
      <c r="A14299" s="15"/>
      <c r="B14299" s="15"/>
    </row>
    <row r="14300" spans="1:2" x14ac:dyDescent="0.15">
      <c r="A14300" s="15"/>
      <c r="B14300" s="15"/>
    </row>
    <row r="14301" spans="1:2" x14ac:dyDescent="0.15">
      <c r="A14301" s="15"/>
      <c r="B14301" s="15"/>
    </row>
    <row r="14302" spans="1:2" x14ac:dyDescent="0.15">
      <c r="A14302" s="15"/>
      <c r="B14302" s="15"/>
    </row>
    <row r="14303" spans="1:2" x14ac:dyDescent="0.15">
      <c r="A14303" s="15"/>
      <c r="B14303" s="15"/>
    </row>
    <row r="14304" spans="1:2" x14ac:dyDescent="0.15">
      <c r="A14304" s="15"/>
      <c r="B14304" s="15"/>
    </row>
    <row r="14305" spans="1:2" x14ac:dyDescent="0.15">
      <c r="A14305" s="15"/>
      <c r="B14305" s="15"/>
    </row>
    <row r="14306" spans="1:2" x14ac:dyDescent="0.15">
      <c r="A14306" s="15"/>
      <c r="B14306" s="15"/>
    </row>
    <row r="14307" spans="1:2" x14ac:dyDescent="0.15">
      <c r="A14307" s="15"/>
      <c r="B14307" s="15"/>
    </row>
    <row r="14308" spans="1:2" x14ac:dyDescent="0.15">
      <c r="A14308" s="15"/>
      <c r="B14308" s="15"/>
    </row>
    <row r="14309" spans="1:2" x14ac:dyDescent="0.15">
      <c r="A14309" s="15"/>
      <c r="B14309" s="15"/>
    </row>
    <row r="14310" spans="1:2" x14ac:dyDescent="0.15">
      <c r="A14310" s="15"/>
      <c r="B14310" s="15"/>
    </row>
    <row r="14311" spans="1:2" x14ac:dyDescent="0.15">
      <c r="A14311" s="15"/>
      <c r="B14311" s="15"/>
    </row>
    <row r="14312" spans="1:2" x14ac:dyDescent="0.15">
      <c r="A14312" s="15"/>
      <c r="B14312" s="15"/>
    </row>
    <row r="14313" spans="1:2" x14ac:dyDescent="0.15">
      <c r="A14313" s="15"/>
      <c r="B14313" s="15"/>
    </row>
    <row r="14314" spans="1:2" x14ac:dyDescent="0.15">
      <c r="A14314" s="15"/>
      <c r="B14314" s="15"/>
    </row>
    <row r="14315" spans="1:2" x14ac:dyDescent="0.15">
      <c r="A14315" s="15"/>
      <c r="B14315" s="15"/>
    </row>
    <row r="14316" spans="1:2" x14ac:dyDescent="0.15">
      <c r="A14316" s="15"/>
      <c r="B14316" s="15"/>
    </row>
    <row r="14317" spans="1:2" x14ac:dyDescent="0.15">
      <c r="A14317" s="15"/>
      <c r="B14317" s="15"/>
    </row>
    <row r="14318" spans="1:2" x14ac:dyDescent="0.15">
      <c r="A14318" s="15"/>
      <c r="B14318" s="15"/>
    </row>
    <row r="14319" spans="1:2" x14ac:dyDescent="0.15">
      <c r="A14319" s="15"/>
      <c r="B14319" s="15"/>
    </row>
    <row r="14320" spans="1:2" x14ac:dyDescent="0.15">
      <c r="A14320" s="15"/>
      <c r="B14320" s="15"/>
    </row>
    <row r="14321" spans="1:2" x14ac:dyDescent="0.15">
      <c r="A14321" s="15"/>
      <c r="B14321" s="15"/>
    </row>
    <row r="14322" spans="1:2" x14ac:dyDescent="0.15">
      <c r="A14322" s="15"/>
      <c r="B14322" s="15"/>
    </row>
    <row r="14323" spans="1:2" x14ac:dyDescent="0.15">
      <c r="A14323" s="15"/>
      <c r="B14323" s="15"/>
    </row>
    <row r="14324" spans="1:2" x14ac:dyDescent="0.15">
      <c r="A14324" s="15"/>
      <c r="B14324" s="15"/>
    </row>
    <row r="14325" spans="1:2" x14ac:dyDescent="0.15">
      <c r="A14325" s="15"/>
      <c r="B14325" s="15"/>
    </row>
    <row r="14326" spans="1:2" x14ac:dyDescent="0.15">
      <c r="A14326" s="15"/>
      <c r="B14326" s="15"/>
    </row>
    <row r="14327" spans="1:2" x14ac:dyDescent="0.15">
      <c r="A14327" s="15"/>
      <c r="B14327" s="15"/>
    </row>
    <row r="14328" spans="1:2" x14ac:dyDescent="0.15">
      <c r="A14328" s="15"/>
      <c r="B14328" s="15"/>
    </row>
    <row r="14329" spans="1:2" x14ac:dyDescent="0.15">
      <c r="A14329" s="15"/>
      <c r="B14329" s="15"/>
    </row>
    <row r="14330" spans="1:2" x14ac:dyDescent="0.15">
      <c r="A14330" s="15"/>
      <c r="B14330" s="15"/>
    </row>
    <row r="14331" spans="1:2" x14ac:dyDescent="0.15">
      <c r="A14331" s="15"/>
      <c r="B14331" s="15"/>
    </row>
    <row r="14332" spans="1:2" x14ac:dyDescent="0.15">
      <c r="A14332" s="15"/>
      <c r="B14332" s="15"/>
    </row>
    <row r="14333" spans="1:2" x14ac:dyDescent="0.15">
      <c r="A14333" s="15"/>
      <c r="B14333" s="15"/>
    </row>
    <row r="14334" spans="1:2" x14ac:dyDescent="0.15">
      <c r="A14334" s="15"/>
      <c r="B14334" s="15"/>
    </row>
    <row r="14335" spans="1:2" x14ac:dyDescent="0.15">
      <c r="A14335" s="15"/>
      <c r="B14335" s="15"/>
    </row>
    <row r="14336" spans="1:2" x14ac:dyDescent="0.15">
      <c r="A14336" s="15"/>
      <c r="B14336" s="15"/>
    </row>
    <row r="14337" spans="1:2" x14ac:dyDescent="0.15">
      <c r="A14337" s="15"/>
      <c r="B14337" s="15"/>
    </row>
    <row r="14338" spans="1:2" x14ac:dyDescent="0.15">
      <c r="A14338" s="15"/>
      <c r="B14338" s="15"/>
    </row>
    <row r="14339" spans="1:2" x14ac:dyDescent="0.15">
      <c r="A14339" s="15"/>
      <c r="B14339" s="15"/>
    </row>
    <row r="14340" spans="1:2" x14ac:dyDescent="0.15">
      <c r="A14340" s="15"/>
      <c r="B14340" s="15"/>
    </row>
    <row r="14341" spans="1:2" x14ac:dyDescent="0.15">
      <c r="A14341" s="15"/>
      <c r="B14341" s="15"/>
    </row>
    <row r="14342" spans="1:2" x14ac:dyDescent="0.15">
      <c r="A14342" s="15"/>
      <c r="B14342" s="15"/>
    </row>
    <row r="14343" spans="1:2" x14ac:dyDescent="0.15">
      <c r="A14343" s="15"/>
      <c r="B14343" s="15"/>
    </row>
    <row r="14344" spans="1:2" x14ac:dyDescent="0.15">
      <c r="A14344" s="15"/>
      <c r="B14344" s="15"/>
    </row>
    <row r="14345" spans="1:2" x14ac:dyDescent="0.15">
      <c r="A14345" s="15"/>
      <c r="B14345" s="15"/>
    </row>
    <row r="14346" spans="1:2" x14ac:dyDescent="0.15">
      <c r="A14346" s="15"/>
      <c r="B14346" s="15"/>
    </row>
    <row r="14347" spans="1:2" x14ac:dyDescent="0.15">
      <c r="A14347" s="15"/>
      <c r="B14347" s="15"/>
    </row>
    <row r="14348" spans="1:2" x14ac:dyDescent="0.15">
      <c r="A14348" s="15"/>
      <c r="B14348" s="15"/>
    </row>
    <row r="14349" spans="1:2" x14ac:dyDescent="0.15">
      <c r="A14349" s="15"/>
      <c r="B14349" s="15"/>
    </row>
    <row r="14350" spans="1:2" x14ac:dyDescent="0.15">
      <c r="A14350" s="15"/>
      <c r="B14350" s="15"/>
    </row>
    <row r="14351" spans="1:2" x14ac:dyDescent="0.15">
      <c r="A14351" s="15"/>
      <c r="B14351" s="15"/>
    </row>
    <row r="14352" spans="1:2" x14ac:dyDescent="0.15">
      <c r="A14352" s="15"/>
      <c r="B14352" s="15"/>
    </row>
    <row r="14353" spans="1:2" x14ac:dyDescent="0.15">
      <c r="A14353" s="15"/>
      <c r="B14353" s="15"/>
    </row>
    <row r="14354" spans="1:2" x14ac:dyDescent="0.15">
      <c r="A14354" s="15"/>
      <c r="B14354" s="15"/>
    </row>
    <row r="14355" spans="1:2" x14ac:dyDescent="0.15">
      <c r="A14355" s="15"/>
      <c r="B14355" s="15"/>
    </row>
    <row r="14356" spans="1:2" x14ac:dyDescent="0.15">
      <c r="A14356" s="15"/>
      <c r="B14356" s="15"/>
    </row>
    <row r="14357" spans="1:2" x14ac:dyDescent="0.15">
      <c r="A14357" s="15"/>
      <c r="B14357" s="15"/>
    </row>
    <row r="14358" spans="1:2" x14ac:dyDescent="0.15">
      <c r="A14358" s="15"/>
      <c r="B14358" s="15"/>
    </row>
    <row r="14359" spans="1:2" x14ac:dyDescent="0.15">
      <c r="A14359" s="15"/>
      <c r="B14359" s="15"/>
    </row>
    <row r="14360" spans="1:2" x14ac:dyDescent="0.15">
      <c r="A14360" s="15"/>
      <c r="B14360" s="15"/>
    </row>
    <row r="14361" spans="1:2" x14ac:dyDescent="0.15">
      <c r="A14361" s="15"/>
      <c r="B14361" s="15"/>
    </row>
    <row r="14362" spans="1:2" x14ac:dyDescent="0.15">
      <c r="A14362" s="15"/>
      <c r="B14362" s="15"/>
    </row>
    <row r="14363" spans="1:2" x14ac:dyDescent="0.15">
      <c r="A14363" s="15"/>
      <c r="B14363" s="15"/>
    </row>
    <row r="14364" spans="1:2" x14ac:dyDescent="0.15">
      <c r="A14364" s="15"/>
      <c r="B14364" s="15"/>
    </row>
    <row r="14365" spans="1:2" x14ac:dyDescent="0.15">
      <c r="A14365" s="15"/>
      <c r="B14365" s="15"/>
    </row>
    <row r="14366" spans="1:2" x14ac:dyDescent="0.15">
      <c r="A14366" s="15"/>
      <c r="B14366" s="15"/>
    </row>
    <row r="14367" spans="1:2" x14ac:dyDescent="0.15">
      <c r="A14367" s="15"/>
      <c r="B14367" s="15"/>
    </row>
    <row r="14368" spans="1:2" x14ac:dyDescent="0.15">
      <c r="A14368" s="15"/>
      <c r="B14368" s="15"/>
    </row>
    <row r="14369" spans="1:2" x14ac:dyDescent="0.15">
      <c r="A14369" s="15"/>
      <c r="B14369" s="15"/>
    </row>
    <row r="14370" spans="1:2" x14ac:dyDescent="0.15">
      <c r="A14370" s="15"/>
      <c r="B14370" s="15"/>
    </row>
    <row r="14371" spans="1:2" x14ac:dyDescent="0.15">
      <c r="A14371" s="15"/>
      <c r="B14371" s="15"/>
    </row>
    <row r="14372" spans="1:2" x14ac:dyDescent="0.15">
      <c r="A14372" s="15"/>
      <c r="B14372" s="15"/>
    </row>
    <row r="14373" spans="1:2" x14ac:dyDescent="0.15">
      <c r="A14373" s="15"/>
      <c r="B14373" s="15"/>
    </row>
    <row r="14374" spans="1:2" x14ac:dyDescent="0.15">
      <c r="A14374" s="15"/>
      <c r="B14374" s="15"/>
    </row>
    <row r="14375" spans="1:2" x14ac:dyDescent="0.15">
      <c r="A14375" s="15"/>
      <c r="B14375" s="15"/>
    </row>
    <row r="14376" spans="1:2" x14ac:dyDescent="0.15">
      <c r="A14376" s="15"/>
      <c r="B14376" s="15"/>
    </row>
    <row r="14377" spans="1:2" x14ac:dyDescent="0.15">
      <c r="A14377" s="15"/>
      <c r="B14377" s="15"/>
    </row>
    <row r="14378" spans="1:2" x14ac:dyDescent="0.15">
      <c r="A14378" s="15"/>
      <c r="B14378" s="15"/>
    </row>
    <row r="14379" spans="1:2" x14ac:dyDescent="0.15">
      <c r="A14379" s="15"/>
      <c r="B14379" s="15"/>
    </row>
    <row r="14380" spans="1:2" x14ac:dyDescent="0.15">
      <c r="A14380" s="15"/>
      <c r="B14380" s="15"/>
    </row>
    <row r="14381" spans="1:2" x14ac:dyDescent="0.15">
      <c r="A14381" s="15"/>
      <c r="B14381" s="15"/>
    </row>
    <row r="14382" spans="1:2" x14ac:dyDescent="0.15">
      <c r="A14382" s="15"/>
      <c r="B14382" s="15"/>
    </row>
    <row r="14383" spans="1:2" x14ac:dyDescent="0.15">
      <c r="A14383" s="15"/>
      <c r="B14383" s="15"/>
    </row>
    <row r="14384" spans="1:2" x14ac:dyDescent="0.15">
      <c r="A14384" s="15"/>
      <c r="B14384" s="15"/>
    </row>
    <row r="14385" spans="1:2" x14ac:dyDescent="0.15">
      <c r="A14385" s="15"/>
      <c r="B14385" s="15"/>
    </row>
    <row r="14386" spans="1:2" x14ac:dyDescent="0.15">
      <c r="A14386" s="15"/>
      <c r="B14386" s="15"/>
    </row>
    <row r="14387" spans="1:2" x14ac:dyDescent="0.15">
      <c r="A14387" s="15"/>
      <c r="B14387" s="15"/>
    </row>
    <row r="14388" spans="1:2" x14ac:dyDescent="0.15">
      <c r="A14388" s="15"/>
      <c r="B14388" s="15"/>
    </row>
    <row r="14389" spans="1:2" x14ac:dyDescent="0.15">
      <c r="A14389" s="15"/>
      <c r="B14389" s="15"/>
    </row>
    <row r="14390" spans="1:2" x14ac:dyDescent="0.15">
      <c r="A14390" s="15"/>
      <c r="B14390" s="15"/>
    </row>
    <row r="14391" spans="1:2" x14ac:dyDescent="0.15">
      <c r="A14391" s="15"/>
      <c r="B14391" s="15"/>
    </row>
    <row r="14392" spans="1:2" x14ac:dyDescent="0.15">
      <c r="A14392" s="15"/>
      <c r="B14392" s="15"/>
    </row>
    <row r="14393" spans="1:2" x14ac:dyDescent="0.15">
      <c r="A14393" s="15"/>
      <c r="B14393" s="15"/>
    </row>
    <row r="14394" spans="1:2" x14ac:dyDescent="0.15">
      <c r="A14394" s="15"/>
      <c r="B14394" s="15"/>
    </row>
    <row r="14395" spans="1:2" x14ac:dyDescent="0.15">
      <c r="A14395" s="15"/>
      <c r="B14395" s="15"/>
    </row>
    <row r="14396" spans="1:2" x14ac:dyDescent="0.15">
      <c r="A14396" s="15"/>
      <c r="B14396" s="15"/>
    </row>
    <row r="14397" spans="1:2" x14ac:dyDescent="0.15">
      <c r="A14397" s="15"/>
      <c r="B14397" s="15"/>
    </row>
    <row r="14398" spans="1:2" x14ac:dyDescent="0.15">
      <c r="A14398" s="15"/>
      <c r="B14398" s="15"/>
    </row>
    <row r="14399" spans="1:2" x14ac:dyDescent="0.15">
      <c r="A14399" s="15"/>
      <c r="B14399" s="15"/>
    </row>
    <row r="14400" spans="1:2" x14ac:dyDescent="0.15">
      <c r="A14400" s="15"/>
      <c r="B14400" s="15"/>
    </row>
    <row r="14401" spans="1:2" x14ac:dyDescent="0.15">
      <c r="A14401" s="15"/>
      <c r="B14401" s="15"/>
    </row>
    <row r="14402" spans="1:2" x14ac:dyDescent="0.15">
      <c r="A14402" s="15"/>
      <c r="B14402" s="15"/>
    </row>
    <row r="14403" spans="1:2" x14ac:dyDescent="0.15">
      <c r="A14403" s="15"/>
      <c r="B14403" s="15"/>
    </row>
    <row r="14404" spans="1:2" x14ac:dyDescent="0.15">
      <c r="A14404" s="15"/>
      <c r="B14404" s="15"/>
    </row>
    <row r="14405" spans="1:2" x14ac:dyDescent="0.15">
      <c r="A14405" s="15"/>
      <c r="B14405" s="15"/>
    </row>
    <row r="14406" spans="1:2" x14ac:dyDescent="0.15">
      <c r="A14406" s="15"/>
      <c r="B14406" s="15"/>
    </row>
    <row r="14407" spans="1:2" x14ac:dyDescent="0.15">
      <c r="A14407" s="15"/>
      <c r="B14407" s="15"/>
    </row>
    <row r="14408" spans="1:2" x14ac:dyDescent="0.15">
      <c r="A14408" s="15"/>
      <c r="B14408" s="15"/>
    </row>
    <row r="14409" spans="1:2" x14ac:dyDescent="0.15">
      <c r="A14409" s="15"/>
      <c r="B14409" s="15"/>
    </row>
    <row r="14410" spans="1:2" x14ac:dyDescent="0.15">
      <c r="A14410" s="15"/>
      <c r="B14410" s="15"/>
    </row>
    <row r="14411" spans="1:2" x14ac:dyDescent="0.15">
      <c r="A14411" s="15"/>
      <c r="B14411" s="15"/>
    </row>
    <row r="14412" spans="1:2" x14ac:dyDescent="0.15">
      <c r="A14412" s="15"/>
      <c r="B14412" s="15"/>
    </row>
    <row r="14413" spans="1:2" x14ac:dyDescent="0.15">
      <c r="A14413" s="15"/>
      <c r="B14413" s="15"/>
    </row>
    <row r="14414" spans="1:2" x14ac:dyDescent="0.15">
      <c r="A14414" s="15"/>
      <c r="B14414" s="15"/>
    </row>
    <row r="14415" spans="1:2" x14ac:dyDescent="0.15">
      <c r="A14415" s="15"/>
      <c r="B14415" s="15"/>
    </row>
    <row r="14416" spans="1:2" x14ac:dyDescent="0.15">
      <c r="A14416" s="15"/>
      <c r="B14416" s="15"/>
    </row>
    <row r="14417" spans="1:2" x14ac:dyDescent="0.15">
      <c r="A14417" s="15"/>
      <c r="B14417" s="15"/>
    </row>
    <row r="14418" spans="1:2" x14ac:dyDescent="0.15">
      <c r="A14418" s="15"/>
      <c r="B14418" s="15"/>
    </row>
    <row r="14419" spans="1:2" x14ac:dyDescent="0.15">
      <c r="A14419" s="15"/>
      <c r="B14419" s="15"/>
    </row>
    <row r="14420" spans="1:2" x14ac:dyDescent="0.15">
      <c r="A14420" s="15"/>
      <c r="B14420" s="15"/>
    </row>
    <row r="14421" spans="1:2" x14ac:dyDescent="0.15">
      <c r="A14421" s="15"/>
      <c r="B14421" s="15"/>
    </row>
    <row r="14422" spans="1:2" x14ac:dyDescent="0.15">
      <c r="A14422" s="15"/>
      <c r="B14422" s="15"/>
    </row>
    <row r="14423" spans="1:2" x14ac:dyDescent="0.15">
      <c r="A14423" s="15"/>
      <c r="B14423" s="15"/>
    </row>
    <row r="14424" spans="1:2" x14ac:dyDescent="0.15">
      <c r="A14424" s="15"/>
      <c r="B14424" s="15"/>
    </row>
    <row r="14425" spans="1:2" x14ac:dyDescent="0.15">
      <c r="A14425" s="15"/>
      <c r="B14425" s="15"/>
    </row>
    <row r="14426" spans="1:2" x14ac:dyDescent="0.15">
      <c r="A14426" s="15"/>
      <c r="B14426" s="15"/>
    </row>
    <row r="14427" spans="1:2" x14ac:dyDescent="0.15">
      <c r="A14427" s="15"/>
      <c r="B14427" s="15"/>
    </row>
    <row r="14428" spans="1:2" x14ac:dyDescent="0.15">
      <c r="A14428" s="15"/>
      <c r="B14428" s="15"/>
    </row>
    <row r="14429" spans="1:2" x14ac:dyDescent="0.15">
      <c r="A14429" s="15"/>
      <c r="B14429" s="15"/>
    </row>
    <row r="14430" spans="1:2" x14ac:dyDescent="0.15">
      <c r="A14430" s="15"/>
      <c r="B14430" s="15"/>
    </row>
    <row r="14431" spans="1:2" x14ac:dyDescent="0.15">
      <c r="A14431" s="15"/>
      <c r="B14431" s="15"/>
    </row>
    <row r="14432" spans="1:2" x14ac:dyDescent="0.15">
      <c r="A14432" s="15"/>
      <c r="B14432" s="15"/>
    </row>
    <row r="14433" spans="1:2" x14ac:dyDescent="0.15">
      <c r="A14433" s="15"/>
      <c r="B14433" s="15"/>
    </row>
    <row r="14434" spans="1:2" x14ac:dyDescent="0.15">
      <c r="A14434" s="15"/>
      <c r="B14434" s="15"/>
    </row>
    <row r="14435" spans="1:2" x14ac:dyDescent="0.15">
      <c r="A14435" s="15"/>
      <c r="B14435" s="15"/>
    </row>
    <row r="14436" spans="1:2" x14ac:dyDescent="0.15">
      <c r="A14436" s="15"/>
      <c r="B14436" s="15"/>
    </row>
    <row r="14437" spans="1:2" x14ac:dyDescent="0.15">
      <c r="A14437" s="15"/>
      <c r="B14437" s="15"/>
    </row>
    <row r="14438" spans="1:2" x14ac:dyDescent="0.15">
      <c r="A14438" s="15"/>
      <c r="B14438" s="15"/>
    </row>
    <row r="14439" spans="1:2" x14ac:dyDescent="0.15">
      <c r="A14439" s="15"/>
      <c r="B14439" s="15"/>
    </row>
    <row r="14440" spans="1:2" x14ac:dyDescent="0.15">
      <c r="A14440" s="15"/>
      <c r="B14440" s="15"/>
    </row>
    <row r="14441" spans="1:2" x14ac:dyDescent="0.15">
      <c r="A14441" s="15"/>
      <c r="B14441" s="15"/>
    </row>
    <row r="14442" spans="1:2" x14ac:dyDescent="0.15">
      <c r="A14442" s="15"/>
      <c r="B14442" s="15"/>
    </row>
    <row r="14443" spans="1:2" x14ac:dyDescent="0.15">
      <c r="A14443" s="15"/>
      <c r="B14443" s="15"/>
    </row>
    <row r="14444" spans="1:2" x14ac:dyDescent="0.15">
      <c r="A14444" s="15"/>
      <c r="B14444" s="15"/>
    </row>
    <row r="14445" spans="1:2" x14ac:dyDescent="0.15">
      <c r="A14445" s="15"/>
      <c r="B14445" s="15"/>
    </row>
    <row r="14446" spans="1:2" x14ac:dyDescent="0.15">
      <c r="A14446" s="15"/>
      <c r="B14446" s="15"/>
    </row>
    <row r="14447" spans="1:2" x14ac:dyDescent="0.15">
      <c r="A14447" s="15"/>
      <c r="B14447" s="15"/>
    </row>
    <row r="14448" spans="1:2" x14ac:dyDescent="0.15">
      <c r="A14448" s="15"/>
      <c r="B14448" s="15"/>
    </row>
    <row r="14449" spans="1:2" x14ac:dyDescent="0.15">
      <c r="A14449" s="15"/>
      <c r="B14449" s="15"/>
    </row>
    <row r="14450" spans="1:2" x14ac:dyDescent="0.15">
      <c r="A14450" s="15"/>
      <c r="B14450" s="15"/>
    </row>
    <row r="14451" spans="1:2" x14ac:dyDescent="0.15">
      <c r="A14451" s="15"/>
      <c r="B14451" s="15"/>
    </row>
    <row r="14452" spans="1:2" x14ac:dyDescent="0.15">
      <c r="A14452" s="15"/>
      <c r="B14452" s="15"/>
    </row>
    <row r="14453" spans="1:2" x14ac:dyDescent="0.15">
      <c r="A14453" s="15"/>
      <c r="B14453" s="15"/>
    </row>
    <row r="14454" spans="1:2" x14ac:dyDescent="0.15">
      <c r="A14454" s="15"/>
      <c r="B14454" s="15"/>
    </row>
    <row r="14455" spans="1:2" x14ac:dyDescent="0.15">
      <c r="A14455" s="15"/>
      <c r="B14455" s="15"/>
    </row>
    <row r="14456" spans="1:2" x14ac:dyDescent="0.15">
      <c r="A14456" s="15"/>
      <c r="B14456" s="15"/>
    </row>
    <row r="14457" spans="1:2" x14ac:dyDescent="0.15">
      <c r="A14457" s="15"/>
      <c r="B14457" s="15"/>
    </row>
    <row r="14458" spans="1:2" x14ac:dyDescent="0.15">
      <c r="A14458" s="15"/>
      <c r="B14458" s="15"/>
    </row>
    <row r="14459" spans="1:2" x14ac:dyDescent="0.15">
      <c r="A14459" s="15"/>
      <c r="B14459" s="15"/>
    </row>
    <row r="14460" spans="1:2" x14ac:dyDescent="0.15">
      <c r="A14460" s="15"/>
      <c r="B14460" s="15"/>
    </row>
    <row r="14461" spans="1:2" x14ac:dyDescent="0.15">
      <c r="A14461" s="15"/>
      <c r="B14461" s="15"/>
    </row>
    <row r="14462" spans="1:2" x14ac:dyDescent="0.15">
      <c r="A14462" s="15"/>
      <c r="B14462" s="15"/>
    </row>
    <row r="14463" spans="1:2" x14ac:dyDescent="0.15">
      <c r="A14463" s="15"/>
      <c r="B14463" s="15"/>
    </row>
    <row r="14464" spans="1:2" x14ac:dyDescent="0.15">
      <c r="A14464" s="15"/>
      <c r="B14464" s="15"/>
    </row>
    <row r="14465" spans="1:2" x14ac:dyDescent="0.15">
      <c r="A14465" s="15"/>
      <c r="B14465" s="15"/>
    </row>
    <row r="14466" spans="1:2" x14ac:dyDescent="0.15">
      <c r="A14466" s="15"/>
      <c r="B14466" s="15"/>
    </row>
    <row r="14467" spans="1:2" x14ac:dyDescent="0.15">
      <c r="A14467" s="15"/>
      <c r="B14467" s="15"/>
    </row>
    <row r="14468" spans="1:2" x14ac:dyDescent="0.15">
      <c r="A14468" s="15"/>
      <c r="B14468" s="15"/>
    </row>
    <row r="14469" spans="1:2" x14ac:dyDescent="0.15">
      <c r="A14469" s="15"/>
      <c r="B14469" s="15"/>
    </row>
    <row r="14470" spans="1:2" x14ac:dyDescent="0.15">
      <c r="A14470" s="15"/>
      <c r="B14470" s="15"/>
    </row>
    <row r="14471" spans="1:2" x14ac:dyDescent="0.15">
      <c r="A14471" s="15"/>
      <c r="B14471" s="15"/>
    </row>
    <row r="14472" spans="1:2" x14ac:dyDescent="0.15">
      <c r="A14472" s="15"/>
      <c r="B14472" s="15"/>
    </row>
    <row r="14473" spans="1:2" x14ac:dyDescent="0.15">
      <c r="A14473" s="15"/>
      <c r="B14473" s="15"/>
    </row>
    <row r="14474" spans="1:2" x14ac:dyDescent="0.15">
      <c r="A14474" s="15"/>
      <c r="B14474" s="15"/>
    </row>
    <row r="14475" spans="1:2" x14ac:dyDescent="0.15">
      <c r="A14475" s="15"/>
      <c r="B14475" s="15"/>
    </row>
    <row r="14476" spans="1:2" x14ac:dyDescent="0.15">
      <c r="A14476" s="15"/>
      <c r="B14476" s="15"/>
    </row>
    <row r="14477" spans="1:2" x14ac:dyDescent="0.15">
      <c r="A14477" s="15"/>
      <c r="B14477" s="15"/>
    </row>
    <row r="14478" spans="1:2" x14ac:dyDescent="0.15">
      <c r="A14478" s="15"/>
      <c r="B14478" s="15"/>
    </row>
    <row r="14479" spans="1:2" x14ac:dyDescent="0.15">
      <c r="A14479" s="15"/>
      <c r="B14479" s="15"/>
    </row>
    <row r="14480" spans="1:2" x14ac:dyDescent="0.15">
      <c r="A14480" s="15"/>
      <c r="B14480" s="15"/>
    </row>
    <row r="14481" spans="1:2" x14ac:dyDescent="0.15">
      <c r="A14481" s="15"/>
      <c r="B14481" s="15"/>
    </row>
    <row r="14482" spans="1:2" x14ac:dyDescent="0.15">
      <c r="A14482" s="15"/>
      <c r="B14482" s="15"/>
    </row>
    <row r="14483" spans="1:2" x14ac:dyDescent="0.15">
      <c r="A14483" s="15"/>
      <c r="B14483" s="15"/>
    </row>
    <row r="14484" spans="1:2" x14ac:dyDescent="0.15">
      <c r="A14484" s="15"/>
      <c r="B14484" s="15"/>
    </row>
    <row r="14485" spans="1:2" x14ac:dyDescent="0.15">
      <c r="A14485" s="15"/>
      <c r="B14485" s="15"/>
    </row>
    <row r="14486" spans="1:2" x14ac:dyDescent="0.15">
      <c r="A14486" s="15"/>
      <c r="B14486" s="15"/>
    </row>
    <row r="14487" spans="1:2" x14ac:dyDescent="0.15">
      <c r="A14487" s="15"/>
      <c r="B14487" s="15"/>
    </row>
    <row r="14488" spans="1:2" x14ac:dyDescent="0.15">
      <c r="A14488" s="15"/>
      <c r="B14488" s="15"/>
    </row>
    <row r="14489" spans="1:2" x14ac:dyDescent="0.15">
      <c r="A14489" s="15"/>
      <c r="B14489" s="15"/>
    </row>
    <row r="14490" spans="1:2" x14ac:dyDescent="0.15">
      <c r="A14490" s="15"/>
      <c r="B14490" s="15"/>
    </row>
    <row r="14491" spans="1:2" x14ac:dyDescent="0.15">
      <c r="A14491" s="15"/>
      <c r="B14491" s="15"/>
    </row>
    <row r="14492" spans="1:2" x14ac:dyDescent="0.15">
      <c r="A14492" s="15"/>
      <c r="B14492" s="15"/>
    </row>
    <row r="14493" spans="1:2" x14ac:dyDescent="0.15">
      <c r="A14493" s="15"/>
      <c r="B14493" s="15"/>
    </row>
    <row r="14494" spans="1:2" x14ac:dyDescent="0.15">
      <c r="A14494" s="15"/>
      <c r="B14494" s="15"/>
    </row>
    <row r="14495" spans="1:2" x14ac:dyDescent="0.15">
      <c r="A14495" s="15"/>
      <c r="B14495" s="15"/>
    </row>
    <row r="14496" spans="1:2" x14ac:dyDescent="0.15">
      <c r="A14496" s="15"/>
      <c r="B14496" s="15"/>
    </row>
    <row r="14497" spans="1:2" x14ac:dyDescent="0.15">
      <c r="A14497" s="15"/>
      <c r="B14497" s="15"/>
    </row>
    <row r="14498" spans="1:2" x14ac:dyDescent="0.15">
      <c r="A14498" s="15"/>
      <c r="B14498" s="15"/>
    </row>
    <row r="14499" spans="1:2" x14ac:dyDescent="0.15">
      <c r="A14499" s="15"/>
      <c r="B14499" s="15"/>
    </row>
    <row r="14500" spans="1:2" x14ac:dyDescent="0.15">
      <c r="A14500" s="15"/>
      <c r="B14500" s="15"/>
    </row>
    <row r="14501" spans="1:2" x14ac:dyDescent="0.15">
      <c r="A14501" s="15"/>
      <c r="B14501" s="15"/>
    </row>
    <row r="14502" spans="1:2" x14ac:dyDescent="0.15">
      <c r="A14502" s="15"/>
      <c r="B14502" s="15"/>
    </row>
    <row r="14503" spans="1:2" x14ac:dyDescent="0.15">
      <c r="A14503" s="15"/>
      <c r="B14503" s="15"/>
    </row>
    <row r="14504" spans="1:2" x14ac:dyDescent="0.15">
      <c r="A14504" s="15"/>
      <c r="B14504" s="15"/>
    </row>
    <row r="14505" spans="1:2" x14ac:dyDescent="0.15">
      <c r="A14505" s="15"/>
      <c r="B14505" s="15"/>
    </row>
    <row r="14506" spans="1:2" x14ac:dyDescent="0.15">
      <c r="A14506" s="15"/>
      <c r="B14506" s="15"/>
    </row>
    <row r="14507" spans="1:2" x14ac:dyDescent="0.15">
      <c r="A14507" s="15"/>
      <c r="B14507" s="15"/>
    </row>
    <row r="14508" spans="1:2" x14ac:dyDescent="0.15">
      <c r="A14508" s="15"/>
      <c r="B14508" s="15"/>
    </row>
    <row r="14509" spans="1:2" x14ac:dyDescent="0.15">
      <c r="A14509" s="15"/>
      <c r="B14509" s="15"/>
    </row>
    <row r="14510" spans="1:2" x14ac:dyDescent="0.15">
      <c r="A14510" s="15"/>
      <c r="B14510" s="15"/>
    </row>
    <row r="14511" spans="1:2" x14ac:dyDescent="0.15">
      <c r="A14511" s="15"/>
      <c r="B14511" s="15"/>
    </row>
    <row r="14512" spans="1:2" x14ac:dyDescent="0.15">
      <c r="A14512" s="15"/>
      <c r="B14512" s="15"/>
    </row>
    <row r="14513" spans="1:2" x14ac:dyDescent="0.15">
      <c r="A14513" s="15"/>
      <c r="B14513" s="15"/>
    </row>
    <row r="14514" spans="1:2" x14ac:dyDescent="0.15">
      <c r="A14514" s="15"/>
      <c r="B14514" s="15"/>
    </row>
    <row r="14515" spans="1:2" x14ac:dyDescent="0.15">
      <c r="A14515" s="15"/>
      <c r="B14515" s="15"/>
    </row>
    <row r="14516" spans="1:2" x14ac:dyDescent="0.15">
      <c r="A14516" s="15"/>
      <c r="B14516" s="15"/>
    </row>
    <row r="14517" spans="1:2" x14ac:dyDescent="0.15">
      <c r="A14517" s="15"/>
      <c r="B14517" s="15"/>
    </row>
    <row r="14518" spans="1:2" x14ac:dyDescent="0.15">
      <c r="A14518" s="15"/>
      <c r="B14518" s="15"/>
    </row>
    <row r="14519" spans="1:2" x14ac:dyDescent="0.15">
      <c r="A14519" s="15"/>
      <c r="B14519" s="15"/>
    </row>
    <row r="14520" spans="1:2" x14ac:dyDescent="0.15">
      <c r="A14520" s="15"/>
      <c r="B14520" s="15"/>
    </row>
    <row r="14521" spans="1:2" x14ac:dyDescent="0.15">
      <c r="A14521" s="15"/>
      <c r="B14521" s="15"/>
    </row>
    <row r="14522" spans="1:2" x14ac:dyDescent="0.15">
      <c r="A14522" s="15"/>
      <c r="B14522" s="15"/>
    </row>
    <row r="14523" spans="1:2" x14ac:dyDescent="0.15">
      <c r="A14523" s="15"/>
      <c r="B14523" s="15"/>
    </row>
    <row r="14524" spans="1:2" x14ac:dyDescent="0.15">
      <c r="A14524" s="15"/>
      <c r="B14524" s="15"/>
    </row>
    <row r="14525" spans="1:2" x14ac:dyDescent="0.15">
      <c r="A14525" s="15"/>
      <c r="B14525" s="15"/>
    </row>
    <row r="14526" spans="1:2" x14ac:dyDescent="0.15">
      <c r="A14526" s="15"/>
      <c r="B14526" s="15"/>
    </row>
    <row r="14527" spans="1:2" x14ac:dyDescent="0.15">
      <c r="A14527" s="15"/>
      <c r="B14527" s="15"/>
    </row>
    <row r="14528" spans="1:2" x14ac:dyDescent="0.15">
      <c r="A14528" s="15"/>
      <c r="B14528" s="15"/>
    </row>
    <row r="14529" spans="1:2" x14ac:dyDescent="0.15">
      <c r="A14529" s="15"/>
      <c r="B14529" s="15"/>
    </row>
    <row r="14530" spans="1:2" x14ac:dyDescent="0.15">
      <c r="A14530" s="15"/>
      <c r="B14530" s="15"/>
    </row>
    <row r="14531" spans="1:2" x14ac:dyDescent="0.15">
      <c r="A14531" s="15"/>
      <c r="B14531" s="15"/>
    </row>
    <row r="14532" spans="1:2" x14ac:dyDescent="0.15">
      <c r="A14532" s="15"/>
      <c r="B14532" s="15"/>
    </row>
    <row r="14533" spans="1:2" x14ac:dyDescent="0.15">
      <c r="A14533" s="15"/>
      <c r="B14533" s="15"/>
    </row>
    <row r="14534" spans="1:2" x14ac:dyDescent="0.15">
      <c r="A14534" s="15"/>
      <c r="B14534" s="15"/>
    </row>
    <row r="14535" spans="1:2" x14ac:dyDescent="0.15">
      <c r="A14535" s="15"/>
      <c r="B14535" s="15"/>
    </row>
    <row r="14536" spans="1:2" x14ac:dyDescent="0.15">
      <c r="A14536" s="15"/>
      <c r="B14536" s="15"/>
    </row>
    <row r="14537" spans="1:2" x14ac:dyDescent="0.15">
      <c r="A14537" s="15"/>
      <c r="B14537" s="15"/>
    </row>
    <row r="14538" spans="1:2" x14ac:dyDescent="0.15">
      <c r="A14538" s="15"/>
      <c r="B14538" s="15"/>
    </row>
    <row r="14539" spans="1:2" x14ac:dyDescent="0.15">
      <c r="A14539" s="15"/>
      <c r="B14539" s="15"/>
    </row>
    <row r="14540" spans="1:2" x14ac:dyDescent="0.15">
      <c r="A14540" s="15"/>
      <c r="B14540" s="15"/>
    </row>
    <row r="14541" spans="1:2" x14ac:dyDescent="0.15">
      <c r="A14541" s="15"/>
      <c r="B14541" s="15"/>
    </row>
    <row r="14542" spans="1:2" x14ac:dyDescent="0.15">
      <c r="A14542" s="15"/>
      <c r="B14542" s="15"/>
    </row>
    <row r="14543" spans="1:2" x14ac:dyDescent="0.15">
      <c r="A14543" s="15"/>
      <c r="B14543" s="15"/>
    </row>
    <row r="14544" spans="1:2" x14ac:dyDescent="0.15">
      <c r="A14544" s="15"/>
      <c r="B14544" s="15"/>
    </row>
    <row r="14545" spans="1:2" x14ac:dyDescent="0.15">
      <c r="A14545" s="15"/>
      <c r="B14545" s="15"/>
    </row>
    <row r="14546" spans="1:2" x14ac:dyDescent="0.15">
      <c r="A14546" s="15"/>
      <c r="B14546" s="15"/>
    </row>
    <row r="14547" spans="1:2" x14ac:dyDescent="0.15">
      <c r="A14547" s="15"/>
      <c r="B14547" s="15"/>
    </row>
    <row r="14548" spans="1:2" x14ac:dyDescent="0.15">
      <c r="A14548" s="15"/>
      <c r="B14548" s="15"/>
    </row>
    <row r="14549" spans="1:2" x14ac:dyDescent="0.15">
      <c r="A14549" s="15"/>
      <c r="B14549" s="15"/>
    </row>
    <row r="14550" spans="1:2" x14ac:dyDescent="0.15">
      <c r="A14550" s="15"/>
      <c r="B14550" s="15"/>
    </row>
    <row r="14551" spans="1:2" x14ac:dyDescent="0.15">
      <c r="A14551" s="15"/>
      <c r="B14551" s="15"/>
    </row>
    <row r="14552" spans="1:2" x14ac:dyDescent="0.15">
      <c r="A14552" s="15"/>
      <c r="B14552" s="15"/>
    </row>
    <row r="14553" spans="1:2" x14ac:dyDescent="0.15">
      <c r="A14553" s="15"/>
      <c r="B14553" s="15"/>
    </row>
    <row r="14554" spans="1:2" x14ac:dyDescent="0.15">
      <c r="A14554" s="15"/>
      <c r="B14554" s="15"/>
    </row>
    <row r="14555" spans="1:2" x14ac:dyDescent="0.15">
      <c r="A14555" s="15"/>
      <c r="B14555" s="15"/>
    </row>
    <row r="14556" spans="1:2" x14ac:dyDescent="0.15">
      <c r="A14556" s="15"/>
      <c r="B14556" s="15"/>
    </row>
    <row r="14557" spans="1:2" x14ac:dyDescent="0.15">
      <c r="A14557" s="15"/>
      <c r="B14557" s="15"/>
    </row>
    <row r="14558" spans="1:2" x14ac:dyDescent="0.15">
      <c r="A14558" s="15"/>
      <c r="B14558" s="15"/>
    </row>
    <row r="14559" spans="1:2" x14ac:dyDescent="0.15">
      <c r="A14559" s="15"/>
      <c r="B14559" s="15"/>
    </row>
    <row r="14560" spans="1:2" x14ac:dyDescent="0.15">
      <c r="A14560" s="15"/>
      <c r="B14560" s="15"/>
    </row>
    <row r="14561" spans="1:2" x14ac:dyDescent="0.15">
      <c r="A14561" s="15"/>
      <c r="B14561" s="15"/>
    </row>
    <row r="14562" spans="1:2" x14ac:dyDescent="0.15">
      <c r="A14562" s="15"/>
      <c r="B14562" s="15"/>
    </row>
    <row r="14563" spans="1:2" x14ac:dyDescent="0.15">
      <c r="A14563" s="15"/>
      <c r="B14563" s="15"/>
    </row>
    <row r="14564" spans="1:2" x14ac:dyDescent="0.15">
      <c r="A14564" s="15"/>
      <c r="B14564" s="15"/>
    </row>
    <row r="14565" spans="1:2" x14ac:dyDescent="0.15">
      <c r="A14565" s="15"/>
      <c r="B14565" s="15"/>
    </row>
    <row r="14566" spans="1:2" x14ac:dyDescent="0.15">
      <c r="A14566" s="15"/>
      <c r="B14566" s="15"/>
    </row>
    <row r="14567" spans="1:2" x14ac:dyDescent="0.15">
      <c r="A14567" s="15"/>
      <c r="B14567" s="15"/>
    </row>
    <row r="14568" spans="1:2" x14ac:dyDescent="0.15">
      <c r="A14568" s="15"/>
      <c r="B14568" s="15"/>
    </row>
    <row r="14569" spans="1:2" x14ac:dyDescent="0.15">
      <c r="A14569" s="15"/>
      <c r="B14569" s="15"/>
    </row>
    <row r="14570" spans="1:2" x14ac:dyDescent="0.15">
      <c r="A14570" s="15"/>
      <c r="B14570" s="15"/>
    </row>
    <row r="14571" spans="1:2" x14ac:dyDescent="0.15">
      <c r="A14571" s="15"/>
      <c r="B14571" s="15"/>
    </row>
    <row r="14572" spans="1:2" x14ac:dyDescent="0.15">
      <c r="A14572" s="15"/>
      <c r="B14572" s="15"/>
    </row>
    <row r="14573" spans="1:2" x14ac:dyDescent="0.15">
      <c r="A14573" s="15"/>
      <c r="B14573" s="15"/>
    </row>
    <row r="14574" spans="1:2" x14ac:dyDescent="0.15">
      <c r="A14574" s="15"/>
      <c r="B14574" s="15"/>
    </row>
    <row r="14575" spans="1:2" x14ac:dyDescent="0.15">
      <c r="A14575" s="15"/>
      <c r="B14575" s="15"/>
    </row>
    <row r="14576" spans="1:2" x14ac:dyDescent="0.15">
      <c r="A14576" s="15"/>
      <c r="B14576" s="15"/>
    </row>
    <row r="14577" spans="1:2" x14ac:dyDescent="0.15">
      <c r="A14577" s="15"/>
      <c r="B14577" s="15"/>
    </row>
    <row r="14578" spans="1:2" x14ac:dyDescent="0.15">
      <c r="A14578" s="15"/>
      <c r="B14578" s="15"/>
    </row>
    <row r="14579" spans="1:2" x14ac:dyDescent="0.15">
      <c r="A14579" s="15"/>
      <c r="B14579" s="15"/>
    </row>
    <row r="14580" spans="1:2" x14ac:dyDescent="0.15">
      <c r="A14580" s="15"/>
      <c r="B14580" s="15"/>
    </row>
    <row r="14581" spans="1:2" x14ac:dyDescent="0.15">
      <c r="A14581" s="15"/>
      <c r="B14581" s="15"/>
    </row>
    <row r="14582" spans="1:2" x14ac:dyDescent="0.15">
      <c r="A14582" s="15"/>
      <c r="B14582" s="15"/>
    </row>
    <row r="14583" spans="1:2" x14ac:dyDescent="0.15">
      <c r="A14583" s="15"/>
      <c r="B14583" s="15"/>
    </row>
    <row r="14584" spans="1:2" x14ac:dyDescent="0.15">
      <c r="A14584" s="15"/>
      <c r="B14584" s="15"/>
    </row>
    <row r="14585" spans="1:2" x14ac:dyDescent="0.15">
      <c r="A14585" s="15"/>
      <c r="B14585" s="15"/>
    </row>
    <row r="14586" spans="1:2" x14ac:dyDescent="0.15">
      <c r="A14586" s="15"/>
      <c r="B14586" s="15"/>
    </row>
    <row r="14587" spans="1:2" x14ac:dyDescent="0.15">
      <c r="A14587" s="15"/>
      <c r="B14587" s="15"/>
    </row>
    <row r="14588" spans="1:2" x14ac:dyDescent="0.15">
      <c r="A14588" s="15"/>
      <c r="B14588" s="15"/>
    </row>
    <row r="14589" spans="1:2" x14ac:dyDescent="0.15">
      <c r="A14589" s="15"/>
      <c r="B14589" s="15"/>
    </row>
    <row r="14590" spans="1:2" x14ac:dyDescent="0.15">
      <c r="A14590" s="15"/>
      <c r="B14590" s="15"/>
    </row>
    <row r="14591" spans="1:2" x14ac:dyDescent="0.15">
      <c r="A14591" s="15"/>
      <c r="B14591" s="15"/>
    </row>
    <row r="14592" spans="1:2" x14ac:dyDescent="0.15">
      <c r="A14592" s="15"/>
      <c r="B14592" s="15"/>
    </row>
    <row r="14593" spans="1:2" x14ac:dyDescent="0.15">
      <c r="A14593" s="15"/>
      <c r="B14593" s="15"/>
    </row>
    <row r="14594" spans="1:2" x14ac:dyDescent="0.15">
      <c r="A14594" s="15"/>
      <c r="B14594" s="15"/>
    </row>
    <row r="14595" spans="1:2" x14ac:dyDescent="0.15">
      <c r="A14595" s="15"/>
      <c r="B14595" s="15"/>
    </row>
    <row r="14596" spans="1:2" x14ac:dyDescent="0.15">
      <c r="A14596" s="15"/>
      <c r="B14596" s="15"/>
    </row>
    <row r="14597" spans="1:2" x14ac:dyDescent="0.15">
      <c r="A14597" s="15"/>
      <c r="B14597" s="15"/>
    </row>
    <row r="14598" spans="1:2" x14ac:dyDescent="0.15">
      <c r="A14598" s="15"/>
      <c r="B14598" s="15"/>
    </row>
    <row r="14599" spans="1:2" x14ac:dyDescent="0.15">
      <c r="A14599" s="15"/>
      <c r="B14599" s="15"/>
    </row>
    <row r="14600" spans="1:2" x14ac:dyDescent="0.15">
      <c r="A14600" s="15"/>
      <c r="B14600" s="15"/>
    </row>
    <row r="14601" spans="1:2" x14ac:dyDescent="0.15">
      <c r="A14601" s="15"/>
      <c r="B14601" s="15"/>
    </row>
    <row r="14602" spans="1:2" x14ac:dyDescent="0.15">
      <c r="A14602" s="15"/>
      <c r="B14602" s="15"/>
    </row>
    <row r="14603" spans="1:2" x14ac:dyDescent="0.15">
      <c r="A14603" s="15"/>
      <c r="B14603" s="15"/>
    </row>
    <row r="14604" spans="1:2" x14ac:dyDescent="0.15">
      <c r="A14604" s="15"/>
      <c r="B14604" s="15"/>
    </row>
    <row r="14605" spans="1:2" x14ac:dyDescent="0.15">
      <c r="A14605" s="15"/>
      <c r="B14605" s="15"/>
    </row>
    <row r="14606" spans="1:2" x14ac:dyDescent="0.15">
      <c r="A14606" s="15"/>
      <c r="B14606" s="15"/>
    </row>
    <row r="14607" spans="1:2" x14ac:dyDescent="0.15">
      <c r="A14607" s="15"/>
      <c r="B14607" s="15"/>
    </row>
    <row r="14608" spans="1:2" x14ac:dyDescent="0.15">
      <c r="A14608" s="15"/>
      <c r="B14608" s="15"/>
    </row>
    <row r="14609" spans="1:2" x14ac:dyDescent="0.15">
      <c r="A14609" s="15"/>
      <c r="B14609" s="15"/>
    </row>
    <row r="14610" spans="1:2" x14ac:dyDescent="0.15">
      <c r="A14610" s="15"/>
      <c r="B14610" s="15"/>
    </row>
    <row r="14611" spans="1:2" x14ac:dyDescent="0.15">
      <c r="A14611" s="15"/>
      <c r="B14611" s="15"/>
    </row>
    <row r="14612" spans="1:2" x14ac:dyDescent="0.15">
      <c r="A14612" s="15"/>
      <c r="B14612" s="15"/>
    </row>
    <row r="14613" spans="1:2" x14ac:dyDescent="0.15">
      <c r="A14613" s="15"/>
      <c r="B14613" s="15"/>
    </row>
    <row r="14614" spans="1:2" x14ac:dyDescent="0.15">
      <c r="A14614" s="15"/>
      <c r="B14614" s="15"/>
    </row>
    <row r="14615" spans="1:2" x14ac:dyDescent="0.15">
      <c r="A14615" s="15"/>
      <c r="B14615" s="15"/>
    </row>
    <row r="14616" spans="1:2" x14ac:dyDescent="0.15">
      <c r="A14616" s="15"/>
      <c r="B14616" s="15"/>
    </row>
    <row r="14617" spans="1:2" x14ac:dyDescent="0.15">
      <c r="A14617" s="15"/>
      <c r="B14617" s="15"/>
    </row>
    <row r="14618" spans="1:2" x14ac:dyDescent="0.15">
      <c r="A14618" s="15"/>
      <c r="B14618" s="15"/>
    </row>
    <row r="14619" spans="1:2" x14ac:dyDescent="0.15">
      <c r="A14619" s="15"/>
      <c r="B14619" s="15"/>
    </row>
    <row r="14620" spans="1:2" x14ac:dyDescent="0.15">
      <c r="A14620" s="15"/>
      <c r="B14620" s="15"/>
    </row>
    <row r="14621" spans="1:2" x14ac:dyDescent="0.15">
      <c r="A14621" s="15"/>
      <c r="B14621" s="15"/>
    </row>
    <row r="14622" spans="1:2" x14ac:dyDescent="0.15">
      <c r="A14622" s="15"/>
      <c r="B14622" s="15"/>
    </row>
    <row r="14623" spans="1:2" x14ac:dyDescent="0.15">
      <c r="A14623" s="15"/>
      <c r="B14623" s="15"/>
    </row>
    <row r="14624" spans="1:2" x14ac:dyDescent="0.15">
      <c r="A14624" s="15"/>
      <c r="B14624" s="15"/>
    </row>
    <row r="14625" spans="1:2" x14ac:dyDescent="0.15">
      <c r="A14625" s="15"/>
      <c r="B14625" s="15"/>
    </row>
    <row r="14626" spans="1:2" x14ac:dyDescent="0.15">
      <c r="A14626" s="15"/>
      <c r="B14626" s="15"/>
    </row>
    <row r="14627" spans="1:2" x14ac:dyDescent="0.15">
      <c r="A14627" s="15"/>
      <c r="B14627" s="15"/>
    </row>
    <row r="14628" spans="1:2" x14ac:dyDescent="0.15">
      <c r="A14628" s="15"/>
      <c r="B14628" s="15"/>
    </row>
    <row r="14629" spans="1:2" x14ac:dyDescent="0.15">
      <c r="A14629" s="15"/>
      <c r="B14629" s="15"/>
    </row>
    <row r="14630" spans="1:2" x14ac:dyDescent="0.15">
      <c r="A14630" s="15"/>
      <c r="B14630" s="15"/>
    </row>
    <row r="14631" spans="1:2" x14ac:dyDescent="0.15">
      <c r="A14631" s="15"/>
      <c r="B14631" s="15"/>
    </row>
    <row r="14632" spans="1:2" x14ac:dyDescent="0.15">
      <c r="A14632" s="15"/>
      <c r="B14632" s="15"/>
    </row>
    <row r="14633" spans="1:2" x14ac:dyDescent="0.15">
      <c r="A14633" s="15"/>
      <c r="B14633" s="15"/>
    </row>
    <row r="14634" spans="1:2" x14ac:dyDescent="0.15">
      <c r="A14634" s="15"/>
      <c r="B14634" s="15"/>
    </row>
    <row r="14635" spans="1:2" x14ac:dyDescent="0.15">
      <c r="A14635" s="15"/>
      <c r="B14635" s="15"/>
    </row>
    <row r="14636" spans="1:2" x14ac:dyDescent="0.15">
      <c r="A14636" s="15"/>
      <c r="B14636" s="15"/>
    </row>
    <row r="14637" spans="1:2" x14ac:dyDescent="0.15">
      <c r="A14637" s="15"/>
      <c r="B14637" s="15"/>
    </row>
    <row r="14638" spans="1:2" x14ac:dyDescent="0.15">
      <c r="A14638" s="15"/>
      <c r="B14638" s="15"/>
    </row>
    <row r="14639" spans="1:2" x14ac:dyDescent="0.15">
      <c r="A14639" s="15"/>
      <c r="B14639" s="15"/>
    </row>
    <row r="14640" spans="1:2" x14ac:dyDescent="0.15">
      <c r="A14640" s="15"/>
      <c r="B14640" s="15"/>
    </row>
    <row r="14641" spans="1:2" x14ac:dyDescent="0.15">
      <c r="A14641" s="15"/>
      <c r="B14641" s="15"/>
    </row>
    <row r="14642" spans="1:2" x14ac:dyDescent="0.15">
      <c r="A14642" s="15"/>
      <c r="B14642" s="15"/>
    </row>
    <row r="14643" spans="1:2" x14ac:dyDescent="0.15">
      <c r="A14643" s="15"/>
      <c r="B14643" s="15"/>
    </row>
    <row r="14644" spans="1:2" x14ac:dyDescent="0.15">
      <c r="A14644" s="15"/>
      <c r="B14644" s="15"/>
    </row>
    <row r="14645" spans="1:2" x14ac:dyDescent="0.15">
      <c r="A14645" s="15"/>
      <c r="B14645" s="15"/>
    </row>
    <row r="14646" spans="1:2" x14ac:dyDescent="0.15">
      <c r="A14646" s="15"/>
      <c r="B14646" s="15"/>
    </row>
    <row r="14647" spans="1:2" x14ac:dyDescent="0.15">
      <c r="A14647" s="15"/>
      <c r="B14647" s="15"/>
    </row>
    <row r="14648" spans="1:2" x14ac:dyDescent="0.15">
      <c r="A14648" s="15"/>
      <c r="B14648" s="15"/>
    </row>
    <row r="14649" spans="1:2" x14ac:dyDescent="0.15">
      <c r="A14649" s="15"/>
      <c r="B14649" s="15"/>
    </row>
    <row r="14650" spans="1:2" x14ac:dyDescent="0.15">
      <c r="A14650" s="15"/>
      <c r="B14650" s="15"/>
    </row>
    <row r="14651" spans="1:2" x14ac:dyDescent="0.15">
      <c r="A14651" s="15"/>
      <c r="B14651" s="15"/>
    </row>
    <row r="14652" spans="1:2" x14ac:dyDescent="0.15">
      <c r="A14652" s="15"/>
      <c r="B14652" s="15"/>
    </row>
    <row r="14653" spans="1:2" x14ac:dyDescent="0.15">
      <c r="A14653" s="15"/>
      <c r="B14653" s="15"/>
    </row>
    <row r="14654" spans="1:2" x14ac:dyDescent="0.15">
      <c r="A14654" s="15"/>
      <c r="B14654" s="15"/>
    </row>
    <row r="14655" spans="1:2" x14ac:dyDescent="0.15">
      <c r="A14655" s="15"/>
      <c r="B14655" s="15"/>
    </row>
    <row r="14656" spans="1:2" x14ac:dyDescent="0.15">
      <c r="A14656" s="15"/>
      <c r="B14656" s="15"/>
    </row>
    <row r="14657" spans="1:2" x14ac:dyDescent="0.15">
      <c r="A14657" s="15"/>
      <c r="B14657" s="15"/>
    </row>
    <row r="14658" spans="1:2" x14ac:dyDescent="0.15">
      <c r="A14658" s="15"/>
      <c r="B14658" s="15"/>
    </row>
    <row r="14659" spans="1:2" x14ac:dyDescent="0.15">
      <c r="A14659" s="15"/>
      <c r="B14659" s="15"/>
    </row>
    <row r="14660" spans="1:2" x14ac:dyDescent="0.15">
      <c r="A14660" s="15"/>
      <c r="B14660" s="15"/>
    </row>
    <row r="14661" spans="1:2" x14ac:dyDescent="0.15">
      <c r="A14661" s="15"/>
      <c r="B14661" s="15"/>
    </row>
    <row r="14662" spans="1:2" x14ac:dyDescent="0.15">
      <c r="A14662" s="15"/>
      <c r="B14662" s="15"/>
    </row>
    <row r="14663" spans="1:2" x14ac:dyDescent="0.15">
      <c r="A14663" s="15"/>
      <c r="B14663" s="15"/>
    </row>
    <row r="14664" spans="1:2" x14ac:dyDescent="0.15">
      <c r="A14664" s="15"/>
      <c r="B14664" s="15"/>
    </row>
    <row r="14665" spans="1:2" x14ac:dyDescent="0.15">
      <c r="A14665" s="15"/>
      <c r="B14665" s="15"/>
    </row>
    <row r="14666" spans="1:2" x14ac:dyDescent="0.15">
      <c r="A14666" s="15"/>
      <c r="B14666" s="15"/>
    </row>
    <row r="14667" spans="1:2" x14ac:dyDescent="0.15">
      <c r="A14667" s="15"/>
      <c r="B14667" s="15"/>
    </row>
    <row r="14668" spans="1:2" x14ac:dyDescent="0.15">
      <c r="A14668" s="15"/>
      <c r="B14668" s="15"/>
    </row>
    <row r="14669" spans="1:2" x14ac:dyDescent="0.15">
      <c r="A14669" s="15"/>
      <c r="B14669" s="15"/>
    </row>
    <row r="14670" spans="1:2" x14ac:dyDescent="0.15">
      <c r="A14670" s="15"/>
      <c r="B14670" s="15"/>
    </row>
    <row r="14671" spans="1:2" x14ac:dyDescent="0.15">
      <c r="A14671" s="15"/>
      <c r="B14671" s="15"/>
    </row>
    <row r="14672" spans="1:2" x14ac:dyDescent="0.15">
      <c r="A14672" s="15"/>
      <c r="B14672" s="15"/>
    </row>
    <row r="14673" spans="1:2" x14ac:dyDescent="0.15">
      <c r="A14673" s="15"/>
      <c r="B14673" s="15"/>
    </row>
    <row r="14674" spans="1:2" x14ac:dyDescent="0.15">
      <c r="A14674" s="15"/>
      <c r="B14674" s="15"/>
    </row>
    <row r="14675" spans="1:2" x14ac:dyDescent="0.15">
      <c r="A14675" s="15"/>
      <c r="B14675" s="15"/>
    </row>
    <row r="14676" spans="1:2" x14ac:dyDescent="0.15">
      <c r="A14676" s="15"/>
      <c r="B14676" s="15"/>
    </row>
    <row r="14677" spans="1:2" x14ac:dyDescent="0.15">
      <c r="A14677" s="15"/>
      <c r="B14677" s="15"/>
    </row>
    <row r="14678" spans="1:2" x14ac:dyDescent="0.15">
      <c r="A14678" s="15"/>
      <c r="B14678" s="15"/>
    </row>
    <row r="14679" spans="1:2" x14ac:dyDescent="0.15">
      <c r="A14679" s="15"/>
      <c r="B14679" s="15"/>
    </row>
    <row r="14680" spans="1:2" x14ac:dyDescent="0.15">
      <c r="A14680" s="15"/>
      <c r="B14680" s="15"/>
    </row>
    <row r="14681" spans="1:2" x14ac:dyDescent="0.15">
      <c r="A14681" s="15"/>
      <c r="B14681" s="15"/>
    </row>
    <row r="14682" spans="1:2" x14ac:dyDescent="0.15">
      <c r="A14682" s="15"/>
      <c r="B14682" s="15"/>
    </row>
    <row r="14683" spans="1:2" x14ac:dyDescent="0.15">
      <c r="A14683" s="15"/>
      <c r="B14683" s="15"/>
    </row>
    <row r="14684" spans="1:2" x14ac:dyDescent="0.15">
      <c r="A14684" s="15"/>
      <c r="B14684" s="15"/>
    </row>
    <row r="14685" spans="1:2" x14ac:dyDescent="0.15">
      <c r="A14685" s="15"/>
      <c r="B14685" s="15"/>
    </row>
    <row r="14686" spans="1:2" x14ac:dyDescent="0.15">
      <c r="A14686" s="15"/>
      <c r="B14686" s="15"/>
    </row>
    <row r="14687" spans="1:2" x14ac:dyDescent="0.15">
      <c r="A14687" s="15"/>
      <c r="B14687" s="15"/>
    </row>
    <row r="14688" spans="1:2" x14ac:dyDescent="0.15">
      <c r="A14688" s="15"/>
      <c r="B14688" s="15"/>
    </row>
    <row r="14689" spans="1:2" x14ac:dyDescent="0.15">
      <c r="A14689" s="15"/>
      <c r="B14689" s="15"/>
    </row>
    <row r="14690" spans="1:2" x14ac:dyDescent="0.15">
      <c r="A14690" s="15"/>
      <c r="B14690" s="15"/>
    </row>
    <row r="14691" spans="1:2" x14ac:dyDescent="0.15">
      <c r="A14691" s="15"/>
      <c r="B14691" s="15"/>
    </row>
    <row r="14692" spans="1:2" x14ac:dyDescent="0.15">
      <c r="A14692" s="15"/>
      <c r="B14692" s="15"/>
    </row>
    <row r="14693" spans="1:2" x14ac:dyDescent="0.15">
      <c r="A14693" s="15"/>
      <c r="B14693" s="15"/>
    </row>
    <row r="14694" spans="1:2" x14ac:dyDescent="0.15">
      <c r="A14694" s="15"/>
      <c r="B14694" s="15"/>
    </row>
    <row r="14695" spans="1:2" x14ac:dyDescent="0.15">
      <c r="A14695" s="15"/>
      <c r="B14695" s="15"/>
    </row>
    <row r="14696" spans="1:2" x14ac:dyDescent="0.15">
      <c r="A14696" s="15"/>
      <c r="B14696" s="15"/>
    </row>
    <row r="14697" spans="1:2" x14ac:dyDescent="0.15">
      <c r="A14697" s="15"/>
      <c r="B14697" s="15"/>
    </row>
    <row r="14698" spans="1:2" x14ac:dyDescent="0.15">
      <c r="A14698" s="15"/>
      <c r="B14698" s="15"/>
    </row>
    <row r="14699" spans="1:2" x14ac:dyDescent="0.15">
      <c r="A14699" s="15"/>
      <c r="B14699" s="15"/>
    </row>
    <row r="14700" spans="1:2" x14ac:dyDescent="0.15">
      <c r="A14700" s="15"/>
      <c r="B14700" s="15"/>
    </row>
    <row r="14701" spans="1:2" x14ac:dyDescent="0.15">
      <c r="A14701" s="15"/>
      <c r="B14701" s="15"/>
    </row>
    <row r="14702" spans="1:2" x14ac:dyDescent="0.15">
      <c r="A14702" s="15"/>
      <c r="B14702" s="15"/>
    </row>
    <row r="14703" spans="1:2" x14ac:dyDescent="0.15">
      <c r="A14703" s="15"/>
      <c r="B14703" s="15"/>
    </row>
    <row r="14704" spans="1:2" x14ac:dyDescent="0.15">
      <c r="A14704" s="15"/>
      <c r="B14704" s="15"/>
    </row>
    <row r="14705" spans="1:2" x14ac:dyDescent="0.15">
      <c r="A14705" s="15"/>
      <c r="B14705" s="15"/>
    </row>
    <row r="14706" spans="1:2" x14ac:dyDescent="0.15">
      <c r="A14706" s="15"/>
      <c r="B14706" s="15"/>
    </row>
    <row r="14707" spans="1:2" x14ac:dyDescent="0.15">
      <c r="A14707" s="15"/>
      <c r="B14707" s="15"/>
    </row>
    <row r="14708" spans="1:2" x14ac:dyDescent="0.15">
      <c r="A14708" s="15"/>
      <c r="B14708" s="15"/>
    </row>
    <row r="14709" spans="1:2" x14ac:dyDescent="0.15">
      <c r="A14709" s="15"/>
      <c r="B14709" s="15"/>
    </row>
    <row r="14710" spans="1:2" x14ac:dyDescent="0.15">
      <c r="A14710" s="15"/>
      <c r="B14710" s="15"/>
    </row>
    <row r="14711" spans="1:2" x14ac:dyDescent="0.15">
      <c r="A14711" s="15"/>
      <c r="B14711" s="15"/>
    </row>
    <row r="14712" spans="1:2" x14ac:dyDescent="0.15">
      <c r="A14712" s="15"/>
      <c r="B14712" s="15"/>
    </row>
    <row r="14713" spans="1:2" x14ac:dyDescent="0.15">
      <c r="A14713" s="15"/>
      <c r="B14713" s="15"/>
    </row>
    <row r="14714" spans="1:2" x14ac:dyDescent="0.15">
      <c r="A14714" s="15"/>
      <c r="B14714" s="15"/>
    </row>
    <row r="14715" spans="1:2" x14ac:dyDescent="0.15">
      <c r="A14715" s="15"/>
      <c r="B14715" s="15"/>
    </row>
    <row r="14716" spans="1:2" x14ac:dyDescent="0.15">
      <c r="A14716" s="15"/>
      <c r="B14716" s="15"/>
    </row>
    <row r="14717" spans="1:2" x14ac:dyDescent="0.15">
      <c r="A14717" s="15"/>
      <c r="B14717" s="15"/>
    </row>
    <row r="14718" spans="1:2" x14ac:dyDescent="0.15">
      <c r="A14718" s="15"/>
      <c r="B14718" s="15"/>
    </row>
    <row r="14719" spans="1:2" x14ac:dyDescent="0.15">
      <c r="A14719" s="15"/>
      <c r="B14719" s="15"/>
    </row>
    <row r="14720" spans="1:2" x14ac:dyDescent="0.15">
      <c r="A14720" s="15"/>
      <c r="B14720" s="15"/>
    </row>
    <row r="14721" spans="1:2" x14ac:dyDescent="0.15">
      <c r="A14721" s="15"/>
      <c r="B14721" s="15"/>
    </row>
    <row r="14722" spans="1:2" x14ac:dyDescent="0.15">
      <c r="A14722" s="15"/>
      <c r="B14722" s="15"/>
    </row>
    <row r="14723" spans="1:2" x14ac:dyDescent="0.15">
      <c r="A14723" s="15"/>
      <c r="B14723" s="15"/>
    </row>
    <row r="14724" spans="1:2" x14ac:dyDescent="0.15">
      <c r="A14724" s="15"/>
      <c r="B14724" s="15"/>
    </row>
    <row r="14725" spans="1:2" x14ac:dyDescent="0.15">
      <c r="A14725" s="15"/>
      <c r="B14725" s="15"/>
    </row>
    <row r="14726" spans="1:2" x14ac:dyDescent="0.15">
      <c r="A14726" s="15"/>
      <c r="B14726" s="15"/>
    </row>
    <row r="14727" spans="1:2" x14ac:dyDescent="0.15">
      <c r="A14727" s="15"/>
      <c r="B14727" s="15"/>
    </row>
    <row r="14728" spans="1:2" x14ac:dyDescent="0.15">
      <c r="A14728" s="15"/>
      <c r="B14728" s="15"/>
    </row>
    <row r="14729" spans="1:2" x14ac:dyDescent="0.15">
      <c r="A14729" s="15"/>
      <c r="B14729" s="15"/>
    </row>
    <row r="14730" spans="1:2" x14ac:dyDescent="0.15">
      <c r="A14730" s="15"/>
      <c r="B14730" s="15"/>
    </row>
    <row r="14731" spans="1:2" x14ac:dyDescent="0.15">
      <c r="A14731" s="15"/>
      <c r="B14731" s="15"/>
    </row>
    <row r="14732" spans="1:2" x14ac:dyDescent="0.15">
      <c r="A14732" s="15"/>
      <c r="B14732" s="15"/>
    </row>
    <row r="14733" spans="1:2" x14ac:dyDescent="0.15">
      <c r="A14733" s="15"/>
      <c r="B14733" s="15"/>
    </row>
    <row r="14734" spans="1:2" x14ac:dyDescent="0.15">
      <c r="A14734" s="15"/>
      <c r="B14734" s="15"/>
    </row>
    <row r="14735" spans="1:2" x14ac:dyDescent="0.15">
      <c r="A14735" s="15"/>
      <c r="B14735" s="15"/>
    </row>
    <row r="14736" spans="1:2" x14ac:dyDescent="0.15">
      <c r="A14736" s="15"/>
      <c r="B14736" s="15"/>
    </row>
    <row r="14737" spans="1:2" x14ac:dyDescent="0.15">
      <c r="A14737" s="15"/>
      <c r="B14737" s="15"/>
    </row>
    <row r="14738" spans="1:2" x14ac:dyDescent="0.15">
      <c r="A14738" s="15"/>
      <c r="B14738" s="15"/>
    </row>
    <row r="14739" spans="1:2" x14ac:dyDescent="0.15">
      <c r="A14739" s="15"/>
      <c r="B14739" s="15"/>
    </row>
    <row r="14740" spans="1:2" x14ac:dyDescent="0.15">
      <c r="A14740" s="15"/>
      <c r="B14740" s="15"/>
    </row>
    <row r="14741" spans="1:2" x14ac:dyDescent="0.15">
      <c r="A14741" s="15"/>
      <c r="B14741" s="15"/>
    </row>
    <row r="14742" spans="1:2" x14ac:dyDescent="0.15">
      <c r="A14742" s="15"/>
      <c r="B14742" s="15"/>
    </row>
    <row r="14743" spans="1:2" x14ac:dyDescent="0.15">
      <c r="A14743" s="15"/>
      <c r="B14743" s="15"/>
    </row>
    <row r="14744" spans="1:2" x14ac:dyDescent="0.15">
      <c r="A14744" s="15"/>
      <c r="B14744" s="15"/>
    </row>
    <row r="14745" spans="1:2" x14ac:dyDescent="0.15">
      <c r="A14745" s="15"/>
      <c r="B14745" s="15"/>
    </row>
    <row r="14746" spans="1:2" x14ac:dyDescent="0.15">
      <c r="A14746" s="15"/>
      <c r="B14746" s="15"/>
    </row>
    <row r="14747" spans="1:2" x14ac:dyDescent="0.15">
      <c r="A14747" s="15"/>
      <c r="B14747" s="15"/>
    </row>
    <row r="14748" spans="1:2" x14ac:dyDescent="0.15">
      <c r="A14748" s="15"/>
      <c r="B14748" s="15"/>
    </row>
    <row r="14749" spans="1:2" x14ac:dyDescent="0.15">
      <c r="A14749" s="15"/>
      <c r="B14749" s="15"/>
    </row>
    <row r="14750" spans="1:2" x14ac:dyDescent="0.15">
      <c r="A14750" s="15"/>
      <c r="B14750" s="15"/>
    </row>
    <row r="14751" spans="1:2" x14ac:dyDescent="0.15">
      <c r="A14751" s="15"/>
      <c r="B14751" s="15"/>
    </row>
    <row r="14752" spans="1:2" x14ac:dyDescent="0.15">
      <c r="A14752" s="15"/>
      <c r="B14752" s="15"/>
    </row>
    <row r="14753" spans="1:2" x14ac:dyDescent="0.15">
      <c r="A14753" s="15"/>
      <c r="B14753" s="15"/>
    </row>
    <row r="14754" spans="1:2" x14ac:dyDescent="0.15">
      <c r="A14754" s="15"/>
      <c r="B14754" s="15"/>
    </row>
    <row r="14755" spans="1:2" x14ac:dyDescent="0.15">
      <c r="A14755" s="15"/>
      <c r="B14755" s="15"/>
    </row>
    <row r="14756" spans="1:2" x14ac:dyDescent="0.15">
      <c r="A14756" s="15"/>
      <c r="B14756" s="15"/>
    </row>
    <row r="14757" spans="1:2" x14ac:dyDescent="0.15">
      <c r="A14757" s="15"/>
      <c r="B14757" s="15"/>
    </row>
    <row r="14758" spans="1:2" x14ac:dyDescent="0.15">
      <c r="A14758" s="15"/>
      <c r="B14758" s="15"/>
    </row>
    <row r="14759" spans="1:2" x14ac:dyDescent="0.15">
      <c r="A14759" s="15"/>
      <c r="B14759" s="15"/>
    </row>
    <row r="14760" spans="1:2" x14ac:dyDescent="0.15">
      <c r="A14760" s="15"/>
      <c r="B14760" s="15"/>
    </row>
    <row r="14761" spans="1:2" x14ac:dyDescent="0.15">
      <c r="A14761" s="15"/>
      <c r="B14761" s="15"/>
    </row>
    <row r="14762" spans="1:2" x14ac:dyDescent="0.15">
      <c r="A14762" s="15"/>
      <c r="B14762" s="15"/>
    </row>
    <row r="14763" spans="1:2" x14ac:dyDescent="0.15">
      <c r="A14763" s="15"/>
      <c r="B14763" s="15"/>
    </row>
    <row r="14764" spans="1:2" x14ac:dyDescent="0.15">
      <c r="A14764" s="15"/>
      <c r="B14764" s="15"/>
    </row>
    <row r="14765" spans="1:2" x14ac:dyDescent="0.15">
      <c r="A14765" s="15"/>
      <c r="B14765" s="15"/>
    </row>
    <row r="14766" spans="1:2" x14ac:dyDescent="0.15">
      <c r="A14766" s="15"/>
      <c r="B14766" s="15"/>
    </row>
    <row r="14767" spans="1:2" x14ac:dyDescent="0.15">
      <c r="A14767" s="15"/>
      <c r="B14767" s="15"/>
    </row>
    <row r="14768" spans="1:2" x14ac:dyDescent="0.15">
      <c r="A14768" s="15"/>
      <c r="B14768" s="15"/>
    </row>
    <row r="14769" spans="1:2" x14ac:dyDescent="0.15">
      <c r="A14769" s="15"/>
      <c r="B14769" s="15"/>
    </row>
    <row r="14770" spans="1:2" x14ac:dyDescent="0.15">
      <c r="A14770" s="15"/>
      <c r="B14770" s="15"/>
    </row>
    <row r="14771" spans="1:2" x14ac:dyDescent="0.15">
      <c r="A14771" s="15"/>
      <c r="B14771" s="15"/>
    </row>
    <row r="14772" spans="1:2" x14ac:dyDescent="0.15">
      <c r="A14772" s="15"/>
      <c r="B14772" s="15"/>
    </row>
    <row r="14773" spans="1:2" x14ac:dyDescent="0.15">
      <c r="A14773" s="15"/>
      <c r="B14773" s="15"/>
    </row>
    <row r="14774" spans="1:2" x14ac:dyDescent="0.15">
      <c r="A14774" s="15"/>
      <c r="B14774" s="15"/>
    </row>
    <row r="14775" spans="1:2" x14ac:dyDescent="0.15">
      <c r="A14775" s="15"/>
      <c r="B14775" s="15"/>
    </row>
    <row r="14776" spans="1:2" x14ac:dyDescent="0.15">
      <c r="A14776" s="15"/>
      <c r="B14776" s="15"/>
    </row>
    <row r="14777" spans="1:2" x14ac:dyDescent="0.15">
      <c r="A14777" s="15"/>
      <c r="B14777" s="15"/>
    </row>
    <row r="14778" spans="1:2" x14ac:dyDescent="0.15">
      <c r="A14778" s="15"/>
      <c r="B14778" s="15"/>
    </row>
    <row r="14779" spans="1:2" x14ac:dyDescent="0.15">
      <c r="A14779" s="15"/>
      <c r="B14779" s="15"/>
    </row>
    <row r="14780" spans="1:2" x14ac:dyDescent="0.15">
      <c r="A14780" s="15"/>
      <c r="B14780" s="15"/>
    </row>
    <row r="14781" spans="1:2" x14ac:dyDescent="0.15">
      <c r="A14781" s="15"/>
      <c r="B14781" s="15"/>
    </row>
    <row r="14782" spans="1:2" x14ac:dyDescent="0.15">
      <c r="A14782" s="15"/>
      <c r="B14782" s="15"/>
    </row>
    <row r="14783" spans="1:2" x14ac:dyDescent="0.15">
      <c r="A14783" s="15"/>
      <c r="B14783" s="15"/>
    </row>
    <row r="14784" spans="1:2" x14ac:dyDescent="0.15">
      <c r="A14784" s="15"/>
      <c r="B14784" s="15"/>
    </row>
    <row r="14785" spans="1:2" x14ac:dyDescent="0.15">
      <c r="A14785" s="15"/>
      <c r="B14785" s="15"/>
    </row>
    <row r="14786" spans="1:2" x14ac:dyDescent="0.15">
      <c r="A14786" s="15"/>
      <c r="B14786" s="15"/>
    </row>
    <row r="14787" spans="1:2" x14ac:dyDescent="0.15">
      <c r="A14787" s="15"/>
      <c r="B14787" s="15"/>
    </row>
    <row r="14788" spans="1:2" x14ac:dyDescent="0.15">
      <c r="A14788" s="15"/>
      <c r="B14788" s="15"/>
    </row>
    <row r="14789" spans="1:2" x14ac:dyDescent="0.15">
      <c r="A14789" s="15"/>
      <c r="B14789" s="15"/>
    </row>
    <row r="14790" spans="1:2" x14ac:dyDescent="0.15">
      <c r="A14790" s="15"/>
      <c r="B14790" s="15"/>
    </row>
    <row r="14791" spans="1:2" x14ac:dyDescent="0.15">
      <c r="A14791" s="15"/>
      <c r="B14791" s="15"/>
    </row>
    <row r="14792" spans="1:2" x14ac:dyDescent="0.15">
      <c r="A14792" s="15"/>
      <c r="B14792" s="15"/>
    </row>
    <row r="14793" spans="1:2" x14ac:dyDescent="0.15">
      <c r="A14793" s="15"/>
      <c r="B14793" s="15"/>
    </row>
    <row r="14794" spans="1:2" x14ac:dyDescent="0.15">
      <c r="A14794" s="15"/>
      <c r="B14794" s="15"/>
    </row>
    <row r="14795" spans="1:2" x14ac:dyDescent="0.15">
      <c r="A14795" s="15"/>
      <c r="B14795" s="15"/>
    </row>
    <row r="14796" spans="1:2" x14ac:dyDescent="0.15">
      <c r="A14796" s="15"/>
      <c r="B14796" s="15"/>
    </row>
    <row r="14797" spans="1:2" x14ac:dyDescent="0.15">
      <c r="A14797" s="15"/>
      <c r="B14797" s="15"/>
    </row>
    <row r="14798" spans="1:2" x14ac:dyDescent="0.15">
      <c r="A14798" s="15"/>
      <c r="B14798" s="15"/>
    </row>
    <row r="14799" spans="1:2" x14ac:dyDescent="0.15">
      <c r="A14799" s="15"/>
      <c r="B14799" s="15"/>
    </row>
    <row r="14800" spans="1:2" x14ac:dyDescent="0.15">
      <c r="A14800" s="15"/>
      <c r="B14800" s="15"/>
    </row>
    <row r="14801" spans="1:2" x14ac:dyDescent="0.15">
      <c r="A14801" s="15"/>
      <c r="B14801" s="15"/>
    </row>
    <row r="14802" spans="1:2" x14ac:dyDescent="0.15">
      <c r="A14802" s="15"/>
      <c r="B14802" s="15"/>
    </row>
    <row r="14803" spans="1:2" x14ac:dyDescent="0.15">
      <c r="A14803" s="15"/>
      <c r="B14803" s="15"/>
    </row>
    <row r="14804" spans="1:2" x14ac:dyDescent="0.15">
      <c r="A14804" s="15"/>
      <c r="B14804" s="15"/>
    </row>
    <row r="14805" spans="1:2" x14ac:dyDescent="0.15">
      <c r="A14805" s="15"/>
      <c r="B14805" s="15"/>
    </row>
    <row r="14806" spans="1:2" x14ac:dyDescent="0.15">
      <c r="A14806" s="15"/>
      <c r="B14806" s="15"/>
    </row>
    <row r="14807" spans="1:2" x14ac:dyDescent="0.15">
      <c r="A14807" s="15"/>
      <c r="B14807" s="15"/>
    </row>
    <row r="14808" spans="1:2" x14ac:dyDescent="0.15">
      <c r="A14808" s="15"/>
      <c r="B14808" s="15"/>
    </row>
    <row r="14809" spans="1:2" x14ac:dyDescent="0.15">
      <c r="A14809" s="15"/>
      <c r="B14809" s="15"/>
    </row>
    <row r="14810" spans="1:2" x14ac:dyDescent="0.15">
      <c r="A14810" s="15"/>
      <c r="B14810" s="15"/>
    </row>
    <row r="14811" spans="1:2" x14ac:dyDescent="0.15">
      <c r="A14811" s="15"/>
      <c r="B14811" s="15"/>
    </row>
    <row r="14812" spans="1:2" x14ac:dyDescent="0.15">
      <c r="A14812" s="15"/>
      <c r="B14812" s="15"/>
    </row>
    <row r="14813" spans="1:2" x14ac:dyDescent="0.15">
      <c r="A14813" s="15"/>
      <c r="B14813" s="15"/>
    </row>
    <row r="14814" spans="1:2" x14ac:dyDescent="0.15">
      <c r="A14814" s="15"/>
      <c r="B14814" s="15"/>
    </row>
    <row r="14815" spans="1:2" x14ac:dyDescent="0.15">
      <c r="A14815" s="15"/>
      <c r="B14815" s="15"/>
    </row>
    <row r="14816" spans="1:2" x14ac:dyDescent="0.15">
      <c r="A14816" s="15"/>
      <c r="B14816" s="15"/>
    </row>
    <row r="14817" spans="1:2" x14ac:dyDescent="0.15">
      <c r="A14817" s="15"/>
      <c r="B14817" s="15"/>
    </row>
    <row r="14818" spans="1:2" x14ac:dyDescent="0.15">
      <c r="A14818" s="15"/>
      <c r="B14818" s="15"/>
    </row>
    <row r="14819" spans="1:2" x14ac:dyDescent="0.15">
      <c r="A14819" s="15"/>
      <c r="B14819" s="15"/>
    </row>
    <row r="14820" spans="1:2" x14ac:dyDescent="0.15">
      <c r="A14820" s="15"/>
      <c r="B14820" s="15"/>
    </row>
    <row r="14821" spans="1:2" x14ac:dyDescent="0.15">
      <c r="A14821" s="15"/>
      <c r="B14821" s="15"/>
    </row>
    <row r="14822" spans="1:2" x14ac:dyDescent="0.15">
      <c r="A14822" s="15"/>
      <c r="B14822" s="15"/>
    </row>
    <row r="14823" spans="1:2" x14ac:dyDescent="0.15">
      <c r="A14823" s="15"/>
      <c r="B14823" s="15"/>
    </row>
    <row r="14824" spans="1:2" x14ac:dyDescent="0.15">
      <c r="A14824" s="15"/>
      <c r="B14824" s="15"/>
    </row>
    <row r="14825" spans="1:2" x14ac:dyDescent="0.15">
      <c r="A14825" s="15"/>
      <c r="B14825" s="15"/>
    </row>
    <row r="14826" spans="1:2" x14ac:dyDescent="0.15">
      <c r="A14826" s="15"/>
      <c r="B14826" s="15"/>
    </row>
    <row r="14827" spans="1:2" x14ac:dyDescent="0.15">
      <c r="A14827" s="15"/>
      <c r="B14827" s="15"/>
    </row>
    <row r="14828" spans="1:2" x14ac:dyDescent="0.15">
      <c r="A14828" s="15"/>
      <c r="B14828" s="15"/>
    </row>
    <row r="14829" spans="1:2" x14ac:dyDescent="0.15">
      <c r="A14829" s="15"/>
      <c r="B14829" s="15"/>
    </row>
    <row r="14830" spans="1:2" x14ac:dyDescent="0.15">
      <c r="A14830" s="15"/>
      <c r="B14830" s="15"/>
    </row>
    <row r="14831" spans="1:2" x14ac:dyDescent="0.15">
      <c r="A14831" s="15"/>
      <c r="B14831" s="15"/>
    </row>
    <row r="14832" spans="1:2" x14ac:dyDescent="0.15">
      <c r="A14832" s="15"/>
      <c r="B14832" s="15"/>
    </row>
    <row r="14833" spans="1:2" x14ac:dyDescent="0.15">
      <c r="A14833" s="15"/>
      <c r="B14833" s="15"/>
    </row>
    <row r="14834" spans="1:2" x14ac:dyDescent="0.15">
      <c r="A14834" s="15"/>
      <c r="B14834" s="15"/>
    </row>
    <row r="14835" spans="1:2" x14ac:dyDescent="0.15">
      <c r="A14835" s="15"/>
      <c r="B14835" s="15"/>
    </row>
    <row r="14836" spans="1:2" x14ac:dyDescent="0.15">
      <c r="A14836" s="15"/>
      <c r="B14836" s="15"/>
    </row>
    <row r="14837" spans="1:2" x14ac:dyDescent="0.15">
      <c r="A14837" s="15"/>
      <c r="B14837" s="15"/>
    </row>
    <row r="14838" spans="1:2" x14ac:dyDescent="0.15">
      <c r="A14838" s="15"/>
      <c r="B14838" s="15"/>
    </row>
    <row r="14839" spans="1:2" x14ac:dyDescent="0.15">
      <c r="A14839" s="15"/>
      <c r="B14839" s="15"/>
    </row>
    <row r="14840" spans="1:2" x14ac:dyDescent="0.15">
      <c r="A14840" s="15"/>
      <c r="B14840" s="15"/>
    </row>
    <row r="14841" spans="1:2" x14ac:dyDescent="0.15">
      <c r="A14841" s="15"/>
      <c r="B14841" s="15"/>
    </row>
    <row r="14842" spans="1:2" x14ac:dyDescent="0.15">
      <c r="A14842" s="15"/>
      <c r="B14842" s="15"/>
    </row>
    <row r="14843" spans="1:2" x14ac:dyDescent="0.15">
      <c r="A14843" s="15"/>
      <c r="B14843" s="15"/>
    </row>
    <row r="14844" spans="1:2" x14ac:dyDescent="0.15">
      <c r="A14844" s="15"/>
      <c r="B14844" s="15"/>
    </row>
    <row r="14845" spans="1:2" x14ac:dyDescent="0.15">
      <c r="A14845" s="15"/>
      <c r="B14845" s="15"/>
    </row>
    <row r="14846" spans="1:2" x14ac:dyDescent="0.15">
      <c r="A14846" s="15"/>
      <c r="B14846" s="15"/>
    </row>
    <row r="14847" spans="1:2" x14ac:dyDescent="0.15">
      <c r="A14847" s="15"/>
      <c r="B14847" s="15"/>
    </row>
    <row r="14848" spans="1:2" x14ac:dyDescent="0.15">
      <c r="A14848" s="15"/>
      <c r="B14848" s="15"/>
    </row>
    <row r="14849" spans="1:2" x14ac:dyDescent="0.15">
      <c r="A14849" s="15"/>
      <c r="B14849" s="15"/>
    </row>
    <row r="14850" spans="1:2" x14ac:dyDescent="0.15">
      <c r="A14850" s="15"/>
      <c r="B14850" s="15"/>
    </row>
    <row r="14851" spans="1:2" x14ac:dyDescent="0.15">
      <c r="A14851" s="15"/>
      <c r="B14851" s="15"/>
    </row>
    <row r="14852" spans="1:2" x14ac:dyDescent="0.15">
      <c r="A14852" s="15"/>
      <c r="B14852" s="15"/>
    </row>
    <row r="14853" spans="1:2" x14ac:dyDescent="0.15">
      <c r="A14853" s="15"/>
      <c r="B14853" s="15"/>
    </row>
    <row r="14854" spans="1:2" x14ac:dyDescent="0.15">
      <c r="A14854" s="15"/>
      <c r="B14854" s="15"/>
    </row>
    <row r="14855" spans="1:2" x14ac:dyDescent="0.15">
      <c r="A14855" s="15"/>
      <c r="B14855" s="15"/>
    </row>
    <row r="14856" spans="1:2" x14ac:dyDescent="0.15">
      <c r="A14856" s="15"/>
      <c r="B14856" s="15"/>
    </row>
    <row r="14857" spans="1:2" x14ac:dyDescent="0.15">
      <c r="A14857" s="15"/>
      <c r="B14857" s="15"/>
    </row>
    <row r="14858" spans="1:2" x14ac:dyDescent="0.15">
      <c r="A14858" s="15"/>
      <c r="B14858" s="15"/>
    </row>
    <row r="14859" spans="1:2" x14ac:dyDescent="0.15">
      <c r="A14859" s="15"/>
      <c r="B14859" s="15"/>
    </row>
    <row r="14860" spans="1:2" x14ac:dyDescent="0.15">
      <c r="A14860" s="15"/>
      <c r="B14860" s="15"/>
    </row>
    <row r="14861" spans="1:2" x14ac:dyDescent="0.15">
      <c r="A14861" s="15"/>
      <c r="B14861" s="15"/>
    </row>
    <row r="14862" spans="1:2" x14ac:dyDescent="0.15">
      <c r="A14862" s="15"/>
      <c r="B14862" s="15"/>
    </row>
    <row r="14863" spans="1:2" x14ac:dyDescent="0.15">
      <c r="A14863" s="15"/>
      <c r="B14863" s="15"/>
    </row>
    <row r="14864" spans="1:2" x14ac:dyDescent="0.15">
      <c r="A14864" s="15"/>
      <c r="B14864" s="15"/>
    </row>
    <row r="14865" spans="1:2" x14ac:dyDescent="0.15">
      <c r="A14865" s="15"/>
      <c r="B14865" s="15"/>
    </row>
    <row r="14866" spans="1:2" x14ac:dyDescent="0.15">
      <c r="A14866" s="15"/>
      <c r="B14866" s="15"/>
    </row>
    <row r="14867" spans="1:2" x14ac:dyDescent="0.15">
      <c r="A14867" s="15"/>
      <c r="B14867" s="15"/>
    </row>
    <row r="14868" spans="1:2" x14ac:dyDescent="0.15">
      <c r="A14868" s="15"/>
      <c r="B14868" s="15"/>
    </row>
    <row r="14869" spans="1:2" x14ac:dyDescent="0.15">
      <c r="A14869" s="15"/>
      <c r="B14869" s="15"/>
    </row>
    <row r="14870" spans="1:2" x14ac:dyDescent="0.15">
      <c r="A14870" s="15"/>
      <c r="B14870" s="15"/>
    </row>
    <row r="14871" spans="1:2" x14ac:dyDescent="0.15">
      <c r="A14871" s="15"/>
      <c r="B14871" s="15"/>
    </row>
    <row r="14872" spans="1:2" x14ac:dyDescent="0.15">
      <c r="A14872" s="15"/>
      <c r="B14872" s="15"/>
    </row>
    <row r="14873" spans="1:2" x14ac:dyDescent="0.15">
      <c r="A14873" s="15"/>
      <c r="B14873" s="15"/>
    </row>
    <row r="14874" spans="1:2" x14ac:dyDescent="0.15">
      <c r="A14874" s="15"/>
      <c r="B14874" s="15"/>
    </row>
    <row r="14875" spans="1:2" x14ac:dyDescent="0.15">
      <c r="A14875" s="15"/>
      <c r="B14875" s="15"/>
    </row>
    <row r="14876" spans="1:2" x14ac:dyDescent="0.15">
      <c r="A14876" s="15"/>
      <c r="B14876" s="15"/>
    </row>
    <row r="14877" spans="1:2" x14ac:dyDescent="0.15">
      <c r="A14877" s="15"/>
      <c r="B14877" s="15"/>
    </row>
    <row r="14878" spans="1:2" x14ac:dyDescent="0.15">
      <c r="A14878" s="15"/>
      <c r="B14878" s="15"/>
    </row>
    <row r="14879" spans="1:2" x14ac:dyDescent="0.15">
      <c r="A14879" s="15"/>
      <c r="B14879" s="15"/>
    </row>
    <row r="14880" spans="1:2" x14ac:dyDescent="0.15">
      <c r="A14880" s="15"/>
      <c r="B14880" s="15"/>
    </row>
    <row r="14881" spans="1:2" x14ac:dyDescent="0.15">
      <c r="A14881" s="15"/>
      <c r="B14881" s="15"/>
    </row>
    <row r="14882" spans="1:2" x14ac:dyDescent="0.15">
      <c r="A14882" s="15"/>
      <c r="B14882" s="15"/>
    </row>
    <row r="14883" spans="1:2" x14ac:dyDescent="0.15">
      <c r="A14883" s="15"/>
      <c r="B14883" s="15"/>
    </row>
    <row r="14884" spans="1:2" x14ac:dyDescent="0.15">
      <c r="A14884" s="15"/>
      <c r="B14884" s="15"/>
    </row>
    <row r="14885" spans="1:2" x14ac:dyDescent="0.15">
      <c r="A14885" s="15"/>
      <c r="B14885" s="15"/>
    </row>
    <row r="14886" spans="1:2" x14ac:dyDescent="0.15">
      <c r="A14886" s="15"/>
      <c r="B14886" s="15"/>
    </row>
    <row r="14887" spans="1:2" x14ac:dyDescent="0.15">
      <c r="A14887" s="15"/>
      <c r="B14887" s="15"/>
    </row>
    <row r="14888" spans="1:2" x14ac:dyDescent="0.15">
      <c r="A14888" s="15"/>
      <c r="B14888" s="15"/>
    </row>
    <row r="14889" spans="1:2" x14ac:dyDescent="0.15">
      <c r="A14889" s="15"/>
      <c r="B14889" s="15"/>
    </row>
    <row r="14890" spans="1:2" x14ac:dyDescent="0.15">
      <c r="A14890" s="15"/>
      <c r="B14890" s="15"/>
    </row>
    <row r="14891" spans="1:2" x14ac:dyDescent="0.15">
      <c r="A14891" s="15"/>
      <c r="B14891" s="15"/>
    </row>
    <row r="14892" spans="1:2" x14ac:dyDescent="0.15">
      <c r="A14892" s="15"/>
      <c r="B14892" s="15"/>
    </row>
    <row r="14893" spans="1:2" x14ac:dyDescent="0.15">
      <c r="A14893" s="15"/>
      <c r="B14893" s="15"/>
    </row>
    <row r="14894" spans="1:2" x14ac:dyDescent="0.15">
      <c r="A14894" s="15"/>
      <c r="B14894" s="15"/>
    </row>
    <row r="14895" spans="1:2" x14ac:dyDescent="0.15">
      <c r="A14895" s="15"/>
      <c r="B14895" s="15"/>
    </row>
    <row r="14896" spans="1:2" x14ac:dyDescent="0.15">
      <c r="A14896" s="15"/>
      <c r="B14896" s="15"/>
    </row>
    <row r="14897" spans="1:2" x14ac:dyDescent="0.15">
      <c r="A14897" s="15"/>
      <c r="B14897" s="15"/>
    </row>
    <row r="14898" spans="1:2" x14ac:dyDescent="0.15">
      <c r="A14898" s="15"/>
      <c r="B14898" s="15"/>
    </row>
    <row r="14899" spans="1:2" x14ac:dyDescent="0.15">
      <c r="A14899" s="15"/>
      <c r="B14899" s="15"/>
    </row>
    <row r="14900" spans="1:2" x14ac:dyDescent="0.15">
      <c r="A14900" s="15"/>
      <c r="B14900" s="15"/>
    </row>
    <row r="14901" spans="1:2" x14ac:dyDescent="0.15">
      <c r="A14901" s="15"/>
      <c r="B14901" s="15"/>
    </row>
    <row r="14902" spans="1:2" x14ac:dyDescent="0.15">
      <c r="A14902" s="15"/>
      <c r="B14902" s="15"/>
    </row>
    <row r="14903" spans="1:2" x14ac:dyDescent="0.15">
      <c r="A14903" s="15"/>
      <c r="B14903" s="15"/>
    </row>
    <row r="14904" spans="1:2" x14ac:dyDescent="0.15">
      <c r="A14904" s="15"/>
      <c r="B14904" s="15"/>
    </row>
    <row r="14905" spans="1:2" x14ac:dyDescent="0.15">
      <c r="A14905" s="15"/>
      <c r="B14905" s="15"/>
    </row>
    <row r="14906" spans="1:2" x14ac:dyDescent="0.15">
      <c r="A14906" s="15"/>
      <c r="B14906" s="15"/>
    </row>
    <row r="14907" spans="1:2" x14ac:dyDescent="0.15">
      <c r="A14907" s="15"/>
      <c r="B14907" s="15"/>
    </row>
    <row r="14908" spans="1:2" x14ac:dyDescent="0.15">
      <c r="A14908" s="15"/>
      <c r="B14908" s="15"/>
    </row>
    <row r="14909" spans="1:2" x14ac:dyDescent="0.15">
      <c r="A14909" s="15"/>
      <c r="B14909" s="15"/>
    </row>
    <row r="14910" spans="1:2" x14ac:dyDescent="0.15">
      <c r="A14910" s="15"/>
      <c r="B14910" s="15"/>
    </row>
    <row r="14911" spans="1:2" x14ac:dyDescent="0.15">
      <c r="A14911" s="15"/>
      <c r="B14911" s="15"/>
    </row>
    <row r="14912" spans="1:2" x14ac:dyDescent="0.15">
      <c r="A14912" s="15"/>
      <c r="B14912" s="15"/>
    </row>
    <row r="14913" spans="1:2" x14ac:dyDescent="0.15">
      <c r="A14913" s="15"/>
      <c r="B14913" s="15"/>
    </row>
    <row r="14914" spans="1:2" x14ac:dyDescent="0.15">
      <c r="A14914" s="15"/>
      <c r="B14914" s="15"/>
    </row>
    <row r="14915" spans="1:2" x14ac:dyDescent="0.15">
      <c r="A14915" s="15"/>
      <c r="B14915" s="15"/>
    </row>
    <row r="14916" spans="1:2" x14ac:dyDescent="0.15">
      <c r="A14916" s="15"/>
      <c r="B14916" s="15"/>
    </row>
    <row r="14917" spans="1:2" x14ac:dyDescent="0.15">
      <c r="A14917" s="15"/>
      <c r="B14917" s="15"/>
    </row>
    <row r="14918" spans="1:2" x14ac:dyDescent="0.15">
      <c r="A14918" s="15"/>
      <c r="B14918" s="15"/>
    </row>
    <row r="14919" spans="1:2" x14ac:dyDescent="0.15">
      <c r="A14919" s="15"/>
      <c r="B14919" s="15"/>
    </row>
    <row r="14920" spans="1:2" x14ac:dyDescent="0.15">
      <c r="A14920" s="15"/>
      <c r="B14920" s="15"/>
    </row>
    <row r="14921" spans="1:2" x14ac:dyDescent="0.15">
      <c r="A14921" s="15"/>
      <c r="B14921" s="15"/>
    </row>
    <row r="14922" spans="1:2" x14ac:dyDescent="0.15">
      <c r="A14922" s="15"/>
      <c r="B14922" s="15"/>
    </row>
    <row r="14923" spans="1:2" x14ac:dyDescent="0.15">
      <c r="A14923" s="15"/>
      <c r="B14923" s="15"/>
    </row>
    <row r="14924" spans="1:2" x14ac:dyDescent="0.15">
      <c r="A14924" s="15"/>
      <c r="B14924" s="15"/>
    </row>
    <row r="14925" spans="1:2" x14ac:dyDescent="0.15">
      <c r="A14925" s="15"/>
      <c r="B14925" s="15"/>
    </row>
    <row r="14926" spans="1:2" x14ac:dyDescent="0.15">
      <c r="A14926" s="15"/>
      <c r="B14926" s="15"/>
    </row>
    <row r="14927" spans="1:2" x14ac:dyDescent="0.15">
      <c r="A14927" s="15"/>
      <c r="B14927" s="15"/>
    </row>
    <row r="14928" spans="1:2" x14ac:dyDescent="0.15">
      <c r="A14928" s="15"/>
      <c r="B14928" s="15"/>
    </row>
    <row r="14929" spans="1:2" x14ac:dyDescent="0.15">
      <c r="A14929" s="15"/>
      <c r="B14929" s="15"/>
    </row>
    <row r="14930" spans="1:2" x14ac:dyDescent="0.15">
      <c r="A14930" s="15"/>
      <c r="B14930" s="15"/>
    </row>
    <row r="14931" spans="1:2" x14ac:dyDescent="0.15">
      <c r="A14931" s="15"/>
      <c r="B14931" s="15"/>
    </row>
    <row r="14932" spans="1:2" x14ac:dyDescent="0.15">
      <c r="A14932" s="15"/>
      <c r="B14932" s="15"/>
    </row>
    <row r="14933" spans="1:2" x14ac:dyDescent="0.15">
      <c r="A14933" s="15"/>
      <c r="B14933" s="15"/>
    </row>
    <row r="14934" spans="1:2" x14ac:dyDescent="0.15">
      <c r="A14934" s="15"/>
      <c r="B14934" s="15"/>
    </row>
    <row r="14935" spans="1:2" x14ac:dyDescent="0.15">
      <c r="A14935" s="15"/>
      <c r="B14935" s="15"/>
    </row>
    <row r="14936" spans="1:2" x14ac:dyDescent="0.15">
      <c r="A14936" s="15"/>
      <c r="B14936" s="15"/>
    </row>
    <row r="14937" spans="1:2" x14ac:dyDescent="0.15">
      <c r="A14937" s="15"/>
      <c r="B14937" s="15"/>
    </row>
    <row r="14938" spans="1:2" x14ac:dyDescent="0.15">
      <c r="A14938" s="15"/>
      <c r="B14938" s="15"/>
    </row>
    <row r="14939" spans="1:2" x14ac:dyDescent="0.15">
      <c r="A14939" s="15"/>
      <c r="B14939" s="15"/>
    </row>
    <row r="14940" spans="1:2" x14ac:dyDescent="0.15">
      <c r="A14940" s="15"/>
      <c r="B14940" s="15"/>
    </row>
    <row r="14941" spans="1:2" x14ac:dyDescent="0.15">
      <c r="A14941" s="15"/>
      <c r="B14941" s="15"/>
    </row>
    <row r="14942" spans="1:2" x14ac:dyDescent="0.15">
      <c r="A14942" s="15"/>
      <c r="B14942" s="15"/>
    </row>
    <row r="14943" spans="1:2" x14ac:dyDescent="0.15">
      <c r="A14943" s="15"/>
      <c r="B14943" s="15"/>
    </row>
    <row r="14944" spans="1:2" x14ac:dyDescent="0.15">
      <c r="A14944" s="15"/>
      <c r="B14944" s="15"/>
    </row>
    <row r="14945" spans="1:2" x14ac:dyDescent="0.15">
      <c r="A14945" s="15"/>
      <c r="B14945" s="15"/>
    </row>
    <row r="14946" spans="1:2" x14ac:dyDescent="0.15">
      <c r="A14946" s="15"/>
      <c r="B14946" s="15"/>
    </row>
    <row r="14947" spans="1:2" x14ac:dyDescent="0.15">
      <c r="A14947" s="15"/>
      <c r="B14947" s="15"/>
    </row>
    <row r="14948" spans="1:2" x14ac:dyDescent="0.15">
      <c r="A14948" s="15"/>
      <c r="B14948" s="15"/>
    </row>
    <row r="14949" spans="1:2" x14ac:dyDescent="0.15">
      <c r="A14949" s="15"/>
      <c r="B14949" s="15"/>
    </row>
    <row r="14950" spans="1:2" x14ac:dyDescent="0.15">
      <c r="A14950" s="15"/>
      <c r="B14950" s="15"/>
    </row>
    <row r="14951" spans="1:2" x14ac:dyDescent="0.15">
      <c r="A14951" s="15"/>
      <c r="B14951" s="15"/>
    </row>
    <row r="14952" spans="1:2" x14ac:dyDescent="0.15">
      <c r="A14952" s="15"/>
      <c r="B14952" s="15"/>
    </row>
    <row r="14953" spans="1:2" x14ac:dyDescent="0.15">
      <c r="A14953" s="15"/>
      <c r="B14953" s="15"/>
    </row>
    <row r="14954" spans="1:2" x14ac:dyDescent="0.15">
      <c r="A14954" s="15"/>
      <c r="B14954" s="15"/>
    </row>
    <row r="14955" spans="1:2" x14ac:dyDescent="0.15">
      <c r="A14955" s="15"/>
      <c r="B14955" s="15"/>
    </row>
    <row r="14956" spans="1:2" x14ac:dyDescent="0.15">
      <c r="A14956" s="15"/>
      <c r="B14956" s="15"/>
    </row>
    <row r="14957" spans="1:2" x14ac:dyDescent="0.15">
      <c r="A14957" s="15"/>
      <c r="B14957" s="15"/>
    </row>
    <row r="14958" spans="1:2" x14ac:dyDescent="0.15">
      <c r="A14958" s="15"/>
      <c r="B14958" s="15"/>
    </row>
    <row r="14959" spans="1:2" x14ac:dyDescent="0.15">
      <c r="A14959" s="15"/>
      <c r="B14959" s="15"/>
    </row>
    <row r="14960" spans="1:2" x14ac:dyDescent="0.15">
      <c r="A14960" s="15"/>
      <c r="B14960" s="15"/>
    </row>
    <row r="14961" spans="1:2" x14ac:dyDescent="0.15">
      <c r="A14961" s="15"/>
      <c r="B14961" s="15"/>
    </row>
    <row r="14962" spans="1:2" x14ac:dyDescent="0.15">
      <c r="A14962" s="15"/>
      <c r="B14962" s="15"/>
    </row>
    <row r="14963" spans="1:2" x14ac:dyDescent="0.15">
      <c r="A14963" s="15"/>
      <c r="B14963" s="15"/>
    </row>
    <row r="14964" spans="1:2" x14ac:dyDescent="0.15">
      <c r="A14964" s="15"/>
      <c r="B14964" s="15"/>
    </row>
    <row r="14965" spans="1:2" x14ac:dyDescent="0.15">
      <c r="A14965" s="15"/>
      <c r="B14965" s="15"/>
    </row>
    <row r="14966" spans="1:2" x14ac:dyDescent="0.15">
      <c r="A14966" s="15"/>
      <c r="B14966" s="15"/>
    </row>
    <row r="14967" spans="1:2" x14ac:dyDescent="0.15">
      <c r="A14967" s="15"/>
      <c r="B14967" s="15"/>
    </row>
    <row r="14968" spans="1:2" x14ac:dyDescent="0.15">
      <c r="A14968" s="15"/>
      <c r="B14968" s="15"/>
    </row>
    <row r="14969" spans="1:2" x14ac:dyDescent="0.15">
      <c r="A14969" s="15"/>
      <c r="B14969" s="15"/>
    </row>
    <row r="14970" spans="1:2" x14ac:dyDescent="0.15">
      <c r="A14970" s="15"/>
      <c r="B14970" s="15"/>
    </row>
    <row r="14971" spans="1:2" x14ac:dyDescent="0.15">
      <c r="A14971" s="15"/>
      <c r="B14971" s="15"/>
    </row>
    <row r="14972" spans="1:2" x14ac:dyDescent="0.15">
      <c r="A14972" s="15"/>
      <c r="B14972" s="15"/>
    </row>
    <row r="14973" spans="1:2" x14ac:dyDescent="0.15">
      <c r="A14973" s="15"/>
      <c r="B14973" s="15"/>
    </row>
    <row r="14974" spans="1:2" x14ac:dyDescent="0.15">
      <c r="A14974" s="15"/>
      <c r="B14974" s="15"/>
    </row>
    <row r="14975" spans="1:2" x14ac:dyDescent="0.15">
      <c r="A14975" s="15"/>
      <c r="B14975" s="15"/>
    </row>
    <row r="14976" spans="1:2" x14ac:dyDescent="0.15">
      <c r="A14976" s="15"/>
      <c r="B14976" s="15"/>
    </row>
    <row r="14977" spans="1:2" x14ac:dyDescent="0.15">
      <c r="A14977" s="15"/>
      <c r="B14977" s="15"/>
    </row>
    <row r="14978" spans="1:2" x14ac:dyDescent="0.15">
      <c r="A14978" s="15"/>
      <c r="B14978" s="15"/>
    </row>
    <row r="14979" spans="1:2" x14ac:dyDescent="0.15">
      <c r="A14979" s="15"/>
      <c r="B14979" s="15"/>
    </row>
    <row r="14980" spans="1:2" x14ac:dyDescent="0.15">
      <c r="A14980" s="15"/>
      <c r="B14980" s="15"/>
    </row>
    <row r="14981" spans="1:2" x14ac:dyDescent="0.15">
      <c r="A14981" s="15"/>
      <c r="B14981" s="15"/>
    </row>
    <row r="14982" spans="1:2" x14ac:dyDescent="0.15">
      <c r="A14982" s="15"/>
      <c r="B14982" s="15"/>
    </row>
    <row r="14983" spans="1:2" x14ac:dyDescent="0.15">
      <c r="A14983" s="15"/>
      <c r="B14983" s="15"/>
    </row>
    <row r="14984" spans="1:2" x14ac:dyDescent="0.15">
      <c r="A14984" s="15"/>
      <c r="B14984" s="15"/>
    </row>
    <row r="14985" spans="1:2" x14ac:dyDescent="0.15">
      <c r="A14985" s="15"/>
      <c r="B14985" s="15"/>
    </row>
    <row r="14986" spans="1:2" x14ac:dyDescent="0.15">
      <c r="A14986" s="15"/>
      <c r="B14986" s="15"/>
    </row>
    <row r="14987" spans="1:2" x14ac:dyDescent="0.15">
      <c r="A14987" s="15"/>
      <c r="B14987" s="15"/>
    </row>
    <row r="14988" spans="1:2" x14ac:dyDescent="0.15">
      <c r="A14988" s="15"/>
      <c r="B14988" s="15"/>
    </row>
    <row r="14989" spans="1:2" x14ac:dyDescent="0.15">
      <c r="A14989" s="15"/>
      <c r="B14989" s="15"/>
    </row>
    <row r="14990" spans="1:2" x14ac:dyDescent="0.15">
      <c r="A14990" s="15"/>
      <c r="B14990" s="15"/>
    </row>
    <row r="14991" spans="1:2" x14ac:dyDescent="0.15">
      <c r="A14991" s="15"/>
      <c r="B14991" s="15"/>
    </row>
    <row r="14992" spans="1:2" x14ac:dyDescent="0.15">
      <c r="A14992" s="15"/>
      <c r="B14992" s="15"/>
    </row>
    <row r="14993" spans="1:2" x14ac:dyDescent="0.15">
      <c r="A14993" s="15"/>
      <c r="B14993" s="15"/>
    </row>
    <row r="14994" spans="1:2" x14ac:dyDescent="0.15">
      <c r="A14994" s="15"/>
      <c r="B14994" s="15"/>
    </row>
    <row r="14995" spans="1:2" x14ac:dyDescent="0.15">
      <c r="A14995" s="15"/>
      <c r="B14995" s="15"/>
    </row>
    <row r="14996" spans="1:2" x14ac:dyDescent="0.15">
      <c r="A14996" s="15"/>
      <c r="B14996" s="15"/>
    </row>
    <row r="14997" spans="1:2" x14ac:dyDescent="0.15">
      <c r="A14997" s="15"/>
      <c r="B14997" s="15"/>
    </row>
    <row r="14998" spans="1:2" x14ac:dyDescent="0.15">
      <c r="A14998" s="15"/>
      <c r="B14998" s="15"/>
    </row>
    <row r="14999" spans="1:2" x14ac:dyDescent="0.15">
      <c r="A14999" s="15"/>
      <c r="B14999" s="15"/>
    </row>
    <row r="15000" spans="1:2" x14ac:dyDescent="0.15">
      <c r="A15000" s="15"/>
      <c r="B15000" s="15"/>
    </row>
    <row r="15001" spans="1:2" x14ac:dyDescent="0.15">
      <c r="A15001" s="15"/>
      <c r="B15001" s="15"/>
    </row>
    <row r="15002" spans="1:2" x14ac:dyDescent="0.15">
      <c r="A15002" s="15"/>
      <c r="B15002" s="15"/>
    </row>
    <row r="15003" spans="1:2" x14ac:dyDescent="0.15">
      <c r="A15003" s="15"/>
      <c r="B15003" s="15"/>
    </row>
    <row r="15004" spans="1:2" x14ac:dyDescent="0.15">
      <c r="A15004" s="15"/>
      <c r="B15004" s="15"/>
    </row>
    <row r="15005" spans="1:2" x14ac:dyDescent="0.15">
      <c r="A15005" s="15"/>
      <c r="B15005" s="15"/>
    </row>
    <row r="15006" spans="1:2" x14ac:dyDescent="0.15">
      <c r="A15006" s="15"/>
      <c r="B15006" s="15"/>
    </row>
    <row r="15007" spans="1:2" x14ac:dyDescent="0.15">
      <c r="A15007" s="15"/>
      <c r="B15007" s="15"/>
    </row>
    <row r="15008" spans="1:2" x14ac:dyDescent="0.15">
      <c r="A15008" s="15"/>
      <c r="B15008" s="15"/>
    </row>
    <row r="15009" spans="1:2" x14ac:dyDescent="0.15">
      <c r="A15009" s="15"/>
      <c r="B15009" s="15"/>
    </row>
    <row r="15010" spans="1:2" x14ac:dyDescent="0.15">
      <c r="A15010" s="15"/>
      <c r="B15010" s="15"/>
    </row>
    <row r="15011" spans="1:2" x14ac:dyDescent="0.15">
      <c r="A15011" s="15"/>
      <c r="B15011" s="15"/>
    </row>
    <row r="15012" spans="1:2" x14ac:dyDescent="0.15">
      <c r="A15012" s="15"/>
      <c r="B15012" s="15"/>
    </row>
    <row r="15013" spans="1:2" x14ac:dyDescent="0.15">
      <c r="A15013" s="15"/>
      <c r="B15013" s="15"/>
    </row>
    <row r="15014" spans="1:2" x14ac:dyDescent="0.15">
      <c r="A15014" s="15"/>
      <c r="B15014" s="15"/>
    </row>
    <row r="15015" spans="1:2" x14ac:dyDescent="0.15">
      <c r="A15015" s="15"/>
      <c r="B15015" s="15"/>
    </row>
    <row r="15016" spans="1:2" x14ac:dyDescent="0.15">
      <c r="A15016" s="15"/>
      <c r="B15016" s="15"/>
    </row>
    <row r="15017" spans="1:2" x14ac:dyDescent="0.15">
      <c r="A15017" s="15"/>
      <c r="B15017" s="15"/>
    </row>
    <row r="15018" spans="1:2" x14ac:dyDescent="0.15">
      <c r="A15018" s="15"/>
      <c r="B15018" s="15"/>
    </row>
    <row r="15019" spans="1:2" x14ac:dyDescent="0.15">
      <c r="A15019" s="15"/>
      <c r="B15019" s="15"/>
    </row>
    <row r="15020" spans="1:2" x14ac:dyDescent="0.15">
      <c r="A15020" s="15"/>
      <c r="B15020" s="15"/>
    </row>
    <row r="15021" spans="1:2" x14ac:dyDescent="0.15">
      <c r="A15021" s="15"/>
      <c r="B15021" s="15"/>
    </row>
    <row r="15022" spans="1:2" x14ac:dyDescent="0.15">
      <c r="A15022" s="15"/>
      <c r="B15022" s="15"/>
    </row>
    <row r="15023" spans="1:2" x14ac:dyDescent="0.15">
      <c r="A15023" s="15"/>
      <c r="B15023" s="15"/>
    </row>
    <row r="15024" spans="1:2" x14ac:dyDescent="0.15">
      <c r="A15024" s="15"/>
      <c r="B15024" s="15"/>
    </row>
    <row r="15025" spans="1:2" x14ac:dyDescent="0.15">
      <c r="A15025" s="15"/>
      <c r="B15025" s="15"/>
    </row>
    <row r="15026" spans="1:2" x14ac:dyDescent="0.15">
      <c r="A15026" s="15"/>
      <c r="B15026" s="15"/>
    </row>
    <row r="15027" spans="1:2" x14ac:dyDescent="0.15">
      <c r="A15027" s="15"/>
      <c r="B15027" s="15"/>
    </row>
    <row r="15028" spans="1:2" x14ac:dyDescent="0.15">
      <c r="A15028" s="15"/>
      <c r="B15028" s="15"/>
    </row>
    <row r="15029" spans="1:2" x14ac:dyDescent="0.15">
      <c r="A15029" s="15"/>
      <c r="B15029" s="15"/>
    </row>
    <row r="15030" spans="1:2" x14ac:dyDescent="0.15">
      <c r="A15030" s="15"/>
      <c r="B15030" s="15"/>
    </row>
    <row r="15031" spans="1:2" x14ac:dyDescent="0.15">
      <c r="A15031" s="15"/>
      <c r="B15031" s="15"/>
    </row>
    <row r="15032" spans="1:2" x14ac:dyDescent="0.15">
      <c r="A15032" s="15"/>
      <c r="B15032" s="15"/>
    </row>
    <row r="15033" spans="1:2" x14ac:dyDescent="0.15">
      <c r="A15033" s="15"/>
      <c r="B15033" s="15"/>
    </row>
    <row r="15034" spans="1:2" x14ac:dyDescent="0.15">
      <c r="A15034" s="15"/>
      <c r="B15034" s="15"/>
    </row>
    <row r="15035" spans="1:2" x14ac:dyDescent="0.15">
      <c r="A15035" s="15"/>
      <c r="B15035" s="15"/>
    </row>
    <row r="15036" spans="1:2" x14ac:dyDescent="0.15">
      <c r="A15036" s="15"/>
      <c r="B15036" s="15"/>
    </row>
    <row r="15037" spans="1:2" x14ac:dyDescent="0.15">
      <c r="A15037" s="15"/>
      <c r="B15037" s="15"/>
    </row>
    <row r="15038" spans="1:2" x14ac:dyDescent="0.15">
      <c r="A15038" s="15"/>
      <c r="B15038" s="15"/>
    </row>
    <row r="15039" spans="1:2" x14ac:dyDescent="0.15">
      <c r="A15039" s="15"/>
      <c r="B15039" s="15"/>
    </row>
    <row r="15040" spans="1:2" x14ac:dyDescent="0.15">
      <c r="A15040" s="15"/>
      <c r="B15040" s="15"/>
    </row>
    <row r="15041" spans="1:2" x14ac:dyDescent="0.15">
      <c r="A15041" s="15"/>
      <c r="B15041" s="15"/>
    </row>
    <row r="15042" spans="1:2" x14ac:dyDescent="0.15">
      <c r="A15042" s="15"/>
      <c r="B15042" s="15"/>
    </row>
    <row r="15043" spans="1:2" x14ac:dyDescent="0.15">
      <c r="A15043" s="15"/>
      <c r="B15043" s="15"/>
    </row>
    <row r="15044" spans="1:2" x14ac:dyDescent="0.15">
      <c r="A15044" s="15"/>
      <c r="B15044" s="15"/>
    </row>
    <row r="15045" spans="1:2" x14ac:dyDescent="0.15">
      <c r="A15045" s="15"/>
      <c r="B15045" s="15"/>
    </row>
    <row r="15046" spans="1:2" x14ac:dyDescent="0.15">
      <c r="A15046" s="15"/>
      <c r="B15046" s="15"/>
    </row>
    <row r="15047" spans="1:2" x14ac:dyDescent="0.15">
      <c r="A15047" s="15"/>
      <c r="B15047" s="15"/>
    </row>
    <row r="15048" spans="1:2" x14ac:dyDescent="0.15">
      <c r="A15048" s="15"/>
      <c r="B15048" s="15"/>
    </row>
    <row r="15049" spans="1:2" x14ac:dyDescent="0.15">
      <c r="A15049" s="15"/>
      <c r="B15049" s="15"/>
    </row>
    <row r="15050" spans="1:2" x14ac:dyDescent="0.15">
      <c r="A15050" s="15"/>
      <c r="B15050" s="15"/>
    </row>
    <row r="15051" spans="1:2" x14ac:dyDescent="0.15">
      <c r="A15051" s="15"/>
      <c r="B15051" s="15"/>
    </row>
    <row r="15052" spans="1:2" x14ac:dyDescent="0.15">
      <c r="A15052" s="15"/>
      <c r="B15052" s="15"/>
    </row>
    <row r="15053" spans="1:2" x14ac:dyDescent="0.15">
      <c r="A15053" s="15"/>
      <c r="B15053" s="15"/>
    </row>
    <row r="15054" spans="1:2" x14ac:dyDescent="0.15">
      <c r="A15054" s="15"/>
      <c r="B15054" s="15"/>
    </row>
    <row r="15055" spans="1:2" x14ac:dyDescent="0.15">
      <c r="A15055" s="15"/>
      <c r="B15055" s="15"/>
    </row>
    <row r="15056" spans="1:2" x14ac:dyDescent="0.15">
      <c r="A15056" s="15"/>
      <c r="B15056" s="15"/>
    </row>
    <row r="15057" spans="1:2" x14ac:dyDescent="0.15">
      <c r="A15057" s="15"/>
      <c r="B15057" s="15"/>
    </row>
    <row r="15058" spans="1:2" x14ac:dyDescent="0.15">
      <c r="A15058" s="15"/>
      <c r="B15058" s="15"/>
    </row>
    <row r="15059" spans="1:2" x14ac:dyDescent="0.15">
      <c r="A15059" s="15"/>
      <c r="B15059" s="15"/>
    </row>
    <row r="15060" spans="1:2" x14ac:dyDescent="0.15">
      <c r="A15060" s="15"/>
      <c r="B15060" s="15"/>
    </row>
    <row r="15061" spans="1:2" x14ac:dyDescent="0.15">
      <c r="A15061" s="15"/>
      <c r="B15061" s="15"/>
    </row>
    <row r="15062" spans="1:2" x14ac:dyDescent="0.15">
      <c r="A15062" s="15"/>
      <c r="B15062" s="15"/>
    </row>
    <row r="15063" spans="1:2" x14ac:dyDescent="0.15">
      <c r="A15063" s="15"/>
      <c r="B15063" s="15"/>
    </row>
    <row r="15064" spans="1:2" x14ac:dyDescent="0.15">
      <c r="A15064" s="15"/>
      <c r="B15064" s="15"/>
    </row>
    <row r="15065" spans="1:2" x14ac:dyDescent="0.15">
      <c r="A15065" s="15"/>
      <c r="B15065" s="15"/>
    </row>
    <row r="15066" spans="1:2" x14ac:dyDescent="0.15">
      <c r="A15066" s="15"/>
      <c r="B15066" s="15"/>
    </row>
    <row r="15067" spans="1:2" x14ac:dyDescent="0.15">
      <c r="A15067" s="15"/>
      <c r="B15067" s="15"/>
    </row>
    <row r="15068" spans="1:2" x14ac:dyDescent="0.15">
      <c r="A15068" s="15"/>
      <c r="B15068" s="15"/>
    </row>
    <row r="15069" spans="1:2" x14ac:dyDescent="0.15">
      <c r="A15069" s="15"/>
      <c r="B15069" s="15"/>
    </row>
    <row r="15070" spans="1:2" x14ac:dyDescent="0.15">
      <c r="A15070" s="15"/>
      <c r="B15070" s="15"/>
    </row>
    <row r="15071" spans="1:2" x14ac:dyDescent="0.15">
      <c r="A15071" s="15"/>
      <c r="B15071" s="15"/>
    </row>
    <row r="15072" spans="1:2" x14ac:dyDescent="0.15">
      <c r="A15072" s="15"/>
      <c r="B15072" s="15"/>
    </row>
    <row r="15073" spans="1:2" x14ac:dyDescent="0.15">
      <c r="A15073" s="15"/>
      <c r="B15073" s="15"/>
    </row>
    <row r="15074" spans="1:2" x14ac:dyDescent="0.15">
      <c r="A15074" s="15"/>
      <c r="B15074" s="15"/>
    </row>
    <row r="15075" spans="1:2" x14ac:dyDescent="0.15">
      <c r="A15075" s="15"/>
      <c r="B15075" s="15"/>
    </row>
    <row r="15076" spans="1:2" x14ac:dyDescent="0.15">
      <c r="A15076" s="15"/>
      <c r="B15076" s="15"/>
    </row>
    <row r="15077" spans="1:2" x14ac:dyDescent="0.15">
      <c r="A15077" s="15"/>
      <c r="B15077" s="15"/>
    </row>
    <row r="15078" spans="1:2" x14ac:dyDescent="0.15">
      <c r="A15078" s="15"/>
      <c r="B15078" s="15"/>
    </row>
    <row r="15079" spans="1:2" x14ac:dyDescent="0.15">
      <c r="A15079" s="15"/>
      <c r="B15079" s="15"/>
    </row>
    <row r="15080" spans="1:2" x14ac:dyDescent="0.15">
      <c r="A15080" s="15"/>
      <c r="B15080" s="15"/>
    </row>
    <row r="15081" spans="1:2" x14ac:dyDescent="0.15">
      <c r="A15081" s="15"/>
      <c r="B15081" s="15"/>
    </row>
    <row r="15082" spans="1:2" x14ac:dyDescent="0.15">
      <c r="A15082" s="15"/>
      <c r="B15082" s="15"/>
    </row>
    <row r="15083" spans="1:2" x14ac:dyDescent="0.15">
      <c r="A15083" s="15"/>
      <c r="B15083" s="15"/>
    </row>
    <row r="15084" spans="1:2" x14ac:dyDescent="0.15">
      <c r="A15084" s="15"/>
      <c r="B15084" s="15"/>
    </row>
    <row r="15085" spans="1:2" x14ac:dyDescent="0.15">
      <c r="A15085" s="15"/>
      <c r="B15085" s="15"/>
    </row>
    <row r="15086" spans="1:2" x14ac:dyDescent="0.15">
      <c r="A15086" s="15"/>
      <c r="B15086" s="15"/>
    </row>
    <row r="15087" spans="1:2" x14ac:dyDescent="0.15">
      <c r="A15087" s="15"/>
      <c r="B15087" s="15"/>
    </row>
    <row r="15088" spans="1:2" x14ac:dyDescent="0.15">
      <c r="A15088" s="15"/>
      <c r="B15088" s="15"/>
    </row>
    <row r="15089" spans="1:2" x14ac:dyDescent="0.15">
      <c r="A15089" s="15"/>
      <c r="B15089" s="15"/>
    </row>
    <row r="15090" spans="1:2" x14ac:dyDescent="0.15">
      <c r="A15090" s="15"/>
      <c r="B15090" s="15"/>
    </row>
    <row r="15091" spans="1:2" x14ac:dyDescent="0.15">
      <c r="A15091" s="15"/>
      <c r="B15091" s="15"/>
    </row>
    <row r="15092" spans="1:2" x14ac:dyDescent="0.15">
      <c r="A15092" s="15"/>
      <c r="B15092" s="15"/>
    </row>
    <row r="15093" spans="1:2" x14ac:dyDescent="0.15">
      <c r="A15093" s="15"/>
      <c r="B15093" s="15"/>
    </row>
    <row r="15094" spans="1:2" x14ac:dyDescent="0.15">
      <c r="A15094" s="15"/>
      <c r="B15094" s="15"/>
    </row>
    <row r="15095" spans="1:2" x14ac:dyDescent="0.15">
      <c r="A15095" s="15"/>
      <c r="B15095" s="15"/>
    </row>
    <row r="15096" spans="1:2" x14ac:dyDescent="0.15">
      <c r="A15096" s="15"/>
      <c r="B15096" s="15"/>
    </row>
    <row r="15097" spans="1:2" x14ac:dyDescent="0.15">
      <c r="A15097" s="15"/>
      <c r="B15097" s="15"/>
    </row>
    <row r="15098" spans="1:2" x14ac:dyDescent="0.15">
      <c r="A15098" s="15"/>
      <c r="B15098" s="15"/>
    </row>
    <row r="15099" spans="1:2" x14ac:dyDescent="0.15">
      <c r="A15099" s="15"/>
      <c r="B15099" s="15"/>
    </row>
    <row r="15100" spans="1:2" x14ac:dyDescent="0.15">
      <c r="A15100" s="15"/>
      <c r="B15100" s="15"/>
    </row>
    <row r="15101" spans="1:2" x14ac:dyDescent="0.15">
      <c r="A15101" s="15"/>
      <c r="B15101" s="15"/>
    </row>
    <row r="15102" spans="1:2" x14ac:dyDescent="0.15">
      <c r="A15102" s="15"/>
      <c r="B15102" s="15"/>
    </row>
    <row r="15103" spans="1:2" x14ac:dyDescent="0.15">
      <c r="A15103" s="15"/>
      <c r="B15103" s="15"/>
    </row>
    <row r="15104" spans="1:2" x14ac:dyDescent="0.15">
      <c r="A15104" s="15"/>
      <c r="B15104" s="15"/>
    </row>
    <row r="15105" spans="1:2" x14ac:dyDescent="0.15">
      <c r="A15105" s="15"/>
      <c r="B15105" s="15"/>
    </row>
    <row r="15106" spans="1:2" x14ac:dyDescent="0.15">
      <c r="A15106" s="15"/>
      <c r="B15106" s="15"/>
    </row>
    <row r="15107" spans="1:2" x14ac:dyDescent="0.15">
      <c r="A15107" s="15"/>
      <c r="B15107" s="15"/>
    </row>
    <row r="15108" spans="1:2" x14ac:dyDescent="0.15">
      <c r="A15108" s="15"/>
      <c r="B15108" s="15"/>
    </row>
    <row r="15109" spans="1:2" x14ac:dyDescent="0.15">
      <c r="A15109" s="15"/>
      <c r="B15109" s="15"/>
    </row>
    <row r="15110" spans="1:2" x14ac:dyDescent="0.15">
      <c r="A15110" s="15"/>
      <c r="B15110" s="15"/>
    </row>
    <row r="15111" spans="1:2" x14ac:dyDescent="0.15">
      <c r="A15111" s="15"/>
      <c r="B15111" s="15"/>
    </row>
    <row r="15112" spans="1:2" x14ac:dyDescent="0.15">
      <c r="A15112" s="15"/>
      <c r="B15112" s="15"/>
    </row>
    <row r="15113" spans="1:2" x14ac:dyDescent="0.15">
      <c r="A15113" s="15"/>
      <c r="B15113" s="15"/>
    </row>
    <row r="15114" spans="1:2" x14ac:dyDescent="0.15">
      <c r="A15114" s="15"/>
      <c r="B15114" s="15"/>
    </row>
    <row r="15115" spans="1:2" x14ac:dyDescent="0.15">
      <c r="A15115" s="15"/>
      <c r="B15115" s="15"/>
    </row>
    <row r="15116" spans="1:2" x14ac:dyDescent="0.15">
      <c r="A15116" s="15"/>
      <c r="B15116" s="15"/>
    </row>
    <row r="15117" spans="1:2" x14ac:dyDescent="0.15">
      <c r="A15117" s="15"/>
      <c r="B15117" s="15"/>
    </row>
    <row r="15118" spans="1:2" x14ac:dyDescent="0.15">
      <c r="A15118" s="15"/>
      <c r="B15118" s="15"/>
    </row>
    <row r="15119" spans="1:2" x14ac:dyDescent="0.15">
      <c r="A15119" s="15"/>
      <c r="B15119" s="15"/>
    </row>
    <row r="15120" spans="1:2" x14ac:dyDescent="0.15">
      <c r="A15120" s="15"/>
      <c r="B15120" s="15"/>
    </row>
    <row r="15121" spans="1:2" x14ac:dyDescent="0.15">
      <c r="A15121" s="15"/>
      <c r="B15121" s="15"/>
    </row>
    <row r="15122" spans="1:2" x14ac:dyDescent="0.15">
      <c r="A15122" s="15"/>
      <c r="B15122" s="15"/>
    </row>
    <row r="15123" spans="1:2" x14ac:dyDescent="0.15">
      <c r="A15123" s="15"/>
      <c r="B15123" s="15"/>
    </row>
    <row r="15124" spans="1:2" x14ac:dyDescent="0.15">
      <c r="A15124" s="15"/>
      <c r="B15124" s="15"/>
    </row>
    <row r="15125" spans="1:2" x14ac:dyDescent="0.15">
      <c r="A15125" s="15"/>
      <c r="B15125" s="15"/>
    </row>
    <row r="15126" spans="1:2" x14ac:dyDescent="0.15">
      <c r="A15126" s="15"/>
      <c r="B15126" s="15"/>
    </row>
    <row r="15127" spans="1:2" x14ac:dyDescent="0.15">
      <c r="A15127" s="15"/>
      <c r="B15127" s="15"/>
    </row>
    <row r="15128" spans="1:2" x14ac:dyDescent="0.15">
      <c r="A15128" s="15"/>
      <c r="B15128" s="15"/>
    </row>
    <row r="15129" spans="1:2" x14ac:dyDescent="0.15">
      <c r="A15129" s="15"/>
      <c r="B15129" s="15"/>
    </row>
    <row r="15130" spans="1:2" x14ac:dyDescent="0.15">
      <c r="A15130" s="15"/>
      <c r="B15130" s="15"/>
    </row>
    <row r="15131" spans="1:2" x14ac:dyDescent="0.15">
      <c r="A15131" s="15"/>
      <c r="B15131" s="15"/>
    </row>
    <row r="15132" spans="1:2" x14ac:dyDescent="0.15">
      <c r="A15132" s="15"/>
      <c r="B15132" s="15"/>
    </row>
    <row r="15133" spans="1:2" x14ac:dyDescent="0.15">
      <c r="A15133" s="15"/>
      <c r="B15133" s="15"/>
    </row>
    <row r="15134" spans="1:2" x14ac:dyDescent="0.15">
      <c r="A15134" s="15"/>
      <c r="B15134" s="15"/>
    </row>
    <row r="15135" spans="1:2" x14ac:dyDescent="0.15">
      <c r="A15135" s="15"/>
      <c r="B15135" s="15"/>
    </row>
    <row r="15136" spans="1:2" x14ac:dyDescent="0.15">
      <c r="A15136" s="15"/>
      <c r="B15136" s="15"/>
    </row>
    <row r="15137" spans="1:2" x14ac:dyDescent="0.15">
      <c r="A15137" s="15"/>
      <c r="B15137" s="15"/>
    </row>
    <row r="15138" spans="1:2" x14ac:dyDescent="0.15">
      <c r="A15138" s="15"/>
      <c r="B15138" s="15"/>
    </row>
    <row r="15139" spans="1:2" x14ac:dyDescent="0.15">
      <c r="A15139" s="15"/>
      <c r="B15139" s="15"/>
    </row>
    <row r="15140" spans="1:2" x14ac:dyDescent="0.15">
      <c r="A15140" s="15"/>
      <c r="B15140" s="15"/>
    </row>
    <row r="15141" spans="1:2" x14ac:dyDescent="0.15">
      <c r="A15141" s="15"/>
      <c r="B15141" s="15"/>
    </row>
    <row r="15142" spans="1:2" x14ac:dyDescent="0.15">
      <c r="A15142" s="15"/>
      <c r="B15142" s="15"/>
    </row>
    <row r="15143" spans="1:2" x14ac:dyDescent="0.15">
      <c r="A15143" s="15"/>
      <c r="B15143" s="15"/>
    </row>
    <row r="15144" spans="1:2" x14ac:dyDescent="0.15">
      <c r="A15144" s="15"/>
      <c r="B15144" s="15"/>
    </row>
    <row r="15145" spans="1:2" x14ac:dyDescent="0.15">
      <c r="A15145" s="15"/>
      <c r="B15145" s="15"/>
    </row>
    <row r="15146" spans="1:2" x14ac:dyDescent="0.15">
      <c r="A15146" s="15"/>
      <c r="B15146" s="15"/>
    </row>
    <row r="15147" spans="1:2" x14ac:dyDescent="0.15">
      <c r="A15147" s="15"/>
      <c r="B15147" s="15"/>
    </row>
    <row r="15148" spans="1:2" x14ac:dyDescent="0.15">
      <c r="A15148" s="15"/>
      <c r="B15148" s="15"/>
    </row>
    <row r="15149" spans="1:2" x14ac:dyDescent="0.15">
      <c r="A15149" s="15"/>
      <c r="B15149" s="15"/>
    </row>
    <row r="15150" spans="1:2" x14ac:dyDescent="0.15">
      <c r="A15150" s="15"/>
      <c r="B15150" s="15"/>
    </row>
    <row r="15151" spans="1:2" x14ac:dyDescent="0.15">
      <c r="A15151" s="15"/>
      <c r="B15151" s="15"/>
    </row>
    <row r="15152" spans="1:2" x14ac:dyDescent="0.15">
      <c r="A15152" s="15"/>
      <c r="B15152" s="15"/>
    </row>
    <row r="15153" spans="1:2" x14ac:dyDescent="0.15">
      <c r="A15153" s="15"/>
      <c r="B15153" s="15"/>
    </row>
    <row r="15154" spans="1:2" x14ac:dyDescent="0.15">
      <c r="A15154" s="15"/>
      <c r="B15154" s="15"/>
    </row>
    <row r="15155" spans="1:2" x14ac:dyDescent="0.15">
      <c r="A15155" s="15"/>
      <c r="B15155" s="15"/>
    </row>
    <row r="15156" spans="1:2" x14ac:dyDescent="0.15">
      <c r="A15156" s="15"/>
      <c r="B15156" s="15"/>
    </row>
    <row r="15157" spans="1:2" x14ac:dyDescent="0.15">
      <c r="A15157" s="15"/>
      <c r="B15157" s="15"/>
    </row>
    <row r="15158" spans="1:2" x14ac:dyDescent="0.15">
      <c r="A15158" s="15"/>
      <c r="B15158" s="15"/>
    </row>
    <row r="15159" spans="1:2" x14ac:dyDescent="0.15">
      <c r="A15159" s="15"/>
      <c r="B15159" s="15"/>
    </row>
    <row r="15160" spans="1:2" x14ac:dyDescent="0.15">
      <c r="A15160" s="15"/>
      <c r="B15160" s="15"/>
    </row>
    <row r="15161" spans="1:2" x14ac:dyDescent="0.15">
      <c r="A15161" s="15"/>
      <c r="B15161" s="15"/>
    </row>
    <row r="15162" spans="1:2" x14ac:dyDescent="0.15">
      <c r="A15162" s="15"/>
      <c r="B15162" s="15"/>
    </row>
    <row r="15163" spans="1:2" x14ac:dyDescent="0.15">
      <c r="A15163" s="15"/>
      <c r="B15163" s="15"/>
    </row>
    <row r="15164" spans="1:2" x14ac:dyDescent="0.15">
      <c r="A15164" s="15"/>
      <c r="B15164" s="15"/>
    </row>
    <row r="15165" spans="1:2" x14ac:dyDescent="0.15">
      <c r="A15165" s="15"/>
      <c r="B15165" s="15"/>
    </row>
    <row r="15166" spans="1:2" x14ac:dyDescent="0.15">
      <c r="A15166" s="15"/>
      <c r="B15166" s="15"/>
    </row>
    <row r="15167" spans="1:2" x14ac:dyDescent="0.15">
      <c r="A15167" s="15"/>
      <c r="B15167" s="15"/>
    </row>
    <row r="15168" spans="1:2" x14ac:dyDescent="0.15">
      <c r="A15168" s="15"/>
      <c r="B15168" s="15"/>
    </row>
    <row r="15169" spans="1:2" x14ac:dyDescent="0.15">
      <c r="A15169" s="15"/>
      <c r="B15169" s="15"/>
    </row>
    <row r="15170" spans="1:2" x14ac:dyDescent="0.15">
      <c r="A15170" s="15"/>
      <c r="B15170" s="15"/>
    </row>
    <row r="15171" spans="1:2" x14ac:dyDescent="0.15">
      <c r="A15171" s="15"/>
      <c r="B15171" s="15"/>
    </row>
    <row r="15172" spans="1:2" x14ac:dyDescent="0.15">
      <c r="A15172" s="15"/>
      <c r="B15172" s="15"/>
    </row>
    <row r="15173" spans="1:2" x14ac:dyDescent="0.15">
      <c r="A15173" s="15"/>
      <c r="B15173" s="15"/>
    </row>
    <row r="15174" spans="1:2" x14ac:dyDescent="0.15">
      <c r="A15174" s="15"/>
      <c r="B15174" s="15"/>
    </row>
    <row r="15175" spans="1:2" x14ac:dyDescent="0.15">
      <c r="A15175" s="15"/>
      <c r="B15175" s="15"/>
    </row>
    <row r="15176" spans="1:2" x14ac:dyDescent="0.15">
      <c r="A15176" s="15"/>
      <c r="B15176" s="15"/>
    </row>
    <row r="15177" spans="1:2" x14ac:dyDescent="0.15">
      <c r="A15177" s="15"/>
      <c r="B15177" s="15"/>
    </row>
    <row r="15178" spans="1:2" x14ac:dyDescent="0.15">
      <c r="A15178" s="15"/>
      <c r="B15178" s="15"/>
    </row>
    <row r="15179" spans="1:2" x14ac:dyDescent="0.15">
      <c r="A15179" s="15"/>
      <c r="B15179" s="15"/>
    </row>
    <row r="15180" spans="1:2" x14ac:dyDescent="0.15">
      <c r="A15180" s="15"/>
      <c r="B15180" s="15"/>
    </row>
    <row r="15181" spans="1:2" x14ac:dyDescent="0.15">
      <c r="A15181" s="15"/>
      <c r="B15181" s="15"/>
    </row>
    <row r="15182" spans="1:2" x14ac:dyDescent="0.15">
      <c r="A15182" s="15"/>
      <c r="B15182" s="15"/>
    </row>
    <row r="15183" spans="1:2" x14ac:dyDescent="0.15">
      <c r="A15183" s="15"/>
      <c r="B15183" s="15"/>
    </row>
    <row r="15184" spans="1:2" x14ac:dyDescent="0.15">
      <c r="A15184" s="15"/>
      <c r="B15184" s="15"/>
    </row>
    <row r="15185" spans="1:2" x14ac:dyDescent="0.15">
      <c r="A15185" s="15"/>
      <c r="B15185" s="15"/>
    </row>
    <row r="15186" spans="1:2" x14ac:dyDescent="0.15">
      <c r="A15186" s="15"/>
      <c r="B15186" s="15"/>
    </row>
    <row r="15187" spans="1:2" x14ac:dyDescent="0.15">
      <c r="A15187" s="15"/>
      <c r="B15187" s="15"/>
    </row>
    <row r="15188" spans="1:2" x14ac:dyDescent="0.15">
      <c r="A15188" s="15"/>
      <c r="B15188" s="15"/>
    </row>
    <row r="15189" spans="1:2" x14ac:dyDescent="0.15">
      <c r="A15189" s="15"/>
      <c r="B15189" s="15"/>
    </row>
    <row r="15190" spans="1:2" x14ac:dyDescent="0.15">
      <c r="A15190" s="15"/>
      <c r="B15190" s="15"/>
    </row>
    <row r="15191" spans="1:2" x14ac:dyDescent="0.15">
      <c r="A15191" s="15"/>
      <c r="B15191" s="15"/>
    </row>
    <row r="15192" spans="1:2" x14ac:dyDescent="0.15">
      <c r="A15192" s="15"/>
      <c r="B15192" s="15"/>
    </row>
    <row r="15193" spans="1:2" x14ac:dyDescent="0.15">
      <c r="A15193" s="15"/>
      <c r="B15193" s="15"/>
    </row>
    <row r="15194" spans="1:2" x14ac:dyDescent="0.15">
      <c r="A15194" s="15"/>
      <c r="B15194" s="15"/>
    </row>
    <row r="15195" spans="1:2" x14ac:dyDescent="0.15">
      <c r="A15195" s="15"/>
      <c r="B15195" s="15"/>
    </row>
    <row r="15196" spans="1:2" x14ac:dyDescent="0.15">
      <c r="A15196" s="15"/>
      <c r="B15196" s="15"/>
    </row>
    <row r="15197" spans="1:2" x14ac:dyDescent="0.15">
      <c r="A15197" s="15"/>
      <c r="B15197" s="15"/>
    </row>
    <row r="15198" spans="1:2" x14ac:dyDescent="0.15">
      <c r="A15198" s="15"/>
      <c r="B15198" s="15"/>
    </row>
    <row r="15199" spans="1:2" x14ac:dyDescent="0.15">
      <c r="A15199" s="15"/>
      <c r="B15199" s="15"/>
    </row>
    <row r="15200" spans="1:2" x14ac:dyDescent="0.15">
      <c r="A15200" s="15"/>
      <c r="B15200" s="15"/>
    </row>
    <row r="15201" spans="1:2" x14ac:dyDescent="0.15">
      <c r="A15201" s="15"/>
      <c r="B15201" s="15"/>
    </row>
    <row r="15202" spans="1:2" x14ac:dyDescent="0.15">
      <c r="A15202" s="15"/>
      <c r="B15202" s="15"/>
    </row>
    <row r="15203" spans="1:2" x14ac:dyDescent="0.15">
      <c r="A15203" s="15"/>
      <c r="B15203" s="15"/>
    </row>
    <row r="15204" spans="1:2" x14ac:dyDescent="0.15">
      <c r="A15204" s="15"/>
      <c r="B15204" s="15"/>
    </row>
    <row r="15205" spans="1:2" x14ac:dyDescent="0.15">
      <c r="A15205" s="15"/>
      <c r="B15205" s="15"/>
    </row>
    <row r="15206" spans="1:2" x14ac:dyDescent="0.15">
      <c r="A15206" s="15"/>
      <c r="B15206" s="15"/>
    </row>
    <row r="15207" spans="1:2" x14ac:dyDescent="0.15">
      <c r="A15207" s="15"/>
      <c r="B15207" s="15"/>
    </row>
    <row r="15208" spans="1:2" x14ac:dyDescent="0.15">
      <c r="A15208" s="15"/>
      <c r="B15208" s="15"/>
    </row>
    <row r="15209" spans="1:2" x14ac:dyDescent="0.15">
      <c r="A15209" s="15"/>
      <c r="B15209" s="15"/>
    </row>
    <row r="15210" spans="1:2" x14ac:dyDescent="0.15">
      <c r="A15210" s="15"/>
      <c r="B15210" s="15"/>
    </row>
    <row r="15211" spans="1:2" x14ac:dyDescent="0.15">
      <c r="A15211" s="15"/>
      <c r="B15211" s="15"/>
    </row>
    <row r="15212" spans="1:2" x14ac:dyDescent="0.15">
      <c r="A15212" s="15"/>
      <c r="B15212" s="15"/>
    </row>
    <row r="15213" spans="1:2" x14ac:dyDescent="0.15">
      <c r="A15213" s="15"/>
      <c r="B15213" s="15"/>
    </row>
    <row r="15214" spans="1:2" x14ac:dyDescent="0.15">
      <c r="A15214" s="15"/>
      <c r="B15214" s="15"/>
    </row>
    <row r="15215" spans="1:2" x14ac:dyDescent="0.15">
      <c r="A15215" s="15"/>
      <c r="B15215" s="15"/>
    </row>
    <row r="15216" spans="1:2" x14ac:dyDescent="0.15">
      <c r="A15216" s="15"/>
      <c r="B15216" s="15"/>
    </row>
    <row r="15217" spans="1:2" x14ac:dyDescent="0.15">
      <c r="A15217" s="15"/>
      <c r="B15217" s="15"/>
    </row>
    <row r="15218" spans="1:2" x14ac:dyDescent="0.15">
      <c r="A15218" s="15"/>
      <c r="B15218" s="15"/>
    </row>
    <row r="15219" spans="1:2" x14ac:dyDescent="0.15">
      <c r="A15219" s="15"/>
      <c r="B15219" s="15"/>
    </row>
    <row r="15220" spans="1:2" x14ac:dyDescent="0.15">
      <c r="A15220" s="15"/>
      <c r="B15220" s="15"/>
    </row>
    <row r="15221" spans="1:2" x14ac:dyDescent="0.15">
      <c r="A15221" s="15"/>
      <c r="B15221" s="15"/>
    </row>
    <row r="15222" spans="1:2" x14ac:dyDescent="0.15">
      <c r="A15222" s="15"/>
      <c r="B15222" s="15"/>
    </row>
    <row r="15223" spans="1:2" x14ac:dyDescent="0.15">
      <c r="A15223" s="15"/>
      <c r="B15223" s="15"/>
    </row>
    <row r="15224" spans="1:2" x14ac:dyDescent="0.15">
      <c r="A15224" s="15"/>
      <c r="B15224" s="15"/>
    </row>
    <row r="15225" spans="1:2" x14ac:dyDescent="0.15">
      <c r="A15225" s="15"/>
      <c r="B15225" s="15"/>
    </row>
    <row r="15226" spans="1:2" x14ac:dyDescent="0.15">
      <c r="A15226" s="15"/>
      <c r="B15226" s="15"/>
    </row>
    <row r="15227" spans="1:2" x14ac:dyDescent="0.15">
      <c r="A15227" s="15"/>
      <c r="B15227" s="15"/>
    </row>
    <row r="15228" spans="1:2" x14ac:dyDescent="0.15">
      <c r="A15228" s="15"/>
      <c r="B15228" s="15"/>
    </row>
    <row r="15229" spans="1:2" x14ac:dyDescent="0.15">
      <c r="A15229" s="15"/>
      <c r="B15229" s="15"/>
    </row>
    <row r="15230" spans="1:2" x14ac:dyDescent="0.15">
      <c r="A15230" s="15"/>
      <c r="B15230" s="15"/>
    </row>
    <row r="15231" spans="1:2" x14ac:dyDescent="0.15">
      <c r="A15231" s="15"/>
      <c r="B15231" s="15"/>
    </row>
    <row r="15232" spans="1:2" x14ac:dyDescent="0.15">
      <c r="A15232" s="15"/>
      <c r="B15232" s="15"/>
    </row>
    <row r="15233" spans="1:2" x14ac:dyDescent="0.15">
      <c r="A15233" s="15"/>
      <c r="B15233" s="15"/>
    </row>
    <row r="15234" spans="1:2" x14ac:dyDescent="0.15">
      <c r="A15234" s="15"/>
      <c r="B15234" s="15"/>
    </row>
    <row r="15235" spans="1:2" x14ac:dyDescent="0.15">
      <c r="A15235" s="15"/>
      <c r="B15235" s="15"/>
    </row>
    <row r="15236" spans="1:2" x14ac:dyDescent="0.15">
      <c r="A15236" s="15"/>
      <c r="B15236" s="15"/>
    </row>
    <row r="15237" spans="1:2" x14ac:dyDescent="0.15">
      <c r="A15237" s="15"/>
      <c r="B15237" s="15"/>
    </row>
    <row r="15238" spans="1:2" x14ac:dyDescent="0.15">
      <c r="A15238" s="15"/>
      <c r="B15238" s="15"/>
    </row>
    <row r="15239" spans="1:2" x14ac:dyDescent="0.15">
      <c r="A15239" s="15"/>
      <c r="B15239" s="15"/>
    </row>
    <row r="15240" spans="1:2" x14ac:dyDescent="0.15">
      <c r="A15240" s="15"/>
      <c r="B15240" s="15"/>
    </row>
    <row r="15241" spans="1:2" x14ac:dyDescent="0.15">
      <c r="A15241" s="15"/>
      <c r="B15241" s="15"/>
    </row>
    <row r="15242" spans="1:2" x14ac:dyDescent="0.15">
      <c r="A15242" s="15"/>
      <c r="B15242" s="15"/>
    </row>
    <row r="15243" spans="1:2" x14ac:dyDescent="0.15">
      <c r="A15243" s="15"/>
      <c r="B15243" s="15"/>
    </row>
    <row r="15244" spans="1:2" x14ac:dyDescent="0.15">
      <c r="A15244" s="15"/>
      <c r="B15244" s="15"/>
    </row>
    <row r="15245" spans="1:2" x14ac:dyDescent="0.15">
      <c r="A15245" s="15"/>
      <c r="B15245" s="15"/>
    </row>
    <row r="15246" spans="1:2" x14ac:dyDescent="0.15">
      <c r="A15246" s="15"/>
      <c r="B15246" s="15"/>
    </row>
    <row r="15247" spans="1:2" x14ac:dyDescent="0.15">
      <c r="A15247" s="15"/>
      <c r="B15247" s="15"/>
    </row>
    <row r="15248" spans="1:2" x14ac:dyDescent="0.15">
      <c r="A15248" s="15"/>
      <c r="B15248" s="15"/>
    </row>
    <row r="15249" spans="1:2" x14ac:dyDescent="0.15">
      <c r="A15249" s="15"/>
      <c r="B15249" s="15"/>
    </row>
    <row r="15250" spans="1:2" x14ac:dyDescent="0.15">
      <c r="A15250" s="15"/>
      <c r="B15250" s="15"/>
    </row>
    <row r="15251" spans="1:2" x14ac:dyDescent="0.15">
      <c r="A15251" s="15"/>
      <c r="B15251" s="15"/>
    </row>
    <row r="15252" spans="1:2" x14ac:dyDescent="0.15">
      <c r="A15252" s="15"/>
      <c r="B15252" s="15"/>
    </row>
    <row r="15253" spans="1:2" x14ac:dyDescent="0.15">
      <c r="A15253" s="15"/>
      <c r="B15253" s="15"/>
    </row>
    <row r="15254" spans="1:2" x14ac:dyDescent="0.15">
      <c r="A15254" s="15"/>
      <c r="B15254" s="15"/>
    </row>
    <row r="15255" spans="1:2" x14ac:dyDescent="0.15">
      <c r="A15255" s="15"/>
      <c r="B15255" s="15"/>
    </row>
    <row r="15256" spans="1:2" x14ac:dyDescent="0.15">
      <c r="A15256" s="15"/>
      <c r="B15256" s="15"/>
    </row>
    <row r="15257" spans="1:2" x14ac:dyDescent="0.15">
      <c r="A15257" s="15"/>
      <c r="B15257" s="15"/>
    </row>
    <row r="15258" spans="1:2" x14ac:dyDescent="0.15">
      <c r="A15258" s="15"/>
      <c r="B15258" s="15"/>
    </row>
    <row r="15259" spans="1:2" x14ac:dyDescent="0.15">
      <c r="A15259" s="15"/>
      <c r="B15259" s="15"/>
    </row>
    <row r="15260" spans="1:2" x14ac:dyDescent="0.15">
      <c r="A15260" s="15"/>
      <c r="B15260" s="15"/>
    </row>
    <row r="15261" spans="1:2" x14ac:dyDescent="0.15">
      <c r="A15261" s="15"/>
      <c r="B15261" s="15"/>
    </row>
    <row r="15262" spans="1:2" x14ac:dyDescent="0.15">
      <c r="A15262" s="15"/>
      <c r="B15262" s="15"/>
    </row>
    <row r="15263" spans="1:2" x14ac:dyDescent="0.15">
      <c r="A15263" s="15"/>
      <c r="B15263" s="15"/>
    </row>
    <row r="15264" spans="1:2" x14ac:dyDescent="0.15">
      <c r="A15264" s="15"/>
      <c r="B15264" s="15"/>
    </row>
    <row r="15265" spans="1:2" x14ac:dyDescent="0.15">
      <c r="A15265" s="15"/>
      <c r="B15265" s="15"/>
    </row>
    <row r="15266" spans="1:2" x14ac:dyDescent="0.15">
      <c r="A15266" s="15"/>
      <c r="B15266" s="15"/>
    </row>
    <row r="15267" spans="1:2" x14ac:dyDescent="0.15">
      <c r="A15267" s="15"/>
      <c r="B15267" s="15"/>
    </row>
    <row r="15268" spans="1:2" x14ac:dyDescent="0.15">
      <c r="A15268" s="15"/>
      <c r="B15268" s="15"/>
    </row>
    <row r="15269" spans="1:2" x14ac:dyDescent="0.15">
      <c r="A15269" s="15"/>
      <c r="B15269" s="15"/>
    </row>
    <row r="15270" spans="1:2" x14ac:dyDescent="0.15">
      <c r="A15270" s="15"/>
      <c r="B15270" s="15"/>
    </row>
    <row r="15271" spans="1:2" x14ac:dyDescent="0.15">
      <c r="A15271" s="15"/>
      <c r="B15271" s="15"/>
    </row>
    <row r="15272" spans="1:2" x14ac:dyDescent="0.15">
      <c r="A15272" s="15"/>
      <c r="B15272" s="15"/>
    </row>
    <row r="15273" spans="1:2" x14ac:dyDescent="0.15">
      <c r="A15273" s="15"/>
      <c r="B15273" s="15"/>
    </row>
    <row r="15274" spans="1:2" x14ac:dyDescent="0.15">
      <c r="A15274" s="15"/>
      <c r="B15274" s="15"/>
    </row>
    <row r="15275" spans="1:2" x14ac:dyDescent="0.15">
      <c r="A15275" s="15"/>
      <c r="B15275" s="15"/>
    </row>
    <row r="15276" spans="1:2" x14ac:dyDescent="0.15">
      <c r="A15276" s="15"/>
      <c r="B15276" s="15"/>
    </row>
    <row r="15277" spans="1:2" x14ac:dyDescent="0.15">
      <c r="A15277" s="15"/>
      <c r="B15277" s="15"/>
    </row>
    <row r="15278" spans="1:2" x14ac:dyDescent="0.15">
      <c r="A15278" s="15"/>
      <c r="B15278" s="15"/>
    </row>
    <row r="15279" spans="1:2" x14ac:dyDescent="0.15">
      <c r="A15279" s="15"/>
      <c r="B15279" s="15"/>
    </row>
    <row r="15280" spans="1:2" x14ac:dyDescent="0.15">
      <c r="A15280" s="15"/>
      <c r="B15280" s="15"/>
    </row>
    <row r="15281" spans="1:2" x14ac:dyDescent="0.15">
      <c r="A15281" s="15"/>
      <c r="B15281" s="15"/>
    </row>
    <row r="15282" spans="1:2" x14ac:dyDescent="0.15">
      <c r="A15282" s="15"/>
      <c r="B15282" s="15"/>
    </row>
    <row r="15283" spans="1:2" x14ac:dyDescent="0.15">
      <c r="A15283" s="15"/>
      <c r="B15283" s="15"/>
    </row>
    <row r="15284" spans="1:2" x14ac:dyDescent="0.15">
      <c r="A15284" s="15"/>
      <c r="B15284" s="15"/>
    </row>
    <row r="15285" spans="1:2" x14ac:dyDescent="0.15">
      <c r="A15285" s="15"/>
      <c r="B15285" s="15"/>
    </row>
    <row r="15286" spans="1:2" x14ac:dyDescent="0.15">
      <c r="A15286" s="15"/>
      <c r="B15286" s="15"/>
    </row>
    <row r="15287" spans="1:2" x14ac:dyDescent="0.15">
      <c r="A15287" s="15"/>
      <c r="B15287" s="15"/>
    </row>
    <row r="15288" spans="1:2" x14ac:dyDescent="0.15">
      <c r="A15288" s="15"/>
      <c r="B15288" s="15"/>
    </row>
    <row r="15289" spans="1:2" x14ac:dyDescent="0.15">
      <c r="A15289" s="15"/>
      <c r="B15289" s="15"/>
    </row>
    <row r="15290" spans="1:2" x14ac:dyDescent="0.15">
      <c r="A15290" s="15"/>
      <c r="B15290" s="15"/>
    </row>
    <row r="15291" spans="1:2" x14ac:dyDescent="0.15">
      <c r="A15291" s="15"/>
      <c r="B15291" s="15"/>
    </row>
    <row r="15292" spans="1:2" x14ac:dyDescent="0.15">
      <c r="A15292" s="15"/>
      <c r="B15292" s="15"/>
    </row>
    <row r="15293" spans="1:2" x14ac:dyDescent="0.15">
      <c r="A15293" s="15"/>
      <c r="B15293" s="15"/>
    </row>
    <row r="15294" spans="1:2" x14ac:dyDescent="0.15">
      <c r="A15294" s="15"/>
      <c r="B15294" s="15"/>
    </row>
    <row r="15295" spans="1:2" x14ac:dyDescent="0.15">
      <c r="A15295" s="15"/>
      <c r="B15295" s="15"/>
    </row>
    <row r="15296" spans="1:2" x14ac:dyDescent="0.15">
      <c r="A15296" s="15"/>
      <c r="B15296" s="15"/>
    </row>
    <row r="15297" spans="1:2" x14ac:dyDescent="0.15">
      <c r="A15297" s="15"/>
      <c r="B15297" s="15"/>
    </row>
    <row r="15298" spans="1:2" x14ac:dyDescent="0.15">
      <c r="A15298" s="15"/>
      <c r="B15298" s="15"/>
    </row>
    <row r="15299" spans="1:2" x14ac:dyDescent="0.15">
      <c r="A15299" s="15"/>
      <c r="B15299" s="15"/>
    </row>
    <row r="15300" spans="1:2" x14ac:dyDescent="0.15">
      <c r="A15300" s="15"/>
      <c r="B15300" s="15"/>
    </row>
    <row r="15301" spans="1:2" x14ac:dyDescent="0.15">
      <c r="A15301" s="15"/>
      <c r="B15301" s="15"/>
    </row>
    <row r="15302" spans="1:2" x14ac:dyDescent="0.15">
      <c r="A15302" s="15"/>
      <c r="B15302" s="15"/>
    </row>
    <row r="15303" spans="1:2" x14ac:dyDescent="0.15">
      <c r="A15303" s="15"/>
      <c r="B15303" s="15"/>
    </row>
    <row r="15304" spans="1:2" x14ac:dyDescent="0.15">
      <c r="A15304" s="15"/>
      <c r="B15304" s="15"/>
    </row>
    <row r="15305" spans="1:2" x14ac:dyDescent="0.15">
      <c r="A15305" s="15"/>
      <c r="B15305" s="15"/>
    </row>
    <row r="15306" spans="1:2" x14ac:dyDescent="0.15">
      <c r="A15306" s="15"/>
      <c r="B15306" s="15"/>
    </row>
    <row r="15307" spans="1:2" x14ac:dyDescent="0.15">
      <c r="A15307" s="15"/>
      <c r="B15307" s="15"/>
    </row>
    <row r="15308" spans="1:2" x14ac:dyDescent="0.15">
      <c r="A15308" s="15"/>
      <c r="B15308" s="15"/>
    </row>
    <row r="15309" spans="1:2" x14ac:dyDescent="0.15">
      <c r="A15309" s="15"/>
      <c r="B15309" s="15"/>
    </row>
    <row r="15310" spans="1:2" x14ac:dyDescent="0.15">
      <c r="A15310" s="15"/>
      <c r="B15310" s="15"/>
    </row>
    <row r="15311" spans="1:2" x14ac:dyDescent="0.15">
      <c r="A15311" s="15"/>
      <c r="B15311" s="15"/>
    </row>
    <row r="15312" spans="1:2" x14ac:dyDescent="0.15">
      <c r="A15312" s="15"/>
      <c r="B15312" s="15"/>
    </row>
    <row r="15313" spans="1:2" x14ac:dyDescent="0.15">
      <c r="A15313" s="15"/>
      <c r="B15313" s="15"/>
    </row>
    <row r="15314" spans="1:2" x14ac:dyDescent="0.15">
      <c r="A15314" s="15"/>
      <c r="B15314" s="15"/>
    </row>
    <row r="15315" spans="1:2" x14ac:dyDescent="0.15">
      <c r="A15315" s="15"/>
      <c r="B15315" s="15"/>
    </row>
    <row r="15316" spans="1:2" x14ac:dyDescent="0.15">
      <c r="A15316" s="15"/>
      <c r="B15316" s="15"/>
    </row>
    <row r="15317" spans="1:2" x14ac:dyDescent="0.15">
      <c r="A15317" s="15"/>
      <c r="B15317" s="15"/>
    </row>
    <row r="15318" spans="1:2" x14ac:dyDescent="0.15">
      <c r="A15318" s="15"/>
      <c r="B15318" s="15"/>
    </row>
    <row r="15319" spans="1:2" x14ac:dyDescent="0.15">
      <c r="A15319" s="15"/>
      <c r="B15319" s="15"/>
    </row>
    <row r="15320" spans="1:2" x14ac:dyDescent="0.15">
      <c r="A15320" s="15"/>
      <c r="B15320" s="15"/>
    </row>
    <row r="15321" spans="1:2" x14ac:dyDescent="0.15">
      <c r="A15321" s="15"/>
      <c r="B15321" s="15"/>
    </row>
    <row r="15322" spans="1:2" x14ac:dyDescent="0.15">
      <c r="A15322" s="15"/>
      <c r="B15322" s="15"/>
    </row>
    <row r="15323" spans="1:2" x14ac:dyDescent="0.15">
      <c r="A15323" s="15"/>
      <c r="B15323" s="15"/>
    </row>
    <row r="15324" spans="1:2" x14ac:dyDescent="0.15">
      <c r="A15324" s="15"/>
      <c r="B15324" s="15"/>
    </row>
    <row r="15325" spans="1:2" x14ac:dyDescent="0.15">
      <c r="A15325" s="15"/>
      <c r="B15325" s="15"/>
    </row>
    <row r="15326" spans="1:2" x14ac:dyDescent="0.15">
      <c r="A15326" s="15"/>
      <c r="B15326" s="15"/>
    </row>
    <row r="15327" spans="1:2" x14ac:dyDescent="0.15">
      <c r="A15327" s="15"/>
      <c r="B15327" s="15"/>
    </row>
    <row r="15328" spans="1:2" x14ac:dyDescent="0.15">
      <c r="A15328" s="15"/>
      <c r="B15328" s="15"/>
    </row>
    <row r="15329" spans="1:2" x14ac:dyDescent="0.15">
      <c r="A15329" s="15"/>
      <c r="B15329" s="15"/>
    </row>
    <row r="15330" spans="1:2" x14ac:dyDescent="0.15">
      <c r="A15330" s="15"/>
      <c r="B15330" s="15"/>
    </row>
    <row r="15331" spans="1:2" x14ac:dyDescent="0.15">
      <c r="A15331" s="15"/>
      <c r="B15331" s="15"/>
    </row>
    <row r="15332" spans="1:2" x14ac:dyDescent="0.15">
      <c r="A15332" s="15"/>
      <c r="B15332" s="15"/>
    </row>
    <row r="15333" spans="1:2" x14ac:dyDescent="0.15">
      <c r="A15333" s="15"/>
      <c r="B15333" s="15"/>
    </row>
    <row r="15334" spans="1:2" x14ac:dyDescent="0.15">
      <c r="A15334" s="15"/>
      <c r="B15334" s="15"/>
    </row>
    <row r="15335" spans="1:2" x14ac:dyDescent="0.15">
      <c r="A15335" s="15"/>
      <c r="B15335" s="15"/>
    </row>
    <row r="15336" spans="1:2" x14ac:dyDescent="0.15">
      <c r="A15336" s="15"/>
      <c r="B15336" s="15"/>
    </row>
    <row r="15337" spans="1:2" x14ac:dyDescent="0.15">
      <c r="A15337" s="15"/>
      <c r="B15337" s="15"/>
    </row>
    <row r="15338" spans="1:2" x14ac:dyDescent="0.15">
      <c r="A15338" s="15"/>
      <c r="B15338" s="15"/>
    </row>
    <row r="15339" spans="1:2" x14ac:dyDescent="0.15">
      <c r="A15339" s="15"/>
      <c r="B15339" s="15"/>
    </row>
    <row r="15340" spans="1:2" x14ac:dyDescent="0.15">
      <c r="A15340" s="15"/>
      <c r="B15340" s="15"/>
    </row>
    <row r="15341" spans="1:2" x14ac:dyDescent="0.15">
      <c r="A15341" s="15"/>
      <c r="B15341" s="15"/>
    </row>
    <row r="15342" spans="1:2" x14ac:dyDescent="0.15">
      <c r="A15342" s="15"/>
      <c r="B15342" s="15"/>
    </row>
    <row r="15343" spans="1:2" x14ac:dyDescent="0.15">
      <c r="A15343" s="15"/>
      <c r="B15343" s="15"/>
    </row>
    <row r="15344" spans="1:2" x14ac:dyDescent="0.15">
      <c r="A15344" s="15"/>
      <c r="B15344" s="15"/>
    </row>
    <row r="15345" spans="1:2" x14ac:dyDescent="0.15">
      <c r="A15345" s="15"/>
      <c r="B15345" s="15"/>
    </row>
    <row r="15346" spans="1:2" x14ac:dyDescent="0.15">
      <c r="A15346" s="15"/>
      <c r="B15346" s="15"/>
    </row>
    <row r="15347" spans="1:2" x14ac:dyDescent="0.15">
      <c r="A15347" s="15"/>
      <c r="B15347" s="15"/>
    </row>
    <row r="15348" spans="1:2" x14ac:dyDescent="0.15">
      <c r="A15348" s="15"/>
      <c r="B15348" s="15"/>
    </row>
    <row r="15349" spans="1:2" x14ac:dyDescent="0.15">
      <c r="A15349" s="15"/>
      <c r="B15349" s="15"/>
    </row>
    <row r="15350" spans="1:2" x14ac:dyDescent="0.15">
      <c r="A15350" s="15"/>
      <c r="B15350" s="15"/>
    </row>
    <row r="15351" spans="1:2" x14ac:dyDescent="0.15">
      <c r="A15351" s="15"/>
      <c r="B15351" s="15"/>
    </row>
    <row r="15352" spans="1:2" x14ac:dyDescent="0.15">
      <c r="A15352" s="15"/>
      <c r="B15352" s="15"/>
    </row>
    <row r="15353" spans="1:2" x14ac:dyDescent="0.15">
      <c r="A15353" s="15"/>
      <c r="B15353" s="15"/>
    </row>
    <row r="15354" spans="1:2" x14ac:dyDescent="0.15">
      <c r="A15354" s="15"/>
      <c r="B15354" s="15"/>
    </row>
    <row r="15355" spans="1:2" x14ac:dyDescent="0.15">
      <c r="A15355" s="15"/>
      <c r="B15355" s="15"/>
    </row>
    <row r="15356" spans="1:2" x14ac:dyDescent="0.15">
      <c r="A15356" s="15"/>
      <c r="B15356" s="15"/>
    </row>
    <row r="15357" spans="1:2" x14ac:dyDescent="0.15">
      <c r="A15357" s="15"/>
      <c r="B15357" s="15"/>
    </row>
    <row r="15358" spans="1:2" x14ac:dyDescent="0.15">
      <c r="A15358" s="15"/>
      <c r="B15358" s="15"/>
    </row>
    <row r="15359" spans="1:2" x14ac:dyDescent="0.15">
      <c r="A15359" s="15"/>
      <c r="B15359" s="15"/>
    </row>
    <row r="15360" spans="1:2" x14ac:dyDescent="0.15">
      <c r="A15360" s="15"/>
      <c r="B15360" s="15"/>
    </row>
    <row r="15361" spans="1:2" x14ac:dyDescent="0.15">
      <c r="A15361" s="15"/>
      <c r="B15361" s="15"/>
    </row>
    <row r="15362" spans="1:2" x14ac:dyDescent="0.15">
      <c r="A15362" s="15"/>
      <c r="B15362" s="15"/>
    </row>
    <row r="15363" spans="1:2" x14ac:dyDescent="0.15">
      <c r="A15363" s="15"/>
      <c r="B15363" s="15"/>
    </row>
    <row r="15364" spans="1:2" x14ac:dyDescent="0.15">
      <c r="A15364" s="15"/>
      <c r="B15364" s="15"/>
    </row>
    <row r="15365" spans="1:2" x14ac:dyDescent="0.15">
      <c r="A15365" s="15"/>
      <c r="B15365" s="15"/>
    </row>
    <row r="15366" spans="1:2" x14ac:dyDescent="0.15">
      <c r="A15366" s="15"/>
      <c r="B15366" s="15"/>
    </row>
    <row r="15367" spans="1:2" x14ac:dyDescent="0.15">
      <c r="A15367" s="15"/>
      <c r="B15367" s="15"/>
    </row>
    <row r="15368" spans="1:2" x14ac:dyDescent="0.15">
      <c r="A15368" s="15"/>
      <c r="B15368" s="15"/>
    </row>
    <row r="15369" spans="1:2" x14ac:dyDescent="0.15">
      <c r="A15369" s="15"/>
      <c r="B15369" s="15"/>
    </row>
    <row r="15370" spans="1:2" x14ac:dyDescent="0.15">
      <c r="A15370" s="15"/>
      <c r="B15370" s="15"/>
    </row>
    <row r="15371" spans="1:2" x14ac:dyDescent="0.15">
      <c r="A15371" s="15"/>
      <c r="B15371" s="15"/>
    </row>
    <row r="15372" spans="1:2" x14ac:dyDescent="0.15">
      <c r="A15372" s="15"/>
      <c r="B15372" s="15"/>
    </row>
    <row r="15373" spans="1:2" x14ac:dyDescent="0.15">
      <c r="A15373" s="15"/>
      <c r="B15373" s="15"/>
    </row>
    <row r="15374" spans="1:2" x14ac:dyDescent="0.15">
      <c r="A15374" s="15"/>
      <c r="B15374" s="15"/>
    </row>
    <row r="15375" spans="1:2" x14ac:dyDescent="0.15">
      <c r="A15375" s="15"/>
      <c r="B15375" s="15"/>
    </row>
    <row r="15376" spans="1:2" x14ac:dyDescent="0.15">
      <c r="A15376" s="15"/>
      <c r="B15376" s="15"/>
    </row>
    <row r="15377" spans="1:2" x14ac:dyDescent="0.15">
      <c r="A15377" s="15"/>
      <c r="B15377" s="15"/>
    </row>
    <row r="15378" spans="1:2" x14ac:dyDescent="0.15">
      <c r="A15378" s="15"/>
      <c r="B15378" s="15"/>
    </row>
    <row r="15379" spans="1:2" x14ac:dyDescent="0.15">
      <c r="A15379" s="15"/>
      <c r="B15379" s="15"/>
    </row>
    <row r="15380" spans="1:2" x14ac:dyDescent="0.15">
      <c r="A15380" s="15"/>
      <c r="B15380" s="15"/>
    </row>
    <row r="15381" spans="1:2" x14ac:dyDescent="0.15">
      <c r="A15381" s="15"/>
      <c r="B15381" s="15"/>
    </row>
    <row r="15382" spans="1:2" x14ac:dyDescent="0.15">
      <c r="A15382" s="15"/>
      <c r="B15382" s="15"/>
    </row>
    <row r="15383" spans="1:2" x14ac:dyDescent="0.15">
      <c r="A15383" s="15"/>
      <c r="B15383" s="15"/>
    </row>
    <row r="15384" spans="1:2" x14ac:dyDescent="0.15">
      <c r="A15384" s="15"/>
      <c r="B15384" s="15"/>
    </row>
    <row r="15385" spans="1:2" x14ac:dyDescent="0.15">
      <c r="A15385" s="15"/>
      <c r="B15385" s="15"/>
    </row>
    <row r="15386" spans="1:2" x14ac:dyDescent="0.15">
      <c r="A15386" s="15"/>
      <c r="B15386" s="15"/>
    </row>
    <row r="15387" spans="1:2" x14ac:dyDescent="0.15">
      <c r="A15387" s="15"/>
      <c r="B15387" s="15"/>
    </row>
    <row r="15388" spans="1:2" x14ac:dyDescent="0.15">
      <c r="A15388" s="15"/>
      <c r="B15388" s="15"/>
    </row>
    <row r="15389" spans="1:2" x14ac:dyDescent="0.15">
      <c r="A15389" s="15"/>
      <c r="B15389" s="15"/>
    </row>
    <row r="15390" spans="1:2" x14ac:dyDescent="0.15">
      <c r="A15390" s="15"/>
      <c r="B15390" s="15"/>
    </row>
    <row r="15391" spans="1:2" x14ac:dyDescent="0.15">
      <c r="A15391" s="15"/>
      <c r="B15391" s="15"/>
    </row>
    <row r="15392" spans="1:2" x14ac:dyDescent="0.15">
      <c r="A15392" s="15"/>
      <c r="B15392" s="15"/>
    </row>
    <row r="15393" spans="1:2" x14ac:dyDescent="0.15">
      <c r="A15393" s="15"/>
      <c r="B15393" s="15"/>
    </row>
    <row r="15394" spans="1:2" x14ac:dyDescent="0.15">
      <c r="A15394" s="15"/>
      <c r="B15394" s="15"/>
    </row>
    <row r="15395" spans="1:2" x14ac:dyDescent="0.15">
      <c r="A15395" s="15"/>
      <c r="B15395" s="15"/>
    </row>
    <row r="15396" spans="1:2" x14ac:dyDescent="0.15">
      <c r="A15396" s="15"/>
      <c r="B15396" s="15"/>
    </row>
    <row r="15397" spans="1:2" x14ac:dyDescent="0.15">
      <c r="A15397" s="15"/>
      <c r="B15397" s="15"/>
    </row>
    <row r="15398" spans="1:2" x14ac:dyDescent="0.15">
      <c r="A15398" s="15"/>
      <c r="B15398" s="15"/>
    </row>
    <row r="15399" spans="1:2" x14ac:dyDescent="0.15">
      <c r="A15399" s="15"/>
      <c r="B15399" s="15"/>
    </row>
    <row r="15400" spans="1:2" x14ac:dyDescent="0.15">
      <c r="A15400" s="15"/>
      <c r="B15400" s="15"/>
    </row>
    <row r="15401" spans="1:2" x14ac:dyDescent="0.15">
      <c r="A15401" s="15"/>
      <c r="B15401" s="15"/>
    </row>
    <row r="15402" spans="1:2" x14ac:dyDescent="0.15">
      <c r="A15402" s="15"/>
      <c r="B15402" s="15"/>
    </row>
    <row r="15403" spans="1:2" x14ac:dyDescent="0.15">
      <c r="A15403" s="15"/>
      <c r="B15403" s="15"/>
    </row>
    <row r="15404" spans="1:2" x14ac:dyDescent="0.15">
      <c r="A15404" s="15"/>
      <c r="B15404" s="15"/>
    </row>
    <row r="15405" spans="1:2" x14ac:dyDescent="0.15">
      <c r="A15405" s="15"/>
      <c r="B15405" s="15"/>
    </row>
    <row r="15406" spans="1:2" x14ac:dyDescent="0.15">
      <c r="A15406" s="15"/>
      <c r="B15406" s="15"/>
    </row>
    <row r="15407" spans="1:2" x14ac:dyDescent="0.15">
      <c r="A15407" s="15"/>
      <c r="B15407" s="15"/>
    </row>
    <row r="15408" spans="1:2" x14ac:dyDescent="0.15">
      <c r="A15408" s="15"/>
      <c r="B15408" s="15"/>
    </row>
    <row r="15409" spans="1:2" x14ac:dyDescent="0.15">
      <c r="A15409" s="15"/>
      <c r="B15409" s="15"/>
    </row>
    <row r="15410" spans="1:2" x14ac:dyDescent="0.15">
      <c r="A15410" s="15"/>
      <c r="B15410" s="15"/>
    </row>
    <row r="15411" spans="1:2" x14ac:dyDescent="0.15">
      <c r="A15411" s="15"/>
      <c r="B15411" s="15"/>
    </row>
    <row r="15412" spans="1:2" x14ac:dyDescent="0.15">
      <c r="A15412" s="15"/>
      <c r="B15412" s="15"/>
    </row>
    <row r="15413" spans="1:2" x14ac:dyDescent="0.15">
      <c r="A15413" s="15"/>
      <c r="B15413" s="15"/>
    </row>
    <row r="15414" spans="1:2" x14ac:dyDescent="0.15">
      <c r="A15414" s="15"/>
      <c r="B15414" s="15"/>
    </row>
    <row r="15415" spans="1:2" x14ac:dyDescent="0.15">
      <c r="A15415" s="15"/>
      <c r="B15415" s="15"/>
    </row>
    <row r="15416" spans="1:2" x14ac:dyDescent="0.15">
      <c r="A15416" s="15"/>
      <c r="B15416" s="15"/>
    </row>
    <row r="15417" spans="1:2" x14ac:dyDescent="0.15">
      <c r="A15417" s="15"/>
      <c r="B15417" s="15"/>
    </row>
    <row r="15418" spans="1:2" x14ac:dyDescent="0.15">
      <c r="A15418" s="15"/>
      <c r="B15418" s="15"/>
    </row>
    <row r="15419" spans="1:2" x14ac:dyDescent="0.15">
      <c r="A15419" s="15"/>
      <c r="B15419" s="15"/>
    </row>
    <row r="15420" spans="1:2" x14ac:dyDescent="0.15">
      <c r="A15420" s="15"/>
      <c r="B15420" s="15"/>
    </row>
    <row r="15421" spans="1:2" x14ac:dyDescent="0.15">
      <c r="A15421" s="15"/>
      <c r="B15421" s="15"/>
    </row>
    <row r="15422" spans="1:2" x14ac:dyDescent="0.15">
      <c r="A15422" s="15"/>
      <c r="B15422" s="15"/>
    </row>
    <row r="15423" spans="1:2" x14ac:dyDescent="0.15">
      <c r="A15423" s="15"/>
      <c r="B15423" s="15"/>
    </row>
    <row r="15424" spans="1:2" x14ac:dyDescent="0.15">
      <c r="A15424" s="15"/>
      <c r="B15424" s="15"/>
    </row>
    <row r="15425" spans="1:2" x14ac:dyDescent="0.15">
      <c r="A15425" s="15"/>
      <c r="B15425" s="15"/>
    </row>
    <row r="15426" spans="1:2" x14ac:dyDescent="0.15">
      <c r="A15426" s="15"/>
      <c r="B15426" s="15"/>
    </row>
    <row r="15427" spans="1:2" x14ac:dyDescent="0.15">
      <c r="A15427" s="15"/>
      <c r="B15427" s="15"/>
    </row>
    <row r="15428" spans="1:2" x14ac:dyDescent="0.15">
      <c r="A15428" s="15"/>
      <c r="B15428" s="15"/>
    </row>
    <row r="15429" spans="1:2" x14ac:dyDescent="0.15">
      <c r="A15429" s="15"/>
      <c r="B15429" s="15"/>
    </row>
    <row r="15430" spans="1:2" x14ac:dyDescent="0.15">
      <c r="A15430" s="15"/>
      <c r="B15430" s="15"/>
    </row>
    <row r="15431" spans="1:2" x14ac:dyDescent="0.15">
      <c r="A15431" s="15"/>
      <c r="B15431" s="15"/>
    </row>
    <row r="15432" spans="1:2" x14ac:dyDescent="0.15">
      <c r="A15432" s="15"/>
      <c r="B15432" s="15"/>
    </row>
    <row r="15433" spans="1:2" x14ac:dyDescent="0.15">
      <c r="A15433" s="15"/>
      <c r="B15433" s="15"/>
    </row>
    <row r="15434" spans="1:2" x14ac:dyDescent="0.15">
      <c r="A15434" s="15"/>
      <c r="B15434" s="15"/>
    </row>
    <row r="15435" spans="1:2" x14ac:dyDescent="0.15">
      <c r="A15435" s="15"/>
      <c r="B15435" s="15"/>
    </row>
    <row r="15436" spans="1:2" x14ac:dyDescent="0.15">
      <c r="A15436" s="15"/>
      <c r="B15436" s="15"/>
    </row>
    <row r="15437" spans="1:2" x14ac:dyDescent="0.15">
      <c r="A15437" s="15"/>
      <c r="B15437" s="15"/>
    </row>
    <row r="15438" spans="1:2" x14ac:dyDescent="0.15">
      <c r="A15438" s="15"/>
      <c r="B15438" s="15"/>
    </row>
    <row r="15439" spans="1:2" x14ac:dyDescent="0.15">
      <c r="A15439" s="15"/>
      <c r="B15439" s="15"/>
    </row>
    <row r="15440" spans="1:2" x14ac:dyDescent="0.15">
      <c r="A15440" s="15"/>
      <c r="B15440" s="15"/>
    </row>
    <row r="15441" spans="1:2" x14ac:dyDescent="0.15">
      <c r="A15441" s="15"/>
      <c r="B15441" s="15"/>
    </row>
    <row r="15442" spans="1:2" x14ac:dyDescent="0.15">
      <c r="A15442" s="15"/>
      <c r="B15442" s="15"/>
    </row>
    <row r="15443" spans="1:2" x14ac:dyDescent="0.15">
      <c r="A15443" s="15"/>
      <c r="B15443" s="15"/>
    </row>
    <row r="15444" spans="1:2" x14ac:dyDescent="0.15">
      <c r="A15444" s="15"/>
      <c r="B15444" s="15"/>
    </row>
    <row r="15445" spans="1:2" x14ac:dyDescent="0.15">
      <c r="A15445" s="15"/>
      <c r="B15445" s="15"/>
    </row>
    <row r="15446" spans="1:2" x14ac:dyDescent="0.15">
      <c r="A15446" s="15"/>
      <c r="B15446" s="15"/>
    </row>
    <row r="15447" spans="1:2" x14ac:dyDescent="0.15">
      <c r="A15447" s="15"/>
      <c r="B15447" s="15"/>
    </row>
    <row r="15448" spans="1:2" x14ac:dyDescent="0.15">
      <c r="A15448" s="15"/>
      <c r="B15448" s="15"/>
    </row>
    <row r="15449" spans="1:2" x14ac:dyDescent="0.15">
      <c r="A15449" s="15"/>
      <c r="B15449" s="15"/>
    </row>
    <row r="15450" spans="1:2" x14ac:dyDescent="0.15">
      <c r="A15450" s="15"/>
      <c r="B15450" s="15"/>
    </row>
    <row r="15451" spans="1:2" x14ac:dyDescent="0.15">
      <c r="A15451" s="15"/>
      <c r="B15451" s="15"/>
    </row>
    <row r="15452" spans="1:2" x14ac:dyDescent="0.15">
      <c r="A15452" s="15"/>
      <c r="B15452" s="15"/>
    </row>
    <row r="15453" spans="1:2" x14ac:dyDescent="0.15">
      <c r="A15453" s="15"/>
      <c r="B15453" s="15"/>
    </row>
    <row r="15454" spans="1:2" x14ac:dyDescent="0.15">
      <c r="A15454" s="15"/>
      <c r="B15454" s="15"/>
    </row>
    <row r="15455" spans="1:2" x14ac:dyDescent="0.15">
      <c r="A15455" s="15"/>
      <c r="B15455" s="15"/>
    </row>
    <row r="15456" spans="1:2" x14ac:dyDescent="0.15">
      <c r="A15456" s="15"/>
      <c r="B15456" s="15"/>
    </row>
    <row r="15457" spans="1:2" x14ac:dyDescent="0.15">
      <c r="A15457" s="15"/>
      <c r="B15457" s="15"/>
    </row>
    <row r="15458" spans="1:2" x14ac:dyDescent="0.15">
      <c r="A15458" s="15"/>
      <c r="B15458" s="15"/>
    </row>
    <row r="15459" spans="1:2" x14ac:dyDescent="0.15">
      <c r="A15459" s="15"/>
      <c r="B15459" s="15"/>
    </row>
    <row r="15460" spans="1:2" x14ac:dyDescent="0.15">
      <c r="A15460" s="15"/>
      <c r="B15460" s="15"/>
    </row>
    <row r="15461" spans="1:2" x14ac:dyDescent="0.15">
      <c r="A15461" s="15"/>
      <c r="B15461" s="15"/>
    </row>
    <row r="15462" spans="1:2" x14ac:dyDescent="0.15">
      <c r="A15462" s="15"/>
      <c r="B15462" s="15"/>
    </row>
    <row r="15463" spans="1:2" x14ac:dyDescent="0.15">
      <c r="A15463" s="15"/>
      <c r="B15463" s="15"/>
    </row>
    <row r="15464" spans="1:2" x14ac:dyDescent="0.15">
      <c r="A15464" s="15"/>
      <c r="B15464" s="15"/>
    </row>
    <row r="15465" spans="1:2" x14ac:dyDescent="0.15">
      <c r="A15465" s="15"/>
      <c r="B15465" s="15"/>
    </row>
    <row r="15466" spans="1:2" x14ac:dyDescent="0.15">
      <c r="A15466" s="15"/>
      <c r="B15466" s="15"/>
    </row>
    <row r="15467" spans="1:2" x14ac:dyDescent="0.15">
      <c r="A15467" s="15"/>
      <c r="B15467" s="15"/>
    </row>
    <row r="15468" spans="1:2" x14ac:dyDescent="0.15">
      <c r="A15468" s="15"/>
      <c r="B15468" s="15"/>
    </row>
    <row r="15469" spans="1:2" x14ac:dyDescent="0.15">
      <c r="A15469" s="15"/>
      <c r="B15469" s="15"/>
    </row>
    <row r="15470" spans="1:2" x14ac:dyDescent="0.15">
      <c r="A15470" s="15"/>
      <c r="B15470" s="15"/>
    </row>
    <row r="15471" spans="1:2" x14ac:dyDescent="0.15">
      <c r="A15471" s="15"/>
      <c r="B15471" s="15"/>
    </row>
    <row r="15472" spans="1:2" x14ac:dyDescent="0.15">
      <c r="A15472" s="15"/>
      <c r="B15472" s="15"/>
    </row>
    <row r="15473" spans="1:2" x14ac:dyDescent="0.15">
      <c r="A15473" s="15"/>
      <c r="B15473" s="15"/>
    </row>
    <row r="15474" spans="1:2" x14ac:dyDescent="0.15">
      <c r="A15474" s="15"/>
      <c r="B15474" s="15"/>
    </row>
    <row r="15475" spans="1:2" x14ac:dyDescent="0.15">
      <c r="A15475" s="15"/>
      <c r="B15475" s="15"/>
    </row>
    <row r="15476" spans="1:2" x14ac:dyDescent="0.15">
      <c r="A15476" s="15"/>
      <c r="B15476" s="15"/>
    </row>
    <row r="15477" spans="1:2" x14ac:dyDescent="0.15">
      <c r="A15477" s="15"/>
      <c r="B15477" s="15"/>
    </row>
    <row r="15478" spans="1:2" x14ac:dyDescent="0.15">
      <c r="A15478" s="15"/>
      <c r="B15478" s="15"/>
    </row>
    <row r="15479" spans="1:2" x14ac:dyDescent="0.15">
      <c r="A15479" s="15"/>
      <c r="B15479" s="15"/>
    </row>
    <row r="15480" spans="1:2" x14ac:dyDescent="0.15">
      <c r="A15480" s="15"/>
      <c r="B15480" s="15"/>
    </row>
    <row r="15481" spans="1:2" x14ac:dyDescent="0.15">
      <c r="A15481" s="15"/>
      <c r="B15481" s="15"/>
    </row>
    <row r="15482" spans="1:2" x14ac:dyDescent="0.15">
      <c r="A15482" s="15"/>
      <c r="B15482" s="15"/>
    </row>
    <row r="15483" spans="1:2" x14ac:dyDescent="0.15">
      <c r="A15483" s="15"/>
      <c r="B15483" s="15"/>
    </row>
    <row r="15484" spans="1:2" x14ac:dyDescent="0.15">
      <c r="A15484" s="15"/>
      <c r="B15484" s="15"/>
    </row>
    <row r="15485" spans="1:2" x14ac:dyDescent="0.15">
      <c r="A15485" s="15"/>
      <c r="B15485" s="15"/>
    </row>
    <row r="15486" spans="1:2" x14ac:dyDescent="0.15">
      <c r="A15486" s="15"/>
      <c r="B15486" s="15"/>
    </row>
    <row r="15487" spans="1:2" x14ac:dyDescent="0.15">
      <c r="A15487" s="15"/>
      <c r="B15487" s="15"/>
    </row>
    <row r="15488" spans="1:2" x14ac:dyDescent="0.15">
      <c r="A15488" s="15"/>
      <c r="B15488" s="15"/>
    </row>
    <row r="15489" spans="1:2" x14ac:dyDescent="0.15">
      <c r="A15489" s="15"/>
      <c r="B15489" s="15"/>
    </row>
    <row r="15490" spans="1:2" x14ac:dyDescent="0.15">
      <c r="A15490" s="15"/>
      <c r="B15490" s="15"/>
    </row>
    <row r="15491" spans="1:2" x14ac:dyDescent="0.15">
      <c r="A15491" s="15"/>
      <c r="B15491" s="15"/>
    </row>
    <row r="15492" spans="1:2" x14ac:dyDescent="0.15">
      <c r="A15492" s="15"/>
      <c r="B15492" s="15"/>
    </row>
    <row r="15493" spans="1:2" x14ac:dyDescent="0.15">
      <c r="A15493" s="15"/>
      <c r="B15493" s="15"/>
    </row>
    <row r="15494" spans="1:2" x14ac:dyDescent="0.15">
      <c r="A15494" s="15"/>
      <c r="B15494" s="15"/>
    </row>
    <row r="15495" spans="1:2" x14ac:dyDescent="0.15">
      <c r="A15495" s="15"/>
      <c r="B15495" s="15"/>
    </row>
    <row r="15496" spans="1:2" x14ac:dyDescent="0.15">
      <c r="A15496" s="15"/>
      <c r="B15496" s="15"/>
    </row>
    <row r="15497" spans="1:2" x14ac:dyDescent="0.15">
      <c r="A15497" s="15"/>
      <c r="B15497" s="15"/>
    </row>
    <row r="15498" spans="1:2" x14ac:dyDescent="0.15">
      <c r="A15498" s="15"/>
      <c r="B15498" s="15"/>
    </row>
    <row r="15499" spans="1:2" x14ac:dyDescent="0.15">
      <c r="A15499" s="15"/>
      <c r="B15499" s="15"/>
    </row>
    <row r="15500" spans="1:2" x14ac:dyDescent="0.15">
      <c r="A15500" s="15"/>
      <c r="B15500" s="15"/>
    </row>
    <row r="15501" spans="1:2" x14ac:dyDescent="0.15">
      <c r="A15501" s="15"/>
      <c r="B15501" s="15"/>
    </row>
    <row r="15502" spans="1:2" x14ac:dyDescent="0.15">
      <c r="A15502" s="15"/>
      <c r="B15502" s="15"/>
    </row>
    <row r="15503" spans="1:2" x14ac:dyDescent="0.15">
      <c r="A15503" s="15"/>
      <c r="B15503" s="15"/>
    </row>
    <row r="15504" spans="1:2" x14ac:dyDescent="0.15">
      <c r="A15504" s="15"/>
      <c r="B15504" s="15"/>
    </row>
    <row r="15505" spans="1:2" x14ac:dyDescent="0.15">
      <c r="A15505" s="15"/>
      <c r="B15505" s="15"/>
    </row>
    <row r="15506" spans="1:2" x14ac:dyDescent="0.15">
      <c r="A15506" s="15"/>
      <c r="B15506" s="15"/>
    </row>
    <row r="15507" spans="1:2" x14ac:dyDescent="0.15">
      <c r="A15507" s="15"/>
      <c r="B15507" s="15"/>
    </row>
    <row r="15508" spans="1:2" x14ac:dyDescent="0.15">
      <c r="A15508" s="15"/>
      <c r="B15508" s="15"/>
    </row>
    <row r="15509" spans="1:2" x14ac:dyDescent="0.15">
      <c r="A15509" s="15"/>
      <c r="B15509" s="15"/>
    </row>
    <row r="15510" spans="1:2" x14ac:dyDescent="0.15">
      <c r="A15510" s="15"/>
      <c r="B15510" s="15"/>
    </row>
    <row r="15511" spans="1:2" x14ac:dyDescent="0.15">
      <c r="A15511" s="15"/>
      <c r="B15511" s="15"/>
    </row>
    <row r="15512" spans="1:2" x14ac:dyDescent="0.15">
      <c r="A15512" s="15"/>
      <c r="B15512" s="15"/>
    </row>
    <row r="15513" spans="1:2" x14ac:dyDescent="0.15">
      <c r="A15513" s="15"/>
      <c r="B15513" s="15"/>
    </row>
    <row r="15514" spans="1:2" x14ac:dyDescent="0.15">
      <c r="A15514" s="15"/>
      <c r="B15514" s="15"/>
    </row>
    <row r="15515" spans="1:2" x14ac:dyDescent="0.15">
      <c r="A15515" s="15"/>
      <c r="B15515" s="15"/>
    </row>
    <row r="15516" spans="1:2" x14ac:dyDescent="0.15">
      <c r="A15516" s="15"/>
      <c r="B15516" s="15"/>
    </row>
    <row r="15517" spans="1:2" x14ac:dyDescent="0.15">
      <c r="A15517" s="15"/>
      <c r="B15517" s="15"/>
    </row>
    <row r="15518" spans="1:2" x14ac:dyDescent="0.15">
      <c r="A15518" s="15"/>
      <c r="B15518" s="15"/>
    </row>
    <row r="15519" spans="1:2" x14ac:dyDescent="0.15">
      <c r="A15519" s="15"/>
      <c r="B15519" s="15"/>
    </row>
    <row r="15520" spans="1:2" x14ac:dyDescent="0.15">
      <c r="A15520" s="15"/>
      <c r="B15520" s="15"/>
    </row>
    <row r="15521" spans="1:2" x14ac:dyDescent="0.15">
      <c r="A15521" s="15"/>
      <c r="B15521" s="15"/>
    </row>
    <row r="15522" spans="1:2" x14ac:dyDescent="0.15">
      <c r="A15522" s="15"/>
      <c r="B15522" s="15"/>
    </row>
    <row r="15523" spans="1:2" x14ac:dyDescent="0.15">
      <c r="A15523" s="15"/>
      <c r="B15523" s="15"/>
    </row>
    <row r="15524" spans="1:2" x14ac:dyDescent="0.15">
      <c r="A15524" s="15"/>
      <c r="B15524" s="15"/>
    </row>
    <row r="15525" spans="1:2" x14ac:dyDescent="0.15">
      <c r="A15525" s="15"/>
      <c r="B15525" s="15"/>
    </row>
    <row r="15526" spans="1:2" x14ac:dyDescent="0.15">
      <c r="A15526" s="15"/>
      <c r="B15526" s="15"/>
    </row>
    <row r="15527" spans="1:2" x14ac:dyDescent="0.15">
      <c r="A15527" s="15"/>
      <c r="B15527" s="15"/>
    </row>
    <row r="15528" spans="1:2" x14ac:dyDescent="0.15">
      <c r="A15528" s="15"/>
      <c r="B15528" s="15"/>
    </row>
    <row r="15529" spans="1:2" x14ac:dyDescent="0.15">
      <c r="A15529" s="15"/>
      <c r="B15529" s="15"/>
    </row>
    <row r="15530" spans="1:2" x14ac:dyDescent="0.15">
      <c r="A15530" s="15"/>
      <c r="B15530" s="15"/>
    </row>
    <row r="15531" spans="1:2" x14ac:dyDescent="0.15">
      <c r="A15531" s="15"/>
      <c r="B15531" s="15"/>
    </row>
    <row r="15532" spans="1:2" x14ac:dyDescent="0.15">
      <c r="A15532" s="15"/>
      <c r="B15532" s="15"/>
    </row>
    <row r="15533" spans="1:2" x14ac:dyDescent="0.15">
      <c r="A15533" s="15"/>
      <c r="B15533" s="15"/>
    </row>
    <row r="15534" spans="1:2" x14ac:dyDescent="0.15">
      <c r="A15534" s="15"/>
      <c r="B15534" s="15"/>
    </row>
    <row r="15535" spans="1:2" x14ac:dyDescent="0.15">
      <c r="A15535" s="15"/>
      <c r="B15535" s="15"/>
    </row>
    <row r="15536" spans="1:2" x14ac:dyDescent="0.15">
      <c r="A15536" s="15"/>
      <c r="B15536" s="15"/>
    </row>
    <row r="15537" spans="1:2" x14ac:dyDescent="0.15">
      <c r="A15537" s="15"/>
      <c r="B15537" s="15"/>
    </row>
    <row r="15538" spans="1:2" x14ac:dyDescent="0.15">
      <c r="A15538" s="15"/>
      <c r="B15538" s="15"/>
    </row>
    <row r="15539" spans="1:2" x14ac:dyDescent="0.15">
      <c r="A15539" s="15"/>
      <c r="B15539" s="15"/>
    </row>
    <row r="15540" spans="1:2" x14ac:dyDescent="0.15">
      <c r="A15540" s="15"/>
      <c r="B15540" s="15"/>
    </row>
    <row r="15541" spans="1:2" x14ac:dyDescent="0.15">
      <c r="A15541" s="15"/>
      <c r="B15541" s="15"/>
    </row>
    <row r="15542" spans="1:2" x14ac:dyDescent="0.15">
      <c r="A15542" s="15"/>
      <c r="B15542" s="15"/>
    </row>
    <row r="15543" spans="1:2" x14ac:dyDescent="0.15">
      <c r="A15543" s="15"/>
      <c r="B15543" s="15"/>
    </row>
    <row r="15544" spans="1:2" x14ac:dyDescent="0.15">
      <c r="A15544" s="15"/>
      <c r="B15544" s="15"/>
    </row>
    <row r="15545" spans="1:2" x14ac:dyDescent="0.15">
      <c r="A15545" s="15"/>
      <c r="B15545" s="15"/>
    </row>
    <row r="15546" spans="1:2" x14ac:dyDescent="0.15">
      <c r="A15546" s="15"/>
      <c r="B15546" s="15"/>
    </row>
    <row r="15547" spans="1:2" x14ac:dyDescent="0.15">
      <c r="A15547" s="15"/>
      <c r="B15547" s="15"/>
    </row>
    <row r="15548" spans="1:2" x14ac:dyDescent="0.15">
      <c r="A15548" s="15"/>
      <c r="B15548" s="15"/>
    </row>
    <row r="15549" spans="1:2" x14ac:dyDescent="0.15">
      <c r="A15549" s="15"/>
      <c r="B15549" s="15"/>
    </row>
    <row r="15550" spans="1:2" x14ac:dyDescent="0.15">
      <c r="A15550" s="15"/>
      <c r="B15550" s="15"/>
    </row>
    <row r="15551" spans="1:2" x14ac:dyDescent="0.15">
      <c r="A15551" s="15"/>
      <c r="B15551" s="15"/>
    </row>
    <row r="15552" spans="1:2" x14ac:dyDescent="0.15">
      <c r="A15552" s="15"/>
      <c r="B15552" s="15"/>
    </row>
    <row r="15553" spans="1:2" x14ac:dyDescent="0.15">
      <c r="A15553" s="15"/>
      <c r="B15553" s="15"/>
    </row>
    <row r="15554" spans="1:2" x14ac:dyDescent="0.15">
      <c r="A15554" s="15"/>
      <c r="B15554" s="15"/>
    </row>
    <row r="15555" spans="1:2" x14ac:dyDescent="0.15">
      <c r="A15555" s="15"/>
      <c r="B15555" s="15"/>
    </row>
    <row r="15556" spans="1:2" x14ac:dyDescent="0.15">
      <c r="A15556" s="15"/>
      <c r="B15556" s="15"/>
    </row>
    <row r="15557" spans="1:2" x14ac:dyDescent="0.15">
      <c r="A15557" s="15"/>
      <c r="B15557" s="15"/>
    </row>
    <row r="15558" spans="1:2" x14ac:dyDescent="0.15">
      <c r="A15558" s="15"/>
      <c r="B15558" s="15"/>
    </row>
    <row r="15559" spans="1:2" x14ac:dyDescent="0.15">
      <c r="A15559" s="15"/>
      <c r="B15559" s="15"/>
    </row>
    <row r="15560" spans="1:2" x14ac:dyDescent="0.15">
      <c r="A15560" s="15"/>
      <c r="B15560" s="15"/>
    </row>
    <row r="15561" spans="1:2" x14ac:dyDescent="0.15">
      <c r="A15561" s="15"/>
      <c r="B15561" s="15"/>
    </row>
    <row r="15562" spans="1:2" x14ac:dyDescent="0.15">
      <c r="A15562" s="15"/>
      <c r="B15562" s="15"/>
    </row>
    <row r="15563" spans="1:2" x14ac:dyDescent="0.15">
      <c r="A15563" s="15"/>
      <c r="B15563" s="15"/>
    </row>
    <row r="15564" spans="1:2" x14ac:dyDescent="0.15">
      <c r="A15564" s="15"/>
      <c r="B15564" s="15"/>
    </row>
    <row r="15565" spans="1:2" x14ac:dyDescent="0.15">
      <c r="A15565" s="15"/>
      <c r="B15565" s="15"/>
    </row>
    <row r="15566" spans="1:2" x14ac:dyDescent="0.15">
      <c r="A15566" s="15"/>
      <c r="B15566" s="15"/>
    </row>
    <row r="15567" spans="1:2" x14ac:dyDescent="0.15">
      <c r="A15567" s="15"/>
      <c r="B15567" s="15"/>
    </row>
    <row r="15568" spans="1:2" x14ac:dyDescent="0.15">
      <c r="A15568" s="15"/>
      <c r="B15568" s="15"/>
    </row>
    <row r="15569" spans="1:2" x14ac:dyDescent="0.15">
      <c r="A15569" s="15"/>
      <c r="B15569" s="15"/>
    </row>
    <row r="15570" spans="1:2" x14ac:dyDescent="0.15">
      <c r="A15570" s="15"/>
      <c r="B15570" s="15"/>
    </row>
    <row r="15571" spans="1:2" x14ac:dyDescent="0.15">
      <c r="A15571" s="15"/>
      <c r="B15571" s="15"/>
    </row>
    <row r="15572" spans="1:2" x14ac:dyDescent="0.15">
      <c r="A15572" s="15"/>
      <c r="B15572" s="15"/>
    </row>
    <row r="15573" spans="1:2" x14ac:dyDescent="0.15">
      <c r="A15573" s="15"/>
      <c r="B15573" s="15"/>
    </row>
    <row r="15574" spans="1:2" x14ac:dyDescent="0.15">
      <c r="A15574" s="15"/>
      <c r="B15574" s="15"/>
    </row>
    <row r="15575" spans="1:2" x14ac:dyDescent="0.15">
      <c r="A15575" s="15"/>
      <c r="B15575" s="15"/>
    </row>
    <row r="15576" spans="1:2" x14ac:dyDescent="0.15">
      <c r="A15576" s="15"/>
      <c r="B15576" s="15"/>
    </row>
    <row r="15577" spans="1:2" x14ac:dyDescent="0.15">
      <c r="A15577" s="15"/>
      <c r="B15577" s="15"/>
    </row>
    <row r="15578" spans="1:2" x14ac:dyDescent="0.15">
      <c r="A15578" s="15"/>
      <c r="B15578" s="15"/>
    </row>
    <row r="15579" spans="1:2" x14ac:dyDescent="0.15">
      <c r="A15579" s="15"/>
      <c r="B15579" s="15"/>
    </row>
    <row r="15580" spans="1:2" x14ac:dyDescent="0.15">
      <c r="A15580" s="15"/>
      <c r="B15580" s="15"/>
    </row>
    <row r="15581" spans="1:2" x14ac:dyDescent="0.15">
      <c r="A15581" s="15"/>
      <c r="B15581" s="15"/>
    </row>
    <row r="15582" spans="1:2" x14ac:dyDescent="0.15">
      <c r="A15582" s="15"/>
      <c r="B15582" s="15"/>
    </row>
    <row r="15583" spans="1:2" x14ac:dyDescent="0.15">
      <c r="A15583" s="15"/>
      <c r="B15583" s="15"/>
    </row>
    <row r="15584" spans="1:2" x14ac:dyDescent="0.15">
      <c r="A15584" s="15"/>
      <c r="B15584" s="15"/>
    </row>
    <row r="15585" spans="1:2" x14ac:dyDescent="0.15">
      <c r="A15585" s="15"/>
      <c r="B15585" s="15"/>
    </row>
    <row r="15586" spans="1:2" x14ac:dyDescent="0.15">
      <c r="A15586" s="15"/>
      <c r="B15586" s="15"/>
    </row>
    <row r="15587" spans="1:2" x14ac:dyDescent="0.15">
      <c r="A15587" s="15"/>
      <c r="B15587" s="15"/>
    </row>
    <row r="15588" spans="1:2" x14ac:dyDescent="0.15">
      <c r="A15588" s="15"/>
      <c r="B15588" s="15"/>
    </row>
    <row r="15589" spans="1:2" x14ac:dyDescent="0.15">
      <c r="A15589" s="15"/>
      <c r="B15589" s="15"/>
    </row>
    <row r="15590" spans="1:2" x14ac:dyDescent="0.15">
      <c r="A15590" s="15"/>
      <c r="B15590" s="15"/>
    </row>
    <row r="15591" spans="1:2" x14ac:dyDescent="0.15">
      <c r="A15591" s="15"/>
      <c r="B15591" s="15"/>
    </row>
    <row r="15592" spans="1:2" x14ac:dyDescent="0.15">
      <c r="A15592" s="15"/>
      <c r="B15592" s="15"/>
    </row>
    <row r="15593" spans="1:2" x14ac:dyDescent="0.15">
      <c r="A15593" s="15"/>
      <c r="B15593" s="15"/>
    </row>
    <row r="15594" spans="1:2" x14ac:dyDescent="0.15">
      <c r="A15594" s="15"/>
      <c r="B15594" s="15"/>
    </row>
    <row r="15595" spans="1:2" x14ac:dyDescent="0.15">
      <c r="A15595" s="15"/>
      <c r="B15595" s="15"/>
    </row>
    <row r="15596" spans="1:2" x14ac:dyDescent="0.15">
      <c r="A15596" s="15"/>
      <c r="B15596" s="15"/>
    </row>
    <row r="15597" spans="1:2" x14ac:dyDescent="0.15">
      <c r="A15597" s="15"/>
      <c r="B15597" s="15"/>
    </row>
    <row r="15598" spans="1:2" x14ac:dyDescent="0.15">
      <c r="A15598" s="15"/>
      <c r="B15598" s="15"/>
    </row>
    <row r="15599" spans="1:2" x14ac:dyDescent="0.15">
      <c r="A15599" s="15"/>
      <c r="B15599" s="15"/>
    </row>
    <row r="15600" spans="1:2" x14ac:dyDescent="0.15">
      <c r="A15600" s="15"/>
      <c r="B15600" s="15"/>
    </row>
    <row r="15601" spans="1:2" x14ac:dyDescent="0.15">
      <c r="A15601" s="15"/>
      <c r="B15601" s="15"/>
    </row>
    <row r="15602" spans="1:2" x14ac:dyDescent="0.15">
      <c r="A15602" s="15"/>
      <c r="B15602" s="15"/>
    </row>
    <row r="15603" spans="1:2" x14ac:dyDescent="0.15">
      <c r="A15603" s="15"/>
      <c r="B15603" s="15"/>
    </row>
    <row r="15604" spans="1:2" x14ac:dyDescent="0.15">
      <c r="A15604" s="15"/>
      <c r="B15604" s="15"/>
    </row>
    <row r="15605" spans="1:2" x14ac:dyDescent="0.15">
      <c r="A15605" s="15"/>
      <c r="B15605" s="15"/>
    </row>
    <row r="15606" spans="1:2" x14ac:dyDescent="0.15">
      <c r="A15606" s="15"/>
      <c r="B15606" s="15"/>
    </row>
    <row r="15607" spans="1:2" x14ac:dyDescent="0.15">
      <c r="A15607" s="15"/>
      <c r="B15607" s="15"/>
    </row>
    <row r="15608" spans="1:2" x14ac:dyDescent="0.15">
      <c r="A15608" s="15"/>
      <c r="B15608" s="15"/>
    </row>
    <row r="15609" spans="1:2" x14ac:dyDescent="0.15">
      <c r="A15609" s="15"/>
      <c r="B15609" s="15"/>
    </row>
    <row r="15610" spans="1:2" x14ac:dyDescent="0.15">
      <c r="A15610" s="15"/>
      <c r="B15610" s="15"/>
    </row>
    <row r="15611" spans="1:2" x14ac:dyDescent="0.15">
      <c r="A15611" s="15"/>
      <c r="B15611" s="15"/>
    </row>
    <row r="15612" spans="1:2" x14ac:dyDescent="0.15">
      <c r="A15612" s="15"/>
      <c r="B15612" s="15"/>
    </row>
    <row r="15613" spans="1:2" x14ac:dyDescent="0.15">
      <c r="A15613" s="15"/>
      <c r="B15613" s="15"/>
    </row>
    <row r="15614" spans="1:2" x14ac:dyDescent="0.15">
      <c r="A15614" s="15"/>
      <c r="B15614" s="15"/>
    </row>
    <row r="15615" spans="1:2" x14ac:dyDescent="0.15">
      <c r="A15615" s="15"/>
      <c r="B15615" s="15"/>
    </row>
    <row r="15616" spans="1:2" x14ac:dyDescent="0.15">
      <c r="A15616" s="15"/>
      <c r="B15616" s="15"/>
    </row>
    <row r="15617" spans="1:2" x14ac:dyDescent="0.15">
      <c r="A15617" s="15"/>
      <c r="B15617" s="15"/>
    </row>
    <row r="15618" spans="1:2" x14ac:dyDescent="0.15">
      <c r="A15618" s="15"/>
      <c r="B15618" s="15"/>
    </row>
    <row r="15619" spans="1:2" x14ac:dyDescent="0.15">
      <c r="A15619" s="15"/>
      <c r="B15619" s="15"/>
    </row>
    <row r="15620" spans="1:2" x14ac:dyDescent="0.15">
      <c r="A15620" s="15"/>
      <c r="B15620" s="15"/>
    </row>
    <row r="15621" spans="1:2" x14ac:dyDescent="0.15">
      <c r="A15621" s="15"/>
      <c r="B15621" s="15"/>
    </row>
    <row r="15622" spans="1:2" x14ac:dyDescent="0.15">
      <c r="A15622" s="15"/>
      <c r="B15622" s="15"/>
    </row>
    <row r="15623" spans="1:2" x14ac:dyDescent="0.15">
      <c r="A15623" s="15"/>
      <c r="B15623" s="15"/>
    </row>
    <row r="15624" spans="1:2" x14ac:dyDescent="0.15">
      <c r="A15624" s="15"/>
      <c r="B15624" s="15"/>
    </row>
    <row r="15625" spans="1:2" x14ac:dyDescent="0.15">
      <c r="A15625" s="15"/>
      <c r="B15625" s="15"/>
    </row>
    <row r="15626" spans="1:2" x14ac:dyDescent="0.15">
      <c r="A15626" s="15"/>
      <c r="B15626" s="15"/>
    </row>
    <row r="15627" spans="1:2" x14ac:dyDescent="0.15">
      <c r="A15627" s="15"/>
      <c r="B15627" s="15"/>
    </row>
    <row r="15628" spans="1:2" x14ac:dyDescent="0.15">
      <c r="A15628" s="15"/>
      <c r="B15628" s="15"/>
    </row>
    <row r="15629" spans="1:2" x14ac:dyDescent="0.15">
      <c r="A15629" s="15"/>
      <c r="B15629" s="15"/>
    </row>
    <row r="15630" spans="1:2" x14ac:dyDescent="0.15">
      <c r="A15630" s="15"/>
      <c r="B15630" s="15"/>
    </row>
    <row r="15631" spans="1:2" x14ac:dyDescent="0.15">
      <c r="A15631" s="15"/>
      <c r="B15631" s="15"/>
    </row>
    <row r="15632" spans="1:2" x14ac:dyDescent="0.15">
      <c r="A15632" s="15"/>
      <c r="B15632" s="15"/>
    </row>
    <row r="15633" spans="1:2" x14ac:dyDescent="0.15">
      <c r="A15633" s="15"/>
      <c r="B15633" s="15"/>
    </row>
    <row r="15634" spans="1:2" x14ac:dyDescent="0.15">
      <c r="A15634" s="15"/>
      <c r="B15634" s="15"/>
    </row>
    <row r="15635" spans="1:2" x14ac:dyDescent="0.15">
      <c r="A15635" s="15"/>
      <c r="B15635" s="15"/>
    </row>
    <row r="15636" spans="1:2" x14ac:dyDescent="0.15">
      <c r="A15636" s="15"/>
      <c r="B15636" s="15"/>
    </row>
    <row r="15637" spans="1:2" x14ac:dyDescent="0.15">
      <c r="A15637" s="15"/>
      <c r="B15637" s="15"/>
    </row>
    <row r="15638" spans="1:2" x14ac:dyDescent="0.15">
      <c r="A15638" s="15"/>
      <c r="B15638" s="15"/>
    </row>
    <row r="15639" spans="1:2" x14ac:dyDescent="0.15">
      <c r="A15639" s="15"/>
      <c r="B15639" s="15"/>
    </row>
    <row r="15640" spans="1:2" x14ac:dyDescent="0.15">
      <c r="A15640" s="15"/>
      <c r="B15640" s="15"/>
    </row>
    <row r="15641" spans="1:2" x14ac:dyDescent="0.15">
      <c r="A15641" s="15"/>
      <c r="B15641" s="15"/>
    </row>
    <row r="15642" spans="1:2" x14ac:dyDescent="0.15">
      <c r="A15642" s="15"/>
      <c r="B15642" s="15"/>
    </row>
    <row r="15643" spans="1:2" x14ac:dyDescent="0.15">
      <c r="A15643" s="15"/>
      <c r="B15643" s="15"/>
    </row>
    <row r="15644" spans="1:2" x14ac:dyDescent="0.15">
      <c r="A15644" s="15"/>
      <c r="B15644" s="15"/>
    </row>
    <row r="15645" spans="1:2" x14ac:dyDescent="0.15">
      <c r="A15645" s="15"/>
      <c r="B15645" s="15"/>
    </row>
    <row r="15646" spans="1:2" x14ac:dyDescent="0.15">
      <c r="A15646" s="15"/>
      <c r="B15646" s="15"/>
    </row>
    <row r="15647" spans="1:2" x14ac:dyDescent="0.15">
      <c r="A15647" s="15"/>
      <c r="B15647" s="15"/>
    </row>
    <row r="15648" spans="1:2" x14ac:dyDescent="0.15">
      <c r="A15648" s="15"/>
      <c r="B15648" s="15"/>
    </row>
    <row r="15649" spans="1:2" x14ac:dyDescent="0.15">
      <c r="A15649" s="15"/>
      <c r="B15649" s="15"/>
    </row>
    <row r="15650" spans="1:2" x14ac:dyDescent="0.15">
      <c r="A15650" s="15"/>
      <c r="B15650" s="15"/>
    </row>
    <row r="15651" spans="1:2" x14ac:dyDescent="0.15">
      <c r="A15651" s="15"/>
      <c r="B15651" s="15"/>
    </row>
    <row r="15652" spans="1:2" x14ac:dyDescent="0.15">
      <c r="A15652" s="15"/>
      <c r="B15652" s="15"/>
    </row>
    <row r="15653" spans="1:2" x14ac:dyDescent="0.15">
      <c r="A15653" s="15"/>
      <c r="B15653" s="15"/>
    </row>
    <row r="15654" spans="1:2" x14ac:dyDescent="0.15">
      <c r="A15654" s="15"/>
      <c r="B15654" s="15"/>
    </row>
    <row r="15655" spans="1:2" x14ac:dyDescent="0.15">
      <c r="A15655" s="15"/>
      <c r="B15655" s="15"/>
    </row>
    <row r="15656" spans="1:2" x14ac:dyDescent="0.15">
      <c r="A15656" s="15"/>
      <c r="B15656" s="15"/>
    </row>
    <row r="15657" spans="1:2" x14ac:dyDescent="0.15">
      <c r="A15657" s="15"/>
      <c r="B15657" s="15"/>
    </row>
    <row r="15658" spans="1:2" x14ac:dyDescent="0.15">
      <c r="A15658" s="15"/>
      <c r="B15658" s="15"/>
    </row>
    <row r="15659" spans="1:2" x14ac:dyDescent="0.15">
      <c r="A15659" s="15"/>
      <c r="B15659" s="15"/>
    </row>
    <row r="15660" spans="1:2" x14ac:dyDescent="0.15">
      <c r="A15660" s="15"/>
      <c r="B15660" s="15"/>
    </row>
    <row r="15661" spans="1:2" x14ac:dyDescent="0.15">
      <c r="A15661" s="15"/>
      <c r="B15661" s="15"/>
    </row>
    <row r="15662" spans="1:2" x14ac:dyDescent="0.15">
      <c r="A15662" s="15"/>
      <c r="B15662" s="15"/>
    </row>
    <row r="15663" spans="1:2" x14ac:dyDescent="0.15">
      <c r="A15663" s="15"/>
      <c r="B15663" s="15"/>
    </row>
    <row r="15664" spans="1:2" x14ac:dyDescent="0.15">
      <c r="A15664" s="15"/>
      <c r="B15664" s="15"/>
    </row>
    <row r="15665" spans="1:2" x14ac:dyDescent="0.15">
      <c r="A15665" s="15"/>
      <c r="B15665" s="15"/>
    </row>
    <row r="15666" spans="1:2" x14ac:dyDescent="0.15">
      <c r="A15666" s="15"/>
      <c r="B15666" s="15"/>
    </row>
    <row r="15667" spans="1:2" x14ac:dyDescent="0.15">
      <c r="A15667" s="15"/>
      <c r="B15667" s="15"/>
    </row>
    <row r="15668" spans="1:2" x14ac:dyDescent="0.15">
      <c r="A15668" s="15"/>
      <c r="B15668" s="15"/>
    </row>
    <row r="15669" spans="1:2" x14ac:dyDescent="0.15">
      <c r="A15669" s="15"/>
      <c r="B15669" s="15"/>
    </row>
    <row r="15670" spans="1:2" x14ac:dyDescent="0.15">
      <c r="A15670" s="15"/>
      <c r="B15670" s="15"/>
    </row>
    <row r="15671" spans="1:2" x14ac:dyDescent="0.15">
      <c r="A15671" s="15"/>
      <c r="B15671" s="15"/>
    </row>
    <row r="15672" spans="1:2" x14ac:dyDescent="0.15">
      <c r="A15672" s="15"/>
      <c r="B15672" s="15"/>
    </row>
    <row r="15673" spans="1:2" x14ac:dyDescent="0.15">
      <c r="A15673" s="15"/>
      <c r="B15673" s="15"/>
    </row>
    <row r="15674" spans="1:2" x14ac:dyDescent="0.15">
      <c r="A15674" s="15"/>
      <c r="B15674" s="15"/>
    </row>
    <row r="15675" spans="1:2" x14ac:dyDescent="0.15">
      <c r="A15675" s="15"/>
      <c r="B15675" s="15"/>
    </row>
    <row r="15676" spans="1:2" x14ac:dyDescent="0.15">
      <c r="A15676" s="15"/>
      <c r="B15676" s="15"/>
    </row>
    <row r="15677" spans="1:2" x14ac:dyDescent="0.15">
      <c r="A15677" s="15"/>
      <c r="B15677" s="15"/>
    </row>
    <row r="15678" spans="1:2" x14ac:dyDescent="0.15">
      <c r="A15678" s="15"/>
      <c r="B15678" s="15"/>
    </row>
    <row r="15679" spans="1:2" x14ac:dyDescent="0.15">
      <c r="A15679" s="15"/>
      <c r="B15679" s="15"/>
    </row>
    <row r="15680" spans="1:2" x14ac:dyDescent="0.15">
      <c r="A15680" s="15"/>
      <c r="B15680" s="15"/>
    </row>
    <row r="15681" spans="1:2" x14ac:dyDescent="0.15">
      <c r="A15681" s="15"/>
      <c r="B15681" s="15"/>
    </row>
    <row r="15682" spans="1:2" x14ac:dyDescent="0.15">
      <c r="A15682" s="15"/>
      <c r="B15682" s="15"/>
    </row>
    <row r="15683" spans="1:2" x14ac:dyDescent="0.15">
      <c r="A15683" s="15"/>
      <c r="B15683" s="15"/>
    </row>
    <row r="15684" spans="1:2" x14ac:dyDescent="0.15">
      <c r="A15684" s="15"/>
      <c r="B15684" s="15"/>
    </row>
    <row r="15685" spans="1:2" x14ac:dyDescent="0.15">
      <c r="A15685" s="15"/>
      <c r="B15685" s="15"/>
    </row>
    <row r="15686" spans="1:2" x14ac:dyDescent="0.15">
      <c r="A15686" s="15"/>
      <c r="B15686" s="15"/>
    </row>
    <row r="15687" spans="1:2" x14ac:dyDescent="0.15">
      <c r="A15687" s="15"/>
      <c r="B15687" s="15"/>
    </row>
    <row r="15688" spans="1:2" x14ac:dyDescent="0.15">
      <c r="A15688" s="15"/>
      <c r="B15688" s="15"/>
    </row>
    <row r="15689" spans="1:2" x14ac:dyDescent="0.15">
      <c r="A15689" s="15"/>
      <c r="B15689" s="15"/>
    </row>
    <row r="15690" spans="1:2" x14ac:dyDescent="0.15">
      <c r="A15690" s="15"/>
      <c r="B15690" s="15"/>
    </row>
    <row r="15691" spans="1:2" x14ac:dyDescent="0.15">
      <c r="A15691" s="15"/>
      <c r="B15691" s="15"/>
    </row>
    <row r="15692" spans="1:2" x14ac:dyDescent="0.15">
      <c r="A15692" s="15"/>
      <c r="B15692" s="15"/>
    </row>
    <row r="15693" spans="1:2" x14ac:dyDescent="0.15">
      <c r="A15693" s="15"/>
      <c r="B15693" s="15"/>
    </row>
    <row r="15694" spans="1:2" x14ac:dyDescent="0.15">
      <c r="A15694" s="15"/>
      <c r="B15694" s="15"/>
    </row>
    <row r="15695" spans="1:2" x14ac:dyDescent="0.15">
      <c r="A15695" s="15"/>
      <c r="B15695" s="15"/>
    </row>
    <row r="15696" spans="1:2" x14ac:dyDescent="0.15">
      <c r="A15696" s="15"/>
      <c r="B15696" s="15"/>
    </row>
    <row r="15697" spans="1:2" x14ac:dyDescent="0.15">
      <c r="A15697" s="15"/>
      <c r="B15697" s="15"/>
    </row>
    <row r="15698" spans="1:2" x14ac:dyDescent="0.15">
      <c r="A15698" s="15"/>
      <c r="B15698" s="15"/>
    </row>
    <row r="15699" spans="1:2" x14ac:dyDescent="0.15">
      <c r="A15699" s="15"/>
      <c r="B15699" s="15"/>
    </row>
    <row r="15700" spans="1:2" x14ac:dyDescent="0.15">
      <c r="A15700" s="15"/>
      <c r="B15700" s="15"/>
    </row>
    <row r="15701" spans="1:2" x14ac:dyDescent="0.15">
      <c r="A15701" s="15"/>
      <c r="B15701" s="15"/>
    </row>
    <row r="15702" spans="1:2" x14ac:dyDescent="0.15">
      <c r="A15702" s="15"/>
      <c r="B15702" s="15"/>
    </row>
    <row r="15703" spans="1:2" x14ac:dyDescent="0.15">
      <c r="A15703" s="15"/>
      <c r="B15703" s="15"/>
    </row>
    <row r="15704" spans="1:2" x14ac:dyDescent="0.15">
      <c r="A15704" s="15"/>
      <c r="B15704" s="15"/>
    </row>
    <row r="15705" spans="1:2" x14ac:dyDescent="0.15">
      <c r="A15705" s="15"/>
      <c r="B15705" s="15"/>
    </row>
    <row r="15706" spans="1:2" x14ac:dyDescent="0.15">
      <c r="A15706" s="15"/>
      <c r="B15706" s="15"/>
    </row>
    <row r="15707" spans="1:2" x14ac:dyDescent="0.15">
      <c r="A15707" s="15"/>
      <c r="B15707" s="15"/>
    </row>
    <row r="15708" spans="1:2" x14ac:dyDescent="0.15">
      <c r="A15708" s="15"/>
      <c r="B15708" s="15"/>
    </row>
    <row r="15709" spans="1:2" x14ac:dyDescent="0.15">
      <c r="A15709" s="15"/>
      <c r="B15709" s="15"/>
    </row>
    <row r="15710" spans="1:2" x14ac:dyDescent="0.15">
      <c r="A15710" s="15"/>
      <c r="B15710" s="15"/>
    </row>
    <row r="15711" spans="1:2" x14ac:dyDescent="0.15">
      <c r="A15711" s="15"/>
      <c r="B15711" s="15"/>
    </row>
    <row r="15712" spans="1:2" x14ac:dyDescent="0.15">
      <c r="A15712" s="15"/>
      <c r="B15712" s="15"/>
    </row>
    <row r="15713" spans="1:2" x14ac:dyDescent="0.15">
      <c r="A15713" s="15"/>
      <c r="B15713" s="15"/>
    </row>
    <row r="15714" spans="1:2" x14ac:dyDescent="0.15">
      <c r="A15714" s="15"/>
      <c r="B15714" s="15"/>
    </row>
    <row r="15715" spans="1:2" x14ac:dyDescent="0.15">
      <c r="A15715" s="15"/>
      <c r="B15715" s="15"/>
    </row>
    <row r="15716" spans="1:2" x14ac:dyDescent="0.15">
      <c r="A15716" s="15"/>
      <c r="B15716" s="15"/>
    </row>
    <row r="15717" spans="1:2" x14ac:dyDescent="0.15">
      <c r="A15717" s="15"/>
      <c r="B15717" s="15"/>
    </row>
    <row r="15718" spans="1:2" x14ac:dyDescent="0.15">
      <c r="A15718" s="15"/>
      <c r="B15718" s="15"/>
    </row>
    <row r="15719" spans="1:2" x14ac:dyDescent="0.15">
      <c r="A15719" s="15"/>
      <c r="B15719" s="15"/>
    </row>
    <row r="15720" spans="1:2" x14ac:dyDescent="0.15">
      <c r="A15720" s="15"/>
      <c r="B15720" s="15"/>
    </row>
    <row r="15721" spans="1:2" x14ac:dyDescent="0.15">
      <c r="A15721" s="15"/>
      <c r="B15721" s="15"/>
    </row>
    <row r="15722" spans="1:2" x14ac:dyDescent="0.15">
      <c r="A15722" s="15"/>
      <c r="B15722" s="15"/>
    </row>
    <row r="15723" spans="1:2" x14ac:dyDescent="0.15">
      <c r="A15723" s="15"/>
      <c r="B15723" s="15"/>
    </row>
    <row r="15724" spans="1:2" x14ac:dyDescent="0.15">
      <c r="A15724" s="15"/>
      <c r="B15724" s="15"/>
    </row>
    <row r="15725" spans="1:2" x14ac:dyDescent="0.15">
      <c r="A15725" s="15"/>
      <c r="B15725" s="15"/>
    </row>
    <row r="15726" spans="1:2" x14ac:dyDescent="0.15">
      <c r="A15726" s="15"/>
      <c r="B15726" s="15"/>
    </row>
    <row r="15727" spans="1:2" x14ac:dyDescent="0.15">
      <c r="A15727" s="15"/>
      <c r="B15727" s="15"/>
    </row>
    <row r="15728" spans="1:2" x14ac:dyDescent="0.15">
      <c r="A15728" s="15"/>
      <c r="B15728" s="15"/>
    </row>
    <row r="15729" spans="1:2" x14ac:dyDescent="0.15">
      <c r="A15729" s="15"/>
      <c r="B15729" s="15"/>
    </row>
    <row r="15730" spans="1:2" x14ac:dyDescent="0.15">
      <c r="A15730" s="15"/>
      <c r="B15730" s="15"/>
    </row>
    <row r="15731" spans="1:2" x14ac:dyDescent="0.15">
      <c r="A15731" s="15"/>
      <c r="B15731" s="15"/>
    </row>
    <row r="15732" spans="1:2" x14ac:dyDescent="0.15">
      <c r="A15732" s="15"/>
      <c r="B15732" s="15"/>
    </row>
    <row r="15733" spans="1:2" x14ac:dyDescent="0.15">
      <c r="A15733" s="15"/>
      <c r="B15733" s="15"/>
    </row>
    <row r="15734" spans="1:2" x14ac:dyDescent="0.15">
      <c r="A15734" s="15"/>
      <c r="B15734" s="15"/>
    </row>
    <row r="15735" spans="1:2" x14ac:dyDescent="0.15">
      <c r="A15735" s="15"/>
      <c r="B15735" s="15"/>
    </row>
    <row r="15736" spans="1:2" x14ac:dyDescent="0.15">
      <c r="A15736" s="15"/>
      <c r="B15736" s="15"/>
    </row>
    <row r="15737" spans="1:2" x14ac:dyDescent="0.15">
      <c r="A15737" s="15"/>
      <c r="B15737" s="15"/>
    </row>
    <row r="15738" spans="1:2" x14ac:dyDescent="0.15">
      <c r="A15738" s="15"/>
      <c r="B15738" s="15"/>
    </row>
    <row r="15739" spans="1:2" x14ac:dyDescent="0.15">
      <c r="A15739" s="15"/>
      <c r="B15739" s="15"/>
    </row>
    <row r="15740" spans="1:2" x14ac:dyDescent="0.15">
      <c r="A15740" s="15"/>
      <c r="B15740" s="15"/>
    </row>
    <row r="15741" spans="1:2" x14ac:dyDescent="0.15">
      <c r="A15741" s="15"/>
      <c r="B15741" s="15"/>
    </row>
    <row r="15742" spans="1:2" x14ac:dyDescent="0.15">
      <c r="A15742" s="15"/>
      <c r="B15742" s="15"/>
    </row>
    <row r="15743" spans="1:2" x14ac:dyDescent="0.15">
      <c r="A15743" s="15"/>
      <c r="B15743" s="15"/>
    </row>
    <row r="15744" spans="1:2" x14ac:dyDescent="0.15">
      <c r="A15744" s="15"/>
      <c r="B15744" s="15"/>
    </row>
    <row r="15745" spans="1:2" x14ac:dyDescent="0.15">
      <c r="A15745" s="15"/>
      <c r="B15745" s="15"/>
    </row>
    <row r="15746" spans="1:2" x14ac:dyDescent="0.15">
      <c r="A15746" s="15"/>
      <c r="B15746" s="15"/>
    </row>
    <row r="15747" spans="1:2" x14ac:dyDescent="0.15">
      <c r="A15747" s="15"/>
      <c r="B15747" s="15"/>
    </row>
    <row r="15748" spans="1:2" x14ac:dyDescent="0.15">
      <c r="A15748" s="15"/>
      <c r="B15748" s="15"/>
    </row>
    <row r="15749" spans="1:2" x14ac:dyDescent="0.15">
      <c r="A15749" s="15"/>
      <c r="B15749" s="15"/>
    </row>
    <row r="15750" spans="1:2" x14ac:dyDescent="0.15">
      <c r="A15750" s="15"/>
      <c r="B15750" s="15"/>
    </row>
    <row r="15751" spans="1:2" x14ac:dyDescent="0.15">
      <c r="A15751" s="15"/>
      <c r="B15751" s="15"/>
    </row>
    <row r="15752" spans="1:2" x14ac:dyDescent="0.15">
      <c r="A15752" s="15"/>
      <c r="B15752" s="15"/>
    </row>
    <row r="15753" spans="1:2" x14ac:dyDescent="0.15">
      <c r="A15753" s="15"/>
      <c r="B15753" s="15"/>
    </row>
    <row r="15754" spans="1:2" x14ac:dyDescent="0.15">
      <c r="A15754" s="15"/>
      <c r="B15754" s="15"/>
    </row>
    <row r="15755" spans="1:2" x14ac:dyDescent="0.15">
      <c r="A15755" s="15"/>
      <c r="B15755" s="15"/>
    </row>
    <row r="15756" spans="1:2" x14ac:dyDescent="0.15">
      <c r="A15756" s="15"/>
      <c r="B15756" s="15"/>
    </row>
    <row r="15757" spans="1:2" x14ac:dyDescent="0.15">
      <c r="A15757" s="15"/>
      <c r="B15757" s="15"/>
    </row>
    <row r="15758" spans="1:2" x14ac:dyDescent="0.15">
      <c r="A15758" s="15"/>
      <c r="B15758" s="15"/>
    </row>
    <row r="15759" spans="1:2" x14ac:dyDescent="0.15">
      <c r="A15759" s="15"/>
      <c r="B15759" s="15"/>
    </row>
    <row r="15760" spans="1:2" x14ac:dyDescent="0.15">
      <c r="A15760" s="15"/>
      <c r="B15760" s="15"/>
    </row>
    <row r="15761" spans="1:2" x14ac:dyDescent="0.15">
      <c r="A15761" s="15"/>
      <c r="B15761" s="15"/>
    </row>
    <row r="15762" spans="1:2" x14ac:dyDescent="0.15">
      <c r="A15762" s="15"/>
      <c r="B15762" s="15"/>
    </row>
    <row r="15763" spans="1:2" x14ac:dyDescent="0.15">
      <c r="A15763" s="15"/>
      <c r="B15763" s="15"/>
    </row>
    <row r="15764" spans="1:2" x14ac:dyDescent="0.15">
      <c r="A15764" s="15"/>
      <c r="B15764" s="15"/>
    </row>
    <row r="15765" spans="1:2" x14ac:dyDescent="0.15">
      <c r="A15765" s="15"/>
      <c r="B15765" s="15"/>
    </row>
    <row r="15766" spans="1:2" x14ac:dyDescent="0.15">
      <c r="A15766" s="15"/>
      <c r="B15766" s="15"/>
    </row>
    <row r="15767" spans="1:2" x14ac:dyDescent="0.15">
      <c r="A15767" s="15"/>
      <c r="B15767" s="15"/>
    </row>
    <row r="15768" spans="1:2" x14ac:dyDescent="0.15">
      <c r="A15768" s="15"/>
      <c r="B15768" s="15"/>
    </row>
    <row r="15769" spans="1:2" x14ac:dyDescent="0.15">
      <c r="A15769" s="15"/>
      <c r="B15769" s="15"/>
    </row>
    <row r="15770" spans="1:2" x14ac:dyDescent="0.15">
      <c r="A15770" s="15"/>
      <c r="B15770" s="15"/>
    </row>
    <row r="15771" spans="1:2" x14ac:dyDescent="0.15">
      <c r="A15771" s="15"/>
      <c r="B15771" s="15"/>
    </row>
    <row r="15772" spans="1:2" x14ac:dyDescent="0.15">
      <c r="A15772" s="15"/>
      <c r="B15772" s="15"/>
    </row>
    <row r="15773" spans="1:2" x14ac:dyDescent="0.15">
      <c r="A15773" s="15"/>
      <c r="B15773" s="15"/>
    </row>
    <row r="15774" spans="1:2" x14ac:dyDescent="0.15">
      <c r="A15774" s="15"/>
      <c r="B15774" s="15"/>
    </row>
    <row r="15775" spans="1:2" x14ac:dyDescent="0.15">
      <c r="A15775" s="15"/>
      <c r="B15775" s="15"/>
    </row>
    <row r="15776" spans="1:2" x14ac:dyDescent="0.15">
      <c r="A15776" s="15"/>
      <c r="B15776" s="15"/>
    </row>
    <row r="15777" spans="1:2" x14ac:dyDescent="0.15">
      <c r="A15777" s="15"/>
      <c r="B15777" s="15"/>
    </row>
    <row r="15778" spans="1:2" x14ac:dyDescent="0.15">
      <c r="A15778" s="15"/>
      <c r="B15778" s="15"/>
    </row>
    <row r="15779" spans="1:2" x14ac:dyDescent="0.15">
      <c r="A15779" s="15"/>
      <c r="B15779" s="15"/>
    </row>
    <row r="15780" spans="1:2" x14ac:dyDescent="0.15">
      <c r="A15780" s="15"/>
      <c r="B15780" s="15"/>
    </row>
    <row r="15781" spans="1:2" x14ac:dyDescent="0.15">
      <c r="A15781" s="15"/>
      <c r="B15781" s="15"/>
    </row>
    <row r="15782" spans="1:2" x14ac:dyDescent="0.15">
      <c r="A15782" s="15"/>
      <c r="B15782" s="15"/>
    </row>
    <row r="15783" spans="1:2" x14ac:dyDescent="0.15">
      <c r="A15783" s="15"/>
      <c r="B15783" s="15"/>
    </row>
    <row r="15784" spans="1:2" x14ac:dyDescent="0.15">
      <c r="A15784" s="15"/>
      <c r="B15784" s="15"/>
    </row>
    <row r="15785" spans="1:2" x14ac:dyDescent="0.15">
      <c r="A15785" s="15"/>
      <c r="B15785" s="15"/>
    </row>
    <row r="15786" spans="1:2" x14ac:dyDescent="0.15">
      <c r="A15786" s="15"/>
      <c r="B15786" s="15"/>
    </row>
    <row r="15787" spans="1:2" x14ac:dyDescent="0.15">
      <c r="A15787" s="15"/>
      <c r="B15787" s="15"/>
    </row>
    <row r="15788" spans="1:2" x14ac:dyDescent="0.15">
      <c r="A15788" s="15"/>
      <c r="B15788" s="15"/>
    </row>
    <row r="15789" spans="1:2" x14ac:dyDescent="0.15">
      <c r="A15789" s="15"/>
      <c r="B15789" s="15"/>
    </row>
    <row r="15790" spans="1:2" x14ac:dyDescent="0.15">
      <c r="A15790" s="15"/>
      <c r="B15790" s="15"/>
    </row>
    <row r="15791" spans="1:2" x14ac:dyDescent="0.15">
      <c r="A15791" s="15"/>
      <c r="B15791" s="15"/>
    </row>
    <row r="15792" spans="1:2" x14ac:dyDescent="0.15">
      <c r="A15792" s="15"/>
      <c r="B15792" s="15"/>
    </row>
    <row r="15793" spans="1:2" x14ac:dyDescent="0.15">
      <c r="A15793" s="15"/>
      <c r="B15793" s="15"/>
    </row>
    <row r="15794" spans="1:2" x14ac:dyDescent="0.15">
      <c r="A15794" s="15"/>
      <c r="B15794" s="15"/>
    </row>
    <row r="15795" spans="1:2" x14ac:dyDescent="0.15">
      <c r="A15795" s="15"/>
      <c r="B15795" s="15"/>
    </row>
    <row r="15796" spans="1:2" x14ac:dyDescent="0.15">
      <c r="A15796" s="15"/>
      <c r="B15796" s="15"/>
    </row>
    <row r="15797" spans="1:2" x14ac:dyDescent="0.15">
      <c r="A15797" s="15"/>
      <c r="B15797" s="15"/>
    </row>
    <row r="15798" spans="1:2" x14ac:dyDescent="0.15">
      <c r="A15798" s="15"/>
      <c r="B15798" s="15"/>
    </row>
    <row r="15799" spans="1:2" x14ac:dyDescent="0.15">
      <c r="A15799" s="15"/>
      <c r="B15799" s="15"/>
    </row>
    <row r="15800" spans="1:2" x14ac:dyDescent="0.15">
      <c r="A15800" s="15"/>
      <c r="B15800" s="15"/>
    </row>
    <row r="15801" spans="1:2" x14ac:dyDescent="0.15">
      <c r="A15801" s="15"/>
      <c r="B15801" s="15"/>
    </row>
    <row r="15802" spans="1:2" x14ac:dyDescent="0.15">
      <c r="A15802" s="15"/>
      <c r="B15802" s="15"/>
    </row>
    <row r="15803" spans="1:2" x14ac:dyDescent="0.15">
      <c r="A15803" s="15"/>
      <c r="B15803" s="15"/>
    </row>
    <row r="15804" spans="1:2" x14ac:dyDescent="0.15">
      <c r="A15804" s="15"/>
      <c r="B15804" s="15"/>
    </row>
    <row r="15805" spans="1:2" x14ac:dyDescent="0.15">
      <c r="A15805" s="15"/>
      <c r="B15805" s="15"/>
    </row>
    <row r="15806" spans="1:2" x14ac:dyDescent="0.15">
      <c r="A15806" s="15"/>
      <c r="B15806" s="15"/>
    </row>
    <row r="15807" spans="1:2" x14ac:dyDescent="0.15">
      <c r="A15807" s="15"/>
      <c r="B15807" s="15"/>
    </row>
    <row r="15808" spans="1:2" x14ac:dyDescent="0.15">
      <c r="A15808" s="15"/>
      <c r="B15808" s="15"/>
    </row>
    <row r="15809" spans="1:2" x14ac:dyDescent="0.15">
      <c r="A15809" s="15"/>
      <c r="B15809" s="15"/>
    </row>
    <row r="15810" spans="1:2" x14ac:dyDescent="0.15">
      <c r="A15810" s="15"/>
      <c r="B15810" s="15"/>
    </row>
    <row r="15811" spans="1:2" x14ac:dyDescent="0.15">
      <c r="A15811" s="15"/>
      <c r="B15811" s="15"/>
    </row>
    <row r="15812" spans="1:2" x14ac:dyDescent="0.15">
      <c r="A15812" s="15"/>
      <c r="B15812" s="15"/>
    </row>
    <row r="15813" spans="1:2" x14ac:dyDescent="0.15">
      <c r="A15813" s="15"/>
      <c r="B15813" s="15"/>
    </row>
    <row r="15814" spans="1:2" x14ac:dyDescent="0.15">
      <c r="A15814" s="15"/>
      <c r="B15814" s="15"/>
    </row>
    <row r="15815" spans="1:2" x14ac:dyDescent="0.15">
      <c r="A15815" s="15"/>
      <c r="B15815" s="15"/>
    </row>
    <row r="15816" spans="1:2" x14ac:dyDescent="0.15">
      <c r="A15816" s="15"/>
      <c r="B15816" s="15"/>
    </row>
    <row r="15817" spans="1:2" x14ac:dyDescent="0.15">
      <c r="A15817" s="15"/>
      <c r="B15817" s="15"/>
    </row>
    <row r="15818" spans="1:2" x14ac:dyDescent="0.15">
      <c r="A15818" s="15"/>
      <c r="B15818" s="15"/>
    </row>
    <row r="15819" spans="1:2" x14ac:dyDescent="0.15">
      <c r="A15819" s="15"/>
      <c r="B15819" s="15"/>
    </row>
    <row r="15820" spans="1:2" x14ac:dyDescent="0.15">
      <c r="A15820" s="15"/>
      <c r="B15820" s="15"/>
    </row>
    <row r="15821" spans="1:2" x14ac:dyDescent="0.15">
      <c r="A15821" s="15"/>
      <c r="B15821" s="15"/>
    </row>
    <row r="15822" spans="1:2" x14ac:dyDescent="0.15">
      <c r="A15822" s="15"/>
      <c r="B15822" s="15"/>
    </row>
    <row r="15823" spans="1:2" x14ac:dyDescent="0.15">
      <c r="A15823" s="15"/>
      <c r="B15823" s="15"/>
    </row>
    <row r="15824" spans="1:2" x14ac:dyDescent="0.15">
      <c r="A15824" s="15"/>
      <c r="B15824" s="15"/>
    </row>
    <row r="15825" spans="1:2" x14ac:dyDescent="0.15">
      <c r="A15825" s="15"/>
      <c r="B15825" s="15"/>
    </row>
    <row r="15826" spans="1:2" x14ac:dyDescent="0.15">
      <c r="A15826" s="15"/>
      <c r="B15826" s="15"/>
    </row>
    <row r="15827" spans="1:2" x14ac:dyDescent="0.15">
      <c r="A15827" s="15"/>
      <c r="B15827" s="15"/>
    </row>
    <row r="15828" spans="1:2" x14ac:dyDescent="0.15">
      <c r="A15828" s="15"/>
      <c r="B15828" s="15"/>
    </row>
    <row r="15829" spans="1:2" x14ac:dyDescent="0.15">
      <c r="A15829" s="15"/>
      <c r="B15829" s="15"/>
    </row>
    <row r="15830" spans="1:2" x14ac:dyDescent="0.15">
      <c r="A15830" s="15"/>
      <c r="B15830" s="15"/>
    </row>
    <row r="15831" spans="1:2" x14ac:dyDescent="0.15">
      <c r="A15831" s="15"/>
      <c r="B15831" s="15"/>
    </row>
    <row r="15832" spans="1:2" x14ac:dyDescent="0.15">
      <c r="A15832" s="15"/>
      <c r="B15832" s="15"/>
    </row>
    <row r="15833" spans="1:2" x14ac:dyDescent="0.15">
      <c r="A15833" s="15"/>
      <c r="B15833" s="15"/>
    </row>
    <row r="15834" spans="1:2" x14ac:dyDescent="0.15">
      <c r="A15834" s="15"/>
      <c r="B15834" s="15"/>
    </row>
    <row r="15835" spans="1:2" x14ac:dyDescent="0.15">
      <c r="A15835" s="15"/>
      <c r="B15835" s="15"/>
    </row>
    <row r="15836" spans="1:2" x14ac:dyDescent="0.15">
      <c r="A15836" s="15"/>
      <c r="B15836" s="15"/>
    </row>
    <row r="15837" spans="1:2" x14ac:dyDescent="0.15">
      <c r="A15837" s="15"/>
      <c r="B15837" s="15"/>
    </row>
    <row r="15838" spans="1:2" x14ac:dyDescent="0.15">
      <c r="A15838" s="15"/>
      <c r="B15838" s="15"/>
    </row>
    <row r="15839" spans="1:2" x14ac:dyDescent="0.15">
      <c r="A15839" s="15"/>
      <c r="B15839" s="15"/>
    </row>
    <row r="15840" spans="1:2" x14ac:dyDescent="0.15">
      <c r="A15840" s="15"/>
      <c r="B15840" s="15"/>
    </row>
    <row r="15841" spans="1:2" x14ac:dyDescent="0.15">
      <c r="A15841" s="15"/>
      <c r="B15841" s="15"/>
    </row>
    <row r="15842" spans="1:2" x14ac:dyDescent="0.15">
      <c r="A15842" s="15"/>
      <c r="B15842" s="15"/>
    </row>
    <row r="15843" spans="1:2" x14ac:dyDescent="0.15">
      <c r="A15843" s="15"/>
      <c r="B15843" s="15"/>
    </row>
    <row r="15844" spans="1:2" x14ac:dyDescent="0.15">
      <c r="A15844" s="15"/>
      <c r="B15844" s="15"/>
    </row>
    <row r="15845" spans="1:2" x14ac:dyDescent="0.15">
      <c r="A15845" s="15"/>
      <c r="B15845" s="15"/>
    </row>
    <row r="15846" spans="1:2" x14ac:dyDescent="0.15">
      <c r="A15846" s="15"/>
      <c r="B15846" s="15"/>
    </row>
    <row r="15847" spans="1:2" x14ac:dyDescent="0.15">
      <c r="A15847" s="15"/>
      <c r="B15847" s="15"/>
    </row>
    <row r="15848" spans="1:2" x14ac:dyDescent="0.15">
      <c r="A15848" s="15"/>
      <c r="B15848" s="15"/>
    </row>
    <row r="15849" spans="1:2" x14ac:dyDescent="0.15">
      <c r="A15849" s="15"/>
      <c r="B15849" s="15"/>
    </row>
    <row r="15850" spans="1:2" x14ac:dyDescent="0.15">
      <c r="A15850" s="15"/>
      <c r="B15850" s="15"/>
    </row>
    <row r="15851" spans="1:2" x14ac:dyDescent="0.15">
      <c r="A15851" s="15"/>
      <c r="B15851" s="15"/>
    </row>
    <row r="15852" spans="1:2" x14ac:dyDescent="0.15">
      <c r="A15852" s="15"/>
      <c r="B15852" s="15"/>
    </row>
    <row r="15853" spans="1:2" x14ac:dyDescent="0.15">
      <c r="A15853" s="15"/>
      <c r="B15853" s="15"/>
    </row>
    <row r="15854" spans="1:2" x14ac:dyDescent="0.15">
      <c r="A15854" s="15"/>
      <c r="B15854" s="15"/>
    </row>
    <row r="15855" spans="1:2" x14ac:dyDescent="0.15">
      <c r="A15855" s="15"/>
      <c r="B15855" s="15"/>
    </row>
    <row r="15856" spans="1:2" x14ac:dyDescent="0.15">
      <c r="A15856" s="15"/>
      <c r="B15856" s="15"/>
    </row>
    <row r="15857" spans="1:2" x14ac:dyDescent="0.15">
      <c r="A15857" s="15"/>
      <c r="B15857" s="15"/>
    </row>
    <row r="15858" spans="1:2" x14ac:dyDescent="0.15">
      <c r="A15858" s="15"/>
      <c r="B15858" s="15"/>
    </row>
    <row r="15859" spans="1:2" x14ac:dyDescent="0.15">
      <c r="A15859" s="15"/>
      <c r="B15859" s="15"/>
    </row>
    <row r="15860" spans="1:2" x14ac:dyDescent="0.15">
      <c r="A15860" s="15"/>
      <c r="B15860" s="15"/>
    </row>
    <row r="15861" spans="1:2" x14ac:dyDescent="0.15">
      <c r="A15861" s="15"/>
      <c r="B15861" s="15"/>
    </row>
    <row r="15862" spans="1:2" x14ac:dyDescent="0.15">
      <c r="A15862" s="15"/>
      <c r="B15862" s="15"/>
    </row>
    <row r="15863" spans="1:2" x14ac:dyDescent="0.15">
      <c r="A15863" s="15"/>
      <c r="B15863" s="15"/>
    </row>
    <row r="15864" spans="1:2" x14ac:dyDescent="0.15">
      <c r="A15864" s="15"/>
      <c r="B15864" s="15"/>
    </row>
    <row r="15865" spans="1:2" x14ac:dyDescent="0.15">
      <c r="A15865" s="15"/>
      <c r="B15865" s="15"/>
    </row>
    <row r="15866" spans="1:2" x14ac:dyDescent="0.15">
      <c r="A15866" s="15"/>
      <c r="B15866" s="15"/>
    </row>
    <row r="15867" spans="1:2" x14ac:dyDescent="0.15">
      <c r="A15867" s="15"/>
      <c r="B15867" s="15"/>
    </row>
    <row r="15868" spans="1:2" x14ac:dyDescent="0.15">
      <c r="A15868" s="15"/>
      <c r="B15868" s="15"/>
    </row>
    <row r="15869" spans="1:2" x14ac:dyDescent="0.15">
      <c r="A15869" s="15"/>
      <c r="B15869" s="15"/>
    </row>
    <row r="15870" spans="1:2" x14ac:dyDescent="0.15">
      <c r="A15870" s="15"/>
      <c r="B15870" s="15"/>
    </row>
    <row r="15871" spans="1:2" x14ac:dyDescent="0.15">
      <c r="A15871" s="15"/>
      <c r="B15871" s="15"/>
    </row>
    <row r="15872" spans="1:2" x14ac:dyDescent="0.15">
      <c r="A15872" s="15"/>
      <c r="B15872" s="15"/>
    </row>
    <row r="15873" spans="1:2" x14ac:dyDescent="0.15">
      <c r="A15873" s="15"/>
      <c r="B15873" s="15"/>
    </row>
    <row r="15874" spans="1:2" x14ac:dyDescent="0.15">
      <c r="A15874" s="15"/>
      <c r="B15874" s="15"/>
    </row>
    <row r="15875" spans="1:2" x14ac:dyDescent="0.15">
      <c r="A15875" s="15"/>
      <c r="B15875" s="15"/>
    </row>
    <row r="15876" spans="1:2" x14ac:dyDescent="0.15">
      <c r="A15876" s="15"/>
      <c r="B15876" s="15"/>
    </row>
    <row r="15877" spans="1:2" x14ac:dyDescent="0.15">
      <c r="A15877" s="15"/>
      <c r="B15877" s="15"/>
    </row>
    <row r="15878" spans="1:2" x14ac:dyDescent="0.15">
      <c r="A15878" s="15"/>
      <c r="B15878" s="15"/>
    </row>
    <row r="15879" spans="1:2" x14ac:dyDescent="0.15">
      <c r="A15879" s="15"/>
      <c r="B15879" s="15"/>
    </row>
    <row r="15880" spans="1:2" x14ac:dyDescent="0.15">
      <c r="A15880" s="15"/>
      <c r="B15880" s="15"/>
    </row>
    <row r="15881" spans="1:2" x14ac:dyDescent="0.15">
      <c r="A15881" s="15"/>
      <c r="B15881" s="15"/>
    </row>
    <row r="15882" spans="1:2" x14ac:dyDescent="0.15">
      <c r="A15882" s="15"/>
      <c r="B15882" s="15"/>
    </row>
    <row r="15883" spans="1:2" x14ac:dyDescent="0.15">
      <c r="A15883" s="15"/>
      <c r="B15883" s="15"/>
    </row>
    <row r="15884" spans="1:2" x14ac:dyDescent="0.15">
      <c r="A15884" s="15"/>
      <c r="B15884" s="15"/>
    </row>
    <row r="15885" spans="1:2" x14ac:dyDescent="0.15">
      <c r="A15885" s="15"/>
      <c r="B15885" s="15"/>
    </row>
    <row r="15886" spans="1:2" x14ac:dyDescent="0.15">
      <c r="A15886" s="15"/>
      <c r="B15886" s="15"/>
    </row>
    <row r="15887" spans="1:2" x14ac:dyDescent="0.15">
      <c r="A15887" s="15"/>
      <c r="B15887" s="15"/>
    </row>
    <row r="15888" spans="1:2" x14ac:dyDescent="0.15">
      <c r="A15888" s="15"/>
      <c r="B15888" s="15"/>
    </row>
    <row r="15889" spans="1:2" x14ac:dyDescent="0.15">
      <c r="A15889" s="15"/>
      <c r="B15889" s="15"/>
    </row>
    <row r="15890" spans="1:2" x14ac:dyDescent="0.15">
      <c r="A15890" s="15"/>
      <c r="B15890" s="15"/>
    </row>
    <row r="15891" spans="1:2" x14ac:dyDescent="0.15">
      <c r="A15891" s="15"/>
      <c r="B15891" s="15"/>
    </row>
    <row r="15892" spans="1:2" x14ac:dyDescent="0.15">
      <c r="A15892" s="15"/>
      <c r="B15892" s="15"/>
    </row>
    <row r="15893" spans="1:2" x14ac:dyDescent="0.15">
      <c r="A15893" s="15"/>
      <c r="B15893" s="15"/>
    </row>
    <row r="15894" spans="1:2" x14ac:dyDescent="0.15">
      <c r="A15894" s="15"/>
      <c r="B15894" s="15"/>
    </row>
    <row r="15895" spans="1:2" x14ac:dyDescent="0.15">
      <c r="A15895" s="15"/>
      <c r="B15895" s="15"/>
    </row>
    <row r="15896" spans="1:2" x14ac:dyDescent="0.15">
      <c r="A15896" s="15"/>
      <c r="B15896" s="15"/>
    </row>
    <row r="15897" spans="1:2" x14ac:dyDescent="0.15">
      <c r="A15897" s="15"/>
      <c r="B15897" s="15"/>
    </row>
    <row r="15898" spans="1:2" x14ac:dyDescent="0.15">
      <c r="A15898" s="15"/>
      <c r="B15898" s="15"/>
    </row>
    <row r="15899" spans="1:2" x14ac:dyDescent="0.15">
      <c r="A15899" s="15"/>
      <c r="B15899" s="15"/>
    </row>
    <row r="15900" spans="1:2" x14ac:dyDescent="0.15">
      <c r="A15900" s="15"/>
      <c r="B15900" s="15"/>
    </row>
    <row r="15901" spans="1:2" x14ac:dyDescent="0.15">
      <c r="A15901" s="15"/>
      <c r="B15901" s="15"/>
    </row>
    <row r="15902" spans="1:2" x14ac:dyDescent="0.15">
      <c r="A15902" s="15"/>
      <c r="B15902" s="15"/>
    </row>
    <row r="15903" spans="1:2" x14ac:dyDescent="0.15">
      <c r="A15903" s="15"/>
      <c r="B15903" s="15"/>
    </row>
    <row r="15904" spans="1:2" x14ac:dyDescent="0.15">
      <c r="A15904" s="15"/>
      <c r="B15904" s="15"/>
    </row>
    <row r="15905" spans="1:2" x14ac:dyDescent="0.15">
      <c r="A15905" s="15"/>
      <c r="B15905" s="15"/>
    </row>
    <row r="15906" spans="1:2" x14ac:dyDescent="0.15">
      <c r="A15906" s="15"/>
      <c r="B15906" s="15"/>
    </row>
    <row r="15907" spans="1:2" x14ac:dyDescent="0.15">
      <c r="A15907" s="15"/>
      <c r="B15907" s="15"/>
    </row>
    <row r="15908" spans="1:2" x14ac:dyDescent="0.15">
      <c r="A15908" s="15"/>
      <c r="B15908" s="15"/>
    </row>
    <row r="15909" spans="1:2" x14ac:dyDescent="0.15">
      <c r="A15909" s="15"/>
      <c r="B15909" s="15"/>
    </row>
    <row r="15910" spans="1:2" x14ac:dyDescent="0.15">
      <c r="A15910" s="15"/>
      <c r="B15910" s="15"/>
    </row>
    <row r="15911" spans="1:2" x14ac:dyDescent="0.15">
      <c r="A15911" s="15"/>
      <c r="B15911" s="15"/>
    </row>
    <row r="15912" spans="1:2" x14ac:dyDescent="0.15">
      <c r="A15912" s="15"/>
      <c r="B15912" s="15"/>
    </row>
    <row r="15913" spans="1:2" x14ac:dyDescent="0.15">
      <c r="A15913" s="15"/>
      <c r="B15913" s="15"/>
    </row>
    <row r="15914" spans="1:2" x14ac:dyDescent="0.15">
      <c r="A15914" s="15"/>
      <c r="B15914" s="15"/>
    </row>
    <row r="15915" spans="1:2" x14ac:dyDescent="0.15">
      <c r="A15915" s="15"/>
      <c r="B15915" s="15"/>
    </row>
    <row r="15916" spans="1:2" x14ac:dyDescent="0.15">
      <c r="A15916" s="15"/>
      <c r="B15916" s="15"/>
    </row>
    <row r="15917" spans="1:2" x14ac:dyDescent="0.15">
      <c r="A15917" s="15"/>
      <c r="B15917" s="15"/>
    </row>
    <row r="15918" spans="1:2" x14ac:dyDescent="0.15">
      <c r="A15918" s="15"/>
      <c r="B15918" s="15"/>
    </row>
    <row r="15919" spans="1:2" x14ac:dyDescent="0.15">
      <c r="A15919" s="15"/>
      <c r="B15919" s="15"/>
    </row>
    <row r="15920" spans="1:2" x14ac:dyDescent="0.15">
      <c r="A15920" s="15"/>
      <c r="B15920" s="15"/>
    </row>
    <row r="15921" spans="1:2" x14ac:dyDescent="0.15">
      <c r="A15921" s="15"/>
      <c r="B15921" s="15"/>
    </row>
    <row r="15922" spans="1:2" x14ac:dyDescent="0.15">
      <c r="A15922" s="15"/>
      <c r="B15922" s="15"/>
    </row>
    <row r="15923" spans="1:2" x14ac:dyDescent="0.15">
      <c r="A15923" s="15"/>
      <c r="B15923" s="15"/>
    </row>
    <row r="15924" spans="1:2" x14ac:dyDescent="0.15">
      <c r="A15924" s="15"/>
      <c r="B15924" s="15"/>
    </row>
    <row r="15925" spans="1:2" x14ac:dyDescent="0.15">
      <c r="A15925" s="15"/>
      <c r="B15925" s="15"/>
    </row>
    <row r="15926" spans="1:2" x14ac:dyDescent="0.15">
      <c r="A15926" s="15"/>
      <c r="B15926" s="15"/>
    </row>
    <row r="15927" spans="1:2" x14ac:dyDescent="0.15">
      <c r="A15927" s="15"/>
      <c r="B15927" s="15"/>
    </row>
    <row r="15928" spans="1:2" x14ac:dyDescent="0.15">
      <c r="A15928" s="15"/>
      <c r="B15928" s="15"/>
    </row>
    <row r="15929" spans="1:2" x14ac:dyDescent="0.15">
      <c r="A15929" s="15"/>
      <c r="B15929" s="15"/>
    </row>
    <row r="15930" spans="1:2" x14ac:dyDescent="0.15">
      <c r="A15930" s="15"/>
      <c r="B15930" s="15"/>
    </row>
    <row r="15931" spans="1:2" x14ac:dyDescent="0.15">
      <c r="A15931" s="15"/>
      <c r="B15931" s="15"/>
    </row>
    <row r="15932" spans="1:2" x14ac:dyDescent="0.15">
      <c r="A15932" s="15"/>
      <c r="B15932" s="15"/>
    </row>
    <row r="15933" spans="1:2" x14ac:dyDescent="0.15">
      <c r="A15933" s="15"/>
      <c r="B15933" s="15"/>
    </row>
    <row r="15934" spans="1:2" x14ac:dyDescent="0.15">
      <c r="A15934" s="15"/>
      <c r="B15934" s="15"/>
    </row>
    <row r="15935" spans="1:2" x14ac:dyDescent="0.15">
      <c r="A15935" s="15"/>
      <c r="B15935" s="15"/>
    </row>
    <row r="15936" spans="1:2" x14ac:dyDescent="0.15">
      <c r="A15936" s="15"/>
      <c r="B15936" s="15"/>
    </row>
    <row r="15937" spans="1:2" x14ac:dyDescent="0.15">
      <c r="A15937" s="15"/>
      <c r="B15937" s="15"/>
    </row>
    <row r="15938" spans="1:2" x14ac:dyDescent="0.15">
      <c r="A15938" s="15"/>
      <c r="B15938" s="15"/>
    </row>
    <row r="15939" spans="1:2" x14ac:dyDescent="0.15">
      <c r="A15939" s="15"/>
      <c r="B15939" s="15"/>
    </row>
    <row r="15940" spans="1:2" x14ac:dyDescent="0.15">
      <c r="A15940" s="15"/>
      <c r="B15940" s="15"/>
    </row>
    <row r="15941" spans="1:2" x14ac:dyDescent="0.15">
      <c r="A15941" s="15"/>
      <c r="B15941" s="15"/>
    </row>
    <row r="15942" spans="1:2" x14ac:dyDescent="0.15">
      <c r="A15942" s="15"/>
      <c r="B15942" s="15"/>
    </row>
    <row r="15943" spans="1:2" x14ac:dyDescent="0.15">
      <c r="A15943" s="15"/>
      <c r="B15943" s="15"/>
    </row>
    <row r="15944" spans="1:2" x14ac:dyDescent="0.15">
      <c r="A15944" s="15"/>
      <c r="B15944" s="15"/>
    </row>
    <row r="15945" spans="1:2" x14ac:dyDescent="0.15">
      <c r="A15945" s="15"/>
      <c r="B15945" s="15"/>
    </row>
    <row r="15946" spans="1:2" x14ac:dyDescent="0.15">
      <c r="A15946" s="15"/>
      <c r="B15946" s="15"/>
    </row>
    <row r="15947" spans="1:2" x14ac:dyDescent="0.15">
      <c r="A15947" s="15"/>
      <c r="B15947" s="15"/>
    </row>
    <row r="15948" spans="1:2" x14ac:dyDescent="0.15">
      <c r="A15948" s="15"/>
      <c r="B15948" s="15"/>
    </row>
    <row r="15949" spans="1:2" x14ac:dyDescent="0.15">
      <c r="A15949" s="15"/>
      <c r="B15949" s="15"/>
    </row>
    <row r="15950" spans="1:2" x14ac:dyDescent="0.15">
      <c r="A15950" s="15"/>
      <c r="B15950" s="15"/>
    </row>
    <row r="15951" spans="1:2" x14ac:dyDescent="0.15">
      <c r="A15951" s="15"/>
      <c r="B15951" s="15"/>
    </row>
    <row r="15952" spans="1:2" x14ac:dyDescent="0.15">
      <c r="A15952" s="15"/>
      <c r="B15952" s="15"/>
    </row>
    <row r="15953" spans="1:2" x14ac:dyDescent="0.15">
      <c r="A15953" s="15"/>
      <c r="B15953" s="15"/>
    </row>
    <row r="15954" spans="1:2" x14ac:dyDescent="0.15">
      <c r="A15954" s="15"/>
      <c r="B15954" s="15"/>
    </row>
    <row r="15955" spans="1:2" x14ac:dyDescent="0.15">
      <c r="A15955" s="15"/>
      <c r="B15955" s="15"/>
    </row>
    <row r="15956" spans="1:2" x14ac:dyDescent="0.15">
      <c r="A15956" s="15"/>
      <c r="B15956" s="15"/>
    </row>
    <row r="15957" spans="1:2" x14ac:dyDescent="0.15">
      <c r="A15957" s="15"/>
      <c r="B15957" s="15"/>
    </row>
    <row r="15958" spans="1:2" x14ac:dyDescent="0.15">
      <c r="A15958" s="15"/>
      <c r="B15958" s="15"/>
    </row>
    <row r="15959" spans="1:2" x14ac:dyDescent="0.15">
      <c r="A15959" s="15"/>
      <c r="B15959" s="15"/>
    </row>
    <row r="15960" spans="1:2" x14ac:dyDescent="0.15">
      <c r="A15960" s="15"/>
      <c r="B15960" s="15"/>
    </row>
    <row r="15961" spans="1:2" x14ac:dyDescent="0.15">
      <c r="A15961" s="15"/>
      <c r="B15961" s="15"/>
    </row>
    <row r="15962" spans="1:2" x14ac:dyDescent="0.15">
      <c r="A15962" s="15"/>
      <c r="B15962" s="15"/>
    </row>
    <row r="15963" spans="1:2" x14ac:dyDescent="0.15">
      <c r="A15963" s="15"/>
      <c r="B15963" s="15"/>
    </row>
    <row r="15964" spans="1:2" x14ac:dyDescent="0.15">
      <c r="A15964" s="15"/>
      <c r="B15964" s="15"/>
    </row>
    <row r="15965" spans="1:2" x14ac:dyDescent="0.15">
      <c r="A15965" s="15"/>
      <c r="B15965" s="15"/>
    </row>
    <row r="15966" spans="1:2" x14ac:dyDescent="0.15">
      <c r="A15966" s="15"/>
      <c r="B15966" s="15"/>
    </row>
    <row r="15967" spans="1:2" x14ac:dyDescent="0.15">
      <c r="A15967" s="15"/>
      <c r="B15967" s="15"/>
    </row>
    <row r="15968" spans="1:2" x14ac:dyDescent="0.15">
      <c r="A15968" s="15"/>
      <c r="B15968" s="15"/>
    </row>
    <row r="15969" spans="1:2" x14ac:dyDescent="0.15">
      <c r="A15969" s="15"/>
      <c r="B15969" s="15"/>
    </row>
    <row r="15970" spans="1:2" x14ac:dyDescent="0.15">
      <c r="A15970" s="15"/>
      <c r="B15970" s="15"/>
    </row>
    <row r="15971" spans="1:2" x14ac:dyDescent="0.15">
      <c r="A15971" s="15"/>
      <c r="B15971" s="15"/>
    </row>
    <row r="15972" spans="1:2" x14ac:dyDescent="0.15">
      <c r="A15972" s="15"/>
      <c r="B15972" s="15"/>
    </row>
    <row r="15973" spans="1:2" x14ac:dyDescent="0.15">
      <c r="A15973" s="15"/>
      <c r="B15973" s="15"/>
    </row>
    <row r="15974" spans="1:2" x14ac:dyDescent="0.15">
      <c r="A15974" s="15"/>
      <c r="B15974" s="15"/>
    </row>
    <row r="15975" spans="1:2" x14ac:dyDescent="0.15">
      <c r="A15975" s="15"/>
      <c r="B15975" s="15"/>
    </row>
    <row r="15976" spans="1:2" x14ac:dyDescent="0.15">
      <c r="A15976" s="15"/>
      <c r="B15976" s="15"/>
    </row>
    <row r="15977" spans="1:2" x14ac:dyDescent="0.15">
      <c r="A15977" s="15"/>
      <c r="B15977" s="15"/>
    </row>
    <row r="15978" spans="1:2" x14ac:dyDescent="0.15">
      <c r="A15978" s="15"/>
      <c r="B15978" s="15"/>
    </row>
    <row r="15979" spans="1:2" x14ac:dyDescent="0.15">
      <c r="A15979" s="15"/>
      <c r="B15979" s="15"/>
    </row>
    <row r="15980" spans="1:2" x14ac:dyDescent="0.15">
      <c r="A15980" s="15"/>
      <c r="B15980" s="15"/>
    </row>
    <row r="15981" spans="1:2" x14ac:dyDescent="0.15">
      <c r="A15981" s="15"/>
      <c r="B15981" s="15"/>
    </row>
    <row r="15982" spans="1:2" x14ac:dyDescent="0.15">
      <c r="A15982" s="15"/>
      <c r="B15982" s="15"/>
    </row>
    <row r="15983" spans="1:2" x14ac:dyDescent="0.15">
      <c r="A15983" s="15"/>
      <c r="B15983" s="15"/>
    </row>
    <row r="15984" spans="1:2" x14ac:dyDescent="0.15">
      <c r="A15984" s="15"/>
      <c r="B15984" s="15"/>
    </row>
    <row r="15985" spans="1:2" x14ac:dyDescent="0.15">
      <c r="A15985" s="15"/>
      <c r="B15985" s="15"/>
    </row>
    <row r="15986" spans="1:2" x14ac:dyDescent="0.15">
      <c r="A15986" s="15"/>
      <c r="B15986" s="15"/>
    </row>
    <row r="15987" spans="1:2" x14ac:dyDescent="0.15">
      <c r="A15987" s="15"/>
      <c r="B15987" s="15"/>
    </row>
    <row r="15988" spans="1:2" x14ac:dyDescent="0.15">
      <c r="A15988" s="15"/>
      <c r="B15988" s="15"/>
    </row>
    <row r="15989" spans="1:2" x14ac:dyDescent="0.15">
      <c r="A15989" s="15"/>
      <c r="B15989" s="15"/>
    </row>
    <row r="15990" spans="1:2" x14ac:dyDescent="0.15">
      <c r="A15990" s="15"/>
      <c r="B15990" s="15"/>
    </row>
    <row r="15991" spans="1:2" x14ac:dyDescent="0.15">
      <c r="A15991" s="15"/>
      <c r="B15991" s="15"/>
    </row>
    <row r="15992" spans="1:2" x14ac:dyDescent="0.15">
      <c r="A15992" s="15"/>
      <c r="B15992" s="15"/>
    </row>
    <row r="15993" spans="1:2" x14ac:dyDescent="0.15">
      <c r="A15993" s="15"/>
      <c r="B15993" s="15"/>
    </row>
    <row r="15994" spans="1:2" x14ac:dyDescent="0.15">
      <c r="A15994" s="15"/>
      <c r="B15994" s="15"/>
    </row>
    <row r="15995" spans="1:2" x14ac:dyDescent="0.15">
      <c r="A15995" s="15"/>
      <c r="B15995" s="15"/>
    </row>
    <row r="15996" spans="1:2" x14ac:dyDescent="0.15">
      <c r="A15996" s="15"/>
      <c r="B15996" s="15"/>
    </row>
    <row r="15997" spans="1:2" x14ac:dyDescent="0.15">
      <c r="A15997" s="15"/>
      <c r="B15997" s="15"/>
    </row>
    <row r="15998" spans="1:2" x14ac:dyDescent="0.15">
      <c r="A15998" s="15"/>
      <c r="B15998" s="15"/>
    </row>
    <row r="15999" spans="1:2" x14ac:dyDescent="0.15">
      <c r="A15999" s="15"/>
      <c r="B15999" s="15"/>
    </row>
    <row r="16000" spans="1:2" x14ac:dyDescent="0.15">
      <c r="A16000" s="15"/>
      <c r="B16000" s="15"/>
    </row>
    <row r="16001" spans="1:2" x14ac:dyDescent="0.15">
      <c r="A16001" s="15"/>
      <c r="B16001" s="15"/>
    </row>
    <row r="16002" spans="1:2" x14ac:dyDescent="0.15">
      <c r="A16002" s="15"/>
      <c r="B16002" s="15"/>
    </row>
    <row r="16003" spans="1:2" x14ac:dyDescent="0.15">
      <c r="A16003" s="15"/>
      <c r="B16003" s="15"/>
    </row>
    <row r="16004" spans="1:2" x14ac:dyDescent="0.15">
      <c r="A16004" s="15"/>
      <c r="B16004" s="15"/>
    </row>
    <row r="16005" spans="1:2" x14ac:dyDescent="0.15">
      <c r="A16005" s="15"/>
      <c r="B16005" s="15"/>
    </row>
    <row r="16006" spans="1:2" x14ac:dyDescent="0.15">
      <c r="A16006" s="15"/>
      <c r="B16006" s="15"/>
    </row>
    <row r="16007" spans="1:2" x14ac:dyDescent="0.15">
      <c r="A16007" s="15"/>
      <c r="B16007" s="15"/>
    </row>
    <row r="16008" spans="1:2" x14ac:dyDescent="0.15">
      <c r="A16008" s="15"/>
      <c r="B16008" s="15"/>
    </row>
    <row r="16009" spans="1:2" x14ac:dyDescent="0.15">
      <c r="A16009" s="15"/>
      <c r="B16009" s="15"/>
    </row>
    <row r="16010" spans="1:2" x14ac:dyDescent="0.15">
      <c r="A16010" s="15"/>
      <c r="B16010" s="15"/>
    </row>
    <row r="16011" spans="1:2" x14ac:dyDescent="0.15">
      <c r="A16011" s="15"/>
      <c r="B16011" s="15"/>
    </row>
    <row r="16012" spans="1:2" x14ac:dyDescent="0.15">
      <c r="A16012" s="15"/>
      <c r="B16012" s="15"/>
    </row>
    <row r="16013" spans="1:2" x14ac:dyDescent="0.15">
      <c r="A16013" s="15"/>
      <c r="B16013" s="15"/>
    </row>
    <row r="16014" spans="1:2" x14ac:dyDescent="0.15">
      <c r="A16014" s="15"/>
      <c r="B16014" s="15"/>
    </row>
    <row r="16015" spans="1:2" x14ac:dyDescent="0.15">
      <c r="A16015" s="15"/>
      <c r="B16015" s="15"/>
    </row>
    <row r="16016" spans="1:2" x14ac:dyDescent="0.15">
      <c r="A16016" s="15"/>
      <c r="B16016" s="15"/>
    </row>
    <row r="16017" spans="1:2" x14ac:dyDescent="0.15">
      <c r="A16017" s="15"/>
      <c r="B16017" s="15"/>
    </row>
    <row r="16018" spans="1:2" x14ac:dyDescent="0.15">
      <c r="A16018" s="15"/>
      <c r="B16018" s="15"/>
    </row>
    <row r="16019" spans="1:2" x14ac:dyDescent="0.15">
      <c r="A16019" s="15"/>
      <c r="B16019" s="15"/>
    </row>
    <row r="16020" spans="1:2" x14ac:dyDescent="0.15">
      <c r="A16020" s="15"/>
      <c r="B16020" s="15"/>
    </row>
    <row r="16021" spans="1:2" x14ac:dyDescent="0.15">
      <c r="A16021" s="15"/>
      <c r="B16021" s="15"/>
    </row>
    <row r="16022" spans="1:2" x14ac:dyDescent="0.15">
      <c r="A16022" s="15"/>
      <c r="B16022" s="15"/>
    </row>
    <row r="16023" spans="1:2" x14ac:dyDescent="0.15">
      <c r="A16023" s="15"/>
      <c r="B16023" s="15"/>
    </row>
    <row r="16024" spans="1:2" x14ac:dyDescent="0.15">
      <c r="A16024" s="15"/>
      <c r="B16024" s="15"/>
    </row>
    <row r="16025" spans="1:2" x14ac:dyDescent="0.15">
      <c r="A16025" s="15"/>
      <c r="B16025" s="15"/>
    </row>
    <row r="16026" spans="1:2" x14ac:dyDescent="0.15">
      <c r="A16026" s="15"/>
      <c r="B16026" s="15"/>
    </row>
    <row r="16027" spans="1:2" x14ac:dyDescent="0.15">
      <c r="A16027" s="15"/>
      <c r="B16027" s="15"/>
    </row>
    <row r="16028" spans="1:2" x14ac:dyDescent="0.15">
      <c r="A16028" s="15"/>
      <c r="B16028" s="15"/>
    </row>
    <row r="16029" spans="1:2" x14ac:dyDescent="0.15">
      <c r="A16029" s="15"/>
      <c r="B16029" s="15"/>
    </row>
    <row r="16030" spans="1:2" x14ac:dyDescent="0.15">
      <c r="A16030" s="15"/>
      <c r="B16030" s="15"/>
    </row>
    <row r="16031" spans="1:2" x14ac:dyDescent="0.15">
      <c r="A16031" s="15"/>
      <c r="B16031" s="15"/>
    </row>
    <row r="16032" spans="1:2" x14ac:dyDescent="0.15">
      <c r="A16032" s="15"/>
      <c r="B16032" s="15"/>
    </row>
    <row r="16033" spans="1:2" x14ac:dyDescent="0.15">
      <c r="A16033" s="15"/>
      <c r="B16033" s="15"/>
    </row>
    <row r="16034" spans="1:2" x14ac:dyDescent="0.15">
      <c r="A16034" s="15"/>
      <c r="B16034" s="15"/>
    </row>
    <row r="16035" spans="1:2" x14ac:dyDescent="0.15">
      <c r="A16035" s="15"/>
      <c r="B16035" s="15"/>
    </row>
    <row r="16036" spans="1:2" x14ac:dyDescent="0.15">
      <c r="A16036" s="15"/>
      <c r="B16036" s="15"/>
    </row>
    <row r="16037" spans="1:2" x14ac:dyDescent="0.15">
      <c r="A16037" s="15"/>
      <c r="B16037" s="15"/>
    </row>
    <row r="16038" spans="1:2" x14ac:dyDescent="0.15">
      <c r="A16038" s="15"/>
      <c r="B16038" s="15"/>
    </row>
    <row r="16039" spans="1:2" x14ac:dyDescent="0.15">
      <c r="A16039" s="15"/>
      <c r="B16039" s="15"/>
    </row>
    <row r="16040" spans="1:2" x14ac:dyDescent="0.15">
      <c r="A16040" s="15"/>
      <c r="B16040" s="15"/>
    </row>
    <row r="16041" spans="1:2" x14ac:dyDescent="0.15">
      <c r="A16041" s="15"/>
      <c r="B16041" s="15"/>
    </row>
    <row r="16042" spans="1:2" x14ac:dyDescent="0.15">
      <c r="A16042" s="15"/>
      <c r="B16042" s="15"/>
    </row>
    <row r="16043" spans="1:2" x14ac:dyDescent="0.15">
      <c r="A16043" s="15"/>
      <c r="B16043" s="15"/>
    </row>
    <row r="16044" spans="1:2" x14ac:dyDescent="0.15">
      <c r="A16044" s="15"/>
      <c r="B16044" s="15"/>
    </row>
    <row r="16045" spans="1:2" x14ac:dyDescent="0.15">
      <c r="A16045" s="15"/>
      <c r="B16045" s="15"/>
    </row>
    <row r="16046" spans="1:2" x14ac:dyDescent="0.15">
      <c r="A16046" s="15"/>
      <c r="B16046" s="15"/>
    </row>
    <row r="16047" spans="1:2" x14ac:dyDescent="0.15">
      <c r="A16047" s="15"/>
      <c r="B16047" s="15"/>
    </row>
    <row r="16048" spans="1:2" x14ac:dyDescent="0.15">
      <c r="A16048" s="15"/>
      <c r="B16048" s="15"/>
    </row>
    <row r="16049" spans="1:2" x14ac:dyDescent="0.15">
      <c r="A16049" s="15"/>
      <c r="B16049" s="15"/>
    </row>
    <row r="16050" spans="1:2" x14ac:dyDescent="0.15">
      <c r="A16050" s="15"/>
      <c r="B16050" s="15"/>
    </row>
    <row r="16051" spans="1:2" x14ac:dyDescent="0.15">
      <c r="A16051" s="15"/>
      <c r="B16051" s="15"/>
    </row>
    <row r="16052" spans="1:2" x14ac:dyDescent="0.15">
      <c r="A16052" s="15"/>
      <c r="B16052" s="15"/>
    </row>
    <row r="16053" spans="1:2" x14ac:dyDescent="0.15">
      <c r="A16053" s="15"/>
      <c r="B16053" s="15"/>
    </row>
    <row r="16054" spans="1:2" x14ac:dyDescent="0.15">
      <c r="A16054" s="15"/>
      <c r="B16054" s="15"/>
    </row>
    <row r="16055" spans="1:2" x14ac:dyDescent="0.15">
      <c r="A16055" s="15"/>
      <c r="B16055" s="15"/>
    </row>
    <row r="16056" spans="1:2" x14ac:dyDescent="0.15">
      <c r="A16056" s="15"/>
      <c r="B16056" s="15"/>
    </row>
    <row r="16057" spans="1:2" x14ac:dyDescent="0.15">
      <c r="A16057" s="15"/>
      <c r="B16057" s="15"/>
    </row>
    <row r="16058" spans="1:2" x14ac:dyDescent="0.15">
      <c r="A16058" s="15"/>
      <c r="B16058" s="15"/>
    </row>
    <row r="16059" spans="1:2" x14ac:dyDescent="0.15">
      <c r="A16059" s="15"/>
      <c r="B16059" s="15"/>
    </row>
    <row r="16060" spans="1:2" x14ac:dyDescent="0.15">
      <c r="A16060" s="15"/>
      <c r="B16060" s="15"/>
    </row>
    <row r="16061" spans="1:2" x14ac:dyDescent="0.15">
      <c r="A16061" s="15"/>
      <c r="B16061" s="15"/>
    </row>
    <row r="16062" spans="1:2" x14ac:dyDescent="0.15">
      <c r="A16062" s="15"/>
      <c r="B16062" s="15"/>
    </row>
    <row r="16063" spans="1:2" x14ac:dyDescent="0.15">
      <c r="A16063" s="15"/>
      <c r="B16063" s="15"/>
    </row>
    <row r="16064" spans="1:2" x14ac:dyDescent="0.15">
      <c r="A16064" s="15"/>
      <c r="B16064" s="15"/>
    </row>
    <row r="16065" spans="1:2" x14ac:dyDescent="0.15">
      <c r="A16065" s="15"/>
      <c r="B16065" s="15"/>
    </row>
    <row r="16066" spans="1:2" x14ac:dyDescent="0.15">
      <c r="A16066" s="15"/>
      <c r="B16066" s="15"/>
    </row>
    <row r="16067" spans="1:2" x14ac:dyDescent="0.15">
      <c r="A16067" s="15"/>
      <c r="B16067" s="15"/>
    </row>
    <row r="16068" spans="1:2" x14ac:dyDescent="0.15">
      <c r="A16068" s="15"/>
      <c r="B16068" s="15"/>
    </row>
    <row r="16069" spans="1:2" x14ac:dyDescent="0.15">
      <c r="A16069" s="15"/>
      <c r="B16069" s="15"/>
    </row>
    <row r="16070" spans="1:2" x14ac:dyDescent="0.15">
      <c r="A16070" s="15"/>
      <c r="B16070" s="15"/>
    </row>
    <row r="16071" spans="1:2" x14ac:dyDescent="0.15">
      <c r="A16071" s="15"/>
      <c r="B16071" s="15"/>
    </row>
    <row r="16072" spans="1:2" x14ac:dyDescent="0.15">
      <c r="A16072" s="15"/>
      <c r="B16072" s="15"/>
    </row>
    <row r="16073" spans="1:2" x14ac:dyDescent="0.15">
      <c r="A16073" s="15"/>
      <c r="B16073" s="15"/>
    </row>
    <row r="16074" spans="1:2" x14ac:dyDescent="0.15">
      <c r="A16074" s="15"/>
      <c r="B16074" s="15"/>
    </row>
    <row r="16075" spans="1:2" x14ac:dyDescent="0.15">
      <c r="A16075" s="15"/>
      <c r="B16075" s="15"/>
    </row>
    <row r="16076" spans="1:2" x14ac:dyDescent="0.15">
      <c r="A16076" s="15"/>
      <c r="B16076" s="15"/>
    </row>
    <row r="16077" spans="1:2" x14ac:dyDescent="0.15">
      <c r="A16077" s="15"/>
      <c r="B16077" s="15"/>
    </row>
    <row r="16078" spans="1:2" x14ac:dyDescent="0.15">
      <c r="A16078" s="15"/>
      <c r="B16078" s="15"/>
    </row>
    <row r="16079" spans="1:2" x14ac:dyDescent="0.15">
      <c r="A16079" s="15"/>
      <c r="B16079" s="15"/>
    </row>
    <row r="16080" spans="1:2" x14ac:dyDescent="0.15">
      <c r="A16080" s="15"/>
      <c r="B16080" s="15"/>
    </row>
    <row r="16081" spans="1:2" x14ac:dyDescent="0.15">
      <c r="A16081" s="15"/>
      <c r="B16081" s="15"/>
    </row>
    <row r="16082" spans="1:2" x14ac:dyDescent="0.15">
      <c r="A16082" s="15"/>
      <c r="B16082" s="15"/>
    </row>
    <row r="16083" spans="1:2" x14ac:dyDescent="0.15">
      <c r="A16083" s="15"/>
      <c r="B16083" s="15"/>
    </row>
    <row r="16084" spans="1:2" x14ac:dyDescent="0.15">
      <c r="A16084" s="15"/>
      <c r="B16084" s="15"/>
    </row>
    <row r="16085" spans="1:2" x14ac:dyDescent="0.15">
      <c r="A16085" s="15"/>
      <c r="B16085" s="15"/>
    </row>
    <row r="16086" spans="1:2" x14ac:dyDescent="0.15">
      <c r="A16086" s="15"/>
      <c r="B16086" s="15"/>
    </row>
    <row r="16087" spans="1:2" x14ac:dyDescent="0.15">
      <c r="A16087" s="15"/>
      <c r="B16087" s="15"/>
    </row>
    <row r="16088" spans="1:2" x14ac:dyDescent="0.15">
      <c r="A16088" s="15"/>
      <c r="B16088" s="15"/>
    </row>
    <row r="16089" spans="1:2" x14ac:dyDescent="0.15">
      <c r="A16089" s="15"/>
      <c r="B16089" s="15"/>
    </row>
    <row r="16090" spans="1:2" x14ac:dyDescent="0.15">
      <c r="A16090" s="15"/>
      <c r="B16090" s="15"/>
    </row>
    <row r="16091" spans="1:2" x14ac:dyDescent="0.15">
      <c r="A16091" s="15"/>
      <c r="B16091" s="15"/>
    </row>
    <row r="16092" spans="1:2" x14ac:dyDescent="0.15">
      <c r="A16092" s="15"/>
      <c r="B16092" s="15"/>
    </row>
    <row r="16093" spans="1:2" x14ac:dyDescent="0.15">
      <c r="A16093" s="15"/>
      <c r="B16093" s="15"/>
    </row>
    <row r="16094" spans="1:2" x14ac:dyDescent="0.15">
      <c r="A16094" s="15"/>
      <c r="B16094" s="15"/>
    </row>
    <row r="16095" spans="1:2" x14ac:dyDescent="0.15">
      <c r="A16095" s="15"/>
      <c r="B16095" s="15"/>
    </row>
    <row r="16096" spans="1:2" x14ac:dyDescent="0.15">
      <c r="A16096" s="15"/>
      <c r="B16096" s="15"/>
    </row>
    <row r="16097" spans="1:2" x14ac:dyDescent="0.15">
      <c r="A16097" s="15"/>
      <c r="B16097" s="15"/>
    </row>
    <row r="16098" spans="1:2" x14ac:dyDescent="0.15">
      <c r="A16098" s="15"/>
      <c r="B16098" s="15"/>
    </row>
    <row r="16099" spans="1:2" x14ac:dyDescent="0.15">
      <c r="A16099" s="15"/>
      <c r="B16099" s="15"/>
    </row>
    <row r="16100" spans="1:2" x14ac:dyDescent="0.15">
      <c r="A16100" s="15"/>
      <c r="B16100" s="15"/>
    </row>
    <row r="16101" spans="1:2" x14ac:dyDescent="0.15">
      <c r="A16101" s="15"/>
      <c r="B16101" s="15"/>
    </row>
    <row r="16102" spans="1:2" x14ac:dyDescent="0.15">
      <c r="A16102" s="15"/>
      <c r="B16102" s="15"/>
    </row>
    <row r="16103" spans="1:2" x14ac:dyDescent="0.15">
      <c r="A16103" s="15"/>
      <c r="B16103" s="15"/>
    </row>
    <row r="16104" spans="1:2" x14ac:dyDescent="0.15">
      <c r="A16104" s="15"/>
      <c r="B16104" s="15"/>
    </row>
    <row r="16105" spans="1:2" x14ac:dyDescent="0.15">
      <c r="A16105" s="15"/>
      <c r="B16105" s="15"/>
    </row>
    <row r="16106" spans="1:2" x14ac:dyDescent="0.15">
      <c r="A16106" s="15"/>
      <c r="B16106" s="15"/>
    </row>
    <row r="16107" spans="1:2" x14ac:dyDescent="0.15">
      <c r="A16107" s="15"/>
      <c r="B16107" s="15"/>
    </row>
    <row r="16108" spans="1:2" x14ac:dyDescent="0.15">
      <c r="A16108" s="15"/>
      <c r="B16108" s="15"/>
    </row>
    <row r="16109" spans="1:2" x14ac:dyDescent="0.15">
      <c r="A16109" s="15"/>
      <c r="B16109" s="15"/>
    </row>
    <row r="16110" spans="1:2" x14ac:dyDescent="0.15">
      <c r="A16110" s="15"/>
      <c r="B16110" s="15"/>
    </row>
    <row r="16111" spans="1:2" x14ac:dyDescent="0.15">
      <c r="A16111" s="15"/>
      <c r="B16111" s="15"/>
    </row>
    <row r="16112" spans="1:2" x14ac:dyDescent="0.15">
      <c r="A16112" s="15"/>
      <c r="B16112" s="15"/>
    </row>
    <row r="16113" spans="1:2" x14ac:dyDescent="0.15">
      <c r="A16113" s="15"/>
      <c r="B16113" s="15"/>
    </row>
    <row r="16114" spans="1:2" x14ac:dyDescent="0.15">
      <c r="A16114" s="15"/>
      <c r="B16114" s="15"/>
    </row>
    <row r="16115" spans="1:2" x14ac:dyDescent="0.15">
      <c r="A16115" s="15"/>
      <c r="B16115" s="15"/>
    </row>
    <row r="16116" spans="1:2" x14ac:dyDescent="0.15">
      <c r="A16116" s="15"/>
      <c r="B16116" s="15"/>
    </row>
    <row r="16117" spans="1:2" x14ac:dyDescent="0.15">
      <c r="A16117" s="15"/>
      <c r="B16117" s="15"/>
    </row>
    <row r="16118" spans="1:2" x14ac:dyDescent="0.15">
      <c r="A16118" s="15"/>
      <c r="B16118" s="15"/>
    </row>
    <row r="16119" spans="1:2" x14ac:dyDescent="0.15">
      <c r="A16119" s="15"/>
      <c r="B16119" s="15"/>
    </row>
    <row r="16120" spans="1:2" x14ac:dyDescent="0.15">
      <c r="A16120" s="15"/>
      <c r="B16120" s="15"/>
    </row>
    <row r="16121" spans="1:2" x14ac:dyDescent="0.15">
      <c r="A16121" s="15"/>
      <c r="B16121" s="15"/>
    </row>
    <row r="16122" spans="1:2" x14ac:dyDescent="0.15">
      <c r="A16122" s="15"/>
      <c r="B16122" s="15"/>
    </row>
    <row r="16123" spans="1:2" x14ac:dyDescent="0.15">
      <c r="A16123" s="15"/>
      <c r="B16123" s="15"/>
    </row>
    <row r="16124" spans="1:2" x14ac:dyDescent="0.15">
      <c r="A16124" s="15"/>
      <c r="B16124" s="15"/>
    </row>
    <row r="16125" spans="1:2" x14ac:dyDescent="0.15">
      <c r="A16125" s="15"/>
      <c r="B16125" s="15"/>
    </row>
    <row r="16126" spans="1:2" x14ac:dyDescent="0.15">
      <c r="A16126" s="15"/>
      <c r="B16126" s="15"/>
    </row>
    <row r="16127" spans="1:2" x14ac:dyDescent="0.15">
      <c r="A16127" s="15"/>
      <c r="B16127" s="15"/>
    </row>
    <row r="16128" spans="1:2" x14ac:dyDescent="0.15">
      <c r="A16128" s="15"/>
      <c r="B16128" s="15"/>
    </row>
    <row r="16129" spans="1:2" x14ac:dyDescent="0.15">
      <c r="A16129" s="15"/>
      <c r="B16129" s="15"/>
    </row>
    <row r="16130" spans="1:2" x14ac:dyDescent="0.15">
      <c r="A16130" s="15"/>
      <c r="B16130" s="15"/>
    </row>
    <row r="16131" spans="1:2" x14ac:dyDescent="0.15">
      <c r="A16131" s="15"/>
      <c r="B16131" s="15"/>
    </row>
    <row r="16132" spans="1:2" x14ac:dyDescent="0.15">
      <c r="A16132" s="15"/>
      <c r="B16132" s="15"/>
    </row>
    <row r="16133" spans="1:2" x14ac:dyDescent="0.15">
      <c r="A16133" s="15"/>
      <c r="B16133" s="15"/>
    </row>
    <row r="16134" spans="1:2" x14ac:dyDescent="0.15">
      <c r="A16134" s="15"/>
      <c r="B16134" s="15"/>
    </row>
    <row r="16135" spans="1:2" x14ac:dyDescent="0.15">
      <c r="A16135" s="15"/>
      <c r="B16135" s="15"/>
    </row>
    <row r="16136" spans="1:2" x14ac:dyDescent="0.15">
      <c r="A16136" s="15"/>
      <c r="B16136" s="15"/>
    </row>
    <row r="16137" spans="1:2" x14ac:dyDescent="0.15">
      <c r="A16137" s="15"/>
      <c r="B16137" s="15"/>
    </row>
    <row r="16138" spans="1:2" x14ac:dyDescent="0.15">
      <c r="A16138" s="15"/>
      <c r="B16138" s="15"/>
    </row>
    <row r="16139" spans="1:2" x14ac:dyDescent="0.15">
      <c r="A16139" s="15"/>
      <c r="B16139" s="15"/>
    </row>
    <row r="16140" spans="1:2" x14ac:dyDescent="0.15">
      <c r="A16140" s="15"/>
      <c r="B16140" s="15"/>
    </row>
    <row r="16141" spans="1:2" x14ac:dyDescent="0.15">
      <c r="A16141" s="15"/>
      <c r="B16141" s="15"/>
    </row>
    <row r="16142" spans="1:2" x14ac:dyDescent="0.15">
      <c r="A16142" s="15"/>
      <c r="B16142" s="15"/>
    </row>
    <row r="16143" spans="1:2" x14ac:dyDescent="0.15">
      <c r="A16143" s="15"/>
      <c r="B16143" s="15"/>
    </row>
    <row r="16144" spans="1:2" x14ac:dyDescent="0.15">
      <c r="A16144" s="15"/>
      <c r="B16144" s="15"/>
    </row>
    <row r="16145" spans="1:2" x14ac:dyDescent="0.15">
      <c r="A16145" s="15"/>
      <c r="B16145" s="15"/>
    </row>
    <row r="16146" spans="1:2" x14ac:dyDescent="0.15">
      <c r="A16146" s="15"/>
      <c r="B16146" s="15"/>
    </row>
    <row r="16147" spans="1:2" x14ac:dyDescent="0.15">
      <c r="A16147" s="15"/>
      <c r="B16147" s="15"/>
    </row>
    <row r="16148" spans="1:2" x14ac:dyDescent="0.15">
      <c r="A16148" s="15"/>
      <c r="B16148" s="15"/>
    </row>
    <row r="16149" spans="1:2" x14ac:dyDescent="0.15">
      <c r="A16149" s="15"/>
      <c r="B16149" s="15"/>
    </row>
    <row r="16150" spans="1:2" x14ac:dyDescent="0.15">
      <c r="A16150" s="15"/>
      <c r="B16150" s="15"/>
    </row>
    <row r="16151" spans="1:2" x14ac:dyDescent="0.15">
      <c r="A16151" s="15"/>
      <c r="B16151" s="15"/>
    </row>
    <row r="16152" spans="1:2" x14ac:dyDescent="0.15">
      <c r="A16152" s="15"/>
      <c r="B16152" s="15"/>
    </row>
    <row r="16153" spans="1:2" x14ac:dyDescent="0.15">
      <c r="A16153" s="15"/>
      <c r="B16153" s="15"/>
    </row>
    <row r="16154" spans="1:2" x14ac:dyDescent="0.15">
      <c r="A16154" s="15"/>
      <c r="B16154" s="15"/>
    </row>
    <row r="16155" spans="1:2" x14ac:dyDescent="0.15">
      <c r="A16155" s="15"/>
      <c r="B16155" s="15"/>
    </row>
    <row r="16156" spans="1:2" x14ac:dyDescent="0.15">
      <c r="A16156" s="15"/>
      <c r="B16156" s="15"/>
    </row>
    <row r="16157" spans="1:2" x14ac:dyDescent="0.15">
      <c r="A16157" s="15"/>
      <c r="B16157" s="15"/>
    </row>
    <row r="16158" spans="1:2" x14ac:dyDescent="0.15">
      <c r="A16158" s="15"/>
      <c r="B16158" s="15"/>
    </row>
    <row r="16159" spans="1:2" x14ac:dyDescent="0.15">
      <c r="A16159" s="15"/>
      <c r="B16159" s="15"/>
    </row>
    <row r="16160" spans="1:2" x14ac:dyDescent="0.15">
      <c r="A16160" s="15"/>
      <c r="B16160" s="15"/>
    </row>
    <row r="16161" spans="1:2" x14ac:dyDescent="0.15">
      <c r="A16161" s="15"/>
      <c r="B16161" s="15"/>
    </row>
    <row r="16162" spans="1:2" x14ac:dyDescent="0.15">
      <c r="A16162" s="15"/>
      <c r="B16162" s="15"/>
    </row>
    <row r="16163" spans="1:2" x14ac:dyDescent="0.15">
      <c r="A16163" s="15"/>
      <c r="B16163" s="15"/>
    </row>
    <row r="16164" spans="1:2" x14ac:dyDescent="0.15">
      <c r="A16164" s="15"/>
      <c r="B16164" s="15"/>
    </row>
    <row r="16165" spans="1:2" x14ac:dyDescent="0.15">
      <c r="A16165" s="15"/>
      <c r="B16165" s="15"/>
    </row>
    <row r="16166" spans="1:2" x14ac:dyDescent="0.15">
      <c r="A16166" s="15"/>
      <c r="B16166" s="15"/>
    </row>
    <row r="16167" spans="1:2" x14ac:dyDescent="0.15">
      <c r="A16167" s="15"/>
      <c r="B16167" s="15"/>
    </row>
    <row r="16168" spans="1:2" x14ac:dyDescent="0.15">
      <c r="A16168" s="15"/>
      <c r="B16168" s="15"/>
    </row>
    <row r="16169" spans="1:2" x14ac:dyDescent="0.15">
      <c r="A16169" s="15"/>
      <c r="B16169" s="15"/>
    </row>
    <row r="16170" spans="1:2" x14ac:dyDescent="0.15">
      <c r="A16170" s="15"/>
      <c r="B16170" s="15"/>
    </row>
    <row r="16171" spans="1:2" x14ac:dyDescent="0.15">
      <c r="A16171" s="15"/>
      <c r="B16171" s="15"/>
    </row>
    <row r="16172" spans="1:2" x14ac:dyDescent="0.15">
      <c r="A16172" s="15"/>
      <c r="B16172" s="15"/>
    </row>
    <row r="16173" spans="1:2" x14ac:dyDescent="0.15">
      <c r="A16173" s="15"/>
      <c r="B16173" s="15"/>
    </row>
    <row r="16174" spans="1:2" x14ac:dyDescent="0.15">
      <c r="A16174" s="15"/>
      <c r="B16174" s="15"/>
    </row>
    <row r="16175" spans="1:2" x14ac:dyDescent="0.15">
      <c r="A16175" s="15"/>
      <c r="B16175" s="15"/>
    </row>
    <row r="16176" spans="1:2" x14ac:dyDescent="0.15">
      <c r="A16176" s="15"/>
      <c r="B16176" s="15"/>
    </row>
    <row r="16177" spans="1:2" x14ac:dyDescent="0.15">
      <c r="A16177" s="15"/>
      <c r="B16177" s="15"/>
    </row>
    <row r="16178" spans="1:2" x14ac:dyDescent="0.15">
      <c r="A16178" s="15"/>
      <c r="B16178" s="15"/>
    </row>
    <row r="16179" spans="1:2" x14ac:dyDescent="0.15">
      <c r="A16179" s="15"/>
      <c r="B16179" s="15"/>
    </row>
    <row r="16180" spans="1:2" x14ac:dyDescent="0.15">
      <c r="A16180" s="15"/>
      <c r="B16180" s="15"/>
    </row>
    <row r="16181" spans="1:2" x14ac:dyDescent="0.15">
      <c r="A16181" s="15"/>
      <c r="B16181" s="15"/>
    </row>
    <row r="16182" spans="1:2" x14ac:dyDescent="0.15">
      <c r="A16182" s="15"/>
      <c r="B16182" s="15"/>
    </row>
    <row r="16183" spans="1:2" x14ac:dyDescent="0.15">
      <c r="A16183" s="15"/>
      <c r="B16183" s="15"/>
    </row>
    <row r="16184" spans="1:2" x14ac:dyDescent="0.15">
      <c r="A16184" s="15"/>
      <c r="B16184" s="15"/>
    </row>
    <row r="16185" spans="1:2" x14ac:dyDescent="0.15">
      <c r="A16185" s="15"/>
      <c r="B16185" s="15"/>
    </row>
    <row r="16186" spans="1:2" x14ac:dyDescent="0.15">
      <c r="A16186" s="15"/>
      <c r="B16186" s="15"/>
    </row>
    <row r="16187" spans="1:2" x14ac:dyDescent="0.15">
      <c r="A16187" s="15"/>
      <c r="B16187" s="15"/>
    </row>
    <row r="16188" spans="1:2" x14ac:dyDescent="0.15">
      <c r="A16188" s="15"/>
      <c r="B16188" s="15"/>
    </row>
    <row r="16189" spans="1:2" x14ac:dyDescent="0.15">
      <c r="A16189" s="15"/>
      <c r="B16189" s="15"/>
    </row>
    <row r="16190" spans="1:2" x14ac:dyDescent="0.15">
      <c r="A16190" s="15"/>
      <c r="B16190" s="15"/>
    </row>
    <row r="16191" spans="1:2" x14ac:dyDescent="0.15">
      <c r="A16191" s="15"/>
      <c r="B16191" s="15"/>
    </row>
    <row r="16192" spans="1:2" x14ac:dyDescent="0.15">
      <c r="A16192" s="15"/>
      <c r="B16192" s="15"/>
    </row>
    <row r="16193" spans="1:2" x14ac:dyDescent="0.15">
      <c r="A16193" s="15"/>
      <c r="B16193" s="15"/>
    </row>
    <row r="16194" spans="1:2" x14ac:dyDescent="0.15">
      <c r="A16194" s="15"/>
      <c r="B16194" s="15"/>
    </row>
    <row r="16195" spans="1:2" x14ac:dyDescent="0.15">
      <c r="A16195" s="15"/>
      <c r="B16195" s="15"/>
    </row>
    <row r="16196" spans="1:2" x14ac:dyDescent="0.15">
      <c r="A16196" s="15"/>
      <c r="B16196" s="15"/>
    </row>
    <row r="16197" spans="1:2" x14ac:dyDescent="0.15">
      <c r="A16197" s="15"/>
      <c r="B16197" s="15"/>
    </row>
    <row r="16198" spans="1:2" x14ac:dyDescent="0.15">
      <c r="A16198" s="15"/>
      <c r="B16198" s="15"/>
    </row>
    <row r="16199" spans="1:2" x14ac:dyDescent="0.15">
      <c r="A16199" s="15"/>
      <c r="B16199" s="15"/>
    </row>
    <row r="16200" spans="1:2" x14ac:dyDescent="0.15">
      <c r="A16200" s="15"/>
      <c r="B16200" s="15"/>
    </row>
    <row r="16201" spans="1:2" x14ac:dyDescent="0.15">
      <c r="A16201" s="15"/>
      <c r="B16201" s="15"/>
    </row>
    <row r="16202" spans="1:2" x14ac:dyDescent="0.15">
      <c r="A16202" s="15"/>
      <c r="B16202" s="15"/>
    </row>
    <row r="16203" spans="1:2" x14ac:dyDescent="0.15">
      <c r="A16203" s="15"/>
      <c r="B16203" s="15"/>
    </row>
    <row r="16204" spans="1:2" x14ac:dyDescent="0.15">
      <c r="A16204" s="15"/>
      <c r="B16204" s="15"/>
    </row>
    <row r="16205" spans="1:2" x14ac:dyDescent="0.15">
      <c r="A16205" s="15"/>
      <c r="B16205" s="15"/>
    </row>
    <row r="16206" spans="1:2" x14ac:dyDescent="0.15">
      <c r="A16206" s="15"/>
      <c r="B16206" s="15"/>
    </row>
    <row r="16207" spans="1:2" x14ac:dyDescent="0.15">
      <c r="A16207" s="15"/>
      <c r="B16207" s="15"/>
    </row>
    <row r="16208" spans="1:2" x14ac:dyDescent="0.15">
      <c r="A16208" s="15"/>
      <c r="B16208" s="15"/>
    </row>
    <row r="16209" spans="1:2" x14ac:dyDescent="0.15">
      <c r="A16209" s="15"/>
      <c r="B16209" s="15"/>
    </row>
    <row r="16210" spans="1:2" x14ac:dyDescent="0.15">
      <c r="A16210" s="15"/>
      <c r="B16210" s="15"/>
    </row>
    <row r="16211" spans="1:2" x14ac:dyDescent="0.15">
      <c r="A16211" s="15"/>
      <c r="B16211" s="15"/>
    </row>
    <row r="16212" spans="1:2" x14ac:dyDescent="0.15">
      <c r="A16212" s="15"/>
      <c r="B16212" s="15"/>
    </row>
    <row r="16213" spans="1:2" x14ac:dyDescent="0.15">
      <c r="A16213" s="15"/>
      <c r="B16213" s="15"/>
    </row>
    <row r="16214" spans="1:2" x14ac:dyDescent="0.15">
      <c r="A16214" s="15"/>
      <c r="B16214" s="15"/>
    </row>
    <row r="16215" spans="1:2" x14ac:dyDescent="0.15">
      <c r="A16215" s="15"/>
      <c r="B16215" s="15"/>
    </row>
    <row r="16216" spans="1:2" x14ac:dyDescent="0.15">
      <c r="A16216" s="15"/>
      <c r="B16216" s="15"/>
    </row>
    <row r="16217" spans="1:2" x14ac:dyDescent="0.15">
      <c r="A16217" s="15"/>
      <c r="B16217" s="15"/>
    </row>
    <row r="16218" spans="1:2" x14ac:dyDescent="0.15">
      <c r="A16218" s="15"/>
      <c r="B16218" s="15"/>
    </row>
    <row r="16219" spans="1:2" x14ac:dyDescent="0.15">
      <c r="A16219" s="15"/>
      <c r="B16219" s="15"/>
    </row>
    <row r="16220" spans="1:2" x14ac:dyDescent="0.15">
      <c r="A16220" s="15"/>
      <c r="B16220" s="15"/>
    </row>
    <row r="16221" spans="1:2" x14ac:dyDescent="0.15">
      <c r="A16221" s="15"/>
      <c r="B16221" s="15"/>
    </row>
    <row r="16222" spans="1:2" x14ac:dyDescent="0.15">
      <c r="A16222" s="15"/>
      <c r="B16222" s="15"/>
    </row>
    <row r="16223" spans="1:2" x14ac:dyDescent="0.15">
      <c r="A16223" s="15"/>
      <c r="B16223" s="15"/>
    </row>
    <row r="16224" spans="1:2" x14ac:dyDescent="0.15">
      <c r="A16224" s="15"/>
      <c r="B16224" s="15"/>
    </row>
    <row r="16225" spans="1:2" x14ac:dyDescent="0.15">
      <c r="A16225" s="15"/>
      <c r="B16225" s="15"/>
    </row>
    <row r="16226" spans="1:2" x14ac:dyDescent="0.15">
      <c r="A16226" s="15"/>
      <c r="B16226" s="15"/>
    </row>
    <row r="16227" spans="1:2" x14ac:dyDescent="0.15">
      <c r="A16227" s="15"/>
      <c r="B16227" s="15"/>
    </row>
    <row r="16228" spans="1:2" x14ac:dyDescent="0.15">
      <c r="A16228" s="15"/>
      <c r="B16228" s="15"/>
    </row>
    <row r="16229" spans="1:2" x14ac:dyDescent="0.15">
      <c r="A16229" s="15"/>
      <c r="B16229" s="15"/>
    </row>
    <row r="16230" spans="1:2" x14ac:dyDescent="0.15">
      <c r="A16230" s="15"/>
      <c r="B16230" s="15"/>
    </row>
    <row r="16231" spans="1:2" x14ac:dyDescent="0.15">
      <c r="A16231" s="15"/>
      <c r="B16231" s="15"/>
    </row>
    <row r="16232" spans="1:2" x14ac:dyDescent="0.15">
      <c r="A16232" s="15"/>
      <c r="B16232" s="15"/>
    </row>
    <row r="16233" spans="1:2" x14ac:dyDescent="0.15">
      <c r="A16233" s="15"/>
      <c r="B16233" s="15"/>
    </row>
    <row r="16234" spans="1:2" x14ac:dyDescent="0.15">
      <c r="A16234" s="15"/>
      <c r="B16234" s="15"/>
    </row>
    <row r="16235" spans="1:2" x14ac:dyDescent="0.15">
      <c r="A16235" s="15"/>
      <c r="B16235" s="15"/>
    </row>
    <row r="16236" spans="1:2" x14ac:dyDescent="0.15">
      <c r="A16236" s="15"/>
      <c r="B16236" s="15"/>
    </row>
    <row r="16237" spans="1:2" x14ac:dyDescent="0.15">
      <c r="A16237" s="15"/>
      <c r="B16237" s="15"/>
    </row>
    <row r="16238" spans="1:2" x14ac:dyDescent="0.15">
      <c r="A16238" s="15"/>
      <c r="B16238" s="15"/>
    </row>
    <row r="16239" spans="1:2" x14ac:dyDescent="0.15">
      <c r="A16239" s="15"/>
      <c r="B16239" s="15"/>
    </row>
    <row r="16240" spans="1:2" x14ac:dyDescent="0.15">
      <c r="A16240" s="15"/>
      <c r="B16240" s="15"/>
    </row>
    <row r="16241" spans="1:2" x14ac:dyDescent="0.15">
      <c r="A16241" s="15"/>
      <c r="B16241" s="15"/>
    </row>
    <row r="16242" spans="1:2" x14ac:dyDescent="0.15">
      <c r="A16242" s="15"/>
      <c r="B16242" s="15"/>
    </row>
    <row r="16243" spans="1:2" x14ac:dyDescent="0.15">
      <c r="A16243" s="15"/>
      <c r="B16243" s="15"/>
    </row>
    <row r="16244" spans="1:2" x14ac:dyDescent="0.15">
      <c r="A16244" s="15"/>
      <c r="B16244" s="15"/>
    </row>
    <row r="16245" spans="1:2" x14ac:dyDescent="0.15">
      <c r="A16245" s="15"/>
      <c r="B16245" s="15"/>
    </row>
    <row r="16246" spans="1:2" x14ac:dyDescent="0.15">
      <c r="A16246" s="15"/>
      <c r="B16246" s="15"/>
    </row>
    <row r="16247" spans="1:2" x14ac:dyDescent="0.15">
      <c r="A16247" s="15"/>
      <c r="B16247" s="15"/>
    </row>
    <row r="16248" spans="1:2" x14ac:dyDescent="0.15">
      <c r="A16248" s="15"/>
      <c r="B16248" s="15"/>
    </row>
    <row r="16249" spans="1:2" x14ac:dyDescent="0.15">
      <c r="A16249" s="15"/>
      <c r="B16249" s="15"/>
    </row>
    <row r="16250" spans="1:2" x14ac:dyDescent="0.15">
      <c r="A16250" s="15"/>
      <c r="B16250" s="15"/>
    </row>
    <row r="16251" spans="1:2" x14ac:dyDescent="0.15">
      <c r="A16251" s="15"/>
      <c r="B16251" s="15"/>
    </row>
    <row r="16252" spans="1:2" x14ac:dyDescent="0.15">
      <c r="A16252" s="15"/>
      <c r="B16252" s="15"/>
    </row>
    <row r="16253" spans="1:2" x14ac:dyDescent="0.15">
      <c r="A16253" s="15"/>
      <c r="B16253" s="15"/>
    </row>
    <row r="16254" spans="1:2" x14ac:dyDescent="0.15">
      <c r="A16254" s="15"/>
      <c r="B16254" s="15"/>
    </row>
    <row r="16255" spans="1:2" x14ac:dyDescent="0.15">
      <c r="A16255" s="15"/>
      <c r="B16255" s="15"/>
    </row>
    <row r="16256" spans="1:2" x14ac:dyDescent="0.15">
      <c r="A16256" s="15"/>
      <c r="B16256" s="15"/>
    </row>
    <row r="16257" spans="1:2" x14ac:dyDescent="0.15">
      <c r="A16257" s="15"/>
      <c r="B16257" s="15"/>
    </row>
    <row r="16258" spans="1:2" x14ac:dyDescent="0.15">
      <c r="A16258" s="15"/>
      <c r="B16258" s="15"/>
    </row>
    <row r="16259" spans="1:2" x14ac:dyDescent="0.15">
      <c r="A16259" s="15"/>
      <c r="B16259" s="15"/>
    </row>
    <row r="16260" spans="1:2" x14ac:dyDescent="0.15">
      <c r="A16260" s="15"/>
      <c r="B16260" s="15"/>
    </row>
    <row r="16261" spans="1:2" x14ac:dyDescent="0.15">
      <c r="A16261" s="15"/>
      <c r="B16261" s="15"/>
    </row>
    <row r="16262" spans="1:2" x14ac:dyDescent="0.15">
      <c r="A16262" s="15"/>
      <c r="B16262" s="15"/>
    </row>
    <row r="16263" spans="1:2" x14ac:dyDescent="0.15">
      <c r="A16263" s="15"/>
      <c r="B16263" s="15"/>
    </row>
    <row r="16264" spans="1:2" x14ac:dyDescent="0.15">
      <c r="A16264" s="15"/>
      <c r="B16264" s="15"/>
    </row>
    <row r="16265" spans="1:2" x14ac:dyDescent="0.15">
      <c r="A16265" s="15"/>
      <c r="B16265" s="15"/>
    </row>
    <row r="16266" spans="1:2" x14ac:dyDescent="0.15">
      <c r="A16266" s="15"/>
      <c r="B16266" s="15"/>
    </row>
    <row r="16267" spans="1:2" x14ac:dyDescent="0.15">
      <c r="A16267" s="15"/>
      <c r="B16267" s="15"/>
    </row>
    <row r="16268" spans="1:2" x14ac:dyDescent="0.15">
      <c r="A16268" s="15"/>
      <c r="B16268" s="15"/>
    </row>
    <row r="16269" spans="1:2" x14ac:dyDescent="0.15">
      <c r="A16269" s="15"/>
      <c r="B16269" s="15"/>
    </row>
    <row r="16270" spans="1:2" x14ac:dyDescent="0.15">
      <c r="A16270" s="15"/>
      <c r="B16270" s="15"/>
    </row>
    <row r="16271" spans="1:2" x14ac:dyDescent="0.15">
      <c r="A16271" s="15"/>
      <c r="B16271" s="15"/>
    </row>
    <row r="16272" spans="1:2" x14ac:dyDescent="0.15">
      <c r="A16272" s="15"/>
      <c r="B16272" s="15"/>
    </row>
    <row r="16273" spans="1:2" x14ac:dyDescent="0.15">
      <c r="A16273" s="15"/>
      <c r="B16273" s="15"/>
    </row>
    <row r="16274" spans="1:2" x14ac:dyDescent="0.15">
      <c r="A16274" s="15"/>
      <c r="B16274" s="15"/>
    </row>
    <row r="16275" spans="1:2" x14ac:dyDescent="0.15">
      <c r="A16275" s="15"/>
      <c r="B16275" s="15"/>
    </row>
    <row r="16276" spans="1:2" x14ac:dyDescent="0.15">
      <c r="A16276" s="15"/>
      <c r="B16276" s="15"/>
    </row>
    <row r="16277" spans="1:2" x14ac:dyDescent="0.15">
      <c r="A16277" s="15"/>
      <c r="B16277" s="15"/>
    </row>
    <row r="16278" spans="1:2" x14ac:dyDescent="0.15">
      <c r="A16278" s="15"/>
      <c r="B16278" s="15"/>
    </row>
    <row r="16279" spans="1:2" x14ac:dyDescent="0.15">
      <c r="A16279" s="15"/>
      <c r="B16279" s="15"/>
    </row>
    <row r="16280" spans="1:2" x14ac:dyDescent="0.15">
      <c r="A16280" s="15"/>
      <c r="B16280" s="15"/>
    </row>
    <row r="16281" spans="1:2" x14ac:dyDescent="0.15">
      <c r="A16281" s="15"/>
      <c r="B16281" s="15"/>
    </row>
    <row r="16282" spans="1:2" x14ac:dyDescent="0.15">
      <c r="A16282" s="15"/>
      <c r="B16282" s="15"/>
    </row>
    <row r="16283" spans="1:2" x14ac:dyDescent="0.15">
      <c r="A16283" s="15"/>
      <c r="B16283" s="15"/>
    </row>
    <row r="16284" spans="1:2" x14ac:dyDescent="0.15">
      <c r="A16284" s="15"/>
      <c r="B16284" s="15"/>
    </row>
    <row r="16285" spans="1:2" x14ac:dyDescent="0.15">
      <c r="A16285" s="15"/>
      <c r="B16285" s="15"/>
    </row>
    <row r="16286" spans="1:2" x14ac:dyDescent="0.15">
      <c r="A16286" s="15"/>
      <c r="B16286" s="15"/>
    </row>
    <row r="16287" spans="1:2" x14ac:dyDescent="0.15">
      <c r="A16287" s="15"/>
      <c r="B16287" s="15"/>
    </row>
    <row r="16288" spans="1:2" x14ac:dyDescent="0.15">
      <c r="A16288" s="15"/>
      <c r="B16288" s="15"/>
    </row>
    <row r="16289" spans="1:2" x14ac:dyDescent="0.15">
      <c r="A16289" s="15"/>
      <c r="B16289" s="15"/>
    </row>
    <row r="16290" spans="1:2" x14ac:dyDescent="0.15">
      <c r="A16290" s="15"/>
      <c r="B16290" s="15"/>
    </row>
    <row r="16291" spans="1:2" x14ac:dyDescent="0.15">
      <c r="A16291" s="15"/>
      <c r="B16291" s="15"/>
    </row>
    <row r="16292" spans="1:2" x14ac:dyDescent="0.15">
      <c r="A16292" s="15"/>
      <c r="B16292" s="15"/>
    </row>
    <row r="16293" spans="1:2" x14ac:dyDescent="0.15">
      <c r="A16293" s="15"/>
      <c r="B16293" s="15"/>
    </row>
    <row r="16294" spans="1:2" x14ac:dyDescent="0.15">
      <c r="A16294" s="15"/>
      <c r="B16294" s="15"/>
    </row>
    <row r="16295" spans="1:2" x14ac:dyDescent="0.15">
      <c r="A16295" s="15"/>
      <c r="B16295" s="15"/>
    </row>
    <row r="16296" spans="1:2" x14ac:dyDescent="0.15">
      <c r="A16296" s="15"/>
      <c r="B16296" s="15"/>
    </row>
    <row r="16297" spans="1:2" x14ac:dyDescent="0.15">
      <c r="A16297" s="15"/>
      <c r="B16297" s="15"/>
    </row>
    <row r="16298" spans="1:2" x14ac:dyDescent="0.15">
      <c r="A16298" s="15"/>
      <c r="B16298" s="15"/>
    </row>
    <row r="16299" spans="1:2" x14ac:dyDescent="0.15">
      <c r="A16299" s="15"/>
      <c r="B16299" s="15"/>
    </row>
    <row r="16300" spans="1:2" x14ac:dyDescent="0.15">
      <c r="A16300" s="15"/>
      <c r="B16300" s="15"/>
    </row>
    <row r="16301" spans="1:2" x14ac:dyDescent="0.15">
      <c r="A16301" s="15"/>
      <c r="B16301" s="15"/>
    </row>
    <row r="16302" spans="1:2" x14ac:dyDescent="0.15">
      <c r="A16302" s="15"/>
      <c r="B16302" s="15"/>
    </row>
    <row r="16303" spans="1:2" x14ac:dyDescent="0.15">
      <c r="A16303" s="15"/>
      <c r="B16303" s="15"/>
    </row>
    <row r="16304" spans="1:2" x14ac:dyDescent="0.15">
      <c r="A16304" s="15"/>
      <c r="B16304" s="15"/>
    </row>
    <row r="16305" spans="1:2" x14ac:dyDescent="0.15">
      <c r="A16305" s="15"/>
      <c r="B16305" s="15"/>
    </row>
    <row r="16306" spans="1:2" x14ac:dyDescent="0.15">
      <c r="A16306" s="15"/>
      <c r="B16306" s="15"/>
    </row>
    <row r="16307" spans="1:2" x14ac:dyDescent="0.15">
      <c r="A16307" s="15"/>
      <c r="B16307" s="15"/>
    </row>
    <row r="16308" spans="1:2" x14ac:dyDescent="0.15">
      <c r="A16308" s="15"/>
      <c r="B16308" s="15"/>
    </row>
    <row r="16309" spans="1:2" x14ac:dyDescent="0.15">
      <c r="A16309" s="15"/>
      <c r="B16309" s="15"/>
    </row>
    <row r="16310" spans="1:2" x14ac:dyDescent="0.15">
      <c r="A16310" s="15"/>
      <c r="B16310" s="15"/>
    </row>
    <row r="16311" spans="1:2" x14ac:dyDescent="0.15">
      <c r="A16311" s="15"/>
      <c r="B16311" s="15"/>
    </row>
    <row r="16312" spans="1:2" x14ac:dyDescent="0.15">
      <c r="A16312" s="15"/>
      <c r="B16312" s="15"/>
    </row>
    <row r="16313" spans="1:2" x14ac:dyDescent="0.15">
      <c r="A16313" s="15"/>
      <c r="B16313" s="15"/>
    </row>
    <row r="16314" spans="1:2" x14ac:dyDescent="0.15">
      <c r="A16314" s="15"/>
      <c r="B16314" s="15"/>
    </row>
    <row r="16315" spans="1:2" x14ac:dyDescent="0.15">
      <c r="A16315" s="15"/>
      <c r="B16315" s="15"/>
    </row>
    <row r="16316" spans="1:2" x14ac:dyDescent="0.15">
      <c r="A16316" s="15"/>
      <c r="B16316" s="15"/>
    </row>
    <row r="16317" spans="1:2" x14ac:dyDescent="0.15">
      <c r="A16317" s="15"/>
      <c r="B16317" s="15"/>
    </row>
    <row r="16318" spans="1:2" x14ac:dyDescent="0.15">
      <c r="A16318" s="15"/>
      <c r="B16318" s="15"/>
    </row>
    <row r="16319" spans="1:2" x14ac:dyDescent="0.15">
      <c r="A16319" s="15"/>
      <c r="B16319" s="15"/>
    </row>
    <row r="16320" spans="1:2" x14ac:dyDescent="0.15">
      <c r="A16320" s="15"/>
      <c r="B16320" s="15"/>
    </row>
    <row r="16321" spans="1:2" x14ac:dyDescent="0.15">
      <c r="A16321" s="15"/>
      <c r="B16321" s="15"/>
    </row>
    <row r="16322" spans="1:2" x14ac:dyDescent="0.15">
      <c r="A16322" s="15"/>
      <c r="B16322" s="15"/>
    </row>
    <row r="16323" spans="1:2" x14ac:dyDescent="0.15">
      <c r="A16323" s="15"/>
      <c r="B16323" s="15"/>
    </row>
    <row r="16324" spans="1:2" x14ac:dyDescent="0.15">
      <c r="A16324" s="15"/>
      <c r="B16324" s="15"/>
    </row>
    <row r="16325" spans="1:2" x14ac:dyDescent="0.15">
      <c r="A16325" s="15"/>
      <c r="B16325" s="15"/>
    </row>
    <row r="16326" spans="1:2" x14ac:dyDescent="0.15">
      <c r="A16326" s="15"/>
      <c r="B16326" s="15"/>
    </row>
    <row r="16327" spans="1:2" x14ac:dyDescent="0.15">
      <c r="A16327" s="15"/>
      <c r="B16327" s="15"/>
    </row>
    <row r="16328" spans="1:2" x14ac:dyDescent="0.15">
      <c r="A16328" s="15"/>
      <c r="B16328" s="15"/>
    </row>
    <row r="16329" spans="1:2" x14ac:dyDescent="0.15">
      <c r="A16329" s="15"/>
      <c r="B16329" s="15"/>
    </row>
    <row r="16330" spans="1:2" x14ac:dyDescent="0.15">
      <c r="A16330" s="15"/>
      <c r="B16330" s="15"/>
    </row>
    <row r="16331" spans="1:2" x14ac:dyDescent="0.15">
      <c r="A16331" s="15"/>
      <c r="B16331" s="15"/>
    </row>
    <row r="16332" spans="1:2" x14ac:dyDescent="0.15">
      <c r="A16332" s="15"/>
      <c r="B16332" s="15"/>
    </row>
    <row r="16333" spans="1:2" x14ac:dyDescent="0.15">
      <c r="A16333" s="15"/>
      <c r="B16333" s="15"/>
    </row>
    <row r="16334" spans="1:2" x14ac:dyDescent="0.15">
      <c r="A16334" s="15"/>
      <c r="B16334" s="15"/>
    </row>
    <row r="16335" spans="1:2" x14ac:dyDescent="0.15">
      <c r="A16335" s="15"/>
      <c r="B16335" s="15"/>
    </row>
    <row r="16336" spans="1:2" x14ac:dyDescent="0.15">
      <c r="A16336" s="15"/>
      <c r="B16336" s="15"/>
    </row>
    <row r="16337" spans="1:2" x14ac:dyDescent="0.15">
      <c r="A16337" s="15"/>
      <c r="B16337" s="15"/>
    </row>
    <row r="16338" spans="1:2" x14ac:dyDescent="0.15">
      <c r="A16338" s="15"/>
      <c r="B16338" s="15"/>
    </row>
    <row r="16339" spans="1:2" x14ac:dyDescent="0.15">
      <c r="A16339" s="15"/>
      <c r="B16339" s="15"/>
    </row>
    <row r="16340" spans="1:2" x14ac:dyDescent="0.15">
      <c r="A16340" s="15"/>
      <c r="B16340" s="15"/>
    </row>
    <row r="16341" spans="1:2" x14ac:dyDescent="0.15">
      <c r="A16341" s="15"/>
      <c r="B16341" s="15"/>
    </row>
    <row r="16342" spans="1:2" x14ac:dyDescent="0.15">
      <c r="A16342" s="15"/>
      <c r="B16342" s="15"/>
    </row>
    <row r="16343" spans="1:2" x14ac:dyDescent="0.15">
      <c r="A16343" s="15"/>
      <c r="B16343" s="15"/>
    </row>
    <row r="16344" spans="1:2" x14ac:dyDescent="0.15">
      <c r="A16344" s="15"/>
      <c r="B16344" s="15"/>
    </row>
    <row r="16345" spans="1:2" x14ac:dyDescent="0.15">
      <c r="A16345" s="15"/>
      <c r="B16345" s="15"/>
    </row>
    <row r="16346" spans="1:2" x14ac:dyDescent="0.15">
      <c r="A16346" s="15"/>
      <c r="B16346" s="15"/>
    </row>
    <row r="16347" spans="1:2" x14ac:dyDescent="0.15">
      <c r="A16347" s="15"/>
      <c r="B16347" s="15"/>
    </row>
    <row r="16348" spans="1:2" x14ac:dyDescent="0.15">
      <c r="A16348" s="15"/>
      <c r="B16348" s="15"/>
    </row>
    <row r="16349" spans="1:2" x14ac:dyDescent="0.15">
      <c r="A16349" s="15"/>
      <c r="B16349" s="15"/>
    </row>
    <row r="16350" spans="1:2" x14ac:dyDescent="0.15">
      <c r="A16350" s="15"/>
      <c r="B16350" s="15"/>
    </row>
    <row r="16351" spans="1:2" x14ac:dyDescent="0.15">
      <c r="A16351" s="15"/>
      <c r="B16351" s="15"/>
    </row>
    <row r="16352" spans="1:2" x14ac:dyDescent="0.15">
      <c r="A16352" s="15"/>
      <c r="B16352" s="15"/>
    </row>
    <row r="16353" spans="1:2" x14ac:dyDescent="0.15">
      <c r="A16353" s="15"/>
      <c r="B16353" s="15"/>
    </row>
    <row r="16354" spans="1:2" x14ac:dyDescent="0.15">
      <c r="A16354" s="15"/>
      <c r="B16354" s="15"/>
    </row>
    <row r="16355" spans="1:2" x14ac:dyDescent="0.15">
      <c r="A16355" s="15"/>
      <c r="B16355" s="15"/>
    </row>
    <row r="16356" spans="1:2" x14ac:dyDescent="0.15">
      <c r="A16356" s="15"/>
      <c r="B16356" s="15"/>
    </row>
    <row r="16357" spans="1:2" x14ac:dyDescent="0.15">
      <c r="A16357" s="15"/>
      <c r="B16357" s="15"/>
    </row>
    <row r="16358" spans="1:2" x14ac:dyDescent="0.15">
      <c r="A16358" s="15"/>
      <c r="B16358" s="15"/>
    </row>
    <row r="16359" spans="1:2" x14ac:dyDescent="0.15">
      <c r="A16359" s="15"/>
      <c r="B16359" s="15"/>
    </row>
    <row r="16360" spans="1:2" x14ac:dyDescent="0.15">
      <c r="A16360" s="15"/>
      <c r="B16360" s="15"/>
    </row>
    <row r="16361" spans="1:2" x14ac:dyDescent="0.15">
      <c r="A16361" s="15"/>
      <c r="B16361" s="15"/>
    </row>
    <row r="16362" spans="1:2" x14ac:dyDescent="0.15">
      <c r="A16362" s="15"/>
      <c r="B16362" s="15"/>
    </row>
    <row r="16363" spans="1:2" x14ac:dyDescent="0.15">
      <c r="A16363" s="15"/>
      <c r="B16363" s="15"/>
    </row>
    <row r="16364" spans="1:2" x14ac:dyDescent="0.15">
      <c r="A16364" s="15"/>
      <c r="B16364" s="15"/>
    </row>
    <row r="16365" spans="1:2" x14ac:dyDescent="0.15">
      <c r="A16365" s="15"/>
      <c r="B16365" s="15"/>
    </row>
    <row r="16366" spans="1:2" x14ac:dyDescent="0.15">
      <c r="A16366" s="15"/>
      <c r="B16366" s="15"/>
    </row>
    <row r="16367" spans="1:2" x14ac:dyDescent="0.15">
      <c r="A16367" s="15"/>
      <c r="B16367" s="15"/>
    </row>
    <row r="16368" spans="1:2" x14ac:dyDescent="0.15">
      <c r="A16368" s="15"/>
      <c r="B16368" s="15"/>
    </row>
    <row r="16369" spans="1:2" x14ac:dyDescent="0.15">
      <c r="A16369" s="15"/>
      <c r="B16369" s="15"/>
    </row>
    <row r="16370" spans="1:2" x14ac:dyDescent="0.15">
      <c r="A16370" s="15"/>
      <c r="B16370" s="15"/>
    </row>
    <row r="16371" spans="1:2" x14ac:dyDescent="0.15">
      <c r="A16371" s="15"/>
      <c r="B16371" s="15"/>
    </row>
    <row r="16372" spans="1:2" x14ac:dyDescent="0.15">
      <c r="A16372" s="15"/>
      <c r="B16372" s="15"/>
    </row>
    <row r="16373" spans="1:2" x14ac:dyDescent="0.15">
      <c r="A16373" s="15"/>
      <c r="B16373" s="15"/>
    </row>
    <row r="16374" spans="1:2" x14ac:dyDescent="0.15">
      <c r="A16374" s="15"/>
      <c r="B16374" s="15"/>
    </row>
    <row r="16375" spans="1:2" x14ac:dyDescent="0.15">
      <c r="A16375" s="15"/>
      <c r="B16375" s="15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094B-863E-264A-B571-197E03062D11}">
  <dimension ref="C3:J325"/>
  <sheetViews>
    <sheetView zoomScale="171" zoomScaleNormal="171" workbookViewId="0">
      <selection activeCell="I6" sqref="I6"/>
    </sheetView>
  </sheetViews>
  <sheetFormatPr baseColWidth="10" defaultRowHeight="14" x14ac:dyDescent="0.15"/>
  <sheetData>
    <row r="3" spans="3:10" x14ac:dyDescent="0.15">
      <c r="G3" t="s">
        <v>152</v>
      </c>
    </row>
    <row r="4" spans="3:10" x14ac:dyDescent="0.15">
      <c r="G4">
        <v>12</v>
      </c>
    </row>
    <row r="5" spans="3:10" ht="30" x14ac:dyDescent="0.15">
      <c r="C5" s="10" t="s">
        <v>28</v>
      </c>
      <c r="D5" s="10" t="s">
        <v>43</v>
      </c>
      <c r="E5" s="10" t="s">
        <v>123</v>
      </c>
      <c r="F5" s="10" t="s">
        <v>124</v>
      </c>
      <c r="G5" s="10" t="s">
        <v>153</v>
      </c>
      <c r="H5" s="10" t="s">
        <v>154</v>
      </c>
      <c r="I5" s="10" t="s">
        <v>163</v>
      </c>
      <c r="J5" s="10" t="s">
        <v>162</v>
      </c>
    </row>
    <row r="6" spans="3:10" x14ac:dyDescent="0.15">
      <c r="C6" s="3">
        <v>3.1793999999999998</v>
      </c>
      <c r="D6" s="3" t="s">
        <v>71</v>
      </c>
      <c r="E6" s="1">
        <v>10.8</v>
      </c>
      <c r="F6" s="1" t="s">
        <v>71</v>
      </c>
      <c r="G6">
        <f>ROUND((C6*(100-E6)/(100-$G$4)),1)</f>
        <v>3.2</v>
      </c>
      <c r="H6" s="1" t="s">
        <v>71</v>
      </c>
    </row>
    <row r="7" spans="3:10" x14ac:dyDescent="0.15">
      <c r="C7" s="3">
        <v>3.8359999999999999</v>
      </c>
      <c r="D7" s="3" t="s">
        <v>71</v>
      </c>
      <c r="E7" s="1">
        <v>10.6</v>
      </c>
      <c r="F7" s="1" t="s">
        <v>71</v>
      </c>
      <c r="G7">
        <f t="shared" ref="G7:G23" si="0">ROUND((C7*(100-E7)/(100-$G$4)),1)</f>
        <v>3.9</v>
      </c>
      <c r="H7" s="1" t="s">
        <v>71</v>
      </c>
    </row>
    <row r="8" spans="3:10" x14ac:dyDescent="0.15">
      <c r="C8" s="3">
        <v>2.8530000000000002</v>
      </c>
      <c r="D8" s="3" t="s">
        <v>71</v>
      </c>
      <c r="E8" s="1">
        <v>10.5</v>
      </c>
      <c r="F8" s="1" t="s">
        <v>71</v>
      </c>
      <c r="G8">
        <f t="shared" si="0"/>
        <v>2.9</v>
      </c>
      <c r="H8" s="1" t="s">
        <v>71</v>
      </c>
    </row>
    <row r="9" spans="3:10" x14ac:dyDescent="0.15">
      <c r="C9" s="3">
        <v>3.6263000000000001</v>
      </c>
      <c r="D9" s="3" t="s">
        <v>71</v>
      </c>
      <c r="E9" s="1">
        <v>10.9</v>
      </c>
      <c r="F9" s="1" t="s">
        <v>71</v>
      </c>
      <c r="G9">
        <f t="shared" si="0"/>
        <v>3.7</v>
      </c>
      <c r="H9" s="1" t="s">
        <v>71</v>
      </c>
    </row>
    <row r="10" spans="3:10" x14ac:dyDescent="0.15">
      <c r="C10" s="3">
        <v>4.5746000000000002</v>
      </c>
      <c r="D10" s="3" t="s">
        <v>71</v>
      </c>
      <c r="E10" s="1">
        <v>10.5</v>
      </c>
      <c r="F10" s="1" t="s">
        <v>71</v>
      </c>
      <c r="G10">
        <f t="shared" si="0"/>
        <v>4.7</v>
      </c>
      <c r="H10" s="1" t="s">
        <v>71</v>
      </c>
    </row>
    <row r="11" spans="3:10" x14ac:dyDescent="0.15">
      <c r="C11" s="3">
        <v>3.8795999999999999</v>
      </c>
      <c r="D11" s="3" t="s">
        <v>71</v>
      </c>
      <c r="E11" s="1">
        <v>10.7</v>
      </c>
      <c r="F11" s="1" t="s">
        <v>71</v>
      </c>
      <c r="G11">
        <f t="shared" si="0"/>
        <v>3.9</v>
      </c>
      <c r="H11" s="1" t="s">
        <v>71</v>
      </c>
    </row>
    <row r="12" spans="3:10" x14ac:dyDescent="0.15">
      <c r="C12" s="3" t="s">
        <v>71</v>
      </c>
      <c r="D12" s="3">
        <v>2.2370000000000001</v>
      </c>
      <c r="E12" s="1" t="s">
        <v>71</v>
      </c>
      <c r="F12" s="1">
        <v>10</v>
      </c>
      <c r="G12" s="1" t="s">
        <v>71</v>
      </c>
      <c r="H12">
        <f>ROUND((D12*(100-F12)/(100-$G$4)),1)</f>
        <v>2.2999999999999998</v>
      </c>
    </row>
    <row r="13" spans="3:10" x14ac:dyDescent="0.15">
      <c r="C13" s="3" t="s">
        <v>71</v>
      </c>
      <c r="D13" s="3">
        <v>2.1150000000000002</v>
      </c>
      <c r="E13" s="1" t="s">
        <v>71</v>
      </c>
      <c r="F13" s="1">
        <v>10.1</v>
      </c>
      <c r="G13" s="1" t="s">
        <v>71</v>
      </c>
      <c r="H13">
        <f t="shared" ref="H13:H23" si="1">ROUND((D13*(100-F13)/(100-$G$4)),1)</f>
        <v>2.2000000000000002</v>
      </c>
    </row>
    <row r="14" spans="3:10" x14ac:dyDescent="0.15">
      <c r="C14" s="3" t="s">
        <v>71</v>
      </c>
      <c r="D14" s="3">
        <v>2.73</v>
      </c>
      <c r="E14" s="1" t="s">
        <v>71</v>
      </c>
      <c r="F14" s="1">
        <v>9.3000000000000007</v>
      </c>
      <c r="G14" s="1" t="s">
        <v>71</v>
      </c>
      <c r="H14">
        <f t="shared" si="1"/>
        <v>2.8</v>
      </c>
    </row>
    <row r="15" spans="3:10" x14ac:dyDescent="0.15">
      <c r="C15" s="3">
        <v>0.56999999999999995</v>
      </c>
      <c r="D15" s="3">
        <v>2.06</v>
      </c>
      <c r="E15" s="1">
        <v>10.6</v>
      </c>
      <c r="F15" s="1">
        <v>10.199999999999999</v>
      </c>
      <c r="G15">
        <f t="shared" si="0"/>
        <v>0.6</v>
      </c>
      <c r="H15">
        <f t="shared" si="1"/>
        <v>2.1</v>
      </c>
    </row>
    <row r="16" spans="3:10" x14ac:dyDescent="0.15">
      <c r="C16" s="3">
        <v>0.5776</v>
      </c>
      <c r="D16" s="3">
        <v>2.2450000000000001</v>
      </c>
      <c r="E16" s="1">
        <v>10.5</v>
      </c>
      <c r="F16" s="1">
        <v>10</v>
      </c>
      <c r="G16">
        <f t="shared" si="0"/>
        <v>0.6</v>
      </c>
      <c r="H16">
        <f t="shared" si="1"/>
        <v>2.2999999999999998</v>
      </c>
    </row>
    <row r="17" spans="3:8" x14ac:dyDescent="0.15">
      <c r="C17" s="3">
        <v>0.64859999999999995</v>
      </c>
      <c r="D17" s="3">
        <v>2.2879999999999998</v>
      </c>
      <c r="E17" s="1">
        <v>10.199999999999999</v>
      </c>
      <c r="F17" s="1">
        <v>9.6999999999999993</v>
      </c>
      <c r="G17">
        <f t="shared" si="0"/>
        <v>0.7</v>
      </c>
      <c r="H17">
        <f t="shared" si="1"/>
        <v>2.2999999999999998</v>
      </c>
    </row>
    <row r="18" spans="3:8" x14ac:dyDescent="0.15">
      <c r="C18" s="3">
        <v>1.0454000000000001</v>
      </c>
      <c r="D18" s="3">
        <v>2.2633999999999999</v>
      </c>
      <c r="E18" s="1">
        <v>11</v>
      </c>
      <c r="F18" s="1">
        <v>10</v>
      </c>
      <c r="G18">
        <f t="shared" si="0"/>
        <v>1.1000000000000001</v>
      </c>
      <c r="H18">
        <f t="shared" si="1"/>
        <v>2.2999999999999998</v>
      </c>
    </row>
    <row r="19" spans="3:8" x14ac:dyDescent="0.15">
      <c r="C19" s="3">
        <v>1.2115</v>
      </c>
      <c r="D19" s="3">
        <v>3.1755</v>
      </c>
      <c r="E19" s="1">
        <v>10.7</v>
      </c>
      <c r="F19" s="1">
        <v>10</v>
      </c>
      <c r="G19">
        <f t="shared" si="0"/>
        <v>1.2</v>
      </c>
      <c r="H19">
        <f t="shared" si="1"/>
        <v>3.2</v>
      </c>
    </row>
    <row r="20" spans="3:8" x14ac:dyDescent="0.15">
      <c r="C20" s="3">
        <v>1.1335</v>
      </c>
      <c r="D20" s="3">
        <v>1.9390000000000001</v>
      </c>
      <c r="E20" s="1">
        <v>10.7</v>
      </c>
      <c r="F20" s="1">
        <v>8.8000000000000007</v>
      </c>
      <c r="G20">
        <f t="shared" si="0"/>
        <v>1.2</v>
      </c>
      <c r="H20">
        <f t="shared" si="1"/>
        <v>2</v>
      </c>
    </row>
    <row r="21" spans="3:8" x14ac:dyDescent="0.15">
      <c r="C21" s="3">
        <v>0.46450000000000002</v>
      </c>
      <c r="D21" s="3">
        <v>2.76275</v>
      </c>
      <c r="E21" s="1">
        <v>10.3</v>
      </c>
      <c r="F21" s="1">
        <v>9.9</v>
      </c>
      <c r="G21">
        <f t="shared" si="0"/>
        <v>0.5</v>
      </c>
      <c r="H21">
        <f t="shared" si="1"/>
        <v>2.8</v>
      </c>
    </row>
    <row r="22" spans="3:8" x14ac:dyDescent="0.15">
      <c r="C22" s="3">
        <v>0.46350000000000002</v>
      </c>
      <c r="D22" s="3">
        <v>2.3527999999999998</v>
      </c>
      <c r="E22" s="1">
        <v>9.1</v>
      </c>
      <c r="F22" s="1">
        <v>10.4</v>
      </c>
      <c r="G22">
        <f t="shared" si="0"/>
        <v>0.5</v>
      </c>
      <c r="H22">
        <f t="shared" si="1"/>
        <v>2.4</v>
      </c>
    </row>
    <row r="23" spans="3:8" x14ac:dyDescent="0.15">
      <c r="C23" s="3">
        <v>0.55900000000000005</v>
      </c>
      <c r="D23" s="3">
        <v>2.419</v>
      </c>
      <c r="E23" s="1">
        <v>10.5</v>
      </c>
      <c r="F23" s="1">
        <v>9.1</v>
      </c>
      <c r="G23">
        <f t="shared" si="0"/>
        <v>0.6</v>
      </c>
      <c r="H23">
        <f t="shared" si="1"/>
        <v>2.5</v>
      </c>
    </row>
    <row r="24" spans="3:8" x14ac:dyDescent="0.15">
      <c r="C24" s="3">
        <v>2.0369999999999999</v>
      </c>
      <c r="D24" s="3" t="s">
        <v>71</v>
      </c>
      <c r="E24" s="1" t="s">
        <v>71</v>
      </c>
      <c r="F24" s="1" t="s">
        <v>71</v>
      </c>
      <c r="G24" s="1" t="s">
        <v>71</v>
      </c>
      <c r="H24" s="1" t="s">
        <v>71</v>
      </c>
    </row>
    <row r="25" spans="3:8" x14ac:dyDescent="0.15">
      <c r="C25" s="3">
        <v>2.4E-2</v>
      </c>
      <c r="D25" s="3" t="s">
        <v>71</v>
      </c>
      <c r="E25" s="1" t="s">
        <v>71</v>
      </c>
      <c r="F25" s="1" t="s">
        <v>71</v>
      </c>
      <c r="G25" s="1" t="s">
        <v>71</v>
      </c>
      <c r="H25" s="1" t="s">
        <v>71</v>
      </c>
    </row>
    <row r="26" spans="3:8" x14ac:dyDescent="0.15">
      <c r="C26" s="3">
        <v>3.6070000000000002</v>
      </c>
      <c r="D26" s="3" t="s">
        <v>71</v>
      </c>
      <c r="E26" s="1">
        <v>10.4</v>
      </c>
      <c r="F26" s="1" t="s">
        <v>71</v>
      </c>
      <c r="G26">
        <f>ROUND((C26*(100-E26)/(100-$G$4)),1)</f>
        <v>3.7</v>
      </c>
      <c r="H26" s="1" t="s">
        <v>71</v>
      </c>
    </row>
    <row r="27" spans="3:8" x14ac:dyDescent="0.15">
      <c r="C27" s="3">
        <v>3.9</v>
      </c>
      <c r="D27" s="3" t="s">
        <v>71</v>
      </c>
      <c r="E27" s="1">
        <v>10.6</v>
      </c>
      <c r="F27" s="1" t="s">
        <v>71</v>
      </c>
      <c r="G27">
        <f t="shared" ref="G27:G31" si="2">ROUND((C27*(100-E27)/(100-$G$4)),1)</f>
        <v>4</v>
      </c>
      <c r="H27" s="1" t="s">
        <v>71</v>
      </c>
    </row>
    <row r="28" spans="3:8" x14ac:dyDescent="0.15">
      <c r="C28" s="3">
        <v>3.55</v>
      </c>
      <c r="D28" s="3" t="s">
        <v>71</v>
      </c>
      <c r="E28" s="1">
        <v>10.6</v>
      </c>
      <c r="F28" s="1" t="s">
        <v>71</v>
      </c>
      <c r="G28">
        <f t="shared" si="2"/>
        <v>3.6</v>
      </c>
      <c r="H28" s="1" t="s">
        <v>71</v>
      </c>
    </row>
    <row r="29" spans="3:8" x14ac:dyDescent="0.15">
      <c r="C29" s="3">
        <v>4.1319999999999997</v>
      </c>
      <c r="D29" s="3" t="s">
        <v>71</v>
      </c>
      <c r="E29" s="1">
        <v>10.7</v>
      </c>
      <c r="F29" s="1" t="s">
        <v>71</v>
      </c>
      <c r="G29">
        <f t="shared" si="2"/>
        <v>4.2</v>
      </c>
      <c r="H29" s="1" t="s">
        <v>71</v>
      </c>
    </row>
    <row r="30" spans="3:8" x14ac:dyDescent="0.15">
      <c r="C30" s="3">
        <v>4.3019999999999996</v>
      </c>
      <c r="D30" s="3" t="s">
        <v>71</v>
      </c>
      <c r="E30" s="1">
        <v>10.9</v>
      </c>
      <c r="F30" s="1" t="s">
        <v>71</v>
      </c>
      <c r="G30">
        <f t="shared" si="2"/>
        <v>4.4000000000000004</v>
      </c>
      <c r="H30" s="1" t="s">
        <v>71</v>
      </c>
    </row>
    <row r="31" spans="3:8" x14ac:dyDescent="0.15">
      <c r="C31" s="3">
        <v>4.0694999999999997</v>
      </c>
      <c r="D31" s="3" t="s">
        <v>71</v>
      </c>
      <c r="E31" s="1">
        <v>10.9</v>
      </c>
      <c r="F31" s="1" t="s">
        <v>71</v>
      </c>
      <c r="G31">
        <f t="shared" si="2"/>
        <v>4.0999999999999996</v>
      </c>
      <c r="H31" s="1" t="s">
        <v>71</v>
      </c>
    </row>
    <row r="32" spans="3:8" x14ac:dyDescent="0.15">
      <c r="C32" s="3" t="s">
        <v>71</v>
      </c>
      <c r="D32" s="3">
        <v>2.891</v>
      </c>
      <c r="E32" s="1" t="s">
        <v>71</v>
      </c>
      <c r="F32" s="1">
        <v>9.9</v>
      </c>
      <c r="G32" s="1" t="s">
        <v>71</v>
      </c>
      <c r="H32">
        <f>ROUND((D32*(100-F32)/(100-$G$4)),1)</f>
        <v>3</v>
      </c>
    </row>
    <row r="33" spans="3:8" x14ac:dyDescent="0.15">
      <c r="C33" s="3" t="s">
        <v>71</v>
      </c>
      <c r="D33" s="3">
        <v>2.351</v>
      </c>
      <c r="E33" s="1" t="s">
        <v>71</v>
      </c>
      <c r="F33" s="1">
        <v>10</v>
      </c>
      <c r="G33" s="1" t="s">
        <v>71</v>
      </c>
      <c r="H33">
        <f t="shared" ref="H33:H43" si="3">ROUND((D33*(100-F33)/(100-$G$4)),1)</f>
        <v>2.4</v>
      </c>
    </row>
    <row r="34" spans="3:8" x14ac:dyDescent="0.15">
      <c r="C34" s="3" t="s">
        <v>71</v>
      </c>
      <c r="D34" s="3">
        <v>2.6520000000000001</v>
      </c>
      <c r="E34" s="1" t="s">
        <v>71</v>
      </c>
      <c r="F34" s="1">
        <v>9.1999999999999993</v>
      </c>
      <c r="G34" s="1" t="s">
        <v>71</v>
      </c>
      <c r="H34">
        <f t="shared" si="3"/>
        <v>2.7</v>
      </c>
    </row>
    <row r="35" spans="3:8" x14ac:dyDescent="0.15">
      <c r="C35" s="3">
        <v>0.82240000000000002</v>
      </c>
      <c r="D35" s="3">
        <v>2.2248000000000001</v>
      </c>
      <c r="E35" s="1">
        <v>10.6</v>
      </c>
      <c r="F35" s="1">
        <v>10</v>
      </c>
      <c r="G35">
        <f t="shared" ref="G35:G43" si="4">ROUND((C35*(100-E35)/(100-$G$4)),1)</f>
        <v>0.8</v>
      </c>
      <c r="H35">
        <f t="shared" si="3"/>
        <v>2.2999999999999998</v>
      </c>
    </row>
    <row r="36" spans="3:8" x14ac:dyDescent="0.15">
      <c r="C36" s="3">
        <v>0.75619999999999998</v>
      </c>
      <c r="D36" s="3">
        <v>2.0442</v>
      </c>
      <c r="E36" s="1">
        <v>10.8</v>
      </c>
      <c r="F36" s="1">
        <v>9.9</v>
      </c>
      <c r="G36">
        <f t="shared" si="4"/>
        <v>0.8</v>
      </c>
      <c r="H36">
        <f t="shared" si="3"/>
        <v>2.1</v>
      </c>
    </row>
    <row r="37" spans="3:8" x14ac:dyDescent="0.15">
      <c r="C37" s="3">
        <v>1.274</v>
      </c>
      <c r="D37" s="3">
        <v>2.0030000000000001</v>
      </c>
      <c r="E37" s="1">
        <v>10.7</v>
      </c>
      <c r="F37" s="1">
        <v>8.6</v>
      </c>
      <c r="G37">
        <f t="shared" si="4"/>
        <v>1.3</v>
      </c>
      <c r="H37">
        <f t="shared" si="3"/>
        <v>2.1</v>
      </c>
    </row>
    <row r="38" spans="3:8" x14ac:dyDescent="0.15">
      <c r="C38" s="3">
        <v>0.95499999999999996</v>
      </c>
      <c r="D38" s="3">
        <v>2.5884999999999998</v>
      </c>
      <c r="E38" s="1">
        <v>10.7</v>
      </c>
      <c r="F38" s="1">
        <v>10.1</v>
      </c>
      <c r="G38">
        <f t="shared" si="4"/>
        <v>1</v>
      </c>
      <c r="H38">
        <f t="shared" si="3"/>
        <v>2.6</v>
      </c>
    </row>
    <row r="39" spans="3:8" x14ac:dyDescent="0.15">
      <c r="C39" s="3">
        <v>0.80649999999999999</v>
      </c>
      <c r="D39" s="3">
        <v>2.1850000000000001</v>
      </c>
      <c r="E39" s="1">
        <v>10.8</v>
      </c>
      <c r="F39" s="1">
        <v>10.3</v>
      </c>
      <c r="G39">
        <f t="shared" si="4"/>
        <v>0.8</v>
      </c>
      <c r="H39">
        <f t="shared" si="3"/>
        <v>2.2000000000000002</v>
      </c>
    </row>
    <row r="40" spans="3:8" x14ac:dyDescent="0.15">
      <c r="C40" s="3">
        <v>1.1144000000000001</v>
      </c>
      <c r="D40" s="3">
        <v>2.2040000000000002</v>
      </c>
      <c r="E40" s="1">
        <v>10.6</v>
      </c>
      <c r="F40" s="1">
        <v>9</v>
      </c>
      <c r="G40">
        <f t="shared" si="4"/>
        <v>1.1000000000000001</v>
      </c>
      <c r="H40">
        <f t="shared" si="3"/>
        <v>2.2999999999999998</v>
      </c>
    </row>
    <row r="41" spans="3:8" x14ac:dyDescent="0.15">
      <c r="C41" s="3">
        <v>0.40949999999999998</v>
      </c>
      <c r="D41" s="3">
        <v>2.7240000000000002</v>
      </c>
      <c r="E41" s="1">
        <v>10.4</v>
      </c>
      <c r="F41" s="1">
        <v>9.6999999999999993</v>
      </c>
      <c r="G41">
        <f t="shared" si="4"/>
        <v>0.4</v>
      </c>
      <c r="H41">
        <f t="shared" si="3"/>
        <v>2.8</v>
      </c>
    </row>
    <row r="42" spans="3:8" x14ac:dyDescent="0.15">
      <c r="C42" s="3">
        <v>0.77849999999999997</v>
      </c>
      <c r="D42" s="3">
        <v>2.5981000000000001</v>
      </c>
      <c r="E42" s="1">
        <v>10.9</v>
      </c>
      <c r="F42" s="1">
        <v>10.5</v>
      </c>
      <c r="G42">
        <f t="shared" si="4"/>
        <v>0.8</v>
      </c>
      <c r="H42">
        <f t="shared" si="3"/>
        <v>2.6</v>
      </c>
    </row>
    <row r="43" spans="3:8" x14ac:dyDescent="0.15">
      <c r="C43" s="3">
        <v>0.70599999999999996</v>
      </c>
      <c r="D43" s="3">
        <v>2.423</v>
      </c>
      <c r="E43" s="1">
        <v>10.6</v>
      </c>
      <c r="F43" s="1">
        <v>9.6</v>
      </c>
      <c r="G43">
        <f t="shared" si="4"/>
        <v>0.7</v>
      </c>
      <c r="H43">
        <f t="shared" si="3"/>
        <v>2.5</v>
      </c>
    </row>
    <row r="44" spans="3:8" x14ac:dyDescent="0.15">
      <c r="C44" s="3">
        <v>2.7347999999999999</v>
      </c>
      <c r="D44" s="3" t="s">
        <v>71</v>
      </c>
      <c r="E44" s="1" t="s">
        <v>71</v>
      </c>
      <c r="F44" s="1" t="s">
        <v>71</v>
      </c>
      <c r="G44" s="1" t="s">
        <v>71</v>
      </c>
      <c r="H44" s="1" t="s">
        <v>71</v>
      </c>
    </row>
    <row r="45" spans="3:8" x14ac:dyDescent="0.15">
      <c r="C45" s="3">
        <v>9.4E-2</v>
      </c>
      <c r="D45" s="3" t="s">
        <v>71</v>
      </c>
      <c r="E45" s="1" t="s">
        <v>71</v>
      </c>
      <c r="F45" s="1" t="s">
        <v>71</v>
      </c>
      <c r="G45" s="1" t="s">
        <v>71</v>
      </c>
      <c r="H45" s="1" t="s">
        <v>71</v>
      </c>
    </row>
    <row r="46" spans="3:8" x14ac:dyDescent="0.15">
      <c r="C46" s="3">
        <v>4.1778000000000004</v>
      </c>
      <c r="D46" s="3" t="s">
        <v>71</v>
      </c>
      <c r="E46" s="1" t="s">
        <v>71</v>
      </c>
      <c r="F46" s="1" t="s">
        <v>71</v>
      </c>
      <c r="G46">
        <v>4.2</v>
      </c>
      <c r="H46" s="1" t="s">
        <v>71</v>
      </c>
    </row>
    <row r="47" spans="3:8" x14ac:dyDescent="0.15">
      <c r="C47" s="3">
        <v>3.617</v>
      </c>
      <c r="D47" s="3" t="s">
        <v>71</v>
      </c>
      <c r="E47" s="1">
        <v>10.8</v>
      </c>
      <c r="F47" s="1" t="s">
        <v>71</v>
      </c>
      <c r="G47">
        <f t="shared" ref="G47:G51" si="5">ROUND((C47*(100-E47)/(100-$G$4)),1)</f>
        <v>3.7</v>
      </c>
      <c r="H47" s="1" t="s">
        <v>71</v>
      </c>
    </row>
    <row r="48" spans="3:8" x14ac:dyDescent="0.15">
      <c r="C48" s="3">
        <v>3.2770000000000001</v>
      </c>
      <c r="D48" s="3" t="s">
        <v>71</v>
      </c>
      <c r="E48" s="1">
        <v>10.7</v>
      </c>
      <c r="F48" s="1" t="s">
        <v>71</v>
      </c>
      <c r="G48">
        <f t="shared" si="5"/>
        <v>3.3</v>
      </c>
      <c r="H48" s="1" t="s">
        <v>71</v>
      </c>
    </row>
    <row r="49" spans="3:8" x14ac:dyDescent="0.15">
      <c r="C49" s="3">
        <v>4.7835000000000001</v>
      </c>
      <c r="D49" s="3" t="s">
        <v>71</v>
      </c>
      <c r="E49" s="1">
        <v>10.8</v>
      </c>
      <c r="F49" s="1" t="s">
        <v>71</v>
      </c>
      <c r="G49">
        <f t="shared" si="5"/>
        <v>4.8</v>
      </c>
      <c r="H49" s="1" t="s">
        <v>71</v>
      </c>
    </row>
    <row r="50" spans="3:8" x14ac:dyDescent="0.15">
      <c r="C50" s="3">
        <v>4.6608000000000001</v>
      </c>
      <c r="D50" s="3" t="s">
        <v>71</v>
      </c>
      <c r="E50" s="1">
        <v>11.2</v>
      </c>
      <c r="F50" s="1" t="s">
        <v>71</v>
      </c>
      <c r="G50">
        <f t="shared" si="5"/>
        <v>4.7</v>
      </c>
      <c r="H50" s="1" t="s">
        <v>71</v>
      </c>
    </row>
    <row r="51" spans="3:8" x14ac:dyDescent="0.15">
      <c r="C51" s="3">
        <v>4.1645000000000003</v>
      </c>
      <c r="D51" s="3" t="s">
        <v>71</v>
      </c>
      <c r="E51" s="1">
        <v>10.7</v>
      </c>
      <c r="F51" s="1" t="s">
        <v>71</v>
      </c>
      <c r="G51">
        <f t="shared" si="5"/>
        <v>4.2</v>
      </c>
      <c r="H51" s="1" t="s">
        <v>71</v>
      </c>
    </row>
    <row r="52" spans="3:8" x14ac:dyDescent="0.15">
      <c r="C52" s="3" t="s">
        <v>71</v>
      </c>
      <c r="D52" s="3">
        <v>2.12</v>
      </c>
      <c r="E52" s="1" t="s">
        <v>71</v>
      </c>
      <c r="F52" s="1">
        <v>9.8000000000000007</v>
      </c>
      <c r="G52" s="1" t="s">
        <v>71</v>
      </c>
      <c r="H52">
        <f>ROUND((D52*(100-F52)/(100-$G$4)),1)</f>
        <v>2.2000000000000002</v>
      </c>
    </row>
    <row r="53" spans="3:8" x14ac:dyDescent="0.15">
      <c r="C53" s="3" t="s">
        <v>71</v>
      </c>
      <c r="D53" s="3">
        <v>2.407</v>
      </c>
      <c r="E53" s="1" t="s">
        <v>71</v>
      </c>
      <c r="F53" s="1">
        <v>9.9</v>
      </c>
      <c r="G53" s="1" t="s">
        <v>71</v>
      </c>
      <c r="H53">
        <f t="shared" ref="H53:H63" si="6">ROUND((D53*(100-F53)/(100-$G$4)),1)</f>
        <v>2.5</v>
      </c>
    </row>
    <row r="54" spans="3:8" x14ac:dyDescent="0.15">
      <c r="C54" s="3" t="s">
        <v>71</v>
      </c>
      <c r="D54" s="3">
        <v>2.206</v>
      </c>
      <c r="E54" s="1" t="s">
        <v>71</v>
      </c>
      <c r="F54" s="1">
        <v>9.5</v>
      </c>
      <c r="G54" s="1" t="s">
        <v>71</v>
      </c>
      <c r="H54">
        <f t="shared" si="6"/>
        <v>2.2999999999999998</v>
      </c>
    </row>
    <row r="55" spans="3:8" x14ac:dyDescent="0.15">
      <c r="C55" s="3">
        <v>0.45679999999999998</v>
      </c>
      <c r="D55" s="3">
        <v>2.5238999999999998</v>
      </c>
      <c r="E55" s="1">
        <v>10.9</v>
      </c>
      <c r="F55" s="1">
        <v>10.1</v>
      </c>
      <c r="G55">
        <f t="shared" ref="G55:G63" si="7">ROUND((C55*(100-E55)/(100-$G$4)),1)</f>
        <v>0.5</v>
      </c>
      <c r="H55">
        <f t="shared" si="6"/>
        <v>2.6</v>
      </c>
    </row>
    <row r="56" spans="3:8" x14ac:dyDescent="0.15">
      <c r="C56" s="3">
        <v>0.80300000000000005</v>
      </c>
      <c r="D56" s="3">
        <v>2.2848000000000002</v>
      </c>
      <c r="E56" s="1">
        <v>10.7</v>
      </c>
      <c r="F56" s="1">
        <v>10.1</v>
      </c>
      <c r="G56">
        <f t="shared" si="7"/>
        <v>0.8</v>
      </c>
      <c r="H56">
        <f t="shared" si="6"/>
        <v>2.2999999999999998</v>
      </c>
    </row>
    <row r="57" spans="3:8" x14ac:dyDescent="0.15">
      <c r="C57" s="3">
        <v>1.1339999999999999</v>
      </c>
      <c r="D57" s="3">
        <v>2.0710000000000002</v>
      </c>
      <c r="E57" s="1">
        <v>10.6</v>
      </c>
      <c r="F57" s="1">
        <v>9.5</v>
      </c>
      <c r="G57">
        <f t="shared" si="7"/>
        <v>1.2</v>
      </c>
      <c r="H57">
        <f t="shared" si="6"/>
        <v>2.1</v>
      </c>
    </row>
    <row r="58" spans="3:8" x14ac:dyDescent="0.15">
      <c r="C58" s="3">
        <v>0.83620000000000005</v>
      </c>
      <c r="D58" s="3">
        <v>2.1772</v>
      </c>
      <c r="E58" s="1">
        <v>10.7</v>
      </c>
      <c r="F58" s="1">
        <v>9.6999999999999993</v>
      </c>
      <c r="G58">
        <f t="shared" si="7"/>
        <v>0.8</v>
      </c>
      <c r="H58">
        <f t="shared" si="6"/>
        <v>2.2000000000000002</v>
      </c>
    </row>
    <row r="59" spans="3:8" x14ac:dyDescent="0.15">
      <c r="C59" s="3">
        <v>1.1328</v>
      </c>
      <c r="D59" s="3">
        <v>1.8140000000000001</v>
      </c>
      <c r="E59" s="1">
        <v>10.7</v>
      </c>
      <c r="F59" s="1">
        <v>10.199999999999999</v>
      </c>
      <c r="G59">
        <f t="shared" si="7"/>
        <v>1.1000000000000001</v>
      </c>
      <c r="H59">
        <f t="shared" si="6"/>
        <v>1.9</v>
      </c>
    </row>
    <row r="60" spans="3:8" x14ac:dyDescent="0.15">
      <c r="C60" s="3">
        <v>1.2188000000000001</v>
      </c>
      <c r="D60" s="3">
        <v>2.0270000000000001</v>
      </c>
      <c r="E60" s="1">
        <v>10.7</v>
      </c>
      <c r="F60" s="1">
        <v>9.1</v>
      </c>
      <c r="G60">
        <f t="shared" si="7"/>
        <v>1.2</v>
      </c>
      <c r="H60">
        <f t="shared" si="6"/>
        <v>2.1</v>
      </c>
    </row>
    <row r="61" spans="3:8" x14ac:dyDescent="0.15">
      <c r="C61" s="3">
        <v>0.34399999999999997</v>
      </c>
      <c r="D61" s="3">
        <v>2.6876000000000002</v>
      </c>
      <c r="E61" s="1">
        <v>10.8</v>
      </c>
      <c r="F61" s="1">
        <v>10</v>
      </c>
      <c r="G61">
        <f t="shared" si="7"/>
        <v>0.3</v>
      </c>
      <c r="H61">
        <f t="shared" si="6"/>
        <v>2.7</v>
      </c>
    </row>
    <row r="62" spans="3:8" x14ac:dyDescent="0.15">
      <c r="C62" s="3">
        <v>0.73399999999999999</v>
      </c>
      <c r="D62" s="3">
        <v>2.3199999999999998</v>
      </c>
      <c r="E62" s="1">
        <v>10.5</v>
      </c>
      <c r="F62" s="1">
        <v>10</v>
      </c>
      <c r="G62">
        <f t="shared" si="7"/>
        <v>0.7</v>
      </c>
      <c r="H62">
        <f t="shared" si="6"/>
        <v>2.4</v>
      </c>
    </row>
    <row r="63" spans="3:8" x14ac:dyDescent="0.15">
      <c r="C63" s="3">
        <v>0.61950000000000005</v>
      </c>
      <c r="D63" s="3">
        <v>2.4649999999999999</v>
      </c>
      <c r="E63" s="1">
        <v>10.6</v>
      </c>
      <c r="F63" s="1">
        <v>8.9</v>
      </c>
      <c r="G63">
        <f t="shared" si="7"/>
        <v>0.6</v>
      </c>
      <c r="H63">
        <f t="shared" si="6"/>
        <v>2.6</v>
      </c>
    </row>
    <row r="64" spans="3:8" x14ac:dyDescent="0.15">
      <c r="C64" s="3">
        <v>2.8380000000000001</v>
      </c>
      <c r="D64" s="3" t="s">
        <v>71</v>
      </c>
      <c r="E64" s="1" t="s">
        <v>71</v>
      </c>
      <c r="F64" s="1" t="s">
        <v>71</v>
      </c>
      <c r="G64" s="1" t="s">
        <v>71</v>
      </c>
      <c r="H64" s="1" t="s">
        <v>71</v>
      </c>
    </row>
    <row r="65" spans="3:8" x14ac:dyDescent="0.15">
      <c r="C65" s="3">
        <v>0.54100000000000004</v>
      </c>
      <c r="D65" s="3" t="s">
        <v>71</v>
      </c>
      <c r="E65" s="1" t="s">
        <v>71</v>
      </c>
      <c r="F65" s="1">
        <v>10.4</v>
      </c>
      <c r="G65" s="1" t="s">
        <v>71</v>
      </c>
      <c r="H65" s="1" t="s">
        <v>71</v>
      </c>
    </row>
    <row r="66" spans="3:8" x14ac:dyDescent="0.15">
      <c r="C66" s="3">
        <v>3.92</v>
      </c>
      <c r="D66" s="3" t="s">
        <v>71</v>
      </c>
      <c r="E66" s="1">
        <v>10.7</v>
      </c>
      <c r="F66" s="1" t="s">
        <v>71</v>
      </c>
      <c r="G66">
        <f>ROUND((C66*(100-E66)/(100-$G$4)),1)</f>
        <v>4</v>
      </c>
      <c r="H66" s="1" t="s">
        <v>71</v>
      </c>
    </row>
    <row r="67" spans="3:8" x14ac:dyDescent="0.15">
      <c r="C67" s="3">
        <v>3.8086000000000002</v>
      </c>
      <c r="D67" s="3" t="s">
        <v>71</v>
      </c>
      <c r="E67" s="1">
        <v>10.9</v>
      </c>
      <c r="F67" s="1" t="s">
        <v>71</v>
      </c>
      <c r="G67">
        <f t="shared" ref="G67:G71" si="8">ROUND((C67*(100-E67)/(100-$G$4)),1)</f>
        <v>3.9</v>
      </c>
      <c r="H67" s="1" t="s">
        <v>71</v>
      </c>
    </row>
    <row r="68" spans="3:8" x14ac:dyDescent="0.15">
      <c r="C68" s="3">
        <v>3.8079999999999998</v>
      </c>
      <c r="D68" s="3" t="s">
        <v>71</v>
      </c>
      <c r="E68" s="1">
        <v>10.8</v>
      </c>
      <c r="F68" s="1" t="s">
        <v>71</v>
      </c>
      <c r="G68">
        <f t="shared" si="8"/>
        <v>3.9</v>
      </c>
      <c r="H68" s="1" t="s">
        <v>71</v>
      </c>
    </row>
    <row r="69" spans="3:8" x14ac:dyDescent="0.15">
      <c r="C69" s="3">
        <v>4.4180000000000001</v>
      </c>
      <c r="D69" s="3" t="s">
        <v>71</v>
      </c>
      <c r="E69" s="1">
        <v>10.6</v>
      </c>
      <c r="F69" s="1" t="s">
        <v>71</v>
      </c>
      <c r="G69">
        <f t="shared" si="8"/>
        <v>4.5</v>
      </c>
      <c r="H69" s="1" t="s">
        <v>71</v>
      </c>
    </row>
    <row r="70" spans="3:8" x14ac:dyDescent="0.15">
      <c r="C70" s="3">
        <v>4.7253999999999996</v>
      </c>
      <c r="D70" s="3" t="s">
        <v>71</v>
      </c>
      <c r="E70" s="1">
        <v>10.8</v>
      </c>
      <c r="F70" s="1" t="s">
        <v>71</v>
      </c>
      <c r="G70">
        <f t="shared" si="8"/>
        <v>4.8</v>
      </c>
      <c r="H70" s="1" t="s">
        <v>71</v>
      </c>
    </row>
    <row r="71" spans="3:8" x14ac:dyDescent="0.15">
      <c r="C71" s="3">
        <v>4.3356000000000003</v>
      </c>
      <c r="D71" s="3" t="s">
        <v>71</v>
      </c>
      <c r="E71" s="1">
        <v>10.8</v>
      </c>
      <c r="F71" s="1" t="s">
        <v>71</v>
      </c>
      <c r="G71">
        <f t="shared" si="8"/>
        <v>4.4000000000000004</v>
      </c>
      <c r="H71" s="1" t="s">
        <v>71</v>
      </c>
    </row>
    <row r="72" spans="3:8" x14ac:dyDescent="0.15">
      <c r="C72" s="3" t="s">
        <v>71</v>
      </c>
      <c r="D72" s="3">
        <v>2.75</v>
      </c>
      <c r="E72" s="1" t="s">
        <v>71</v>
      </c>
      <c r="F72" s="1">
        <v>9.8000000000000007</v>
      </c>
      <c r="G72" s="1" t="s">
        <v>71</v>
      </c>
      <c r="H72">
        <f>ROUND((D72*(100-F72)/(100-$G$4)),1)</f>
        <v>2.8</v>
      </c>
    </row>
    <row r="73" spans="3:8" x14ac:dyDescent="0.15">
      <c r="C73" s="3" t="s">
        <v>71</v>
      </c>
      <c r="D73" s="3">
        <v>1.71</v>
      </c>
      <c r="E73" s="1" t="s">
        <v>71</v>
      </c>
      <c r="F73" s="1">
        <v>10.1</v>
      </c>
      <c r="G73" s="1" t="s">
        <v>71</v>
      </c>
      <c r="H73">
        <f t="shared" ref="H73:H83" si="9">ROUND((D73*(100-F73)/(100-$G$4)),1)</f>
        <v>1.7</v>
      </c>
    </row>
    <row r="74" spans="3:8" x14ac:dyDescent="0.15">
      <c r="C74" s="3" t="s">
        <v>71</v>
      </c>
      <c r="D74" s="3">
        <v>2.5299999999999998</v>
      </c>
      <c r="E74" s="1" t="s">
        <v>71</v>
      </c>
      <c r="F74" s="1">
        <v>9.5</v>
      </c>
      <c r="G74" s="1" t="s">
        <v>71</v>
      </c>
      <c r="H74">
        <f t="shared" si="9"/>
        <v>2.6</v>
      </c>
    </row>
    <row r="75" spans="3:8" x14ac:dyDescent="0.15">
      <c r="C75" s="3">
        <v>1.0584</v>
      </c>
      <c r="D75" s="3">
        <v>2.3134000000000001</v>
      </c>
      <c r="E75" s="1">
        <v>10.6</v>
      </c>
      <c r="F75" s="1">
        <v>9.9</v>
      </c>
      <c r="G75">
        <f t="shared" ref="G75:G83" si="10">ROUND((C75*(100-E75)/(100-$G$4)),1)</f>
        <v>1.1000000000000001</v>
      </c>
      <c r="H75">
        <f t="shared" si="9"/>
        <v>2.4</v>
      </c>
    </row>
    <row r="76" spans="3:8" x14ac:dyDescent="0.15">
      <c r="C76" s="3">
        <v>0.80400000000000005</v>
      </c>
      <c r="D76" s="3">
        <v>2.077</v>
      </c>
      <c r="E76" s="1">
        <v>10.8</v>
      </c>
      <c r="F76" s="1">
        <v>10.199999999999999</v>
      </c>
      <c r="G76">
        <f t="shared" si="10"/>
        <v>0.8</v>
      </c>
      <c r="H76">
        <f t="shared" si="9"/>
        <v>2.1</v>
      </c>
    </row>
    <row r="77" spans="3:8" x14ac:dyDescent="0.15">
      <c r="C77" s="3">
        <v>1.0671999999999999</v>
      </c>
      <c r="D77" s="3">
        <v>2.0430000000000001</v>
      </c>
      <c r="E77" s="1">
        <v>10.5</v>
      </c>
      <c r="F77" s="1">
        <v>8.6</v>
      </c>
      <c r="G77">
        <f t="shared" si="10"/>
        <v>1.1000000000000001</v>
      </c>
      <c r="H77">
        <f t="shared" si="9"/>
        <v>2.1</v>
      </c>
    </row>
    <row r="78" spans="3:8" x14ac:dyDescent="0.15">
      <c r="C78" s="3">
        <v>1.1539999999999999</v>
      </c>
      <c r="D78" s="3">
        <v>2.2094999999999998</v>
      </c>
      <c r="E78" s="1">
        <v>10.7</v>
      </c>
      <c r="F78" s="1">
        <v>10.1</v>
      </c>
      <c r="G78">
        <f t="shared" si="10"/>
        <v>1.2</v>
      </c>
      <c r="H78">
        <f t="shared" si="9"/>
        <v>2.2999999999999998</v>
      </c>
    </row>
    <row r="79" spans="3:8" x14ac:dyDescent="0.15">
      <c r="C79" s="3">
        <v>0.65649999999999997</v>
      </c>
      <c r="D79" s="3">
        <v>2.2423999999999999</v>
      </c>
      <c r="E79" s="1">
        <v>10.8</v>
      </c>
      <c r="F79" s="1">
        <v>10</v>
      </c>
      <c r="G79">
        <f t="shared" si="10"/>
        <v>0.7</v>
      </c>
      <c r="H79">
        <f t="shared" si="9"/>
        <v>2.2999999999999998</v>
      </c>
    </row>
    <row r="80" spans="3:8" x14ac:dyDescent="0.15">
      <c r="C80" s="3">
        <v>1.6930000000000001</v>
      </c>
      <c r="D80" s="3">
        <v>1.732</v>
      </c>
      <c r="E80" s="1">
        <v>10.5</v>
      </c>
      <c r="F80" s="1">
        <v>9.1</v>
      </c>
      <c r="G80">
        <f t="shared" si="10"/>
        <v>1.7</v>
      </c>
      <c r="H80">
        <f t="shared" si="9"/>
        <v>1.8</v>
      </c>
    </row>
    <row r="81" spans="3:8" x14ac:dyDescent="0.15">
      <c r="C81" s="3">
        <v>0.4975</v>
      </c>
      <c r="D81" s="3">
        <v>2.9740000000000002</v>
      </c>
      <c r="E81" s="1">
        <v>10.7</v>
      </c>
      <c r="F81" s="1">
        <v>10</v>
      </c>
      <c r="G81">
        <f t="shared" si="10"/>
        <v>0.5</v>
      </c>
      <c r="H81">
        <f t="shared" si="9"/>
        <v>3</v>
      </c>
    </row>
    <row r="82" spans="3:8" x14ac:dyDescent="0.15">
      <c r="C82" s="3">
        <v>0.4</v>
      </c>
      <c r="D82" s="3">
        <v>2.0691999999999999</v>
      </c>
      <c r="E82" s="1">
        <v>10.7</v>
      </c>
      <c r="F82" s="1">
        <v>10.199999999999999</v>
      </c>
      <c r="G82">
        <f t="shared" si="10"/>
        <v>0.4</v>
      </c>
      <c r="H82">
        <f t="shared" si="9"/>
        <v>2.1</v>
      </c>
    </row>
    <row r="83" spans="3:8" x14ac:dyDescent="0.15">
      <c r="C83" s="3">
        <v>0.95399999999999996</v>
      </c>
      <c r="D83" s="3">
        <v>2.2959999999999998</v>
      </c>
      <c r="E83" s="1">
        <v>10.4</v>
      </c>
      <c r="F83" s="1">
        <v>8.4</v>
      </c>
      <c r="G83">
        <f t="shared" si="10"/>
        <v>1</v>
      </c>
      <c r="H83">
        <f t="shared" si="9"/>
        <v>2.4</v>
      </c>
    </row>
    <row r="84" spans="3:8" x14ac:dyDescent="0.15">
      <c r="C84" s="3">
        <v>2.84</v>
      </c>
      <c r="D84" s="3" t="s">
        <v>71</v>
      </c>
      <c r="E84" s="1" t="s">
        <v>71</v>
      </c>
      <c r="F84" s="1" t="s">
        <v>71</v>
      </c>
      <c r="G84" s="1" t="s">
        <v>71</v>
      </c>
      <c r="H84" s="1" t="s">
        <v>71</v>
      </c>
    </row>
    <row r="85" spans="3:8" x14ac:dyDescent="0.15">
      <c r="C85" s="3" t="s">
        <v>71</v>
      </c>
      <c r="D85" s="3">
        <v>0.36699999999999999</v>
      </c>
      <c r="E85" s="1" t="s">
        <v>71</v>
      </c>
      <c r="F85" s="1">
        <v>10.5</v>
      </c>
      <c r="G85" s="1" t="s">
        <v>71</v>
      </c>
      <c r="H85" s="1" t="s">
        <v>71</v>
      </c>
    </row>
    <row r="86" spans="3:8" x14ac:dyDescent="0.15">
      <c r="C86" s="3">
        <v>2.5790000000000002</v>
      </c>
      <c r="D86" s="3" t="s">
        <v>71</v>
      </c>
      <c r="E86" s="1">
        <v>10.199999999999999</v>
      </c>
      <c r="F86" s="1" t="s">
        <v>71</v>
      </c>
      <c r="G86">
        <f>ROUND((C86*(100-E86)/(100-$G$4)),1)</f>
        <v>2.6</v>
      </c>
      <c r="H86" s="1" t="s">
        <v>71</v>
      </c>
    </row>
    <row r="87" spans="3:8" x14ac:dyDescent="0.15">
      <c r="C87" s="3">
        <v>3.0436000000000001</v>
      </c>
      <c r="D87" s="3" t="s">
        <v>71</v>
      </c>
      <c r="E87" s="1">
        <v>10.199999999999999</v>
      </c>
      <c r="F87" s="1" t="s">
        <v>71</v>
      </c>
      <c r="G87">
        <f t="shared" ref="G87:G91" si="11">ROUND((C87*(100-E87)/(100-$G$4)),1)</f>
        <v>3.1</v>
      </c>
      <c r="H87" s="1" t="s">
        <v>71</v>
      </c>
    </row>
    <row r="88" spans="3:8" x14ac:dyDescent="0.15">
      <c r="C88" s="3">
        <v>2.0882000000000001</v>
      </c>
      <c r="D88" s="3" t="s">
        <v>71</v>
      </c>
      <c r="E88" s="1">
        <v>10.3</v>
      </c>
      <c r="F88" s="1" t="s">
        <v>71</v>
      </c>
      <c r="G88">
        <f t="shared" si="11"/>
        <v>2.1</v>
      </c>
      <c r="H88" s="1" t="s">
        <v>71</v>
      </c>
    </row>
    <row r="89" spans="3:8" x14ac:dyDescent="0.15">
      <c r="C89" s="3">
        <v>3.6219999999999999</v>
      </c>
      <c r="D89" s="3" t="s">
        <v>71</v>
      </c>
      <c r="E89" s="1">
        <v>10</v>
      </c>
      <c r="F89" s="1" t="s">
        <v>71</v>
      </c>
      <c r="G89">
        <f t="shared" si="11"/>
        <v>3.7</v>
      </c>
      <c r="H89" s="1" t="s">
        <v>71</v>
      </c>
    </row>
    <row r="90" spans="3:8" x14ac:dyDescent="0.15">
      <c r="C90" s="3">
        <v>2.7829999999999999</v>
      </c>
      <c r="D90" s="3" t="s">
        <v>71</v>
      </c>
      <c r="E90" s="1">
        <v>10</v>
      </c>
      <c r="F90" s="1" t="s">
        <v>71</v>
      </c>
      <c r="G90">
        <f t="shared" si="11"/>
        <v>2.8</v>
      </c>
      <c r="H90" s="1" t="s">
        <v>71</v>
      </c>
    </row>
    <row r="91" spans="3:8" x14ac:dyDescent="0.15">
      <c r="C91" s="3">
        <v>3.411</v>
      </c>
      <c r="D91" s="3" t="s">
        <v>71</v>
      </c>
      <c r="E91" s="1">
        <v>10.3</v>
      </c>
      <c r="F91" s="1" t="s">
        <v>71</v>
      </c>
      <c r="G91">
        <f t="shared" si="11"/>
        <v>3.5</v>
      </c>
      <c r="H91" s="1" t="s">
        <v>71</v>
      </c>
    </row>
    <row r="92" spans="3:8" x14ac:dyDescent="0.15">
      <c r="C92" s="3" t="s">
        <v>71</v>
      </c>
      <c r="D92" s="3">
        <v>2.2599999999999998</v>
      </c>
      <c r="E92" s="1" t="s">
        <v>71</v>
      </c>
      <c r="F92" s="1">
        <v>9.8000000000000007</v>
      </c>
      <c r="G92" s="1" t="s">
        <v>71</v>
      </c>
      <c r="H92">
        <f>ROUND((D92*(100-F92)/(100-$G$4)),1)</f>
        <v>2.2999999999999998</v>
      </c>
    </row>
    <row r="93" spans="3:8" x14ac:dyDescent="0.15">
      <c r="C93" s="3" t="s">
        <v>71</v>
      </c>
      <c r="D93" s="3">
        <v>2.552</v>
      </c>
      <c r="E93" s="1" t="s">
        <v>71</v>
      </c>
      <c r="F93" s="1">
        <v>10.1</v>
      </c>
      <c r="G93" s="1" t="s">
        <v>71</v>
      </c>
      <c r="H93">
        <f t="shared" ref="H93:H103" si="12">ROUND((D93*(100-F93)/(100-$G$4)),1)</f>
        <v>2.6</v>
      </c>
    </row>
    <row r="94" spans="3:8" x14ac:dyDescent="0.15">
      <c r="C94" s="3" t="s">
        <v>71</v>
      </c>
      <c r="D94" s="3">
        <v>2.4470000000000001</v>
      </c>
      <c r="E94" s="1" t="s">
        <v>71</v>
      </c>
      <c r="F94" s="1">
        <v>8.6</v>
      </c>
      <c r="G94" s="1" t="s">
        <v>71</v>
      </c>
      <c r="H94">
        <f t="shared" si="12"/>
        <v>2.5</v>
      </c>
    </row>
    <row r="95" spans="3:8" x14ac:dyDescent="0.15">
      <c r="C95" s="3">
        <v>1.2431000000000001</v>
      </c>
      <c r="D95" s="3">
        <v>2.2050000000000001</v>
      </c>
      <c r="E95" s="1">
        <v>10.6</v>
      </c>
      <c r="F95" s="1">
        <v>10.3</v>
      </c>
      <c r="G95">
        <f t="shared" ref="G95:G103" si="13">ROUND((C95*(100-E95)/(100-$G$4)),1)</f>
        <v>1.3</v>
      </c>
      <c r="H95">
        <f t="shared" si="12"/>
        <v>2.2000000000000002</v>
      </c>
    </row>
    <row r="96" spans="3:8" x14ac:dyDescent="0.15">
      <c r="C96" s="3">
        <v>0.85880000000000001</v>
      </c>
      <c r="D96" s="3">
        <v>1.7</v>
      </c>
      <c r="E96" s="1">
        <v>10.199999999999999</v>
      </c>
      <c r="F96" s="1">
        <v>10.4</v>
      </c>
      <c r="G96">
        <f t="shared" si="13"/>
        <v>0.9</v>
      </c>
      <c r="H96">
        <f t="shared" si="12"/>
        <v>1.7</v>
      </c>
    </row>
    <row r="97" spans="3:8" x14ac:dyDescent="0.15">
      <c r="C97" s="3">
        <v>0.66220000000000001</v>
      </c>
      <c r="D97" s="3">
        <v>1.3080000000000001</v>
      </c>
      <c r="E97" s="1">
        <v>10.3</v>
      </c>
      <c r="F97" s="1">
        <v>10.5</v>
      </c>
      <c r="G97">
        <f t="shared" si="13"/>
        <v>0.7</v>
      </c>
      <c r="H97">
        <f t="shared" si="12"/>
        <v>1.3</v>
      </c>
    </row>
    <row r="98" spans="3:8" x14ac:dyDescent="0.15">
      <c r="C98" s="3">
        <v>0.85399999999999998</v>
      </c>
      <c r="D98" s="3">
        <v>1.6240000000000001</v>
      </c>
      <c r="E98" s="1">
        <v>10.5</v>
      </c>
      <c r="F98" s="1">
        <v>9.9</v>
      </c>
      <c r="G98">
        <f t="shared" si="13"/>
        <v>0.9</v>
      </c>
      <c r="H98">
        <f t="shared" si="12"/>
        <v>1.7</v>
      </c>
    </row>
    <row r="99" spans="3:8" x14ac:dyDescent="0.15">
      <c r="C99" s="3">
        <v>1.5276000000000001</v>
      </c>
      <c r="D99" s="3">
        <v>1.3520000000000001</v>
      </c>
      <c r="E99" s="1">
        <v>10.199999999999999</v>
      </c>
      <c r="F99" s="1">
        <v>10.199999999999999</v>
      </c>
      <c r="G99">
        <f t="shared" si="13"/>
        <v>1.6</v>
      </c>
      <c r="H99">
        <f t="shared" si="12"/>
        <v>1.4</v>
      </c>
    </row>
    <row r="100" spans="3:8" x14ac:dyDescent="0.15">
      <c r="C100" s="3">
        <v>1.6262000000000001</v>
      </c>
      <c r="D100" s="3">
        <v>1.492</v>
      </c>
      <c r="E100" s="1">
        <v>10.6</v>
      </c>
      <c r="F100" s="1" t="s">
        <v>71</v>
      </c>
      <c r="G100">
        <f t="shared" si="13"/>
        <v>1.7</v>
      </c>
      <c r="H100">
        <v>1.5</v>
      </c>
    </row>
    <row r="101" spans="3:8" x14ac:dyDescent="0.15">
      <c r="C101" s="3">
        <v>0.51170000000000004</v>
      </c>
      <c r="D101" s="3">
        <v>1.984</v>
      </c>
      <c r="E101" s="1">
        <v>10.4</v>
      </c>
      <c r="F101" s="1">
        <v>9.9</v>
      </c>
      <c r="G101">
        <f t="shared" si="13"/>
        <v>0.5</v>
      </c>
      <c r="H101">
        <f t="shared" si="12"/>
        <v>2</v>
      </c>
    </row>
    <row r="102" spans="3:8" x14ac:dyDescent="0.15">
      <c r="C102" s="3">
        <v>1.103</v>
      </c>
      <c r="D102" s="3">
        <v>2.133</v>
      </c>
      <c r="E102" s="1">
        <v>10.3</v>
      </c>
      <c r="F102" s="1">
        <v>10.199999999999999</v>
      </c>
      <c r="G102">
        <f t="shared" si="13"/>
        <v>1.1000000000000001</v>
      </c>
      <c r="H102">
        <f t="shared" si="12"/>
        <v>2.2000000000000002</v>
      </c>
    </row>
    <row r="103" spans="3:8" x14ac:dyDescent="0.15">
      <c r="C103" s="3">
        <v>0.51419999999999999</v>
      </c>
      <c r="D103" s="3">
        <v>1.6160000000000001</v>
      </c>
      <c r="E103" s="1">
        <v>10.5</v>
      </c>
      <c r="F103" s="1">
        <v>9.3000000000000007</v>
      </c>
      <c r="G103">
        <f t="shared" si="13"/>
        <v>0.5</v>
      </c>
      <c r="H103">
        <f t="shared" si="12"/>
        <v>1.7</v>
      </c>
    </row>
    <row r="104" spans="3:8" x14ac:dyDescent="0.15">
      <c r="C104" s="3">
        <v>2.7490000000000001</v>
      </c>
      <c r="D104" s="3" t="s">
        <v>71</v>
      </c>
      <c r="E104" s="1">
        <v>9.8000000000000007</v>
      </c>
      <c r="F104" s="1" t="s">
        <v>71</v>
      </c>
      <c r="G104" s="1" t="s">
        <v>71</v>
      </c>
      <c r="H104" s="1" t="s">
        <v>71</v>
      </c>
    </row>
    <row r="105" spans="3:8" x14ac:dyDescent="0.15">
      <c r="C105" s="3">
        <v>0.93</v>
      </c>
      <c r="D105" s="3" t="s">
        <v>71</v>
      </c>
      <c r="E105" s="1" t="s">
        <v>71</v>
      </c>
      <c r="F105" s="1">
        <v>10.4</v>
      </c>
      <c r="G105" s="1" t="s">
        <v>71</v>
      </c>
      <c r="H105" s="1" t="s">
        <v>71</v>
      </c>
    </row>
    <row r="106" spans="3:8" x14ac:dyDescent="0.15">
      <c r="C106" s="3">
        <v>2.8664000000000001</v>
      </c>
      <c r="D106" s="3" t="s">
        <v>71</v>
      </c>
      <c r="E106" s="1">
        <v>10.1</v>
      </c>
      <c r="F106" s="1" t="s">
        <v>71</v>
      </c>
      <c r="G106">
        <f>ROUND((C106*(100-E106)/(100-$G$4)),1)</f>
        <v>2.9</v>
      </c>
      <c r="H106" s="1" t="s">
        <v>71</v>
      </c>
    </row>
    <row r="107" spans="3:8" x14ac:dyDescent="0.15">
      <c r="C107" s="3">
        <v>4.1933999999999996</v>
      </c>
      <c r="D107" s="3" t="s">
        <v>71</v>
      </c>
      <c r="E107" s="1">
        <v>10.3</v>
      </c>
      <c r="F107" s="1" t="s">
        <v>71</v>
      </c>
      <c r="G107">
        <f t="shared" ref="G107:G111" si="14">ROUND((C107*(100-E107)/(100-$G$4)),1)</f>
        <v>4.3</v>
      </c>
      <c r="H107" s="1" t="s">
        <v>71</v>
      </c>
    </row>
    <row r="108" spans="3:8" x14ac:dyDescent="0.15">
      <c r="C108" s="3">
        <v>3.8212000000000002</v>
      </c>
      <c r="D108" s="3" t="s">
        <v>71</v>
      </c>
      <c r="E108" s="1">
        <v>10.5</v>
      </c>
      <c r="F108" s="1" t="s">
        <v>71</v>
      </c>
      <c r="G108">
        <f t="shared" si="14"/>
        <v>3.9</v>
      </c>
      <c r="H108" s="1" t="s">
        <v>71</v>
      </c>
    </row>
    <row r="109" spans="3:8" x14ac:dyDescent="0.15">
      <c r="C109" s="3">
        <v>4.4089999999999998</v>
      </c>
      <c r="D109" s="3" t="s">
        <v>71</v>
      </c>
      <c r="E109" s="1">
        <v>10.199999999999999</v>
      </c>
      <c r="F109" s="1" t="s">
        <v>71</v>
      </c>
      <c r="G109">
        <f t="shared" si="14"/>
        <v>4.5</v>
      </c>
      <c r="H109" s="1" t="s">
        <v>71</v>
      </c>
    </row>
    <row r="110" spans="3:8" x14ac:dyDescent="0.15">
      <c r="C110" s="3">
        <v>3.5661999999999998</v>
      </c>
      <c r="D110" s="3" t="s">
        <v>71</v>
      </c>
      <c r="E110" s="1">
        <v>10.199999999999999</v>
      </c>
      <c r="F110" s="1" t="s">
        <v>71</v>
      </c>
      <c r="G110">
        <f t="shared" si="14"/>
        <v>3.6</v>
      </c>
      <c r="H110" s="1" t="s">
        <v>71</v>
      </c>
    </row>
    <row r="111" spans="3:8" x14ac:dyDescent="0.15">
      <c r="C111" s="3">
        <v>4.1409000000000002</v>
      </c>
      <c r="D111" s="3" t="s">
        <v>71</v>
      </c>
      <c r="E111" s="1">
        <v>10.1</v>
      </c>
      <c r="F111" s="1" t="s">
        <v>71</v>
      </c>
      <c r="G111">
        <f t="shared" si="14"/>
        <v>4.2</v>
      </c>
      <c r="H111" s="1" t="s">
        <v>71</v>
      </c>
    </row>
    <row r="112" spans="3:8" x14ac:dyDescent="0.15">
      <c r="C112" s="3" t="s">
        <v>71</v>
      </c>
      <c r="D112" s="3">
        <v>2.04</v>
      </c>
      <c r="E112" s="1" t="s">
        <v>71</v>
      </c>
      <c r="F112" s="1">
        <v>9.9</v>
      </c>
      <c r="G112" s="1" t="s">
        <v>71</v>
      </c>
      <c r="H112">
        <f>ROUND((D112*(100-F112)/(100-$G$4)),1)</f>
        <v>2.1</v>
      </c>
    </row>
    <row r="113" spans="3:8" x14ac:dyDescent="0.15">
      <c r="C113" s="3" t="s">
        <v>71</v>
      </c>
      <c r="D113" s="3">
        <v>2.5779999999999998</v>
      </c>
      <c r="E113" s="1" t="s">
        <v>71</v>
      </c>
      <c r="F113" s="1">
        <v>10.199999999999999</v>
      </c>
      <c r="G113" s="1" t="s">
        <v>71</v>
      </c>
      <c r="H113">
        <f t="shared" ref="H113:H123" si="15">ROUND((D113*(100-F113)/(100-$G$4)),1)</f>
        <v>2.6</v>
      </c>
    </row>
    <row r="114" spans="3:8" x14ac:dyDescent="0.15">
      <c r="C114" s="3" t="s">
        <v>71</v>
      </c>
      <c r="D114" s="3">
        <v>1.7969999999999999</v>
      </c>
      <c r="E114" s="1" t="s">
        <v>71</v>
      </c>
      <c r="F114" s="1">
        <v>9.6</v>
      </c>
      <c r="G114" s="1" t="s">
        <v>71</v>
      </c>
      <c r="H114">
        <f t="shared" si="15"/>
        <v>1.8</v>
      </c>
    </row>
    <row r="115" spans="3:8" x14ac:dyDescent="0.15">
      <c r="C115" s="3">
        <v>0.84799999999999998</v>
      </c>
      <c r="D115" s="3">
        <v>2.4900000000000002</v>
      </c>
      <c r="E115" s="1">
        <v>10.199999999999999</v>
      </c>
      <c r="F115" s="1">
        <v>10</v>
      </c>
      <c r="G115">
        <f t="shared" ref="G115:G123" si="16">ROUND((C115*(100-E115)/(100-$G$4)),1)</f>
        <v>0.9</v>
      </c>
      <c r="H115">
        <f t="shared" si="15"/>
        <v>2.5</v>
      </c>
    </row>
    <row r="116" spans="3:8" x14ac:dyDescent="0.15">
      <c r="C116" s="3">
        <v>0.85099999999999998</v>
      </c>
      <c r="D116" s="3">
        <v>1.95</v>
      </c>
      <c r="E116" s="1">
        <v>10.1</v>
      </c>
      <c r="F116" s="1">
        <v>10.3</v>
      </c>
      <c r="G116">
        <f t="shared" si="16"/>
        <v>0.9</v>
      </c>
      <c r="H116">
        <f t="shared" si="15"/>
        <v>2</v>
      </c>
    </row>
    <row r="117" spans="3:8" x14ac:dyDescent="0.15">
      <c r="C117" s="3">
        <v>1.508</v>
      </c>
      <c r="D117" s="3">
        <v>0.97599999999999998</v>
      </c>
      <c r="E117" s="1">
        <v>10.199999999999999</v>
      </c>
      <c r="F117" s="1">
        <v>8.8000000000000007</v>
      </c>
      <c r="G117">
        <f t="shared" si="16"/>
        <v>1.5</v>
      </c>
      <c r="H117">
        <f t="shared" si="15"/>
        <v>1</v>
      </c>
    </row>
    <row r="118" spans="3:8" x14ac:dyDescent="0.15">
      <c r="C118" s="3">
        <v>0.70399999999999996</v>
      </c>
      <c r="D118" s="3">
        <v>1.9890000000000001</v>
      </c>
      <c r="E118" s="1">
        <v>10.3</v>
      </c>
      <c r="F118" s="1">
        <v>9.6999999999999993</v>
      </c>
      <c r="G118">
        <f t="shared" si="16"/>
        <v>0.7</v>
      </c>
      <c r="H118">
        <f t="shared" si="15"/>
        <v>2</v>
      </c>
    </row>
    <row r="119" spans="3:8" x14ac:dyDescent="0.15">
      <c r="C119" s="3">
        <v>1.55</v>
      </c>
      <c r="D119" s="3">
        <v>1.179</v>
      </c>
      <c r="E119" s="1">
        <v>10.3</v>
      </c>
      <c r="F119" s="1">
        <v>10.3</v>
      </c>
      <c r="G119">
        <f t="shared" si="16"/>
        <v>1.6</v>
      </c>
      <c r="H119">
        <f t="shared" si="15"/>
        <v>1.2</v>
      </c>
    </row>
    <row r="120" spans="3:8" x14ac:dyDescent="0.15">
      <c r="C120" s="3">
        <v>1.0786</v>
      </c>
      <c r="D120" s="3">
        <v>1.714</v>
      </c>
      <c r="E120" s="1">
        <v>10.3</v>
      </c>
      <c r="F120" s="1">
        <v>8.8000000000000007</v>
      </c>
      <c r="G120">
        <f t="shared" si="16"/>
        <v>1.1000000000000001</v>
      </c>
      <c r="H120">
        <f t="shared" si="15"/>
        <v>1.8</v>
      </c>
    </row>
    <row r="121" spans="3:8" x14ac:dyDescent="0.15">
      <c r="C121" s="3">
        <v>0.95799999999999996</v>
      </c>
      <c r="D121" s="3">
        <v>2.1789999999999998</v>
      </c>
      <c r="E121" s="1">
        <v>10.1</v>
      </c>
      <c r="F121" s="1">
        <v>10.4</v>
      </c>
      <c r="G121">
        <f t="shared" si="16"/>
        <v>1</v>
      </c>
      <c r="H121">
        <f t="shared" si="15"/>
        <v>2.2000000000000002</v>
      </c>
    </row>
    <row r="122" spans="3:8" x14ac:dyDescent="0.15">
      <c r="C122" s="3">
        <v>0.86060000000000003</v>
      </c>
      <c r="D122" s="3">
        <v>2.1419999999999999</v>
      </c>
      <c r="E122" s="1">
        <v>10.3</v>
      </c>
      <c r="F122" s="1">
        <v>10.4</v>
      </c>
      <c r="G122">
        <f t="shared" si="16"/>
        <v>0.9</v>
      </c>
      <c r="H122">
        <f t="shared" si="15"/>
        <v>2.2000000000000002</v>
      </c>
    </row>
    <row r="123" spans="3:8" x14ac:dyDescent="0.15">
      <c r="C123" s="3">
        <v>1.0469999999999999</v>
      </c>
      <c r="D123" s="3">
        <v>2.0649999999999999</v>
      </c>
      <c r="E123" s="1">
        <v>10.3</v>
      </c>
      <c r="F123" s="1">
        <v>9.6</v>
      </c>
      <c r="G123">
        <f t="shared" si="16"/>
        <v>1.1000000000000001</v>
      </c>
      <c r="H123">
        <f t="shared" si="15"/>
        <v>2.1</v>
      </c>
    </row>
    <row r="124" spans="3:8" x14ac:dyDescent="0.15">
      <c r="C124" s="3">
        <v>2.7585000000000002</v>
      </c>
      <c r="D124" s="3" t="s">
        <v>71</v>
      </c>
      <c r="E124" s="1">
        <v>9.8000000000000007</v>
      </c>
      <c r="F124" s="1" t="s">
        <v>71</v>
      </c>
      <c r="G124" s="1" t="s">
        <v>71</v>
      </c>
      <c r="H124" s="1" t="s">
        <v>71</v>
      </c>
    </row>
    <row r="125" spans="3:8" x14ac:dyDescent="0.15">
      <c r="C125" s="3" t="s">
        <v>71</v>
      </c>
      <c r="D125" s="3">
        <v>1.163</v>
      </c>
      <c r="E125" s="1" t="s">
        <v>71</v>
      </c>
      <c r="F125" s="1">
        <v>10.4</v>
      </c>
      <c r="G125" s="1" t="s">
        <v>71</v>
      </c>
      <c r="H125" s="1" t="s">
        <v>71</v>
      </c>
    </row>
    <row r="126" spans="3:8" x14ac:dyDescent="0.15">
      <c r="C126" s="3">
        <v>4.0049999999999999</v>
      </c>
      <c r="D126" s="3" t="s">
        <v>71</v>
      </c>
      <c r="E126" s="1">
        <v>10.199999999999999</v>
      </c>
      <c r="F126" s="1" t="s">
        <v>71</v>
      </c>
      <c r="G126">
        <f>ROUND((C126*(100-E126)/(100-$G$4)),1)</f>
        <v>4.0999999999999996</v>
      </c>
      <c r="H126" s="1" t="s">
        <v>71</v>
      </c>
    </row>
    <row r="127" spans="3:8" x14ac:dyDescent="0.15">
      <c r="C127" s="3">
        <v>3.5219999999999998</v>
      </c>
      <c r="D127" s="3" t="s">
        <v>71</v>
      </c>
      <c r="E127" s="1">
        <v>10.1</v>
      </c>
      <c r="F127" s="1" t="s">
        <v>71</v>
      </c>
      <c r="G127">
        <f t="shared" ref="G127:G131" si="17">ROUND((C127*(100-E127)/(100-$G$4)),1)</f>
        <v>3.6</v>
      </c>
      <c r="H127" s="1" t="s">
        <v>71</v>
      </c>
    </row>
    <row r="128" spans="3:8" x14ac:dyDescent="0.15">
      <c r="C128" s="3">
        <v>2.7120000000000002</v>
      </c>
      <c r="D128" s="3" t="s">
        <v>71</v>
      </c>
      <c r="E128" s="1">
        <v>10.199999999999999</v>
      </c>
      <c r="F128" s="1" t="s">
        <v>71</v>
      </c>
      <c r="G128">
        <f t="shared" si="17"/>
        <v>2.8</v>
      </c>
      <c r="H128" s="1" t="s">
        <v>71</v>
      </c>
    </row>
    <row r="129" spans="3:8" x14ac:dyDescent="0.15">
      <c r="C129" s="3">
        <v>3.3439000000000001</v>
      </c>
      <c r="D129" s="3" t="s">
        <v>71</v>
      </c>
      <c r="E129" s="1">
        <v>10.199999999999999</v>
      </c>
      <c r="F129" s="1" t="s">
        <v>71</v>
      </c>
      <c r="G129">
        <f t="shared" si="17"/>
        <v>3.4</v>
      </c>
      <c r="H129" s="1" t="s">
        <v>71</v>
      </c>
    </row>
    <row r="130" spans="3:8" x14ac:dyDescent="0.15">
      <c r="C130" s="3">
        <v>3.5983999999999998</v>
      </c>
      <c r="D130" s="3" t="s">
        <v>71</v>
      </c>
      <c r="E130" s="1">
        <v>10.1</v>
      </c>
      <c r="F130" s="1" t="s">
        <v>71</v>
      </c>
      <c r="G130">
        <f t="shared" si="17"/>
        <v>3.7</v>
      </c>
      <c r="H130" s="1" t="s">
        <v>71</v>
      </c>
    </row>
    <row r="131" spans="3:8" x14ac:dyDescent="0.15">
      <c r="C131" s="3">
        <v>3.7422</v>
      </c>
      <c r="D131" s="3" t="s">
        <v>71</v>
      </c>
      <c r="E131" s="1">
        <v>10.4</v>
      </c>
      <c r="F131" s="1" t="s">
        <v>71</v>
      </c>
      <c r="G131">
        <f t="shared" si="17"/>
        <v>3.8</v>
      </c>
      <c r="H131" s="1" t="s">
        <v>71</v>
      </c>
    </row>
    <row r="132" spans="3:8" x14ac:dyDescent="0.15">
      <c r="C132" s="3" t="s">
        <v>71</v>
      </c>
      <c r="D132" s="3">
        <v>2.1960000000000002</v>
      </c>
      <c r="E132" s="1" t="s">
        <v>71</v>
      </c>
      <c r="F132" s="1">
        <v>10</v>
      </c>
      <c r="G132" s="1" t="s">
        <v>71</v>
      </c>
      <c r="H132">
        <f>ROUND((D132*(100-F132)/(100-$G$4)),1)</f>
        <v>2.2000000000000002</v>
      </c>
    </row>
    <row r="133" spans="3:8" x14ac:dyDescent="0.15">
      <c r="C133" s="3" t="s">
        <v>71</v>
      </c>
      <c r="D133" s="3">
        <v>2.702</v>
      </c>
      <c r="E133" s="1" t="s">
        <v>71</v>
      </c>
      <c r="F133" s="1">
        <v>10.199999999999999</v>
      </c>
      <c r="G133" s="1" t="s">
        <v>71</v>
      </c>
      <c r="H133">
        <f t="shared" ref="H133:H143" si="18">ROUND((D133*(100-F133)/(100-$G$4)),1)</f>
        <v>2.8</v>
      </c>
    </row>
    <row r="134" spans="3:8" x14ac:dyDescent="0.15">
      <c r="C134" s="3" t="s">
        <v>71</v>
      </c>
      <c r="D134" s="3">
        <v>2.2170000000000001</v>
      </c>
      <c r="E134" s="1" t="s">
        <v>71</v>
      </c>
      <c r="F134" s="1">
        <v>9.8000000000000007</v>
      </c>
      <c r="G134" s="1" t="s">
        <v>71</v>
      </c>
      <c r="H134">
        <f t="shared" si="18"/>
        <v>2.2999999999999998</v>
      </c>
    </row>
    <row r="135" spans="3:8" x14ac:dyDescent="0.15">
      <c r="C135" s="3">
        <v>1.31</v>
      </c>
      <c r="D135" s="3">
        <v>2.0179999999999998</v>
      </c>
      <c r="E135" s="1">
        <v>10.1</v>
      </c>
      <c r="F135" s="1">
        <v>10.4</v>
      </c>
      <c r="G135">
        <f t="shared" ref="G135:G143" si="19">ROUND((C135*(100-E135)/(100-$G$4)),1)</f>
        <v>1.3</v>
      </c>
      <c r="H135">
        <f t="shared" si="18"/>
        <v>2.1</v>
      </c>
    </row>
    <row r="136" spans="3:8" x14ac:dyDescent="0.15">
      <c r="C136" s="3">
        <v>0.8</v>
      </c>
      <c r="D136" s="3">
        <v>1.3480000000000001</v>
      </c>
      <c r="E136" s="1">
        <v>10.199999999999999</v>
      </c>
      <c r="F136" s="1">
        <v>11.1</v>
      </c>
      <c r="G136">
        <f t="shared" si="19"/>
        <v>0.8</v>
      </c>
      <c r="H136">
        <f t="shared" si="18"/>
        <v>1.4</v>
      </c>
    </row>
    <row r="137" spans="3:8" x14ac:dyDescent="0.15">
      <c r="C137" s="3">
        <v>1.345</v>
      </c>
      <c r="D137" s="3">
        <v>1.23</v>
      </c>
      <c r="E137" s="1">
        <v>10.1</v>
      </c>
      <c r="F137" s="1">
        <v>8.8000000000000007</v>
      </c>
      <c r="G137">
        <f t="shared" si="19"/>
        <v>1.4</v>
      </c>
      <c r="H137">
        <f t="shared" si="18"/>
        <v>1.3</v>
      </c>
    </row>
    <row r="138" spans="3:8" x14ac:dyDescent="0.15">
      <c r="C138" s="3">
        <v>1.266</v>
      </c>
      <c r="D138" s="3">
        <v>2.0369999999999999</v>
      </c>
      <c r="E138" s="1">
        <v>10.1</v>
      </c>
      <c r="F138" s="1">
        <v>10.4</v>
      </c>
      <c r="G138">
        <f t="shared" si="19"/>
        <v>1.3</v>
      </c>
      <c r="H138">
        <f t="shared" si="18"/>
        <v>2.1</v>
      </c>
    </row>
    <row r="139" spans="3:8" x14ac:dyDescent="0.15">
      <c r="C139" s="3">
        <v>1.34</v>
      </c>
      <c r="D139" s="3">
        <v>1.8160000000000001</v>
      </c>
      <c r="E139" s="1">
        <v>10.199999999999999</v>
      </c>
      <c r="F139" s="1">
        <v>10.5</v>
      </c>
      <c r="G139">
        <f t="shared" si="19"/>
        <v>1.4</v>
      </c>
      <c r="H139">
        <f t="shared" si="18"/>
        <v>1.8</v>
      </c>
    </row>
    <row r="140" spans="3:8" x14ac:dyDescent="0.15">
      <c r="C140" s="3">
        <v>1.1696</v>
      </c>
      <c r="D140" s="3">
        <v>1.06</v>
      </c>
      <c r="E140" s="1">
        <v>10.199999999999999</v>
      </c>
      <c r="F140" s="1">
        <v>8.6</v>
      </c>
      <c r="G140">
        <f t="shared" si="19"/>
        <v>1.2</v>
      </c>
      <c r="H140">
        <f t="shared" si="18"/>
        <v>1.1000000000000001</v>
      </c>
    </row>
    <row r="141" spans="3:8" x14ac:dyDescent="0.15">
      <c r="C141" s="3">
        <v>1.1675</v>
      </c>
      <c r="D141" s="3">
        <v>2.012</v>
      </c>
      <c r="E141" s="1">
        <v>10.199999999999999</v>
      </c>
      <c r="F141" s="1">
        <v>10.1</v>
      </c>
      <c r="G141">
        <f t="shared" si="19"/>
        <v>1.2</v>
      </c>
      <c r="H141">
        <f t="shared" si="18"/>
        <v>2.1</v>
      </c>
    </row>
    <row r="142" spans="3:8" x14ac:dyDescent="0.15">
      <c r="C142" s="3">
        <v>1.0733999999999999</v>
      </c>
      <c r="D142" s="3">
        <v>1.948</v>
      </c>
      <c r="E142" s="1">
        <v>10.3</v>
      </c>
      <c r="F142" s="1">
        <v>10</v>
      </c>
      <c r="G142">
        <f t="shared" si="19"/>
        <v>1.1000000000000001</v>
      </c>
      <c r="H142">
        <f t="shared" si="18"/>
        <v>2</v>
      </c>
    </row>
    <row r="143" spans="3:8" x14ac:dyDescent="0.15">
      <c r="C143" s="3">
        <v>1.4345000000000001</v>
      </c>
      <c r="D143" s="3">
        <v>1.17</v>
      </c>
      <c r="E143" s="1">
        <v>10.3</v>
      </c>
      <c r="F143" s="1">
        <v>9.5</v>
      </c>
      <c r="G143">
        <f t="shared" si="19"/>
        <v>1.5</v>
      </c>
      <c r="H143">
        <f t="shared" si="18"/>
        <v>1.2</v>
      </c>
    </row>
    <row r="144" spans="3:8" x14ac:dyDescent="0.15">
      <c r="C144" s="3">
        <v>3.2631999999999999</v>
      </c>
      <c r="D144" s="3" t="s">
        <v>71</v>
      </c>
      <c r="E144" s="1">
        <v>9.4</v>
      </c>
      <c r="F144" s="1" t="s">
        <v>71</v>
      </c>
      <c r="G144" s="1" t="s">
        <v>71</v>
      </c>
      <c r="H144" s="1" t="s">
        <v>71</v>
      </c>
    </row>
    <row r="145" spans="3:8" x14ac:dyDescent="0.15">
      <c r="C145" s="3" t="s">
        <v>71</v>
      </c>
      <c r="D145" s="3">
        <v>1.6579999999999999</v>
      </c>
      <c r="E145" s="1" t="s">
        <v>71</v>
      </c>
      <c r="F145" s="1">
        <v>10.6</v>
      </c>
      <c r="G145" s="1" t="s">
        <v>71</v>
      </c>
      <c r="H145" s="1" t="s">
        <v>71</v>
      </c>
    </row>
    <row r="146" spans="3:8" x14ac:dyDescent="0.15">
      <c r="C146" s="3">
        <v>3.548</v>
      </c>
      <c r="D146" s="3" t="s">
        <v>71</v>
      </c>
      <c r="E146" s="1">
        <v>10.3</v>
      </c>
      <c r="F146" s="1" t="s">
        <v>71</v>
      </c>
      <c r="G146">
        <f>ROUND((C146*(100-E146)/(100-$G$4)),1)</f>
        <v>3.6</v>
      </c>
      <c r="H146" s="1" t="s">
        <v>71</v>
      </c>
    </row>
    <row r="147" spans="3:8" x14ac:dyDescent="0.15">
      <c r="C147" s="3">
        <v>3.3881999999999999</v>
      </c>
      <c r="D147" s="3" t="s">
        <v>71</v>
      </c>
      <c r="E147" s="1">
        <v>10</v>
      </c>
      <c r="F147" s="1" t="s">
        <v>71</v>
      </c>
      <c r="G147">
        <f t="shared" ref="G147:G151" si="20">ROUND((C147*(100-E147)/(100-$G$4)),1)</f>
        <v>3.5</v>
      </c>
      <c r="H147" s="1" t="s">
        <v>71</v>
      </c>
    </row>
    <row r="148" spans="3:8" x14ac:dyDescent="0.15">
      <c r="C148" s="3">
        <v>2.6566000000000001</v>
      </c>
      <c r="D148" s="3" t="s">
        <v>71</v>
      </c>
      <c r="E148" s="1">
        <v>10.5</v>
      </c>
      <c r="F148" s="1" t="s">
        <v>71</v>
      </c>
      <c r="G148">
        <f t="shared" si="20"/>
        <v>2.7</v>
      </c>
      <c r="H148" s="1" t="s">
        <v>71</v>
      </c>
    </row>
    <row r="149" spans="3:8" x14ac:dyDescent="0.15">
      <c r="C149" s="3">
        <v>3.1947999999999999</v>
      </c>
      <c r="D149" s="3" t="s">
        <v>71</v>
      </c>
      <c r="E149" s="1">
        <v>10</v>
      </c>
      <c r="F149" s="1" t="s">
        <v>71</v>
      </c>
      <c r="G149">
        <f t="shared" si="20"/>
        <v>3.3</v>
      </c>
      <c r="H149" s="1" t="s">
        <v>71</v>
      </c>
    </row>
    <row r="150" spans="3:8" x14ac:dyDescent="0.15">
      <c r="C150" s="3">
        <v>4.4669999999999996</v>
      </c>
      <c r="D150" s="3" t="s">
        <v>71</v>
      </c>
      <c r="E150" s="1">
        <v>9.9</v>
      </c>
      <c r="F150" s="1" t="s">
        <v>71</v>
      </c>
      <c r="G150">
        <f t="shared" si="20"/>
        <v>4.5999999999999996</v>
      </c>
      <c r="H150" s="1" t="s">
        <v>71</v>
      </c>
    </row>
    <row r="151" spans="3:8" x14ac:dyDescent="0.15">
      <c r="C151" s="3">
        <v>3.8889999999999998</v>
      </c>
      <c r="D151" s="3" t="s">
        <v>71</v>
      </c>
      <c r="E151" s="1">
        <v>10.1</v>
      </c>
      <c r="F151" s="1" t="s">
        <v>71</v>
      </c>
      <c r="G151">
        <f t="shared" si="20"/>
        <v>4</v>
      </c>
      <c r="H151" s="1" t="s">
        <v>71</v>
      </c>
    </row>
    <row r="152" spans="3:8" x14ac:dyDescent="0.15">
      <c r="C152" s="3" t="s">
        <v>71</v>
      </c>
      <c r="D152" s="3">
        <v>2.9329999999999998</v>
      </c>
      <c r="E152" s="1" t="s">
        <v>71</v>
      </c>
      <c r="F152" s="1">
        <v>9.9</v>
      </c>
      <c r="G152" s="1" t="s">
        <v>71</v>
      </c>
      <c r="H152">
        <f>ROUND((D152*(100-F152)/(100-$G$4)),1)</f>
        <v>3</v>
      </c>
    </row>
    <row r="153" spans="3:8" x14ac:dyDescent="0.15">
      <c r="C153" s="3" t="s">
        <v>71</v>
      </c>
      <c r="D153" s="3">
        <v>2.5920000000000001</v>
      </c>
      <c r="E153" s="1" t="s">
        <v>71</v>
      </c>
      <c r="F153" s="1">
        <v>10.3</v>
      </c>
      <c r="G153" s="1" t="s">
        <v>71</v>
      </c>
      <c r="H153">
        <f t="shared" ref="H153:H163" si="21">ROUND((D153*(100-F153)/(100-$G$4)),1)</f>
        <v>2.6</v>
      </c>
    </row>
    <row r="154" spans="3:8" x14ac:dyDescent="0.15">
      <c r="C154" s="3" t="s">
        <v>71</v>
      </c>
      <c r="D154" s="3">
        <v>2.3180000000000001</v>
      </c>
      <c r="E154" s="1" t="s">
        <v>71</v>
      </c>
      <c r="F154" s="1">
        <v>8.9</v>
      </c>
      <c r="G154" s="1" t="s">
        <v>71</v>
      </c>
      <c r="H154">
        <f t="shared" si="21"/>
        <v>2.4</v>
      </c>
    </row>
    <row r="155" spans="3:8" x14ac:dyDescent="0.15">
      <c r="C155" s="3">
        <v>1.1412</v>
      </c>
      <c r="D155" s="3">
        <v>1.893</v>
      </c>
      <c r="E155" s="1">
        <v>10.3</v>
      </c>
      <c r="F155" s="1">
        <v>10.3</v>
      </c>
      <c r="G155">
        <f t="shared" ref="G155:G163" si="22">ROUND((C155*(100-E155)/(100-$G$4)),1)</f>
        <v>1.2</v>
      </c>
      <c r="H155">
        <f t="shared" si="21"/>
        <v>1.9</v>
      </c>
    </row>
    <row r="156" spans="3:8" x14ac:dyDescent="0.15">
      <c r="C156" s="3">
        <v>1.1908000000000001</v>
      </c>
      <c r="D156" s="3">
        <v>1.873</v>
      </c>
      <c r="E156" s="1">
        <v>10.199999999999999</v>
      </c>
      <c r="F156" s="1">
        <v>10.199999999999999</v>
      </c>
      <c r="G156">
        <f t="shared" si="22"/>
        <v>1.2</v>
      </c>
      <c r="H156">
        <f t="shared" si="21"/>
        <v>1.9</v>
      </c>
    </row>
    <row r="157" spans="3:8" x14ac:dyDescent="0.15">
      <c r="C157" s="3">
        <v>1.0859000000000001</v>
      </c>
      <c r="D157" s="3">
        <v>1.5289999999999999</v>
      </c>
      <c r="E157" s="1">
        <v>10.199999999999999</v>
      </c>
      <c r="F157" s="1">
        <v>9.3000000000000007</v>
      </c>
      <c r="G157">
        <f t="shared" si="22"/>
        <v>1.1000000000000001</v>
      </c>
      <c r="H157">
        <f t="shared" si="21"/>
        <v>1.6</v>
      </c>
    </row>
    <row r="158" spans="3:8" x14ac:dyDescent="0.15">
      <c r="C158" s="3">
        <v>1.425</v>
      </c>
      <c r="D158" s="3">
        <v>1.544</v>
      </c>
      <c r="E158" s="1">
        <v>10.4</v>
      </c>
      <c r="F158" s="1">
        <v>10</v>
      </c>
      <c r="G158">
        <f t="shared" si="22"/>
        <v>1.5</v>
      </c>
      <c r="H158">
        <f t="shared" si="21"/>
        <v>1.6</v>
      </c>
    </row>
    <row r="159" spans="3:8" x14ac:dyDescent="0.15">
      <c r="C159" s="3">
        <v>1.4802</v>
      </c>
      <c r="D159" s="3">
        <v>1.4550000000000001</v>
      </c>
      <c r="E159" s="1">
        <v>10.4</v>
      </c>
      <c r="F159" s="1">
        <v>10.199999999999999</v>
      </c>
      <c r="G159">
        <f t="shared" si="22"/>
        <v>1.5</v>
      </c>
      <c r="H159">
        <f t="shared" si="21"/>
        <v>1.5</v>
      </c>
    </row>
    <row r="160" spans="3:8" x14ac:dyDescent="0.15">
      <c r="C160" s="3">
        <v>1.7789999999999999</v>
      </c>
      <c r="D160" s="3">
        <v>1.367</v>
      </c>
      <c r="E160" s="1">
        <v>10.199999999999999</v>
      </c>
      <c r="F160" s="1">
        <v>9.6999999999999993</v>
      </c>
      <c r="G160">
        <f t="shared" si="22"/>
        <v>1.8</v>
      </c>
      <c r="H160">
        <f t="shared" si="21"/>
        <v>1.4</v>
      </c>
    </row>
    <row r="161" spans="3:8" x14ac:dyDescent="0.15">
      <c r="C161" s="3">
        <v>0.96240000000000003</v>
      </c>
      <c r="D161" s="3">
        <v>2.218</v>
      </c>
      <c r="E161" s="1">
        <v>10.4</v>
      </c>
      <c r="F161" s="1">
        <v>10.1</v>
      </c>
      <c r="G161">
        <f t="shared" si="22"/>
        <v>1</v>
      </c>
      <c r="H161">
        <f t="shared" si="21"/>
        <v>2.2999999999999998</v>
      </c>
    </row>
    <row r="162" spans="3:8" x14ac:dyDescent="0.15">
      <c r="C162" s="3">
        <v>1.105</v>
      </c>
      <c r="D162" s="3">
        <v>1.802</v>
      </c>
      <c r="E162" s="1">
        <v>10.3</v>
      </c>
      <c r="F162" s="1">
        <v>12.5</v>
      </c>
      <c r="G162">
        <f t="shared" si="22"/>
        <v>1.1000000000000001</v>
      </c>
      <c r="H162">
        <f t="shared" si="21"/>
        <v>1.8</v>
      </c>
    </row>
    <row r="163" spans="3:8" x14ac:dyDescent="0.15">
      <c r="C163" s="3">
        <v>0.91374</v>
      </c>
      <c r="D163" s="3">
        <v>1.663</v>
      </c>
      <c r="E163" s="1">
        <v>10.1</v>
      </c>
      <c r="F163" s="1">
        <v>8.6</v>
      </c>
      <c r="G163">
        <f t="shared" si="22"/>
        <v>0.9</v>
      </c>
      <c r="H163">
        <f t="shared" si="21"/>
        <v>1.7</v>
      </c>
    </row>
    <row r="164" spans="3:8" x14ac:dyDescent="0.15">
      <c r="C164" s="3">
        <v>3.1480000000000001</v>
      </c>
      <c r="D164" s="3" t="s">
        <v>71</v>
      </c>
      <c r="E164" s="1">
        <v>10</v>
      </c>
      <c r="F164" s="1" t="s">
        <v>71</v>
      </c>
      <c r="G164" s="1" t="s">
        <v>71</v>
      </c>
      <c r="H164" s="1" t="s">
        <v>71</v>
      </c>
    </row>
    <row r="165" spans="3:8" x14ac:dyDescent="0.15">
      <c r="C165" s="3" t="s">
        <v>71</v>
      </c>
      <c r="D165" s="3">
        <v>1.704</v>
      </c>
      <c r="E165" s="1" t="s">
        <v>71</v>
      </c>
      <c r="F165" s="1">
        <v>10.8</v>
      </c>
      <c r="G165" s="1" t="s">
        <v>71</v>
      </c>
      <c r="H165" s="1" t="s">
        <v>71</v>
      </c>
    </row>
    <row r="166" spans="3:8" ht="15" x14ac:dyDescent="0.15">
      <c r="C166" s="3">
        <v>2.2999999999999998</v>
      </c>
      <c r="D166" s="3" t="s">
        <v>71</v>
      </c>
      <c r="E166" s="5">
        <v>8.9</v>
      </c>
      <c r="F166" s="5" t="s">
        <v>71</v>
      </c>
      <c r="G166">
        <f>ROUND((C166*(100-E166)/(100-$G$4)),1)</f>
        <v>2.4</v>
      </c>
      <c r="H166" s="1" t="s">
        <v>71</v>
      </c>
    </row>
    <row r="167" spans="3:8" ht="15" x14ac:dyDescent="0.15">
      <c r="C167" s="3">
        <v>2.2000000000000002</v>
      </c>
      <c r="D167" s="3" t="s">
        <v>71</v>
      </c>
      <c r="E167" s="5">
        <v>8.4</v>
      </c>
      <c r="F167" s="5" t="s">
        <v>71</v>
      </c>
      <c r="G167">
        <f t="shared" ref="G167:G171" si="23">ROUND((C167*(100-E167)/(100-$G$4)),1)</f>
        <v>2.2999999999999998</v>
      </c>
      <c r="H167" s="1" t="s">
        <v>71</v>
      </c>
    </row>
    <row r="168" spans="3:8" ht="15" x14ac:dyDescent="0.15">
      <c r="C168" s="3">
        <v>1.9</v>
      </c>
      <c r="D168" s="3" t="s">
        <v>71</v>
      </c>
      <c r="E168" s="5">
        <v>8.8000000000000007</v>
      </c>
      <c r="F168" s="5" t="s">
        <v>71</v>
      </c>
      <c r="G168">
        <f t="shared" si="23"/>
        <v>2</v>
      </c>
      <c r="H168" s="1" t="s">
        <v>71</v>
      </c>
    </row>
    <row r="169" spans="3:8" ht="15" x14ac:dyDescent="0.15">
      <c r="C169" s="3">
        <v>2.7</v>
      </c>
      <c r="D169" s="3" t="s">
        <v>71</v>
      </c>
      <c r="E169" s="5">
        <v>8.3000000000000007</v>
      </c>
      <c r="F169" s="5" t="s">
        <v>71</v>
      </c>
      <c r="G169">
        <f t="shared" si="23"/>
        <v>2.8</v>
      </c>
      <c r="H169" s="1" t="s">
        <v>71</v>
      </c>
    </row>
    <row r="170" spans="3:8" ht="15" x14ac:dyDescent="0.15">
      <c r="C170" s="3">
        <v>2.9</v>
      </c>
      <c r="D170" s="3" t="s">
        <v>71</v>
      </c>
      <c r="E170" s="5">
        <v>8.8000000000000007</v>
      </c>
      <c r="F170" s="5" t="s">
        <v>71</v>
      </c>
      <c r="G170">
        <f t="shared" si="23"/>
        <v>3</v>
      </c>
      <c r="H170" s="1" t="s">
        <v>71</v>
      </c>
    </row>
    <row r="171" spans="3:8" ht="15" x14ac:dyDescent="0.15">
      <c r="C171" s="3">
        <v>2.8</v>
      </c>
      <c r="D171" s="3" t="s">
        <v>71</v>
      </c>
      <c r="E171" s="5">
        <v>8.6999999999999993</v>
      </c>
      <c r="F171" s="5" t="s">
        <v>71</v>
      </c>
      <c r="G171">
        <f t="shared" si="23"/>
        <v>2.9</v>
      </c>
      <c r="H171" s="1" t="s">
        <v>71</v>
      </c>
    </row>
    <row r="172" spans="3:8" ht="15" x14ac:dyDescent="0.15">
      <c r="C172" s="3" t="s">
        <v>71</v>
      </c>
      <c r="D172" s="3">
        <v>1.9</v>
      </c>
      <c r="E172" s="5" t="s">
        <v>71</v>
      </c>
      <c r="F172" s="5">
        <v>4.3</v>
      </c>
      <c r="G172" s="1" t="s">
        <v>71</v>
      </c>
      <c r="H172">
        <f>ROUND((D172*(100-F172)/(100-$G$4)),1)</f>
        <v>2.1</v>
      </c>
    </row>
    <row r="173" spans="3:8" ht="15" x14ac:dyDescent="0.15">
      <c r="C173" s="3" t="s">
        <v>71</v>
      </c>
      <c r="D173" s="3">
        <v>1.7</v>
      </c>
      <c r="E173" s="5" t="s">
        <v>71</v>
      </c>
      <c r="F173" s="5">
        <v>4.7</v>
      </c>
      <c r="G173" s="1" t="s">
        <v>71</v>
      </c>
      <c r="H173">
        <f t="shared" ref="H173:H183" si="24">ROUND((D173*(100-F173)/(100-$G$4)),1)</f>
        <v>1.8</v>
      </c>
    </row>
    <row r="174" spans="3:8" ht="15" x14ac:dyDescent="0.15">
      <c r="C174" s="3" t="s">
        <v>71</v>
      </c>
      <c r="D174" s="3">
        <v>1.9</v>
      </c>
      <c r="E174" s="5" t="s">
        <v>71</v>
      </c>
      <c r="F174" s="5">
        <v>3</v>
      </c>
      <c r="G174" s="1" t="s">
        <v>71</v>
      </c>
      <c r="H174">
        <f t="shared" si="24"/>
        <v>2.1</v>
      </c>
    </row>
    <row r="175" spans="3:8" x14ac:dyDescent="0.15">
      <c r="C175" s="3">
        <v>1</v>
      </c>
      <c r="D175" s="3">
        <v>1.3</v>
      </c>
      <c r="E175" s="5">
        <v>8.4</v>
      </c>
      <c r="F175" s="5">
        <v>3.7</v>
      </c>
      <c r="G175">
        <f t="shared" ref="G175:G183" si="25">ROUND((C175*(100-E175)/(100-$G$4)),1)</f>
        <v>1</v>
      </c>
      <c r="H175">
        <f t="shared" si="24"/>
        <v>1.4</v>
      </c>
    </row>
    <row r="176" spans="3:8" x14ac:dyDescent="0.15">
      <c r="C176" s="3">
        <v>1.1000000000000001</v>
      </c>
      <c r="D176" s="3">
        <v>1.5</v>
      </c>
      <c r="E176" s="5">
        <v>7.9</v>
      </c>
      <c r="F176" s="5">
        <v>4.2</v>
      </c>
      <c r="G176">
        <f t="shared" si="25"/>
        <v>1.2</v>
      </c>
      <c r="H176">
        <f t="shared" si="24"/>
        <v>1.6</v>
      </c>
    </row>
    <row r="177" spans="3:8" x14ac:dyDescent="0.15">
      <c r="C177" s="3">
        <v>1</v>
      </c>
      <c r="D177" s="3">
        <v>1.2</v>
      </c>
      <c r="E177" s="5">
        <v>8.1999999999999993</v>
      </c>
      <c r="F177" s="5">
        <v>3.2</v>
      </c>
      <c r="G177">
        <f t="shared" si="25"/>
        <v>1</v>
      </c>
      <c r="H177">
        <f t="shared" si="24"/>
        <v>1.3</v>
      </c>
    </row>
    <row r="178" spans="3:8" x14ac:dyDescent="0.15">
      <c r="C178" s="3">
        <v>0.9</v>
      </c>
      <c r="D178" s="3">
        <v>1.4</v>
      </c>
      <c r="E178" s="5">
        <v>8.9</v>
      </c>
      <c r="F178" s="5">
        <v>4.4000000000000004</v>
      </c>
      <c r="G178">
        <f t="shared" si="25"/>
        <v>0.9</v>
      </c>
      <c r="H178">
        <f t="shared" si="24"/>
        <v>1.5</v>
      </c>
    </row>
    <row r="179" spans="3:8" x14ac:dyDescent="0.15">
      <c r="C179" s="3">
        <v>1.1000000000000001</v>
      </c>
      <c r="D179" s="3">
        <v>1.5</v>
      </c>
      <c r="E179" s="6">
        <v>8.5</v>
      </c>
      <c r="F179" s="6">
        <v>4.4000000000000004</v>
      </c>
      <c r="G179">
        <f t="shared" si="25"/>
        <v>1.1000000000000001</v>
      </c>
      <c r="H179">
        <f t="shared" si="24"/>
        <v>1.6</v>
      </c>
    </row>
    <row r="180" spans="3:8" x14ac:dyDescent="0.15">
      <c r="C180" s="3">
        <v>1.1000000000000001</v>
      </c>
      <c r="D180" s="3">
        <v>1.3</v>
      </c>
      <c r="E180" s="5">
        <v>8.3000000000000007</v>
      </c>
      <c r="F180" s="5">
        <v>2.5</v>
      </c>
      <c r="G180">
        <f t="shared" si="25"/>
        <v>1.1000000000000001</v>
      </c>
      <c r="H180">
        <f t="shared" si="24"/>
        <v>1.4</v>
      </c>
    </row>
    <row r="181" spans="3:8" x14ac:dyDescent="0.15">
      <c r="C181" s="3">
        <v>0.6</v>
      </c>
      <c r="D181" s="3">
        <v>1.7</v>
      </c>
      <c r="E181" s="5">
        <v>8.6</v>
      </c>
      <c r="F181" s="5">
        <v>2.9</v>
      </c>
      <c r="G181">
        <f t="shared" si="25"/>
        <v>0.6</v>
      </c>
      <c r="H181">
        <f t="shared" si="24"/>
        <v>1.9</v>
      </c>
    </row>
    <row r="182" spans="3:8" x14ac:dyDescent="0.15">
      <c r="C182" s="3">
        <v>0.9</v>
      </c>
      <c r="D182" s="3">
        <v>1.4</v>
      </c>
      <c r="E182" s="5">
        <v>8.5</v>
      </c>
      <c r="F182" s="5">
        <v>4.5</v>
      </c>
      <c r="G182">
        <f t="shared" si="25"/>
        <v>0.9</v>
      </c>
      <c r="H182">
        <f t="shared" si="24"/>
        <v>1.5</v>
      </c>
    </row>
    <row r="183" spans="3:8" x14ac:dyDescent="0.15">
      <c r="C183" s="3">
        <v>0.7</v>
      </c>
      <c r="D183" s="3">
        <v>1.4</v>
      </c>
      <c r="E183" s="5">
        <v>7.8</v>
      </c>
      <c r="F183" s="5">
        <v>2</v>
      </c>
      <c r="G183">
        <f t="shared" si="25"/>
        <v>0.7</v>
      </c>
      <c r="H183">
        <f t="shared" si="24"/>
        <v>1.6</v>
      </c>
    </row>
    <row r="184" spans="3:8" ht="15" x14ac:dyDescent="0.15">
      <c r="C184" s="3" t="s">
        <v>71</v>
      </c>
      <c r="D184" s="3">
        <v>2.4</v>
      </c>
      <c r="E184" s="5" t="s">
        <v>71</v>
      </c>
      <c r="F184" s="5">
        <v>4.4000000000000004</v>
      </c>
      <c r="G184" s="1" t="s">
        <v>71</v>
      </c>
      <c r="H184" s="1" t="s">
        <v>71</v>
      </c>
    </row>
    <row r="185" spans="3:8" ht="15" x14ac:dyDescent="0.15">
      <c r="C185" s="3" t="s">
        <v>71</v>
      </c>
      <c r="D185" s="3">
        <v>1.3</v>
      </c>
      <c r="E185" s="5" t="s">
        <v>71</v>
      </c>
      <c r="F185" s="5">
        <v>3.6</v>
      </c>
      <c r="G185" s="1" t="s">
        <v>71</v>
      </c>
      <c r="H185" s="1" t="s">
        <v>71</v>
      </c>
    </row>
    <row r="186" spans="3:8" ht="15" x14ac:dyDescent="0.15">
      <c r="C186" s="3">
        <v>1.5</v>
      </c>
      <c r="D186" s="3" t="s">
        <v>71</v>
      </c>
      <c r="E186" s="5">
        <v>8.6999999999999993</v>
      </c>
      <c r="F186" s="5" t="s">
        <v>71</v>
      </c>
      <c r="G186">
        <f>ROUND((C186*(100-E186)/(100-$G$4)),1)</f>
        <v>1.6</v>
      </c>
      <c r="H186" s="1" t="s">
        <v>71</v>
      </c>
    </row>
    <row r="187" spans="3:8" ht="15" x14ac:dyDescent="0.15">
      <c r="C187" s="3">
        <v>2.2999999999999998</v>
      </c>
      <c r="D187" s="3" t="s">
        <v>71</v>
      </c>
      <c r="E187" s="5">
        <v>8.5</v>
      </c>
      <c r="F187" s="5" t="s">
        <v>71</v>
      </c>
      <c r="G187">
        <f t="shared" ref="G187:G191" si="26">ROUND((C187*(100-E187)/(100-$G$4)),1)</f>
        <v>2.4</v>
      </c>
      <c r="H187" s="1" t="s">
        <v>71</v>
      </c>
    </row>
    <row r="188" spans="3:8" ht="15" x14ac:dyDescent="0.15">
      <c r="C188" s="3">
        <v>2</v>
      </c>
      <c r="D188" s="3" t="s">
        <v>71</v>
      </c>
      <c r="E188" s="5">
        <v>8.8000000000000007</v>
      </c>
      <c r="F188" s="5" t="s">
        <v>71</v>
      </c>
      <c r="G188">
        <f t="shared" si="26"/>
        <v>2.1</v>
      </c>
      <c r="H188" s="1" t="s">
        <v>71</v>
      </c>
    </row>
    <row r="189" spans="3:8" ht="15" x14ac:dyDescent="0.15">
      <c r="C189" s="3">
        <v>2.9</v>
      </c>
      <c r="D189" s="3" t="s">
        <v>71</v>
      </c>
      <c r="E189" s="5">
        <v>8.4</v>
      </c>
      <c r="F189" s="5" t="s">
        <v>71</v>
      </c>
      <c r="G189">
        <f t="shared" si="26"/>
        <v>3</v>
      </c>
      <c r="H189" s="1" t="s">
        <v>71</v>
      </c>
    </row>
    <row r="190" spans="3:8" ht="15" x14ac:dyDescent="0.15">
      <c r="C190" s="3">
        <v>2.7</v>
      </c>
      <c r="D190" s="3" t="s">
        <v>71</v>
      </c>
      <c r="E190" s="5">
        <v>8.1</v>
      </c>
      <c r="F190" s="5" t="s">
        <v>71</v>
      </c>
      <c r="G190">
        <f t="shared" si="26"/>
        <v>2.8</v>
      </c>
      <c r="H190" s="1" t="s">
        <v>71</v>
      </c>
    </row>
    <row r="191" spans="3:8" ht="15" x14ac:dyDescent="0.15">
      <c r="C191" s="3">
        <v>3.1</v>
      </c>
      <c r="D191" s="3" t="s">
        <v>71</v>
      </c>
      <c r="E191" s="5">
        <v>8.6</v>
      </c>
      <c r="F191" s="5" t="s">
        <v>71</v>
      </c>
      <c r="G191">
        <f t="shared" si="26"/>
        <v>3.2</v>
      </c>
      <c r="H191" s="1" t="s">
        <v>71</v>
      </c>
    </row>
    <row r="192" spans="3:8" ht="15" x14ac:dyDescent="0.15">
      <c r="C192" s="3" t="s">
        <v>71</v>
      </c>
      <c r="D192" s="3">
        <v>2.2000000000000002</v>
      </c>
      <c r="E192" s="5" t="s">
        <v>71</v>
      </c>
      <c r="F192" s="5">
        <v>4.9000000000000004</v>
      </c>
      <c r="G192" s="1" t="s">
        <v>71</v>
      </c>
      <c r="H192">
        <f>ROUND((D192*(100-F192)/(100-$G$4)),1)</f>
        <v>2.4</v>
      </c>
    </row>
    <row r="193" spans="3:8" ht="15" x14ac:dyDescent="0.15">
      <c r="C193" s="3" t="s">
        <v>71</v>
      </c>
      <c r="D193" s="3">
        <v>2</v>
      </c>
      <c r="E193" s="5" t="s">
        <v>71</v>
      </c>
      <c r="F193" s="5">
        <v>4.3</v>
      </c>
      <c r="G193" s="1" t="s">
        <v>71</v>
      </c>
      <c r="H193">
        <f t="shared" ref="H193:H203" si="27">ROUND((D193*(100-F193)/(100-$G$4)),1)</f>
        <v>2.2000000000000002</v>
      </c>
    </row>
    <row r="194" spans="3:8" ht="15" x14ac:dyDescent="0.15">
      <c r="C194" s="3" t="s">
        <v>71</v>
      </c>
      <c r="D194" s="3">
        <v>2.2000000000000002</v>
      </c>
      <c r="E194" s="5" t="s">
        <v>71</v>
      </c>
      <c r="F194" s="5">
        <v>3.6</v>
      </c>
      <c r="G194" s="1" t="s">
        <v>71</v>
      </c>
      <c r="H194">
        <f t="shared" si="27"/>
        <v>2.4</v>
      </c>
    </row>
    <row r="195" spans="3:8" x14ac:dyDescent="0.15">
      <c r="C195" s="3">
        <v>1</v>
      </c>
      <c r="D195" s="3">
        <v>1.8</v>
      </c>
      <c r="E195" s="5">
        <v>7.2</v>
      </c>
      <c r="F195" s="5">
        <v>3.5</v>
      </c>
      <c r="G195">
        <f t="shared" ref="G195:G203" si="28">ROUND((C195*(100-E195)/(100-$G$4)),1)</f>
        <v>1.1000000000000001</v>
      </c>
      <c r="H195">
        <f t="shared" si="27"/>
        <v>2</v>
      </c>
    </row>
    <row r="196" spans="3:8" x14ac:dyDescent="0.15">
      <c r="C196" s="3">
        <v>0.9</v>
      </c>
      <c r="D196" s="3">
        <v>1.8</v>
      </c>
      <c r="E196" s="5">
        <v>8</v>
      </c>
      <c r="F196" s="5">
        <v>4.2</v>
      </c>
      <c r="G196">
        <f t="shared" si="28"/>
        <v>0.9</v>
      </c>
      <c r="H196">
        <f t="shared" si="27"/>
        <v>2</v>
      </c>
    </row>
    <row r="197" spans="3:8" x14ac:dyDescent="0.15">
      <c r="C197" s="3">
        <v>0.9</v>
      </c>
      <c r="D197" s="3">
        <v>1.5</v>
      </c>
      <c r="E197" s="5">
        <v>8.4</v>
      </c>
      <c r="F197" s="5">
        <v>3.2</v>
      </c>
      <c r="G197">
        <f t="shared" si="28"/>
        <v>0.9</v>
      </c>
      <c r="H197">
        <f t="shared" si="27"/>
        <v>1.7</v>
      </c>
    </row>
    <row r="198" spans="3:8" x14ac:dyDescent="0.15">
      <c r="C198" s="3">
        <v>0.9</v>
      </c>
      <c r="D198" s="3">
        <v>1.8</v>
      </c>
      <c r="E198" s="5">
        <v>8.5</v>
      </c>
      <c r="F198" s="5">
        <v>4.4000000000000004</v>
      </c>
      <c r="G198">
        <f t="shared" si="28"/>
        <v>0.9</v>
      </c>
      <c r="H198">
        <f t="shared" si="27"/>
        <v>2</v>
      </c>
    </row>
    <row r="199" spans="3:8" x14ac:dyDescent="0.15">
      <c r="C199" s="3">
        <v>1.1000000000000001</v>
      </c>
      <c r="D199" s="3">
        <v>1.9</v>
      </c>
      <c r="E199" s="5">
        <v>8.5</v>
      </c>
      <c r="F199" s="5">
        <v>5.0999999999999996</v>
      </c>
      <c r="G199">
        <f t="shared" si="28"/>
        <v>1.1000000000000001</v>
      </c>
      <c r="H199">
        <f t="shared" si="27"/>
        <v>2</v>
      </c>
    </row>
    <row r="200" spans="3:8" x14ac:dyDescent="0.15">
      <c r="C200" s="3">
        <v>1.2</v>
      </c>
      <c r="D200" s="3">
        <v>1.3</v>
      </c>
      <c r="E200" s="5">
        <v>8</v>
      </c>
      <c r="F200" s="5">
        <v>3.2</v>
      </c>
      <c r="G200">
        <f t="shared" si="28"/>
        <v>1.3</v>
      </c>
      <c r="H200">
        <f t="shared" si="27"/>
        <v>1.4</v>
      </c>
    </row>
    <row r="201" spans="3:8" x14ac:dyDescent="0.15">
      <c r="C201" s="3">
        <v>0.6</v>
      </c>
      <c r="D201" s="3">
        <v>2.1</v>
      </c>
      <c r="E201" s="5">
        <v>8.4</v>
      </c>
      <c r="F201" s="5">
        <v>3.7</v>
      </c>
      <c r="G201">
        <f t="shared" si="28"/>
        <v>0.6</v>
      </c>
      <c r="H201">
        <f t="shared" si="27"/>
        <v>2.2999999999999998</v>
      </c>
    </row>
    <row r="202" spans="3:8" x14ac:dyDescent="0.15">
      <c r="C202" s="3">
        <v>0.7</v>
      </c>
      <c r="D202" s="3">
        <v>2</v>
      </c>
      <c r="E202" s="5">
        <v>7.3</v>
      </c>
      <c r="F202" s="5">
        <v>3.3</v>
      </c>
      <c r="G202">
        <f t="shared" si="28"/>
        <v>0.7</v>
      </c>
      <c r="H202">
        <f t="shared" si="27"/>
        <v>2.2000000000000002</v>
      </c>
    </row>
    <row r="203" spans="3:8" x14ac:dyDescent="0.15">
      <c r="C203" s="3">
        <v>0.6</v>
      </c>
      <c r="D203" s="3">
        <v>1.5</v>
      </c>
      <c r="E203" s="5">
        <v>8</v>
      </c>
      <c r="F203" s="5">
        <v>2.6</v>
      </c>
      <c r="G203">
        <f t="shared" si="28"/>
        <v>0.6</v>
      </c>
      <c r="H203">
        <f t="shared" si="27"/>
        <v>1.7</v>
      </c>
    </row>
    <row r="204" spans="3:8" ht="15" x14ac:dyDescent="0.15">
      <c r="C204" s="3" t="s">
        <v>71</v>
      </c>
      <c r="D204" s="3">
        <v>2.4</v>
      </c>
      <c r="E204" s="5" t="s">
        <v>71</v>
      </c>
      <c r="F204" s="5">
        <v>4.2</v>
      </c>
      <c r="G204" s="1" t="s">
        <v>71</v>
      </c>
      <c r="H204" s="1" t="s">
        <v>71</v>
      </c>
    </row>
    <row r="205" spans="3:8" ht="15" x14ac:dyDescent="0.15">
      <c r="C205" s="3" t="s">
        <v>71</v>
      </c>
      <c r="D205" s="3">
        <v>1.3</v>
      </c>
      <c r="E205" s="5" t="s">
        <v>71</v>
      </c>
      <c r="F205" s="5">
        <v>3.1</v>
      </c>
      <c r="G205" s="1" t="s">
        <v>71</v>
      </c>
      <c r="H205" s="1" t="s">
        <v>71</v>
      </c>
    </row>
    <row r="206" spans="3:8" ht="15" x14ac:dyDescent="0.15">
      <c r="C206" s="3">
        <v>2.2000000000000002</v>
      </c>
      <c r="D206" s="3" t="s">
        <v>71</v>
      </c>
      <c r="E206" s="5">
        <v>8.6</v>
      </c>
      <c r="F206" s="5" t="s">
        <v>71</v>
      </c>
      <c r="G206">
        <f>ROUND((C206*(100-E206)/(100-$G$4)),1)</f>
        <v>2.2999999999999998</v>
      </c>
      <c r="H206" s="1" t="s">
        <v>71</v>
      </c>
    </row>
    <row r="207" spans="3:8" ht="15" x14ac:dyDescent="0.15">
      <c r="C207" s="3">
        <v>2.1</v>
      </c>
      <c r="D207" s="3" t="s">
        <v>71</v>
      </c>
      <c r="E207" s="5">
        <v>8.1</v>
      </c>
      <c r="F207" s="5" t="s">
        <v>71</v>
      </c>
      <c r="G207">
        <f t="shared" ref="G207:G211" si="29">ROUND((C207*(100-E207)/(100-$G$4)),1)</f>
        <v>2.2000000000000002</v>
      </c>
      <c r="H207" s="1" t="s">
        <v>71</v>
      </c>
    </row>
    <row r="208" spans="3:8" ht="15" x14ac:dyDescent="0.15">
      <c r="C208" s="3">
        <v>1.8</v>
      </c>
      <c r="D208" s="3" t="s">
        <v>71</v>
      </c>
      <c r="E208" s="5">
        <v>8.1999999999999993</v>
      </c>
      <c r="F208" s="5" t="s">
        <v>71</v>
      </c>
      <c r="G208">
        <f t="shared" si="29"/>
        <v>1.9</v>
      </c>
      <c r="H208" s="1" t="s">
        <v>71</v>
      </c>
    </row>
    <row r="209" spans="3:8" ht="15" x14ac:dyDescent="0.15">
      <c r="C209" s="3">
        <v>2.6</v>
      </c>
      <c r="D209" s="3" t="s">
        <v>71</v>
      </c>
      <c r="E209" s="5">
        <v>8.1</v>
      </c>
      <c r="F209" s="5" t="s">
        <v>71</v>
      </c>
      <c r="G209">
        <f t="shared" si="29"/>
        <v>2.7</v>
      </c>
      <c r="H209" s="1" t="s">
        <v>71</v>
      </c>
    </row>
    <row r="210" spans="3:8" ht="15" x14ac:dyDescent="0.15">
      <c r="C210" s="3">
        <v>3.2</v>
      </c>
      <c r="D210" s="3" t="s">
        <v>71</v>
      </c>
      <c r="E210" s="5">
        <v>8.8000000000000007</v>
      </c>
      <c r="F210" s="5" t="s">
        <v>71</v>
      </c>
      <c r="G210">
        <f t="shared" si="29"/>
        <v>3.3</v>
      </c>
      <c r="H210" s="1" t="s">
        <v>71</v>
      </c>
    </row>
    <row r="211" spans="3:8" ht="15" x14ac:dyDescent="0.15">
      <c r="C211" s="3">
        <v>2.6</v>
      </c>
      <c r="D211" s="3" t="s">
        <v>71</v>
      </c>
      <c r="E211" s="5">
        <v>8.4</v>
      </c>
      <c r="F211" s="5" t="s">
        <v>71</v>
      </c>
      <c r="G211">
        <f t="shared" si="29"/>
        <v>2.7</v>
      </c>
      <c r="H211" s="1" t="s">
        <v>71</v>
      </c>
    </row>
    <row r="212" spans="3:8" ht="15" x14ac:dyDescent="0.15">
      <c r="C212" s="3" t="s">
        <v>71</v>
      </c>
      <c r="D212" s="3">
        <v>2.2999999999999998</v>
      </c>
      <c r="E212" s="5" t="s">
        <v>71</v>
      </c>
      <c r="F212" s="5">
        <v>5.5</v>
      </c>
      <c r="G212" s="1" t="s">
        <v>71</v>
      </c>
      <c r="H212">
        <f>ROUND((D212*(100-F212)/(100-$G$4)),1)</f>
        <v>2.5</v>
      </c>
    </row>
    <row r="213" spans="3:8" ht="15" x14ac:dyDescent="0.15">
      <c r="C213" s="3" t="s">
        <v>71</v>
      </c>
      <c r="D213" s="3">
        <v>2.6</v>
      </c>
      <c r="E213" s="5" t="s">
        <v>71</v>
      </c>
      <c r="F213" s="5">
        <v>4.8</v>
      </c>
      <c r="G213" s="1" t="s">
        <v>71</v>
      </c>
      <c r="H213">
        <f t="shared" ref="H213:H223" si="30">ROUND((D213*(100-F213)/(100-$G$4)),1)</f>
        <v>2.8</v>
      </c>
    </row>
    <row r="214" spans="3:8" ht="15" x14ac:dyDescent="0.15">
      <c r="C214" s="3" t="s">
        <v>71</v>
      </c>
      <c r="D214" s="3">
        <v>2.1</v>
      </c>
      <c r="E214" s="5" t="s">
        <v>71</v>
      </c>
      <c r="F214" s="5">
        <v>3.4</v>
      </c>
      <c r="G214" s="1" t="s">
        <v>71</v>
      </c>
      <c r="H214">
        <f t="shared" si="30"/>
        <v>2.2999999999999998</v>
      </c>
    </row>
    <row r="215" spans="3:8" x14ac:dyDescent="0.15">
      <c r="C215" s="3">
        <v>0.8</v>
      </c>
      <c r="D215" s="3">
        <v>2</v>
      </c>
      <c r="E215" s="5">
        <v>8.1</v>
      </c>
      <c r="F215" s="5">
        <v>4.4000000000000004</v>
      </c>
      <c r="G215">
        <f t="shared" ref="G215:G223" si="31">ROUND((C215*(100-E215)/(100-$G$4)),1)</f>
        <v>0.8</v>
      </c>
      <c r="H215">
        <f t="shared" si="30"/>
        <v>2.2000000000000002</v>
      </c>
    </row>
    <row r="216" spans="3:8" x14ac:dyDescent="0.15">
      <c r="C216" s="3">
        <v>1.1000000000000001</v>
      </c>
      <c r="D216" s="3">
        <v>1.7</v>
      </c>
      <c r="E216" s="5">
        <v>7.8</v>
      </c>
      <c r="F216" s="5">
        <v>5.2</v>
      </c>
      <c r="G216">
        <f t="shared" si="31"/>
        <v>1.2</v>
      </c>
      <c r="H216">
        <f t="shared" si="30"/>
        <v>1.8</v>
      </c>
    </row>
    <row r="217" spans="3:8" x14ac:dyDescent="0.15">
      <c r="C217" s="3">
        <v>0.8</v>
      </c>
      <c r="D217" s="3">
        <v>1.8</v>
      </c>
      <c r="E217" s="5">
        <v>8.1</v>
      </c>
      <c r="F217" s="5">
        <v>2.6</v>
      </c>
      <c r="G217">
        <f t="shared" si="31"/>
        <v>0.8</v>
      </c>
      <c r="H217">
        <f t="shared" si="30"/>
        <v>2</v>
      </c>
    </row>
    <row r="218" spans="3:8" x14ac:dyDescent="0.15">
      <c r="C218" s="3">
        <v>1.1000000000000001</v>
      </c>
      <c r="D218" s="3">
        <v>1.7</v>
      </c>
      <c r="E218" s="5">
        <v>8.6999999999999993</v>
      </c>
      <c r="F218" s="5">
        <v>5.0999999999999996</v>
      </c>
      <c r="G218">
        <f t="shared" si="31"/>
        <v>1.1000000000000001</v>
      </c>
      <c r="H218">
        <f t="shared" si="30"/>
        <v>1.8</v>
      </c>
    </row>
    <row r="219" spans="3:8" x14ac:dyDescent="0.15">
      <c r="C219" s="3">
        <v>1</v>
      </c>
      <c r="D219" s="3">
        <v>2.1</v>
      </c>
      <c r="E219" s="5">
        <v>8.8000000000000007</v>
      </c>
      <c r="F219" s="5">
        <v>5.3</v>
      </c>
      <c r="G219">
        <f t="shared" si="31"/>
        <v>1</v>
      </c>
      <c r="H219">
        <f t="shared" si="30"/>
        <v>2.2999999999999998</v>
      </c>
    </row>
    <row r="220" spans="3:8" x14ac:dyDescent="0.15">
      <c r="C220" s="3">
        <v>0.9</v>
      </c>
      <c r="D220" s="3">
        <v>1.7</v>
      </c>
      <c r="E220" s="5">
        <v>8.4</v>
      </c>
      <c r="F220" s="5">
        <v>2.8</v>
      </c>
      <c r="G220">
        <f t="shared" si="31"/>
        <v>0.9</v>
      </c>
      <c r="H220">
        <f t="shared" si="30"/>
        <v>1.9</v>
      </c>
    </row>
    <row r="221" spans="3:8" x14ac:dyDescent="0.15">
      <c r="C221" s="3">
        <v>0.6</v>
      </c>
      <c r="D221" s="3">
        <v>2</v>
      </c>
      <c r="E221" s="5">
        <v>8.4</v>
      </c>
      <c r="F221" s="5">
        <v>4.5</v>
      </c>
      <c r="G221">
        <f t="shared" si="31"/>
        <v>0.6</v>
      </c>
      <c r="H221">
        <f t="shared" si="30"/>
        <v>2.2000000000000002</v>
      </c>
    </row>
    <row r="222" spans="3:8" x14ac:dyDescent="0.15">
      <c r="C222" s="3">
        <v>0.5</v>
      </c>
      <c r="D222" s="3">
        <v>2.1</v>
      </c>
      <c r="E222" s="5">
        <v>7.8</v>
      </c>
      <c r="F222" s="5">
        <v>5.4</v>
      </c>
      <c r="G222">
        <f t="shared" si="31"/>
        <v>0.5</v>
      </c>
      <c r="H222">
        <f t="shared" si="30"/>
        <v>2.2999999999999998</v>
      </c>
    </row>
    <row r="223" spans="3:8" x14ac:dyDescent="0.15">
      <c r="C223" s="3">
        <v>0.6</v>
      </c>
      <c r="D223" s="3">
        <v>1.9</v>
      </c>
      <c r="E223" s="5">
        <v>8.3000000000000007</v>
      </c>
      <c r="F223" s="5">
        <v>3.5</v>
      </c>
      <c r="G223">
        <f t="shared" si="31"/>
        <v>0.6</v>
      </c>
      <c r="H223">
        <f t="shared" si="30"/>
        <v>2.1</v>
      </c>
    </row>
    <row r="224" spans="3:8" ht="15" x14ac:dyDescent="0.15">
      <c r="C224" s="3" t="s">
        <v>71</v>
      </c>
      <c r="D224" s="3">
        <v>2.9</v>
      </c>
      <c r="E224" s="5" t="s">
        <v>71</v>
      </c>
      <c r="F224" s="5">
        <v>5.2</v>
      </c>
      <c r="G224" s="1" t="s">
        <v>71</v>
      </c>
      <c r="H224" s="1" t="s">
        <v>71</v>
      </c>
    </row>
    <row r="225" spans="3:8" ht="15" x14ac:dyDescent="0.15">
      <c r="C225" s="3" t="s">
        <v>71</v>
      </c>
      <c r="D225" s="3">
        <v>1.1000000000000001</v>
      </c>
      <c r="E225" s="5" t="s">
        <v>71</v>
      </c>
      <c r="F225" s="5">
        <v>3.5</v>
      </c>
      <c r="G225" s="1" t="s">
        <v>71</v>
      </c>
      <c r="H225" s="1" t="s">
        <v>71</v>
      </c>
    </row>
    <row r="226" spans="3:8" ht="15" x14ac:dyDescent="0.15">
      <c r="C226" s="3">
        <v>2</v>
      </c>
      <c r="D226" s="3" t="s">
        <v>71</v>
      </c>
      <c r="E226" s="5">
        <v>7.5</v>
      </c>
      <c r="F226" s="5" t="s">
        <v>71</v>
      </c>
      <c r="G226">
        <f>ROUND((C226*(100-E226)/(100-$G$4)),1)</f>
        <v>2.1</v>
      </c>
      <c r="H226" s="1" t="s">
        <v>71</v>
      </c>
    </row>
    <row r="227" spans="3:8" ht="15" x14ac:dyDescent="0.15">
      <c r="C227" s="3">
        <v>1.6</v>
      </c>
      <c r="D227" s="3" t="s">
        <v>71</v>
      </c>
      <c r="E227" s="5">
        <v>8.6</v>
      </c>
      <c r="F227" s="5" t="s">
        <v>71</v>
      </c>
      <c r="G227">
        <f t="shared" ref="G227:G231" si="32">ROUND((C227*(100-E227)/(100-$G$4)),1)</f>
        <v>1.7</v>
      </c>
      <c r="H227" s="1" t="s">
        <v>71</v>
      </c>
    </row>
    <row r="228" spans="3:8" ht="15" x14ac:dyDescent="0.15">
      <c r="C228" s="3">
        <v>1.8</v>
      </c>
      <c r="D228" s="3" t="s">
        <v>71</v>
      </c>
      <c r="E228" s="5">
        <v>8</v>
      </c>
      <c r="F228" s="5" t="s">
        <v>71</v>
      </c>
      <c r="G228">
        <f t="shared" si="32"/>
        <v>1.9</v>
      </c>
      <c r="H228" s="1" t="s">
        <v>71</v>
      </c>
    </row>
    <row r="229" spans="3:8" ht="15" x14ac:dyDescent="0.15">
      <c r="C229" s="3">
        <v>3.2</v>
      </c>
      <c r="D229" s="3" t="s">
        <v>71</v>
      </c>
      <c r="E229" s="5">
        <v>8.1999999999999993</v>
      </c>
      <c r="F229" s="5" t="s">
        <v>71</v>
      </c>
      <c r="G229">
        <f t="shared" si="32"/>
        <v>3.3</v>
      </c>
      <c r="H229" s="1" t="s">
        <v>71</v>
      </c>
    </row>
    <row r="230" spans="3:8" ht="15" x14ac:dyDescent="0.15">
      <c r="C230" s="3">
        <v>2.8</v>
      </c>
      <c r="D230" s="3" t="s">
        <v>71</v>
      </c>
      <c r="E230" s="5">
        <v>7.4</v>
      </c>
      <c r="F230" s="5" t="s">
        <v>71</v>
      </c>
      <c r="G230">
        <f t="shared" si="32"/>
        <v>2.9</v>
      </c>
      <c r="H230" s="1" t="s">
        <v>71</v>
      </c>
    </row>
    <row r="231" spans="3:8" ht="15" x14ac:dyDescent="0.15">
      <c r="C231" s="3">
        <v>2.9</v>
      </c>
      <c r="D231" s="3" t="s">
        <v>71</v>
      </c>
      <c r="E231" s="5">
        <v>8.1999999999999993</v>
      </c>
      <c r="F231" s="5" t="s">
        <v>71</v>
      </c>
      <c r="G231">
        <f t="shared" si="32"/>
        <v>3</v>
      </c>
      <c r="H231" s="1" t="s">
        <v>71</v>
      </c>
    </row>
    <row r="232" spans="3:8" ht="15" x14ac:dyDescent="0.15">
      <c r="C232" s="3" t="s">
        <v>71</v>
      </c>
      <c r="D232" s="3">
        <v>2.2000000000000002</v>
      </c>
      <c r="E232" s="5" t="s">
        <v>71</v>
      </c>
      <c r="F232" s="5">
        <v>5.7</v>
      </c>
      <c r="G232" s="1" t="s">
        <v>71</v>
      </c>
      <c r="H232">
        <f>ROUND((D232*(100-F232)/(100-$G$4)),1)</f>
        <v>2.4</v>
      </c>
    </row>
    <row r="233" spans="3:8" ht="15" x14ac:dyDescent="0.15">
      <c r="C233" s="3" t="s">
        <v>71</v>
      </c>
      <c r="D233" s="3">
        <v>2.4</v>
      </c>
      <c r="E233" s="5" t="s">
        <v>71</v>
      </c>
      <c r="F233" s="5">
        <v>5.0999999999999996</v>
      </c>
      <c r="G233" s="1" t="s">
        <v>71</v>
      </c>
      <c r="H233">
        <f t="shared" ref="H233:H243" si="33">ROUND((D233*(100-F233)/(100-$G$4)),1)</f>
        <v>2.6</v>
      </c>
    </row>
    <row r="234" spans="3:8" ht="15" x14ac:dyDescent="0.15">
      <c r="C234" s="3" t="s">
        <v>71</v>
      </c>
      <c r="D234" s="3">
        <v>2.1</v>
      </c>
      <c r="E234" s="5" t="s">
        <v>71</v>
      </c>
      <c r="F234" s="5">
        <v>2</v>
      </c>
      <c r="G234" s="1" t="s">
        <v>71</v>
      </c>
      <c r="H234">
        <f t="shared" si="33"/>
        <v>2.2999999999999998</v>
      </c>
    </row>
    <row r="235" spans="3:8" x14ac:dyDescent="0.15">
      <c r="C235" s="3">
        <v>0.8</v>
      </c>
      <c r="D235" s="3">
        <v>2</v>
      </c>
      <c r="E235" s="5">
        <v>6.9</v>
      </c>
      <c r="F235" s="5">
        <v>3.7</v>
      </c>
      <c r="G235">
        <f t="shared" ref="G235:G243" si="34">ROUND((C235*(100-E235)/(100-$G$4)),1)</f>
        <v>0.8</v>
      </c>
      <c r="H235">
        <f t="shared" si="33"/>
        <v>2.2000000000000002</v>
      </c>
    </row>
    <row r="236" spans="3:8" x14ac:dyDescent="0.15">
      <c r="C236" s="3">
        <v>0.9</v>
      </c>
      <c r="D236" s="3">
        <v>1.7</v>
      </c>
      <c r="E236" s="5">
        <v>6.7</v>
      </c>
      <c r="F236" s="5">
        <v>3.2</v>
      </c>
      <c r="G236">
        <f t="shared" si="34"/>
        <v>1</v>
      </c>
      <c r="H236">
        <f t="shared" si="33"/>
        <v>1.9</v>
      </c>
    </row>
    <row r="237" spans="3:8" x14ac:dyDescent="0.15">
      <c r="C237" s="3">
        <v>0.8</v>
      </c>
      <c r="D237" s="3">
        <v>1.5</v>
      </c>
      <c r="E237" s="5">
        <v>8.4</v>
      </c>
      <c r="F237" s="5">
        <v>3.4</v>
      </c>
      <c r="G237">
        <f t="shared" si="34"/>
        <v>0.8</v>
      </c>
      <c r="H237">
        <f t="shared" si="33"/>
        <v>1.6</v>
      </c>
    </row>
    <row r="238" spans="3:8" x14ac:dyDescent="0.15">
      <c r="C238" s="3">
        <v>0.8</v>
      </c>
      <c r="D238" s="3">
        <v>1.8</v>
      </c>
      <c r="E238" s="5">
        <v>7.7</v>
      </c>
      <c r="F238" s="5">
        <v>4.0999999999999996</v>
      </c>
      <c r="G238">
        <f t="shared" si="34"/>
        <v>0.8</v>
      </c>
      <c r="H238">
        <f t="shared" si="33"/>
        <v>2</v>
      </c>
    </row>
    <row r="239" spans="3:8" x14ac:dyDescent="0.15">
      <c r="C239" s="3">
        <v>0.9</v>
      </c>
      <c r="D239" s="3">
        <v>1.8</v>
      </c>
      <c r="E239" s="5">
        <v>8.3000000000000007</v>
      </c>
      <c r="F239" s="5">
        <v>4.8</v>
      </c>
      <c r="G239">
        <f t="shared" si="34"/>
        <v>0.9</v>
      </c>
      <c r="H239">
        <f t="shared" si="33"/>
        <v>1.9</v>
      </c>
    </row>
    <row r="240" spans="3:8" x14ac:dyDescent="0.15">
      <c r="C240" s="3">
        <v>1</v>
      </c>
      <c r="D240" s="3">
        <v>1.5</v>
      </c>
      <c r="E240" s="5">
        <v>8.3000000000000007</v>
      </c>
      <c r="F240" s="5">
        <v>2.5</v>
      </c>
      <c r="G240">
        <f t="shared" si="34"/>
        <v>1</v>
      </c>
      <c r="H240">
        <f t="shared" si="33"/>
        <v>1.7</v>
      </c>
    </row>
    <row r="241" spans="3:8" x14ac:dyDescent="0.15">
      <c r="C241" s="3">
        <v>0.5</v>
      </c>
      <c r="D241" s="3">
        <v>2.2999999999999998</v>
      </c>
      <c r="E241" s="5">
        <v>8.4</v>
      </c>
      <c r="F241" s="5">
        <v>4.9000000000000004</v>
      </c>
      <c r="G241">
        <f t="shared" si="34"/>
        <v>0.5</v>
      </c>
      <c r="H241">
        <f t="shared" si="33"/>
        <v>2.5</v>
      </c>
    </row>
    <row r="242" spans="3:8" x14ac:dyDescent="0.15">
      <c r="C242" s="3">
        <v>0.8</v>
      </c>
      <c r="D242" s="3">
        <v>2</v>
      </c>
      <c r="E242" s="5">
        <v>8.6</v>
      </c>
      <c r="F242" s="5">
        <v>5.4</v>
      </c>
      <c r="G242">
        <f t="shared" si="34"/>
        <v>0.8</v>
      </c>
      <c r="H242">
        <f t="shared" si="33"/>
        <v>2.2000000000000002</v>
      </c>
    </row>
    <row r="243" spans="3:8" x14ac:dyDescent="0.15">
      <c r="C243" s="3">
        <v>0.5</v>
      </c>
      <c r="D243" s="3">
        <v>2</v>
      </c>
      <c r="E243" s="5">
        <v>8.5</v>
      </c>
      <c r="F243" s="5">
        <v>3.3</v>
      </c>
      <c r="G243">
        <f t="shared" si="34"/>
        <v>0.5</v>
      </c>
      <c r="H243">
        <f t="shared" si="33"/>
        <v>2.2000000000000002</v>
      </c>
    </row>
    <row r="244" spans="3:8" ht="15" x14ac:dyDescent="0.15">
      <c r="C244" s="3" t="s">
        <v>71</v>
      </c>
      <c r="D244" s="3">
        <v>2.2999999999999998</v>
      </c>
      <c r="E244" s="5" t="s">
        <v>71</v>
      </c>
      <c r="F244" s="5">
        <v>4.5999999999999996</v>
      </c>
      <c r="G244" s="1" t="s">
        <v>71</v>
      </c>
      <c r="H244" s="1" t="s">
        <v>71</v>
      </c>
    </row>
    <row r="245" spans="3:8" ht="15" x14ac:dyDescent="0.15">
      <c r="C245" s="3" t="s">
        <v>71</v>
      </c>
      <c r="D245" s="3">
        <v>1.4</v>
      </c>
      <c r="E245" s="5" t="s">
        <v>71</v>
      </c>
      <c r="F245" s="5">
        <v>3.5</v>
      </c>
      <c r="G245" s="1" t="s">
        <v>71</v>
      </c>
      <c r="H245" s="1" t="s">
        <v>71</v>
      </c>
    </row>
    <row r="246" spans="3:8" x14ac:dyDescent="0.15">
      <c r="C246" s="3">
        <v>1.8</v>
      </c>
      <c r="D246" s="3" t="s">
        <v>71</v>
      </c>
      <c r="E246" s="1">
        <v>8.8000000000000007</v>
      </c>
      <c r="F246" s="1" t="s">
        <v>71</v>
      </c>
      <c r="G246">
        <f>ROUND((C246*(100-E246)/(100-$G$4)),1)</f>
        <v>1.9</v>
      </c>
      <c r="H246" s="1" t="s">
        <v>71</v>
      </c>
    </row>
    <row r="247" spans="3:8" x14ac:dyDescent="0.15">
      <c r="C247" s="3">
        <v>2</v>
      </c>
      <c r="D247" s="3" t="s">
        <v>71</v>
      </c>
      <c r="E247" s="1">
        <v>9.1</v>
      </c>
      <c r="F247" s="1" t="s">
        <v>71</v>
      </c>
      <c r="G247">
        <f t="shared" ref="G247:G251" si="35">ROUND((C247*(100-E247)/(100-$G$4)),1)</f>
        <v>2.1</v>
      </c>
      <c r="H247" s="1" t="s">
        <v>71</v>
      </c>
    </row>
    <row r="248" spans="3:8" x14ac:dyDescent="0.15">
      <c r="C248" s="3">
        <v>2.2000000000000002</v>
      </c>
      <c r="D248" s="3" t="s">
        <v>71</v>
      </c>
      <c r="E248" s="1">
        <v>9.1999999999999993</v>
      </c>
      <c r="F248" s="1" t="s">
        <v>71</v>
      </c>
      <c r="G248">
        <f t="shared" si="35"/>
        <v>2.2999999999999998</v>
      </c>
      <c r="H248" s="1" t="s">
        <v>71</v>
      </c>
    </row>
    <row r="249" spans="3:8" x14ac:dyDescent="0.15">
      <c r="C249" s="3">
        <v>3</v>
      </c>
      <c r="D249" s="3" t="s">
        <v>71</v>
      </c>
      <c r="E249" s="1">
        <v>9.3000000000000007</v>
      </c>
      <c r="F249" s="1" t="s">
        <v>71</v>
      </c>
      <c r="G249">
        <f t="shared" si="35"/>
        <v>3.1</v>
      </c>
      <c r="H249" s="1" t="s">
        <v>71</v>
      </c>
    </row>
    <row r="250" spans="3:8" x14ac:dyDescent="0.15">
      <c r="C250" s="3">
        <v>4</v>
      </c>
      <c r="D250" s="3" t="s">
        <v>71</v>
      </c>
      <c r="E250" s="1">
        <v>9.3000000000000007</v>
      </c>
      <c r="F250" s="1" t="s">
        <v>71</v>
      </c>
      <c r="G250">
        <f t="shared" si="35"/>
        <v>4.0999999999999996</v>
      </c>
      <c r="H250" s="1" t="s">
        <v>71</v>
      </c>
    </row>
    <row r="251" spans="3:8" x14ac:dyDescent="0.15">
      <c r="C251" s="3">
        <v>3.2</v>
      </c>
      <c r="D251" s="3" t="s">
        <v>71</v>
      </c>
      <c r="E251" s="1">
        <v>8.8000000000000007</v>
      </c>
      <c r="F251" s="1" t="s">
        <v>71</v>
      </c>
      <c r="G251">
        <f t="shared" si="35"/>
        <v>3.3</v>
      </c>
      <c r="H251" s="1" t="s">
        <v>71</v>
      </c>
    </row>
    <row r="252" spans="3:8" x14ac:dyDescent="0.15">
      <c r="C252" s="3" t="s">
        <v>71</v>
      </c>
      <c r="D252" s="3">
        <v>0.8</v>
      </c>
      <c r="E252" s="1" t="s">
        <v>71</v>
      </c>
      <c r="F252" s="1">
        <v>7.3</v>
      </c>
      <c r="G252" s="1" t="s">
        <v>71</v>
      </c>
      <c r="H252">
        <f>ROUND((D252*(100-F252)/(100-$G$4)),1)</f>
        <v>0.8</v>
      </c>
    </row>
    <row r="253" spans="3:8" x14ac:dyDescent="0.15">
      <c r="C253" s="3" t="s">
        <v>71</v>
      </c>
      <c r="D253" s="3">
        <v>0.4</v>
      </c>
      <c r="E253" s="1" t="s">
        <v>71</v>
      </c>
      <c r="F253" s="1">
        <v>7</v>
      </c>
      <c r="G253" s="1" t="s">
        <v>71</v>
      </c>
      <c r="H253">
        <f t="shared" ref="H253:H263" si="36">ROUND((D253*(100-F253)/(100-$G$4)),1)</f>
        <v>0.4</v>
      </c>
    </row>
    <row r="254" spans="3:8" x14ac:dyDescent="0.15">
      <c r="C254" s="3" t="s">
        <v>71</v>
      </c>
      <c r="D254" s="3">
        <v>0.8</v>
      </c>
      <c r="E254" s="1" t="s">
        <v>71</v>
      </c>
      <c r="F254" s="1">
        <v>6.5</v>
      </c>
      <c r="G254" s="1" t="s">
        <v>71</v>
      </c>
      <c r="H254">
        <f t="shared" si="36"/>
        <v>0.9</v>
      </c>
    </row>
    <row r="255" spans="3:8" x14ac:dyDescent="0.15">
      <c r="C255" s="3">
        <v>1.3</v>
      </c>
      <c r="D255" s="3">
        <v>0.7</v>
      </c>
      <c r="E255" s="1">
        <v>9.3000000000000007</v>
      </c>
      <c r="F255" s="1">
        <v>7</v>
      </c>
      <c r="G255">
        <f t="shared" ref="G255:G263" si="37">ROUND((C255*(100-E255)/(100-$G$4)),1)</f>
        <v>1.3</v>
      </c>
      <c r="H255">
        <f t="shared" si="36"/>
        <v>0.7</v>
      </c>
    </row>
    <row r="256" spans="3:8" x14ac:dyDescent="0.15">
      <c r="C256" s="3">
        <v>1.3</v>
      </c>
      <c r="D256" s="3">
        <v>0.6</v>
      </c>
      <c r="E256" s="1">
        <v>9.1999999999999993</v>
      </c>
      <c r="F256" s="1">
        <v>6.5</v>
      </c>
      <c r="G256">
        <f t="shared" si="37"/>
        <v>1.3</v>
      </c>
      <c r="H256">
        <f t="shared" si="36"/>
        <v>0.6</v>
      </c>
    </row>
    <row r="257" spans="3:8" x14ac:dyDescent="0.15">
      <c r="C257" s="3">
        <v>1.4</v>
      </c>
      <c r="D257" s="3">
        <v>0.2</v>
      </c>
      <c r="E257" s="1">
        <v>9.5</v>
      </c>
      <c r="F257" s="1">
        <v>6.8</v>
      </c>
      <c r="G257">
        <f t="shared" si="37"/>
        <v>1.4</v>
      </c>
      <c r="H257">
        <f t="shared" si="36"/>
        <v>0.2</v>
      </c>
    </row>
    <row r="258" spans="3:8" x14ac:dyDescent="0.15">
      <c r="C258" s="3">
        <v>2</v>
      </c>
      <c r="D258" s="3">
        <v>0.7</v>
      </c>
      <c r="E258" s="1">
        <v>8.4</v>
      </c>
      <c r="F258" s="1">
        <v>6.7</v>
      </c>
      <c r="G258">
        <f t="shared" si="37"/>
        <v>2.1</v>
      </c>
      <c r="H258">
        <f t="shared" si="36"/>
        <v>0.7</v>
      </c>
    </row>
    <row r="259" spans="3:8" x14ac:dyDescent="0.15">
      <c r="C259" s="3">
        <v>1.5</v>
      </c>
      <c r="D259" s="3">
        <v>0.3</v>
      </c>
      <c r="E259" s="1">
        <v>8.1999999999999993</v>
      </c>
      <c r="F259" s="1">
        <v>6.1</v>
      </c>
      <c r="G259">
        <f t="shared" si="37"/>
        <v>1.6</v>
      </c>
      <c r="H259">
        <f t="shared" si="36"/>
        <v>0.3</v>
      </c>
    </row>
    <row r="260" spans="3:8" x14ac:dyDescent="0.15">
      <c r="C260" s="3">
        <v>1.8</v>
      </c>
      <c r="D260" s="3">
        <v>0.1</v>
      </c>
      <c r="E260" s="1">
        <v>8.8000000000000007</v>
      </c>
      <c r="F260" s="1">
        <v>6.1</v>
      </c>
      <c r="G260">
        <f t="shared" si="37"/>
        <v>1.9</v>
      </c>
      <c r="H260">
        <f t="shared" si="36"/>
        <v>0.1</v>
      </c>
    </row>
    <row r="261" spans="3:8" x14ac:dyDescent="0.15">
      <c r="C261" s="3">
        <v>1.7</v>
      </c>
      <c r="D261" s="3">
        <v>0.7</v>
      </c>
      <c r="E261" s="1">
        <v>8.8000000000000007</v>
      </c>
      <c r="F261" s="1">
        <v>6.7</v>
      </c>
      <c r="G261">
        <f t="shared" si="37"/>
        <v>1.8</v>
      </c>
      <c r="H261">
        <f t="shared" si="36"/>
        <v>0.7</v>
      </c>
    </row>
    <row r="262" spans="3:8" x14ac:dyDescent="0.15">
      <c r="C262" s="3">
        <v>1.6</v>
      </c>
      <c r="D262" s="3">
        <v>0.4</v>
      </c>
      <c r="E262" s="1">
        <v>8.1999999999999993</v>
      </c>
      <c r="F262" s="1" t="s">
        <v>71</v>
      </c>
      <c r="G262">
        <f t="shared" si="37"/>
        <v>1.7</v>
      </c>
      <c r="H262">
        <v>0.4</v>
      </c>
    </row>
    <row r="263" spans="3:8" x14ac:dyDescent="0.15">
      <c r="C263" s="3">
        <v>1.6</v>
      </c>
      <c r="D263" s="3">
        <v>0.3</v>
      </c>
      <c r="E263" s="1">
        <v>8.6</v>
      </c>
      <c r="F263" s="1">
        <v>6.1</v>
      </c>
      <c r="G263">
        <f t="shared" si="37"/>
        <v>1.7</v>
      </c>
      <c r="H263">
        <f t="shared" si="36"/>
        <v>0.3</v>
      </c>
    </row>
    <row r="264" spans="3:8" x14ac:dyDescent="0.15">
      <c r="C264" s="3" t="s">
        <v>71</v>
      </c>
      <c r="D264" s="3">
        <v>1.3</v>
      </c>
      <c r="E264" s="1" t="s">
        <v>71</v>
      </c>
      <c r="F264" s="1">
        <v>7.5</v>
      </c>
      <c r="G264" s="1" t="s">
        <v>71</v>
      </c>
      <c r="H264" s="1" t="s">
        <v>71</v>
      </c>
    </row>
    <row r="265" spans="3:8" x14ac:dyDescent="0.15">
      <c r="C265" s="3" t="s">
        <v>71</v>
      </c>
      <c r="D265" s="3">
        <v>0.2</v>
      </c>
      <c r="E265" s="1" t="s">
        <v>71</v>
      </c>
      <c r="F265" s="1">
        <v>5</v>
      </c>
      <c r="G265" s="1" t="s">
        <v>71</v>
      </c>
      <c r="H265" s="1" t="s">
        <v>71</v>
      </c>
    </row>
    <row r="266" spans="3:8" x14ac:dyDescent="0.15">
      <c r="C266" s="3">
        <v>2.2999999999999998</v>
      </c>
      <c r="D266" s="3" t="s">
        <v>71</v>
      </c>
      <c r="E266" s="1">
        <v>9.1999999999999993</v>
      </c>
      <c r="F266" s="1" t="s">
        <v>71</v>
      </c>
      <c r="G266">
        <f>ROUND((C266*(100-E266)/(100-$G$4)),1)</f>
        <v>2.4</v>
      </c>
      <c r="H266" s="1" t="s">
        <v>71</v>
      </c>
    </row>
    <row r="267" spans="3:8" x14ac:dyDescent="0.15">
      <c r="C267" s="3">
        <v>2.7</v>
      </c>
      <c r="D267" s="3" t="s">
        <v>71</v>
      </c>
      <c r="E267" s="1">
        <v>9.1999999999999993</v>
      </c>
      <c r="F267" s="1" t="s">
        <v>71</v>
      </c>
      <c r="G267">
        <f t="shared" ref="G267:G271" si="38">ROUND((C267*(100-E267)/(100-$G$4)),1)</f>
        <v>2.8</v>
      </c>
      <c r="H267" s="1" t="s">
        <v>71</v>
      </c>
    </row>
    <row r="268" spans="3:8" x14ac:dyDescent="0.15">
      <c r="C268" s="3">
        <v>2.4</v>
      </c>
      <c r="D268" s="3" t="s">
        <v>71</v>
      </c>
      <c r="E268" s="1">
        <v>8.9</v>
      </c>
      <c r="F268" s="1" t="s">
        <v>71</v>
      </c>
      <c r="G268">
        <f t="shared" si="38"/>
        <v>2.5</v>
      </c>
      <c r="H268" s="1" t="s">
        <v>71</v>
      </c>
    </row>
    <row r="269" spans="3:8" x14ac:dyDescent="0.15">
      <c r="C269" s="3">
        <v>3.6</v>
      </c>
      <c r="D269" s="3" t="s">
        <v>71</v>
      </c>
      <c r="E269" s="1">
        <v>9</v>
      </c>
      <c r="F269" s="1" t="s">
        <v>71</v>
      </c>
      <c r="G269">
        <f t="shared" si="38"/>
        <v>3.7</v>
      </c>
      <c r="H269" s="1" t="s">
        <v>71</v>
      </c>
    </row>
    <row r="270" spans="3:8" x14ac:dyDescent="0.15">
      <c r="C270" s="3">
        <v>3.9</v>
      </c>
      <c r="D270" s="3" t="s">
        <v>71</v>
      </c>
      <c r="E270" s="1">
        <v>5.0999999999999996</v>
      </c>
      <c r="F270" s="1" t="s">
        <v>71</v>
      </c>
      <c r="G270">
        <f t="shared" si="38"/>
        <v>4.2</v>
      </c>
      <c r="H270" s="1" t="s">
        <v>71</v>
      </c>
    </row>
    <row r="271" spans="3:8" x14ac:dyDescent="0.15">
      <c r="C271" s="3">
        <v>3.8</v>
      </c>
      <c r="D271" s="3" t="s">
        <v>71</v>
      </c>
      <c r="E271" s="1">
        <v>9.4</v>
      </c>
      <c r="F271" s="1" t="s">
        <v>71</v>
      </c>
      <c r="G271">
        <f t="shared" si="38"/>
        <v>3.9</v>
      </c>
      <c r="H271" s="1" t="s">
        <v>71</v>
      </c>
    </row>
    <row r="272" spans="3:8" x14ac:dyDescent="0.15">
      <c r="C272" s="3" t="s">
        <v>71</v>
      </c>
      <c r="D272" s="3">
        <v>0.5</v>
      </c>
      <c r="E272" s="1" t="s">
        <v>71</v>
      </c>
      <c r="F272" s="1">
        <v>7.4</v>
      </c>
      <c r="G272" s="1" t="s">
        <v>71</v>
      </c>
      <c r="H272">
        <f>ROUND((D272*(100-F272)/(100-$G$4)),1)</f>
        <v>0.5</v>
      </c>
    </row>
    <row r="273" spans="3:8" x14ac:dyDescent="0.15">
      <c r="C273" s="3" t="s">
        <v>71</v>
      </c>
      <c r="D273" s="3">
        <v>1.2</v>
      </c>
      <c r="E273" s="1" t="s">
        <v>71</v>
      </c>
      <c r="F273" s="1">
        <v>6.8</v>
      </c>
      <c r="G273" s="1" t="s">
        <v>71</v>
      </c>
      <c r="H273">
        <f t="shared" ref="H273:H283" si="39">ROUND((D273*(100-F273)/(100-$G$4)),1)</f>
        <v>1.3</v>
      </c>
    </row>
    <row r="274" spans="3:8" x14ac:dyDescent="0.15">
      <c r="C274" s="3" t="s">
        <v>71</v>
      </c>
      <c r="D274" s="3">
        <v>0.8</v>
      </c>
      <c r="E274" s="1" t="s">
        <v>71</v>
      </c>
      <c r="F274" s="1">
        <v>6.5</v>
      </c>
      <c r="G274" s="1" t="s">
        <v>71</v>
      </c>
      <c r="H274">
        <f t="shared" si="39"/>
        <v>0.9</v>
      </c>
    </row>
    <row r="275" spans="3:8" x14ac:dyDescent="0.15">
      <c r="C275" s="3">
        <v>1.5</v>
      </c>
      <c r="D275" s="3">
        <v>0.7</v>
      </c>
      <c r="E275" s="1">
        <v>9.1999999999999993</v>
      </c>
      <c r="F275" s="1">
        <v>6</v>
      </c>
      <c r="G275">
        <f t="shared" ref="G275:G283" si="40">ROUND((C275*(100-E275)/(100-$G$4)),1)</f>
        <v>1.5</v>
      </c>
      <c r="H275">
        <f t="shared" si="39"/>
        <v>0.7</v>
      </c>
    </row>
    <row r="276" spans="3:8" x14ac:dyDescent="0.15">
      <c r="C276" s="3">
        <v>1.4</v>
      </c>
      <c r="D276" s="3">
        <v>0.5</v>
      </c>
      <c r="E276" s="1">
        <v>8.9</v>
      </c>
      <c r="F276" s="1">
        <v>6.3</v>
      </c>
      <c r="G276">
        <f t="shared" si="40"/>
        <v>1.4</v>
      </c>
      <c r="H276">
        <f t="shared" si="39"/>
        <v>0.5</v>
      </c>
    </row>
    <row r="277" spans="3:8" x14ac:dyDescent="0.15">
      <c r="C277" s="3">
        <v>1.2</v>
      </c>
      <c r="D277" s="3">
        <v>0.3</v>
      </c>
      <c r="E277" s="1">
        <v>8.8000000000000007</v>
      </c>
      <c r="F277" s="1">
        <v>5.8</v>
      </c>
      <c r="G277">
        <f t="shared" si="40"/>
        <v>1.2</v>
      </c>
      <c r="H277">
        <f t="shared" si="39"/>
        <v>0.3</v>
      </c>
    </row>
    <row r="278" spans="3:8" x14ac:dyDescent="0.15">
      <c r="C278" s="3">
        <v>1.8</v>
      </c>
      <c r="D278" s="3">
        <v>0.8</v>
      </c>
      <c r="E278" s="1">
        <v>8.8000000000000007</v>
      </c>
      <c r="F278" s="1">
        <v>6.4</v>
      </c>
      <c r="G278">
        <f t="shared" si="40"/>
        <v>1.9</v>
      </c>
      <c r="H278">
        <f t="shared" si="39"/>
        <v>0.9</v>
      </c>
    </row>
    <row r="279" spans="3:8" x14ac:dyDescent="0.15">
      <c r="C279" s="3">
        <v>1.8</v>
      </c>
      <c r="D279" s="3">
        <v>0.4</v>
      </c>
      <c r="E279" s="1">
        <v>8.6999999999999993</v>
      </c>
      <c r="F279" s="1">
        <v>6.1</v>
      </c>
      <c r="G279">
        <f t="shared" si="40"/>
        <v>1.9</v>
      </c>
      <c r="H279">
        <f t="shared" si="39"/>
        <v>0.4</v>
      </c>
    </row>
    <row r="280" spans="3:8" x14ac:dyDescent="0.15">
      <c r="C280" s="3">
        <v>1.8</v>
      </c>
      <c r="D280" s="3">
        <v>0.4</v>
      </c>
      <c r="E280" s="1">
        <v>8.3000000000000007</v>
      </c>
      <c r="F280" s="1">
        <v>5.7</v>
      </c>
      <c r="G280">
        <f t="shared" si="40"/>
        <v>1.9</v>
      </c>
      <c r="H280">
        <f t="shared" si="39"/>
        <v>0.4</v>
      </c>
    </row>
    <row r="281" spans="3:8" x14ac:dyDescent="0.15">
      <c r="C281" s="3" t="s">
        <v>71</v>
      </c>
      <c r="D281" s="3" t="s">
        <v>71</v>
      </c>
      <c r="E281" s="1" t="s">
        <v>71</v>
      </c>
      <c r="F281" s="1" t="s">
        <v>71</v>
      </c>
      <c r="G281" s="1" t="s">
        <v>71</v>
      </c>
      <c r="H281" s="1" t="s">
        <v>71</v>
      </c>
    </row>
    <row r="282" spans="3:8" x14ac:dyDescent="0.15">
      <c r="C282" s="3">
        <v>1.6</v>
      </c>
      <c r="D282" s="3">
        <v>0.5</v>
      </c>
      <c r="E282" s="1">
        <v>8.1999999999999993</v>
      </c>
      <c r="F282" s="1">
        <v>5.6</v>
      </c>
      <c r="G282">
        <f t="shared" si="40"/>
        <v>1.7</v>
      </c>
      <c r="H282">
        <f t="shared" si="39"/>
        <v>0.5</v>
      </c>
    </row>
    <row r="283" spans="3:8" x14ac:dyDescent="0.15">
      <c r="C283" s="3">
        <v>1.8</v>
      </c>
      <c r="D283" s="3">
        <v>0.1</v>
      </c>
      <c r="E283" s="1">
        <v>7.6</v>
      </c>
      <c r="F283" s="1">
        <v>5.8</v>
      </c>
      <c r="G283">
        <f t="shared" si="40"/>
        <v>1.9</v>
      </c>
      <c r="H283">
        <f t="shared" si="39"/>
        <v>0.1</v>
      </c>
    </row>
    <row r="284" spans="3:8" x14ac:dyDescent="0.15">
      <c r="C284" s="3" t="s">
        <v>71</v>
      </c>
      <c r="D284" s="3">
        <v>1.1000000000000001</v>
      </c>
      <c r="E284" s="1" t="s">
        <v>71</v>
      </c>
      <c r="F284" s="1" t="s">
        <v>71</v>
      </c>
      <c r="G284" s="1" t="s">
        <v>71</v>
      </c>
      <c r="H284" s="1" t="s">
        <v>71</v>
      </c>
    </row>
    <row r="285" spans="3:8" x14ac:dyDescent="0.15">
      <c r="C285" s="3" t="s">
        <v>71</v>
      </c>
      <c r="D285" s="3">
        <v>0.1</v>
      </c>
      <c r="E285" s="1" t="s">
        <v>71</v>
      </c>
      <c r="F285" s="1">
        <v>5.2</v>
      </c>
      <c r="G285" s="1" t="s">
        <v>71</v>
      </c>
      <c r="H285" s="1" t="s">
        <v>71</v>
      </c>
    </row>
    <row r="286" spans="3:8" x14ac:dyDescent="0.15">
      <c r="C286" s="3">
        <v>2.2999999999999998</v>
      </c>
      <c r="D286" s="3" t="s">
        <v>71</v>
      </c>
      <c r="E286" s="1">
        <v>9.1999999999999993</v>
      </c>
      <c r="F286" s="1">
        <v>6.4</v>
      </c>
      <c r="G286">
        <f>ROUND((C286*(100-E286)/(100-$G$4)),1)</f>
        <v>2.4</v>
      </c>
      <c r="H286" s="1" t="s">
        <v>71</v>
      </c>
    </row>
    <row r="287" spans="3:8" x14ac:dyDescent="0.15">
      <c r="C287" s="3">
        <v>2.5</v>
      </c>
      <c r="D287" s="3" t="s">
        <v>71</v>
      </c>
      <c r="E287" s="1">
        <v>9.1999999999999993</v>
      </c>
      <c r="F287" s="1" t="s">
        <v>71</v>
      </c>
      <c r="G287">
        <f t="shared" ref="G287:G291" si="41">ROUND((C287*(100-E287)/(100-$G$4)),1)</f>
        <v>2.6</v>
      </c>
      <c r="H287" s="1" t="s">
        <v>71</v>
      </c>
    </row>
    <row r="288" spans="3:8" x14ac:dyDescent="0.15">
      <c r="C288" s="3">
        <v>2.9</v>
      </c>
      <c r="D288" s="3" t="s">
        <v>71</v>
      </c>
      <c r="E288" s="1">
        <v>8.9</v>
      </c>
      <c r="F288" s="1" t="s">
        <v>71</v>
      </c>
      <c r="G288">
        <f t="shared" si="41"/>
        <v>3</v>
      </c>
      <c r="H288" s="1" t="s">
        <v>71</v>
      </c>
    </row>
    <row r="289" spans="3:8" x14ac:dyDescent="0.15">
      <c r="C289" s="3">
        <v>3.1</v>
      </c>
      <c r="D289" s="3" t="s">
        <v>71</v>
      </c>
      <c r="E289" s="1">
        <v>8.9</v>
      </c>
      <c r="F289" s="1" t="s">
        <v>71</v>
      </c>
      <c r="G289">
        <f t="shared" si="41"/>
        <v>3.2</v>
      </c>
      <c r="H289" s="1" t="s">
        <v>71</v>
      </c>
    </row>
    <row r="290" spans="3:8" x14ac:dyDescent="0.15">
      <c r="C290" s="3">
        <v>3.6</v>
      </c>
      <c r="D290" s="3" t="s">
        <v>71</v>
      </c>
      <c r="E290" s="1">
        <v>9.6</v>
      </c>
      <c r="F290" s="1" t="s">
        <v>71</v>
      </c>
      <c r="G290">
        <f t="shared" si="41"/>
        <v>3.7</v>
      </c>
      <c r="H290" s="1" t="s">
        <v>71</v>
      </c>
    </row>
    <row r="291" spans="3:8" x14ac:dyDescent="0.15">
      <c r="C291" s="3">
        <v>3.1</v>
      </c>
      <c r="D291" s="3" t="s">
        <v>71</v>
      </c>
      <c r="E291" s="1">
        <v>8.9</v>
      </c>
      <c r="F291" s="1" t="s">
        <v>71</v>
      </c>
      <c r="G291">
        <f t="shared" si="41"/>
        <v>3.2</v>
      </c>
      <c r="H291" s="1" t="s">
        <v>71</v>
      </c>
    </row>
    <row r="292" spans="3:8" x14ac:dyDescent="0.15">
      <c r="C292" s="3" t="s">
        <v>71</v>
      </c>
      <c r="D292" s="3">
        <v>2.2999999999999998</v>
      </c>
      <c r="E292" s="1" t="s">
        <v>71</v>
      </c>
      <c r="F292" s="1">
        <v>7.2</v>
      </c>
      <c r="G292" s="1" t="s">
        <v>71</v>
      </c>
      <c r="H292">
        <f>ROUND((D292*(100-F292)/(100-$G$4)),1)</f>
        <v>2.4</v>
      </c>
    </row>
    <row r="293" spans="3:8" x14ac:dyDescent="0.15">
      <c r="C293" s="3" t="s">
        <v>71</v>
      </c>
      <c r="D293" s="3" t="s">
        <v>71</v>
      </c>
      <c r="E293" s="1">
        <v>9</v>
      </c>
      <c r="F293" s="1">
        <v>6.4</v>
      </c>
      <c r="G293" s="1" t="s">
        <v>71</v>
      </c>
      <c r="H293" s="1" t="s">
        <v>71</v>
      </c>
    </row>
    <row r="294" spans="3:8" x14ac:dyDescent="0.15">
      <c r="C294" s="3" t="s">
        <v>71</v>
      </c>
      <c r="D294" s="3">
        <v>1</v>
      </c>
      <c r="E294" s="1" t="s">
        <v>71</v>
      </c>
      <c r="F294" s="1">
        <v>7.1</v>
      </c>
      <c r="G294" s="1" t="s">
        <v>71</v>
      </c>
      <c r="H294">
        <f t="shared" ref="H294:H303" si="42">ROUND((D294*(100-F294)/(100-$G$4)),1)</f>
        <v>1.1000000000000001</v>
      </c>
    </row>
    <row r="295" spans="3:8" x14ac:dyDescent="0.15">
      <c r="C295" s="3">
        <v>1.5</v>
      </c>
      <c r="D295" s="3">
        <v>1.2</v>
      </c>
      <c r="E295" s="1">
        <v>8.5</v>
      </c>
      <c r="F295" s="1" t="s">
        <v>71</v>
      </c>
      <c r="G295">
        <f t="shared" ref="G295:G303" si="43">ROUND((C295*(100-E295)/(100-$G$4)),1)</f>
        <v>1.6</v>
      </c>
      <c r="H295">
        <v>1.2</v>
      </c>
    </row>
    <row r="296" spans="3:8" x14ac:dyDescent="0.15">
      <c r="C296" s="3">
        <v>1.3</v>
      </c>
      <c r="D296" s="3">
        <v>0.4</v>
      </c>
      <c r="E296" s="1">
        <v>8.6</v>
      </c>
      <c r="F296" s="1">
        <v>5.8</v>
      </c>
      <c r="G296">
        <f t="shared" si="43"/>
        <v>1.4</v>
      </c>
      <c r="H296">
        <f t="shared" si="42"/>
        <v>0.4</v>
      </c>
    </row>
    <row r="297" spans="3:8" x14ac:dyDescent="0.15">
      <c r="C297" s="3">
        <v>1.4</v>
      </c>
      <c r="D297" s="3">
        <v>0.6</v>
      </c>
      <c r="E297" s="1">
        <v>9.3000000000000007</v>
      </c>
      <c r="F297" s="1">
        <v>6</v>
      </c>
      <c r="G297">
        <f t="shared" si="43"/>
        <v>1.4</v>
      </c>
      <c r="H297">
        <f t="shared" si="42"/>
        <v>0.6</v>
      </c>
    </row>
    <row r="298" spans="3:8" x14ac:dyDescent="0.15">
      <c r="C298" s="3">
        <v>1.7</v>
      </c>
      <c r="D298" s="3">
        <v>1</v>
      </c>
      <c r="E298" s="1">
        <v>9.1</v>
      </c>
      <c r="F298" s="1">
        <v>6.9</v>
      </c>
      <c r="G298">
        <f t="shared" si="43"/>
        <v>1.8</v>
      </c>
      <c r="H298">
        <f t="shared" si="42"/>
        <v>1.1000000000000001</v>
      </c>
    </row>
    <row r="299" spans="3:8" x14ac:dyDescent="0.15">
      <c r="C299" s="3">
        <v>1.9</v>
      </c>
      <c r="D299" s="3">
        <v>0.7</v>
      </c>
      <c r="E299" s="1">
        <v>9.1999999999999993</v>
      </c>
      <c r="F299" s="1">
        <v>6.4</v>
      </c>
      <c r="G299">
        <f t="shared" si="43"/>
        <v>2</v>
      </c>
      <c r="H299">
        <f t="shared" si="42"/>
        <v>0.7</v>
      </c>
    </row>
    <row r="300" spans="3:8" x14ac:dyDescent="0.15">
      <c r="C300" s="3">
        <v>1.6</v>
      </c>
      <c r="D300" s="3">
        <v>0.2</v>
      </c>
      <c r="E300" s="1">
        <v>9</v>
      </c>
      <c r="F300" s="1">
        <v>5.8</v>
      </c>
      <c r="G300">
        <f t="shared" si="43"/>
        <v>1.7</v>
      </c>
      <c r="H300">
        <f t="shared" si="42"/>
        <v>0.2</v>
      </c>
    </row>
    <row r="301" spans="3:8" x14ac:dyDescent="0.15">
      <c r="C301" s="3">
        <v>1.7</v>
      </c>
      <c r="D301" s="3">
        <v>1.1000000000000001</v>
      </c>
      <c r="E301" s="1">
        <v>9.3000000000000007</v>
      </c>
      <c r="F301" s="1">
        <v>6.4</v>
      </c>
      <c r="G301">
        <f t="shared" si="43"/>
        <v>1.8</v>
      </c>
      <c r="H301">
        <f t="shared" si="42"/>
        <v>1.2</v>
      </c>
    </row>
    <row r="302" spans="3:8" x14ac:dyDescent="0.15">
      <c r="C302" s="3">
        <v>1.8</v>
      </c>
      <c r="D302" s="3">
        <v>0.9</v>
      </c>
      <c r="E302" s="1">
        <v>9</v>
      </c>
      <c r="F302" s="1">
        <v>6.3</v>
      </c>
      <c r="G302">
        <f t="shared" si="43"/>
        <v>1.9</v>
      </c>
      <c r="H302">
        <f t="shared" si="42"/>
        <v>1</v>
      </c>
    </row>
    <row r="303" spans="3:8" x14ac:dyDescent="0.15">
      <c r="C303" s="3">
        <v>1.7</v>
      </c>
      <c r="D303" s="3">
        <v>0.8</v>
      </c>
      <c r="E303" s="1">
        <v>9.1</v>
      </c>
      <c r="F303" s="1">
        <v>6.2</v>
      </c>
      <c r="G303">
        <f t="shared" si="43"/>
        <v>1.8</v>
      </c>
      <c r="H303">
        <f t="shared" si="42"/>
        <v>0.9</v>
      </c>
    </row>
    <row r="304" spans="3:8" x14ac:dyDescent="0.15">
      <c r="C304" s="3" t="s">
        <v>71</v>
      </c>
      <c r="D304" s="3">
        <v>1.6</v>
      </c>
      <c r="E304" s="1" t="s">
        <v>71</v>
      </c>
      <c r="F304" s="1">
        <v>7.3</v>
      </c>
      <c r="G304" s="1" t="s">
        <v>71</v>
      </c>
      <c r="H304" s="1" t="s">
        <v>71</v>
      </c>
    </row>
    <row r="305" spans="3:8" x14ac:dyDescent="0.15">
      <c r="C305" s="3" t="s">
        <v>71</v>
      </c>
      <c r="D305" s="3">
        <v>0.3</v>
      </c>
      <c r="E305" s="1" t="s">
        <v>71</v>
      </c>
      <c r="F305" s="1">
        <v>5.6</v>
      </c>
      <c r="G305" s="1" t="s">
        <v>71</v>
      </c>
      <c r="H305" s="1" t="s">
        <v>71</v>
      </c>
    </row>
    <row r="306" spans="3:8" x14ac:dyDescent="0.15">
      <c r="C306" s="3">
        <v>2.7</v>
      </c>
      <c r="D306" s="3" t="s">
        <v>71</v>
      </c>
      <c r="E306" s="1">
        <v>8.9</v>
      </c>
      <c r="F306" s="1" t="s">
        <v>71</v>
      </c>
      <c r="G306">
        <f>ROUND((C306*(100-E306)/(100-$G$4)),1)</f>
        <v>2.8</v>
      </c>
      <c r="H306" s="1" t="s">
        <v>71</v>
      </c>
    </row>
    <row r="307" spans="3:8" x14ac:dyDescent="0.15">
      <c r="C307" s="3">
        <v>2.8</v>
      </c>
      <c r="D307" s="3" t="s">
        <v>71</v>
      </c>
      <c r="E307" s="1">
        <v>8.6999999999999993</v>
      </c>
      <c r="F307" s="1" t="s">
        <v>71</v>
      </c>
      <c r="G307">
        <f t="shared" ref="G307:G311" si="44">ROUND((C307*(100-E307)/(100-$G$4)),1)</f>
        <v>2.9</v>
      </c>
      <c r="H307" s="1" t="s">
        <v>71</v>
      </c>
    </row>
    <row r="308" spans="3:8" x14ac:dyDescent="0.15">
      <c r="C308" s="3">
        <v>2.4</v>
      </c>
      <c r="D308" s="3" t="s">
        <v>71</v>
      </c>
      <c r="E308" s="1">
        <v>9.1999999999999993</v>
      </c>
      <c r="F308" s="1" t="s">
        <v>71</v>
      </c>
      <c r="G308">
        <f t="shared" si="44"/>
        <v>2.5</v>
      </c>
      <c r="H308" s="1" t="s">
        <v>71</v>
      </c>
    </row>
    <row r="309" spans="3:8" x14ac:dyDescent="0.15">
      <c r="C309" s="3">
        <v>4.5</v>
      </c>
      <c r="D309" s="3" t="s">
        <v>71</v>
      </c>
      <c r="E309" s="1">
        <v>9.5</v>
      </c>
      <c r="F309" s="1" t="s">
        <v>71</v>
      </c>
      <c r="G309">
        <f t="shared" si="44"/>
        <v>4.5999999999999996</v>
      </c>
      <c r="H309" s="1" t="s">
        <v>71</v>
      </c>
    </row>
    <row r="310" spans="3:8" x14ac:dyDescent="0.15">
      <c r="C310" s="3">
        <v>3.9</v>
      </c>
      <c r="D310" s="3" t="s">
        <v>71</v>
      </c>
      <c r="E310" s="1">
        <v>8.4</v>
      </c>
      <c r="F310" s="1">
        <v>5.7</v>
      </c>
      <c r="G310">
        <f t="shared" si="44"/>
        <v>4.0999999999999996</v>
      </c>
      <c r="H310" s="1" t="s">
        <v>71</v>
      </c>
    </row>
    <row r="311" spans="3:8" x14ac:dyDescent="0.15">
      <c r="C311" s="3">
        <v>3.6</v>
      </c>
      <c r="D311" s="3" t="s">
        <v>71</v>
      </c>
      <c r="E311" s="1">
        <v>8.9</v>
      </c>
      <c r="F311" s="1" t="s">
        <v>71</v>
      </c>
      <c r="G311">
        <f t="shared" si="44"/>
        <v>3.7</v>
      </c>
      <c r="H311" s="1" t="s">
        <v>71</v>
      </c>
    </row>
    <row r="312" spans="3:8" x14ac:dyDescent="0.15">
      <c r="C312" s="3" t="s">
        <v>71</v>
      </c>
      <c r="D312" s="3">
        <v>3.4</v>
      </c>
      <c r="E312" s="1" t="s">
        <v>71</v>
      </c>
      <c r="F312" s="1">
        <v>6.7</v>
      </c>
      <c r="G312" s="1" t="s">
        <v>71</v>
      </c>
      <c r="H312">
        <f>ROUND((D312*(100-F312)/(100-$G$4)),1)</f>
        <v>3.6</v>
      </c>
    </row>
    <row r="313" spans="3:8" x14ac:dyDescent="0.15">
      <c r="C313" s="3" t="s">
        <v>71</v>
      </c>
      <c r="D313" s="3">
        <v>2.9</v>
      </c>
      <c r="E313" s="1" t="s">
        <v>71</v>
      </c>
      <c r="F313" s="1">
        <v>5.8</v>
      </c>
      <c r="G313" s="1" t="s">
        <v>71</v>
      </c>
      <c r="H313">
        <f t="shared" ref="H313:H323" si="45">ROUND((D313*(100-F313)/(100-$G$4)),1)</f>
        <v>3.1</v>
      </c>
    </row>
    <row r="314" spans="3:8" x14ac:dyDescent="0.15">
      <c r="C314" s="3" t="s">
        <v>71</v>
      </c>
      <c r="D314" s="3">
        <v>2.1</v>
      </c>
      <c r="E314" s="1" t="s">
        <v>71</v>
      </c>
      <c r="F314" s="1">
        <v>7</v>
      </c>
      <c r="G314" s="1" t="s">
        <v>71</v>
      </c>
      <c r="H314">
        <f t="shared" si="45"/>
        <v>2.2000000000000002</v>
      </c>
    </row>
    <row r="315" spans="3:8" x14ac:dyDescent="0.15">
      <c r="C315" s="3">
        <v>1.6</v>
      </c>
      <c r="D315" s="3">
        <v>1.4</v>
      </c>
      <c r="E315" s="1">
        <v>8.9</v>
      </c>
      <c r="F315" s="1">
        <v>6.9</v>
      </c>
      <c r="G315">
        <f t="shared" ref="G315:G323" si="46">ROUND((C315*(100-E315)/(100-$G$4)),1)</f>
        <v>1.7</v>
      </c>
      <c r="H315">
        <f t="shared" si="45"/>
        <v>1.5</v>
      </c>
    </row>
    <row r="316" spans="3:8" x14ac:dyDescent="0.15">
      <c r="C316" s="3">
        <v>1.4</v>
      </c>
      <c r="D316" s="3">
        <v>1.5</v>
      </c>
      <c r="E316" s="1">
        <v>8.9</v>
      </c>
      <c r="F316" s="1">
        <v>6.1</v>
      </c>
      <c r="G316">
        <f t="shared" si="46"/>
        <v>1.4</v>
      </c>
      <c r="H316">
        <f t="shared" si="45"/>
        <v>1.6</v>
      </c>
    </row>
    <row r="317" spans="3:8" x14ac:dyDescent="0.15">
      <c r="C317" s="3">
        <v>1.4</v>
      </c>
      <c r="D317" s="3">
        <v>1.6</v>
      </c>
      <c r="E317" s="1">
        <v>9.4</v>
      </c>
      <c r="F317" s="1">
        <v>6.1</v>
      </c>
      <c r="G317">
        <f t="shared" si="46"/>
        <v>1.4</v>
      </c>
      <c r="H317">
        <f t="shared" si="45"/>
        <v>1.7</v>
      </c>
    </row>
    <row r="318" spans="3:8" x14ac:dyDescent="0.15">
      <c r="C318" s="3">
        <v>1.3</v>
      </c>
      <c r="D318" s="3">
        <v>1.5</v>
      </c>
      <c r="E318" s="1">
        <v>8.5</v>
      </c>
      <c r="F318" s="1">
        <v>6.8</v>
      </c>
      <c r="G318">
        <f t="shared" si="46"/>
        <v>1.4</v>
      </c>
      <c r="H318">
        <f t="shared" si="45"/>
        <v>1.6</v>
      </c>
    </row>
    <row r="319" spans="3:8" x14ac:dyDescent="0.15">
      <c r="C319" s="3">
        <v>2.1</v>
      </c>
      <c r="D319" s="3" t="s">
        <v>71</v>
      </c>
      <c r="E319" s="1">
        <v>8</v>
      </c>
      <c r="F319" s="1" t="s">
        <v>71</v>
      </c>
      <c r="G319">
        <f t="shared" si="46"/>
        <v>2.2000000000000002</v>
      </c>
      <c r="H319" s="1" t="s">
        <v>71</v>
      </c>
    </row>
    <row r="320" spans="3:8" x14ac:dyDescent="0.15">
      <c r="C320" s="3">
        <v>1.7</v>
      </c>
      <c r="D320" s="3">
        <v>1</v>
      </c>
      <c r="E320" s="1">
        <v>9</v>
      </c>
      <c r="F320" s="1">
        <v>6.6</v>
      </c>
      <c r="G320">
        <f t="shared" si="46"/>
        <v>1.8</v>
      </c>
      <c r="H320">
        <f t="shared" si="45"/>
        <v>1.1000000000000001</v>
      </c>
    </row>
    <row r="321" spans="3:8" x14ac:dyDescent="0.15">
      <c r="C321" s="3">
        <v>1.2</v>
      </c>
      <c r="D321" s="3">
        <v>2.4</v>
      </c>
      <c r="E321" s="1">
        <v>9</v>
      </c>
      <c r="F321" s="1">
        <v>6.1</v>
      </c>
      <c r="G321">
        <f t="shared" si="46"/>
        <v>1.2</v>
      </c>
      <c r="H321">
        <f t="shared" si="45"/>
        <v>2.6</v>
      </c>
    </row>
    <row r="322" spans="3:8" x14ac:dyDescent="0.15">
      <c r="C322" s="3">
        <v>1.5</v>
      </c>
      <c r="D322" s="3">
        <v>1.5</v>
      </c>
      <c r="E322" s="1">
        <v>8.4</v>
      </c>
      <c r="F322" s="1">
        <v>6.1</v>
      </c>
      <c r="G322">
        <f t="shared" si="46"/>
        <v>1.6</v>
      </c>
      <c r="H322">
        <f t="shared" si="45"/>
        <v>1.6</v>
      </c>
    </row>
    <row r="323" spans="3:8" x14ac:dyDescent="0.15">
      <c r="C323" s="3">
        <v>1.8</v>
      </c>
      <c r="D323" s="3">
        <v>1.1000000000000001</v>
      </c>
      <c r="E323" s="1">
        <v>8.4</v>
      </c>
      <c r="F323" s="1">
        <v>5.8</v>
      </c>
      <c r="G323">
        <f t="shared" si="46"/>
        <v>1.9</v>
      </c>
      <c r="H323">
        <f t="shared" si="45"/>
        <v>1.2</v>
      </c>
    </row>
    <row r="324" spans="3:8" x14ac:dyDescent="0.15">
      <c r="C324" s="3" t="s">
        <v>71</v>
      </c>
      <c r="D324" s="3">
        <v>3.4</v>
      </c>
      <c r="E324" s="1" t="s">
        <v>71</v>
      </c>
      <c r="F324" s="1">
        <v>6.1</v>
      </c>
      <c r="G324" s="1" t="s">
        <v>71</v>
      </c>
      <c r="H324" s="1" t="s">
        <v>71</v>
      </c>
    </row>
    <row r="325" spans="3:8" x14ac:dyDescent="0.15">
      <c r="C325" s="3" t="s">
        <v>71</v>
      </c>
      <c r="D325" s="3">
        <v>1.5</v>
      </c>
      <c r="E325" s="1" t="s">
        <v>71</v>
      </c>
      <c r="F325" s="1">
        <v>5.0999999999999996</v>
      </c>
      <c r="G325" s="1" t="s">
        <v>71</v>
      </c>
      <c r="H325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Data_table</vt:lpstr>
      <vt:lpstr>Variablescheck</vt:lpstr>
      <vt:lpstr>Yield_hum_corr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Holmes Julia AGROSCOPE</dc:creator>
  <cp:lastModifiedBy>Schlup  Yannik</cp:lastModifiedBy>
  <dcterms:created xsi:type="dcterms:W3CDTF">2024-10-10T07:13:54Z</dcterms:created>
  <dcterms:modified xsi:type="dcterms:W3CDTF">2025-07-03T13:52:29Z</dcterms:modified>
</cp:coreProperties>
</file>