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_Neffect/data/"/>
    </mc:Choice>
  </mc:AlternateContent>
  <xr:revisionPtr revIDLastSave="0" documentId="8_{FA6F2D57-A4F5-1E49-9605-6D128FA61F29}" xr6:coauthVersionLast="47" xr6:coauthVersionMax="47" xr10:uidLastSave="{00000000-0000-0000-0000-000000000000}"/>
  <bookViews>
    <workbookView xWindow="6900" yWindow="500" windowWidth="30240" windowHeight="17320" xr2:uid="{1218EBA9-DB2B-4C96-BAF6-81A1D02D55CC}"/>
  </bookViews>
  <sheets>
    <sheet name="Data_table" sheetId="1" r:id="rId1"/>
  </sheets>
  <definedNames>
    <definedName name="_xlnm._FilterDatabase" localSheetId="0" hidden="1">Data_table!$A$1:$X$228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48" i="1" l="1"/>
  <c r="S947" i="1"/>
  <c r="S946" i="1"/>
  <c r="U945" i="1"/>
  <c r="S945" i="1"/>
  <c r="R945" i="1"/>
  <c r="Q945" i="1"/>
  <c r="T945" i="1" s="1"/>
  <c r="R944" i="1"/>
  <c r="Q944" i="1"/>
  <c r="U943" i="1"/>
  <c r="T943" i="1"/>
  <c r="S943" i="1"/>
  <c r="R943" i="1"/>
  <c r="Q943" i="1"/>
  <c r="U942" i="1"/>
  <c r="S942" i="1"/>
  <c r="T942" i="1" s="1"/>
  <c r="R942" i="1"/>
  <c r="Q942" i="1"/>
  <c r="S941" i="1"/>
  <c r="T941" i="1" s="1"/>
  <c r="R941" i="1"/>
  <c r="U941" i="1" s="1"/>
  <c r="Q941" i="1"/>
  <c r="U940" i="1"/>
  <c r="T940" i="1"/>
  <c r="S940" i="1"/>
  <c r="R940" i="1"/>
  <c r="Q940" i="1"/>
  <c r="S930" i="1"/>
  <c r="R930" i="1"/>
  <c r="U930" i="1" s="1"/>
  <c r="Q930" i="1"/>
  <c r="T930" i="1" s="1"/>
  <c r="R929" i="1"/>
  <c r="Q929" i="1"/>
  <c r="S928" i="1"/>
  <c r="R928" i="1"/>
  <c r="U928" i="1" s="1"/>
  <c r="Q928" i="1"/>
  <c r="T928" i="1" s="1"/>
  <c r="S927" i="1"/>
  <c r="T927" i="1" s="1"/>
  <c r="R927" i="1"/>
  <c r="U927" i="1" s="1"/>
  <c r="Q927" i="1"/>
  <c r="R926" i="1"/>
  <c r="Q926" i="1"/>
  <c r="R925" i="1"/>
  <c r="Q925" i="1"/>
  <c r="U924" i="1"/>
  <c r="T924" i="1"/>
  <c r="S924" i="1"/>
  <c r="R924" i="1"/>
  <c r="Q924" i="1"/>
  <c r="U923" i="1"/>
  <c r="T923" i="1"/>
  <c r="S923" i="1"/>
  <c r="R923" i="1"/>
  <c r="Q923" i="1"/>
  <c r="U922" i="1"/>
  <c r="S922" i="1"/>
  <c r="T922" i="1" s="1"/>
  <c r="R922" i="1"/>
  <c r="Q922" i="1"/>
  <c r="S912" i="1"/>
  <c r="T912" i="1" s="1"/>
  <c r="R912" i="1"/>
  <c r="U912" i="1" s="1"/>
  <c r="Q912" i="1"/>
  <c r="R911" i="1"/>
  <c r="Q911" i="1"/>
  <c r="S910" i="1"/>
  <c r="R910" i="1"/>
  <c r="U910" i="1" s="1"/>
  <c r="Q910" i="1"/>
  <c r="T910" i="1" s="1"/>
  <c r="R909" i="1"/>
  <c r="Q909" i="1"/>
  <c r="R908" i="1"/>
  <c r="Q908" i="1"/>
  <c r="S907" i="1"/>
  <c r="T907" i="1" s="1"/>
  <c r="R907" i="1"/>
  <c r="U907" i="1" s="1"/>
  <c r="Q907" i="1"/>
  <c r="U906" i="1"/>
  <c r="S906" i="1"/>
  <c r="R906" i="1"/>
  <c r="Q906" i="1"/>
  <c r="T906" i="1" s="1"/>
  <c r="R905" i="1"/>
  <c r="Q905" i="1"/>
  <c r="R904" i="1"/>
  <c r="Q904" i="1"/>
  <c r="U894" i="1"/>
  <c r="T894" i="1"/>
  <c r="S894" i="1"/>
  <c r="R894" i="1"/>
  <c r="Q894" i="1"/>
  <c r="R893" i="1"/>
  <c r="Q893" i="1"/>
  <c r="S892" i="1"/>
  <c r="T892" i="1" s="1"/>
  <c r="R892" i="1"/>
  <c r="U892" i="1" s="1"/>
  <c r="Q892" i="1"/>
  <c r="R891" i="1"/>
  <c r="Q891" i="1"/>
  <c r="R890" i="1"/>
  <c r="Q890" i="1"/>
  <c r="U889" i="1"/>
  <c r="T889" i="1"/>
  <c r="S889" i="1"/>
  <c r="R889" i="1"/>
  <c r="Q889" i="1"/>
  <c r="R888" i="1"/>
  <c r="Q888" i="1"/>
  <c r="R887" i="1"/>
  <c r="Q887" i="1"/>
  <c r="U886" i="1"/>
  <c r="S886" i="1"/>
  <c r="R886" i="1"/>
  <c r="Q886" i="1"/>
  <c r="T886" i="1" s="1"/>
  <c r="S876" i="1"/>
  <c r="R876" i="1"/>
  <c r="U876" i="1" s="1"/>
  <c r="Q876" i="1"/>
  <c r="T876" i="1" s="1"/>
  <c r="U875" i="1"/>
  <c r="S875" i="1"/>
  <c r="R875" i="1"/>
  <c r="Q875" i="1"/>
  <c r="T875" i="1" s="1"/>
  <c r="U874" i="1"/>
  <c r="S874" i="1"/>
  <c r="R874" i="1"/>
  <c r="Q874" i="1"/>
  <c r="T874" i="1" s="1"/>
  <c r="U873" i="1"/>
  <c r="T873" i="1"/>
  <c r="S873" i="1"/>
  <c r="R873" i="1"/>
  <c r="Q873" i="1"/>
  <c r="U872" i="1"/>
  <c r="T872" i="1"/>
  <c r="S872" i="1"/>
  <c r="R872" i="1"/>
  <c r="Q872" i="1"/>
  <c r="S871" i="1"/>
  <c r="T871" i="1" s="1"/>
  <c r="R871" i="1"/>
  <c r="U871" i="1" s="1"/>
  <c r="Q871" i="1"/>
  <c r="U870" i="1"/>
  <c r="T870" i="1"/>
  <c r="S870" i="1"/>
  <c r="R870" i="1"/>
  <c r="Q870" i="1"/>
  <c r="S869" i="1"/>
  <c r="R869" i="1"/>
  <c r="U869" i="1" s="1"/>
  <c r="Q869" i="1"/>
  <c r="T869" i="1" s="1"/>
  <c r="U868" i="1"/>
  <c r="T868" i="1"/>
  <c r="S868" i="1"/>
  <c r="R868" i="1"/>
  <c r="Q868" i="1"/>
  <c r="S858" i="1"/>
  <c r="R858" i="1"/>
  <c r="U858" i="1" s="1"/>
  <c r="Q858" i="1"/>
  <c r="T858" i="1" s="1"/>
  <c r="S857" i="1"/>
  <c r="T857" i="1" s="1"/>
  <c r="R857" i="1"/>
  <c r="U857" i="1" s="1"/>
  <c r="Q857" i="1"/>
  <c r="S856" i="1"/>
  <c r="U856" i="1" s="1"/>
  <c r="R856" i="1"/>
  <c r="Q856" i="1"/>
  <c r="T856" i="1" s="1"/>
  <c r="U855" i="1"/>
  <c r="S855" i="1"/>
  <c r="R855" i="1"/>
  <c r="Q855" i="1"/>
  <c r="T855" i="1" s="1"/>
  <c r="U854" i="1"/>
  <c r="T854" i="1"/>
  <c r="S854" i="1"/>
  <c r="R854" i="1"/>
  <c r="Q854" i="1"/>
  <c r="U853" i="1"/>
  <c r="T853" i="1"/>
  <c r="S853" i="1"/>
  <c r="R853" i="1"/>
  <c r="Q853" i="1"/>
  <c r="U852" i="1"/>
  <c r="T852" i="1"/>
  <c r="S852" i="1"/>
  <c r="R852" i="1"/>
  <c r="Q852" i="1"/>
  <c r="S851" i="1"/>
  <c r="T851" i="1" s="1"/>
  <c r="R851" i="1"/>
  <c r="U851" i="1" s="1"/>
  <c r="Q851" i="1"/>
  <c r="U850" i="1"/>
  <c r="T850" i="1"/>
  <c r="S850" i="1"/>
  <c r="R850" i="1"/>
  <c r="Q850" i="1"/>
  <c r="S840" i="1"/>
  <c r="R840" i="1"/>
  <c r="U840" i="1" s="1"/>
  <c r="Q840" i="1"/>
  <c r="T840" i="1" s="1"/>
  <c r="U839" i="1"/>
  <c r="T839" i="1"/>
  <c r="S839" i="1"/>
  <c r="R839" i="1"/>
  <c r="Q839" i="1"/>
  <c r="S838" i="1"/>
  <c r="R838" i="1"/>
  <c r="U838" i="1" s="1"/>
  <c r="Q838" i="1"/>
  <c r="T838" i="1" s="1"/>
  <c r="S837" i="1"/>
  <c r="T837" i="1" s="1"/>
  <c r="R837" i="1"/>
  <c r="U837" i="1" s="1"/>
  <c r="Q837" i="1"/>
  <c r="S836" i="1"/>
  <c r="R836" i="1"/>
  <c r="U836" i="1" s="1"/>
  <c r="Q836" i="1"/>
  <c r="T836" i="1" s="1"/>
  <c r="U835" i="1"/>
  <c r="S835" i="1"/>
  <c r="R835" i="1"/>
  <c r="Q835" i="1"/>
  <c r="T835" i="1" s="1"/>
  <c r="U834" i="1"/>
  <c r="T834" i="1"/>
  <c r="S834" i="1"/>
  <c r="R834" i="1"/>
  <c r="Q834" i="1"/>
  <c r="U833" i="1"/>
  <c r="T833" i="1"/>
  <c r="S833" i="1"/>
  <c r="R833" i="1"/>
  <c r="Q833" i="1"/>
  <c r="U832" i="1"/>
  <c r="T832" i="1"/>
  <c r="S832" i="1"/>
  <c r="R832" i="1"/>
  <c r="Q832" i="1"/>
  <c r="S822" i="1"/>
  <c r="T822" i="1" s="1"/>
  <c r="R822" i="1"/>
  <c r="U822" i="1" s="1"/>
  <c r="Q822" i="1"/>
  <c r="U821" i="1"/>
  <c r="T821" i="1"/>
  <c r="S821" i="1"/>
  <c r="R821" i="1"/>
  <c r="Q821" i="1"/>
  <c r="S820" i="1"/>
  <c r="R820" i="1"/>
  <c r="U820" i="1" s="1"/>
  <c r="Q820" i="1"/>
  <c r="T820" i="1" s="1"/>
  <c r="S819" i="1"/>
  <c r="U819" i="1" s="1"/>
  <c r="R819" i="1"/>
  <c r="Q819" i="1"/>
  <c r="S818" i="1"/>
  <c r="R818" i="1"/>
  <c r="U818" i="1" s="1"/>
  <c r="Q818" i="1"/>
  <c r="T818" i="1" s="1"/>
  <c r="S817" i="1"/>
  <c r="T817" i="1" s="1"/>
  <c r="R817" i="1"/>
  <c r="U817" i="1" s="1"/>
  <c r="Q817" i="1"/>
  <c r="R816" i="1"/>
  <c r="Q816" i="1"/>
  <c r="U815" i="1"/>
  <c r="S815" i="1"/>
  <c r="R815" i="1"/>
  <c r="Q815" i="1"/>
  <c r="T815" i="1" s="1"/>
  <c r="U814" i="1"/>
  <c r="S814" i="1"/>
  <c r="R814" i="1"/>
  <c r="Q814" i="1"/>
  <c r="T814" i="1" s="1"/>
  <c r="S804" i="1"/>
  <c r="R804" i="1"/>
  <c r="U804" i="1" s="1"/>
  <c r="Q804" i="1"/>
  <c r="T804" i="1" s="1"/>
  <c r="S803" i="1"/>
  <c r="T803" i="1" s="1"/>
  <c r="R803" i="1"/>
  <c r="U803" i="1" s="1"/>
  <c r="Q803" i="1"/>
  <c r="U802" i="1"/>
  <c r="S802" i="1"/>
  <c r="R802" i="1"/>
  <c r="Q802" i="1"/>
  <c r="T802" i="1" s="1"/>
  <c r="S801" i="1"/>
  <c r="R801" i="1"/>
  <c r="U801" i="1" s="1"/>
  <c r="Q801" i="1"/>
  <c r="T801" i="1" s="1"/>
  <c r="U800" i="1"/>
  <c r="T800" i="1"/>
  <c r="S800" i="1"/>
  <c r="R800" i="1"/>
  <c r="Q800" i="1"/>
  <c r="S799" i="1"/>
  <c r="R799" i="1"/>
  <c r="U799" i="1" s="1"/>
  <c r="Q799" i="1"/>
  <c r="T799" i="1" s="1"/>
  <c r="U798" i="1"/>
  <c r="T798" i="1"/>
  <c r="S798" i="1"/>
  <c r="R798" i="1"/>
  <c r="Q798" i="1"/>
  <c r="S797" i="1"/>
  <c r="R797" i="1"/>
  <c r="U797" i="1" s="1"/>
  <c r="Q797" i="1"/>
  <c r="T797" i="1" s="1"/>
  <c r="U796" i="1"/>
  <c r="S796" i="1"/>
  <c r="T796" i="1" s="1"/>
  <c r="R796" i="1"/>
  <c r="Q796" i="1"/>
  <c r="S786" i="1"/>
  <c r="R786" i="1"/>
  <c r="U786" i="1" s="1"/>
  <c r="Q786" i="1"/>
  <c r="T786" i="1" s="1"/>
  <c r="U785" i="1"/>
  <c r="T785" i="1"/>
  <c r="S785" i="1"/>
  <c r="R785" i="1"/>
  <c r="Q785" i="1"/>
  <c r="S784" i="1"/>
  <c r="U784" i="1" s="1"/>
  <c r="R784" i="1"/>
  <c r="Q784" i="1"/>
  <c r="T784" i="1" s="1"/>
  <c r="S783" i="1"/>
  <c r="T783" i="1" s="1"/>
  <c r="R783" i="1"/>
  <c r="U783" i="1" s="1"/>
  <c r="Q783" i="1"/>
  <c r="U782" i="1"/>
  <c r="T782" i="1"/>
  <c r="S782" i="1"/>
  <c r="R782" i="1"/>
  <c r="Q782" i="1"/>
  <c r="S781" i="1"/>
  <c r="R781" i="1"/>
  <c r="U781" i="1" s="1"/>
  <c r="Q781" i="1"/>
  <c r="T781" i="1" s="1"/>
  <c r="U780" i="1"/>
  <c r="T780" i="1"/>
  <c r="S780" i="1"/>
  <c r="R780" i="1"/>
  <c r="Q780" i="1"/>
  <c r="S779" i="1"/>
  <c r="R779" i="1"/>
  <c r="U779" i="1" s="1"/>
  <c r="Q779" i="1"/>
  <c r="T779" i="1" s="1"/>
  <c r="U778" i="1"/>
  <c r="T778" i="1"/>
  <c r="S778" i="1"/>
  <c r="R778" i="1"/>
  <c r="Q778" i="1"/>
  <c r="S768" i="1"/>
  <c r="R768" i="1"/>
  <c r="U768" i="1" s="1"/>
  <c r="Q768" i="1"/>
  <c r="T768" i="1" s="1"/>
  <c r="U767" i="1"/>
  <c r="S767" i="1"/>
  <c r="T767" i="1" s="1"/>
  <c r="R767" i="1"/>
  <c r="Q767" i="1"/>
  <c r="S766" i="1"/>
  <c r="R766" i="1"/>
  <c r="U766" i="1" s="1"/>
  <c r="Q766" i="1"/>
  <c r="T766" i="1" s="1"/>
  <c r="U765" i="1"/>
  <c r="T765" i="1"/>
  <c r="S765" i="1"/>
  <c r="R765" i="1"/>
  <c r="Q765" i="1"/>
  <c r="U764" i="1"/>
  <c r="S764" i="1"/>
  <c r="R764" i="1"/>
  <c r="Q764" i="1"/>
  <c r="T764" i="1" s="1"/>
  <c r="S763" i="1"/>
  <c r="T763" i="1" s="1"/>
  <c r="R763" i="1"/>
  <c r="U763" i="1" s="1"/>
  <c r="Q763" i="1"/>
  <c r="U762" i="1"/>
  <c r="T762" i="1"/>
  <c r="S762" i="1"/>
  <c r="R762" i="1"/>
  <c r="Q762" i="1"/>
  <c r="S761" i="1"/>
  <c r="R761" i="1"/>
  <c r="U761" i="1" s="1"/>
  <c r="Q761" i="1"/>
  <c r="T761" i="1" s="1"/>
  <c r="U760" i="1"/>
  <c r="T760" i="1"/>
  <c r="S760" i="1"/>
  <c r="R760" i="1"/>
  <c r="Q760" i="1"/>
  <c r="S750" i="1"/>
  <c r="R750" i="1"/>
  <c r="U750" i="1" s="1"/>
  <c r="Q750" i="1"/>
  <c r="T750" i="1" s="1"/>
  <c r="U749" i="1"/>
  <c r="T749" i="1"/>
  <c r="S749" i="1"/>
  <c r="R749" i="1"/>
  <c r="Q749" i="1"/>
  <c r="S748" i="1"/>
  <c r="R748" i="1"/>
  <c r="U748" i="1" s="1"/>
  <c r="Q748" i="1"/>
  <c r="T748" i="1" s="1"/>
  <c r="U747" i="1"/>
  <c r="S747" i="1"/>
  <c r="T747" i="1" s="1"/>
  <c r="R747" i="1"/>
  <c r="Q747" i="1"/>
  <c r="S746" i="1"/>
  <c r="R746" i="1"/>
  <c r="U746" i="1" s="1"/>
  <c r="Q746" i="1"/>
  <c r="T746" i="1" s="1"/>
  <c r="U745" i="1"/>
  <c r="T745" i="1"/>
  <c r="S745" i="1"/>
  <c r="R745" i="1"/>
  <c r="Q745" i="1"/>
  <c r="U744" i="1"/>
  <c r="S744" i="1"/>
  <c r="R744" i="1"/>
  <c r="Q744" i="1"/>
  <c r="T744" i="1" s="1"/>
  <c r="S743" i="1"/>
  <c r="T743" i="1" s="1"/>
  <c r="R743" i="1"/>
  <c r="U743" i="1" s="1"/>
  <c r="Q743" i="1"/>
  <c r="U742" i="1"/>
  <c r="T742" i="1"/>
  <c r="S742" i="1"/>
  <c r="R742" i="1"/>
  <c r="Q742" i="1"/>
  <c r="S732" i="1"/>
  <c r="R732" i="1"/>
  <c r="U732" i="1" s="1"/>
  <c r="Q732" i="1"/>
  <c r="T732" i="1" s="1"/>
  <c r="S731" i="1"/>
  <c r="R731" i="1"/>
  <c r="U731" i="1" s="1"/>
  <c r="Q731" i="1"/>
  <c r="T731" i="1" s="1"/>
  <c r="U730" i="1"/>
  <c r="S730" i="1"/>
  <c r="R730" i="1"/>
  <c r="Q730" i="1"/>
  <c r="T730" i="1" s="1"/>
  <c r="T729" i="1"/>
  <c r="S729" i="1"/>
  <c r="R729" i="1"/>
  <c r="U729" i="1" s="1"/>
  <c r="Q729" i="1"/>
  <c r="U728" i="1"/>
  <c r="T728" i="1"/>
  <c r="S728" i="1"/>
  <c r="R728" i="1"/>
  <c r="Q728" i="1"/>
  <c r="T727" i="1"/>
  <c r="S727" i="1"/>
  <c r="R727" i="1"/>
  <c r="U727" i="1" s="1"/>
  <c r="Q727" i="1"/>
  <c r="S726" i="1"/>
  <c r="U726" i="1" s="1"/>
  <c r="R726" i="1"/>
  <c r="Q726" i="1"/>
  <c r="S725" i="1"/>
  <c r="R725" i="1"/>
  <c r="U725" i="1" s="1"/>
  <c r="Q725" i="1"/>
  <c r="T725" i="1" s="1"/>
  <c r="S724" i="1"/>
  <c r="T724" i="1" s="1"/>
  <c r="R724" i="1"/>
  <c r="U724" i="1" s="1"/>
  <c r="Q724" i="1"/>
  <c r="S714" i="1"/>
  <c r="R714" i="1"/>
  <c r="U714" i="1" s="1"/>
  <c r="Q714" i="1"/>
  <c r="T714" i="1" s="1"/>
  <c r="S713" i="1"/>
  <c r="R713" i="1"/>
  <c r="U713" i="1" s="1"/>
  <c r="Q713" i="1"/>
  <c r="T713" i="1" s="1"/>
  <c r="S712" i="1"/>
  <c r="R712" i="1"/>
  <c r="U712" i="1" s="1"/>
  <c r="Q712" i="1"/>
  <c r="T712" i="1" s="1"/>
  <c r="S711" i="1"/>
  <c r="U711" i="1" s="1"/>
  <c r="R711" i="1"/>
  <c r="Q711" i="1"/>
  <c r="T711" i="1" s="1"/>
  <c r="U710" i="1"/>
  <c r="S710" i="1"/>
  <c r="R710" i="1"/>
  <c r="Q710" i="1"/>
  <c r="T710" i="1" s="1"/>
  <c r="T709" i="1"/>
  <c r="S709" i="1"/>
  <c r="R709" i="1"/>
  <c r="U709" i="1" s="1"/>
  <c r="Q709" i="1"/>
  <c r="U708" i="1"/>
  <c r="T708" i="1"/>
  <c r="S708" i="1"/>
  <c r="R708" i="1"/>
  <c r="Q708" i="1"/>
  <c r="S707" i="1"/>
  <c r="R707" i="1"/>
  <c r="U707" i="1" s="1"/>
  <c r="Q707" i="1"/>
  <c r="T707" i="1" s="1"/>
  <c r="S706" i="1"/>
  <c r="U706" i="1" s="1"/>
  <c r="R706" i="1"/>
  <c r="Q706" i="1"/>
  <c r="S696" i="1"/>
  <c r="R696" i="1"/>
  <c r="U696" i="1" s="1"/>
  <c r="Q696" i="1"/>
  <c r="T696" i="1" s="1"/>
  <c r="S695" i="1"/>
  <c r="T695" i="1" s="1"/>
  <c r="R695" i="1"/>
  <c r="U695" i="1" s="1"/>
  <c r="Q695" i="1"/>
  <c r="S694" i="1"/>
  <c r="R694" i="1"/>
  <c r="U694" i="1" s="1"/>
  <c r="Q694" i="1"/>
  <c r="T694" i="1" s="1"/>
  <c r="S693" i="1"/>
  <c r="R693" i="1"/>
  <c r="U693" i="1" s="1"/>
  <c r="Q693" i="1"/>
  <c r="T693" i="1" s="1"/>
  <c r="S692" i="1"/>
  <c r="R692" i="1"/>
  <c r="U692" i="1" s="1"/>
  <c r="Q692" i="1"/>
  <c r="T692" i="1" s="1"/>
  <c r="S691" i="1"/>
  <c r="U691" i="1" s="1"/>
  <c r="R691" i="1"/>
  <c r="Q691" i="1"/>
  <c r="T691" i="1" s="1"/>
  <c r="U690" i="1"/>
  <c r="S690" i="1"/>
  <c r="R690" i="1"/>
  <c r="Q690" i="1"/>
  <c r="T690" i="1" s="1"/>
  <c r="T689" i="1"/>
  <c r="S689" i="1"/>
  <c r="R689" i="1"/>
  <c r="U689" i="1" s="1"/>
  <c r="Q689" i="1"/>
  <c r="U688" i="1"/>
  <c r="T688" i="1"/>
  <c r="S688" i="1"/>
  <c r="R688" i="1"/>
  <c r="Q688" i="1"/>
  <c r="S678" i="1"/>
  <c r="R678" i="1"/>
  <c r="U678" i="1" s="1"/>
  <c r="Q678" i="1"/>
  <c r="T678" i="1" s="1"/>
  <c r="S677" i="1"/>
  <c r="U677" i="1" s="1"/>
  <c r="R677" i="1"/>
  <c r="Q677" i="1"/>
  <c r="S676" i="1"/>
  <c r="R676" i="1"/>
  <c r="U676" i="1" s="1"/>
  <c r="Q676" i="1"/>
  <c r="T676" i="1" s="1"/>
  <c r="S675" i="1"/>
  <c r="T675" i="1" s="1"/>
  <c r="R675" i="1"/>
  <c r="U675" i="1" s="1"/>
  <c r="Q675" i="1"/>
  <c r="S674" i="1"/>
  <c r="R674" i="1"/>
  <c r="U674" i="1" s="1"/>
  <c r="Q674" i="1"/>
  <c r="T674" i="1" s="1"/>
  <c r="S673" i="1"/>
  <c r="R673" i="1"/>
  <c r="U673" i="1" s="1"/>
  <c r="Q673" i="1"/>
  <c r="T673" i="1" s="1"/>
  <c r="S672" i="1"/>
  <c r="R672" i="1"/>
  <c r="U672" i="1" s="1"/>
  <c r="Q672" i="1"/>
  <c r="T672" i="1" s="1"/>
  <c r="S671" i="1"/>
  <c r="U671" i="1" s="1"/>
  <c r="R671" i="1"/>
  <c r="Q671" i="1"/>
  <c r="T671" i="1" s="1"/>
  <c r="U670" i="1"/>
  <c r="S670" i="1"/>
  <c r="R670" i="1"/>
  <c r="Q670" i="1"/>
  <c r="T670" i="1" s="1"/>
  <c r="S660" i="1"/>
  <c r="R660" i="1"/>
  <c r="U660" i="1" s="1"/>
  <c r="Q660" i="1"/>
  <c r="T660" i="1" s="1"/>
  <c r="S659" i="1"/>
  <c r="T659" i="1" s="1"/>
  <c r="R659" i="1"/>
  <c r="U659" i="1" s="1"/>
  <c r="Q659" i="1"/>
  <c r="U658" i="1"/>
  <c r="S658" i="1"/>
  <c r="R658" i="1"/>
  <c r="Q658" i="1"/>
  <c r="T658" i="1" s="1"/>
  <c r="S657" i="1"/>
  <c r="R657" i="1"/>
  <c r="U657" i="1" s="1"/>
  <c r="Q657" i="1"/>
  <c r="T657" i="1" s="1"/>
  <c r="U656" i="1"/>
  <c r="T656" i="1"/>
  <c r="S656" i="1"/>
  <c r="R656" i="1"/>
  <c r="Q656" i="1"/>
  <c r="S655" i="1"/>
  <c r="R655" i="1"/>
  <c r="U655" i="1" s="1"/>
  <c r="Q655" i="1"/>
  <c r="T655" i="1" s="1"/>
  <c r="U654" i="1"/>
  <c r="S654" i="1"/>
  <c r="T654" i="1" s="1"/>
  <c r="R654" i="1"/>
  <c r="Q654" i="1"/>
  <c r="S653" i="1"/>
  <c r="R653" i="1"/>
  <c r="U653" i="1" s="1"/>
  <c r="Q653" i="1"/>
  <c r="T653" i="1" s="1"/>
  <c r="U652" i="1"/>
  <c r="T652" i="1"/>
  <c r="S652" i="1"/>
  <c r="R652" i="1"/>
  <c r="Q652" i="1"/>
  <c r="S642" i="1"/>
  <c r="R642" i="1"/>
  <c r="U642" i="1" s="1"/>
  <c r="Q642" i="1"/>
  <c r="T642" i="1" s="1"/>
  <c r="S641" i="1"/>
  <c r="U641" i="1" s="1"/>
  <c r="R641" i="1"/>
  <c r="Q641" i="1"/>
  <c r="S640" i="1"/>
  <c r="R640" i="1"/>
  <c r="U640" i="1" s="1"/>
  <c r="Q640" i="1"/>
  <c r="T640" i="1" s="1"/>
  <c r="S639" i="1"/>
  <c r="T639" i="1" s="1"/>
  <c r="R639" i="1"/>
  <c r="U639" i="1" s="1"/>
  <c r="Q639" i="1"/>
  <c r="U638" i="1"/>
  <c r="S638" i="1"/>
  <c r="R638" i="1"/>
  <c r="Q638" i="1"/>
  <c r="T638" i="1" s="1"/>
  <c r="S637" i="1"/>
  <c r="R637" i="1"/>
  <c r="U637" i="1" s="1"/>
  <c r="Q637" i="1"/>
  <c r="T637" i="1" s="1"/>
  <c r="U636" i="1"/>
  <c r="T636" i="1"/>
  <c r="S636" i="1"/>
  <c r="R636" i="1"/>
  <c r="Q636" i="1"/>
  <c r="S635" i="1"/>
  <c r="R635" i="1"/>
  <c r="U635" i="1" s="1"/>
  <c r="Q635" i="1"/>
  <c r="T635" i="1" s="1"/>
  <c r="U634" i="1"/>
  <c r="S634" i="1"/>
  <c r="T634" i="1" s="1"/>
  <c r="R634" i="1"/>
  <c r="Q634" i="1"/>
  <c r="S624" i="1"/>
  <c r="R624" i="1"/>
  <c r="U624" i="1" s="1"/>
  <c r="Q624" i="1"/>
  <c r="T624" i="1" s="1"/>
  <c r="U623" i="1"/>
  <c r="T623" i="1"/>
  <c r="S623" i="1"/>
  <c r="R623" i="1"/>
  <c r="Q623" i="1"/>
  <c r="S622" i="1"/>
  <c r="R622" i="1"/>
  <c r="U622" i="1" s="1"/>
  <c r="Q622" i="1"/>
  <c r="T622" i="1" s="1"/>
  <c r="S621" i="1"/>
  <c r="U621" i="1" s="1"/>
  <c r="R621" i="1"/>
  <c r="Q621" i="1"/>
  <c r="S620" i="1"/>
  <c r="R620" i="1"/>
  <c r="U620" i="1" s="1"/>
  <c r="Q620" i="1"/>
  <c r="T620" i="1" s="1"/>
  <c r="U619" i="1"/>
  <c r="S619" i="1"/>
  <c r="T619" i="1" s="1"/>
  <c r="R619" i="1"/>
  <c r="Q619" i="1"/>
  <c r="U618" i="1"/>
  <c r="S618" i="1"/>
  <c r="R618" i="1"/>
  <c r="Q618" i="1"/>
  <c r="T618" i="1" s="1"/>
  <c r="S617" i="1"/>
  <c r="R617" i="1"/>
  <c r="U617" i="1" s="1"/>
  <c r="Q617" i="1"/>
  <c r="T617" i="1" s="1"/>
  <c r="U616" i="1"/>
  <c r="T616" i="1"/>
  <c r="S616" i="1"/>
  <c r="R616" i="1"/>
  <c r="Q616" i="1"/>
  <c r="S606" i="1"/>
  <c r="R606" i="1"/>
  <c r="U606" i="1" s="1"/>
  <c r="Q606" i="1"/>
  <c r="T606" i="1" s="1"/>
  <c r="U605" i="1"/>
  <c r="S605" i="1"/>
  <c r="T605" i="1" s="1"/>
  <c r="R605" i="1"/>
  <c r="Q605" i="1"/>
  <c r="S604" i="1"/>
  <c r="R604" i="1"/>
  <c r="U604" i="1" s="1"/>
  <c r="Q604" i="1"/>
  <c r="T604" i="1" s="1"/>
  <c r="U603" i="1"/>
  <c r="T603" i="1"/>
  <c r="S603" i="1"/>
  <c r="R603" i="1"/>
  <c r="Q603" i="1"/>
  <c r="S602" i="1"/>
  <c r="R602" i="1"/>
  <c r="U602" i="1" s="1"/>
  <c r="Q602" i="1"/>
  <c r="T602" i="1" s="1"/>
  <c r="S601" i="1"/>
  <c r="U601" i="1" s="1"/>
  <c r="R601" i="1"/>
  <c r="Q601" i="1"/>
  <c r="S600" i="1"/>
  <c r="R600" i="1"/>
  <c r="U600" i="1" s="1"/>
  <c r="Q600" i="1"/>
  <c r="T600" i="1" s="1"/>
  <c r="U599" i="1"/>
  <c r="S599" i="1"/>
  <c r="T599" i="1" s="1"/>
  <c r="R599" i="1"/>
  <c r="Q599" i="1"/>
  <c r="U598" i="1"/>
  <c r="S598" i="1"/>
  <c r="R598" i="1"/>
  <c r="Q598" i="1"/>
  <c r="T598" i="1" s="1"/>
  <c r="S588" i="1"/>
  <c r="R588" i="1"/>
  <c r="U588" i="1" s="1"/>
  <c r="Q588" i="1"/>
  <c r="T588" i="1" s="1"/>
  <c r="U587" i="1"/>
  <c r="S587" i="1"/>
  <c r="R587" i="1"/>
  <c r="Q587" i="1"/>
  <c r="T587" i="1" s="1"/>
  <c r="U586" i="1"/>
  <c r="S586" i="1"/>
  <c r="R586" i="1"/>
  <c r="Q586" i="1"/>
  <c r="T586" i="1" s="1"/>
  <c r="T585" i="1"/>
  <c r="S585" i="1"/>
  <c r="U585" i="1" s="1"/>
  <c r="R585" i="1"/>
  <c r="Q585" i="1"/>
  <c r="U584" i="1"/>
  <c r="T584" i="1"/>
  <c r="S584" i="1"/>
  <c r="R584" i="1"/>
  <c r="Q584" i="1"/>
  <c r="S583" i="1"/>
  <c r="T583" i="1" s="1"/>
  <c r="R583" i="1"/>
  <c r="U583" i="1" s="1"/>
  <c r="Q583" i="1"/>
  <c r="S582" i="1"/>
  <c r="U582" i="1" s="1"/>
  <c r="R582" i="1"/>
  <c r="Q582" i="1"/>
  <c r="S581" i="1"/>
  <c r="R581" i="1"/>
  <c r="U581" i="1" s="1"/>
  <c r="Q581" i="1"/>
  <c r="T581" i="1" s="1"/>
  <c r="S580" i="1"/>
  <c r="T580" i="1" s="1"/>
  <c r="R580" i="1"/>
  <c r="U580" i="1" s="1"/>
  <c r="Q580" i="1"/>
  <c r="S570" i="1"/>
  <c r="R570" i="1"/>
  <c r="U570" i="1" s="1"/>
  <c r="Q570" i="1"/>
  <c r="T570" i="1" s="1"/>
  <c r="U569" i="1"/>
  <c r="S569" i="1"/>
  <c r="R569" i="1"/>
  <c r="Q569" i="1"/>
  <c r="T569" i="1" s="1"/>
  <c r="S568" i="1"/>
  <c r="R568" i="1"/>
  <c r="U568" i="1" s="1"/>
  <c r="Q568" i="1"/>
  <c r="T568" i="1" s="1"/>
  <c r="U567" i="1"/>
  <c r="T567" i="1"/>
  <c r="S567" i="1"/>
  <c r="R567" i="1"/>
  <c r="Q567" i="1"/>
  <c r="U566" i="1"/>
  <c r="S566" i="1"/>
  <c r="R566" i="1"/>
  <c r="Q566" i="1"/>
  <c r="T566" i="1" s="1"/>
  <c r="S565" i="1"/>
  <c r="T565" i="1" s="1"/>
  <c r="R565" i="1"/>
  <c r="Q565" i="1"/>
  <c r="U564" i="1"/>
  <c r="T564" i="1"/>
  <c r="S564" i="1"/>
  <c r="R564" i="1"/>
  <c r="Q564" i="1"/>
  <c r="S563" i="1"/>
  <c r="T563" i="1" s="1"/>
  <c r="R563" i="1"/>
  <c r="U563" i="1" s="1"/>
  <c r="Q563" i="1"/>
  <c r="S562" i="1"/>
  <c r="U562" i="1" s="1"/>
  <c r="R562" i="1"/>
  <c r="Q562" i="1"/>
  <c r="S552" i="1"/>
  <c r="R552" i="1"/>
  <c r="U552" i="1" s="1"/>
  <c r="Q552" i="1"/>
  <c r="T552" i="1" s="1"/>
  <c r="S551" i="1"/>
  <c r="T551" i="1" s="1"/>
  <c r="R551" i="1"/>
  <c r="U551" i="1" s="1"/>
  <c r="Q551" i="1"/>
  <c r="S550" i="1"/>
  <c r="R550" i="1"/>
  <c r="U550" i="1" s="1"/>
  <c r="Q550" i="1"/>
  <c r="T550" i="1" s="1"/>
  <c r="U549" i="1"/>
  <c r="S549" i="1"/>
  <c r="R549" i="1"/>
  <c r="Q549" i="1"/>
  <c r="T549" i="1" s="1"/>
  <c r="S548" i="1"/>
  <c r="R548" i="1"/>
  <c r="U548" i="1" s="1"/>
  <c r="Q548" i="1"/>
  <c r="T548" i="1" s="1"/>
  <c r="U547" i="1"/>
  <c r="T547" i="1"/>
  <c r="S547" i="1"/>
  <c r="R547" i="1"/>
  <c r="Q547" i="1"/>
  <c r="U546" i="1"/>
  <c r="S546" i="1"/>
  <c r="R546" i="1"/>
  <c r="Q546" i="1"/>
  <c r="T546" i="1" s="1"/>
  <c r="S545" i="1"/>
  <c r="T545" i="1" s="1"/>
  <c r="R545" i="1"/>
  <c r="Q545" i="1"/>
  <c r="U544" i="1"/>
  <c r="T544" i="1"/>
  <c r="S544" i="1"/>
  <c r="R544" i="1"/>
  <c r="Q544" i="1"/>
  <c r="S534" i="1"/>
  <c r="T534" i="1" s="1"/>
  <c r="R534" i="1"/>
  <c r="U534" i="1" s="1"/>
  <c r="Q534" i="1"/>
  <c r="S533" i="1"/>
  <c r="U533" i="1" s="1"/>
  <c r="R533" i="1"/>
  <c r="Q533" i="1"/>
  <c r="S532" i="1"/>
  <c r="R532" i="1"/>
  <c r="U532" i="1" s="1"/>
  <c r="Q532" i="1"/>
  <c r="T532" i="1" s="1"/>
  <c r="S531" i="1"/>
  <c r="T531" i="1" s="1"/>
  <c r="R531" i="1"/>
  <c r="U531" i="1" s="1"/>
  <c r="Q531" i="1"/>
  <c r="S530" i="1"/>
  <c r="R530" i="1"/>
  <c r="U530" i="1" s="1"/>
  <c r="Q530" i="1"/>
  <c r="T530" i="1" s="1"/>
  <c r="U529" i="1"/>
  <c r="S529" i="1"/>
  <c r="R529" i="1"/>
  <c r="Q529" i="1"/>
  <c r="T529" i="1" s="1"/>
  <c r="S528" i="1"/>
  <c r="R528" i="1"/>
  <c r="U528" i="1" s="1"/>
  <c r="Q528" i="1"/>
  <c r="T528" i="1" s="1"/>
  <c r="U527" i="1"/>
  <c r="T527" i="1"/>
  <c r="S527" i="1"/>
  <c r="R527" i="1"/>
  <c r="Q527" i="1"/>
  <c r="U526" i="1"/>
  <c r="S526" i="1"/>
  <c r="R526" i="1"/>
  <c r="Q526" i="1"/>
  <c r="T526" i="1" s="1"/>
  <c r="S516" i="1"/>
  <c r="R516" i="1"/>
  <c r="U516" i="1" s="1"/>
  <c r="Q516" i="1"/>
  <c r="T516" i="1" s="1"/>
  <c r="U515" i="1"/>
  <c r="S515" i="1"/>
  <c r="R515" i="1"/>
  <c r="Q515" i="1"/>
  <c r="T515" i="1" s="1"/>
  <c r="U514" i="1"/>
  <c r="S514" i="1"/>
  <c r="R514" i="1"/>
  <c r="Q514" i="1"/>
  <c r="T514" i="1" s="1"/>
  <c r="U513" i="1"/>
  <c r="T513" i="1"/>
  <c r="S513" i="1"/>
  <c r="R513" i="1"/>
  <c r="Q513" i="1"/>
  <c r="U512" i="1"/>
  <c r="T512" i="1"/>
  <c r="S512" i="1"/>
  <c r="R512" i="1"/>
  <c r="Q512" i="1"/>
  <c r="S511" i="1"/>
  <c r="T511" i="1" s="1"/>
  <c r="R511" i="1"/>
  <c r="U511" i="1" s="1"/>
  <c r="Q511" i="1"/>
  <c r="U510" i="1"/>
  <c r="T510" i="1"/>
  <c r="S510" i="1"/>
  <c r="R510" i="1"/>
  <c r="Q510" i="1"/>
  <c r="S509" i="1"/>
  <c r="R509" i="1"/>
  <c r="U509" i="1" s="1"/>
  <c r="Q509" i="1"/>
  <c r="T509" i="1" s="1"/>
  <c r="S508" i="1"/>
  <c r="U508" i="1" s="1"/>
  <c r="R508" i="1"/>
  <c r="Q508" i="1"/>
  <c r="S498" i="1"/>
  <c r="R498" i="1"/>
  <c r="U498" i="1" s="1"/>
  <c r="Q498" i="1"/>
  <c r="T498" i="1" s="1"/>
  <c r="U497" i="1"/>
  <c r="S497" i="1"/>
  <c r="T497" i="1" s="1"/>
  <c r="R497" i="1"/>
  <c r="Q497" i="1"/>
  <c r="S496" i="1"/>
  <c r="R496" i="1"/>
  <c r="U496" i="1" s="1"/>
  <c r="Q496" i="1"/>
  <c r="T496" i="1" s="1"/>
  <c r="U495" i="1"/>
  <c r="T495" i="1"/>
  <c r="S495" i="1"/>
  <c r="R495" i="1"/>
  <c r="Q495" i="1"/>
  <c r="U494" i="1"/>
  <c r="S494" i="1"/>
  <c r="R494" i="1"/>
  <c r="Q494" i="1"/>
  <c r="T494" i="1" s="1"/>
  <c r="U493" i="1"/>
  <c r="T493" i="1"/>
  <c r="S493" i="1"/>
  <c r="R493" i="1"/>
  <c r="Q493" i="1"/>
  <c r="U492" i="1"/>
  <c r="T492" i="1"/>
  <c r="S492" i="1"/>
  <c r="R492" i="1"/>
  <c r="Q492" i="1"/>
  <c r="S491" i="1"/>
  <c r="T491" i="1" s="1"/>
  <c r="R491" i="1"/>
  <c r="U491" i="1" s="1"/>
  <c r="Q491" i="1"/>
  <c r="U490" i="1"/>
  <c r="T490" i="1"/>
  <c r="S490" i="1"/>
  <c r="R490" i="1"/>
  <c r="Q490" i="1"/>
  <c r="S480" i="1"/>
  <c r="R480" i="1"/>
  <c r="U480" i="1" s="1"/>
  <c r="Q480" i="1"/>
  <c r="T480" i="1" s="1"/>
  <c r="S479" i="1"/>
  <c r="U479" i="1" s="1"/>
  <c r="R479" i="1"/>
  <c r="Q479" i="1"/>
  <c r="S478" i="1"/>
  <c r="R478" i="1"/>
  <c r="U478" i="1" s="1"/>
  <c r="Q478" i="1"/>
  <c r="T478" i="1" s="1"/>
  <c r="U477" i="1"/>
  <c r="S477" i="1"/>
  <c r="T477" i="1" s="1"/>
  <c r="R477" i="1"/>
  <c r="Q477" i="1"/>
  <c r="S476" i="1"/>
  <c r="R476" i="1"/>
  <c r="U476" i="1" s="1"/>
  <c r="Q476" i="1"/>
  <c r="T476" i="1" s="1"/>
  <c r="U475" i="1"/>
  <c r="T475" i="1"/>
  <c r="S475" i="1"/>
  <c r="R475" i="1"/>
  <c r="Q475" i="1"/>
  <c r="U474" i="1"/>
  <c r="S474" i="1"/>
  <c r="R474" i="1"/>
  <c r="Q474" i="1"/>
  <c r="T474" i="1" s="1"/>
  <c r="U473" i="1"/>
  <c r="T473" i="1"/>
  <c r="S473" i="1"/>
  <c r="R473" i="1"/>
  <c r="Q473" i="1"/>
  <c r="U472" i="1"/>
  <c r="T472" i="1"/>
  <c r="S472" i="1"/>
  <c r="R472" i="1"/>
  <c r="Q472" i="1"/>
  <c r="S462" i="1"/>
  <c r="T462" i="1" s="1"/>
  <c r="R462" i="1"/>
  <c r="U462" i="1" s="1"/>
  <c r="Q462" i="1"/>
  <c r="U461" i="1"/>
  <c r="T461" i="1"/>
  <c r="S461" i="1"/>
  <c r="R461" i="1"/>
  <c r="Q461" i="1"/>
  <c r="S460" i="1"/>
  <c r="R460" i="1"/>
  <c r="U460" i="1" s="1"/>
  <c r="Q460" i="1"/>
  <c r="T460" i="1" s="1"/>
  <c r="S459" i="1"/>
  <c r="U459" i="1" s="1"/>
  <c r="R459" i="1"/>
  <c r="Q459" i="1"/>
  <c r="S458" i="1"/>
  <c r="R458" i="1"/>
  <c r="U458" i="1" s="1"/>
  <c r="Q458" i="1"/>
  <c r="T458" i="1" s="1"/>
  <c r="S457" i="1"/>
  <c r="T457" i="1" s="1"/>
  <c r="R457" i="1"/>
  <c r="U457" i="1" s="1"/>
  <c r="Q457" i="1"/>
  <c r="S456" i="1"/>
  <c r="R456" i="1"/>
  <c r="U456" i="1" s="1"/>
  <c r="Q456" i="1"/>
  <c r="T456" i="1" s="1"/>
  <c r="U455" i="1"/>
  <c r="S455" i="1"/>
  <c r="R455" i="1"/>
  <c r="Q455" i="1"/>
  <c r="T455" i="1" s="1"/>
  <c r="U454" i="1"/>
  <c r="S454" i="1"/>
  <c r="R454" i="1"/>
  <c r="Q454" i="1"/>
  <c r="T454" i="1" s="1"/>
  <c r="S444" i="1"/>
  <c r="R444" i="1"/>
  <c r="U444" i="1" s="1"/>
  <c r="Q444" i="1"/>
  <c r="T444" i="1" s="1"/>
  <c r="U443" i="1"/>
  <c r="S443" i="1"/>
  <c r="T443" i="1" s="1"/>
  <c r="R443" i="1"/>
  <c r="Q443" i="1"/>
  <c r="U442" i="1"/>
  <c r="S442" i="1"/>
  <c r="R442" i="1"/>
  <c r="Q442" i="1"/>
  <c r="T442" i="1" s="1"/>
  <c r="T441" i="1"/>
  <c r="S441" i="1"/>
  <c r="R441" i="1"/>
  <c r="U441" i="1" s="1"/>
  <c r="Q441" i="1"/>
  <c r="U440" i="1"/>
  <c r="T440" i="1"/>
  <c r="S440" i="1"/>
  <c r="R440" i="1"/>
  <c r="Q440" i="1"/>
  <c r="S439" i="1"/>
  <c r="R439" i="1"/>
  <c r="U439" i="1" s="1"/>
  <c r="Q439" i="1"/>
  <c r="T439" i="1" s="1"/>
  <c r="S438" i="1"/>
  <c r="U438" i="1" s="1"/>
  <c r="R438" i="1"/>
  <c r="Q438" i="1"/>
  <c r="S437" i="1"/>
  <c r="R437" i="1"/>
  <c r="U437" i="1" s="1"/>
  <c r="Q437" i="1"/>
  <c r="T437" i="1" s="1"/>
  <c r="U436" i="1"/>
  <c r="S436" i="1"/>
  <c r="T436" i="1" s="1"/>
  <c r="R436" i="1"/>
  <c r="Q436" i="1"/>
  <c r="S426" i="1"/>
  <c r="R426" i="1"/>
  <c r="U426" i="1" s="1"/>
  <c r="Q426" i="1"/>
  <c r="T426" i="1" s="1"/>
  <c r="U425" i="1"/>
  <c r="T425" i="1"/>
  <c r="S425" i="1"/>
  <c r="R425" i="1"/>
  <c r="Q425" i="1"/>
  <c r="S424" i="1"/>
  <c r="R424" i="1"/>
  <c r="U424" i="1" s="1"/>
  <c r="Q424" i="1"/>
  <c r="T424" i="1" s="1"/>
  <c r="U423" i="1"/>
  <c r="S423" i="1"/>
  <c r="T423" i="1" s="1"/>
  <c r="R423" i="1"/>
  <c r="Q423" i="1"/>
  <c r="U422" i="1"/>
  <c r="S422" i="1"/>
  <c r="R422" i="1"/>
  <c r="Q422" i="1"/>
  <c r="T422" i="1" s="1"/>
  <c r="T421" i="1"/>
  <c r="S421" i="1"/>
  <c r="R421" i="1"/>
  <c r="U421" i="1" s="1"/>
  <c r="Q421" i="1"/>
  <c r="U420" i="1"/>
  <c r="T420" i="1"/>
  <c r="S420" i="1"/>
  <c r="R420" i="1"/>
  <c r="Q420" i="1"/>
  <c r="S419" i="1"/>
  <c r="R419" i="1"/>
  <c r="U419" i="1" s="1"/>
  <c r="Q419" i="1"/>
  <c r="T419" i="1" s="1"/>
  <c r="T418" i="1"/>
  <c r="S418" i="1"/>
  <c r="U418" i="1" s="1"/>
  <c r="R418" i="1"/>
  <c r="Q418" i="1"/>
  <c r="S408" i="1"/>
  <c r="R408" i="1"/>
  <c r="U408" i="1" s="1"/>
  <c r="Q408" i="1"/>
  <c r="T408" i="1" s="1"/>
  <c r="U407" i="1"/>
  <c r="S407" i="1"/>
  <c r="T407" i="1" s="1"/>
  <c r="R407" i="1"/>
  <c r="Q407" i="1"/>
  <c r="S406" i="1"/>
  <c r="R406" i="1"/>
  <c r="U406" i="1" s="1"/>
  <c r="Q406" i="1"/>
  <c r="T406" i="1" s="1"/>
  <c r="U405" i="1"/>
  <c r="T405" i="1"/>
  <c r="S405" i="1"/>
  <c r="R405" i="1"/>
  <c r="Q405" i="1"/>
  <c r="S404" i="1"/>
  <c r="R404" i="1"/>
  <c r="U404" i="1" s="1"/>
  <c r="Q404" i="1"/>
  <c r="T404" i="1" s="1"/>
  <c r="U403" i="1"/>
  <c r="S403" i="1"/>
  <c r="T403" i="1" s="1"/>
  <c r="R403" i="1"/>
  <c r="Q403" i="1"/>
  <c r="U402" i="1"/>
  <c r="S402" i="1"/>
  <c r="R402" i="1"/>
  <c r="Q402" i="1"/>
  <c r="T402" i="1" s="1"/>
  <c r="T401" i="1"/>
  <c r="S401" i="1"/>
  <c r="R401" i="1"/>
  <c r="U401" i="1" s="1"/>
  <c r="Q401" i="1"/>
  <c r="U400" i="1"/>
  <c r="T400" i="1"/>
  <c r="S400" i="1"/>
  <c r="R400" i="1"/>
  <c r="Q400" i="1"/>
  <c r="S390" i="1"/>
  <c r="R390" i="1"/>
  <c r="U390" i="1" s="1"/>
  <c r="Q390" i="1"/>
  <c r="T390" i="1" s="1"/>
  <c r="S389" i="1"/>
  <c r="U389" i="1" s="1"/>
  <c r="R389" i="1"/>
  <c r="Q389" i="1"/>
  <c r="S388" i="1"/>
  <c r="R388" i="1"/>
  <c r="U388" i="1" s="1"/>
  <c r="Q388" i="1"/>
  <c r="T388" i="1" s="1"/>
  <c r="U387" i="1"/>
  <c r="S387" i="1"/>
  <c r="T387" i="1" s="1"/>
  <c r="R387" i="1"/>
  <c r="Q387" i="1"/>
  <c r="S386" i="1"/>
  <c r="R386" i="1"/>
  <c r="U386" i="1" s="1"/>
  <c r="Q386" i="1"/>
  <c r="T386" i="1" s="1"/>
  <c r="U385" i="1"/>
  <c r="T385" i="1"/>
  <c r="S385" i="1"/>
  <c r="R385" i="1"/>
  <c r="Q385" i="1"/>
  <c r="S384" i="1"/>
  <c r="R384" i="1"/>
  <c r="U384" i="1" s="1"/>
  <c r="Q384" i="1"/>
  <c r="T384" i="1" s="1"/>
  <c r="U383" i="1"/>
  <c r="S383" i="1"/>
  <c r="R383" i="1"/>
  <c r="Q383" i="1"/>
  <c r="T383" i="1" s="1"/>
  <c r="U382" i="1"/>
  <c r="S382" i="1"/>
  <c r="R382" i="1"/>
  <c r="Q382" i="1"/>
  <c r="T382" i="1" s="1"/>
  <c r="S372" i="1"/>
  <c r="R372" i="1"/>
  <c r="U372" i="1" s="1"/>
  <c r="Q372" i="1"/>
  <c r="T372" i="1" s="1"/>
  <c r="S371" i="1"/>
  <c r="U371" i="1" s="1"/>
  <c r="R371" i="1"/>
  <c r="Q371" i="1"/>
  <c r="T371" i="1" s="1"/>
  <c r="U370" i="1"/>
  <c r="S370" i="1"/>
  <c r="R370" i="1"/>
  <c r="Q370" i="1"/>
  <c r="T370" i="1" s="1"/>
  <c r="S369" i="1"/>
  <c r="T369" i="1" s="1"/>
  <c r="R369" i="1"/>
  <c r="U369" i="1" s="1"/>
  <c r="Q369" i="1"/>
  <c r="U368" i="1"/>
  <c r="T368" i="1"/>
  <c r="S368" i="1"/>
  <c r="R368" i="1"/>
  <c r="Q368" i="1"/>
  <c r="S367" i="1"/>
  <c r="R367" i="1"/>
  <c r="U367" i="1" s="1"/>
  <c r="Q367" i="1"/>
  <c r="T367" i="1" s="1"/>
  <c r="S366" i="1"/>
  <c r="U366" i="1" s="1"/>
  <c r="R366" i="1"/>
  <c r="Q366" i="1"/>
  <c r="S365" i="1"/>
  <c r="R365" i="1"/>
  <c r="U365" i="1" s="1"/>
  <c r="Q365" i="1"/>
  <c r="T365" i="1" s="1"/>
  <c r="S354" i="1"/>
  <c r="R354" i="1"/>
  <c r="U354" i="1" s="1"/>
  <c r="Q354" i="1"/>
  <c r="T354" i="1" s="1"/>
  <c r="S353" i="1"/>
  <c r="R353" i="1"/>
  <c r="U353" i="1" s="1"/>
  <c r="Q353" i="1"/>
  <c r="T353" i="1" s="1"/>
  <c r="U352" i="1"/>
  <c r="S352" i="1"/>
  <c r="R352" i="1"/>
  <c r="Q352" i="1"/>
  <c r="T352" i="1" s="1"/>
  <c r="S351" i="1"/>
  <c r="U351" i="1" s="1"/>
  <c r="R351" i="1"/>
  <c r="Q351" i="1"/>
  <c r="T351" i="1" s="1"/>
  <c r="U350" i="1"/>
  <c r="T350" i="1"/>
  <c r="S350" i="1"/>
  <c r="R350" i="1"/>
  <c r="Q350" i="1"/>
  <c r="S349" i="1"/>
  <c r="T349" i="1" s="1"/>
  <c r="R349" i="1"/>
  <c r="U349" i="1" s="1"/>
  <c r="Q349" i="1"/>
  <c r="U348" i="1"/>
  <c r="T348" i="1"/>
  <c r="S348" i="1"/>
  <c r="R348" i="1"/>
  <c r="Q348" i="1"/>
  <c r="S347" i="1"/>
  <c r="R347" i="1"/>
  <c r="U347" i="1" s="1"/>
  <c r="Q347" i="1"/>
  <c r="T347" i="1" s="1"/>
  <c r="S346" i="1"/>
  <c r="U346" i="1" s="1"/>
  <c r="R346" i="1"/>
  <c r="Q346" i="1"/>
  <c r="S336" i="1"/>
  <c r="R336" i="1"/>
  <c r="U336" i="1" s="1"/>
  <c r="Q336" i="1"/>
  <c r="T336" i="1" s="1"/>
  <c r="S335" i="1"/>
  <c r="T335" i="1" s="1"/>
  <c r="R335" i="1"/>
  <c r="U335" i="1" s="1"/>
  <c r="Q335" i="1"/>
  <c r="S334" i="1"/>
  <c r="R334" i="1"/>
  <c r="U334" i="1" s="1"/>
  <c r="Q334" i="1"/>
  <c r="T334" i="1" s="1"/>
  <c r="S333" i="1"/>
  <c r="R333" i="1"/>
  <c r="U333" i="1" s="1"/>
  <c r="Q333" i="1"/>
  <c r="T333" i="1" s="1"/>
  <c r="U332" i="1"/>
  <c r="S332" i="1"/>
  <c r="R332" i="1"/>
  <c r="Q332" i="1"/>
  <c r="T332" i="1" s="1"/>
  <c r="S331" i="1"/>
  <c r="U331" i="1" s="1"/>
  <c r="R331" i="1"/>
  <c r="Q331" i="1"/>
  <c r="T331" i="1" s="1"/>
  <c r="U330" i="1"/>
  <c r="T330" i="1"/>
  <c r="S330" i="1"/>
  <c r="R330" i="1"/>
  <c r="Q330" i="1"/>
  <c r="S329" i="1"/>
  <c r="T329" i="1" s="1"/>
  <c r="R329" i="1"/>
  <c r="U329" i="1" s="1"/>
  <c r="Q329" i="1"/>
  <c r="U328" i="1"/>
  <c r="T328" i="1"/>
  <c r="S328" i="1"/>
  <c r="R328" i="1"/>
  <c r="Q328" i="1"/>
  <c r="S318" i="1"/>
  <c r="R318" i="1"/>
  <c r="U318" i="1" s="1"/>
  <c r="Q318" i="1"/>
  <c r="T318" i="1" s="1"/>
  <c r="S317" i="1"/>
  <c r="U317" i="1" s="1"/>
  <c r="R317" i="1"/>
  <c r="Q317" i="1"/>
  <c r="S316" i="1"/>
  <c r="R316" i="1"/>
  <c r="U316" i="1" s="1"/>
  <c r="Q316" i="1"/>
  <c r="T316" i="1" s="1"/>
  <c r="S315" i="1"/>
  <c r="T315" i="1" s="1"/>
  <c r="R315" i="1"/>
  <c r="U315" i="1" s="1"/>
  <c r="Q315" i="1"/>
  <c r="S314" i="1"/>
  <c r="R314" i="1"/>
  <c r="U314" i="1" s="1"/>
  <c r="Q314" i="1"/>
  <c r="T314" i="1" s="1"/>
  <c r="S313" i="1"/>
  <c r="R313" i="1"/>
  <c r="U313" i="1" s="1"/>
  <c r="Q313" i="1"/>
  <c r="T313" i="1" s="1"/>
  <c r="U312" i="1"/>
  <c r="S312" i="1"/>
  <c r="R312" i="1"/>
  <c r="Q312" i="1"/>
  <c r="T312" i="1" s="1"/>
  <c r="S311" i="1"/>
  <c r="U311" i="1" s="1"/>
  <c r="R311" i="1"/>
  <c r="Q311" i="1"/>
  <c r="T311" i="1" s="1"/>
  <c r="U310" i="1"/>
  <c r="T310" i="1"/>
  <c r="S310" i="1"/>
  <c r="R310" i="1"/>
  <c r="Q310" i="1"/>
  <c r="S300" i="1"/>
  <c r="R300" i="1"/>
  <c r="U300" i="1" s="1"/>
  <c r="Q300" i="1"/>
  <c r="T300" i="1" s="1"/>
  <c r="S299" i="1"/>
  <c r="U299" i="1" s="1"/>
  <c r="R299" i="1"/>
  <c r="Q299" i="1"/>
  <c r="U298" i="1"/>
  <c r="S298" i="1"/>
  <c r="R298" i="1"/>
  <c r="Q298" i="1"/>
  <c r="T298" i="1" s="1"/>
  <c r="T297" i="1"/>
  <c r="S297" i="1"/>
  <c r="R297" i="1"/>
  <c r="U297" i="1" s="1"/>
  <c r="Q297" i="1"/>
  <c r="S295" i="1"/>
  <c r="R295" i="1"/>
  <c r="U295" i="1" s="1"/>
  <c r="Q295" i="1"/>
  <c r="T295" i="1" s="1"/>
  <c r="S294" i="1"/>
  <c r="U294" i="1" s="1"/>
  <c r="R294" i="1"/>
  <c r="Q294" i="1"/>
  <c r="S293" i="1"/>
  <c r="R293" i="1"/>
  <c r="U293" i="1" s="1"/>
  <c r="Q293" i="1"/>
  <c r="T293" i="1" s="1"/>
  <c r="U292" i="1"/>
  <c r="T292" i="1"/>
  <c r="S292" i="1"/>
  <c r="R292" i="1"/>
  <c r="Q292" i="1"/>
  <c r="S282" i="1"/>
  <c r="R282" i="1"/>
  <c r="U282" i="1" s="1"/>
  <c r="Q282" i="1"/>
  <c r="T282" i="1" s="1"/>
  <c r="R281" i="1"/>
  <c r="Q281" i="1"/>
  <c r="S280" i="1"/>
  <c r="U280" i="1" s="1"/>
  <c r="R280" i="1"/>
  <c r="Q280" i="1"/>
  <c r="T280" i="1" s="1"/>
  <c r="S279" i="1"/>
  <c r="T279" i="1" s="1"/>
  <c r="R279" i="1"/>
  <c r="U279" i="1" s="1"/>
  <c r="Q279" i="1"/>
  <c r="R278" i="1"/>
  <c r="Q278" i="1"/>
  <c r="S277" i="1"/>
  <c r="R277" i="1"/>
  <c r="U277" i="1" s="1"/>
  <c r="Q277" i="1"/>
  <c r="T277" i="1" s="1"/>
  <c r="U276" i="1"/>
  <c r="T276" i="1"/>
  <c r="S276" i="1"/>
  <c r="R276" i="1"/>
  <c r="Q276" i="1"/>
  <c r="R275" i="1"/>
  <c r="Q275" i="1"/>
  <c r="U274" i="1"/>
  <c r="S274" i="1"/>
  <c r="T274" i="1" s="1"/>
  <c r="R274" i="1"/>
  <c r="Q274" i="1"/>
  <c r="S264" i="1"/>
  <c r="R264" i="1"/>
  <c r="U264" i="1" s="1"/>
  <c r="Q264" i="1"/>
  <c r="T264" i="1" s="1"/>
  <c r="U263" i="1"/>
  <c r="T263" i="1"/>
  <c r="S263" i="1"/>
  <c r="R263" i="1"/>
  <c r="Q263" i="1"/>
  <c r="T261" i="1"/>
  <c r="S261" i="1"/>
  <c r="U261" i="1" s="1"/>
  <c r="R261" i="1"/>
  <c r="Q261" i="1"/>
  <c r="S260" i="1"/>
  <c r="U260" i="1" s="1"/>
  <c r="R260" i="1"/>
  <c r="Q260" i="1"/>
  <c r="T260" i="1" s="1"/>
  <c r="S259" i="1"/>
  <c r="U259" i="1" s="1"/>
  <c r="R259" i="1"/>
  <c r="Q259" i="1"/>
  <c r="U258" i="1"/>
  <c r="S258" i="1"/>
  <c r="T258" i="1" s="1"/>
  <c r="R258" i="1"/>
  <c r="Q258" i="1"/>
  <c r="T257" i="1"/>
  <c r="S257" i="1"/>
  <c r="R257" i="1"/>
  <c r="U257" i="1" s="1"/>
  <c r="Q257" i="1"/>
  <c r="U256" i="1"/>
  <c r="T256" i="1"/>
  <c r="S256" i="1"/>
  <c r="R256" i="1"/>
  <c r="Q256" i="1"/>
  <c r="S246" i="1"/>
  <c r="R246" i="1"/>
  <c r="U246" i="1" s="1"/>
  <c r="Q246" i="1"/>
  <c r="T246" i="1" s="1"/>
  <c r="U245" i="1"/>
  <c r="S245" i="1"/>
  <c r="T245" i="1" s="1"/>
  <c r="R245" i="1"/>
  <c r="Q245" i="1"/>
  <c r="S244" i="1"/>
  <c r="R244" i="1"/>
  <c r="U244" i="1" s="1"/>
  <c r="Q244" i="1"/>
  <c r="T244" i="1" s="1"/>
  <c r="U243" i="1"/>
  <c r="T243" i="1"/>
  <c r="S243" i="1"/>
  <c r="R243" i="1"/>
  <c r="Q243" i="1"/>
  <c r="S242" i="1"/>
  <c r="R242" i="1"/>
  <c r="U242" i="1" s="1"/>
  <c r="Q242" i="1"/>
  <c r="T242" i="1" s="1"/>
  <c r="T241" i="1"/>
  <c r="S241" i="1"/>
  <c r="U241" i="1" s="1"/>
  <c r="R241" i="1"/>
  <c r="Q241" i="1"/>
  <c r="U240" i="1"/>
  <c r="S240" i="1"/>
  <c r="R240" i="1"/>
  <c r="Q240" i="1"/>
  <c r="T240" i="1" s="1"/>
  <c r="S239" i="1"/>
  <c r="U239" i="1" s="1"/>
  <c r="R239" i="1"/>
  <c r="Q239" i="1"/>
  <c r="U238" i="1"/>
  <c r="T238" i="1"/>
  <c r="S238" i="1"/>
  <c r="R238" i="1"/>
  <c r="Q238" i="1"/>
  <c r="S228" i="1"/>
  <c r="R228" i="1"/>
  <c r="U228" i="1" s="1"/>
  <c r="Q228" i="1"/>
  <c r="T228" i="1" s="1"/>
  <c r="S227" i="1"/>
  <c r="T227" i="1" s="1"/>
  <c r="R227" i="1"/>
  <c r="U227" i="1" s="1"/>
  <c r="Q227" i="1"/>
  <c r="U226" i="1"/>
  <c r="S226" i="1"/>
  <c r="R226" i="1"/>
  <c r="Q226" i="1"/>
  <c r="T226" i="1" s="1"/>
  <c r="S225" i="1"/>
  <c r="R225" i="1"/>
  <c r="U225" i="1" s="1"/>
  <c r="Q225" i="1"/>
  <c r="T225" i="1" s="1"/>
  <c r="U224" i="1"/>
  <c r="T224" i="1"/>
  <c r="S224" i="1"/>
  <c r="R224" i="1"/>
  <c r="Q224" i="1"/>
  <c r="S223" i="1"/>
  <c r="R223" i="1"/>
  <c r="U223" i="1" s="1"/>
  <c r="Q223" i="1"/>
  <c r="T223" i="1" s="1"/>
  <c r="U222" i="1"/>
  <c r="S222" i="1"/>
  <c r="T222" i="1" s="1"/>
  <c r="R222" i="1"/>
  <c r="Q222" i="1"/>
  <c r="S221" i="1"/>
  <c r="R221" i="1"/>
  <c r="U221" i="1" s="1"/>
  <c r="Q221" i="1"/>
  <c r="T221" i="1" s="1"/>
  <c r="U220" i="1"/>
  <c r="T220" i="1"/>
  <c r="S220" i="1"/>
  <c r="R220" i="1"/>
  <c r="Q220" i="1"/>
  <c r="S210" i="1"/>
  <c r="R210" i="1"/>
  <c r="U210" i="1" s="1"/>
  <c r="Q210" i="1"/>
  <c r="T210" i="1" s="1"/>
  <c r="S209" i="1"/>
  <c r="U209" i="1" s="1"/>
  <c r="R209" i="1"/>
  <c r="Q209" i="1"/>
  <c r="S208" i="1"/>
  <c r="R208" i="1"/>
  <c r="U208" i="1" s="1"/>
  <c r="Q208" i="1"/>
  <c r="T208" i="1" s="1"/>
  <c r="S207" i="1"/>
  <c r="T207" i="1" s="1"/>
  <c r="R207" i="1"/>
  <c r="U207" i="1" s="1"/>
  <c r="Q207" i="1"/>
  <c r="U206" i="1"/>
  <c r="S206" i="1"/>
  <c r="R206" i="1"/>
  <c r="Q206" i="1"/>
  <c r="T206" i="1" s="1"/>
  <c r="S205" i="1"/>
  <c r="R205" i="1"/>
  <c r="U205" i="1" s="1"/>
  <c r="Q205" i="1"/>
  <c r="T205" i="1" s="1"/>
  <c r="U204" i="1"/>
  <c r="T204" i="1"/>
  <c r="S204" i="1"/>
  <c r="R204" i="1"/>
  <c r="Q204" i="1"/>
  <c r="S203" i="1"/>
  <c r="R203" i="1"/>
  <c r="U203" i="1" s="1"/>
  <c r="Q203" i="1"/>
  <c r="T203" i="1" s="1"/>
  <c r="U202" i="1"/>
  <c r="S202" i="1"/>
  <c r="T202" i="1" s="1"/>
  <c r="R202" i="1"/>
  <c r="Q202" i="1"/>
  <c r="S192" i="1"/>
  <c r="R192" i="1"/>
  <c r="U192" i="1" s="1"/>
  <c r="Q192" i="1"/>
  <c r="T192" i="1" s="1"/>
  <c r="U191" i="1"/>
  <c r="T191" i="1"/>
  <c r="S191" i="1"/>
  <c r="R191" i="1"/>
  <c r="Q191" i="1"/>
  <c r="S190" i="1"/>
  <c r="R190" i="1"/>
  <c r="U190" i="1" s="1"/>
  <c r="Q190" i="1"/>
  <c r="T190" i="1" s="1"/>
  <c r="S189" i="1"/>
  <c r="U189" i="1" s="1"/>
  <c r="R189" i="1"/>
  <c r="Q189" i="1"/>
  <c r="S188" i="1"/>
  <c r="R188" i="1"/>
  <c r="U188" i="1" s="1"/>
  <c r="Q188" i="1"/>
  <c r="T188" i="1" s="1"/>
  <c r="S187" i="1"/>
  <c r="T187" i="1" s="1"/>
  <c r="R187" i="1"/>
  <c r="U187" i="1" s="1"/>
  <c r="Q187" i="1"/>
  <c r="U186" i="1"/>
  <c r="S186" i="1"/>
  <c r="T186" i="1" s="1"/>
  <c r="R186" i="1"/>
  <c r="Q186" i="1"/>
  <c r="S185" i="1"/>
  <c r="R185" i="1"/>
  <c r="U185" i="1" s="1"/>
  <c r="Q185" i="1"/>
  <c r="T185" i="1" s="1"/>
  <c r="U184" i="1"/>
  <c r="T184" i="1"/>
  <c r="S184" i="1"/>
  <c r="R184" i="1"/>
  <c r="Q184" i="1"/>
  <c r="S174" i="1"/>
  <c r="R174" i="1"/>
  <c r="U174" i="1" s="1"/>
  <c r="Q174" i="1"/>
  <c r="T174" i="1" s="1"/>
  <c r="U173" i="1"/>
  <c r="S173" i="1"/>
  <c r="T173" i="1" s="1"/>
  <c r="R173" i="1"/>
  <c r="Q173" i="1"/>
  <c r="S172" i="1"/>
  <c r="R172" i="1"/>
  <c r="U172" i="1" s="1"/>
  <c r="Q172" i="1"/>
  <c r="T172" i="1" s="1"/>
  <c r="U171" i="1"/>
  <c r="T171" i="1"/>
  <c r="S171" i="1"/>
  <c r="R171" i="1"/>
  <c r="Q171" i="1"/>
  <c r="S170" i="1"/>
  <c r="R170" i="1"/>
  <c r="U170" i="1" s="1"/>
  <c r="Q170" i="1"/>
  <c r="T170" i="1" s="1"/>
  <c r="S169" i="1"/>
  <c r="U169" i="1" s="1"/>
  <c r="R169" i="1"/>
  <c r="Q169" i="1"/>
  <c r="S168" i="1"/>
  <c r="R168" i="1"/>
  <c r="U168" i="1" s="1"/>
  <c r="Q168" i="1"/>
  <c r="T168" i="1" s="1"/>
  <c r="S167" i="1"/>
  <c r="T167" i="1" s="1"/>
  <c r="R167" i="1"/>
  <c r="U167" i="1" s="1"/>
  <c r="Q167" i="1"/>
  <c r="U166" i="1"/>
  <c r="S166" i="1"/>
  <c r="R166" i="1"/>
  <c r="Q166" i="1"/>
  <c r="T166" i="1" s="1"/>
  <c r="S156" i="1"/>
  <c r="R156" i="1"/>
  <c r="U156" i="1" s="1"/>
  <c r="Q156" i="1"/>
  <c r="T156" i="1" s="1"/>
  <c r="S155" i="1"/>
  <c r="R155" i="1"/>
  <c r="U155" i="1" s="1"/>
  <c r="Q155" i="1"/>
  <c r="T155" i="1" s="1"/>
  <c r="U154" i="1"/>
  <c r="S154" i="1"/>
  <c r="R154" i="1"/>
  <c r="Q154" i="1"/>
  <c r="T154" i="1" s="1"/>
  <c r="S153" i="1"/>
  <c r="R153" i="1"/>
  <c r="U153" i="1" s="1"/>
  <c r="Q153" i="1"/>
  <c r="T153" i="1" s="1"/>
  <c r="U152" i="1"/>
  <c r="T152" i="1"/>
  <c r="S152" i="1"/>
  <c r="R152" i="1"/>
  <c r="Q152" i="1"/>
  <c r="S151" i="1"/>
  <c r="R151" i="1"/>
  <c r="U151" i="1" s="1"/>
  <c r="Q151" i="1"/>
  <c r="T151" i="1" s="1"/>
  <c r="U150" i="1"/>
  <c r="T150" i="1"/>
  <c r="S150" i="1"/>
  <c r="R150" i="1"/>
  <c r="Q150" i="1"/>
  <c r="S149" i="1"/>
  <c r="R149" i="1"/>
  <c r="U149" i="1" s="1"/>
  <c r="Q149" i="1"/>
  <c r="T149" i="1" s="1"/>
  <c r="S148" i="1"/>
  <c r="U148" i="1" s="1"/>
  <c r="R148" i="1"/>
  <c r="Q148" i="1"/>
  <c r="S138" i="1"/>
  <c r="R138" i="1"/>
  <c r="U138" i="1" s="1"/>
  <c r="Q138" i="1"/>
  <c r="T138" i="1" s="1"/>
  <c r="S137" i="1"/>
  <c r="T137" i="1" s="1"/>
  <c r="R137" i="1"/>
  <c r="U137" i="1" s="1"/>
  <c r="Q137" i="1"/>
  <c r="S136" i="1"/>
  <c r="R136" i="1"/>
  <c r="U136" i="1" s="1"/>
  <c r="Q136" i="1"/>
  <c r="T136" i="1" s="1"/>
  <c r="S135" i="1"/>
  <c r="R135" i="1"/>
  <c r="U135" i="1" s="1"/>
  <c r="Q135" i="1"/>
  <c r="T135" i="1" s="1"/>
  <c r="U134" i="1"/>
  <c r="S134" i="1"/>
  <c r="R134" i="1"/>
  <c r="Q134" i="1"/>
  <c r="T134" i="1" s="1"/>
  <c r="S133" i="1"/>
  <c r="R133" i="1"/>
  <c r="U133" i="1" s="1"/>
  <c r="Q133" i="1"/>
  <c r="T133" i="1" s="1"/>
  <c r="U132" i="1"/>
  <c r="T132" i="1"/>
  <c r="S132" i="1"/>
  <c r="R132" i="1"/>
  <c r="Q132" i="1"/>
  <c r="S131" i="1"/>
  <c r="R131" i="1"/>
  <c r="U131" i="1" s="1"/>
  <c r="Q131" i="1"/>
  <c r="T131" i="1" s="1"/>
  <c r="U130" i="1"/>
  <c r="T130" i="1"/>
  <c r="S130" i="1"/>
  <c r="R130" i="1"/>
  <c r="Q130" i="1"/>
  <c r="S120" i="1"/>
  <c r="R120" i="1"/>
  <c r="U120" i="1" s="1"/>
  <c r="Q120" i="1"/>
  <c r="T120" i="1" s="1"/>
  <c r="S119" i="1"/>
  <c r="U119" i="1" s="1"/>
  <c r="R119" i="1"/>
  <c r="Q119" i="1"/>
  <c r="S118" i="1"/>
  <c r="R118" i="1"/>
  <c r="U118" i="1" s="1"/>
  <c r="Q118" i="1"/>
  <c r="T118" i="1" s="1"/>
  <c r="S117" i="1"/>
  <c r="T117" i="1" s="1"/>
  <c r="R117" i="1"/>
  <c r="U117" i="1" s="1"/>
  <c r="Q117" i="1"/>
  <c r="S116" i="1"/>
  <c r="R116" i="1"/>
  <c r="U116" i="1" s="1"/>
  <c r="Q116" i="1"/>
  <c r="T116" i="1" s="1"/>
  <c r="S115" i="1"/>
  <c r="R115" i="1"/>
  <c r="U115" i="1" s="1"/>
  <c r="Q115" i="1"/>
  <c r="T115" i="1" s="1"/>
  <c r="U114" i="1"/>
  <c r="S114" i="1"/>
  <c r="R114" i="1"/>
  <c r="Q114" i="1"/>
  <c r="T114" i="1" s="1"/>
  <c r="S113" i="1"/>
  <c r="R113" i="1"/>
  <c r="U113" i="1" s="1"/>
  <c r="Q113" i="1"/>
  <c r="T113" i="1" s="1"/>
  <c r="U112" i="1"/>
  <c r="T112" i="1"/>
  <c r="S112" i="1"/>
  <c r="R112" i="1"/>
  <c r="Q112" i="1"/>
  <c r="S102" i="1"/>
  <c r="R102" i="1"/>
  <c r="U102" i="1" s="1"/>
  <c r="Q102" i="1"/>
  <c r="T102" i="1" s="1"/>
  <c r="U101" i="1"/>
  <c r="T101" i="1"/>
  <c r="S101" i="1"/>
  <c r="R101" i="1"/>
  <c r="Q101" i="1"/>
  <c r="S100" i="1"/>
  <c r="R100" i="1"/>
  <c r="U100" i="1" s="1"/>
  <c r="Q100" i="1"/>
  <c r="T100" i="1" s="1"/>
  <c r="S99" i="1"/>
  <c r="U99" i="1" s="1"/>
  <c r="R99" i="1"/>
  <c r="Q99" i="1"/>
  <c r="S98" i="1"/>
  <c r="R98" i="1"/>
  <c r="U98" i="1" s="1"/>
  <c r="Q98" i="1"/>
  <c r="T98" i="1" s="1"/>
  <c r="S97" i="1"/>
  <c r="T97" i="1" s="1"/>
  <c r="R97" i="1"/>
  <c r="U97" i="1" s="1"/>
  <c r="Q97" i="1"/>
  <c r="S96" i="1"/>
  <c r="R96" i="1"/>
  <c r="U96" i="1" s="1"/>
  <c r="Q96" i="1"/>
  <c r="T96" i="1" s="1"/>
  <c r="S95" i="1"/>
  <c r="R95" i="1"/>
  <c r="U95" i="1" s="1"/>
  <c r="Q95" i="1"/>
  <c r="T95" i="1" s="1"/>
  <c r="U94" i="1"/>
  <c r="S94" i="1"/>
  <c r="R94" i="1"/>
  <c r="Q94" i="1"/>
  <c r="T94" i="1" s="1"/>
  <c r="S84" i="1"/>
  <c r="R84" i="1"/>
  <c r="U84" i="1" s="1"/>
  <c r="Q84" i="1"/>
  <c r="T84" i="1" s="1"/>
  <c r="S83" i="1"/>
  <c r="T83" i="1" s="1"/>
  <c r="R83" i="1"/>
  <c r="U83" i="1" s="1"/>
  <c r="Q83" i="1"/>
  <c r="U82" i="1"/>
  <c r="S82" i="1"/>
  <c r="R82" i="1"/>
  <c r="Q82" i="1"/>
  <c r="T82" i="1" s="1"/>
  <c r="S81" i="1"/>
  <c r="R81" i="1"/>
  <c r="U81" i="1" s="1"/>
  <c r="Q81" i="1"/>
  <c r="T81" i="1" s="1"/>
  <c r="U80" i="1"/>
  <c r="T80" i="1"/>
  <c r="S80" i="1"/>
  <c r="R80" i="1"/>
  <c r="Q80" i="1"/>
  <c r="S79" i="1"/>
  <c r="R79" i="1"/>
  <c r="U79" i="1" s="1"/>
  <c r="Q79" i="1"/>
  <c r="T79" i="1" s="1"/>
  <c r="S78" i="1"/>
  <c r="U78" i="1" s="1"/>
  <c r="R78" i="1"/>
  <c r="Q78" i="1"/>
  <c r="S77" i="1"/>
  <c r="R77" i="1"/>
  <c r="U77" i="1" s="1"/>
  <c r="Q77" i="1"/>
  <c r="T77" i="1" s="1"/>
  <c r="T76" i="1"/>
  <c r="S76" i="1"/>
  <c r="R76" i="1"/>
  <c r="U76" i="1" s="1"/>
  <c r="Q76" i="1"/>
  <c r="S66" i="1"/>
  <c r="R66" i="1"/>
  <c r="U66" i="1" s="1"/>
  <c r="Q66" i="1"/>
  <c r="T66" i="1" s="1"/>
  <c r="S65" i="1"/>
  <c r="U65" i="1" s="1"/>
  <c r="R65" i="1"/>
  <c r="Q65" i="1"/>
  <c r="U64" i="1"/>
  <c r="S64" i="1"/>
  <c r="R64" i="1"/>
  <c r="Q64" i="1"/>
  <c r="T64" i="1" s="1"/>
  <c r="S63" i="1"/>
  <c r="R63" i="1"/>
  <c r="U63" i="1" s="1"/>
  <c r="Q63" i="1"/>
  <c r="T63" i="1" s="1"/>
  <c r="U62" i="1"/>
  <c r="T62" i="1"/>
  <c r="S62" i="1"/>
  <c r="R62" i="1"/>
  <c r="Q62" i="1"/>
  <c r="S61" i="1"/>
  <c r="R61" i="1"/>
  <c r="U61" i="1" s="1"/>
  <c r="Q61" i="1"/>
  <c r="T61" i="1" s="1"/>
  <c r="U60" i="1"/>
  <c r="S60" i="1"/>
  <c r="T60" i="1" s="1"/>
  <c r="R60" i="1"/>
  <c r="Q60" i="1"/>
  <c r="S59" i="1"/>
  <c r="R59" i="1"/>
  <c r="U59" i="1" s="1"/>
  <c r="Q59" i="1"/>
  <c r="T59" i="1" s="1"/>
  <c r="U58" i="1"/>
  <c r="T58" i="1"/>
  <c r="S58" i="1"/>
  <c r="R58" i="1"/>
  <c r="Q58" i="1"/>
  <c r="T48" i="1"/>
  <c r="S48" i="1"/>
  <c r="R48" i="1"/>
  <c r="U48" i="1" s="1"/>
  <c r="Q48" i="1"/>
  <c r="S47" i="1"/>
  <c r="R47" i="1"/>
  <c r="U47" i="1" s="1"/>
  <c r="Q47" i="1"/>
  <c r="T47" i="1" s="1"/>
  <c r="S46" i="1"/>
  <c r="T46" i="1" s="1"/>
  <c r="R46" i="1"/>
  <c r="Q46" i="1"/>
  <c r="S45" i="1"/>
  <c r="R45" i="1"/>
  <c r="U45" i="1" s="1"/>
  <c r="Q45" i="1"/>
  <c r="T45" i="1" s="1"/>
  <c r="U44" i="1"/>
  <c r="T44" i="1"/>
  <c r="S44" i="1"/>
  <c r="R44" i="1"/>
  <c r="Q44" i="1"/>
  <c r="S43" i="1"/>
  <c r="R43" i="1"/>
  <c r="U43" i="1" s="1"/>
  <c r="Q43" i="1"/>
  <c r="T43" i="1" s="1"/>
  <c r="U42" i="1"/>
  <c r="T42" i="1"/>
  <c r="S42" i="1"/>
  <c r="R42" i="1"/>
  <c r="Q42" i="1"/>
  <c r="S41" i="1"/>
  <c r="R41" i="1"/>
  <c r="U41" i="1" s="1"/>
  <c r="Q41" i="1"/>
  <c r="T41" i="1" s="1"/>
  <c r="S40" i="1"/>
  <c r="U40" i="1" s="1"/>
  <c r="R40" i="1"/>
  <c r="Q40" i="1"/>
  <c r="T22" i="1"/>
  <c r="S30" i="1"/>
  <c r="S29" i="1"/>
  <c r="S28" i="1"/>
  <c r="S27" i="1"/>
  <c r="S26" i="1"/>
  <c r="S25" i="1"/>
  <c r="S24" i="1"/>
  <c r="S23" i="1"/>
  <c r="S22" i="1"/>
  <c r="R30" i="1"/>
  <c r="R29" i="1"/>
  <c r="R28" i="1"/>
  <c r="R25" i="1"/>
  <c r="R26" i="1"/>
  <c r="R27" i="1"/>
  <c r="R24" i="1"/>
  <c r="R23" i="1"/>
  <c r="R22" i="1"/>
  <c r="Q30" i="1"/>
  <c r="Q29" i="1"/>
  <c r="Q28" i="1"/>
  <c r="Q27" i="1"/>
  <c r="Q26" i="1"/>
  <c r="Q25" i="1"/>
  <c r="Q24" i="1"/>
  <c r="Q23" i="1"/>
  <c r="Q22" i="1"/>
  <c r="U23" i="1"/>
  <c r="U24" i="1"/>
  <c r="U25" i="1"/>
  <c r="U26" i="1"/>
  <c r="U27" i="1"/>
  <c r="U28" i="1"/>
  <c r="U29" i="1"/>
  <c r="U30" i="1"/>
  <c r="U22" i="1"/>
  <c r="T23" i="1"/>
  <c r="T24" i="1"/>
  <c r="T25" i="1"/>
  <c r="T26" i="1"/>
  <c r="T27" i="1"/>
  <c r="T28" i="1"/>
  <c r="T29" i="1"/>
  <c r="T30" i="1"/>
  <c r="W945" i="1"/>
  <c r="V945" i="1"/>
  <c r="W943" i="1"/>
  <c r="V943" i="1"/>
  <c r="W942" i="1"/>
  <c r="V942" i="1"/>
  <c r="W941" i="1"/>
  <c r="V941" i="1"/>
  <c r="W940" i="1"/>
  <c r="V940" i="1"/>
  <c r="W930" i="1"/>
  <c r="V930" i="1"/>
  <c r="W928" i="1"/>
  <c r="V928" i="1"/>
  <c r="W927" i="1"/>
  <c r="V927" i="1"/>
  <c r="W924" i="1"/>
  <c r="V924" i="1"/>
  <c r="W923" i="1"/>
  <c r="V923" i="1"/>
  <c r="W922" i="1"/>
  <c r="V922" i="1"/>
  <c r="W912" i="1"/>
  <c r="V912" i="1"/>
  <c r="W910" i="1"/>
  <c r="V910" i="1"/>
  <c r="W907" i="1"/>
  <c r="V907" i="1"/>
  <c r="W906" i="1"/>
  <c r="V906" i="1"/>
  <c r="W894" i="1"/>
  <c r="V894" i="1"/>
  <c r="W892" i="1"/>
  <c r="V892" i="1"/>
  <c r="W889" i="1"/>
  <c r="V889" i="1"/>
  <c r="W886" i="1"/>
  <c r="V886" i="1"/>
  <c r="W876" i="1"/>
  <c r="V876" i="1"/>
  <c r="W875" i="1"/>
  <c r="V875" i="1"/>
  <c r="W874" i="1"/>
  <c r="V874" i="1"/>
  <c r="W873" i="1"/>
  <c r="V873" i="1"/>
  <c r="W872" i="1"/>
  <c r="V872" i="1"/>
  <c r="W871" i="1"/>
  <c r="V871" i="1"/>
  <c r="W870" i="1"/>
  <c r="V870" i="1"/>
  <c r="W869" i="1"/>
  <c r="V869" i="1"/>
  <c r="W868" i="1"/>
  <c r="V868" i="1"/>
  <c r="W858" i="1"/>
  <c r="V858" i="1"/>
  <c r="W857" i="1"/>
  <c r="V857" i="1"/>
  <c r="W856" i="1"/>
  <c r="V856" i="1"/>
  <c r="W855" i="1"/>
  <c r="V855" i="1"/>
  <c r="W854" i="1"/>
  <c r="V854" i="1"/>
  <c r="W853" i="1"/>
  <c r="V853" i="1"/>
  <c r="W852" i="1"/>
  <c r="V852" i="1"/>
  <c r="W851" i="1"/>
  <c r="V851" i="1"/>
  <c r="W850" i="1"/>
  <c r="V850" i="1"/>
  <c r="W840" i="1"/>
  <c r="V840" i="1"/>
  <c r="W839" i="1"/>
  <c r="V839" i="1"/>
  <c r="W838" i="1"/>
  <c r="V838" i="1"/>
  <c r="W837" i="1"/>
  <c r="V837" i="1"/>
  <c r="W836" i="1"/>
  <c r="V836" i="1"/>
  <c r="W835" i="1"/>
  <c r="V835" i="1"/>
  <c r="W834" i="1"/>
  <c r="V834" i="1"/>
  <c r="W833" i="1"/>
  <c r="V833" i="1"/>
  <c r="W832" i="1"/>
  <c r="V832" i="1"/>
  <c r="W822" i="1"/>
  <c r="V822" i="1"/>
  <c r="W821" i="1"/>
  <c r="V821" i="1"/>
  <c r="W820" i="1"/>
  <c r="V820" i="1"/>
  <c r="W819" i="1"/>
  <c r="V819" i="1"/>
  <c r="W818" i="1"/>
  <c r="V818" i="1"/>
  <c r="W817" i="1"/>
  <c r="V817" i="1"/>
  <c r="W815" i="1"/>
  <c r="V815" i="1"/>
  <c r="W814" i="1"/>
  <c r="V814" i="1"/>
  <c r="W804" i="1"/>
  <c r="V804" i="1"/>
  <c r="W803" i="1"/>
  <c r="V803" i="1"/>
  <c r="W802" i="1"/>
  <c r="V802" i="1"/>
  <c r="W801" i="1"/>
  <c r="V801" i="1"/>
  <c r="W800" i="1"/>
  <c r="V800" i="1"/>
  <c r="W799" i="1"/>
  <c r="V799" i="1"/>
  <c r="W798" i="1"/>
  <c r="V798" i="1"/>
  <c r="W797" i="1"/>
  <c r="V797" i="1"/>
  <c r="W796" i="1"/>
  <c r="V796" i="1"/>
  <c r="W786" i="1"/>
  <c r="V786" i="1"/>
  <c r="W785" i="1"/>
  <c r="V785" i="1"/>
  <c r="W784" i="1"/>
  <c r="V784" i="1"/>
  <c r="W783" i="1"/>
  <c r="V783" i="1"/>
  <c r="W782" i="1"/>
  <c r="V782" i="1"/>
  <c r="W781" i="1"/>
  <c r="V781" i="1"/>
  <c r="W780" i="1"/>
  <c r="V780" i="1"/>
  <c r="W779" i="1"/>
  <c r="V779" i="1"/>
  <c r="W778" i="1"/>
  <c r="V778" i="1"/>
  <c r="W768" i="1"/>
  <c r="V768" i="1"/>
  <c r="W767" i="1"/>
  <c r="V767" i="1"/>
  <c r="W766" i="1"/>
  <c r="V766" i="1"/>
  <c r="W765" i="1"/>
  <c r="V765" i="1"/>
  <c r="W764" i="1"/>
  <c r="V764" i="1"/>
  <c r="W763" i="1"/>
  <c r="V763" i="1"/>
  <c r="W762" i="1"/>
  <c r="V762" i="1"/>
  <c r="W761" i="1"/>
  <c r="V761" i="1"/>
  <c r="W760" i="1"/>
  <c r="V760" i="1"/>
  <c r="W750" i="1"/>
  <c r="V750" i="1"/>
  <c r="W749" i="1"/>
  <c r="V749" i="1"/>
  <c r="W748" i="1"/>
  <c r="V748" i="1"/>
  <c r="W747" i="1"/>
  <c r="V747" i="1"/>
  <c r="W746" i="1"/>
  <c r="V746" i="1"/>
  <c r="W745" i="1"/>
  <c r="V745" i="1"/>
  <c r="W744" i="1"/>
  <c r="V744" i="1"/>
  <c r="W743" i="1"/>
  <c r="V743" i="1"/>
  <c r="W742" i="1"/>
  <c r="V742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0" i="1"/>
  <c r="V300" i="1"/>
  <c r="W299" i="1"/>
  <c r="V299" i="1"/>
  <c r="W298" i="1"/>
  <c r="V298" i="1"/>
  <c r="W297" i="1"/>
  <c r="V297" i="1"/>
  <c r="W295" i="1"/>
  <c r="V295" i="1"/>
  <c r="W294" i="1"/>
  <c r="V294" i="1"/>
  <c r="W293" i="1"/>
  <c r="V293" i="1"/>
  <c r="W292" i="1"/>
  <c r="V292" i="1"/>
  <c r="W282" i="1"/>
  <c r="V282" i="1"/>
  <c r="W280" i="1"/>
  <c r="V280" i="1"/>
  <c r="W279" i="1"/>
  <c r="V279" i="1"/>
  <c r="W277" i="1"/>
  <c r="V277" i="1"/>
  <c r="W276" i="1"/>
  <c r="V276" i="1"/>
  <c r="W274" i="1"/>
  <c r="V274" i="1"/>
  <c r="W264" i="1"/>
  <c r="V264" i="1"/>
  <c r="W263" i="1"/>
  <c r="V263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28" i="1"/>
  <c r="W30" i="1"/>
  <c r="W29" i="1"/>
  <c r="V28" i="1"/>
  <c r="V29" i="1"/>
  <c r="V30" i="1"/>
  <c r="W22" i="1"/>
  <c r="V22" i="1"/>
  <c r="W23" i="1"/>
  <c r="V23" i="1"/>
  <c r="W24" i="1"/>
  <c r="V24" i="1"/>
  <c r="W25" i="1"/>
  <c r="V25" i="1"/>
  <c r="W26" i="1"/>
  <c r="V26" i="1"/>
  <c r="W27" i="1"/>
  <c r="V27" i="1"/>
  <c r="N745" i="1"/>
  <c r="N948" i="1"/>
  <c r="N947" i="1"/>
  <c r="N946" i="1"/>
  <c r="N945" i="1"/>
  <c r="N944" i="1"/>
  <c r="N943" i="1"/>
  <c r="N942" i="1"/>
  <c r="N941" i="1"/>
  <c r="N940" i="1"/>
  <c r="N930" i="1"/>
  <c r="N929" i="1"/>
  <c r="N928" i="1"/>
  <c r="N927" i="1"/>
  <c r="N926" i="1"/>
  <c r="N925" i="1"/>
  <c r="N924" i="1"/>
  <c r="N923" i="1"/>
  <c r="N922" i="1"/>
  <c r="N912" i="1"/>
  <c r="N911" i="1"/>
  <c r="N910" i="1"/>
  <c r="N909" i="1"/>
  <c r="N908" i="1"/>
  <c r="N907" i="1"/>
  <c r="N906" i="1"/>
  <c r="N905" i="1"/>
  <c r="N904" i="1"/>
  <c r="N894" i="1"/>
  <c r="N892" i="1"/>
  <c r="N891" i="1"/>
  <c r="N890" i="1"/>
  <c r="N889" i="1"/>
  <c r="N888" i="1"/>
  <c r="N887" i="1"/>
  <c r="N886" i="1"/>
  <c r="N876" i="1"/>
  <c r="N875" i="1"/>
  <c r="N874" i="1"/>
  <c r="N873" i="1"/>
  <c r="N872" i="1"/>
  <c r="N871" i="1"/>
  <c r="N870" i="1"/>
  <c r="N869" i="1"/>
  <c r="N868" i="1"/>
  <c r="N858" i="1"/>
  <c r="N857" i="1"/>
  <c r="N856" i="1"/>
  <c r="N855" i="1"/>
  <c r="N854" i="1"/>
  <c r="N853" i="1"/>
  <c r="N852" i="1"/>
  <c r="N851" i="1"/>
  <c r="N850" i="1"/>
  <c r="N840" i="1"/>
  <c r="N839" i="1"/>
  <c r="N838" i="1"/>
  <c r="N837" i="1"/>
  <c r="N836" i="1"/>
  <c r="N835" i="1"/>
  <c r="N834" i="1"/>
  <c r="N833" i="1"/>
  <c r="N832" i="1"/>
  <c r="N822" i="1"/>
  <c r="N821" i="1"/>
  <c r="N820" i="1"/>
  <c r="N819" i="1"/>
  <c r="N818" i="1"/>
  <c r="N817" i="1"/>
  <c r="N816" i="1"/>
  <c r="N815" i="1"/>
  <c r="N814" i="1"/>
  <c r="N804" i="1"/>
  <c r="N803" i="1"/>
  <c r="N802" i="1"/>
  <c r="N801" i="1"/>
  <c r="N800" i="1"/>
  <c r="N799" i="1"/>
  <c r="N798" i="1"/>
  <c r="N797" i="1"/>
  <c r="N796" i="1"/>
  <c r="N786" i="1"/>
  <c r="N785" i="1"/>
  <c r="N784" i="1"/>
  <c r="N783" i="1"/>
  <c r="N782" i="1"/>
  <c r="N781" i="1"/>
  <c r="N780" i="1"/>
  <c r="N779" i="1"/>
  <c r="N778" i="1"/>
  <c r="N768" i="1"/>
  <c r="N767" i="1"/>
  <c r="N766" i="1"/>
  <c r="N765" i="1"/>
  <c r="N764" i="1"/>
  <c r="N763" i="1"/>
  <c r="N762" i="1"/>
  <c r="N761" i="1"/>
  <c r="N760" i="1"/>
  <c r="N750" i="1"/>
  <c r="N749" i="1"/>
  <c r="N748" i="1"/>
  <c r="N747" i="1"/>
  <c r="N746" i="1"/>
  <c r="N744" i="1"/>
  <c r="N743" i="1"/>
  <c r="N742" i="1"/>
  <c r="N732" i="1"/>
  <c r="N731" i="1"/>
  <c r="N730" i="1"/>
  <c r="N729" i="1"/>
  <c r="N728" i="1"/>
  <c r="N727" i="1"/>
  <c r="N726" i="1"/>
  <c r="N725" i="1"/>
  <c r="N724" i="1"/>
  <c r="N714" i="1"/>
  <c r="N713" i="1"/>
  <c r="N712" i="1"/>
  <c r="N711" i="1"/>
  <c r="N710" i="1"/>
  <c r="N709" i="1"/>
  <c r="N708" i="1"/>
  <c r="N707" i="1"/>
  <c r="N706" i="1"/>
  <c r="N696" i="1"/>
  <c r="N695" i="1"/>
  <c r="N694" i="1"/>
  <c r="N693" i="1"/>
  <c r="N692" i="1"/>
  <c r="N691" i="1"/>
  <c r="N690" i="1"/>
  <c r="N689" i="1"/>
  <c r="N688" i="1"/>
  <c r="N678" i="1"/>
  <c r="N677" i="1"/>
  <c r="N676" i="1"/>
  <c r="N675" i="1"/>
  <c r="N674" i="1"/>
  <c r="N673" i="1"/>
  <c r="N672" i="1"/>
  <c r="N671" i="1"/>
  <c r="N670" i="1"/>
  <c r="Y948" i="1"/>
  <c r="X948" i="1"/>
  <c r="Y947" i="1"/>
  <c r="X947" i="1"/>
  <c r="Y946" i="1"/>
  <c r="X946" i="1"/>
  <c r="Y945" i="1"/>
  <c r="X945" i="1"/>
  <c r="Y943" i="1"/>
  <c r="X943" i="1"/>
  <c r="Y942" i="1"/>
  <c r="X942" i="1"/>
  <c r="Y941" i="1"/>
  <c r="X941" i="1"/>
  <c r="Y940" i="1"/>
  <c r="X940" i="1"/>
  <c r="Y939" i="1"/>
  <c r="Y938" i="1"/>
  <c r="Y937" i="1"/>
  <c r="Y936" i="1"/>
  <c r="Y935" i="1"/>
  <c r="Y934" i="1"/>
  <c r="Y933" i="1"/>
  <c r="Y932" i="1"/>
  <c r="Y931" i="1"/>
  <c r="Y930" i="1"/>
  <c r="X930" i="1"/>
  <c r="Y928" i="1"/>
  <c r="X928" i="1"/>
  <c r="Y927" i="1"/>
  <c r="X927" i="1"/>
  <c r="Y924" i="1"/>
  <c r="X924" i="1"/>
  <c r="Y923" i="1"/>
  <c r="X923" i="1"/>
  <c r="Y922" i="1"/>
  <c r="X922" i="1"/>
  <c r="Y921" i="1"/>
  <c r="Y920" i="1"/>
  <c r="Y919" i="1"/>
  <c r="Y918" i="1"/>
  <c r="Y917" i="1"/>
  <c r="Y916" i="1"/>
  <c r="Y915" i="1"/>
  <c r="Y914" i="1"/>
  <c r="Y913" i="1"/>
  <c r="Y912" i="1"/>
  <c r="X912" i="1"/>
  <c r="Y910" i="1"/>
  <c r="X910" i="1"/>
  <c r="Y907" i="1"/>
  <c r="X907" i="1"/>
  <c r="Y906" i="1"/>
  <c r="X906" i="1"/>
  <c r="Y903" i="1"/>
  <c r="Y902" i="1"/>
  <c r="Y901" i="1"/>
  <c r="Y900" i="1"/>
  <c r="Y899" i="1"/>
  <c r="Y898" i="1"/>
  <c r="Y897" i="1"/>
  <c r="Y896" i="1"/>
  <c r="Y895" i="1"/>
  <c r="Y894" i="1"/>
  <c r="X894" i="1"/>
  <c r="Y892" i="1"/>
  <c r="X892" i="1"/>
  <c r="Y889" i="1"/>
  <c r="X889" i="1"/>
  <c r="Y886" i="1"/>
  <c r="X886" i="1"/>
  <c r="Y885" i="1"/>
  <c r="Y884" i="1"/>
  <c r="Y883" i="1"/>
  <c r="Y882" i="1"/>
  <c r="Y881" i="1"/>
  <c r="Y880" i="1"/>
  <c r="Y879" i="1"/>
  <c r="Y878" i="1"/>
  <c r="Y877" i="1"/>
  <c r="Y876" i="1"/>
  <c r="X876" i="1"/>
  <c r="Y875" i="1"/>
  <c r="X875" i="1"/>
  <c r="Y874" i="1"/>
  <c r="X874" i="1"/>
  <c r="Y873" i="1"/>
  <c r="X873" i="1"/>
  <c r="Y872" i="1"/>
  <c r="X872" i="1"/>
  <c r="Y871" i="1"/>
  <c r="X871" i="1"/>
  <c r="Y870" i="1"/>
  <c r="X870" i="1"/>
  <c r="Y869" i="1"/>
  <c r="X869" i="1"/>
  <c r="Y868" i="1"/>
  <c r="X868" i="1"/>
  <c r="Y867" i="1"/>
  <c r="Y866" i="1"/>
  <c r="Y865" i="1"/>
  <c r="Y864" i="1"/>
  <c r="Y863" i="1"/>
  <c r="Y862" i="1"/>
  <c r="Y861" i="1"/>
  <c r="Y860" i="1"/>
  <c r="Y859" i="1"/>
  <c r="Y858" i="1"/>
  <c r="X858" i="1"/>
  <c r="Y857" i="1"/>
  <c r="X857" i="1"/>
  <c r="Y856" i="1"/>
  <c r="X856" i="1"/>
  <c r="Y855" i="1"/>
  <c r="X855" i="1"/>
  <c r="Y854" i="1"/>
  <c r="X854" i="1"/>
  <c r="Y853" i="1"/>
  <c r="X853" i="1"/>
  <c r="Y852" i="1"/>
  <c r="X852" i="1"/>
  <c r="Y851" i="1"/>
  <c r="X851" i="1"/>
  <c r="Y850" i="1"/>
  <c r="X850" i="1"/>
  <c r="Y849" i="1"/>
  <c r="Y848" i="1"/>
  <c r="Y847" i="1"/>
  <c r="Y846" i="1"/>
  <c r="Y845" i="1"/>
  <c r="Y844" i="1"/>
  <c r="Y843" i="1"/>
  <c r="Y842" i="1"/>
  <c r="Y841" i="1"/>
  <c r="Y840" i="1"/>
  <c r="X840" i="1"/>
  <c r="Y839" i="1"/>
  <c r="X839" i="1"/>
  <c r="Y838" i="1"/>
  <c r="X838" i="1"/>
  <c r="Y837" i="1"/>
  <c r="X837" i="1"/>
  <c r="Y836" i="1"/>
  <c r="X836" i="1"/>
  <c r="Y835" i="1"/>
  <c r="X835" i="1"/>
  <c r="Y834" i="1"/>
  <c r="X834" i="1"/>
  <c r="Y833" i="1"/>
  <c r="X833" i="1"/>
  <c r="Y832" i="1"/>
  <c r="X832" i="1"/>
  <c r="Y831" i="1"/>
  <c r="Y830" i="1"/>
  <c r="Y829" i="1"/>
  <c r="Y828" i="1"/>
  <c r="Y827" i="1"/>
  <c r="Y826" i="1"/>
  <c r="Y825" i="1"/>
  <c r="Y824" i="1"/>
  <c r="Y823" i="1"/>
  <c r="Y822" i="1"/>
  <c r="X822" i="1"/>
  <c r="Y821" i="1"/>
  <c r="X821" i="1"/>
  <c r="Y820" i="1"/>
  <c r="X820" i="1"/>
  <c r="Y819" i="1"/>
  <c r="X819" i="1"/>
  <c r="Y818" i="1"/>
  <c r="X818" i="1"/>
  <c r="Y817" i="1"/>
  <c r="X817" i="1"/>
  <c r="Y815" i="1"/>
  <c r="X815" i="1"/>
  <c r="Y814" i="1"/>
  <c r="X814" i="1"/>
  <c r="Y813" i="1"/>
  <c r="Y812" i="1"/>
  <c r="Y811" i="1"/>
  <c r="Y810" i="1"/>
  <c r="Y809" i="1"/>
  <c r="Y808" i="1"/>
  <c r="Y807" i="1"/>
  <c r="Y806" i="1"/>
  <c r="Y805" i="1"/>
  <c r="Y804" i="1"/>
  <c r="X804" i="1"/>
  <c r="Y803" i="1"/>
  <c r="X803" i="1"/>
  <c r="Y802" i="1"/>
  <c r="X802" i="1"/>
  <c r="Y801" i="1"/>
  <c r="X801" i="1"/>
  <c r="Y800" i="1"/>
  <c r="X800" i="1"/>
  <c r="Y799" i="1"/>
  <c r="X799" i="1"/>
  <c r="Y798" i="1"/>
  <c r="X798" i="1"/>
  <c r="Y797" i="1"/>
  <c r="X797" i="1"/>
  <c r="Y796" i="1"/>
  <c r="X796" i="1"/>
  <c r="Y795" i="1"/>
  <c r="Y794" i="1"/>
  <c r="Y793" i="1"/>
  <c r="Y792" i="1"/>
  <c r="Y791" i="1"/>
  <c r="Y790" i="1"/>
  <c r="Y789" i="1"/>
  <c r="Y788" i="1"/>
  <c r="Y787" i="1"/>
  <c r="Y786" i="1"/>
  <c r="X786" i="1"/>
  <c r="Y785" i="1"/>
  <c r="X785" i="1"/>
  <c r="Y784" i="1"/>
  <c r="X784" i="1"/>
  <c r="Y783" i="1"/>
  <c r="X783" i="1"/>
  <c r="Y782" i="1"/>
  <c r="X782" i="1"/>
  <c r="Y781" i="1"/>
  <c r="X781" i="1"/>
  <c r="Y780" i="1"/>
  <c r="X780" i="1"/>
  <c r="Y779" i="1"/>
  <c r="X779" i="1"/>
  <c r="Y778" i="1"/>
  <c r="X778" i="1"/>
  <c r="Y777" i="1"/>
  <c r="Y776" i="1"/>
  <c r="Y775" i="1"/>
  <c r="Y774" i="1"/>
  <c r="Y773" i="1"/>
  <c r="Y772" i="1"/>
  <c r="Y771" i="1"/>
  <c r="Y770" i="1"/>
  <c r="Y769" i="1"/>
  <c r="Y768" i="1"/>
  <c r="X768" i="1"/>
  <c r="Y767" i="1"/>
  <c r="X767" i="1"/>
  <c r="Y766" i="1"/>
  <c r="X766" i="1"/>
  <c r="Y765" i="1"/>
  <c r="X765" i="1"/>
  <c r="Y764" i="1"/>
  <c r="X764" i="1"/>
  <c r="Y763" i="1"/>
  <c r="X763" i="1"/>
  <c r="Y762" i="1"/>
  <c r="X762" i="1"/>
  <c r="Y761" i="1"/>
  <c r="X761" i="1"/>
  <c r="Y760" i="1"/>
  <c r="X760" i="1"/>
  <c r="Y759" i="1"/>
  <c r="Y758" i="1"/>
  <c r="Y757" i="1"/>
  <c r="Y756" i="1"/>
  <c r="Y755" i="1"/>
  <c r="Y754" i="1"/>
  <c r="Y753" i="1"/>
  <c r="Y752" i="1"/>
  <c r="Y751" i="1"/>
  <c r="Y750" i="1"/>
  <c r="X750" i="1"/>
  <c r="Y749" i="1"/>
  <c r="X749" i="1"/>
  <c r="Y748" i="1"/>
  <c r="X748" i="1"/>
  <c r="Y747" i="1"/>
  <c r="X747" i="1"/>
  <c r="Y746" i="1"/>
  <c r="X746" i="1"/>
  <c r="Y745" i="1"/>
  <c r="X745" i="1"/>
  <c r="Y744" i="1"/>
  <c r="X744" i="1"/>
  <c r="Y743" i="1"/>
  <c r="X743" i="1"/>
  <c r="Y742" i="1"/>
  <c r="X742" i="1"/>
  <c r="Y741" i="1"/>
  <c r="Y740" i="1"/>
  <c r="Y739" i="1"/>
  <c r="Y738" i="1"/>
  <c r="Y737" i="1"/>
  <c r="Y736" i="1"/>
  <c r="Y735" i="1"/>
  <c r="Y734" i="1"/>
  <c r="Y733" i="1"/>
  <c r="Y732" i="1"/>
  <c r="X732" i="1"/>
  <c r="Y731" i="1"/>
  <c r="X731" i="1"/>
  <c r="Y730" i="1"/>
  <c r="X730" i="1"/>
  <c r="Y729" i="1"/>
  <c r="X729" i="1"/>
  <c r="Y728" i="1"/>
  <c r="X728" i="1"/>
  <c r="Y727" i="1"/>
  <c r="X727" i="1"/>
  <c r="Y726" i="1"/>
  <c r="X726" i="1"/>
  <c r="Y725" i="1"/>
  <c r="X725" i="1"/>
  <c r="Y724" i="1"/>
  <c r="X724" i="1"/>
  <c r="Y723" i="1"/>
  <c r="Y722" i="1"/>
  <c r="Y721" i="1"/>
  <c r="Y720" i="1"/>
  <c r="Y719" i="1"/>
  <c r="Y718" i="1"/>
  <c r="Y717" i="1"/>
  <c r="Y716" i="1"/>
  <c r="Y715" i="1"/>
  <c r="Y714" i="1"/>
  <c r="X714" i="1"/>
  <c r="Y713" i="1"/>
  <c r="X713" i="1"/>
  <c r="Y712" i="1"/>
  <c r="X712" i="1"/>
  <c r="Y711" i="1"/>
  <c r="X711" i="1"/>
  <c r="Y710" i="1"/>
  <c r="X710" i="1"/>
  <c r="Y709" i="1"/>
  <c r="X709" i="1"/>
  <c r="Y708" i="1"/>
  <c r="X708" i="1"/>
  <c r="Y707" i="1"/>
  <c r="X707" i="1"/>
  <c r="Y706" i="1"/>
  <c r="X706" i="1"/>
  <c r="Y705" i="1"/>
  <c r="Y704" i="1"/>
  <c r="Y703" i="1"/>
  <c r="Y702" i="1"/>
  <c r="Y701" i="1"/>
  <c r="Y700" i="1"/>
  <c r="Y699" i="1"/>
  <c r="Y698" i="1"/>
  <c r="Y697" i="1"/>
  <c r="Y696" i="1"/>
  <c r="X696" i="1"/>
  <c r="Y695" i="1"/>
  <c r="X695" i="1"/>
  <c r="Y694" i="1"/>
  <c r="X694" i="1"/>
  <c r="Y693" i="1"/>
  <c r="X693" i="1"/>
  <c r="Y692" i="1"/>
  <c r="X692" i="1"/>
  <c r="Y691" i="1"/>
  <c r="X691" i="1"/>
  <c r="Y690" i="1"/>
  <c r="X690" i="1"/>
  <c r="Y689" i="1"/>
  <c r="X689" i="1"/>
  <c r="Y688" i="1"/>
  <c r="X688" i="1"/>
  <c r="Y687" i="1"/>
  <c r="Y686" i="1"/>
  <c r="Y685" i="1"/>
  <c r="Y684" i="1"/>
  <c r="Y683" i="1"/>
  <c r="Y682" i="1"/>
  <c r="Y681" i="1"/>
  <c r="Y680" i="1"/>
  <c r="Y679" i="1"/>
  <c r="Y678" i="1"/>
  <c r="X678" i="1"/>
  <c r="Y677" i="1"/>
  <c r="X677" i="1"/>
  <c r="Y676" i="1"/>
  <c r="X676" i="1"/>
  <c r="Y675" i="1"/>
  <c r="X675" i="1"/>
  <c r="Y674" i="1"/>
  <c r="X674" i="1"/>
  <c r="Y673" i="1"/>
  <c r="X673" i="1"/>
  <c r="Y672" i="1"/>
  <c r="X672" i="1"/>
  <c r="Y671" i="1"/>
  <c r="X671" i="1"/>
  <c r="Y670" i="1"/>
  <c r="X670" i="1"/>
  <c r="Y669" i="1"/>
  <c r="Y668" i="1"/>
  <c r="Y667" i="1"/>
  <c r="Y666" i="1"/>
  <c r="Y665" i="1"/>
  <c r="Y664" i="1"/>
  <c r="Y663" i="1"/>
  <c r="Y662" i="1"/>
  <c r="Y661" i="1"/>
  <c r="Y660" i="1"/>
  <c r="X660" i="1"/>
  <c r="Y659" i="1"/>
  <c r="X659" i="1"/>
  <c r="Y658" i="1"/>
  <c r="X658" i="1"/>
  <c r="Y657" i="1"/>
  <c r="X657" i="1"/>
  <c r="Y656" i="1"/>
  <c r="X656" i="1"/>
  <c r="Y655" i="1"/>
  <c r="X655" i="1"/>
  <c r="Y654" i="1"/>
  <c r="X654" i="1"/>
  <c r="Y653" i="1"/>
  <c r="X653" i="1"/>
  <c r="Y652" i="1"/>
  <c r="X652" i="1"/>
  <c r="Y651" i="1"/>
  <c r="Y650" i="1"/>
  <c r="Y649" i="1"/>
  <c r="Y648" i="1"/>
  <c r="Y647" i="1"/>
  <c r="Y646" i="1"/>
  <c r="Y645" i="1"/>
  <c r="Y644" i="1"/>
  <c r="Y643" i="1"/>
  <c r="Y642" i="1"/>
  <c r="X642" i="1"/>
  <c r="Y641" i="1"/>
  <c r="X641" i="1"/>
  <c r="Y640" i="1"/>
  <c r="X640" i="1"/>
  <c r="Y639" i="1"/>
  <c r="X639" i="1"/>
  <c r="Y638" i="1"/>
  <c r="X638" i="1"/>
  <c r="Y637" i="1"/>
  <c r="X637" i="1"/>
  <c r="Y636" i="1"/>
  <c r="X636" i="1"/>
  <c r="Y635" i="1"/>
  <c r="X635" i="1"/>
  <c r="Y634" i="1"/>
  <c r="X634" i="1"/>
  <c r="Y633" i="1"/>
  <c r="Y632" i="1"/>
  <c r="Y631" i="1"/>
  <c r="Y630" i="1"/>
  <c r="Y629" i="1"/>
  <c r="Y628" i="1"/>
  <c r="Y627" i="1"/>
  <c r="Y626" i="1"/>
  <c r="Y625" i="1"/>
  <c r="Y624" i="1"/>
  <c r="X624" i="1"/>
  <c r="Y623" i="1"/>
  <c r="X623" i="1"/>
  <c r="Y622" i="1"/>
  <c r="X622" i="1"/>
  <c r="Y621" i="1"/>
  <c r="X621" i="1"/>
  <c r="Y620" i="1"/>
  <c r="X620" i="1"/>
  <c r="Y619" i="1"/>
  <c r="X619" i="1"/>
  <c r="Y618" i="1"/>
  <c r="X618" i="1"/>
  <c r="Y617" i="1"/>
  <c r="X617" i="1"/>
  <c r="Y616" i="1"/>
  <c r="X616" i="1"/>
  <c r="Y615" i="1"/>
  <c r="Y614" i="1"/>
  <c r="Y613" i="1"/>
  <c r="Y612" i="1"/>
  <c r="Y611" i="1"/>
  <c r="Y610" i="1"/>
  <c r="Y609" i="1"/>
  <c r="Y608" i="1"/>
  <c r="Y607" i="1"/>
  <c r="Y606" i="1"/>
  <c r="X606" i="1"/>
  <c r="Y605" i="1"/>
  <c r="X605" i="1"/>
  <c r="Y604" i="1"/>
  <c r="X604" i="1"/>
  <c r="Y603" i="1"/>
  <c r="X603" i="1"/>
  <c r="Y602" i="1"/>
  <c r="X602" i="1"/>
  <c r="Y601" i="1"/>
  <c r="X601" i="1"/>
  <c r="Y600" i="1"/>
  <c r="X600" i="1"/>
  <c r="Y599" i="1"/>
  <c r="X599" i="1"/>
  <c r="Y598" i="1"/>
  <c r="X598" i="1"/>
  <c r="Y597" i="1"/>
  <c r="Y596" i="1"/>
  <c r="Y595" i="1"/>
  <c r="Y594" i="1"/>
  <c r="Y593" i="1"/>
  <c r="Y592" i="1"/>
  <c r="Y591" i="1"/>
  <c r="Y590" i="1"/>
  <c r="Y589" i="1"/>
  <c r="Y588" i="1"/>
  <c r="X588" i="1"/>
  <c r="Y587" i="1"/>
  <c r="X587" i="1"/>
  <c r="Y586" i="1"/>
  <c r="X586" i="1"/>
  <c r="Y585" i="1"/>
  <c r="X585" i="1"/>
  <c r="Y584" i="1"/>
  <c r="X584" i="1"/>
  <c r="Y583" i="1"/>
  <c r="X583" i="1"/>
  <c r="Y582" i="1"/>
  <c r="X582" i="1"/>
  <c r="Y581" i="1"/>
  <c r="X581" i="1"/>
  <c r="Y580" i="1"/>
  <c r="X580" i="1"/>
  <c r="Y579" i="1"/>
  <c r="Y578" i="1"/>
  <c r="Y577" i="1"/>
  <c r="Y576" i="1"/>
  <c r="Y575" i="1"/>
  <c r="Y574" i="1"/>
  <c r="Y573" i="1"/>
  <c r="Y572" i="1"/>
  <c r="Y571" i="1"/>
  <c r="Y570" i="1"/>
  <c r="X570" i="1"/>
  <c r="Y569" i="1"/>
  <c r="X569" i="1"/>
  <c r="Y568" i="1"/>
  <c r="X568" i="1"/>
  <c r="Y567" i="1"/>
  <c r="X567" i="1"/>
  <c r="Y566" i="1"/>
  <c r="X566" i="1"/>
  <c r="Y565" i="1"/>
  <c r="X565" i="1"/>
  <c r="Y564" i="1"/>
  <c r="X564" i="1"/>
  <c r="Y563" i="1"/>
  <c r="X563" i="1"/>
  <c r="Y562" i="1"/>
  <c r="X562" i="1"/>
  <c r="Y561" i="1"/>
  <c r="Y560" i="1"/>
  <c r="Y559" i="1"/>
  <c r="Y558" i="1"/>
  <c r="Y557" i="1"/>
  <c r="Y556" i="1"/>
  <c r="Y555" i="1"/>
  <c r="Y554" i="1"/>
  <c r="Y553" i="1"/>
  <c r="Y552" i="1"/>
  <c r="X552" i="1"/>
  <c r="Y551" i="1"/>
  <c r="X551" i="1"/>
  <c r="Y550" i="1"/>
  <c r="X550" i="1"/>
  <c r="Y549" i="1"/>
  <c r="X549" i="1"/>
  <c r="Y548" i="1"/>
  <c r="X548" i="1"/>
  <c r="Y547" i="1"/>
  <c r="X547" i="1"/>
  <c r="Y546" i="1"/>
  <c r="X546" i="1"/>
  <c r="Y545" i="1"/>
  <c r="X545" i="1"/>
  <c r="Y544" i="1"/>
  <c r="X544" i="1"/>
  <c r="Y543" i="1"/>
  <c r="Y542" i="1"/>
  <c r="Y541" i="1"/>
  <c r="Y540" i="1"/>
  <c r="Y539" i="1"/>
  <c r="Y538" i="1"/>
  <c r="Y537" i="1"/>
  <c r="Y536" i="1"/>
  <c r="Y535" i="1"/>
  <c r="Y534" i="1"/>
  <c r="X534" i="1"/>
  <c r="Y533" i="1"/>
  <c r="X533" i="1"/>
  <c r="Y532" i="1"/>
  <c r="X532" i="1"/>
  <c r="Y531" i="1"/>
  <c r="X531" i="1"/>
  <c r="Y530" i="1"/>
  <c r="X530" i="1"/>
  <c r="Y529" i="1"/>
  <c r="X529" i="1"/>
  <c r="Y528" i="1"/>
  <c r="X528" i="1"/>
  <c r="Y527" i="1"/>
  <c r="X527" i="1"/>
  <c r="Y526" i="1"/>
  <c r="X526" i="1"/>
  <c r="Y525" i="1"/>
  <c r="Y524" i="1"/>
  <c r="Y523" i="1"/>
  <c r="Y522" i="1"/>
  <c r="Y521" i="1"/>
  <c r="Y520" i="1"/>
  <c r="Y519" i="1"/>
  <c r="Y518" i="1"/>
  <c r="Y517" i="1"/>
  <c r="N660" i="1"/>
  <c r="N659" i="1"/>
  <c r="N658" i="1"/>
  <c r="N657" i="1"/>
  <c r="N656" i="1"/>
  <c r="N655" i="1"/>
  <c r="N654" i="1"/>
  <c r="N653" i="1"/>
  <c r="N652" i="1"/>
  <c r="N642" i="1"/>
  <c r="N641" i="1"/>
  <c r="N640" i="1"/>
  <c r="N639" i="1"/>
  <c r="N638" i="1"/>
  <c r="N637" i="1"/>
  <c r="N636" i="1"/>
  <c r="N635" i="1"/>
  <c r="N634" i="1"/>
  <c r="N624" i="1"/>
  <c r="N623" i="1"/>
  <c r="N622" i="1"/>
  <c r="N621" i="1"/>
  <c r="N620" i="1"/>
  <c r="N619" i="1"/>
  <c r="N618" i="1"/>
  <c r="N617" i="1"/>
  <c r="N616" i="1"/>
  <c r="N606" i="1"/>
  <c r="N605" i="1"/>
  <c r="N604" i="1"/>
  <c r="N603" i="1"/>
  <c r="N602" i="1"/>
  <c r="N601" i="1"/>
  <c r="N600" i="1"/>
  <c r="N599" i="1"/>
  <c r="N598" i="1"/>
  <c r="N588" i="1"/>
  <c r="N587" i="1"/>
  <c r="N586" i="1"/>
  <c r="N585" i="1"/>
  <c r="N584" i="1"/>
  <c r="N583" i="1"/>
  <c r="N582" i="1"/>
  <c r="N581" i="1"/>
  <c r="N580" i="1"/>
  <c r="N570" i="1"/>
  <c r="N569" i="1"/>
  <c r="N568" i="1"/>
  <c r="N567" i="1"/>
  <c r="N566" i="1"/>
  <c r="N565" i="1"/>
  <c r="N564" i="1"/>
  <c r="N563" i="1"/>
  <c r="N562" i="1"/>
  <c r="N552" i="1"/>
  <c r="N551" i="1"/>
  <c r="N550" i="1"/>
  <c r="N549" i="1"/>
  <c r="N548" i="1"/>
  <c r="N547" i="1"/>
  <c r="N546" i="1"/>
  <c r="N545" i="1"/>
  <c r="N544" i="1"/>
  <c r="N534" i="1"/>
  <c r="N533" i="1"/>
  <c r="N532" i="1"/>
  <c r="N531" i="1"/>
  <c r="N530" i="1"/>
  <c r="N529" i="1"/>
  <c r="N528" i="1"/>
  <c r="N527" i="1"/>
  <c r="N526" i="1"/>
  <c r="Y516" i="1"/>
  <c r="X516" i="1"/>
  <c r="Y515" i="1"/>
  <c r="X515" i="1"/>
  <c r="Y514" i="1"/>
  <c r="X514" i="1"/>
  <c r="Y513" i="1"/>
  <c r="X513" i="1"/>
  <c r="Y512" i="1"/>
  <c r="X512" i="1"/>
  <c r="Y511" i="1"/>
  <c r="X511" i="1"/>
  <c r="Y510" i="1"/>
  <c r="X510" i="1"/>
  <c r="Y509" i="1"/>
  <c r="X509" i="1"/>
  <c r="Y508" i="1"/>
  <c r="X508" i="1"/>
  <c r="Y507" i="1"/>
  <c r="Y506" i="1"/>
  <c r="Y505" i="1"/>
  <c r="Y504" i="1"/>
  <c r="Y503" i="1"/>
  <c r="Y502" i="1"/>
  <c r="Y501" i="1"/>
  <c r="Y500" i="1"/>
  <c r="Y499" i="1"/>
  <c r="Y498" i="1"/>
  <c r="X498" i="1"/>
  <c r="Y497" i="1"/>
  <c r="X497" i="1"/>
  <c r="Y496" i="1"/>
  <c r="X496" i="1"/>
  <c r="Y495" i="1"/>
  <c r="X495" i="1"/>
  <c r="Y494" i="1"/>
  <c r="X494" i="1"/>
  <c r="Y493" i="1"/>
  <c r="X493" i="1"/>
  <c r="Y492" i="1"/>
  <c r="X492" i="1"/>
  <c r="Y491" i="1"/>
  <c r="X491" i="1"/>
  <c r="Y490" i="1"/>
  <c r="X490" i="1"/>
  <c r="Y489" i="1"/>
  <c r="Y488" i="1"/>
  <c r="Y487" i="1"/>
  <c r="Y486" i="1"/>
  <c r="Y485" i="1"/>
  <c r="Y484" i="1"/>
  <c r="Y483" i="1"/>
  <c r="Y482" i="1"/>
  <c r="Y481" i="1"/>
  <c r="Y480" i="1"/>
  <c r="X480" i="1"/>
  <c r="Y479" i="1"/>
  <c r="X479" i="1"/>
  <c r="Y478" i="1"/>
  <c r="X478" i="1"/>
  <c r="Y477" i="1"/>
  <c r="X477" i="1"/>
  <c r="Y476" i="1"/>
  <c r="X476" i="1"/>
  <c r="Y475" i="1"/>
  <c r="X475" i="1"/>
  <c r="Y474" i="1"/>
  <c r="X474" i="1"/>
  <c r="Y473" i="1"/>
  <c r="X473" i="1"/>
  <c r="Y472" i="1"/>
  <c r="X472" i="1"/>
  <c r="Y471" i="1"/>
  <c r="Y470" i="1"/>
  <c r="Y469" i="1"/>
  <c r="Y468" i="1"/>
  <c r="Y467" i="1"/>
  <c r="Y466" i="1"/>
  <c r="Y465" i="1"/>
  <c r="Y464" i="1"/>
  <c r="Y463" i="1"/>
  <c r="Y462" i="1"/>
  <c r="X462" i="1"/>
  <c r="Y461" i="1"/>
  <c r="X461" i="1"/>
  <c r="Y460" i="1"/>
  <c r="X460" i="1"/>
  <c r="Y459" i="1"/>
  <c r="X459" i="1"/>
  <c r="Y458" i="1"/>
  <c r="X458" i="1"/>
  <c r="Y457" i="1"/>
  <c r="X457" i="1"/>
  <c r="Y456" i="1"/>
  <c r="X456" i="1"/>
  <c r="Y455" i="1"/>
  <c r="X455" i="1"/>
  <c r="Y454" i="1"/>
  <c r="X454" i="1"/>
  <c r="Y453" i="1"/>
  <c r="Y452" i="1"/>
  <c r="Y451" i="1"/>
  <c r="Y450" i="1"/>
  <c r="Y449" i="1"/>
  <c r="Y448" i="1"/>
  <c r="Y447" i="1"/>
  <c r="Y446" i="1"/>
  <c r="Y445" i="1"/>
  <c r="Y444" i="1"/>
  <c r="X444" i="1"/>
  <c r="Y443" i="1"/>
  <c r="X443" i="1"/>
  <c r="Y442" i="1"/>
  <c r="X442" i="1"/>
  <c r="Y441" i="1"/>
  <c r="X441" i="1"/>
  <c r="Y440" i="1"/>
  <c r="X440" i="1"/>
  <c r="Y439" i="1"/>
  <c r="X439" i="1"/>
  <c r="Y438" i="1"/>
  <c r="X438" i="1"/>
  <c r="Y437" i="1"/>
  <c r="X437" i="1"/>
  <c r="Y436" i="1"/>
  <c r="X436" i="1"/>
  <c r="Y435" i="1"/>
  <c r="Y434" i="1"/>
  <c r="Y433" i="1"/>
  <c r="Y432" i="1"/>
  <c r="Y431" i="1"/>
  <c r="Y430" i="1"/>
  <c r="Y429" i="1"/>
  <c r="Y428" i="1"/>
  <c r="Y427" i="1"/>
  <c r="Y426" i="1"/>
  <c r="X426" i="1"/>
  <c r="Y425" i="1"/>
  <c r="X425" i="1"/>
  <c r="Y424" i="1"/>
  <c r="X424" i="1"/>
  <c r="Y423" i="1"/>
  <c r="X423" i="1"/>
  <c r="Y422" i="1"/>
  <c r="X422" i="1"/>
  <c r="Y421" i="1"/>
  <c r="X421" i="1"/>
  <c r="Y420" i="1"/>
  <c r="X420" i="1"/>
  <c r="Y419" i="1"/>
  <c r="X419" i="1"/>
  <c r="Y418" i="1"/>
  <c r="X418" i="1"/>
  <c r="Y417" i="1"/>
  <c r="Y416" i="1"/>
  <c r="Y415" i="1"/>
  <c r="Y414" i="1"/>
  <c r="Y413" i="1"/>
  <c r="Y412" i="1"/>
  <c r="Y411" i="1"/>
  <c r="Y410" i="1"/>
  <c r="Y409" i="1"/>
  <c r="Y408" i="1"/>
  <c r="X408" i="1"/>
  <c r="Y407" i="1"/>
  <c r="X407" i="1"/>
  <c r="Y406" i="1"/>
  <c r="X406" i="1"/>
  <c r="Y405" i="1"/>
  <c r="X405" i="1"/>
  <c r="Y404" i="1"/>
  <c r="X404" i="1"/>
  <c r="Y403" i="1"/>
  <c r="X403" i="1"/>
  <c r="Y402" i="1"/>
  <c r="X402" i="1"/>
  <c r="Y401" i="1"/>
  <c r="X401" i="1"/>
  <c r="Y400" i="1"/>
  <c r="X400" i="1"/>
  <c r="Y399" i="1"/>
  <c r="Y398" i="1"/>
  <c r="Y397" i="1"/>
  <c r="Y396" i="1"/>
  <c r="Y395" i="1"/>
  <c r="Y394" i="1"/>
  <c r="Y393" i="1"/>
  <c r="Y392" i="1"/>
  <c r="Y391" i="1"/>
  <c r="Y390" i="1"/>
  <c r="X390" i="1"/>
  <c r="Y389" i="1"/>
  <c r="X389" i="1"/>
  <c r="Y388" i="1"/>
  <c r="X388" i="1"/>
  <c r="Y387" i="1"/>
  <c r="X387" i="1"/>
  <c r="Y386" i="1"/>
  <c r="X386" i="1"/>
  <c r="Y385" i="1"/>
  <c r="X385" i="1"/>
  <c r="Y384" i="1"/>
  <c r="X384" i="1"/>
  <c r="Y383" i="1"/>
  <c r="X383" i="1"/>
  <c r="Y382" i="1"/>
  <c r="X382" i="1"/>
  <c r="Y381" i="1"/>
  <c r="Y380" i="1"/>
  <c r="Y379" i="1"/>
  <c r="Y378" i="1"/>
  <c r="Y377" i="1"/>
  <c r="Y376" i="1"/>
  <c r="Y375" i="1"/>
  <c r="Y374" i="1"/>
  <c r="Y373" i="1"/>
  <c r="Y372" i="1"/>
  <c r="X372" i="1"/>
  <c r="Y371" i="1"/>
  <c r="X371" i="1"/>
  <c r="Y370" i="1"/>
  <c r="X370" i="1"/>
  <c r="Y369" i="1"/>
  <c r="X369" i="1"/>
  <c r="Y368" i="1"/>
  <c r="X368" i="1"/>
  <c r="Y367" i="1"/>
  <c r="X367" i="1"/>
  <c r="Y366" i="1"/>
  <c r="X366" i="1"/>
  <c r="Y365" i="1"/>
  <c r="X365" i="1"/>
  <c r="Y363" i="1"/>
  <c r="Y362" i="1"/>
  <c r="Y361" i="1"/>
  <c r="Y360" i="1"/>
  <c r="Y359" i="1"/>
  <c r="Y358" i="1"/>
  <c r="Y357" i="1"/>
  <c r="Y356" i="1"/>
  <c r="Y355" i="1"/>
  <c r="Y354" i="1"/>
  <c r="X354" i="1"/>
  <c r="Y353" i="1"/>
  <c r="X353" i="1"/>
  <c r="Y352" i="1"/>
  <c r="X352" i="1"/>
  <c r="Y351" i="1"/>
  <c r="X351" i="1"/>
  <c r="Y350" i="1"/>
  <c r="X350" i="1"/>
  <c r="Y349" i="1"/>
  <c r="X349" i="1"/>
  <c r="Y348" i="1"/>
  <c r="X348" i="1"/>
  <c r="Y347" i="1"/>
  <c r="X347" i="1"/>
  <c r="Y346" i="1"/>
  <c r="X346" i="1"/>
  <c r="Y345" i="1"/>
  <c r="Y344" i="1"/>
  <c r="Y343" i="1"/>
  <c r="Y342" i="1"/>
  <c r="Y341" i="1"/>
  <c r="Y340" i="1"/>
  <c r="Y339" i="1"/>
  <c r="Y338" i="1"/>
  <c r="Y337" i="1"/>
  <c r="Y336" i="1"/>
  <c r="X336" i="1"/>
  <c r="Y335" i="1"/>
  <c r="X335" i="1"/>
  <c r="Y334" i="1"/>
  <c r="X334" i="1"/>
  <c r="Y333" i="1"/>
  <c r="X333" i="1"/>
  <c r="Y332" i="1"/>
  <c r="X332" i="1"/>
  <c r="Y331" i="1"/>
  <c r="X331" i="1"/>
  <c r="Y330" i="1"/>
  <c r="X330" i="1"/>
  <c r="Y329" i="1"/>
  <c r="X329" i="1"/>
  <c r="Y328" i="1"/>
  <c r="X328" i="1"/>
  <c r="Y327" i="1"/>
  <c r="Y326" i="1"/>
  <c r="Y325" i="1"/>
  <c r="Y324" i="1"/>
  <c r="Y323" i="1"/>
  <c r="Y322" i="1"/>
  <c r="Y321" i="1"/>
  <c r="Y320" i="1"/>
  <c r="Y319" i="1"/>
  <c r="X310" i="1"/>
  <c r="X311" i="1"/>
  <c r="X312" i="1"/>
  <c r="X313" i="1"/>
  <c r="X314" i="1"/>
  <c r="X315" i="1"/>
  <c r="X316" i="1"/>
  <c r="X317" i="1"/>
  <c r="X318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X300" i="1"/>
  <c r="Y299" i="1"/>
  <c r="X299" i="1"/>
  <c r="Y298" i="1"/>
  <c r="X298" i="1"/>
  <c r="Y297" i="1"/>
  <c r="X297" i="1"/>
  <c r="Y295" i="1"/>
  <c r="X295" i="1"/>
  <c r="Y294" i="1"/>
  <c r="X294" i="1"/>
  <c r="Y293" i="1"/>
  <c r="X293" i="1"/>
  <c r="Y292" i="1"/>
  <c r="X292" i="1"/>
  <c r="Y291" i="1"/>
  <c r="Y290" i="1"/>
  <c r="Y289" i="1"/>
  <c r="Y288" i="1"/>
  <c r="Y287" i="1"/>
  <c r="Y286" i="1"/>
  <c r="Y285" i="1"/>
  <c r="Y284" i="1"/>
  <c r="Y283" i="1"/>
  <c r="Y282" i="1"/>
  <c r="X282" i="1"/>
  <c r="Y281" i="1"/>
  <c r="X281" i="1"/>
  <c r="Y280" i="1"/>
  <c r="X280" i="1"/>
  <c r="Y279" i="1"/>
  <c r="X279" i="1"/>
  <c r="Y278" i="1"/>
  <c r="X278" i="1"/>
  <c r="Y277" i="1"/>
  <c r="X277" i="1"/>
  <c r="Y276" i="1"/>
  <c r="X276" i="1"/>
  <c r="Y275" i="1"/>
  <c r="X275" i="1"/>
  <c r="Y274" i="1"/>
  <c r="X274" i="1"/>
  <c r="Y273" i="1"/>
  <c r="Y272" i="1"/>
  <c r="Y271" i="1"/>
  <c r="Y270" i="1"/>
  <c r="Y269" i="1"/>
  <c r="Y268" i="1"/>
  <c r="Y267" i="1"/>
  <c r="Y266" i="1"/>
  <c r="Y265" i="1"/>
  <c r="Y264" i="1"/>
  <c r="X264" i="1"/>
  <c r="Y263" i="1"/>
  <c r="X263" i="1"/>
  <c r="Y261" i="1"/>
  <c r="X261" i="1"/>
  <c r="Y260" i="1"/>
  <c r="X260" i="1"/>
  <c r="Y259" i="1"/>
  <c r="X259" i="1"/>
  <c r="Y258" i="1"/>
  <c r="X258" i="1"/>
  <c r="Y257" i="1"/>
  <c r="X257" i="1"/>
  <c r="Y256" i="1"/>
  <c r="X256" i="1"/>
  <c r="Y255" i="1"/>
  <c r="Y254" i="1"/>
  <c r="Y253" i="1"/>
  <c r="Y252" i="1"/>
  <c r="Y251" i="1"/>
  <c r="Y250" i="1"/>
  <c r="Y249" i="1"/>
  <c r="Y248" i="1"/>
  <c r="Y247" i="1"/>
  <c r="Y246" i="1"/>
  <c r="X246" i="1"/>
  <c r="Y245" i="1"/>
  <c r="X245" i="1"/>
  <c r="Y244" i="1"/>
  <c r="X244" i="1"/>
  <c r="Y243" i="1"/>
  <c r="X243" i="1"/>
  <c r="Y242" i="1"/>
  <c r="X242" i="1"/>
  <c r="Y241" i="1"/>
  <c r="X241" i="1"/>
  <c r="Y240" i="1"/>
  <c r="X240" i="1"/>
  <c r="Y239" i="1"/>
  <c r="X239" i="1"/>
  <c r="Y238" i="1"/>
  <c r="X238" i="1"/>
  <c r="Y237" i="1"/>
  <c r="Y236" i="1"/>
  <c r="Y235" i="1"/>
  <c r="Y234" i="1"/>
  <c r="Y233" i="1"/>
  <c r="Y232" i="1"/>
  <c r="Y231" i="1"/>
  <c r="Y230" i="1"/>
  <c r="Y229" i="1"/>
  <c r="Y228" i="1"/>
  <c r="X228" i="1"/>
  <c r="Y227" i="1"/>
  <c r="X227" i="1"/>
  <c r="Y226" i="1"/>
  <c r="X226" i="1"/>
  <c r="Y225" i="1"/>
  <c r="X225" i="1"/>
  <c r="Y224" i="1"/>
  <c r="X224" i="1"/>
  <c r="Y223" i="1"/>
  <c r="X223" i="1"/>
  <c r="Y222" i="1"/>
  <c r="X222" i="1"/>
  <c r="Y221" i="1"/>
  <c r="X221" i="1"/>
  <c r="Y220" i="1"/>
  <c r="X220" i="1"/>
  <c r="Y219" i="1"/>
  <c r="Y218" i="1"/>
  <c r="Y217" i="1"/>
  <c r="Y216" i="1"/>
  <c r="Y215" i="1"/>
  <c r="Y214" i="1"/>
  <c r="Y213" i="1"/>
  <c r="Y212" i="1"/>
  <c r="Y211" i="1"/>
  <c r="Y210" i="1"/>
  <c r="X210" i="1"/>
  <c r="Y209" i="1"/>
  <c r="X209" i="1"/>
  <c r="Y208" i="1"/>
  <c r="X208" i="1"/>
  <c r="Y207" i="1"/>
  <c r="X207" i="1"/>
  <c r="Y206" i="1"/>
  <c r="X206" i="1"/>
  <c r="Y205" i="1"/>
  <c r="X205" i="1"/>
  <c r="Y204" i="1"/>
  <c r="X204" i="1"/>
  <c r="Y203" i="1"/>
  <c r="X203" i="1"/>
  <c r="Y202" i="1"/>
  <c r="X202" i="1"/>
  <c r="Y201" i="1"/>
  <c r="Y200" i="1"/>
  <c r="Y199" i="1"/>
  <c r="Y198" i="1"/>
  <c r="Y197" i="1"/>
  <c r="Y196" i="1"/>
  <c r="Y195" i="1"/>
  <c r="Y194" i="1"/>
  <c r="Y193" i="1"/>
  <c r="Y192" i="1"/>
  <c r="X192" i="1"/>
  <c r="Y191" i="1"/>
  <c r="X191" i="1"/>
  <c r="Y190" i="1"/>
  <c r="X190" i="1"/>
  <c r="Y189" i="1"/>
  <c r="X189" i="1"/>
  <c r="Y188" i="1"/>
  <c r="X188" i="1"/>
  <c r="Y187" i="1"/>
  <c r="X187" i="1"/>
  <c r="Y186" i="1"/>
  <c r="X186" i="1"/>
  <c r="Y185" i="1"/>
  <c r="X185" i="1"/>
  <c r="Y184" i="1"/>
  <c r="X184" i="1"/>
  <c r="Y183" i="1"/>
  <c r="Y182" i="1"/>
  <c r="Y181" i="1"/>
  <c r="Y180" i="1"/>
  <c r="Y179" i="1"/>
  <c r="Y178" i="1"/>
  <c r="Y177" i="1"/>
  <c r="Y176" i="1"/>
  <c r="Y175" i="1"/>
  <c r="Y174" i="1"/>
  <c r="X174" i="1"/>
  <c r="Y173" i="1"/>
  <c r="X173" i="1"/>
  <c r="Y172" i="1"/>
  <c r="X172" i="1"/>
  <c r="Y171" i="1"/>
  <c r="X171" i="1"/>
  <c r="Y170" i="1"/>
  <c r="X170" i="1"/>
  <c r="Y169" i="1"/>
  <c r="X169" i="1"/>
  <c r="Y168" i="1"/>
  <c r="X168" i="1"/>
  <c r="Y167" i="1"/>
  <c r="X167" i="1"/>
  <c r="Y166" i="1"/>
  <c r="X166" i="1"/>
  <c r="Y165" i="1"/>
  <c r="Y164" i="1"/>
  <c r="Y163" i="1"/>
  <c r="Y162" i="1"/>
  <c r="Y161" i="1"/>
  <c r="Y160" i="1"/>
  <c r="Y159" i="1"/>
  <c r="Y158" i="1"/>
  <c r="Y157" i="1"/>
  <c r="Y156" i="1"/>
  <c r="X156" i="1"/>
  <c r="Y155" i="1"/>
  <c r="X155" i="1"/>
  <c r="Y154" i="1"/>
  <c r="X154" i="1"/>
  <c r="Y153" i="1"/>
  <c r="X153" i="1"/>
  <c r="Y152" i="1"/>
  <c r="X152" i="1"/>
  <c r="Y151" i="1"/>
  <c r="X151" i="1"/>
  <c r="Y150" i="1"/>
  <c r="X150" i="1"/>
  <c r="Y149" i="1"/>
  <c r="X149" i="1"/>
  <c r="Y148" i="1"/>
  <c r="X148" i="1"/>
  <c r="Y147" i="1"/>
  <c r="Y146" i="1"/>
  <c r="Y145" i="1"/>
  <c r="Y144" i="1"/>
  <c r="Y143" i="1"/>
  <c r="Y142" i="1"/>
  <c r="Y141" i="1"/>
  <c r="Y140" i="1"/>
  <c r="Y139" i="1"/>
  <c r="Y138" i="1"/>
  <c r="X138" i="1"/>
  <c r="Y137" i="1"/>
  <c r="X137" i="1"/>
  <c r="Y136" i="1"/>
  <c r="X136" i="1"/>
  <c r="Y135" i="1"/>
  <c r="X135" i="1"/>
  <c r="Y134" i="1"/>
  <c r="X134" i="1"/>
  <c r="Y133" i="1"/>
  <c r="X133" i="1"/>
  <c r="Y132" i="1"/>
  <c r="X132" i="1"/>
  <c r="Y131" i="1"/>
  <c r="X131" i="1"/>
  <c r="Y130" i="1"/>
  <c r="X130" i="1"/>
  <c r="Y129" i="1"/>
  <c r="Y128" i="1"/>
  <c r="Y127" i="1"/>
  <c r="Y126" i="1"/>
  <c r="Y125" i="1"/>
  <c r="Y124" i="1"/>
  <c r="Y123" i="1"/>
  <c r="Y122" i="1"/>
  <c r="Y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Y110" i="1"/>
  <c r="Y109" i="1"/>
  <c r="Y108" i="1"/>
  <c r="Y107" i="1"/>
  <c r="Y106" i="1"/>
  <c r="Y105" i="1"/>
  <c r="Y104" i="1"/>
  <c r="Y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Y93" i="1"/>
  <c r="Y92" i="1"/>
  <c r="Y91" i="1"/>
  <c r="Y90" i="1"/>
  <c r="Y89" i="1"/>
  <c r="Y88" i="1"/>
  <c r="Y87" i="1"/>
  <c r="Y86" i="1"/>
  <c r="Y85" i="1"/>
  <c r="Y84" i="1"/>
  <c r="X84" i="1"/>
  <c r="Y83" i="1"/>
  <c r="X83" i="1"/>
  <c r="Y82" i="1"/>
  <c r="X82" i="1"/>
  <c r="Y81" i="1"/>
  <c r="X81" i="1"/>
  <c r="Y80" i="1"/>
  <c r="X80" i="1"/>
  <c r="Y79" i="1"/>
  <c r="X79" i="1"/>
  <c r="Y78" i="1"/>
  <c r="X78" i="1"/>
  <c r="Y77" i="1"/>
  <c r="X77" i="1"/>
  <c r="Y76" i="1"/>
  <c r="X76" i="1"/>
  <c r="Y75" i="1"/>
  <c r="Y74" i="1"/>
  <c r="Y73" i="1"/>
  <c r="Y72" i="1"/>
  <c r="Y71" i="1"/>
  <c r="Y70" i="1"/>
  <c r="Y69" i="1"/>
  <c r="Y68" i="1"/>
  <c r="Y67" i="1"/>
  <c r="Y66" i="1"/>
  <c r="X66" i="1"/>
  <c r="Y65" i="1"/>
  <c r="X65" i="1"/>
  <c r="Y64" i="1"/>
  <c r="X64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Y56" i="1"/>
  <c r="Y55" i="1"/>
  <c r="Y54" i="1"/>
  <c r="Y53" i="1"/>
  <c r="Y52" i="1"/>
  <c r="Y51" i="1"/>
  <c r="Y50" i="1"/>
  <c r="Y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Y38" i="1"/>
  <c r="Y37" i="1"/>
  <c r="Y36" i="1"/>
  <c r="Y35" i="1"/>
  <c r="Y34" i="1"/>
  <c r="Y33" i="1"/>
  <c r="Y32" i="1"/>
  <c r="Y31" i="1"/>
  <c r="Y23" i="1"/>
  <c r="Y24" i="1"/>
  <c r="Y25" i="1"/>
  <c r="Y26" i="1"/>
  <c r="Y27" i="1"/>
  <c r="Y28" i="1"/>
  <c r="Y29" i="1"/>
  <c r="Y30" i="1"/>
  <c r="Y22" i="1"/>
  <c r="Y20" i="1"/>
  <c r="Y21" i="1"/>
  <c r="Y19" i="1"/>
  <c r="Y14" i="1"/>
  <c r="Y15" i="1"/>
  <c r="Y16" i="1"/>
  <c r="Y17" i="1"/>
  <c r="Y18" i="1"/>
  <c r="Y13" i="1"/>
  <c r="X27" i="1"/>
  <c r="X28" i="1"/>
  <c r="X29" i="1"/>
  <c r="X30" i="1"/>
  <c r="N300" i="1"/>
  <c r="N299" i="1"/>
  <c r="N298" i="1"/>
  <c r="N297" i="1"/>
  <c r="N296" i="1"/>
  <c r="N295" i="1"/>
  <c r="N294" i="1"/>
  <c r="N293" i="1"/>
  <c r="N292" i="1"/>
  <c r="N282" i="1"/>
  <c r="N281" i="1"/>
  <c r="N280" i="1"/>
  <c r="N279" i="1"/>
  <c r="N278" i="1"/>
  <c r="N277" i="1"/>
  <c r="N276" i="1"/>
  <c r="N275" i="1"/>
  <c r="N274" i="1"/>
  <c r="N264" i="1"/>
  <c r="N263" i="1"/>
  <c r="N262" i="1"/>
  <c r="N261" i="1"/>
  <c r="N260" i="1"/>
  <c r="N259" i="1"/>
  <c r="N258" i="1"/>
  <c r="N257" i="1"/>
  <c r="N256" i="1"/>
  <c r="N246" i="1"/>
  <c r="N245" i="1"/>
  <c r="N244" i="1"/>
  <c r="N243" i="1"/>
  <c r="N242" i="1"/>
  <c r="N241" i="1"/>
  <c r="N240" i="1"/>
  <c r="N239" i="1"/>
  <c r="N238" i="1"/>
  <c r="N228" i="1"/>
  <c r="N227" i="1"/>
  <c r="N226" i="1"/>
  <c r="N225" i="1"/>
  <c r="N224" i="1"/>
  <c r="N223" i="1"/>
  <c r="N222" i="1"/>
  <c r="N221" i="1"/>
  <c r="N220" i="1"/>
  <c r="N210" i="1"/>
  <c r="N209" i="1"/>
  <c r="N208" i="1"/>
  <c r="N207" i="1"/>
  <c r="N206" i="1"/>
  <c r="N205" i="1"/>
  <c r="N204" i="1"/>
  <c r="N203" i="1"/>
  <c r="N202" i="1"/>
  <c r="N192" i="1"/>
  <c r="N191" i="1"/>
  <c r="N190" i="1"/>
  <c r="N189" i="1"/>
  <c r="N188" i="1"/>
  <c r="N187" i="1"/>
  <c r="N186" i="1"/>
  <c r="N185" i="1"/>
  <c r="N184" i="1"/>
  <c r="N174" i="1"/>
  <c r="N173" i="1"/>
  <c r="N172" i="1"/>
  <c r="N171" i="1"/>
  <c r="N170" i="1"/>
  <c r="N169" i="1"/>
  <c r="N168" i="1"/>
  <c r="N167" i="1"/>
  <c r="N166" i="1"/>
  <c r="N156" i="1"/>
  <c r="N155" i="1"/>
  <c r="N154" i="1"/>
  <c r="N153" i="1"/>
  <c r="N152" i="1"/>
  <c r="N151" i="1"/>
  <c r="N150" i="1"/>
  <c r="N149" i="1"/>
  <c r="N148" i="1"/>
  <c r="N138" i="1"/>
  <c r="N137" i="1"/>
  <c r="N136" i="1"/>
  <c r="N135" i="1"/>
  <c r="N134" i="1"/>
  <c r="N133" i="1"/>
  <c r="N132" i="1"/>
  <c r="N131" i="1"/>
  <c r="N130" i="1"/>
  <c r="N120" i="1"/>
  <c r="N119" i="1"/>
  <c r="N118" i="1"/>
  <c r="N117" i="1"/>
  <c r="N116" i="1"/>
  <c r="N115" i="1"/>
  <c r="N114" i="1"/>
  <c r="N113" i="1"/>
  <c r="N112" i="1"/>
  <c r="N102" i="1"/>
  <c r="N101" i="1"/>
  <c r="N100" i="1"/>
  <c r="N99" i="1"/>
  <c r="N98" i="1"/>
  <c r="N97" i="1"/>
  <c r="N96" i="1"/>
  <c r="N95" i="1"/>
  <c r="N94" i="1"/>
  <c r="N84" i="1"/>
  <c r="N83" i="1"/>
  <c r="N82" i="1"/>
  <c r="N81" i="1"/>
  <c r="N80" i="1"/>
  <c r="N79" i="1"/>
  <c r="N78" i="1"/>
  <c r="N77" i="1"/>
  <c r="N76" i="1"/>
  <c r="N66" i="1"/>
  <c r="N65" i="1"/>
  <c r="N64" i="1"/>
  <c r="N63" i="1"/>
  <c r="N62" i="1"/>
  <c r="N61" i="1"/>
  <c r="N60" i="1"/>
  <c r="N59" i="1"/>
  <c r="N58" i="1"/>
  <c r="N48" i="1"/>
  <c r="N47" i="1"/>
  <c r="N46" i="1"/>
  <c r="N45" i="1"/>
  <c r="N44" i="1"/>
  <c r="N43" i="1"/>
  <c r="N42" i="1"/>
  <c r="N41" i="1"/>
  <c r="N40" i="1"/>
  <c r="N23" i="1"/>
  <c r="N24" i="1"/>
  <c r="N25" i="1"/>
  <c r="N26" i="1"/>
  <c r="N27" i="1"/>
  <c r="N28" i="1"/>
  <c r="N29" i="1"/>
  <c r="N30" i="1"/>
  <c r="N22" i="1"/>
  <c r="T819" i="1" l="1"/>
  <c r="T677" i="1"/>
  <c r="T706" i="1"/>
  <c r="T726" i="1"/>
  <c r="T601" i="1"/>
  <c r="T621" i="1"/>
  <c r="T641" i="1"/>
  <c r="T533" i="1"/>
  <c r="T582" i="1"/>
  <c r="T562" i="1"/>
  <c r="U545" i="1"/>
  <c r="U565" i="1"/>
  <c r="T459" i="1"/>
  <c r="T479" i="1"/>
  <c r="T508" i="1"/>
  <c r="T389" i="1"/>
  <c r="T438" i="1"/>
  <c r="T317" i="1"/>
  <c r="T346" i="1"/>
  <c r="T366" i="1"/>
  <c r="T294" i="1"/>
  <c r="T239" i="1"/>
  <c r="T259" i="1"/>
  <c r="T299" i="1"/>
  <c r="T169" i="1"/>
  <c r="T189" i="1"/>
  <c r="T209" i="1"/>
  <c r="T99" i="1"/>
  <c r="T119" i="1"/>
  <c r="T148" i="1"/>
  <c r="T78" i="1"/>
  <c r="T65" i="1"/>
  <c r="U46" i="1"/>
  <c r="T40" i="1"/>
  <c r="X22" i="1"/>
  <c r="X23" i="1"/>
  <c r="X24" i="1"/>
  <c r="X25" i="1"/>
  <c r="X26" i="1"/>
</calcChain>
</file>

<file path=xl/sharedStrings.xml><?xml version="1.0" encoding="utf-8"?>
<sst xmlns="http://schemas.openxmlformats.org/spreadsheetml/2006/main" count="11821" uniqueCount="84">
  <si>
    <t>Pre/post-harvest</t>
  </si>
  <si>
    <t>pre-harvest</t>
  </si>
  <si>
    <t>post-harvest</t>
  </si>
  <si>
    <t>Scoring dates 2022</t>
  </si>
  <si>
    <t>Scoring dates 2023</t>
  </si>
  <si>
    <t>Scoring method</t>
  </si>
  <si>
    <t>important: why was it scored on a certain date</t>
  </si>
  <si>
    <t>Data group</t>
  </si>
  <si>
    <t>RE/FE</t>
  </si>
  <si>
    <t>plant development</t>
  </si>
  <si>
    <t>Data type</t>
  </si>
  <si>
    <t>factor</t>
  </si>
  <si>
    <t>numeric</t>
  </si>
  <si>
    <t>Applies to</t>
  </si>
  <si>
    <t>mixed</t>
  </si>
  <si>
    <t>oat</t>
  </si>
  <si>
    <t>Comments</t>
  </si>
  <si>
    <t>continual across year, season, location, field</t>
  </si>
  <si>
    <t>3 oat varieties</t>
  </si>
  <si>
    <t>1 to 4</t>
  </si>
  <si>
    <t>year</t>
  </si>
  <si>
    <t>location</t>
  </si>
  <si>
    <t>block_ID</t>
  </si>
  <si>
    <t>treatment</t>
  </si>
  <si>
    <t>cv_oat</t>
  </si>
  <si>
    <t>stand</t>
  </si>
  <si>
    <t>block</t>
  </si>
  <si>
    <t>fertilizer</t>
  </si>
  <si>
    <t>oat_tha</t>
  </si>
  <si>
    <t>ler_N</t>
  </si>
  <si>
    <t>lupin</t>
  </si>
  <si>
    <t>cv_lupin</t>
  </si>
  <si>
    <t>lupin_tha</t>
  </si>
  <si>
    <t>Seegr</t>
  </si>
  <si>
    <t>Re</t>
  </si>
  <si>
    <t>Bison</t>
  </si>
  <si>
    <t>Lion</t>
  </si>
  <si>
    <t>Troll</t>
  </si>
  <si>
    <t>Lunabor</t>
  </si>
  <si>
    <t>Probor</t>
  </si>
  <si>
    <t>Jowisz</t>
  </si>
  <si>
    <t>pure</t>
  </si>
  <si>
    <t>no</t>
  </si>
  <si>
    <t>yes</t>
  </si>
  <si>
    <t>cv_all</t>
  </si>
  <si>
    <t>NA</t>
  </si>
  <si>
    <t>Seegr or Re</t>
  </si>
  <si>
    <t>3 lupin varieties</t>
  </si>
  <si>
    <t>pure (= monoculture); 
mixed = mixed culture</t>
  </si>
  <si>
    <t>mean of height</t>
  </si>
  <si>
    <t>yield parameters</t>
  </si>
  <si>
    <t>yield quality and food safety</t>
  </si>
  <si>
    <t>C</t>
  </si>
  <si>
    <t>use</t>
  </si>
  <si>
    <t>int</t>
  </si>
  <si>
    <t>Novi</t>
  </si>
  <si>
    <t>Gross</t>
  </si>
  <si>
    <t>height_difference_oat_lupin</t>
  </si>
  <si>
    <t>Vilbel</t>
  </si>
  <si>
    <t>final_height_oat_cm</t>
  </si>
  <si>
    <t>final_height_lupin_cm</t>
  </si>
  <si>
    <t>total_yield_tha</t>
  </si>
  <si>
    <t>lupin_proportion</t>
  </si>
  <si>
    <t>Bison, Lunabor</t>
  </si>
  <si>
    <t>Bison, Probor</t>
  </si>
  <si>
    <t>Bison, Jowisz</t>
  </si>
  <si>
    <t>Lion, Lunabor</t>
  </si>
  <si>
    <t>Lion, Probor</t>
  </si>
  <si>
    <t>Lion, Jowisz</t>
  </si>
  <si>
    <t>Troll, Lunabor</t>
  </si>
  <si>
    <t>Troll, Probor</t>
  </si>
  <si>
    <t>Troll, Jowisz</t>
  </si>
  <si>
    <t>ler</t>
  </si>
  <si>
    <t>na</t>
  </si>
  <si>
    <t>cv_oat_N</t>
  </si>
  <si>
    <t>Bison_N</t>
  </si>
  <si>
    <t>Lion_N</t>
  </si>
  <si>
    <t>Troll_N</t>
  </si>
  <si>
    <t>all</t>
  </si>
  <si>
    <t>CPR_oat</t>
  </si>
  <si>
    <t>CPR_oat_N</t>
  </si>
  <si>
    <t>CPR_lupin</t>
  </si>
  <si>
    <t>CPR</t>
  </si>
  <si>
    <t>CPR_N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</si>
</sst>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quotePrefix="1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0" fillId="2" borderId="0" xfId="0" applyFill="1"/>
  </cellXfs>
  <cellStyles count="3">
    <cellStyle name="Normal" xfId="0" builtinId="0"/>
    <cellStyle name="Standard 2" xfId="1" xr:uid="{E595FCCC-A0F7-4C3C-BFF8-B4D85ACCCB8A}"/>
    <cellStyle name="Standard 3" xfId="2" xr:uid="{E831AD4F-92CA-4342-B510-3DBA88FB5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EFD8-0F74-4EF2-AB15-E43E1719852D}">
  <dimension ref="A1:Z948"/>
  <sheetViews>
    <sheetView tabSelected="1" zoomScale="98" zoomScaleNormal="98" workbookViewId="0">
      <pane xSplit="11" ySplit="12" topLeftCell="N928" activePane="bottomRight" state="frozen"/>
      <selection activeCell="A12" sqref="A12"/>
      <selection pane="topRight" activeCell="K12" sqref="K12"/>
      <selection pane="bottomLeft" activeCell="A13" sqref="A13"/>
      <selection pane="bottomRight" activeCell="U7" sqref="U7"/>
    </sheetView>
  </sheetViews>
  <sheetFormatPr baseColWidth="10" defaultColWidth="11.33203125" defaultRowHeight="14" x14ac:dyDescent="0.15"/>
  <sheetData>
    <row r="1" spans="1:26" x14ac:dyDescent="0.15">
      <c r="A1" s="8" t="s">
        <v>0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</row>
    <row r="2" spans="1:26" x14ac:dyDescent="0.15">
      <c r="A2" s="8" t="s">
        <v>3</v>
      </c>
      <c r="L2" s="9"/>
      <c r="M2" s="9"/>
      <c r="N2" s="9"/>
      <c r="Y2" s="9"/>
    </row>
    <row r="3" spans="1:26" x14ac:dyDescent="0.15">
      <c r="A3" s="8" t="s">
        <v>4</v>
      </c>
      <c r="L3" s="9"/>
      <c r="M3" s="9"/>
      <c r="N3" s="9"/>
      <c r="Y3" s="9"/>
    </row>
    <row r="4" spans="1:26" x14ac:dyDescent="0.15">
      <c r="A4" s="8" t="s">
        <v>5</v>
      </c>
      <c r="D4" t="s">
        <v>6</v>
      </c>
      <c r="L4" t="s">
        <v>49</v>
      </c>
      <c r="M4" t="s">
        <v>49</v>
      </c>
      <c r="N4" t="s">
        <v>49</v>
      </c>
    </row>
    <row r="5" spans="1:26" x14ac:dyDescent="0.15">
      <c r="A5" s="8" t="s">
        <v>7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9</v>
      </c>
      <c r="M5" t="s">
        <v>9</v>
      </c>
      <c r="N5" t="s">
        <v>9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51</v>
      </c>
    </row>
    <row r="6" spans="1:26" x14ac:dyDescent="0.15">
      <c r="A6" s="8" t="s">
        <v>10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s="10" t="s">
        <v>12</v>
      </c>
      <c r="M6" s="10" t="s">
        <v>12</v>
      </c>
      <c r="N6" s="10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</row>
    <row r="7" spans="1:26" x14ac:dyDescent="0.15">
      <c r="A7" s="8" t="s">
        <v>13</v>
      </c>
      <c r="L7" t="s">
        <v>15</v>
      </c>
      <c r="M7" t="s">
        <v>30</v>
      </c>
      <c r="N7" t="s">
        <v>30</v>
      </c>
      <c r="O7" t="s">
        <v>15</v>
      </c>
      <c r="P7" t="s">
        <v>30</v>
      </c>
      <c r="Q7" t="s">
        <v>15</v>
      </c>
      <c r="R7" t="s">
        <v>15</v>
      </c>
      <c r="S7" t="s">
        <v>30</v>
      </c>
      <c r="T7" t="s">
        <v>78</v>
      </c>
      <c r="U7" t="s">
        <v>78</v>
      </c>
      <c r="V7" t="s">
        <v>14</v>
      </c>
      <c r="W7" t="s">
        <v>14</v>
      </c>
      <c r="X7" t="s">
        <v>14</v>
      </c>
      <c r="Y7" s="20" t="s">
        <v>78</v>
      </c>
    </row>
    <row r="8" spans="1:26" ht="36.5" customHeight="1" x14ac:dyDescent="0.15">
      <c r="A8" s="8" t="s">
        <v>16</v>
      </c>
      <c r="B8" t="s">
        <v>46</v>
      </c>
      <c r="C8" t="s">
        <v>17</v>
      </c>
      <c r="D8" t="s">
        <v>17</v>
      </c>
      <c r="E8" t="s">
        <v>18</v>
      </c>
      <c r="F8" t="s">
        <v>47</v>
      </c>
      <c r="G8" s="11" t="s">
        <v>48</v>
      </c>
      <c r="H8" s="11" t="s">
        <v>48</v>
      </c>
      <c r="I8" t="s">
        <v>19</v>
      </c>
      <c r="J8" s="12"/>
    </row>
    <row r="9" spans="1:26" x14ac:dyDescent="0.15">
      <c r="A9" s="8" t="s">
        <v>52</v>
      </c>
      <c r="I9" s="11"/>
      <c r="J9" s="12"/>
    </row>
    <row r="10" spans="1:26" x14ac:dyDescent="0.15">
      <c r="A10" s="13" t="s">
        <v>53</v>
      </c>
      <c r="I10" s="11"/>
      <c r="J10" s="12"/>
    </row>
    <row r="11" spans="1:26" x14ac:dyDescent="0.15">
      <c r="A11" s="8" t="s">
        <v>54</v>
      </c>
      <c r="I11" s="11"/>
      <c r="J11" s="12"/>
      <c r="O11" s="14"/>
    </row>
    <row r="12" spans="1:26" s="2" customFormat="1" ht="67.5" customHeight="1" x14ac:dyDescent="0.15">
      <c r="A12" s="15" t="s">
        <v>20</v>
      </c>
      <c r="B12" s="15" t="s">
        <v>21</v>
      </c>
      <c r="C12" s="15" t="s">
        <v>22</v>
      </c>
      <c r="D12" s="15" t="s">
        <v>23</v>
      </c>
      <c r="E12" s="15" t="s">
        <v>24</v>
      </c>
      <c r="F12" s="15" t="s">
        <v>31</v>
      </c>
      <c r="G12" s="15" t="s">
        <v>25</v>
      </c>
      <c r="H12" s="15" t="s">
        <v>74</v>
      </c>
      <c r="I12" s="15" t="s">
        <v>26</v>
      </c>
      <c r="J12" s="16" t="s">
        <v>44</v>
      </c>
      <c r="K12" s="15" t="s">
        <v>27</v>
      </c>
      <c r="L12" s="15" t="s">
        <v>59</v>
      </c>
      <c r="M12" s="15" t="s">
        <v>60</v>
      </c>
      <c r="N12" s="15" t="s">
        <v>57</v>
      </c>
      <c r="O12" s="15" t="s">
        <v>28</v>
      </c>
      <c r="P12" s="15" t="s">
        <v>32</v>
      </c>
      <c r="Q12" s="15" t="s">
        <v>79</v>
      </c>
      <c r="R12" s="15" t="s">
        <v>80</v>
      </c>
      <c r="S12" s="15" t="s">
        <v>81</v>
      </c>
      <c r="T12" s="15" t="s">
        <v>82</v>
      </c>
      <c r="U12" s="15" t="s">
        <v>83</v>
      </c>
      <c r="V12" s="15" t="s">
        <v>72</v>
      </c>
      <c r="W12" s="15" t="s">
        <v>29</v>
      </c>
      <c r="X12" s="15" t="s">
        <v>62</v>
      </c>
      <c r="Y12" s="15" t="s">
        <v>61</v>
      </c>
      <c r="Z12"/>
    </row>
    <row r="13" spans="1:26" x14ac:dyDescent="0.15">
      <c r="A13" s="1">
        <v>2022</v>
      </c>
      <c r="B13" s="1" t="s">
        <v>33</v>
      </c>
      <c r="C13" s="1">
        <v>1</v>
      </c>
      <c r="D13" s="1">
        <v>1</v>
      </c>
      <c r="E13" s="1" t="s">
        <v>35</v>
      </c>
      <c r="F13" s="1"/>
      <c r="G13" s="1" t="s">
        <v>41</v>
      </c>
      <c r="H13" s="1" t="s">
        <v>35</v>
      </c>
      <c r="I13" s="1">
        <v>1</v>
      </c>
      <c r="J13" s="3" t="s">
        <v>35</v>
      </c>
      <c r="K13" s="1" t="s">
        <v>42</v>
      </c>
      <c r="L13" s="1">
        <v>109</v>
      </c>
      <c r="M13" s="1" t="s">
        <v>45</v>
      </c>
      <c r="N13" s="7" t="s">
        <v>45</v>
      </c>
      <c r="O13" s="6">
        <v>4.4444444444444455</v>
      </c>
      <c r="P13" s="6" t="s">
        <v>45</v>
      </c>
      <c r="Q13" s="6" t="s">
        <v>45</v>
      </c>
      <c r="R13" s="6" t="s">
        <v>45</v>
      </c>
      <c r="S13" s="6" t="s">
        <v>45</v>
      </c>
      <c r="T13" s="6" t="s">
        <v>45</v>
      </c>
      <c r="U13" s="6" t="s">
        <v>45</v>
      </c>
      <c r="V13" s="1" t="s">
        <v>45</v>
      </c>
      <c r="W13" s="1" t="s">
        <v>45</v>
      </c>
      <c r="X13" s="6" t="s">
        <v>45</v>
      </c>
      <c r="Y13" s="6">
        <f>O13</f>
        <v>4.4444444444444455</v>
      </c>
    </row>
    <row r="14" spans="1:26" x14ac:dyDescent="0.15">
      <c r="A14" s="1">
        <v>2022</v>
      </c>
      <c r="B14" s="1" t="s">
        <v>33</v>
      </c>
      <c r="C14" s="1">
        <v>1</v>
      </c>
      <c r="D14" s="1">
        <v>2</v>
      </c>
      <c r="E14" s="1" t="s">
        <v>36</v>
      </c>
      <c r="F14" s="1"/>
      <c r="G14" s="1" t="s">
        <v>41</v>
      </c>
      <c r="H14" s="1" t="s">
        <v>36</v>
      </c>
      <c r="I14" s="1">
        <v>1</v>
      </c>
      <c r="J14" s="3" t="s">
        <v>36</v>
      </c>
      <c r="K14" s="1" t="s">
        <v>42</v>
      </c>
      <c r="L14" s="1">
        <v>105</v>
      </c>
      <c r="M14" s="1" t="s">
        <v>45</v>
      </c>
      <c r="N14" s="7" t="s">
        <v>45</v>
      </c>
      <c r="O14" s="6">
        <v>5.4166666666666679</v>
      </c>
      <c r="P14" s="6" t="s">
        <v>45</v>
      </c>
      <c r="Q14" s="6" t="s">
        <v>45</v>
      </c>
      <c r="R14" s="6" t="s">
        <v>45</v>
      </c>
      <c r="S14" s="6" t="s">
        <v>45</v>
      </c>
      <c r="T14" s="6" t="s">
        <v>45</v>
      </c>
      <c r="U14" s="6" t="s">
        <v>45</v>
      </c>
      <c r="V14" s="1" t="s">
        <v>45</v>
      </c>
      <c r="W14" s="1" t="s">
        <v>45</v>
      </c>
      <c r="X14" s="6" t="s">
        <v>45</v>
      </c>
      <c r="Y14" s="6">
        <f t="shared" ref="Y14:Y18" si="0">O14</f>
        <v>5.4166666666666679</v>
      </c>
    </row>
    <row r="15" spans="1:26" x14ac:dyDescent="0.15">
      <c r="A15" s="1">
        <v>2022</v>
      </c>
      <c r="B15" s="1" t="s">
        <v>33</v>
      </c>
      <c r="C15" s="1">
        <v>1</v>
      </c>
      <c r="D15" s="1">
        <v>3</v>
      </c>
      <c r="E15" s="1" t="s">
        <v>37</v>
      </c>
      <c r="F15" s="1"/>
      <c r="G15" s="1" t="s">
        <v>41</v>
      </c>
      <c r="H15" s="1" t="s">
        <v>37</v>
      </c>
      <c r="I15" s="1">
        <v>1</v>
      </c>
      <c r="J15" s="3" t="s">
        <v>37</v>
      </c>
      <c r="K15" s="1" t="s">
        <v>42</v>
      </c>
      <c r="L15" s="1">
        <v>88</v>
      </c>
      <c r="M15" s="1" t="s">
        <v>45</v>
      </c>
      <c r="N15" s="7" t="s">
        <v>45</v>
      </c>
      <c r="O15" s="6">
        <v>4.0277777777777777</v>
      </c>
      <c r="P15" s="6" t="s">
        <v>45</v>
      </c>
      <c r="Q15" s="6" t="s">
        <v>45</v>
      </c>
      <c r="R15" s="6" t="s">
        <v>45</v>
      </c>
      <c r="S15" s="6" t="s">
        <v>45</v>
      </c>
      <c r="T15" s="6" t="s">
        <v>45</v>
      </c>
      <c r="U15" s="6" t="s">
        <v>45</v>
      </c>
      <c r="V15" s="1" t="s">
        <v>45</v>
      </c>
      <c r="W15" s="1" t="s">
        <v>45</v>
      </c>
      <c r="X15" s="6" t="s">
        <v>45</v>
      </c>
      <c r="Y15" s="6">
        <f t="shared" si="0"/>
        <v>4.0277777777777777</v>
      </c>
    </row>
    <row r="16" spans="1:26" x14ac:dyDescent="0.15">
      <c r="A16" s="1">
        <v>2022</v>
      </c>
      <c r="B16" s="1" t="s">
        <v>33</v>
      </c>
      <c r="C16" s="1">
        <v>1</v>
      </c>
      <c r="D16" s="1">
        <v>4</v>
      </c>
      <c r="E16" s="1" t="s">
        <v>35</v>
      </c>
      <c r="F16" s="1"/>
      <c r="G16" s="1" t="s">
        <v>41</v>
      </c>
      <c r="H16" s="1" t="s">
        <v>75</v>
      </c>
      <c r="I16" s="1">
        <v>1</v>
      </c>
      <c r="J16" s="3" t="s">
        <v>35</v>
      </c>
      <c r="K16" s="1" t="s">
        <v>43</v>
      </c>
      <c r="L16" s="1">
        <v>122</v>
      </c>
      <c r="M16" s="1" t="s">
        <v>45</v>
      </c>
      <c r="N16" s="7" t="s">
        <v>45</v>
      </c>
      <c r="O16" s="1">
        <v>5.1388888888888893</v>
      </c>
      <c r="P16" s="6" t="s">
        <v>45</v>
      </c>
      <c r="Q16" s="6" t="s">
        <v>45</v>
      </c>
      <c r="R16" s="6" t="s">
        <v>45</v>
      </c>
      <c r="S16" s="6" t="s">
        <v>45</v>
      </c>
      <c r="T16" s="6" t="s">
        <v>45</v>
      </c>
      <c r="U16" s="6" t="s">
        <v>45</v>
      </c>
      <c r="V16" s="1" t="s">
        <v>45</v>
      </c>
      <c r="W16" s="1" t="s">
        <v>45</v>
      </c>
      <c r="X16" s="1" t="s">
        <v>45</v>
      </c>
      <c r="Y16" s="6">
        <f t="shared" si="0"/>
        <v>5.1388888888888893</v>
      </c>
    </row>
    <row r="17" spans="1:25" x14ac:dyDescent="0.15">
      <c r="A17" s="1">
        <v>2022</v>
      </c>
      <c r="B17" s="1" t="s">
        <v>33</v>
      </c>
      <c r="C17" s="1">
        <v>1</v>
      </c>
      <c r="D17" s="1">
        <v>5</v>
      </c>
      <c r="E17" s="1" t="s">
        <v>36</v>
      </c>
      <c r="F17" s="1"/>
      <c r="G17" s="1" t="s">
        <v>41</v>
      </c>
      <c r="H17" s="1" t="s">
        <v>76</v>
      </c>
      <c r="I17" s="1">
        <v>1</v>
      </c>
      <c r="J17" s="3" t="s">
        <v>36</v>
      </c>
      <c r="K17" s="1" t="s">
        <v>43</v>
      </c>
      <c r="L17" s="1">
        <v>83</v>
      </c>
      <c r="M17" s="1" t="s">
        <v>45</v>
      </c>
      <c r="N17" s="7" t="s">
        <v>45</v>
      </c>
      <c r="O17" s="1">
        <v>6.5277777777777786</v>
      </c>
      <c r="P17" s="6" t="s">
        <v>45</v>
      </c>
      <c r="Q17" s="6" t="s">
        <v>45</v>
      </c>
      <c r="R17" s="6" t="s">
        <v>45</v>
      </c>
      <c r="S17" s="6" t="s">
        <v>45</v>
      </c>
      <c r="T17" s="6" t="s">
        <v>45</v>
      </c>
      <c r="U17" s="6" t="s">
        <v>45</v>
      </c>
      <c r="V17" s="1" t="s">
        <v>45</v>
      </c>
      <c r="W17" s="1" t="s">
        <v>45</v>
      </c>
      <c r="X17" s="1" t="s">
        <v>45</v>
      </c>
      <c r="Y17" s="6">
        <f t="shared" si="0"/>
        <v>6.5277777777777786</v>
      </c>
    </row>
    <row r="18" spans="1:25" x14ac:dyDescent="0.15">
      <c r="A18" s="1">
        <v>2022</v>
      </c>
      <c r="B18" s="1" t="s">
        <v>33</v>
      </c>
      <c r="C18" s="1">
        <v>1</v>
      </c>
      <c r="D18" s="1">
        <v>6</v>
      </c>
      <c r="E18" s="1" t="s">
        <v>37</v>
      </c>
      <c r="F18" s="1"/>
      <c r="G18" s="1" t="s">
        <v>41</v>
      </c>
      <c r="H18" s="1" t="s">
        <v>77</v>
      </c>
      <c r="I18" s="1">
        <v>1</v>
      </c>
      <c r="J18" s="3" t="s">
        <v>37</v>
      </c>
      <c r="K18" s="1" t="s">
        <v>43</v>
      </c>
      <c r="L18" s="1">
        <v>88</v>
      </c>
      <c r="M18" s="1" t="s">
        <v>45</v>
      </c>
      <c r="N18" s="7" t="s">
        <v>45</v>
      </c>
      <c r="O18" s="1">
        <v>5.4166666666666679</v>
      </c>
      <c r="P18" s="6" t="s">
        <v>45</v>
      </c>
      <c r="Q18" s="6" t="s">
        <v>45</v>
      </c>
      <c r="R18" s="6" t="s">
        <v>45</v>
      </c>
      <c r="S18" s="6" t="s">
        <v>45</v>
      </c>
      <c r="T18" s="6" t="s">
        <v>45</v>
      </c>
      <c r="U18" s="6" t="s">
        <v>45</v>
      </c>
      <c r="V18" s="1" t="s">
        <v>45</v>
      </c>
      <c r="W18" s="1" t="s">
        <v>45</v>
      </c>
      <c r="X18" s="1" t="s">
        <v>45</v>
      </c>
      <c r="Y18" s="6">
        <f t="shared" si="0"/>
        <v>5.4166666666666679</v>
      </c>
    </row>
    <row r="19" spans="1:25" x14ac:dyDescent="0.15">
      <c r="A19" s="1">
        <v>2022</v>
      </c>
      <c r="B19" s="1" t="s">
        <v>33</v>
      </c>
      <c r="C19" s="1">
        <v>1</v>
      </c>
      <c r="D19" s="1">
        <v>7</v>
      </c>
      <c r="E19" s="1"/>
      <c r="F19" s="1" t="s">
        <v>38</v>
      </c>
      <c r="G19" s="1" t="s">
        <v>41</v>
      </c>
      <c r="H19" s="1"/>
      <c r="I19" s="1">
        <v>1</v>
      </c>
      <c r="J19" s="3" t="s">
        <v>38</v>
      </c>
      <c r="K19" s="1" t="s">
        <v>42</v>
      </c>
      <c r="L19" s="1" t="s">
        <v>45</v>
      </c>
      <c r="M19" s="1">
        <v>56</v>
      </c>
      <c r="N19" s="7" t="s">
        <v>45</v>
      </c>
      <c r="O19" s="6" t="s">
        <v>45</v>
      </c>
      <c r="P19" s="6">
        <v>3.1944444444444446</v>
      </c>
      <c r="Q19" s="6" t="s">
        <v>45</v>
      </c>
      <c r="R19" s="6" t="s">
        <v>45</v>
      </c>
      <c r="S19" s="6" t="s">
        <v>45</v>
      </c>
      <c r="T19" s="6" t="s">
        <v>45</v>
      </c>
      <c r="U19" s="6" t="s">
        <v>45</v>
      </c>
      <c r="V19" s="1" t="s">
        <v>45</v>
      </c>
      <c r="W19" s="1" t="s">
        <v>45</v>
      </c>
      <c r="X19" s="1" t="s">
        <v>45</v>
      </c>
      <c r="Y19" s="6">
        <f>P19</f>
        <v>3.1944444444444446</v>
      </c>
    </row>
    <row r="20" spans="1:25" x14ac:dyDescent="0.15">
      <c r="A20" s="1">
        <v>2022</v>
      </c>
      <c r="B20" s="1" t="s">
        <v>33</v>
      </c>
      <c r="C20" s="1">
        <v>1</v>
      </c>
      <c r="D20" s="1">
        <v>8</v>
      </c>
      <c r="E20" s="1"/>
      <c r="F20" s="1" t="s">
        <v>39</v>
      </c>
      <c r="G20" s="1" t="s">
        <v>41</v>
      </c>
      <c r="H20" s="1"/>
      <c r="I20" s="1">
        <v>1</v>
      </c>
      <c r="J20" s="3" t="s">
        <v>39</v>
      </c>
      <c r="K20" s="1" t="s">
        <v>42</v>
      </c>
      <c r="L20" s="1" t="s">
        <v>45</v>
      </c>
      <c r="M20" s="1">
        <v>30</v>
      </c>
      <c r="N20" s="7" t="s">
        <v>45</v>
      </c>
      <c r="O20" s="6" t="s">
        <v>45</v>
      </c>
      <c r="P20" s="6">
        <v>3.0555555555555562</v>
      </c>
      <c r="Q20" s="6" t="s">
        <v>45</v>
      </c>
      <c r="R20" s="6" t="s">
        <v>45</v>
      </c>
      <c r="S20" s="6" t="s">
        <v>45</v>
      </c>
      <c r="T20" s="6" t="s">
        <v>45</v>
      </c>
      <c r="U20" s="6" t="s">
        <v>45</v>
      </c>
      <c r="V20" s="1" t="s">
        <v>45</v>
      </c>
      <c r="W20" s="1" t="s">
        <v>45</v>
      </c>
      <c r="X20" s="1" t="s">
        <v>45</v>
      </c>
      <c r="Y20" s="6">
        <f t="shared" ref="Y20:Y21" si="1">P20</f>
        <v>3.0555555555555562</v>
      </c>
    </row>
    <row r="21" spans="1:25" x14ac:dyDescent="0.15">
      <c r="A21" s="1">
        <v>2022</v>
      </c>
      <c r="B21" s="1" t="s">
        <v>33</v>
      </c>
      <c r="C21" s="1">
        <v>1</v>
      </c>
      <c r="D21" s="1">
        <v>9</v>
      </c>
      <c r="E21" s="1"/>
      <c r="F21" s="1" t="s">
        <v>40</v>
      </c>
      <c r="G21" s="1" t="s">
        <v>41</v>
      </c>
      <c r="H21" s="1"/>
      <c r="I21" s="1">
        <v>1</v>
      </c>
      <c r="J21" s="3" t="s">
        <v>40</v>
      </c>
      <c r="K21" s="1" t="s">
        <v>42</v>
      </c>
      <c r="L21" s="1" t="s">
        <v>45</v>
      </c>
      <c r="M21" s="1">
        <v>88</v>
      </c>
      <c r="N21" s="7" t="s">
        <v>45</v>
      </c>
      <c r="O21" s="6" t="s">
        <v>45</v>
      </c>
      <c r="P21" s="6">
        <v>3.8888888888888888</v>
      </c>
      <c r="Q21" s="6" t="s">
        <v>45</v>
      </c>
      <c r="R21" s="6" t="s">
        <v>45</v>
      </c>
      <c r="S21" s="6" t="s">
        <v>45</v>
      </c>
      <c r="T21" s="6" t="s">
        <v>45</v>
      </c>
      <c r="U21" s="6" t="s">
        <v>45</v>
      </c>
      <c r="V21" s="1" t="s">
        <v>45</v>
      </c>
      <c r="W21" s="1" t="s">
        <v>45</v>
      </c>
      <c r="X21" s="1" t="s">
        <v>45</v>
      </c>
      <c r="Y21" s="6">
        <f t="shared" si="1"/>
        <v>3.8888888888888888</v>
      </c>
    </row>
    <row r="22" spans="1:25" x14ac:dyDescent="0.15">
      <c r="A22" s="1">
        <v>2022</v>
      </c>
      <c r="B22" s="1" t="s">
        <v>33</v>
      </c>
      <c r="C22" s="1">
        <v>1</v>
      </c>
      <c r="D22" s="1">
        <v>10</v>
      </c>
      <c r="E22" s="1" t="s">
        <v>35</v>
      </c>
      <c r="F22" s="1" t="s">
        <v>38</v>
      </c>
      <c r="G22" s="1" t="s">
        <v>14</v>
      </c>
      <c r="H22" s="1" t="s">
        <v>35</v>
      </c>
      <c r="I22" s="1">
        <v>1</v>
      </c>
      <c r="J22" s="3" t="s">
        <v>63</v>
      </c>
      <c r="K22" s="1" t="s">
        <v>42</v>
      </c>
      <c r="L22" s="1">
        <v>128</v>
      </c>
      <c r="M22" s="1">
        <v>77</v>
      </c>
      <c r="N22" s="7">
        <f>L22-M22</f>
        <v>51</v>
      </c>
      <c r="O22" s="6">
        <v>0.83333333333333348</v>
      </c>
      <c r="P22" s="6">
        <v>2.916666666666667</v>
      </c>
      <c r="Q22" s="6">
        <f>O22/(0.1*O13)</f>
        <v>1.8749999999999998</v>
      </c>
      <c r="R22" s="6">
        <f>O22/(0.1*O16)</f>
        <v>1.6216216216216217</v>
      </c>
      <c r="S22" s="6">
        <f>P22/(0.9*P19)</f>
        <v>1.0144927536231882</v>
      </c>
      <c r="T22" s="6">
        <f>Q22+S22</f>
        <v>2.889492753623188</v>
      </c>
      <c r="U22" s="6">
        <f>R22+S22</f>
        <v>2.63611437524481</v>
      </c>
      <c r="V22" s="1">
        <f>O22/O13+P22/P19</f>
        <v>1.1005434782608696</v>
      </c>
      <c r="W22" s="1">
        <f>O22/O16+P22/P19</f>
        <v>1.0752056404230319</v>
      </c>
      <c r="X22" s="1">
        <f t="shared" ref="X22:X30" si="2">100*ROUND(P22/(P22+O22), 2)</f>
        <v>78</v>
      </c>
      <c r="Y22" s="6">
        <f t="shared" ref="Y22:Y30" si="3">O22+P22</f>
        <v>3.7500000000000004</v>
      </c>
    </row>
    <row r="23" spans="1:25" x14ac:dyDescent="0.15">
      <c r="A23" s="1">
        <v>2022</v>
      </c>
      <c r="B23" s="1" t="s">
        <v>33</v>
      </c>
      <c r="C23" s="1">
        <v>1</v>
      </c>
      <c r="D23" s="1">
        <v>11</v>
      </c>
      <c r="E23" s="1" t="s">
        <v>35</v>
      </c>
      <c r="F23" s="1" t="s">
        <v>39</v>
      </c>
      <c r="G23" s="1" t="s">
        <v>14</v>
      </c>
      <c r="H23" s="1" t="s">
        <v>35</v>
      </c>
      <c r="I23" s="1">
        <v>1</v>
      </c>
      <c r="J23" s="3" t="s">
        <v>64</v>
      </c>
      <c r="K23" s="1" t="s">
        <v>42</v>
      </c>
      <c r="L23" s="1">
        <v>111</v>
      </c>
      <c r="M23" s="1">
        <v>56</v>
      </c>
      <c r="N23" s="7">
        <f t="shared" ref="N23:N30" si="4">L23-M23</f>
        <v>55</v>
      </c>
      <c r="O23" s="6">
        <v>0.83333333333333348</v>
      </c>
      <c r="P23" s="6">
        <v>3.1944444444444446</v>
      </c>
      <c r="Q23" s="6">
        <f>O23/(0.1*O13)</f>
        <v>1.8749999999999998</v>
      </c>
      <c r="R23" s="6">
        <f>O23/(0.1*O16)</f>
        <v>1.6216216216216217</v>
      </c>
      <c r="S23" s="6">
        <f>P23/(0.9*P20)</f>
        <v>1.1616161616161613</v>
      </c>
      <c r="T23" s="6">
        <f t="shared" ref="T23:T30" si="5">Q23+S23</f>
        <v>3.0366161616161609</v>
      </c>
      <c r="U23" s="6">
        <f t="shared" ref="U23:U30" si="6">R23+S23</f>
        <v>2.7832377832377828</v>
      </c>
      <c r="V23" s="1">
        <f>O23/O13+P23/P20</f>
        <v>1.2329545454545452</v>
      </c>
      <c r="W23" s="1">
        <f>O23/O16+P23/P20</f>
        <v>1.2076167076167073</v>
      </c>
      <c r="X23" s="1">
        <f t="shared" si="2"/>
        <v>79</v>
      </c>
      <c r="Y23" s="6">
        <f t="shared" si="3"/>
        <v>4.0277777777777786</v>
      </c>
    </row>
    <row r="24" spans="1:25" x14ac:dyDescent="0.15">
      <c r="A24" s="1">
        <v>2022</v>
      </c>
      <c r="B24" s="1" t="s">
        <v>33</v>
      </c>
      <c r="C24" s="1">
        <v>1</v>
      </c>
      <c r="D24" s="1">
        <v>12</v>
      </c>
      <c r="E24" s="1" t="s">
        <v>35</v>
      </c>
      <c r="F24" s="1" t="s">
        <v>40</v>
      </c>
      <c r="G24" s="1" t="s">
        <v>14</v>
      </c>
      <c r="H24" s="1" t="s">
        <v>35</v>
      </c>
      <c r="I24" s="1">
        <v>1</v>
      </c>
      <c r="J24" s="3" t="s">
        <v>65</v>
      </c>
      <c r="K24" s="1" t="s">
        <v>42</v>
      </c>
      <c r="L24" s="1">
        <v>132</v>
      </c>
      <c r="M24" s="1">
        <v>81</v>
      </c>
      <c r="N24" s="7">
        <f t="shared" si="4"/>
        <v>51</v>
      </c>
      <c r="O24" s="6">
        <v>0.97222222222222221</v>
      </c>
      <c r="P24" s="6">
        <v>3.1944444444444446</v>
      </c>
      <c r="Q24" s="6">
        <f>O24/(0.1*O13)</f>
        <v>2.1874999999999991</v>
      </c>
      <c r="R24" s="6">
        <f>O24/(0.1*O16)</f>
        <v>1.8918918918918917</v>
      </c>
      <c r="S24" s="6">
        <f>P24/(0.9*P21)</f>
        <v>0.91269841269841279</v>
      </c>
      <c r="T24" s="6">
        <f t="shared" si="5"/>
        <v>3.1001984126984121</v>
      </c>
      <c r="U24" s="6">
        <f t="shared" si="6"/>
        <v>2.8045903045903042</v>
      </c>
      <c r="V24" s="1">
        <f>O24/O13+P24/P21</f>
        <v>1.0401785714285714</v>
      </c>
      <c r="W24" s="1">
        <f>O24/O16+P24/P21</f>
        <v>1.0106177606177607</v>
      </c>
      <c r="X24" s="1">
        <f t="shared" si="2"/>
        <v>77</v>
      </c>
      <c r="Y24" s="6">
        <f t="shared" si="3"/>
        <v>4.166666666666667</v>
      </c>
    </row>
    <row r="25" spans="1:25" x14ac:dyDescent="0.15">
      <c r="A25" s="1">
        <v>2022</v>
      </c>
      <c r="B25" s="1" t="s">
        <v>33</v>
      </c>
      <c r="C25" s="1">
        <v>1</v>
      </c>
      <c r="D25" s="1">
        <v>13</v>
      </c>
      <c r="E25" s="1" t="s">
        <v>36</v>
      </c>
      <c r="F25" s="1" t="s">
        <v>38</v>
      </c>
      <c r="G25" s="1" t="s">
        <v>14</v>
      </c>
      <c r="H25" s="1" t="s">
        <v>36</v>
      </c>
      <c r="I25" s="1">
        <v>1</v>
      </c>
      <c r="J25" s="3" t="s">
        <v>66</v>
      </c>
      <c r="K25" s="1" t="s">
        <v>42</v>
      </c>
      <c r="L25" s="1">
        <v>126</v>
      </c>
      <c r="M25" s="1">
        <v>78</v>
      </c>
      <c r="N25" s="7">
        <f t="shared" si="4"/>
        <v>48</v>
      </c>
      <c r="O25" s="6">
        <v>1.5277777777777781</v>
      </c>
      <c r="P25" s="6">
        <v>3.1944444444444446</v>
      </c>
      <c r="Q25" s="6">
        <f>O25/(0.1*O14)</f>
        <v>2.8205128205128203</v>
      </c>
      <c r="R25" s="6">
        <f>O25/(0.1*O17)</f>
        <v>2.3404255319148937</v>
      </c>
      <c r="S25" s="6">
        <f>P25/(0.9*P19)</f>
        <v>1.1111111111111109</v>
      </c>
      <c r="T25" s="6">
        <f t="shared" si="5"/>
        <v>3.931623931623931</v>
      </c>
      <c r="U25" s="6">
        <f t="shared" si="6"/>
        <v>3.4515366430260048</v>
      </c>
      <c r="V25" s="1">
        <f>O25/O14+P25/P19</f>
        <v>1.2820512820512819</v>
      </c>
      <c r="W25" s="1">
        <f>O25/O17+P25/P19</f>
        <v>1.2340425531914894</v>
      </c>
      <c r="X25" s="1">
        <f t="shared" si="2"/>
        <v>68</v>
      </c>
      <c r="Y25" s="6">
        <f t="shared" si="3"/>
        <v>4.7222222222222232</v>
      </c>
    </row>
    <row r="26" spans="1:25" x14ac:dyDescent="0.15">
      <c r="A26" s="1">
        <v>2022</v>
      </c>
      <c r="B26" s="1" t="s">
        <v>33</v>
      </c>
      <c r="C26" s="1">
        <v>1</v>
      </c>
      <c r="D26" s="1">
        <v>14</v>
      </c>
      <c r="E26" s="1" t="s">
        <v>36</v>
      </c>
      <c r="F26" s="1" t="s">
        <v>39</v>
      </c>
      <c r="G26" s="1" t="s">
        <v>14</v>
      </c>
      <c r="H26" s="1" t="s">
        <v>36</v>
      </c>
      <c r="I26" s="1">
        <v>1</v>
      </c>
      <c r="J26" s="3" t="s">
        <v>67</v>
      </c>
      <c r="K26" s="1" t="s">
        <v>42</v>
      </c>
      <c r="L26" s="1">
        <v>107</v>
      </c>
      <c r="M26" s="1">
        <v>60</v>
      </c>
      <c r="N26" s="7">
        <f t="shared" si="4"/>
        <v>47</v>
      </c>
      <c r="O26" s="6">
        <v>1.666666666666667</v>
      </c>
      <c r="P26" s="6">
        <v>4.4444444444444455</v>
      </c>
      <c r="Q26" s="6">
        <f>O26/(0.1*O14)</f>
        <v>3.0769230769230762</v>
      </c>
      <c r="R26" s="6">
        <f>O26/(0.1*O17)</f>
        <v>2.5531914893617023</v>
      </c>
      <c r="S26" s="6">
        <f>P26/(0.9*P20)</f>
        <v>1.6161616161616161</v>
      </c>
      <c r="T26" s="6">
        <f t="shared" si="5"/>
        <v>4.6930846930846926</v>
      </c>
      <c r="U26" s="6">
        <f t="shared" si="6"/>
        <v>4.1693531055233182</v>
      </c>
      <c r="V26" s="1">
        <f>O26/O14+P26/P20</f>
        <v>1.7622377622377623</v>
      </c>
      <c r="W26" s="1">
        <f>O26/O17+P26/P20</f>
        <v>1.7098646034816247</v>
      </c>
      <c r="X26" s="1">
        <f t="shared" si="2"/>
        <v>73</v>
      </c>
      <c r="Y26" s="6">
        <f t="shared" si="3"/>
        <v>6.1111111111111125</v>
      </c>
    </row>
    <row r="27" spans="1:25" x14ac:dyDescent="0.15">
      <c r="A27" s="1">
        <v>2022</v>
      </c>
      <c r="B27" s="1" t="s">
        <v>33</v>
      </c>
      <c r="C27" s="1">
        <v>1</v>
      </c>
      <c r="D27" s="1">
        <v>15</v>
      </c>
      <c r="E27" s="1" t="s">
        <v>36</v>
      </c>
      <c r="F27" s="1" t="s">
        <v>40</v>
      </c>
      <c r="G27" s="1" t="s">
        <v>14</v>
      </c>
      <c r="H27" s="1" t="s">
        <v>36</v>
      </c>
      <c r="I27" s="1">
        <v>1</v>
      </c>
      <c r="J27" s="3" t="s">
        <v>68</v>
      </c>
      <c r="K27" s="1" t="s">
        <v>42</v>
      </c>
      <c r="L27" s="1">
        <v>115</v>
      </c>
      <c r="M27" s="1">
        <v>77</v>
      </c>
      <c r="N27" s="7">
        <f t="shared" si="4"/>
        <v>38</v>
      </c>
      <c r="O27" s="6">
        <v>1.666666666666667</v>
      </c>
      <c r="P27" s="6">
        <v>2.7777777777777777</v>
      </c>
      <c r="Q27" s="6">
        <f>O27/(0.1*O14)</f>
        <v>3.0769230769230762</v>
      </c>
      <c r="R27" s="6">
        <f>O27/(0.1*O17)</f>
        <v>2.5531914893617023</v>
      </c>
      <c r="S27" s="6">
        <f>P27/(0.9*P21)</f>
        <v>0.79365079365079361</v>
      </c>
      <c r="T27" s="6">
        <f t="shared" si="5"/>
        <v>3.8705738705738697</v>
      </c>
      <c r="U27" s="6">
        <f t="shared" si="6"/>
        <v>3.3468422830124958</v>
      </c>
      <c r="V27" s="1">
        <f>O27/O14+P27/P21</f>
        <v>1.0219780219780219</v>
      </c>
      <c r="W27" s="1">
        <f>O27/O17+P27/P21</f>
        <v>0.96960486322188455</v>
      </c>
      <c r="X27" s="1">
        <f t="shared" si="2"/>
        <v>63</v>
      </c>
      <c r="Y27" s="6">
        <f t="shared" si="3"/>
        <v>4.4444444444444446</v>
      </c>
    </row>
    <row r="28" spans="1:25" x14ac:dyDescent="0.15">
      <c r="A28" s="1">
        <v>2022</v>
      </c>
      <c r="B28" s="1" t="s">
        <v>33</v>
      </c>
      <c r="C28" s="1">
        <v>1</v>
      </c>
      <c r="D28" s="1">
        <v>16</v>
      </c>
      <c r="E28" s="1" t="s">
        <v>37</v>
      </c>
      <c r="F28" s="1" t="s">
        <v>38</v>
      </c>
      <c r="G28" s="1" t="s">
        <v>14</v>
      </c>
      <c r="H28" s="1" t="s">
        <v>37</v>
      </c>
      <c r="I28" s="1">
        <v>1</v>
      </c>
      <c r="J28" s="3" t="s">
        <v>69</v>
      </c>
      <c r="K28" s="1" t="s">
        <v>42</v>
      </c>
      <c r="L28" s="1">
        <v>90</v>
      </c>
      <c r="M28" s="1">
        <v>78</v>
      </c>
      <c r="N28" s="7">
        <f t="shared" si="4"/>
        <v>12</v>
      </c>
      <c r="O28" s="6">
        <v>0.69444444444444442</v>
      </c>
      <c r="P28" s="6">
        <v>3.8888888888888888</v>
      </c>
      <c r="Q28" s="6">
        <f>O28/(0.1*O15)</f>
        <v>1.7241379310344827</v>
      </c>
      <c r="R28" s="6">
        <f>O28/(0.1*O18)</f>
        <v>1.2820512820512815</v>
      </c>
      <c r="S28" s="6">
        <f>P28/(0.9*P19)</f>
        <v>1.3526570048309177</v>
      </c>
      <c r="T28" s="6">
        <f t="shared" si="5"/>
        <v>3.0767949358654003</v>
      </c>
      <c r="U28" s="6">
        <f t="shared" si="6"/>
        <v>2.6347082868821992</v>
      </c>
      <c r="V28" s="1">
        <f>O28/O15+P28/P19</f>
        <v>1.3898050974512741</v>
      </c>
      <c r="W28" s="1">
        <f>O28/O18+P28/P19</f>
        <v>1.3455964325529541</v>
      </c>
      <c r="X28" s="1">
        <f t="shared" si="2"/>
        <v>85</v>
      </c>
      <c r="Y28" s="6">
        <f t="shared" si="3"/>
        <v>4.583333333333333</v>
      </c>
    </row>
    <row r="29" spans="1:25" x14ac:dyDescent="0.15">
      <c r="A29" s="1">
        <v>2022</v>
      </c>
      <c r="B29" s="1" t="s">
        <v>33</v>
      </c>
      <c r="C29" s="1">
        <v>1</v>
      </c>
      <c r="D29" s="1">
        <v>17</v>
      </c>
      <c r="E29" s="1" t="s">
        <v>37</v>
      </c>
      <c r="F29" s="1" t="s">
        <v>39</v>
      </c>
      <c r="G29" s="1" t="s">
        <v>14</v>
      </c>
      <c r="H29" s="1" t="s">
        <v>37</v>
      </c>
      <c r="I29" s="1">
        <v>1</v>
      </c>
      <c r="J29" s="3" t="s">
        <v>70</v>
      </c>
      <c r="K29" s="1" t="s">
        <v>42</v>
      </c>
      <c r="L29" s="1">
        <v>89</v>
      </c>
      <c r="M29" s="1">
        <v>65</v>
      </c>
      <c r="N29" s="7">
        <f t="shared" si="4"/>
        <v>24</v>
      </c>
      <c r="O29" s="6">
        <v>0.69444444444444442</v>
      </c>
      <c r="P29" s="6">
        <v>3.3333333333333339</v>
      </c>
      <c r="Q29" s="6">
        <f>O29/(0.1*O15)</f>
        <v>1.7241379310344827</v>
      </c>
      <c r="R29" s="6">
        <f>O29/(0.1*O18)</f>
        <v>1.2820512820512815</v>
      </c>
      <c r="S29" s="6">
        <f>P29/(0.9*P20)</f>
        <v>1.2121212121212119</v>
      </c>
      <c r="T29" s="6">
        <f t="shared" si="5"/>
        <v>2.9362591431556946</v>
      </c>
      <c r="U29" s="6">
        <f t="shared" si="6"/>
        <v>2.4941724941724934</v>
      </c>
      <c r="V29" s="1">
        <f>O29/O15+P29/P20</f>
        <v>1.2633228840125392</v>
      </c>
      <c r="W29" s="1">
        <f>O29/O18+P29/P20</f>
        <v>1.219114219114219</v>
      </c>
      <c r="X29" s="1">
        <f t="shared" si="2"/>
        <v>83</v>
      </c>
      <c r="Y29" s="6">
        <f t="shared" si="3"/>
        <v>4.0277777777777786</v>
      </c>
    </row>
    <row r="30" spans="1:25" x14ac:dyDescent="0.15">
      <c r="A30" s="1">
        <v>2022</v>
      </c>
      <c r="B30" s="1" t="s">
        <v>33</v>
      </c>
      <c r="C30" s="1">
        <v>1</v>
      </c>
      <c r="D30" s="1">
        <v>18</v>
      </c>
      <c r="E30" s="1" t="s">
        <v>37</v>
      </c>
      <c r="F30" s="1" t="s">
        <v>40</v>
      </c>
      <c r="G30" s="1" t="s">
        <v>14</v>
      </c>
      <c r="H30" s="1" t="s">
        <v>37</v>
      </c>
      <c r="I30" s="1">
        <v>1</v>
      </c>
      <c r="J30" s="3" t="s">
        <v>71</v>
      </c>
      <c r="K30" s="1" t="s">
        <v>42</v>
      </c>
      <c r="L30" s="1">
        <v>95</v>
      </c>
      <c r="M30" s="1">
        <v>71</v>
      </c>
      <c r="N30" s="7">
        <f t="shared" si="4"/>
        <v>24</v>
      </c>
      <c r="O30" s="6">
        <v>0.83333333333333348</v>
      </c>
      <c r="P30" s="6">
        <v>3.4722222222222228</v>
      </c>
      <c r="Q30" s="6">
        <f>O30/(0.1*O15)</f>
        <v>2.0689655172413794</v>
      </c>
      <c r="R30" s="6">
        <f>O30/(0.1*O18)</f>
        <v>1.5384615384615381</v>
      </c>
      <c r="S30" s="6">
        <f>P30/(0.9*P21)</f>
        <v>0.9920634920634922</v>
      </c>
      <c r="T30" s="6">
        <f t="shared" si="5"/>
        <v>3.0610290093048715</v>
      </c>
      <c r="U30" s="6">
        <f t="shared" si="6"/>
        <v>2.5305250305250304</v>
      </c>
      <c r="V30" s="1">
        <f>O30/O15+P30/P21</f>
        <v>1.0997536945812809</v>
      </c>
      <c r="W30" s="1">
        <f>O30/O18+P30/P21</f>
        <v>1.0467032967032968</v>
      </c>
      <c r="X30" s="1">
        <f t="shared" si="2"/>
        <v>81</v>
      </c>
      <c r="Y30" s="6">
        <f t="shared" si="3"/>
        <v>4.3055555555555562</v>
      </c>
    </row>
    <row r="31" spans="1:25" x14ac:dyDescent="0.15">
      <c r="A31" s="1">
        <v>2022</v>
      </c>
      <c r="B31" s="1" t="s">
        <v>33</v>
      </c>
      <c r="C31" s="1">
        <v>2</v>
      </c>
      <c r="D31" s="1">
        <v>1</v>
      </c>
      <c r="E31" s="1" t="s">
        <v>35</v>
      </c>
      <c r="F31" s="1"/>
      <c r="G31" s="1" t="s">
        <v>41</v>
      </c>
      <c r="H31" s="1" t="s">
        <v>35</v>
      </c>
      <c r="I31" s="1">
        <v>2</v>
      </c>
      <c r="J31" s="3" t="s">
        <v>35</v>
      </c>
      <c r="K31" s="1" t="s">
        <v>42</v>
      </c>
      <c r="L31" s="1">
        <v>116</v>
      </c>
      <c r="M31" s="1" t="s">
        <v>45</v>
      </c>
      <c r="N31" s="7" t="s">
        <v>45</v>
      </c>
      <c r="O31" s="1">
        <v>5.1388888888888893</v>
      </c>
      <c r="P31" s="6" t="s">
        <v>45</v>
      </c>
      <c r="Q31" s="6" t="s">
        <v>45</v>
      </c>
      <c r="R31" s="6" t="s">
        <v>45</v>
      </c>
      <c r="S31" s="6" t="s">
        <v>45</v>
      </c>
      <c r="T31" s="6" t="s">
        <v>45</v>
      </c>
      <c r="U31" s="6" t="s">
        <v>45</v>
      </c>
      <c r="V31" s="1" t="s">
        <v>45</v>
      </c>
      <c r="W31" s="1" t="s">
        <v>45</v>
      </c>
      <c r="X31" s="6" t="s">
        <v>45</v>
      </c>
      <c r="Y31" s="6">
        <f>O31</f>
        <v>5.1388888888888893</v>
      </c>
    </row>
    <row r="32" spans="1:25" x14ac:dyDescent="0.15">
      <c r="A32" s="1">
        <v>2022</v>
      </c>
      <c r="B32" s="1" t="s">
        <v>33</v>
      </c>
      <c r="C32" s="1">
        <v>2</v>
      </c>
      <c r="D32" s="1">
        <v>2</v>
      </c>
      <c r="E32" s="1" t="s">
        <v>36</v>
      </c>
      <c r="F32" s="1"/>
      <c r="G32" s="1" t="s">
        <v>41</v>
      </c>
      <c r="H32" s="1" t="s">
        <v>36</v>
      </c>
      <c r="I32" s="1">
        <v>2</v>
      </c>
      <c r="J32" s="3" t="s">
        <v>36</v>
      </c>
      <c r="K32" s="1" t="s">
        <v>42</v>
      </c>
      <c r="L32" s="1">
        <v>108</v>
      </c>
      <c r="M32" s="1" t="s">
        <v>45</v>
      </c>
      <c r="N32" s="7" t="s">
        <v>45</v>
      </c>
      <c r="O32" s="6">
        <v>5.5555555555555554</v>
      </c>
      <c r="P32" s="6" t="s">
        <v>45</v>
      </c>
      <c r="Q32" s="6" t="s">
        <v>45</v>
      </c>
      <c r="R32" s="6" t="s">
        <v>45</v>
      </c>
      <c r="S32" s="6" t="s">
        <v>45</v>
      </c>
      <c r="T32" s="6" t="s">
        <v>45</v>
      </c>
      <c r="U32" s="6" t="s">
        <v>45</v>
      </c>
      <c r="V32" s="1" t="s">
        <v>45</v>
      </c>
      <c r="W32" s="1" t="s">
        <v>45</v>
      </c>
      <c r="X32" s="6" t="s">
        <v>45</v>
      </c>
      <c r="Y32" s="6">
        <f t="shared" ref="Y32:Y36" si="7">O32</f>
        <v>5.5555555555555554</v>
      </c>
    </row>
    <row r="33" spans="1:25" x14ac:dyDescent="0.15">
      <c r="A33" s="1">
        <v>2022</v>
      </c>
      <c r="B33" s="1" t="s">
        <v>33</v>
      </c>
      <c r="C33" s="1">
        <v>2</v>
      </c>
      <c r="D33" s="1">
        <v>3</v>
      </c>
      <c r="E33" s="1" t="s">
        <v>37</v>
      </c>
      <c r="F33" s="1"/>
      <c r="G33" s="1" t="s">
        <v>41</v>
      </c>
      <c r="H33" s="1" t="s">
        <v>37</v>
      </c>
      <c r="I33" s="1">
        <v>2</v>
      </c>
      <c r="J33" s="3" t="s">
        <v>37</v>
      </c>
      <c r="K33" s="1" t="s">
        <v>42</v>
      </c>
      <c r="L33" s="1">
        <v>69</v>
      </c>
      <c r="M33" s="1" t="s">
        <v>45</v>
      </c>
      <c r="N33" s="7" t="s">
        <v>45</v>
      </c>
      <c r="O33" s="6">
        <v>5.0000000000000009</v>
      </c>
      <c r="P33" s="6" t="s">
        <v>45</v>
      </c>
      <c r="Q33" s="6" t="s">
        <v>45</v>
      </c>
      <c r="R33" s="6" t="s">
        <v>45</v>
      </c>
      <c r="S33" s="6" t="s">
        <v>45</v>
      </c>
      <c r="T33" s="6" t="s">
        <v>45</v>
      </c>
      <c r="U33" s="6" t="s">
        <v>45</v>
      </c>
      <c r="V33" s="1" t="s">
        <v>45</v>
      </c>
      <c r="W33" s="1" t="s">
        <v>45</v>
      </c>
      <c r="X33" s="6" t="s">
        <v>45</v>
      </c>
      <c r="Y33" s="6">
        <f t="shared" si="7"/>
        <v>5.0000000000000009</v>
      </c>
    </row>
    <row r="34" spans="1:25" x14ac:dyDescent="0.15">
      <c r="A34" s="1">
        <v>2022</v>
      </c>
      <c r="B34" s="1" t="s">
        <v>33</v>
      </c>
      <c r="C34" s="1">
        <v>2</v>
      </c>
      <c r="D34" s="1">
        <v>4</v>
      </c>
      <c r="E34" s="1" t="s">
        <v>35</v>
      </c>
      <c r="F34" s="1"/>
      <c r="G34" s="1" t="s">
        <v>41</v>
      </c>
      <c r="H34" s="1" t="s">
        <v>75</v>
      </c>
      <c r="I34" s="1">
        <v>2</v>
      </c>
      <c r="J34" s="3" t="s">
        <v>35</v>
      </c>
      <c r="K34" s="1" t="s">
        <v>43</v>
      </c>
      <c r="L34" s="1">
        <v>126</v>
      </c>
      <c r="M34" s="1" t="s">
        <v>45</v>
      </c>
      <c r="N34" s="7" t="s">
        <v>45</v>
      </c>
      <c r="O34" s="6">
        <v>5.8333333333333339</v>
      </c>
      <c r="P34" s="6" t="s">
        <v>45</v>
      </c>
      <c r="Q34" s="6" t="s">
        <v>45</v>
      </c>
      <c r="R34" s="6" t="s">
        <v>45</v>
      </c>
      <c r="S34" s="6" t="s">
        <v>45</v>
      </c>
      <c r="T34" s="6" t="s">
        <v>45</v>
      </c>
      <c r="U34" s="6" t="s">
        <v>45</v>
      </c>
      <c r="V34" s="1" t="s">
        <v>45</v>
      </c>
      <c r="W34" s="1" t="s">
        <v>45</v>
      </c>
      <c r="X34" s="1" t="s">
        <v>45</v>
      </c>
      <c r="Y34" s="6">
        <f t="shared" si="7"/>
        <v>5.8333333333333339</v>
      </c>
    </row>
    <row r="35" spans="1:25" x14ac:dyDescent="0.15">
      <c r="A35" s="1">
        <v>2022</v>
      </c>
      <c r="B35" s="1" t="s">
        <v>33</v>
      </c>
      <c r="C35" s="1">
        <v>2</v>
      </c>
      <c r="D35" s="1">
        <v>5</v>
      </c>
      <c r="E35" s="1" t="s">
        <v>36</v>
      </c>
      <c r="F35" s="1"/>
      <c r="G35" s="1" t="s">
        <v>41</v>
      </c>
      <c r="H35" s="1" t="s">
        <v>76</v>
      </c>
      <c r="I35" s="1">
        <v>2</v>
      </c>
      <c r="J35" s="3" t="s">
        <v>36</v>
      </c>
      <c r="K35" s="1" t="s">
        <v>43</v>
      </c>
      <c r="L35" s="1">
        <v>115</v>
      </c>
      <c r="M35" s="1" t="s">
        <v>45</v>
      </c>
      <c r="N35" s="7" t="s">
        <v>45</v>
      </c>
      <c r="O35" s="6">
        <v>6.1111111111111125</v>
      </c>
      <c r="P35" s="6" t="s">
        <v>45</v>
      </c>
      <c r="Q35" s="6" t="s">
        <v>45</v>
      </c>
      <c r="R35" s="6" t="s">
        <v>45</v>
      </c>
      <c r="S35" s="6" t="s">
        <v>45</v>
      </c>
      <c r="T35" s="6" t="s">
        <v>45</v>
      </c>
      <c r="U35" s="6" t="s">
        <v>45</v>
      </c>
      <c r="V35" s="1" t="s">
        <v>45</v>
      </c>
      <c r="W35" s="1" t="s">
        <v>45</v>
      </c>
      <c r="X35" s="1" t="s">
        <v>45</v>
      </c>
      <c r="Y35" s="6">
        <f t="shared" si="7"/>
        <v>6.1111111111111125</v>
      </c>
    </row>
    <row r="36" spans="1:25" x14ac:dyDescent="0.15">
      <c r="A36" s="1">
        <v>2022</v>
      </c>
      <c r="B36" s="1" t="s">
        <v>33</v>
      </c>
      <c r="C36" s="1">
        <v>2</v>
      </c>
      <c r="D36" s="1">
        <v>6</v>
      </c>
      <c r="E36" s="1" t="s">
        <v>37</v>
      </c>
      <c r="F36" s="1"/>
      <c r="G36" s="1" t="s">
        <v>41</v>
      </c>
      <c r="H36" s="1" t="s">
        <v>77</v>
      </c>
      <c r="I36" s="1">
        <v>2</v>
      </c>
      <c r="J36" s="3" t="s">
        <v>37</v>
      </c>
      <c r="K36" s="1" t="s">
        <v>43</v>
      </c>
      <c r="L36" s="1">
        <v>86</v>
      </c>
      <c r="M36" s="1" t="s">
        <v>45</v>
      </c>
      <c r="N36" s="7" t="s">
        <v>45</v>
      </c>
      <c r="O36" s="6">
        <v>5.6944444444444446</v>
      </c>
      <c r="P36" s="6" t="s">
        <v>45</v>
      </c>
      <c r="Q36" s="6" t="s">
        <v>45</v>
      </c>
      <c r="R36" s="6" t="s">
        <v>45</v>
      </c>
      <c r="S36" s="6" t="s">
        <v>45</v>
      </c>
      <c r="T36" s="6" t="s">
        <v>45</v>
      </c>
      <c r="U36" s="6" t="s">
        <v>45</v>
      </c>
      <c r="V36" s="1" t="s">
        <v>45</v>
      </c>
      <c r="W36" s="1" t="s">
        <v>45</v>
      </c>
      <c r="X36" s="1" t="s">
        <v>45</v>
      </c>
      <c r="Y36" s="6">
        <f t="shared" si="7"/>
        <v>5.6944444444444446</v>
      </c>
    </row>
    <row r="37" spans="1:25" x14ac:dyDescent="0.15">
      <c r="A37" s="1">
        <v>2022</v>
      </c>
      <c r="B37" s="1" t="s">
        <v>33</v>
      </c>
      <c r="C37" s="1">
        <v>2</v>
      </c>
      <c r="D37" s="1">
        <v>7</v>
      </c>
      <c r="E37" s="1"/>
      <c r="F37" s="1" t="s">
        <v>38</v>
      </c>
      <c r="G37" s="1" t="s">
        <v>41</v>
      </c>
      <c r="H37" s="1"/>
      <c r="I37" s="1">
        <v>2</v>
      </c>
      <c r="J37" s="3" t="s">
        <v>38</v>
      </c>
      <c r="K37" s="1" t="s">
        <v>42</v>
      </c>
      <c r="L37" s="1">
        <v>42</v>
      </c>
      <c r="M37" s="1">
        <v>38</v>
      </c>
      <c r="N37" s="7" t="s">
        <v>45</v>
      </c>
      <c r="O37" s="6" t="s">
        <v>45</v>
      </c>
      <c r="P37" s="6">
        <v>4.166666666666667</v>
      </c>
      <c r="Q37" s="6" t="s">
        <v>45</v>
      </c>
      <c r="R37" s="6" t="s">
        <v>45</v>
      </c>
      <c r="S37" s="6" t="s">
        <v>45</v>
      </c>
      <c r="T37" s="6" t="s">
        <v>45</v>
      </c>
      <c r="U37" s="6" t="s">
        <v>45</v>
      </c>
      <c r="V37" s="1" t="s">
        <v>45</v>
      </c>
      <c r="W37" s="1" t="s">
        <v>45</v>
      </c>
      <c r="X37" s="1" t="s">
        <v>45</v>
      </c>
      <c r="Y37" s="6">
        <f>P37</f>
        <v>4.166666666666667</v>
      </c>
    </row>
    <row r="38" spans="1:25" x14ac:dyDescent="0.15">
      <c r="A38" s="1">
        <v>2022</v>
      </c>
      <c r="B38" s="1" t="s">
        <v>33</v>
      </c>
      <c r="C38" s="1">
        <v>2</v>
      </c>
      <c r="D38" s="1">
        <v>8</v>
      </c>
      <c r="E38" s="1"/>
      <c r="F38" s="1" t="s">
        <v>39</v>
      </c>
      <c r="G38" s="1" t="s">
        <v>41</v>
      </c>
      <c r="H38" s="1"/>
      <c r="I38" s="1">
        <v>2</v>
      </c>
      <c r="J38" s="3" t="s">
        <v>39</v>
      </c>
      <c r="K38" s="1" t="s">
        <v>42</v>
      </c>
      <c r="L38" s="1" t="s">
        <v>45</v>
      </c>
      <c r="M38" s="1">
        <v>39</v>
      </c>
      <c r="N38" s="7" t="s">
        <v>45</v>
      </c>
      <c r="O38" s="6" t="s">
        <v>45</v>
      </c>
      <c r="P38" s="6">
        <v>3.3333333333333339</v>
      </c>
      <c r="Q38" s="6" t="s">
        <v>45</v>
      </c>
      <c r="R38" s="6" t="s">
        <v>45</v>
      </c>
      <c r="S38" s="6" t="s">
        <v>45</v>
      </c>
      <c r="T38" s="6" t="s">
        <v>45</v>
      </c>
      <c r="U38" s="6" t="s">
        <v>45</v>
      </c>
      <c r="V38" s="1" t="s">
        <v>45</v>
      </c>
      <c r="W38" s="1" t="s">
        <v>45</v>
      </c>
      <c r="X38" s="1" t="s">
        <v>45</v>
      </c>
      <c r="Y38" s="6">
        <f t="shared" ref="Y38:Y39" si="8">P38</f>
        <v>3.3333333333333339</v>
      </c>
    </row>
    <row r="39" spans="1:25" x14ac:dyDescent="0.15">
      <c r="A39" s="1">
        <v>2022</v>
      </c>
      <c r="B39" s="1" t="s">
        <v>33</v>
      </c>
      <c r="C39" s="1">
        <v>2</v>
      </c>
      <c r="D39" s="1">
        <v>9</v>
      </c>
      <c r="E39" s="1"/>
      <c r="F39" s="1" t="s">
        <v>40</v>
      </c>
      <c r="G39" s="1" t="s">
        <v>41</v>
      </c>
      <c r="H39" s="1"/>
      <c r="I39" s="1">
        <v>2</v>
      </c>
      <c r="J39" s="3" t="s">
        <v>40</v>
      </c>
      <c r="K39" s="1" t="s">
        <v>42</v>
      </c>
      <c r="L39" s="1" t="s">
        <v>45</v>
      </c>
      <c r="M39" s="1">
        <v>92</v>
      </c>
      <c r="N39" s="7" t="s">
        <v>45</v>
      </c>
      <c r="O39" s="6" t="s">
        <v>45</v>
      </c>
      <c r="P39" s="6">
        <v>3.7500000000000004</v>
      </c>
      <c r="Q39" s="6" t="s">
        <v>45</v>
      </c>
      <c r="R39" s="6" t="s">
        <v>45</v>
      </c>
      <c r="S39" s="6" t="s">
        <v>45</v>
      </c>
      <c r="T39" s="6" t="s">
        <v>45</v>
      </c>
      <c r="U39" s="6" t="s">
        <v>45</v>
      </c>
      <c r="V39" s="1" t="s">
        <v>45</v>
      </c>
      <c r="W39" s="1" t="s">
        <v>45</v>
      </c>
      <c r="X39" s="1" t="s">
        <v>45</v>
      </c>
      <c r="Y39" s="6">
        <f t="shared" si="8"/>
        <v>3.7500000000000004</v>
      </c>
    </row>
    <row r="40" spans="1:25" x14ac:dyDescent="0.15">
      <c r="A40" s="1">
        <v>2022</v>
      </c>
      <c r="B40" s="1" t="s">
        <v>33</v>
      </c>
      <c r="C40" s="1">
        <v>2</v>
      </c>
      <c r="D40" s="1">
        <v>10</v>
      </c>
      <c r="E40" s="1" t="s">
        <v>35</v>
      </c>
      <c r="F40" s="1" t="s">
        <v>38</v>
      </c>
      <c r="G40" s="1" t="s">
        <v>14</v>
      </c>
      <c r="H40" s="1" t="s">
        <v>35</v>
      </c>
      <c r="I40" s="1">
        <v>2</v>
      </c>
      <c r="J40" s="3" t="s">
        <v>63</v>
      </c>
      <c r="K40" s="1" t="s">
        <v>42</v>
      </c>
      <c r="L40" s="1">
        <v>84</v>
      </c>
      <c r="M40" s="1">
        <v>41</v>
      </c>
      <c r="N40" s="7">
        <f>L40-M40</f>
        <v>43</v>
      </c>
      <c r="O40" s="6">
        <v>1.1111111111111114</v>
      </c>
      <c r="P40" s="6">
        <v>3.1944444444444446</v>
      </c>
      <c r="Q40" s="6">
        <f>O40/(0.1*O31)</f>
        <v>2.1621621621621623</v>
      </c>
      <c r="R40" s="6">
        <f>O40/(0.1*O34)</f>
        <v>1.9047619047619051</v>
      </c>
      <c r="S40" s="6">
        <f>P40/(0.9*P37)</f>
        <v>0.85185185185185175</v>
      </c>
      <c r="T40" s="6">
        <f>Q40+S40</f>
        <v>3.0140140140140139</v>
      </c>
      <c r="U40" s="6">
        <f>R40+S40</f>
        <v>2.7566137566137567</v>
      </c>
      <c r="V40" s="1">
        <f>O40/O31+P40/P37</f>
        <v>0.98288288288288284</v>
      </c>
      <c r="W40" s="1">
        <f>O40/O34+P40/P37</f>
        <v>0.95714285714285707</v>
      </c>
      <c r="X40" s="1">
        <f t="shared" ref="X40:X48" si="9">100*ROUND(P40/(P40+O40), 2)</f>
        <v>74</v>
      </c>
      <c r="Y40" s="6">
        <f t="shared" ref="Y40:Y48" si="10">O40+P40</f>
        <v>4.3055555555555562</v>
      </c>
    </row>
    <row r="41" spans="1:25" x14ac:dyDescent="0.15">
      <c r="A41" s="1">
        <v>2022</v>
      </c>
      <c r="B41" s="1" t="s">
        <v>33</v>
      </c>
      <c r="C41" s="1">
        <v>2</v>
      </c>
      <c r="D41" s="1">
        <v>11</v>
      </c>
      <c r="E41" s="1" t="s">
        <v>35</v>
      </c>
      <c r="F41" s="1" t="s">
        <v>39</v>
      </c>
      <c r="G41" s="1" t="s">
        <v>14</v>
      </c>
      <c r="H41" s="1" t="s">
        <v>35</v>
      </c>
      <c r="I41" s="1">
        <v>2</v>
      </c>
      <c r="J41" s="3" t="s">
        <v>64</v>
      </c>
      <c r="K41" s="1" t="s">
        <v>42</v>
      </c>
      <c r="L41" s="1">
        <v>124</v>
      </c>
      <c r="M41" s="1">
        <v>77</v>
      </c>
      <c r="N41" s="7">
        <f t="shared" ref="N41:N48" si="11">L41-M41</f>
        <v>47</v>
      </c>
      <c r="O41" s="6">
        <v>1.1111111111111114</v>
      </c>
      <c r="P41" s="6">
        <v>2.916666666666667</v>
      </c>
      <c r="Q41" s="6">
        <f>O41/(0.1*O31)</f>
        <v>2.1621621621621623</v>
      </c>
      <c r="R41" s="6">
        <f>O41/(0.1*O34)</f>
        <v>1.9047619047619051</v>
      </c>
      <c r="S41" s="6">
        <f>P41/(0.9*P38)</f>
        <v>0.97222222222222221</v>
      </c>
      <c r="T41" s="6">
        <f t="shared" ref="T41:T48" si="12">Q41+S41</f>
        <v>3.1343843843843846</v>
      </c>
      <c r="U41" s="6">
        <f t="shared" ref="U41:U48" si="13">R41+S41</f>
        <v>2.8769841269841274</v>
      </c>
      <c r="V41" s="1">
        <f>O41/O31+P41/P38</f>
        <v>1.0912162162162162</v>
      </c>
      <c r="W41" s="1">
        <f>O41/O34+P41/P38</f>
        <v>1.0654761904761905</v>
      </c>
      <c r="X41" s="1">
        <f t="shared" si="9"/>
        <v>72</v>
      </c>
      <c r="Y41" s="6">
        <f t="shared" si="10"/>
        <v>4.0277777777777786</v>
      </c>
    </row>
    <row r="42" spans="1:25" x14ac:dyDescent="0.15">
      <c r="A42" s="1">
        <v>2022</v>
      </c>
      <c r="B42" s="1" t="s">
        <v>33</v>
      </c>
      <c r="C42" s="1">
        <v>2</v>
      </c>
      <c r="D42" s="1">
        <v>12</v>
      </c>
      <c r="E42" s="1" t="s">
        <v>35</v>
      </c>
      <c r="F42" s="1" t="s">
        <v>40</v>
      </c>
      <c r="G42" s="1" t="s">
        <v>14</v>
      </c>
      <c r="H42" s="1" t="s">
        <v>35</v>
      </c>
      <c r="I42" s="1">
        <v>2</v>
      </c>
      <c r="J42" s="3" t="s">
        <v>65</v>
      </c>
      <c r="K42" s="1" t="s">
        <v>42</v>
      </c>
      <c r="L42" s="1">
        <v>133</v>
      </c>
      <c r="M42" s="1">
        <v>81</v>
      </c>
      <c r="N42" s="7">
        <f t="shared" si="11"/>
        <v>52</v>
      </c>
      <c r="O42" s="6">
        <v>1.8055555555555558</v>
      </c>
      <c r="P42" s="6">
        <v>2.916666666666667</v>
      </c>
      <c r="Q42" s="6">
        <f>O42/(0.1*O31)</f>
        <v>3.5135135135135136</v>
      </c>
      <c r="R42" s="6">
        <f>O42/(0.1*O34)</f>
        <v>3.0952380952380953</v>
      </c>
      <c r="S42" s="6">
        <f>P42/(0.9*P39)</f>
        <v>0.86419753086419748</v>
      </c>
      <c r="T42" s="6">
        <f t="shared" si="12"/>
        <v>4.377711044377711</v>
      </c>
      <c r="U42" s="6">
        <f t="shared" si="13"/>
        <v>3.9594356261022927</v>
      </c>
      <c r="V42" s="1">
        <f>O42/O31+P42/P39</f>
        <v>1.1291291291291292</v>
      </c>
      <c r="W42" s="1">
        <f>O42/O34+P42/P39</f>
        <v>1.0873015873015874</v>
      </c>
      <c r="X42" s="1">
        <f t="shared" si="9"/>
        <v>62</v>
      </c>
      <c r="Y42" s="6">
        <f t="shared" si="10"/>
        <v>4.7222222222222232</v>
      </c>
    </row>
    <row r="43" spans="1:25" x14ac:dyDescent="0.15">
      <c r="A43" s="1">
        <v>2022</v>
      </c>
      <c r="B43" s="1" t="s">
        <v>33</v>
      </c>
      <c r="C43" s="1">
        <v>2</v>
      </c>
      <c r="D43" s="1">
        <v>13</v>
      </c>
      <c r="E43" s="1" t="s">
        <v>36</v>
      </c>
      <c r="F43" s="1" t="s">
        <v>38</v>
      </c>
      <c r="G43" s="1" t="s">
        <v>14</v>
      </c>
      <c r="H43" s="1" t="s">
        <v>36</v>
      </c>
      <c r="I43" s="1">
        <v>2</v>
      </c>
      <c r="J43" s="3" t="s">
        <v>66</v>
      </c>
      <c r="K43" s="1" t="s">
        <v>42</v>
      </c>
      <c r="L43" s="1">
        <v>124</v>
      </c>
      <c r="M43" s="1">
        <v>66</v>
      </c>
      <c r="N43" s="7">
        <f t="shared" si="11"/>
        <v>58</v>
      </c>
      <c r="O43" s="6">
        <v>1.3888888888888888</v>
      </c>
      <c r="P43" s="6">
        <v>3.6111111111111116</v>
      </c>
      <c r="Q43" s="6">
        <f>O43/(0.1*O32)</f>
        <v>2.5</v>
      </c>
      <c r="R43" s="6">
        <f>O43/(0.1*O35)</f>
        <v>2.272727272727272</v>
      </c>
      <c r="S43" s="6">
        <f>P43/(0.9*P37)</f>
        <v>0.96296296296296302</v>
      </c>
      <c r="T43" s="6">
        <f t="shared" si="12"/>
        <v>3.4629629629629628</v>
      </c>
      <c r="U43" s="6">
        <f t="shared" si="13"/>
        <v>3.2356902356902353</v>
      </c>
      <c r="V43" s="1">
        <f>O43/O32+P43/P37</f>
        <v>1.1166666666666667</v>
      </c>
      <c r="W43" s="1">
        <f>O43/O35+P43/P37</f>
        <v>1.093939393939394</v>
      </c>
      <c r="X43" s="1">
        <f t="shared" si="9"/>
        <v>72</v>
      </c>
      <c r="Y43" s="6">
        <f t="shared" si="10"/>
        <v>5</v>
      </c>
    </row>
    <row r="44" spans="1:25" x14ac:dyDescent="0.15">
      <c r="A44" s="1">
        <v>2022</v>
      </c>
      <c r="B44" s="1" t="s">
        <v>33</v>
      </c>
      <c r="C44" s="1">
        <v>2</v>
      </c>
      <c r="D44" s="1">
        <v>14</v>
      </c>
      <c r="E44" s="1" t="s">
        <v>36</v>
      </c>
      <c r="F44" s="1" t="s">
        <v>39</v>
      </c>
      <c r="G44" s="1" t="s">
        <v>14</v>
      </c>
      <c r="H44" s="1" t="s">
        <v>36</v>
      </c>
      <c r="I44" s="1">
        <v>2</v>
      </c>
      <c r="J44" s="3" t="s">
        <v>67</v>
      </c>
      <c r="K44" s="1" t="s">
        <v>42</v>
      </c>
      <c r="L44" s="1">
        <v>121</v>
      </c>
      <c r="M44" s="1">
        <v>63</v>
      </c>
      <c r="N44" s="7">
        <f t="shared" si="11"/>
        <v>58</v>
      </c>
      <c r="O44" s="1">
        <v>1.1111111111111114</v>
      </c>
      <c r="P44" s="6">
        <v>3.0555555555555562</v>
      </c>
      <c r="Q44" s="6">
        <f>O44/(0.1*O32)</f>
        <v>2.0000000000000004</v>
      </c>
      <c r="R44" s="6">
        <f>O44/(0.1*O35)</f>
        <v>1.8181818181818181</v>
      </c>
      <c r="S44" s="6">
        <f>P44/(0.9*P38)</f>
        <v>1.0185185185185186</v>
      </c>
      <c r="T44" s="6">
        <f t="shared" si="12"/>
        <v>3.018518518518519</v>
      </c>
      <c r="U44" s="6">
        <f t="shared" si="13"/>
        <v>2.8367003367003365</v>
      </c>
      <c r="V44" s="1">
        <f>O44/O32+P44/P38</f>
        <v>1.1166666666666667</v>
      </c>
      <c r="W44" s="1">
        <f>O44/O35+P44/P38</f>
        <v>1.0984848484848486</v>
      </c>
      <c r="X44" s="1">
        <f t="shared" si="9"/>
        <v>73</v>
      </c>
      <c r="Y44" s="6">
        <f t="shared" si="10"/>
        <v>4.1666666666666679</v>
      </c>
    </row>
    <row r="45" spans="1:25" x14ac:dyDescent="0.15">
      <c r="A45" s="1">
        <v>2022</v>
      </c>
      <c r="B45" s="1" t="s">
        <v>33</v>
      </c>
      <c r="C45" s="1">
        <v>2</v>
      </c>
      <c r="D45" s="1">
        <v>15</v>
      </c>
      <c r="E45" s="1" t="s">
        <v>36</v>
      </c>
      <c r="F45" s="1" t="s">
        <v>40</v>
      </c>
      <c r="G45" s="1" t="s">
        <v>14</v>
      </c>
      <c r="H45" s="1" t="s">
        <v>36</v>
      </c>
      <c r="I45" s="1">
        <v>2</v>
      </c>
      <c r="J45" s="3" t="s">
        <v>68</v>
      </c>
      <c r="K45" s="1" t="s">
        <v>42</v>
      </c>
      <c r="L45" s="1">
        <v>122</v>
      </c>
      <c r="M45" s="1">
        <v>74</v>
      </c>
      <c r="N45" s="7">
        <f t="shared" si="11"/>
        <v>48</v>
      </c>
      <c r="O45" s="1">
        <v>1.5277777777777781</v>
      </c>
      <c r="P45" s="6">
        <v>3.1944444444444446</v>
      </c>
      <c r="Q45" s="6">
        <f>O45/(0.1*O32)</f>
        <v>2.7500000000000004</v>
      </c>
      <c r="R45" s="6">
        <f>O45/(0.1*O35)</f>
        <v>2.5</v>
      </c>
      <c r="S45" s="6">
        <f>P45/(0.9*P39)</f>
        <v>0.94650205761316863</v>
      </c>
      <c r="T45" s="6">
        <f t="shared" si="12"/>
        <v>3.6965020576131691</v>
      </c>
      <c r="U45" s="6">
        <f t="shared" si="13"/>
        <v>3.4465020576131686</v>
      </c>
      <c r="V45" s="1">
        <f>O45/O32+P45/P39</f>
        <v>1.1268518518518518</v>
      </c>
      <c r="W45" s="1">
        <f>O45/O35+P45/P39</f>
        <v>1.1018518518518516</v>
      </c>
      <c r="X45" s="1">
        <f t="shared" si="9"/>
        <v>68</v>
      </c>
      <c r="Y45" s="6">
        <f t="shared" si="10"/>
        <v>4.7222222222222232</v>
      </c>
    </row>
    <row r="46" spans="1:25" x14ac:dyDescent="0.15">
      <c r="A46" s="1">
        <v>2022</v>
      </c>
      <c r="B46" s="1" t="s">
        <v>33</v>
      </c>
      <c r="C46" s="1">
        <v>2</v>
      </c>
      <c r="D46" s="1">
        <v>16</v>
      </c>
      <c r="E46" s="1" t="s">
        <v>37</v>
      </c>
      <c r="F46" s="1" t="s">
        <v>38</v>
      </c>
      <c r="G46" s="1" t="s">
        <v>14</v>
      </c>
      <c r="H46" s="1" t="s">
        <v>37</v>
      </c>
      <c r="I46" s="1">
        <v>2</v>
      </c>
      <c r="J46" s="3" t="s">
        <v>69</v>
      </c>
      <c r="K46" s="1" t="s">
        <v>42</v>
      </c>
      <c r="L46" s="1">
        <v>97</v>
      </c>
      <c r="M46" s="1">
        <v>66</v>
      </c>
      <c r="N46" s="7">
        <f t="shared" si="11"/>
        <v>31</v>
      </c>
      <c r="O46" s="1">
        <v>0.55555555555555569</v>
      </c>
      <c r="P46" s="6">
        <v>3.8888888888888888</v>
      </c>
      <c r="Q46" s="6">
        <f>O46/(0.1*O33)</f>
        <v>1.1111111111111112</v>
      </c>
      <c r="R46" s="6">
        <f>O46/(0.1*O36)</f>
        <v>0.97560975609756106</v>
      </c>
      <c r="S46" s="6">
        <f>P46/(0.9*P37)</f>
        <v>1.037037037037037</v>
      </c>
      <c r="T46" s="6">
        <f t="shared" si="12"/>
        <v>2.1481481481481479</v>
      </c>
      <c r="U46" s="6">
        <f t="shared" si="13"/>
        <v>2.0126467931345982</v>
      </c>
      <c r="V46" s="1">
        <f>O46/O33+P46/P37</f>
        <v>1.0444444444444443</v>
      </c>
      <c r="W46" s="1">
        <f>O46/O36+P46/P37</f>
        <v>1.0308943089430893</v>
      </c>
      <c r="X46" s="1">
        <f t="shared" si="9"/>
        <v>88</v>
      </c>
      <c r="Y46" s="6">
        <f t="shared" si="10"/>
        <v>4.4444444444444446</v>
      </c>
    </row>
    <row r="47" spans="1:25" x14ac:dyDescent="0.15">
      <c r="A47" s="1">
        <v>2022</v>
      </c>
      <c r="B47" s="1" t="s">
        <v>33</v>
      </c>
      <c r="C47" s="1">
        <v>2</v>
      </c>
      <c r="D47" s="1">
        <v>17</v>
      </c>
      <c r="E47" s="1" t="s">
        <v>37</v>
      </c>
      <c r="F47" s="1" t="s">
        <v>39</v>
      </c>
      <c r="G47" s="1" t="s">
        <v>14</v>
      </c>
      <c r="H47" s="1" t="s">
        <v>37</v>
      </c>
      <c r="I47" s="1">
        <v>2</v>
      </c>
      <c r="J47" s="3" t="s">
        <v>70</v>
      </c>
      <c r="K47" s="1" t="s">
        <v>42</v>
      </c>
      <c r="L47" s="1">
        <v>77</v>
      </c>
      <c r="M47" s="1">
        <v>56</v>
      </c>
      <c r="N47" s="7">
        <f t="shared" si="11"/>
        <v>21</v>
      </c>
      <c r="O47" s="6">
        <v>1.1111111111111114</v>
      </c>
      <c r="P47" s="6">
        <v>3.6111111111111116</v>
      </c>
      <c r="Q47" s="6">
        <f>O47/(0.1*O33)</f>
        <v>2.2222222222222223</v>
      </c>
      <c r="R47" s="6">
        <f>O47/(0.1*O36)</f>
        <v>1.9512195121951221</v>
      </c>
      <c r="S47" s="6">
        <f>P47/(0.9*P38)</f>
        <v>1.2037037037037037</v>
      </c>
      <c r="T47" s="6">
        <f t="shared" si="12"/>
        <v>3.425925925925926</v>
      </c>
      <c r="U47" s="6">
        <f t="shared" si="13"/>
        <v>3.1549232158988261</v>
      </c>
      <c r="V47" s="1">
        <f>O47/O33+P47/P38</f>
        <v>1.3055555555555556</v>
      </c>
      <c r="W47" s="1">
        <f>O47/O36+P47/P38</f>
        <v>1.2784552845528454</v>
      </c>
      <c r="X47" s="1">
        <f t="shared" si="9"/>
        <v>76</v>
      </c>
      <c r="Y47" s="6">
        <f t="shared" si="10"/>
        <v>4.7222222222222232</v>
      </c>
    </row>
    <row r="48" spans="1:25" x14ac:dyDescent="0.15">
      <c r="A48" s="1">
        <v>2022</v>
      </c>
      <c r="B48" s="1" t="s">
        <v>33</v>
      </c>
      <c r="C48" s="1">
        <v>2</v>
      </c>
      <c r="D48" s="1">
        <v>18</v>
      </c>
      <c r="E48" s="1" t="s">
        <v>37</v>
      </c>
      <c r="F48" s="1" t="s">
        <v>40</v>
      </c>
      <c r="G48" s="1" t="s">
        <v>14</v>
      </c>
      <c r="H48" s="1" t="s">
        <v>37</v>
      </c>
      <c r="I48" s="1">
        <v>2</v>
      </c>
      <c r="J48" s="3" t="s">
        <v>71</v>
      </c>
      <c r="K48" s="1" t="s">
        <v>42</v>
      </c>
      <c r="L48" s="1">
        <v>109</v>
      </c>
      <c r="M48" s="1">
        <v>79</v>
      </c>
      <c r="N48" s="7">
        <f t="shared" si="11"/>
        <v>30</v>
      </c>
      <c r="O48" s="6">
        <v>0.97222222222222221</v>
      </c>
      <c r="P48" s="6">
        <v>3.4722222222222228</v>
      </c>
      <c r="Q48" s="6">
        <f>O48/(0.1*O33)</f>
        <v>1.944444444444444</v>
      </c>
      <c r="R48" s="6">
        <f>O48/(0.1*O36)</f>
        <v>1.7073170731707314</v>
      </c>
      <c r="S48" s="6">
        <f>P48/(0.9*P39)</f>
        <v>1.0288065843621399</v>
      </c>
      <c r="T48" s="6">
        <f t="shared" si="12"/>
        <v>2.9732510288065841</v>
      </c>
      <c r="U48" s="6">
        <f t="shared" si="13"/>
        <v>2.7361236575328713</v>
      </c>
      <c r="V48" s="1">
        <f>O48/O33+P48/P39</f>
        <v>1.1203703703703702</v>
      </c>
      <c r="W48" s="1">
        <f>O48/O36+P48/P39</f>
        <v>1.0966576332429991</v>
      </c>
      <c r="X48" s="1">
        <f t="shared" si="9"/>
        <v>78</v>
      </c>
      <c r="Y48" s="6">
        <f t="shared" si="10"/>
        <v>4.4444444444444446</v>
      </c>
    </row>
    <row r="49" spans="1:25" x14ac:dyDescent="0.15">
      <c r="A49" s="1">
        <v>2022</v>
      </c>
      <c r="B49" s="1" t="s">
        <v>33</v>
      </c>
      <c r="C49" s="1">
        <v>3</v>
      </c>
      <c r="D49" s="1">
        <v>1</v>
      </c>
      <c r="E49" s="1" t="s">
        <v>35</v>
      </c>
      <c r="F49" s="1"/>
      <c r="G49" s="1" t="s">
        <v>41</v>
      </c>
      <c r="H49" s="1" t="s">
        <v>35</v>
      </c>
      <c r="I49" s="1">
        <v>3</v>
      </c>
      <c r="J49" s="3" t="s">
        <v>35</v>
      </c>
      <c r="K49" s="1" t="s">
        <v>42</v>
      </c>
      <c r="L49" s="1">
        <v>114</v>
      </c>
      <c r="M49" s="1" t="s">
        <v>45</v>
      </c>
      <c r="N49" s="7" t="s">
        <v>45</v>
      </c>
      <c r="O49" s="6">
        <v>5.8333333333333339</v>
      </c>
      <c r="P49" s="6" t="s">
        <v>45</v>
      </c>
      <c r="Q49" s="6" t="s">
        <v>45</v>
      </c>
      <c r="R49" s="6" t="s">
        <v>45</v>
      </c>
      <c r="S49" s="6" t="s">
        <v>45</v>
      </c>
      <c r="T49" s="6" t="s">
        <v>45</v>
      </c>
      <c r="U49" s="6" t="s">
        <v>45</v>
      </c>
      <c r="V49" s="1" t="s">
        <v>45</v>
      </c>
      <c r="W49" s="1" t="s">
        <v>45</v>
      </c>
      <c r="X49" s="6" t="s">
        <v>45</v>
      </c>
      <c r="Y49" s="6">
        <f>O49</f>
        <v>5.8333333333333339</v>
      </c>
    </row>
    <row r="50" spans="1:25" x14ac:dyDescent="0.15">
      <c r="A50" s="1">
        <v>2022</v>
      </c>
      <c r="B50" s="1" t="s">
        <v>33</v>
      </c>
      <c r="C50" s="1">
        <v>3</v>
      </c>
      <c r="D50" s="1">
        <v>2</v>
      </c>
      <c r="E50" s="1" t="s">
        <v>36</v>
      </c>
      <c r="F50" s="1"/>
      <c r="G50" s="1" t="s">
        <v>41</v>
      </c>
      <c r="H50" s="1" t="s">
        <v>36</v>
      </c>
      <c r="I50" s="1">
        <v>3</v>
      </c>
      <c r="J50" s="3" t="s">
        <v>36</v>
      </c>
      <c r="K50" s="1" t="s">
        <v>42</v>
      </c>
      <c r="L50" s="1">
        <v>107</v>
      </c>
      <c r="M50" s="1" t="s">
        <v>45</v>
      </c>
      <c r="N50" s="7" t="s">
        <v>45</v>
      </c>
      <c r="O50" s="6">
        <v>5.1388888888888893</v>
      </c>
      <c r="P50" s="6" t="s">
        <v>45</v>
      </c>
      <c r="Q50" s="6" t="s">
        <v>45</v>
      </c>
      <c r="R50" s="6" t="s">
        <v>45</v>
      </c>
      <c r="S50" s="6" t="s">
        <v>45</v>
      </c>
      <c r="T50" s="6" t="s">
        <v>45</v>
      </c>
      <c r="U50" s="6" t="s">
        <v>45</v>
      </c>
      <c r="V50" s="1" t="s">
        <v>45</v>
      </c>
      <c r="W50" s="1" t="s">
        <v>45</v>
      </c>
      <c r="X50" s="6" t="s">
        <v>45</v>
      </c>
      <c r="Y50" s="6">
        <f t="shared" ref="Y50:Y54" si="14">O50</f>
        <v>5.1388888888888893</v>
      </c>
    </row>
    <row r="51" spans="1:25" x14ac:dyDescent="0.15">
      <c r="A51" s="1">
        <v>2022</v>
      </c>
      <c r="B51" s="1" t="s">
        <v>33</v>
      </c>
      <c r="C51" s="1">
        <v>3</v>
      </c>
      <c r="D51" s="1">
        <v>3</v>
      </c>
      <c r="E51" s="1" t="s">
        <v>37</v>
      </c>
      <c r="F51" s="1"/>
      <c r="G51" s="1" t="s">
        <v>41</v>
      </c>
      <c r="H51" s="1" t="s">
        <v>37</v>
      </c>
      <c r="I51" s="1">
        <v>3</v>
      </c>
      <c r="J51" s="3" t="s">
        <v>37</v>
      </c>
      <c r="K51" s="1" t="s">
        <v>42</v>
      </c>
      <c r="L51" s="1">
        <v>79</v>
      </c>
      <c r="M51" s="1" t="s">
        <v>45</v>
      </c>
      <c r="N51" s="7" t="s">
        <v>45</v>
      </c>
      <c r="O51" s="6">
        <v>4.5833333333333339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6" t="s">
        <v>45</v>
      </c>
      <c r="V51" s="1" t="s">
        <v>45</v>
      </c>
      <c r="W51" s="1" t="s">
        <v>45</v>
      </c>
      <c r="X51" s="6" t="s">
        <v>45</v>
      </c>
      <c r="Y51" s="6">
        <f t="shared" si="14"/>
        <v>4.5833333333333339</v>
      </c>
    </row>
    <row r="52" spans="1:25" x14ac:dyDescent="0.15">
      <c r="A52" s="1">
        <v>2022</v>
      </c>
      <c r="B52" s="1" t="s">
        <v>33</v>
      </c>
      <c r="C52" s="1">
        <v>3</v>
      </c>
      <c r="D52" s="1">
        <v>4</v>
      </c>
      <c r="E52" s="1" t="s">
        <v>35</v>
      </c>
      <c r="F52" s="1"/>
      <c r="G52" s="1" t="s">
        <v>41</v>
      </c>
      <c r="H52" s="1" t="s">
        <v>75</v>
      </c>
      <c r="I52" s="1">
        <v>3</v>
      </c>
      <c r="J52" s="3" t="s">
        <v>35</v>
      </c>
      <c r="K52" s="1" t="s">
        <v>43</v>
      </c>
      <c r="L52" s="1">
        <v>115</v>
      </c>
      <c r="M52" s="1" t="s">
        <v>45</v>
      </c>
      <c r="N52" s="7" t="s">
        <v>45</v>
      </c>
      <c r="O52" s="6">
        <v>6.6666666666666679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6" t="s">
        <v>45</v>
      </c>
      <c r="V52" s="1" t="s">
        <v>45</v>
      </c>
      <c r="W52" s="1" t="s">
        <v>45</v>
      </c>
      <c r="X52" s="1" t="s">
        <v>45</v>
      </c>
      <c r="Y52" s="6">
        <f t="shared" si="14"/>
        <v>6.6666666666666679</v>
      </c>
    </row>
    <row r="53" spans="1:25" x14ac:dyDescent="0.15">
      <c r="A53" s="1">
        <v>2022</v>
      </c>
      <c r="B53" s="1" t="s">
        <v>33</v>
      </c>
      <c r="C53" s="1">
        <v>3</v>
      </c>
      <c r="D53" s="1">
        <v>5</v>
      </c>
      <c r="E53" s="1" t="s">
        <v>36</v>
      </c>
      <c r="F53" s="1"/>
      <c r="G53" s="1" t="s">
        <v>41</v>
      </c>
      <c r="H53" s="1" t="s">
        <v>76</v>
      </c>
      <c r="I53" s="1">
        <v>3</v>
      </c>
      <c r="J53" s="3" t="s">
        <v>36</v>
      </c>
      <c r="K53" s="1" t="s">
        <v>43</v>
      </c>
      <c r="L53" s="1">
        <v>117</v>
      </c>
      <c r="M53" s="1" t="s">
        <v>45</v>
      </c>
      <c r="N53" s="7" t="s">
        <v>45</v>
      </c>
      <c r="O53" s="6">
        <v>6.5277777777777786</v>
      </c>
      <c r="P53" s="6" t="s">
        <v>45</v>
      </c>
      <c r="Q53" s="6" t="s">
        <v>45</v>
      </c>
      <c r="R53" s="6" t="s">
        <v>45</v>
      </c>
      <c r="S53" s="6" t="s">
        <v>45</v>
      </c>
      <c r="T53" s="6" t="s">
        <v>45</v>
      </c>
      <c r="U53" s="6" t="s">
        <v>45</v>
      </c>
      <c r="V53" s="1" t="s">
        <v>45</v>
      </c>
      <c r="W53" s="1" t="s">
        <v>45</v>
      </c>
      <c r="X53" s="1" t="s">
        <v>45</v>
      </c>
      <c r="Y53" s="6">
        <f t="shared" si="14"/>
        <v>6.5277777777777786</v>
      </c>
    </row>
    <row r="54" spans="1:25" x14ac:dyDescent="0.15">
      <c r="A54" s="1">
        <v>2022</v>
      </c>
      <c r="B54" s="1" t="s">
        <v>33</v>
      </c>
      <c r="C54" s="1">
        <v>3</v>
      </c>
      <c r="D54" s="1">
        <v>6</v>
      </c>
      <c r="E54" s="1" t="s">
        <v>37</v>
      </c>
      <c r="F54" s="1"/>
      <c r="G54" s="1" t="s">
        <v>41</v>
      </c>
      <c r="H54" s="1" t="s">
        <v>77</v>
      </c>
      <c r="I54" s="1">
        <v>3</v>
      </c>
      <c r="J54" s="3" t="s">
        <v>37</v>
      </c>
      <c r="K54" s="1" t="s">
        <v>43</v>
      </c>
      <c r="L54" s="1">
        <v>83</v>
      </c>
      <c r="M54" s="1" t="s">
        <v>45</v>
      </c>
      <c r="N54" s="7" t="s">
        <v>45</v>
      </c>
      <c r="O54" s="6">
        <v>5.8333333333333339</v>
      </c>
      <c r="P54" s="6" t="s">
        <v>45</v>
      </c>
      <c r="Q54" s="6" t="s">
        <v>45</v>
      </c>
      <c r="R54" s="6" t="s">
        <v>45</v>
      </c>
      <c r="S54" s="6" t="s">
        <v>45</v>
      </c>
      <c r="T54" s="6" t="s">
        <v>45</v>
      </c>
      <c r="U54" s="6" t="s">
        <v>45</v>
      </c>
      <c r="V54" s="1" t="s">
        <v>45</v>
      </c>
      <c r="W54" s="1" t="s">
        <v>45</v>
      </c>
      <c r="X54" s="1" t="s">
        <v>45</v>
      </c>
      <c r="Y54" s="6">
        <f t="shared" si="14"/>
        <v>5.8333333333333339</v>
      </c>
    </row>
    <row r="55" spans="1:25" x14ac:dyDescent="0.15">
      <c r="A55" s="1">
        <v>2022</v>
      </c>
      <c r="B55" s="1" t="s">
        <v>33</v>
      </c>
      <c r="C55" s="1">
        <v>3</v>
      </c>
      <c r="D55" s="1">
        <v>7</v>
      </c>
      <c r="E55" s="1"/>
      <c r="F55" s="1" t="s">
        <v>38</v>
      </c>
      <c r="G55" s="1" t="s">
        <v>41</v>
      </c>
      <c r="H55" s="1"/>
      <c r="I55" s="1">
        <v>3</v>
      </c>
      <c r="J55" s="3" t="s">
        <v>38</v>
      </c>
      <c r="K55" s="1" t="s">
        <v>42</v>
      </c>
      <c r="L55" s="1" t="s">
        <v>45</v>
      </c>
      <c r="M55" s="1">
        <v>50</v>
      </c>
      <c r="N55" s="7" t="s">
        <v>45</v>
      </c>
      <c r="O55" s="6" t="s">
        <v>45</v>
      </c>
      <c r="P55" s="6">
        <v>3.0555555555555562</v>
      </c>
      <c r="Q55" s="6" t="s">
        <v>45</v>
      </c>
      <c r="R55" s="6" t="s">
        <v>45</v>
      </c>
      <c r="S55" s="6" t="s">
        <v>45</v>
      </c>
      <c r="T55" s="6" t="s">
        <v>45</v>
      </c>
      <c r="U55" s="6" t="s">
        <v>45</v>
      </c>
      <c r="V55" s="1" t="s">
        <v>45</v>
      </c>
      <c r="W55" s="1" t="s">
        <v>45</v>
      </c>
      <c r="X55" s="1" t="s">
        <v>45</v>
      </c>
      <c r="Y55" s="6">
        <f>P55</f>
        <v>3.0555555555555562</v>
      </c>
    </row>
    <row r="56" spans="1:25" x14ac:dyDescent="0.15">
      <c r="A56" s="1">
        <v>2022</v>
      </c>
      <c r="B56" s="1" t="s">
        <v>33</v>
      </c>
      <c r="C56" s="1">
        <v>3</v>
      </c>
      <c r="D56" s="1">
        <v>8</v>
      </c>
      <c r="E56" s="1"/>
      <c r="F56" s="1" t="s">
        <v>39</v>
      </c>
      <c r="G56" s="1" t="s">
        <v>41</v>
      </c>
      <c r="H56" s="1"/>
      <c r="I56" s="1">
        <v>3</v>
      </c>
      <c r="J56" s="3" t="s">
        <v>39</v>
      </c>
      <c r="K56" s="1" t="s">
        <v>42</v>
      </c>
      <c r="L56" s="1" t="s">
        <v>45</v>
      </c>
      <c r="M56" s="1">
        <v>42</v>
      </c>
      <c r="N56" s="7" t="s">
        <v>45</v>
      </c>
      <c r="O56" s="6" t="s">
        <v>45</v>
      </c>
      <c r="P56" s="6">
        <v>3.4722222222222228</v>
      </c>
      <c r="Q56" s="6" t="s">
        <v>45</v>
      </c>
      <c r="R56" s="6" t="s">
        <v>45</v>
      </c>
      <c r="S56" s="6" t="s">
        <v>45</v>
      </c>
      <c r="T56" s="6" t="s">
        <v>45</v>
      </c>
      <c r="U56" s="6" t="s">
        <v>45</v>
      </c>
      <c r="V56" s="1" t="s">
        <v>45</v>
      </c>
      <c r="W56" s="1" t="s">
        <v>45</v>
      </c>
      <c r="X56" s="1" t="s">
        <v>45</v>
      </c>
      <c r="Y56" s="6">
        <f t="shared" ref="Y56:Y57" si="15">P56</f>
        <v>3.4722222222222228</v>
      </c>
    </row>
    <row r="57" spans="1:25" x14ac:dyDescent="0.15">
      <c r="A57" s="1">
        <v>2022</v>
      </c>
      <c r="B57" s="1" t="s">
        <v>33</v>
      </c>
      <c r="C57" s="1">
        <v>3</v>
      </c>
      <c r="D57" s="1">
        <v>9</v>
      </c>
      <c r="E57" s="1"/>
      <c r="F57" s="1" t="s">
        <v>40</v>
      </c>
      <c r="G57" s="1" t="s">
        <v>41</v>
      </c>
      <c r="H57" s="1"/>
      <c r="I57" s="1">
        <v>3</v>
      </c>
      <c r="J57" s="3" t="s">
        <v>40</v>
      </c>
      <c r="K57" s="1" t="s">
        <v>42</v>
      </c>
      <c r="L57" s="1" t="s">
        <v>45</v>
      </c>
      <c r="M57" s="1">
        <v>74</v>
      </c>
      <c r="N57" s="7" t="s">
        <v>45</v>
      </c>
      <c r="O57" s="1" t="s">
        <v>45</v>
      </c>
      <c r="P57" s="6">
        <v>3.1944444444444446</v>
      </c>
      <c r="Q57" s="6" t="s">
        <v>45</v>
      </c>
      <c r="R57" s="6" t="s">
        <v>45</v>
      </c>
      <c r="S57" s="6" t="s">
        <v>45</v>
      </c>
      <c r="T57" s="6" t="s">
        <v>45</v>
      </c>
      <c r="U57" s="6" t="s">
        <v>45</v>
      </c>
      <c r="V57" s="1" t="s">
        <v>45</v>
      </c>
      <c r="W57" s="1" t="s">
        <v>45</v>
      </c>
      <c r="X57" s="1" t="s">
        <v>45</v>
      </c>
      <c r="Y57" s="6">
        <f t="shared" si="15"/>
        <v>3.1944444444444446</v>
      </c>
    </row>
    <row r="58" spans="1:25" x14ac:dyDescent="0.15">
      <c r="A58" s="1">
        <v>2022</v>
      </c>
      <c r="B58" s="1" t="s">
        <v>33</v>
      </c>
      <c r="C58" s="1">
        <v>3</v>
      </c>
      <c r="D58" s="1">
        <v>10</v>
      </c>
      <c r="E58" s="1" t="s">
        <v>35</v>
      </c>
      <c r="F58" s="1" t="s">
        <v>38</v>
      </c>
      <c r="G58" s="1" t="s">
        <v>14</v>
      </c>
      <c r="H58" s="1" t="s">
        <v>35</v>
      </c>
      <c r="I58" s="1">
        <v>3</v>
      </c>
      <c r="J58" s="3" t="s">
        <v>63</v>
      </c>
      <c r="K58" s="1" t="s">
        <v>42</v>
      </c>
      <c r="L58" s="1">
        <v>121</v>
      </c>
      <c r="M58" s="1">
        <v>70</v>
      </c>
      <c r="N58" s="7">
        <f>L58-M58</f>
        <v>51</v>
      </c>
      <c r="O58" s="1">
        <v>0.69444444444444442</v>
      </c>
      <c r="P58" s="6">
        <v>3.6111111111111116</v>
      </c>
      <c r="Q58" s="6">
        <f>O58/(0.1*O49)</f>
        <v>1.1904761904761905</v>
      </c>
      <c r="R58" s="6">
        <f>O58/(0.1*O52)</f>
        <v>1.0416666666666663</v>
      </c>
      <c r="S58" s="6">
        <f>P58/(0.9*P55)</f>
        <v>1.3131313131313129</v>
      </c>
      <c r="T58" s="6">
        <f>Q58+S58</f>
        <v>2.5036075036075034</v>
      </c>
      <c r="U58" s="6">
        <f>R58+S58</f>
        <v>2.3547979797979792</v>
      </c>
      <c r="V58" s="1">
        <f>O58/O49+P58/P55</f>
        <v>1.3008658008658007</v>
      </c>
      <c r="W58" s="1">
        <f>O58/O52+P58/P55</f>
        <v>1.2859848484848484</v>
      </c>
      <c r="X58" s="1">
        <f t="shared" ref="X58:X66" si="16">100*ROUND(P58/(P58+O58), 2)</f>
        <v>84</v>
      </c>
      <c r="Y58" s="6">
        <f t="shared" ref="Y58:Y66" si="17">O58+P58</f>
        <v>4.3055555555555562</v>
      </c>
    </row>
    <row r="59" spans="1:25" x14ac:dyDescent="0.15">
      <c r="A59" s="1">
        <v>2022</v>
      </c>
      <c r="B59" s="1" t="s">
        <v>33</v>
      </c>
      <c r="C59" s="1">
        <v>3</v>
      </c>
      <c r="D59" s="1">
        <v>11</v>
      </c>
      <c r="E59" s="1" t="s">
        <v>35</v>
      </c>
      <c r="F59" s="1" t="s">
        <v>39</v>
      </c>
      <c r="G59" s="1" t="s">
        <v>14</v>
      </c>
      <c r="H59" s="1" t="s">
        <v>35</v>
      </c>
      <c r="I59" s="1">
        <v>3</v>
      </c>
      <c r="J59" s="3" t="s">
        <v>64</v>
      </c>
      <c r="K59" s="1" t="s">
        <v>42</v>
      </c>
      <c r="L59" s="1">
        <v>125</v>
      </c>
      <c r="M59" s="1">
        <v>62</v>
      </c>
      <c r="N59" s="7">
        <f t="shared" ref="N59:N66" si="18">L59-M59</f>
        <v>63</v>
      </c>
      <c r="O59" s="1">
        <v>1.1111111111111114</v>
      </c>
      <c r="P59" s="6">
        <v>3.1944444444444446</v>
      </c>
      <c r="Q59" s="6">
        <f>O59/(0.1*O49)</f>
        <v>1.9047619047619051</v>
      </c>
      <c r="R59" s="6">
        <f>O59/(0.1*O52)</f>
        <v>1.6666666666666665</v>
      </c>
      <c r="S59" s="6">
        <f>P59/(0.9*P56)</f>
        <v>1.0222222222222221</v>
      </c>
      <c r="T59" s="6">
        <f t="shared" ref="T59:T66" si="19">Q59+S59</f>
        <v>2.9269841269841272</v>
      </c>
      <c r="U59" s="6">
        <f t="shared" ref="U59:U66" si="20">R59+S59</f>
        <v>2.6888888888888887</v>
      </c>
      <c r="V59" s="1">
        <f>O59/O49+P59/P56</f>
        <v>1.1104761904761904</v>
      </c>
      <c r="W59" s="1">
        <f>O59/O52+P59/P56</f>
        <v>1.0866666666666667</v>
      </c>
      <c r="X59" s="1">
        <f t="shared" si="16"/>
        <v>74</v>
      </c>
      <c r="Y59" s="6">
        <f t="shared" si="17"/>
        <v>4.3055555555555562</v>
      </c>
    </row>
    <row r="60" spans="1:25" x14ac:dyDescent="0.15">
      <c r="A60" s="1">
        <v>2022</v>
      </c>
      <c r="B60" s="1" t="s">
        <v>33</v>
      </c>
      <c r="C60" s="1">
        <v>3</v>
      </c>
      <c r="D60" s="1">
        <v>12</v>
      </c>
      <c r="E60" s="1" t="s">
        <v>35</v>
      </c>
      <c r="F60" s="1" t="s">
        <v>40</v>
      </c>
      <c r="G60" s="1" t="s">
        <v>14</v>
      </c>
      <c r="H60" s="1" t="s">
        <v>35</v>
      </c>
      <c r="I60" s="1">
        <v>3</v>
      </c>
      <c r="J60" s="3" t="s">
        <v>65</v>
      </c>
      <c r="K60" s="1" t="s">
        <v>42</v>
      </c>
      <c r="L60" s="1">
        <v>120</v>
      </c>
      <c r="M60" s="1">
        <v>66</v>
      </c>
      <c r="N60" s="7">
        <f t="shared" si="18"/>
        <v>54</v>
      </c>
      <c r="O60" s="6">
        <v>1.666666666666667</v>
      </c>
      <c r="P60" s="6">
        <v>2.916666666666667</v>
      </c>
      <c r="Q60" s="6">
        <f>O60/(0.1*O49)</f>
        <v>2.8571428571428577</v>
      </c>
      <c r="R60" s="6">
        <f>O60/(0.1*O52)</f>
        <v>2.4999999999999996</v>
      </c>
      <c r="S60" s="6">
        <f>P60/(0.9*P57)</f>
        <v>1.0144927536231882</v>
      </c>
      <c r="T60" s="6">
        <f t="shared" si="19"/>
        <v>3.8716356107660461</v>
      </c>
      <c r="U60" s="6">
        <f t="shared" si="20"/>
        <v>3.5144927536231876</v>
      </c>
      <c r="V60" s="1">
        <f>O60/O49+P60/P57</f>
        <v>1.1987577639751554</v>
      </c>
      <c r="W60" s="1">
        <f>O60/O52+P60/P57</f>
        <v>1.1630434782608696</v>
      </c>
      <c r="X60" s="1">
        <f t="shared" si="16"/>
        <v>64</v>
      </c>
      <c r="Y60" s="6">
        <f t="shared" si="17"/>
        <v>4.5833333333333339</v>
      </c>
    </row>
    <row r="61" spans="1:25" x14ac:dyDescent="0.15">
      <c r="A61" s="1">
        <v>2022</v>
      </c>
      <c r="B61" s="1" t="s">
        <v>33</v>
      </c>
      <c r="C61" s="1">
        <v>3</v>
      </c>
      <c r="D61" s="1">
        <v>13</v>
      </c>
      <c r="E61" s="1" t="s">
        <v>36</v>
      </c>
      <c r="F61" s="1" t="s">
        <v>38</v>
      </c>
      <c r="G61" s="1" t="s">
        <v>14</v>
      </c>
      <c r="H61" s="1" t="s">
        <v>36</v>
      </c>
      <c r="I61" s="1">
        <v>3</v>
      </c>
      <c r="J61" s="3" t="s">
        <v>66</v>
      </c>
      <c r="K61" s="1" t="s">
        <v>42</v>
      </c>
      <c r="L61" s="1">
        <v>108</v>
      </c>
      <c r="M61" s="1">
        <v>64</v>
      </c>
      <c r="N61" s="7">
        <f t="shared" si="18"/>
        <v>44</v>
      </c>
      <c r="O61" s="6">
        <v>1.1111111111111114</v>
      </c>
      <c r="P61" s="6">
        <v>3.0555555555555562</v>
      </c>
      <c r="Q61" s="6">
        <f>O61/(0.1*O50)</f>
        <v>2.1621621621621623</v>
      </c>
      <c r="R61" s="6">
        <f>O61/(0.1*O53)</f>
        <v>1.7021276595744681</v>
      </c>
      <c r="S61" s="6">
        <f>P61/(0.9*P55)</f>
        <v>1.1111111111111109</v>
      </c>
      <c r="T61" s="6">
        <f t="shared" si="19"/>
        <v>3.273273273273273</v>
      </c>
      <c r="U61" s="6">
        <f t="shared" si="20"/>
        <v>2.813238770685579</v>
      </c>
      <c r="V61" s="1">
        <f>O61/O50+P61/P55</f>
        <v>1.2162162162162162</v>
      </c>
      <c r="W61" s="1">
        <f>O61/O53+P61/P55</f>
        <v>1.1702127659574468</v>
      </c>
      <c r="X61" s="1">
        <f t="shared" si="16"/>
        <v>73</v>
      </c>
      <c r="Y61" s="6">
        <f t="shared" si="17"/>
        <v>4.1666666666666679</v>
      </c>
    </row>
    <row r="62" spans="1:25" x14ac:dyDescent="0.15">
      <c r="A62" s="1">
        <v>2022</v>
      </c>
      <c r="B62" s="1" t="s">
        <v>33</v>
      </c>
      <c r="C62" s="1">
        <v>3</v>
      </c>
      <c r="D62" s="1">
        <v>14</v>
      </c>
      <c r="E62" s="1" t="s">
        <v>36</v>
      </c>
      <c r="F62" s="1" t="s">
        <v>39</v>
      </c>
      <c r="G62" s="1" t="s">
        <v>14</v>
      </c>
      <c r="H62" s="1" t="s">
        <v>36</v>
      </c>
      <c r="I62" s="1">
        <v>3</v>
      </c>
      <c r="J62" s="3" t="s">
        <v>67</v>
      </c>
      <c r="K62" s="1" t="s">
        <v>42</v>
      </c>
      <c r="L62" s="1">
        <v>108</v>
      </c>
      <c r="M62" s="1">
        <v>40</v>
      </c>
      <c r="N62" s="7">
        <f t="shared" si="18"/>
        <v>68</v>
      </c>
      <c r="O62" s="6">
        <v>1.5277777777777781</v>
      </c>
      <c r="P62" s="6">
        <v>2.6388888888888888</v>
      </c>
      <c r="Q62" s="6">
        <f>O62/(0.1*O50)</f>
        <v>2.9729729729729732</v>
      </c>
      <c r="R62" s="6">
        <f>O62/(0.1*O53)</f>
        <v>2.3404255319148937</v>
      </c>
      <c r="S62" s="6">
        <f>P62/(0.9*P56)</f>
        <v>0.84444444444444433</v>
      </c>
      <c r="T62" s="6">
        <f t="shared" si="19"/>
        <v>3.8174174174174178</v>
      </c>
      <c r="U62" s="6">
        <f t="shared" si="20"/>
        <v>3.1848699763593382</v>
      </c>
      <c r="V62" s="1">
        <f>O62/O50+P62/P56</f>
        <v>1.0572972972972972</v>
      </c>
      <c r="W62" s="1">
        <f>O62/O53+P62/P56</f>
        <v>0.99404255319148926</v>
      </c>
      <c r="X62" s="1">
        <f t="shared" si="16"/>
        <v>63</v>
      </c>
      <c r="Y62" s="6">
        <f t="shared" si="17"/>
        <v>4.166666666666667</v>
      </c>
    </row>
    <row r="63" spans="1:25" x14ac:dyDescent="0.15">
      <c r="A63" s="1">
        <v>2022</v>
      </c>
      <c r="B63" s="1" t="s">
        <v>33</v>
      </c>
      <c r="C63" s="1">
        <v>3</v>
      </c>
      <c r="D63" s="1">
        <v>15</v>
      </c>
      <c r="E63" s="1" t="s">
        <v>36</v>
      </c>
      <c r="F63" s="1" t="s">
        <v>40</v>
      </c>
      <c r="G63" s="1" t="s">
        <v>14</v>
      </c>
      <c r="H63" s="1" t="s">
        <v>36</v>
      </c>
      <c r="I63" s="1">
        <v>3</v>
      </c>
      <c r="J63" s="3" t="s">
        <v>68</v>
      </c>
      <c r="K63" s="1" t="s">
        <v>42</v>
      </c>
      <c r="L63" s="1">
        <v>122</v>
      </c>
      <c r="M63" s="1">
        <v>77</v>
      </c>
      <c r="N63" s="7">
        <f t="shared" si="18"/>
        <v>45</v>
      </c>
      <c r="O63" s="6">
        <v>1.666666666666667</v>
      </c>
      <c r="P63" s="6">
        <v>2.916666666666667</v>
      </c>
      <c r="Q63" s="6">
        <f>O63/(0.1*O50)</f>
        <v>3.2432432432432434</v>
      </c>
      <c r="R63" s="6">
        <f>O63/(0.1*O53)</f>
        <v>2.5531914893617023</v>
      </c>
      <c r="S63" s="6">
        <f>P63/(0.9*P57)</f>
        <v>1.0144927536231882</v>
      </c>
      <c r="T63" s="6">
        <f t="shared" si="19"/>
        <v>4.2577359968664314</v>
      </c>
      <c r="U63" s="6">
        <f t="shared" si="20"/>
        <v>3.5676842429848907</v>
      </c>
      <c r="V63" s="1">
        <f>O63/O50+P63/P57</f>
        <v>1.237367802585194</v>
      </c>
      <c r="W63" s="1">
        <f>O63/O53+P63/P57</f>
        <v>1.1683626271970398</v>
      </c>
      <c r="X63" s="1">
        <f t="shared" si="16"/>
        <v>64</v>
      </c>
      <c r="Y63" s="6">
        <f t="shared" si="17"/>
        <v>4.5833333333333339</v>
      </c>
    </row>
    <row r="64" spans="1:25" x14ac:dyDescent="0.15">
      <c r="A64" s="1">
        <v>2022</v>
      </c>
      <c r="B64" s="1" t="s">
        <v>33</v>
      </c>
      <c r="C64" s="1">
        <v>3</v>
      </c>
      <c r="D64" s="1">
        <v>16</v>
      </c>
      <c r="E64" s="1" t="s">
        <v>37</v>
      </c>
      <c r="F64" s="1" t="s">
        <v>38</v>
      </c>
      <c r="G64" s="1" t="s">
        <v>14</v>
      </c>
      <c r="H64" s="1" t="s">
        <v>37</v>
      </c>
      <c r="I64" s="1">
        <v>3</v>
      </c>
      <c r="J64" s="3" t="s">
        <v>69</v>
      </c>
      <c r="K64" s="1" t="s">
        <v>42</v>
      </c>
      <c r="L64" s="1">
        <v>92</v>
      </c>
      <c r="M64" s="1">
        <v>67</v>
      </c>
      <c r="N64" s="7">
        <f t="shared" si="18"/>
        <v>25</v>
      </c>
      <c r="O64" s="6">
        <v>0.41666666666666674</v>
      </c>
      <c r="P64" s="6">
        <v>3.7500000000000004</v>
      </c>
      <c r="Q64" s="6">
        <f>O64/(0.1*O51)</f>
        <v>0.90909090909090906</v>
      </c>
      <c r="R64" s="6">
        <f>O64/(0.1*O54)</f>
        <v>0.71428571428571441</v>
      </c>
      <c r="S64" s="6">
        <f>P64/(0.9*P55)</f>
        <v>1.3636363636363633</v>
      </c>
      <c r="T64" s="6">
        <f t="shared" si="19"/>
        <v>2.2727272727272725</v>
      </c>
      <c r="U64" s="6">
        <f t="shared" si="20"/>
        <v>2.0779220779220777</v>
      </c>
      <c r="V64" s="1">
        <f>O64/O51+P64/P55</f>
        <v>1.3181818181818179</v>
      </c>
      <c r="W64" s="1">
        <f>O64/O54+P64/P55</f>
        <v>1.2987012987012985</v>
      </c>
      <c r="X64" s="1">
        <f t="shared" si="16"/>
        <v>90</v>
      </c>
      <c r="Y64" s="6">
        <f t="shared" si="17"/>
        <v>4.166666666666667</v>
      </c>
    </row>
    <row r="65" spans="1:25" x14ac:dyDescent="0.15">
      <c r="A65" s="1">
        <v>2022</v>
      </c>
      <c r="B65" s="1" t="s">
        <v>33</v>
      </c>
      <c r="C65" s="1">
        <v>3</v>
      </c>
      <c r="D65" s="1">
        <v>17</v>
      </c>
      <c r="E65" s="1" t="s">
        <v>37</v>
      </c>
      <c r="F65" s="1" t="s">
        <v>39</v>
      </c>
      <c r="G65" s="1" t="s">
        <v>14</v>
      </c>
      <c r="H65" s="1" t="s">
        <v>37</v>
      </c>
      <c r="I65" s="1">
        <v>3</v>
      </c>
      <c r="J65" s="3" t="s">
        <v>70</v>
      </c>
      <c r="K65" s="1" t="s">
        <v>42</v>
      </c>
      <c r="L65" s="1">
        <v>90</v>
      </c>
      <c r="M65" s="1">
        <v>66</v>
      </c>
      <c r="N65" s="7">
        <f t="shared" si="18"/>
        <v>24</v>
      </c>
      <c r="O65" s="6">
        <v>0.97222222222222221</v>
      </c>
      <c r="P65" s="6">
        <v>3.3333333333333339</v>
      </c>
      <c r="Q65" s="6">
        <f>O65/(0.1*O51)</f>
        <v>2.1212121212121207</v>
      </c>
      <c r="R65" s="6">
        <f>O65/(0.1*O54)</f>
        <v>1.6666666666666665</v>
      </c>
      <c r="S65" s="6">
        <f>P65/(0.9*P56)</f>
        <v>1.0666666666666667</v>
      </c>
      <c r="T65" s="6">
        <f t="shared" si="19"/>
        <v>3.1878787878787875</v>
      </c>
      <c r="U65" s="6">
        <f t="shared" si="20"/>
        <v>2.7333333333333334</v>
      </c>
      <c r="V65" s="1">
        <f>O65/O51+P65/P56</f>
        <v>1.1721212121212121</v>
      </c>
      <c r="W65" s="1">
        <f>O65/O54+P65/P56</f>
        <v>1.1266666666666667</v>
      </c>
      <c r="X65" s="1">
        <f t="shared" si="16"/>
        <v>77</v>
      </c>
      <c r="Y65" s="6">
        <f t="shared" si="17"/>
        <v>4.3055555555555562</v>
      </c>
    </row>
    <row r="66" spans="1:25" x14ac:dyDescent="0.15">
      <c r="A66" s="1">
        <v>2022</v>
      </c>
      <c r="B66" s="1" t="s">
        <v>33</v>
      </c>
      <c r="C66" s="1">
        <v>3</v>
      </c>
      <c r="D66" s="1">
        <v>18</v>
      </c>
      <c r="E66" s="1" t="s">
        <v>37</v>
      </c>
      <c r="F66" s="1" t="s">
        <v>40</v>
      </c>
      <c r="G66" s="1" t="s">
        <v>14</v>
      </c>
      <c r="H66" s="1" t="s">
        <v>37</v>
      </c>
      <c r="I66" s="1">
        <v>3</v>
      </c>
      <c r="J66" s="3" t="s">
        <v>71</v>
      </c>
      <c r="K66" s="1" t="s">
        <v>42</v>
      </c>
      <c r="L66" s="1">
        <v>93</v>
      </c>
      <c r="M66" s="1">
        <v>74</v>
      </c>
      <c r="N66" s="7">
        <f t="shared" si="18"/>
        <v>19</v>
      </c>
      <c r="O66" s="6">
        <v>0.83333333333333348</v>
      </c>
      <c r="P66" s="6">
        <v>3.6111111111111116</v>
      </c>
      <c r="Q66" s="6">
        <f>O66/(0.1*O51)</f>
        <v>1.8181818181818181</v>
      </c>
      <c r="R66" s="6">
        <f>O66/(0.1*O54)</f>
        <v>1.4285714285714288</v>
      </c>
      <c r="S66" s="6">
        <f>P66/(0.9*P57)</f>
        <v>1.2560386473429952</v>
      </c>
      <c r="T66" s="6">
        <f t="shared" si="19"/>
        <v>3.0742204655248133</v>
      </c>
      <c r="U66" s="6">
        <f t="shared" si="20"/>
        <v>2.6846100759144242</v>
      </c>
      <c r="V66" s="1">
        <f>O66/O51+P66/P57</f>
        <v>1.3122529644268777</v>
      </c>
      <c r="W66" s="1">
        <f>O66/O54+P66/P57</f>
        <v>1.2732919254658386</v>
      </c>
      <c r="X66" s="1">
        <f t="shared" si="16"/>
        <v>81</v>
      </c>
      <c r="Y66" s="6">
        <f t="shared" si="17"/>
        <v>4.4444444444444446</v>
      </c>
    </row>
    <row r="67" spans="1:25" x14ac:dyDescent="0.15">
      <c r="A67" s="1">
        <v>2022</v>
      </c>
      <c r="B67" s="1" t="s">
        <v>33</v>
      </c>
      <c r="C67" s="1">
        <v>4</v>
      </c>
      <c r="D67" s="1">
        <v>1</v>
      </c>
      <c r="E67" s="1" t="s">
        <v>35</v>
      </c>
      <c r="F67" s="1"/>
      <c r="G67" s="1" t="s">
        <v>41</v>
      </c>
      <c r="H67" s="1" t="s">
        <v>35</v>
      </c>
      <c r="I67" s="1">
        <v>4</v>
      </c>
      <c r="J67" s="3" t="s">
        <v>35</v>
      </c>
      <c r="K67" s="1" t="s">
        <v>42</v>
      </c>
      <c r="L67" s="1">
        <v>109</v>
      </c>
      <c r="M67" s="1" t="s">
        <v>45</v>
      </c>
      <c r="N67" s="7" t="s">
        <v>45</v>
      </c>
      <c r="O67" s="6">
        <v>5.5555555555555554</v>
      </c>
      <c r="P67" s="1" t="s">
        <v>45</v>
      </c>
      <c r="Q67" s="6" t="s">
        <v>45</v>
      </c>
      <c r="R67" s="6" t="s">
        <v>45</v>
      </c>
      <c r="S67" s="6" t="s">
        <v>45</v>
      </c>
      <c r="T67" s="6" t="s">
        <v>45</v>
      </c>
      <c r="U67" s="6" t="s">
        <v>45</v>
      </c>
      <c r="V67" s="1" t="s">
        <v>45</v>
      </c>
      <c r="W67" s="1" t="s">
        <v>45</v>
      </c>
      <c r="X67" s="6" t="s">
        <v>45</v>
      </c>
      <c r="Y67" s="6">
        <f>O67</f>
        <v>5.5555555555555554</v>
      </c>
    </row>
    <row r="68" spans="1:25" x14ac:dyDescent="0.15">
      <c r="A68" s="1">
        <v>2022</v>
      </c>
      <c r="B68" s="1" t="s">
        <v>33</v>
      </c>
      <c r="C68" s="1">
        <v>4</v>
      </c>
      <c r="D68" s="1">
        <v>2</v>
      </c>
      <c r="E68" s="1" t="s">
        <v>36</v>
      </c>
      <c r="F68" s="1"/>
      <c r="G68" s="1" t="s">
        <v>41</v>
      </c>
      <c r="H68" s="1" t="s">
        <v>36</v>
      </c>
      <c r="I68" s="1">
        <v>4</v>
      </c>
      <c r="J68" s="3" t="s">
        <v>36</v>
      </c>
      <c r="K68" s="1" t="s">
        <v>42</v>
      </c>
      <c r="L68" s="1">
        <v>103</v>
      </c>
      <c r="M68" s="1" t="s">
        <v>45</v>
      </c>
      <c r="N68" s="7" t="s">
        <v>45</v>
      </c>
      <c r="O68" s="6">
        <v>5.4166666666666679</v>
      </c>
      <c r="P68" s="1" t="s">
        <v>45</v>
      </c>
      <c r="Q68" s="6" t="s">
        <v>45</v>
      </c>
      <c r="R68" s="6" t="s">
        <v>45</v>
      </c>
      <c r="S68" s="6" t="s">
        <v>45</v>
      </c>
      <c r="T68" s="6" t="s">
        <v>45</v>
      </c>
      <c r="U68" s="6" t="s">
        <v>45</v>
      </c>
      <c r="V68" s="1" t="s">
        <v>45</v>
      </c>
      <c r="W68" s="1" t="s">
        <v>45</v>
      </c>
      <c r="X68" s="6" t="s">
        <v>45</v>
      </c>
      <c r="Y68" s="6">
        <f t="shared" ref="Y68:Y72" si="21">O68</f>
        <v>5.4166666666666679</v>
      </c>
    </row>
    <row r="69" spans="1:25" x14ac:dyDescent="0.15">
      <c r="A69" s="1">
        <v>2022</v>
      </c>
      <c r="B69" s="1" t="s">
        <v>33</v>
      </c>
      <c r="C69" s="1">
        <v>4</v>
      </c>
      <c r="D69" s="1">
        <v>3</v>
      </c>
      <c r="E69" s="1" t="s">
        <v>37</v>
      </c>
      <c r="F69" s="1"/>
      <c r="G69" s="1" t="s">
        <v>41</v>
      </c>
      <c r="H69" s="1" t="s">
        <v>37</v>
      </c>
      <c r="I69" s="1">
        <v>4</v>
      </c>
      <c r="J69" s="3" t="s">
        <v>37</v>
      </c>
      <c r="K69" s="1" t="s">
        <v>42</v>
      </c>
      <c r="L69" s="1">
        <v>72</v>
      </c>
      <c r="M69" s="1" t="s">
        <v>45</v>
      </c>
      <c r="N69" s="7" t="s">
        <v>45</v>
      </c>
      <c r="O69" s="6">
        <v>5.4166666666666679</v>
      </c>
      <c r="P69" s="1" t="s">
        <v>45</v>
      </c>
      <c r="Q69" s="6" t="s">
        <v>45</v>
      </c>
      <c r="R69" s="6" t="s">
        <v>45</v>
      </c>
      <c r="S69" s="6" t="s">
        <v>45</v>
      </c>
      <c r="T69" s="6" t="s">
        <v>45</v>
      </c>
      <c r="U69" s="6" t="s">
        <v>45</v>
      </c>
      <c r="V69" s="1" t="s">
        <v>45</v>
      </c>
      <c r="W69" s="1" t="s">
        <v>45</v>
      </c>
      <c r="X69" s="6" t="s">
        <v>45</v>
      </c>
      <c r="Y69" s="6">
        <f t="shared" si="21"/>
        <v>5.4166666666666679</v>
      </c>
    </row>
    <row r="70" spans="1:25" x14ac:dyDescent="0.15">
      <c r="A70" s="1">
        <v>2022</v>
      </c>
      <c r="B70" s="1" t="s">
        <v>33</v>
      </c>
      <c r="C70" s="1">
        <v>4</v>
      </c>
      <c r="D70" s="1">
        <v>4</v>
      </c>
      <c r="E70" s="1" t="s">
        <v>35</v>
      </c>
      <c r="F70" s="1"/>
      <c r="G70" s="1" t="s">
        <v>41</v>
      </c>
      <c r="H70" s="1" t="s">
        <v>75</v>
      </c>
      <c r="I70" s="1">
        <v>4</v>
      </c>
      <c r="J70" s="3" t="s">
        <v>35</v>
      </c>
      <c r="K70" s="1" t="s">
        <v>43</v>
      </c>
      <c r="L70" s="1">
        <v>112</v>
      </c>
      <c r="M70" s="1" t="s">
        <v>45</v>
      </c>
      <c r="N70" s="7" t="s">
        <v>45</v>
      </c>
      <c r="O70" s="1">
        <v>6.2500000000000009</v>
      </c>
      <c r="P70" s="6" t="s">
        <v>45</v>
      </c>
      <c r="Q70" s="6" t="s">
        <v>45</v>
      </c>
      <c r="R70" s="6" t="s">
        <v>45</v>
      </c>
      <c r="S70" s="6" t="s">
        <v>45</v>
      </c>
      <c r="T70" s="6" t="s">
        <v>45</v>
      </c>
      <c r="U70" s="6" t="s">
        <v>45</v>
      </c>
      <c r="V70" s="1" t="s">
        <v>45</v>
      </c>
      <c r="W70" s="1" t="s">
        <v>45</v>
      </c>
      <c r="X70" s="1" t="s">
        <v>45</v>
      </c>
      <c r="Y70" s="6">
        <f t="shared" si="21"/>
        <v>6.2500000000000009</v>
      </c>
    </row>
    <row r="71" spans="1:25" x14ac:dyDescent="0.15">
      <c r="A71" s="1">
        <v>2022</v>
      </c>
      <c r="B71" s="1" t="s">
        <v>33</v>
      </c>
      <c r="C71" s="1">
        <v>4</v>
      </c>
      <c r="D71" s="1">
        <v>5</v>
      </c>
      <c r="E71" s="1" t="s">
        <v>36</v>
      </c>
      <c r="F71" s="1"/>
      <c r="G71" s="1" t="s">
        <v>41</v>
      </c>
      <c r="H71" s="1" t="s">
        <v>76</v>
      </c>
      <c r="I71" s="1">
        <v>4</v>
      </c>
      <c r="J71" s="3" t="s">
        <v>36</v>
      </c>
      <c r="K71" s="1" t="s">
        <v>43</v>
      </c>
      <c r="L71" s="1">
        <v>118</v>
      </c>
      <c r="M71" s="1" t="s">
        <v>45</v>
      </c>
      <c r="N71" s="7" t="s">
        <v>45</v>
      </c>
      <c r="O71" s="1">
        <v>6.6666666666666679</v>
      </c>
      <c r="P71" s="6" t="s">
        <v>45</v>
      </c>
      <c r="Q71" s="6" t="s">
        <v>45</v>
      </c>
      <c r="R71" s="6" t="s">
        <v>45</v>
      </c>
      <c r="S71" s="6" t="s">
        <v>45</v>
      </c>
      <c r="T71" s="6" t="s">
        <v>45</v>
      </c>
      <c r="U71" s="6" t="s">
        <v>45</v>
      </c>
      <c r="V71" s="1" t="s">
        <v>45</v>
      </c>
      <c r="W71" s="1" t="s">
        <v>45</v>
      </c>
      <c r="X71" s="1" t="s">
        <v>45</v>
      </c>
      <c r="Y71" s="6">
        <f t="shared" si="21"/>
        <v>6.6666666666666679</v>
      </c>
    </row>
    <row r="72" spans="1:25" x14ac:dyDescent="0.15">
      <c r="A72" s="1">
        <v>2022</v>
      </c>
      <c r="B72" s="1" t="s">
        <v>33</v>
      </c>
      <c r="C72" s="1">
        <v>4</v>
      </c>
      <c r="D72" s="1">
        <v>6</v>
      </c>
      <c r="E72" s="1" t="s">
        <v>37</v>
      </c>
      <c r="F72" s="1"/>
      <c r="G72" s="1" t="s">
        <v>41</v>
      </c>
      <c r="H72" s="1" t="s">
        <v>77</v>
      </c>
      <c r="I72" s="1">
        <v>4</v>
      </c>
      <c r="J72" s="3" t="s">
        <v>37</v>
      </c>
      <c r="K72" s="1" t="s">
        <v>43</v>
      </c>
      <c r="L72" s="1">
        <v>87</v>
      </c>
      <c r="M72" s="1" t="s">
        <v>45</v>
      </c>
      <c r="N72" s="7" t="s">
        <v>45</v>
      </c>
      <c r="O72" s="1">
        <v>6.1111111111111125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6" t="s">
        <v>45</v>
      </c>
      <c r="V72" s="1" t="s">
        <v>45</v>
      </c>
      <c r="W72" s="1" t="s">
        <v>45</v>
      </c>
      <c r="X72" s="1" t="s">
        <v>45</v>
      </c>
      <c r="Y72" s="6">
        <f t="shared" si="21"/>
        <v>6.1111111111111125</v>
      </c>
    </row>
    <row r="73" spans="1:25" x14ac:dyDescent="0.15">
      <c r="A73" s="1">
        <v>2022</v>
      </c>
      <c r="B73" s="1" t="s">
        <v>33</v>
      </c>
      <c r="C73" s="1">
        <v>4</v>
      </c>
      <c r="D73" s="1">
        <v>7</v>
      </c>
      <c r="E73" s="1"/>
      <c r="F73" s="1" t="s">
        <v>38</v>
      </c>
      <c r="G73" s="1" t="s">
        <v>41</v>
      </c>
      <c r="H73" s="1"/>
      <c r="I73" s="1">
        <v>4</v>
      </c>
      <c r="J73" s="3" t="s">
        <v>38</v>
      </c>
      <c r="K73" s="1" t="s">
        <v>42</v>
      </c>
      <c r="L73" s="1" t="s">
        <v>45</v>
      </c>
      <c r="M73" s="1">
        <v>42</v>
      </c>
      <c r="N73" s="7" t="s">
        <v>45</v>
      </c>
      <c r="O73" s="6" t="s">
        <v>45</v>
      </c>
      <c r="P73" s="6">
        <v>3.8888888888888888</v>
      </c>
      <c r="Q73" s="6" t="s">
        <v>45</v>
      </c>
      <c r="R73" s="6" t="s">
        <v>45</v>
      </c>
      <c r="S73" s="6" t="s">
        <v>45</v>
      </c>
      <c r="T73" s="6" t="s">
        <v>45</v>
      </c>
      <c r="U73" s="6" t="s">
        <v>45</v>
      </c>
      <c r="V73" s="1" t="s">
        <v>45</v>
      </c>
      <c r="W73" s="1" t="s">
        <v>45</v>
      </c>
      <c r="X73" s="1" t="s">
        <v>45</v>
      </c>
      <c r="Y73" s="6">
        <f>P73</f>
        <v>3.8888888888888888</v>
      </c>
    </row>
    <row r="74" spans="1:25" x14ac:dyDescent="0.15">
      <c r="A74" s="1">
        <v>2022</v>
      </c>
      <c r="B74" s="1" t="s">
        <v>33</v>
      </c>
      <c r="C74" s="1">
        <v>4</v>
      </c>
      <c r="D74" s="1">
        <v>8</v>
      </c>
      <c r="E74" s="1"/>
      <c r="F74" s="1" t="s">
        <v>39</v>
      </c>
      <c r="G74" s="1" t="s">
        <v>41</v>
      </c>
      <c r="H74" s="1"/>
      <c r="I74" s="1">
        <v>4</v>
      </c>
      <c r="J74" s="3" t="s">
        <v>39</v>
      </c>
      <c r="K74" s="1" t="s">
        <v>42</v>
      </c>
      <c r="L74" s="1" t="s">
        <v>45</v>
      </c>
      <c r="M74" s="1">
        <v>39</v>
      </c>
      <c r="N74" s="7" t="s">
        <v>45</v>
      </c>
      <c r="O74" s="6" t="s">
        <v>45</v>
      </c>
      <c r="P74" s="6">
        <v>2.3611111111111112</v>
      </c>
      <c r="Q74" s="6" t="s">
        <v>45</v>
      </c>
      <c r="R74" s="6" t="s">
        <v>45</v>
      </c>
      <c r="S74" s="6" t="s">
        <v>45</v>
      </c>
      <c r="T74" s="6" t="s">
        <v>45</v>
      </c>
      <c r="U74" s="6" t="s">
        <v>45</v>
      </c>
      <c r="V74" s="1" t="s">
        <v>45</v>
      </c>
      <c r="W74" s="1" t="s">
        <v>45</v>
      </c>
      <c r="X74" s="1" t="s">
        <v>45</v>
      </c>
      <c r="Y74" s="6">
        <f t="shared" ref="Y74:Y75" si="22">P74</f>
        <v>2.3611111111111112</v>
      </c>
    </row>
    <row r="75" spans="1:25" x14ac:dyDescent="0.15">
      <c r="A75" s="1">
        <v>2022</v>
      </c>
      <c r="B75" s="1" t="s">
        <v>33</v>
      </c>
      <c r="C75" s="1">
        <v>4</v>
      </c>
      <c r="D75" s="1">
        <v>9</v>
      </c>
      <c r="E75" s="1"/>
      <c r="F75" s="1" t="s">
        <v>40</v>
      </c>
      <c r="G75" s="1" t="s">
        <v>41</v>
      </c>
      <c r="H75" s="1"/>
      <c r="I75" s="1">
        <v>4</v>
      </c>
      <c r="J75" s="3" t="s">
        <v>40</v>
      </c>
      <c r="K75" s="1" t="s">
        <v>42</v>
      </c>
      <c r="L75" s="1" t="s">
        <v>45</v>
      </c>
      <c r="M75" s="1">
        <v>72</v>
      </c>
      <c r="N75" s="7" t="s">
        <v>45</v>
      </c>
      <c r="O75" s="6" t="s">
        <v>45</v>
      </c>
      <c r="P75" s="6">
        <v>3.6111111111111116</v>
      </c>
      <c r="Q75" s="6" t="s">
        <v>45</v>
      </c>
      <c r="R75" s="6" t="s">
        <v>45</v>
      </c>
      <c r="S75" s="6" t="s">
        <v>45</v>
      </c>
      <c r="T75" s="6" t="s">
        <v>45</v>
      </c>
      <c r="U75" s="6" t="s">
        <v>45</v>
      </c>
      <c r="V75" s="1" t="s">
        <v>45</v>
      </c>
      <c r="W75" s="1" t="s">
        <v>45</v>
      </c>
      <c r="X75" s="1" t="s">
        <v>45</v>
      </c>
      <c r="Y75" s="6">
        <f t="shared" si="22"/>
        <v>3.6111111111111116</v>
      </c>
    </row>
    <row r="76" spans="1:25" x14ac:dyDescent="0.15">
      <c r="A76" s="1">
        <v>2022</v>
      </c>
      <c r="B76" s="1" t="s">
        <v>33</v>
      </c>
      <c r="C76" s="1">
        <v>4</v>
      </c>
      <c r="D76" s="1">
        <v>10</v>
      </c>
      <c r="E76" s="1" t="s">
        <v>35</v>
      </c>
      <c r="F76" s="1" t="s">
        <v>38</v>
      </c>
      <c r="G76" s="1" t="s">
        <v>14</v>
      </c>
      <c r="H76" s="1" t="s">
        <v>35</v>
      </c>
      <c r="I76" s="1">
        <v>4</v>
      </c>
      <c r="J76" s="3" t="s">
        <v>63</v>
      </c>
      <c r="K76" s="1" t="s">
        <v>42</v>
      </c>
      <c r="L76" s="1">
        <v>104</v>
      </c>
      <c r="M76" s="1">
        <v>43</v>
      </c>
      <c r="N76" s="7">
        <f>L76-M76</f>
        <v>61</v>
      </c>
      <c r="O76" s="6">
        <v>1.5277777777777781</v>
      </c>
      <c r="P76" s="6">
        <v>3.3333333333333339</v>
      </c>
      <c r="Q76" s="6">
        <f>O76/(0.1*O67)</f>
        <v>2.7500000000000004</v>
      </c>
      <c r="R76" s="6">
        <f>O76/(0.1*O70)</f>
        <v>2.4444444444444446</v>
      </c>
      <c r="S76" s="6">
        <f>P76/(0.9*P73)</f>
        <v>0.95238095238095255</v>
      </c>
      <c r="T76" s="6">
        <f>Q76+S76</f>
        <v>3.702380952380953</v>
      </c>
      <c r="U76" s="6">
        <f>R76+S76</f>
        <v>3.3968253968253972</v>
      </c>
      <c r="V76" s="1">
        <f>O76/O67+P76/P73</f>
        <v>1.1321428571428573</v>
      </c>
      <c r="W76" s="1">
        <f>O76/O70+P76/P73</f>
        <v>1.1015873015873017</v>
      </c>
      <c r="X76" s="1">
        <f t="shared" ref="X76:X84" si="23">100*ROUND(P76/(P76+O76), 2)</f>
        <v>69</v>
      </c>
      <c r="Y76" s="6">
        <f t="shared" ref="Y76:Y84" si="24">O76+P76</f>
        <v>4.8611111111111125</v>
      </c>
    </row>
    <row r="77" spans="1:25" x14ac:dyDescent="0.15">
      <c r="A77" s="1">
        <v>2022</v>
      </c>
      <c r="B77" s="1" t="s">
        <v>33</v>
      </c>
      <c r="C77" s="1">
        <v>4</v>
      </c>
      <c r="D77" s="1">
        <v>11</v>
      </c>
      <c r="E77" s="1" t="s">
        <v>35</v>
      </c>
      <c r="F77" s="1" t="s">
        <v>39</v>
      </c>
      <c r="G77" s="1" t="s">
        <v>14</v>
      </c>
      <c r="H77" s="1" t="s">
        <v>35</v>
      </c>
      <c r="I77" s="1">
        <v>4</v>
      </c>
      <c r="J77" s="3" t="s">
        <v>64</v>
      </c>
      <c r="K77" s="1" t="s">
        <v>42</v>
      </c>
      <c r="L77" s="1">
        <v>96</v>
      </c>
      <c r="M77" s="1">
        <v>58</v>
      </c>
      <c r="N77" s="7">
        <f t="shared" ref="N77:N84" si="25">L77-M77</f>
        <v>38</v>
      </c>
      <c r="O77" s="6">
        <v>1.1111111111111114</v>
      </c>
      <c r="P77" s="6">
        <v>2.916666666666667</v>
      </c>
      <c r="Q77" s="6">
        <f>O77/(0.1*O67)</f>
        <v>2.0000000000000004</v>
      </c>
      <c r="R77" s="6">
        <f>O77/(0.1*O70)</f>
        <v>1.7777777777777779</v>
      </c>
      <c r="S77" s="6">
        <f>P77/(0.9*P74)</f>
        <v>1.3725490196078434</v>
      </c>
      <c r="T77" s="6">
        <f t="shared" ref="T77:T84" si="26">Q77+S77</f>
        <v>3.3725490196078436</v>
      </c>
      <c r="U77" s="6">
        <f t="shared" ref="U77:U84" si="27">R77+S77</f>
        <v>3.1503267973856213</v>
      </c>
      <c r="V77" s="1">
        <f>O77/O67+P77/P74</f>
        <v>1.4352941176470591</v>
      </c>
      <c r="W77" s="1">
        <f>O77/O70+P77/P74</f>
        <v>1.4130718954248367</v>
      </c>
      <c r="X77" s="1">
        <f t="shared" si="23"/>
        <v>72</v>
      </c>
      <c r="Y77" s="6">
        <f t="shared" si="24"/>
        <v>4.0277777777777786</v>
      </c>
    </row>
    <row r="78" spans="1:25" x14ac:dyDescent="0.15">
      <c r="A78" s="1">
        <v>2022</v>
      </c>
      <c r="B78" s="1" t="s">
        <v>33</v>
      </c>
      <c r="C78" s="1">
        <v>4</v>
      </c>
      <c r="D78" s="1">
        <v>12</v>
      </c>
      <c r="E78" s="1" t="s">
        <v>35</v>
      </c>
      <c r="F78" s="1" t="s">
        <v>40</v>
      </c>
      <c r="G78" s="1" t="s">
        <v>14</v>
      </c>
      <c r="H78" s="1" t="s">
        <v>35</v>
      </c>
      <c r="I78" s="1">
        <v>4</v>
      </c>
      <c r="J78" s="3" t="s">
        <v>65</v>
      </c>
      <c r="K78" s="1" t="s">
        <v>42</v>
      </c>
      <c r="L78" s="1">
        <v>116</v>
      </c>
      <c r="M78" s="1">
        <v>58</v>
      </c>
      <c r="N78" s="7">
        <f t="shared" si="25"/>
        <v>58</v>
      </c>
      <c r="O78" s="6">
        <v>1.5277777777777781</v>
      </c>
      <c r="P78" s="6">
        <v>2.916666666666667</v>
      </c>
      <c r="Q78" s="6">
        <f>O78/(0.1*O67)</f>
        <v>2.7500000000000004</v>
      </c>
      <c r="R78" s="6">
        <f>O78/(0.1*O70)</f>
        <v>2.4444444444444446</v>
      </c>
      <c r="S78" s="6">
        <f>P78/(0.9*P75)</f>
        <v>0.89743589743589736</v>
      </c>
      <c r="T78" s="6">
        <f t="shared" si="26"/>
        <v>3.6474358974358978</v>
      </c>
      <c r="U78" s="6">
        <f t="shared" si="27"/>
        <v>3.341880341880342</v>
      </c>
      <c r="V78" s="1">
        <f>O78/O67+P78/P75</f>
        <v>1.0826923076923078</v>
      </c>
      <c r="W78" s="1">
        <f>O78/O70+P78/P75</f>
        <v>1.0521367521367522</v>
      </c>
      <c r="X78" s="1">
        <f t="shared" si="23"/>
        <v>66</v>
      </c>
      <c r="Y78" s="6">
        <f t="shared" si="24"/>
        <v>4.4444444444444446</v>
      </c>
    </row>
    <row r="79" spans="1:25" x14ac:dyDescent="0.15">
      <c r="A79" s="1">
        <v>2022</v>
      </c>
      <c r="B79" s="1" t="s">
        <v>33</v>
      </c>
      <c r="C79" s="1">
        <v>4</v>
      </c>
      <c r="D79" s="1">
        <v>13</v>
      </c>
      <c r="E79" s="1" t="s">
        <v>36</v>
      </c>
      <c r="F79" s="1" t="s">
        <v>38</v>
      </c>
      <c r="G79" s="1" t="s">
        <v>14</v>
      </c>
      <c r="H79" s="1" t="s">
        <v>36</v>
      </c>
      <c r="I79" s="1">
        <v>4</v>
      </c>
      <c r="J79" s="3" t="s">
        <v>66</v>
      </c>
      <c r="K79" s="1" t="s">
        <v>42</v>
      </c>
      <c r="L79" s="1">
        <v>113</v>
      </c>
      <c r="M79" s="1">
        <v>62</v>
      </c>
      <c r="N79" s="7">
        <f t="shared" si="25"/>
        <v>51</v>
      </c>
      <c r="O79" s="6">
        <v>1.666666666666667</v>
      </c>
      <c r="P79" s="6">
        <v>3.1944444444444446</v>
      </c>
      <c r="Q79" s="6">
        <f>O79/(0.1*O68)</f>
        <v>3.0769230769230762</v>
      </c>
      <c r="R79" s="6">
        <f>O79/(0.1*O71)</f>
        <v>2.4999999999999996</v>
      </c>
      <c r="S79" s="6">
        <f>P79/(0.9*P73)</f>
        <v>0.91269841269841279</v>
      </c>
      <c r="T79" s="6">
        <f t="shared" si="26"/>
        <v>3.9896214896214888</v>
      </c>
      <c r="U79" s="6">
        <f t="shared" si="27"/>
        <v>3.4126984126984121</v>
      </c>
      <c r="V79" s="1">
        <f>O79/O68+P79/P73</f>
        <v>1.1291208791208791</v>
      </c>
      <c r="W79" s="1">
        <f>O79/O71+P79/P73</f>
        <v>1.0714285714285716</v>
      </c>
      <c r="X79" s="1">
        <f t="shared" si="23"/>
        <v>66</v>
      </c>
      <c r="Y79" s="6">
        <f t="shared" si="24"/>
        <v>4.8611111111111116</v>
      </c>
    </row>
    <row r="80" spans="1:25" x14ac:dyDescent="0.15">
      <c r="A80" s="1">
        <v>2022</v>
      </c>
      <c r="B80" s="1" t="s">
        <v>33</v>
      </c>
      <c r="C80" s="1">
        <v>4</v>
      </c>
      <c r="D80" s="1">
        <v>14</v>
      </c>
      <c r="E80" s="1" t="s">
        <v>36</v>
      </c>
      <c r="F80" s="1" t="s">
        <v>39</v>
      </c>
      <c r="G80" s="1" t="s">
        <v>14</v>
      </c>
      <c r="H80" s="1" t="s">
        <v>36</v>
      </c>
      <c r="I80" s="1">
        <v>4</v>
      </c>
      <c r="J80" s="3" t="s">
        <v>67</v>
      </c>
      <c r="K80" s="1" t="s">
        <v>42</v>
      </c>
      <c r="L80" s="1">
        <v>113</v>
      </c>
      <c r="M80" s="1">
        <v>66</v>
      </c>
      <c r="N80" s="7">
        <f t="shared" si="25"/>
        <v>47</v>
      </c>
      <c r="O80" s="6">
        <v>0.97222222222222221</v>
      </c>
      <c r="P80" s="6">
        <v>3.1944444444444446</v>
      </c>
      <c r="Q80" s="6">
        <f>O80/(0.1*O68)</f>
        <v>1.7948717948717943</v>
      </c>
      <c r="R80" s="6">
        <f>O80/(0.1*O71)</f>
        <v>1.4583333333333328</v>
      </c>
      <c r="S80" s="6">
        <f>P80/(0.9*P74)</f>
        <v>1.5032679738562091</v>
      </c>
      <c r="T80" s="6">
        <f t="shared" si="26"/>
        <v>3.2981397687280034</v>
      </c>
      <c r="U80" s="6">
        <f t="shared" si="27"/>
        <v>2.9616013071895422</v>
      </c>
      <c r="V80" s="1">
        <f>O80/O68+P80/P74</f>
        <v>1.5324283559577678</v>
      </c>
      <c r="W80" s="1">
        <f>O80/O71+P80/P74</f>
        <v>1.4987745098039216</v>
      </c>
      <c r="X80" s="1">
        <f t="shared" si="23"/>
        <v>77</v>
      </c>
      <c r="Y80" s="6">
        <f t="shared" si="24"/>
        <v>4.166666666666667</v>
      </c>
    </row>
    <row r="81" spans="1:25" x14ac:dyDescent="0.15">
      <c r="A81" s="1">
        <v>2022</v>
      </c>
      <c r="B81" s="1" t="s">
        <v>33</v>
      </c>
      <c r="C81" s="1">
        <v>4</v>
      </c>
      <c r="D81" s="1">
        <v>15</v>
      </c>
      <c r="E81" s="1" t="s">
        <v>36</v>
      </c>
      <c r="F81" s="1" t="s">
        <v>40</v>
      </c>
      <c r="G81" s="1" t="s">
        <v>14</v>
      </c>
      <c r="H81" s="1" t="s">
        <v>36</v>
      </c>
      <c r="I81" s="1">
        <v>4</v>
      </c>
      <c r="J81" s="3" t="s">
        <v>68</v>
      </c>
      <c r="K81" s="1" t="s">
        <v>42</v>
      </c>
      <c r="L81" s="1">
        <v>115</v>
      </c>
      <c r="M81" s="1">
        <v>73</v>
      </c>
      <c r="N81" s="7">
        <f t="shared" si="25"/>
        <v>42</v>
      </c>
      <c r="O81" s="6">
        <v>2.3611111111111112</v>
      </c>
      <c r="P81" s="6">
        <v>2.5000000000000004</v>
      </c>
      <c r="Q81" s="6">
        <f>O81/(0.1*O68)</f>
        <v>4.3589743589743577</v>
      </c>
      <c r="R81" s="6">
        <f>O81/(0.1*O71)</f>
        <v>3.5416666666666656</v>
      </c>
      <c r="S81" s="6">
        <f>P81/(0.9*P75)</f>
        <v>0.76923076923076927</v>
      </c>
      <c r="T81" s="6">
        <f t="shared" si="26"/>
        <v>5.1282051282051269</v>
      </c>
      <c r="U81" s="6">
        <f t="shared" si="27"/>
        <v>4.3108974358974352</v>
      </c>
      <c r="V81" s="1">
        <f>O81/O68+P81/P75</f>
        <v>1.1282051282051282</v>
      </c>
      <c r="W81" s="1">
        <f>O81/O71+P81/P75</f>
        <v>1.046474358974359</v>
      </c>
      <c r="X81" s="1">
        <f t="shared" si="23"/>
        <v>51</v>
      </c>
      <c r="Y81" s="6">
        <f t="shared" si="24"/>
        <v>4.8611111111111116</v>
      </c>
    </row>
    <row r="82" spans="1:25" x14ac:dyDescent="0.15">
      <c r="A82" s="1">
        <v>2022</v>
      </c>
      <c r="B82" s="1" t="s">
        <v>33</v>
      </c>
      <c r="C82" s="1">
        <v>4</v>
      </c>
      <c r="D82" s="1">
        <v>16</v>
      </c>
      <c r="E82" s="1" t="s">
        <v>37</v>
      </c>
      <c r="F82" s="1" t="s">
        <v>38</v>
      </c>
      <c r="G82" s="1" t="s">
        <v>14</v>
      </c>
      <c r="H82" s="1" t="s">
        <v>37</v>
      </c>
      <c r="I82" s="1">
        <v>4</v>
      </c>
      <c r="J82" s="3" t="s">
        <v>69</v>
      </c>
      <c r="K82" s="1" t="s">
        <v>42</v>
      </c>
      <c r="L82" s="1">
        <v>39</v>
      </c>
      <c r="M82" s="1">
        <v>27</v>
      </c>
      <c r="N82" s="7">
        <f t="shared" si="25"/>
        <v>12</v>
      </c>
      <c r="O82" s="6">
        <v>0.69444444444444442</v>
      </c>
      <c r="P82" s="1">
        <v>4.166666666666667</v>
      </c>
      <c r="Q82" s="6">
        <f>O82/(0.1*O69)</f>
        <v>1.2820512820512815</v>
      </c>
      <c r="R82" s="6">
        <f>O82/(0.1*O72)</f>
        <v>1.136363636363636</v>
      </c>
      <c r="S82" s="6">
        <f>P82/(0.9*P73)</f>
        <v>1.1904761904761905</v>
      </c>
      <c r="T82" s="6">
        <f t="shared" si="26"/>
        <v>2.4725274725274717</v>
      </c>
      <c r="U82" s="6">
        <f t="shared" si="27"/>
        <v>2.3268398268398265</v>
      </c>
      <c r="V82" s="1">
        <f>O82/O69+P82/P73</f>
        <v>1.1996336996336998</v>
      </c>
      <c r="W82" s="1">
        <f>O82/O72+P82/P73</f>
        <v>1.1850649350649352</v>
      </c>
      <c r="X82" s="1">
        <f t="shared" si="23"/>
        <v>86</v>
      </c>
      <c r="Y82" s="6">
        <f t="shared" si="24"/>
        <v>4.8611111111111116</v>
      </c>
    </row>
    <row r="83" spans="1:25" x14ac:dyDescent="0.15">
      <c r="A83" s="1">
        <v>2022</v>
      </c>
      <c r="B83" s="1" t="s">
        <v>33</v>
      </c>
      <c r="C83" s="1">
        <v>4</v>
      </c>
      <c r="D83" s="1">
        <v>17</v>
      </c>
      <c r="E83" s="1" t="s">
        <v>37</v>
      </c>
      <c r="F83" s="1" t="s">
        <v>39</v>
      </c>
      <c r="G83" s="1" t="s">
        <v>14</v>
      </c>
      <c r="H83" s="1" t="s">
        <v>37</v>
      </c>
      <c r="I83" s="1">
        <v>4</v>
      </c>
      <c r="J83" s="3" t="s">
        <v>70</v>
      </c>
      <c r="K83" s="1" t="s">
        <v>42</v>
      </c>
      <c r="L83" s="1">
        <v>91</v>
      </c>
      <c r="M83" s="1">
        <v>40</v>
      </c>
      <c r="N83" s="7">
        <f t="shared" si="25"/>
        <v>51</v>
      </c>
      <c r="O83" s="6">
        <v>0.55555555555555569</v>
      </c>
      <c r="P83" s="1">
        <v>2.916666666666667</v>
      </c>
      <c r="Q83" s="6">
        <f>O83/(0.1*O69)</f>
        <v>1.0256410256410255</v>
      </c>
      <c r="R83" s="6">
        <f>O83/(0.1*O72)</f>
        <v>0.90909090909090906</v>
      </c>
      <c r="S83" s="6">
        <f>P83/(0.9*P74)</f>
        <v>1.3725490196078434</v>
      </c>
      <c r="T83" s="6">
        <f t="shared" si="26"/>
        <v>2.3981900452488691</v>
      </c>
      <c r="U83" s="6">
        <f t="shared" si="27"/>
        <v>2.2816399286987523</v>
      </c>
      <c r="V83" s="1">
        <f>O83/O69+P83/P74</f>
        <v>1.3378582202111615</v>
      </c>
      <c r="W83" s="1">
        <f>O83/O72+P83/P74</f>
        <v>1.3262032085561497</v>
      </c>
      <c r="X83" s="1">
        <f t="shared" si="23"/>
        <v>84</v>
      </c>
      <c r="Y83" s="6">
        <f t="shared" si="24"/>
        <v>3.4722222222222228</v>
      </c>
    </row>
    <row r="84" spans="1:25" x14ac:dyDescent="0.15">
      <c r="A84" s="1">
        <v>2022</v>
      </c>
      <c r="B84" s="1" t="s">
        <v>33</v>
      </c>
      <c r="C84" s="1">
        <v>4</v>
      </c>
      <c r="D84" s="1">
        <v>18</v>
      </c>
      <c r="E84" s="1" t="s">
        <v>37</v>
      </c>
      <c r="F84" s="1" t="s">
        <v>40</v>
      </c>
      <c r="G84" s="1" t="s">
        <v>14</v>
      </c>
      <c r="H84" s="1" t="s">
        <v>37</v>
      </c>
      <c r="I84" s="1">
        <v>4</v>
      </c>
      <c r="J84" s="3" t="s">
        <v>71</v>
      </c>
      <c r="K84" s="1" t="s">
        <v>42</v>
      </c>
      <c r="L84" s="1">
        <v>91</v>
      </c>
      <c r="M84" s="1">
        <v>74</v>
      </c>
      <c r="N84" s="7">
        <f t="shared" si="25"/>
        <v>17</v>
      </c>
      <c r="O84" s="6">
        <v>1.3888888888888888</v>
      </c>
      <c r="P84" s="1">
        <v>3.3333333333333339</v>
      </c>
      <c r="Q84" s="6">
        <f>O84/(0.1*O69)</f>
        <v>2.564102564102563</v>
      </c>
      <c r="R84" s="6">
        <f>O84/(0.1*O72)</f>
        <v>2.272727272727272</v>
      </c>
      <c r="S84" s="6">
        <f>P84/(0.9*P75)</f>
        <v>1.0256410256410258</v>
      </c>
      <c r="T84" s="6">
        <f t="shared" si="26"/>
        <v>3.5897435897435885</v>
      </c>
      <c r="U84" s="6">
        <f t="shared" si="27"/>
        <v>3.298368298368298</v>
      </c>
      <c r="V84" s="1">
        <f>O84/O69+P84/P75</f>
        <v>1.1794871794871795</v>
      </c>
      <c r="W84" s="1">
        <f>O84/O72+P84/P75</f>
        <v>1.1503496503496504</v>
      </c>
      <c r="X84" s="1">
        <f t="shared" si="23"/>
        <v>71</v>
      </c>
      <c r="Y84" s="6">
        <f t="shared" si="24"/>
        <v>4.7222222222222232</v>
      </c>
    </row>
    <row r="85" spans="1:25" x14ac:dyDescent="0.15">
      <c r="A85" s="1">
        <v>2022</v>
      </c>
      <c r="B85" s="1" t="s">
        <v>34</v>
      </c>
      <c r="C85" s="1">
        <v>5</v>
      </c>
      <c r="D85" s="1">
        <v>1</v>
      </c>
      <c r="E85" s="1" t="s">
        <v>35</v>
      </c>
      <c r="F85" s="1"/>
      <c r="G85" s="1" t="s">
        <v>41</v>
      </c>
      <c r="H85" s="1" t="s">
        <v>35</v>
      </c>
      <c r="I85" s="1">
        <v>1</v>
      </c>
      <c r="J85" s="3" t="s">
        <v>35</v>
      </c>
      <c r="K85" s="1" t="s">
        <v>42</v>
      </c>
      <c r="L85" s="1">
        <v>105</v>
      </c>
      <c r="M85" s="1" t="s">
        <v>45</v>
      </c>
      <c r="N85" s="7" t="s">
        <v>45</v>
      </c>
      <c r="O85" s="1">
        <v>3.6111111111111116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6" t="s">
        <v>45</v>
      </c>
      <c r="V85" s="1" t="s">
        <v>45</v>
      </c>
      <c r="W85" s="1" t="s">
        <v>45</v>
      </c>
      <c r="X85" s="6" t="s">
        <v>45</v>
      </c>
      <c r="Y85" s="6">
        <f>O85</f>
        <v>3.6111111111111116</v>
      </c>
    </row>
    <row r="86" spans="1:25" x14ac:dyDescent="0.15">
      <c r="A86" s="1">
        <v>2022</v>
      </c>
      <c r="B86" s="1" t="s">
        <v>34</v>
      </c>
      <c r="C86" s="1">
        <v>5</v>
      </c>
      <c r="D86" s="1">
        <v>2</v>
      </c>
      <c r="E86" s="1" t="s">
        <v>36</v>
      </c>
      <c r="F86" s="1"/>
      <c r="G86" s="1" t="s">
        <v>41</v>
      </c>
      <c r="H86" s="1" t="s">
        <v>36</v>
      </c>
      <c r="I86" s="1">
        <v>1</v>
      </c>
      <c r="J86" s="3" t="s">
        <v>36</v>
      </c>
      <c r="K86" s="1" t="s">
        <v>42</v>
      </c>
      <c r="L86" s="1">
        <v>87</v>
      </c>
      <c r="M86" s="1" t="s">
        <v>45</v>
      </c>
      <c r="N86" s="7" t="s">
        <v>45</v>
      </c>
      <c r="O86" s="6">
        <v>4.3055555555555562</v>
      </c>
      <c r="P86" s="6" t="s">
        <v>45</v>
      </c>
      <c r="Q86" s="6" t="s">
        <v>45</v>
      </c>
      <c r="R86" s="6" t="s">
        <v>45</v>
      </c>
      <c r="S86" s="6" t="s">
        <v>45</v>
      </c>
      <c r="T86" s="6" t="s">
        <v>45</v>
      </c>
      <c r="U86" s="6" t="s">
        <v>45</v>
      </c>
      <c r="V86" s="1" t="s">
        <v>45</v>
      </c>
      <c r="W86" s="1" t="s">
        <v>45</v>
      </c>
      <c r="X86" s="6" t="s">
        <v>45</v>
      </c>
      <c r="Y86" s="6">
        <f t="shared" ref="Y86:Y90" si="28">O86</f>
        <v>4.3055555555555562</v>
      </c>
    </row>
    <row r="87" spans="1:25" x14ac:dyDescent="0.15">
      <c r="A87" s="1">
        <v>2022</v>
      </c>
      <c r="B87" s="1" t="s">
        <v>34</v>
      </c>
      <c r="C87" s="1">
        <v>5</v>
      </c>
      <c r="D87" s="1">
        <v>3</v>
      </c>
      <c r="E87" s="1" t="s">
        <v>37</v>
      </c>
      <c r="F87" s="1"/>
      <c r="G87" s="1" t="s">
        <v>41</v>
      </c>
      <c r="H87" s="1" t="s">
        <v>37</v>
      </c>
      <c r="I87" s="1">
        <v>1</v>
      </c>
      <c r="J87" s="3" t="s">
        <v>37</v>
      </c>
      <c r="K87" s="1" t="s">
        <v>42</v>
      </c>
      <c r="L87" s="1">
        <v>70</v>
      </c>
      <c r="M87" s="1" t="s">
        <v>45</v>
      </c>
      <c r="N87" s="7" t="s">
        <v>45</v>
      </c>
      <c r="O87" s="6">
        <v>2.916666666666667</v>
      </c>
      <c r="P87" s="6" t="s">
        <v>45</v>
      </c>
      <c r="Q87" s="6" t="s">
        <v>45</v>
      </c>
      <c r="R87" s="6" t="s">
        <v>45</v>
      </c>
      <c r="S87" s="6" t="s">
        <v>45</v>
      </c>
      <c r="T87" s="6" t="s">
        <v>45</v>
      </c>
      <c r="U87" s="6" t="s">
        <v>45</v>
      </c>
      <c r="V87" s="1" t="s">
        <v>45</v>
      </c>
      <c r="W87" s="1" t="s">
        <v>45</v>
      </c>
      <c r="X87" s="6" t="s">
        <v>45</v>
      </c>
      <c r="Y87" s="6">
        <f t="shared" si="28"/>
        <v>2.916666666666667</v>
      </c>
    </row>
    <row r="88" spans="1:25" x14ac:dyDescent="0.15">
      <c r="A88" s="1">
        <v>2022</v>
      </c>
      <c r="B88" s="1" t="s">
        <v>34</v>
      </c>
      <c r="C88" s="1">
        <v>5</v>
      </c>
      <c r="D88" s="1">
        <v>4</v>
      </c>
      <c r="E88" s="1" t="s">
        <v>35</v>
      </c>
      <c r="F88" s="1"/>
      <c r="G88" s="1" t="s">
        <v>41</v>
      </c>
      <c r="H88" s="1" t="s">
        <v>75</v>
      </c>
      <c r="I88" s="1">
        <v>1</v>
      </c>
      <c r="J88" s="3" t="s">
        <v>35</v>
      </c>
      <c r="K88" s="1" t="s">
        <v>43</v>
      </c>
      <c r="L88" s="1">
        <v>120</v>
      </c>
      <c r="M88" s="1" t="s">
        <v>45</v>
      </c>
      <c r="N88" s="7" t="s">
        <v>45</v>
      </c>
      <c r="O88" s="6">
        <v>5.1388888888888893</v>
      </c>
      <c r="P88" s="6" t="s">
        <v>45</v>
      </c>
      <c r="Q88" s="6" t="s">
        <v>45</v>
      </c>
      <c r="R88" s="6" t="s">
        <v>45</v>
      </c>
      <c r="S88" s="6" t="s">
        <v>45</v>
      </c>
      <c r="T88" s="6" t="s">
        <v>45</v>
      </c>
      <c r="U88" s="6" t="s">
        <v>45</v>
      </c>
      <c r="V88" s="1" t="s">
        <v>45</v>
      </c>
      <c r="W88" s="1" t="s">
        <v>45</v>
      </c>
      <c r="X88" s="1" t="s">
        <v>45</v>
      </c>
      <c r="Y88" s="6">
        <f t="shared" si="28"/>
        <v>5.1388888888888893</v>
      </c>
    </row>
    <row r="89" spans="1:25" x14ac:dyDescent="0.15">
      <c r="A89" s="1">
        <v>2022</v>
      </c>
      <c r="B89" s="1" t="s">
        <v>34</v>
      </c>
      <c r="C89" s="1">
        <v>5</v>
      </c>
      <c r="D89" s="1">
        <v>5</v>
      </c>
      <c r="E89" s="1" t="s">
        <v>36</v>
      </c>
      <c r="F89" s="1"/>
      <c r="G89" s="1" t="s">
        <v>41</v>
      </c>
      <c r="H89" s="1" t="s">
        <v>76</v>
      </c>
      <c r="I89" s="1">
        <v>1</v>
      </c>
      <c r="J89" s="3" t="s">
        <v>36</v>
      </c>
      <c r="K89" s="1" t="s">
        <v>43</v>
      </c>
      <c r="L89" s="1">
        <v>117</v>
      </c>
      <c r="M89" s="1" t="s">
        <v>45</v>
      </c>
      <c r="N89" s="7" t="s">
        <v>45</v>
      </c>
      <c r="O89" s="6">
        <v>3.8888888888888888</v>
      </c>
      <c r="P89" s="6" t="s">
        <v>45</v>
      </c>
      <c r="Q89" s="6" t="s">
        <v>45</v>
      </c>
      <c r="R89" s="6" t="s">
        <v>45</v>
      </c>
      <c r="S89" s="6" t="s">
        <v>45</v>
      </c>
      <c r="T89" s="6" t="s">
        <v>45</v>
      </c>
      <c r="U89" s="6" t="s">
        <v>45</v>
      </c>
      <c r="V89" s="1" t="s">
        <v>45</v>
      </c>
      <c r="W89" s="1" t="s">
        <v>45</v>
      </c>
      <c r="X89" s="1" t="s">
        <v>45</v>
      </c>
      <c r="Y89" s="6">
        <f t="shared" si="28"/>
        <v>3.8888888888888888</v>
      </c>
    </row>
    <row r="90" spans="1:25" x14ac:dyDescent="0.15">
      <c r="A90" s="1">
        <v>2022</v>
      </c>
      <c r="B90" s="1" t="s">
        <v>34</v>
      </c>
      <c r="C90" s="1">
        <v>5</v>
      </c>
      <c r="D90" s="1">
        <v>6</v>
      </c>
      <c r="E90" s="1" t="s">
        <v>37</v>
      </c>
      <c r="F90" s="1"/>
      <c r="G90" s="1" t="s">
        <v>41</v>
      </c>
      <c r="H90" s="1" t="s">
        <v>77</v>
      </c>
      <c r="I90" s="1">
        <v>1</v>
      </c>
      <c r="J90" s="3" t="s">
        <v>37</v>
      </c>
      <c r="K90" s="1" t="s">
        <v>43</v>
      </c>
      <c r="L90" s="1">
        <v>81</v>
      </c>
      <c r="M90" s="1" t="s">
        <v>45</v>
      </c>
      <c r="N90" s="7" t="s">
        <v>45</v>
      </c>
      <c r="O90" s="6">
        <v>4.8611111111111116</v>
      </c>
      <c r="P90" s="6" t="s">
        <v>45</v>
      </c>
      <c r="Q90" s="6" t="s">
        <v>45</v>
      </c>
      <c r="R90" s="6" t="s">
        <v>45</v>
      </c>
      <c r="S90" s="6" t="s">
        <v>45</v>
      </c>
      <c r="T90" s="6" t="s">
        <v>45</v>
      </c>
      <c r="U90" s="6" t="s">
        <v>45</v>
      </c>
      <c r="V90" s="1" t="s">
        <v>45</v>
      </c>
      <c r="W90" s="1" t="s">
        <v>45</v>
      </c>
      <c r="X90" s="1" t="s">
        <v>45</v>
      </c>
      <c r="Y90" s="6">
        <f t="shared" si="28"/>
        <v>4.8611111111111116</v>
      </c>
    </row>
    <row r="91" spans="1:25" x14ac:dyDescent="0.15">
      <c r="A91" s="1">
        <v>2022</v>
      </c>
      <c r="B91" s="1" t="s">
        <v>34</v>
      </c>
      <c r="C91" s="1">
        <v>5</v>
      </c>
      <c r="D91" s="1">
        <v>7</v>
      </c>
      <c r="E91" s="1"/>
      <c r="F91" s="1" t="s">
        <v>38</v>
      </c>
      <c r="G91" s="1" t="s">
        <v>41</v>
      </c>
      <c r="H91" s="1"/>
      <c r="I91" s="1">
        <v>1</v>
      </c>
      <c r="J91" s="3" t="s">
        <v>38</v>
      </c>
      <c r="K91" s="1" t="s">
        <v>42</v>
      </c>
      <c r="L91" s="1" t="s">
        <v>45</v>
      </c>
      <c r="M91" s="1">
        <v>68</v>
      </c>
      <c r="N91" s="7" t="s">
        <v>45</v>
      </c>
      <c r="O91" s="6" t="s">
        <v>45</v>
      </c>
      <c r="P91" s="6">
        <v>3.1944444444444446</v>
      </c>
      <c r="Q91" s="6" t="s">
        <v>45</v>
      </c>
      <c r="R91" s="6" t="s">
        <v>45</v>
      </c>
      <c r="S91" s="6" t="s">
        <v>45</v>
      </c>
      <c r="T91" s="6" t="s">
        <v>45</v>
      </c>
      <c r="U91" s="6" t="s">
        <v>45</v>
      </c>
      <c r="V91" s="1" t="s">
        <v>45</v>
      </c>
      <c r="W91" s="1" t="s">
        <v>45</v>
      </c>
      <c r="X91" s="1" t="s">
        <v>45</v>
      </c>
      <c r="Y91" s="6">
        <f>P91</f>
        <v>3.1944444444444446</v>
      </c>
    </row>
    <row r="92" spans="1:25" x14ac:dyDescent="0.15">
      <c r="A92" s="1">
        <v>2022</v>
      </c>
      <c r="B92" s="1" t="s">
        <v>34</v>
      </c>
      <c r="C92" s="1">
        <v>5</v>
      </c>
      <c r="D92" s="1">
        <v>8</v>
      </c>
      <c r="E92" s="1"/>
      <c r="F92" s="1" t="s">
        <v>39</v>
      </c>
      <c r="G92" s="1" t="s">
        <v>41</v>
      </c>
      <c r="H92" s="1"/>
      <c r="I92" s="1">
        <v>1</v>
      </c>
      <c r="J92" s="3" t="s">
        <v>39</v>
      </c>
      <c r="K92" s="1" t="s">
        <v>42</v>
      </c>
      <c r="L92" s="1" t="s">
        <v>45</v>
      </c>
      <c r="M92" s="1">
        <v>62</v>
      </c>
      <c r="N92" s="7" t="s">
        <v>45</v>
      </c>
      <c r="O92" s="6" t="s">
        <v>45</v>
      </c>
      <c r="P92" s="6">
        <v>3.6111111111111116</v>
      </c>
      <c r="Q92" s="6" t="s">
        <v>45</v>
      </c>
      <c r="R92" s="6" t="s">
        <v>45</v>
      </c>
      <c r="S92" s="6" t="s">
        <v>45</v>
      </c>
      <c r="T92" s="6" t="s">
        <v>45</v>
      </c>
      <c r="U92" s="6" t="s">
        <v>45</v>
      </c>
      <c r="V92" s="1" t="s">
        <v>45</v>
      </c>
      <c r="W92" s="1" t="s">
        <v>45</v>
      </c>
      <c r="X92" s="1" t="s">
        <v>45</v>
      </c>
      <c r="Y92" s="6">
        <f t="shared" ref="Y92:Y93" si="29">P92</f>
        <v>3.6111111111111116</v>
      </c>
    </row>
    <row r="93" spans="1:25" x14ac:dyDescent="0.15">
      <c r="A93" s="1">
        <v>2022</v>
      </c>
      <c r="B93" s="1" t="s">
        <v>34</v>
      </c>
      <c r="C93" s="1">
        <v>5</v>
      </c>
      <c r="D93" s="1">
        <v>9</v>
      </c>
      <c r="E93" s="1"/>
      <c r="F93" s="1" t="s">
        <v>40</v>
      </c>
      <c r="G93" s="1" t="s">
        <v>41</v>
      </c>
      <c r="H93" s="1"/>
      <c r="I93" s="1">
        <v>1</v>
      </c>
      <c r="J93" s="3" t="s">
        <v>40</v>
      </c>
      <c r="K93" s="1" t="s">
        <v>42</v>
      </c>
      <c r="L93" s="1" t="s">
        <v>45</v>
      </c>
      <c r="M93" s="1">
        <v>71</v>
      </c>
      <c r="N93" s="7" t="s">
        <v>45</v>
      </c>
      <c r="O93" s="6" t="s">
        <v>45</v>
      </c>
      <c r="P93" s="6">
        <v>3.4722222222222228</v>
      </c>
      <c r="Q93" s="6" t="s">
        <v>45</v>
      </c>
      <c r="R93" s="6" t="s">
        <v>45</v>
      </c>
      <c r="S93" s="6" t="s">
        <v>45</v>
      </c>
      <c r="T93" s="6" t="s">
        <v>45</v>
      </c>
      <c r="U93" s="6" t="s">
        <v>45</v>
      </c>
      <c r="V93" s="1" t="s">
        <v>45</v>
      </c>
      <c r="W93" s="1" t="s">
        <v>45</v>
      </c>
      <c r="X93" s="1" t="s">
        <v>45</v>
      </c>
      <c r="Y93" s="6">
        <f t="shared" si="29"/>
        <v>3.4722222222222228</v>
      </c>
    </row>
    <row r="94" spans="1:25" x14ac:dyDescent="0.15">
      <c r="A94" s="1">
        <v>2022</v>
      </c>
      <c r="B94" s="1" t="s">
        <v>34</v>
      </c>
      <c r="C94" s="1">
        <v>5</v>
      </c>
      <c r="D94" s="1">
        <v>10</v>
      </c>
      <c r="E94" s="1" t="s">
        <v>35</v>
      </c>
      <c r="F94" s="1" t="s">
        <v>38</v>
      </c>
      <c r="G94" s="1" t="s">
        <v>14</v>
      </c>
      <c r="H94" s="1" t="s">
        <v>35</v>
      </c>
      <c r="I94" s="1">
        <v>1</v>
      </c>
      <c r="J94" s="3" t="s">
        <v>63</v>
      </c>
      <c r="K94" s="1" t="s">
        <v>42</v>
      </c>
      <c r="L94" s="1">
        <v>125</v>
      </c>
      <c r="M94" s="1">
        <v>69</v>
      </c>
      <c r="N94" s="7">
        <f>L94-M94</f>
        <v>56</v>
      </c>
      <c r="O94" s="6">
        <v>1.8055555555555558</v>
      </c>
      <c r="P94" s="6">
        <v>3.0555555555555562</v>
      </c>
      <c r="Q94" s="6">
        <f>O94/(0.1*O85)</f>
        <v>5</v>
      </c>
      <c r="R94" s="6">
        <f>O94/(0.1*O88)</f>
        <v>3.5135135135135136</v>
      </c>
      <c r="S94" s="6">
        <f>P94/(0.9*P91)</f>
        <v>1.0628019323671498</v>
      </c>
      <c r="T94" s="6">
        <f>Q94+S94</f>
        <v>6.06280193236715</v>
      </c>
      <c r="U94" s="6">
        <f>R94+S94</f>
        <v>4.5763154458806632</v>
      </c>
      <c r="V94" s="1">
        <f>O94/O85+P94/P91</f>
        <v>1.456521739130435</v>
      </c>
      <c r="W94" s="1">
        <f>O94/O88+P94/P91</f>
        <v>1.3078730904817863</v>
      </c>
      <c r="X94" s="1">
        <f t="shared" ref="X94:X102" si="30">100*ROUND(P94/(P94+O94), 2)</f>
        <v>63</v>
      </c>
      <c r="Y94" s="6">
        <f t="shared" ref="Y94:Y102" si="31">O94+P94</f>
        <v>4.8611111111111125</v>
      </c>
    </row>
    <row r="95" spans="1:25" x14ac:dyDescent="0.15">
      <c r="A95" s="1">
        <v>2022</v>
      </c>
      <c r="B95" s="1" t="s">
        <v>34</v>
      </c>
      <c r="C95" s="1">
        <v>5</v>
      </c>
      <c r="D95" s="1">
        <v>11</v>
      </c>
      <c r="E95" s="1" t="s">
        <v>35</v>
      </c>
      <c r="F95" s="1" t="s">
        <v>39</v>
      </c>
      <c r="G95" s="1" t="s">
        <v>14</v>
      </c>
      <c r="H95" s="1" t="s">
        <v>35</v>
      </c>
      <c r="I95" s="1">
        <v>1</v>
      </c>
      <c r="J95" s="3" t="s">
        <v>64</v>
      </c>
      <c r="K95" s="1" t="s">
        <v>42</v>
      </c>
      <c r="L95" s="1">
        <v>117</v>
      </c>
      <c r="M95" s="1">
        <v>65</v>
      </c>
      <c r="N95" s="7">
        <f t="shared" ref="N95:N102" si="32">L95-M95</f>
        <v>52</v>
      </c>
      <c r="O95" s="6">
        <v>1.2500000000000002</v>
      </c>
      <c r="P95" s="1">
        <v>2.3611111111111112</v>
      </c>
      <c r="Q95" s="6">
        <f>O95/(0.1*O85)</f>
        <v>3.4615384615384617</v>
      </c>
      <c r="R95" s="6">
        <f>O95/(0.1*O88)</f>
        <v>2.4324324324324325</v>
      </c>
      <c r="S95" s="6">
        <f>P95/(0.9*P92)</f>
        <v>0.72649572649572636</v>
      </c>
      <c r="T95" s="6">
        <f t="shared" ref="T95:T102" si="33">Q95+S95</f>
        <v>4.1880341880341883</v>
      </c>
      <c r="U95" s="6">
        <f t="shared" ref="U95:U102" si="34">R95+S95</f>
        <v>3.158928158928159</v>
      </c>
      <c r="V95" s="1">
        <f>O95/O85+P95/P92</f>
        <v>0.99999999999999989</v>
      </c>
      <c r="W95" s="1">
        <f>O95/O88+P95/P92</f>
        <v>0.89708939708939694</v>
      </c>
      <c r="X95" s="1">
        <f t="shared" si="30"/>
        <v>65</v>
      </c>
      <c r="Y95" s="6">
        <f t="shared" si="31"/>
        <v>3.6111111111111116</v>
      </c>
    </row>
    <row r="96" spans="1:25" x14ac:dyDescent="0.15">
      <c r="A96" s="1">
        <v>2022</v>
      </c>
      <c r="B96" s="1" t="s">
        <v>34</v>
      </c>
      <c r="C96" s="1">
        <v>5</v>
      </c>
      <c r="D96" s="1">
        <v>12</v>
      </c>
      <c r="E96" s="1" t="s">
        <v>35</v>
      </c>
      <c r="F96" s="1" t="s">
        <v>40</v>
      </c>
      <c r="G96" s="1" t="s">
        <v>14</v>
      </c>
      <c r="H96" s="1" t="s">
        <v>35</v>
      </c>
      <c r="I96" s="1">
        <v>1</v>
      </c>
      <c r="J96" s="3" t="s">
        <v>65</v>
      </c>
      <c r="K96" s="1" t="s">
        <v>42</v>
      </c>
      <c r="L96" s="1">
        <v>122</v>
      </c>
      <c r="M96" s="1">
        <v>74</v>
      </c>
      <c r="N96" s="7">
        <f t="shared" si="32"/>
        <v>48</v>
      </c>
      <c r="O96" s="6">
        <v>0.97222222222222221</v>
      </c>
      <c r="P96" s="1">
        <v>1.8055555555555558</v>
      </c>
      <c r="Q96" s="6">
        <f>O96/(0.1*O85)</f>
        <v>2.6923076923076921</v>
      </c>
      <c r="R96" s="6">
        <f>O96/(0.1*O88)</f>
        <v>1.8918918918918917</v>
      </c>
      <c r="S96" s="6">
        <f>P96/(0.9*P93)</f>
        <v>0.57777777777777772</v>
      </c>
      <c r="T96" s="6">
        <f t="shared" si="33"/>
        <v>3.27008547008547</v>
      </c>
      <c r="U96" s="6">
        <f t="shared" si="34"/>
        <v>2.4696696696696696</v>
      </c>
      <c r="V96" s="1">
        <f>O96/O85+P96/P93</f>
        <v>0.78923076923076918</v>
      </c>
      <c r="W96" s="1">
        <f>O96/O88+P96/P93</f>
        <v>0.70918918918918916</v>
      </c>
      <c r="X96" s="1">
        <f t="shared" si="30"/>
        <v>65</v>
      </c>
      <c r="Y96" s="6">
        <f t="shared" si="31"/>
        <v>2.7777777777777781</v>
      </c>
    </row>
    <row r="97" spans="1:25" x14ac:dyDescent="0.15">
      <c r="A97" s="1">
        <v>2022</v>
      </c>
      <c r="B97" s="1" t="s">
        <v>34</v>
      </c>
      <c r="C97" s="1">
        <v>5</v>
      </c>
      <c r="D97" s="1">
        <v>13</v>
      </c>
      <c r="E97" s="1" t="s">
        <v>36</v>
      </c>
      <c r="F97" s="1" t="s">
        <v>38</v>
      </c>
      <c r="G97" s="1" t="s">
        <v>14</v>
      </c>
      <c r="H97" s="1" t="s">
        <v>36</v>
      </c>
      <c r="I97" s="1">
        <v>1</v>
      </c>
      <c r="J97" s="3" t="s">
        <v>66</v>
      </c>
      <c r="K97" s="1" t="s">
        <v>42</v>
      </c>
      <c r="L97" s="1">
        <v>111</v>
      </c>
      <c r="M97" s="1">
        <v>69</v>
      </c>
      <c r="N97" s="7">
        <f t="shared" si="32"/>
        <v>42</v>
      </c>
      <c r="O97" s="6">
        <v>1.2500000000000002</v>
      </c>
      <c r="P97" s="1">
        <v>2.3611111111111112</v>
      </c>
      <c r="Q97" s="6">
        <f>O97/(0.1*O86)</f>
        <v>2.903225806451613</v>
      </c>
      <c r="R97" s="6">
        <f>O97/(0.1*O89)</f>
        <v>3.2142857142857149</v>
      </c>
      <c r="S97" s="6">
        <f>P97/(0.9*P91)</f>
        <v>0.82125603864734287</v>
      </c>
      <c r="T97" s="6">
        <f t="shared" si="33"/>
        <v>3.7244818450989561</v>
      </c>
      <c r="U97" s="6">
        <f t="shared" si="34"/>
        <v>4.0355417529330575</v>
      </c>
      <c r="V97" s="1">
        <f>O97/O86+P97/P91</f>
        <v>1.0294530154277699</v>
      </c>
      <c r="W97" s="1">
        <f>O97/O89+P97/P91</f>
        <v>1.06055900621118</v>
      </c>
      <c r="X97" s="1">
        <f t="shared" si="30"/>
        <v>65</v>
      </c>
      <c r="Y97" s="6">
        <f t="shared" si="31"/>
        <v>3.6111111111111116</v>
      </c>
    </row>
    <row r="98" spans="1:25" x14ac:dyDescent="0.15">
      <c r="A98" s="1">
        <v>2022</v>
      </c>
      <c r="B98" s="1" t="s">
        <v>34</v>
      </c>
      <c r="C98" s="1">
        <v>5</v>
      </c>
      <c r="D98" s="1">
        <v>14</v>
      </c>
      <c r="E98" s="1" t="s">
        <v>36</v>
      </c>
      <c r="F98" s="1" t="s">
        <v>39</v>
      </c>
      <c r="G98" s="1" t="s">
        <v>14</v>
      </c>
      <c r="H98" s="1" t="s">
        <v>36</v>
      </c>
      <c r="I98" s="1">
        <v>1</v>
      </c>
      <c r="J98" s="3" t="s">
        <v>67</v>
      </c>
      <c r="K98" s="1" t="s">
        <v>42</v>
      </c>
      <c r="L98" s="1">
        <v>111</v>
      </c>
      <c r="M98" s="1">
        <v>68</v>
      </c>
      <c r="N98" s="7">
        <f t="shared" si="32"/>
        <v>43</v>
      </c>
      <c r="O98" s="1">
        <v>2.2222222222222228</v>
      </c>
      <c r="P98" s="6">
        <v>1.9444444444444444</v>
      </c>
      <c r="Q98" s="6">
        <f>O98/(0.1*O86)</f>
        <v>5.161290322580645</v>
      </c>
      <c r="R98" s="6">
        <f>O98/(0.1*O89)</f>
        <v>5.7142857142857153</v>
      </c>
      <c r="S98" s="6">
        <f>P98/(0.9*P92)</f>
        <v>0.59829059829059816</v>
      </c>
      <c r="T98" s="6">
        <f t="shared" si="33"/>
        <v>5.759580920871243</v>
      </c>
      <c r="U98" s="6">
        <f t="shared" si="34"/>
        <v>6.3125763125763132</v>
      </c>
      <c r="V98" s="1">
        <f>O98/O86+P98/P92</f>
        <v>1.054590570719603</v>
      </c>
      <c r="W98" s="1">
        <f>O98/O89+P98/P92</f>
        <v>1.1098901098901099</v>
      </c>
      <c r="X98" s="1">
        <f t="shared" si="30"/>
        <v>47</v>
      </c>
      <c r="Y98" s="6">
        <f t="shared" si="31"/>
        <v>4.166666666666667</v>
      </c>
    </row>
    <row r="99" spans="1:25" x14ac:dyDescent="0.15">
      <c r="A99" s="1">
        <v>2022</v>
      </c>
      <c r="B99" s="1" t="s">
        <v>34</v>
      </c>
      <c r="C99" s="1">
        <v>5</v>
      </c>
      <c r="D99" s="1">
        <v>15</v>
      </c>
      <c r="E99" s="1" t="s">
        <v>36</v>
      </c>
      <c r="F99" s="1" t="s">
        <v>40</v>
      </c>
      <c r="G99" s="1" t="s">
        <v>14</v>
      </c>
      <c r="H99" s="1" t="s">
        <v>36</v>
      </c>
      <c r="I99" s="1">
        <v>1</v>
      </c>
      <c r="J99" s="3" t="s">
        <v>68</v>
      </c>
      <c r="K99" s="1" t="s">
        <v>42</v>
      </c>
      <c r="L99" s="1">
        <v>113</v>
      </c>
      <c r="M99" s="1">
        <v>70</v>
      </c>
      <c r="N99" s="7">
        <f t="shared" si="32"/>
        <v>43</v>
      </c>
      <c r="O99" s="1">
        <v>2.3611111111111112</v>
      </c>
      <c r="P99" s="6">
        <v>2.0833333333333335</v>
      </c>
      <c r="Q99" s="6">
        <f>O99/(0.1*O86)</f>
        <v>5.4838709677419342</v>
      </c>
      <c r="R99" s="6">
        <f>O99/(0.1*O89)</f>
        <v>6.0714285714285712</v>
      </c>
      <c r="S99" s="6">
        <f>P99/(0.9*P93)</f>
        <v>0.66666666666666663</v>
      </c>
      <c r="T99" s="6">
        <f t="shared" si="33"/>
        <v>6.1505376344086011</v>
      </c>
      <c r="U99" s="6">
        <f t="shared" si="34"/>
        <v>6.7380952380952381</v>
      </c>
      <c r="V99" s="1">
        <f>O99/O86+P99/P93</f>
        <v>1.1483870967741936</v>
      </c>
      <c r="W99" s="1">
        <f>O99/O89+P99/P93</f>
        <v>1.2071428571428573</v>
      </c>
      <c r="X99" s="1">
        <f t="shared" si="30"/>
        <v>47</v>
      </c>
      <c r="Y99" s="6">
        <f t="shared" si="31"/>
        <v>4.4444444444444446</v>
      </c>
    </row>
    <row r="100" spans="1:25" x14ac:dyDescent="0.15">
      <c r="A100" s="1">
        <v>2022</v>
      </c>
      <c r="B100" s="1" t="s">
        <v>34</v>
      </c>
      <c r="C100" s="1">
        <v>5</v>
      </c>
      <c r="D100" s="1">
        <v>16</v>
      </c>
      <c r="E100" s="1" t="s">
        <v>37</v>
      </c>
      <c r="F100" s="1" t="s">
        <v>38</v>
      </c>
      <c r="G100" s="1" t="s">
        <v>14</v>
      </c>
      <c r="H100" s="1" t="s">
        <v>37</v>
      </c>
      <c r="I100" s="1">
        <v>1</v>
      </c>
      <c r="J100" s="3" t="s">
        <v>69</v>
      </c>
      <c r="K100" s="1" t="s">
        <v>42</v>
      </c>
      <c r="L100" s="1">
        <v>87</v>
      </c>
      <c r="M100" s="1">
        <v>72</v>
      </c>
      <c r="N100" s="7">
        <f t="shared" si="32"/>
        <v>15</v>
      </c>
      <c r="O100" s="1">
        <v>0.69444444444444442</v>
      </c>
      <c r="P100" s="6">
        <v>2.7777777777777777</v>
      </c>
      <c r="Q100" s="6">
        <f>O100/(0.1*O87)</f>
        <v>2.3809523809523809</v>
      </c>
      <c r="R100" s="6">
        <f>O100/(0.1*O90)</f>
        <v>1.4285714285714284</v>
      </c>
      <c r="S100" s="6">
        <f>P100/(0.9*P91)</f>
        <v>0.9661835748792269</v>
      </c>
      <c r="T100" s="6">
        <f t="shared" si="33"/>
        <v>3.3471359558316078</v>
      </c>
      <c r="U100" s="6">
        <f t="shared" si="34"/>
        <v>2.3947550034506553</v>
      </c>
      <c r="V100" s="1">
        <f>O100/O87+P100/P91</f>
        <v>1.1076604554865424</v>
      </c>
      <c r="W100" s="1">
        <f>O100/O90+P100/P91</f>
        <v>1.012422360248447</v>
      </c>
      <c r="X100" s="1">
        <f t="shared" si="30"/>
        <v>80</v>
      </c>
      <c r="Y100" s="6">
        <f t="shared" si="31"/>
        <v>3.4722222222222223</v>
      </c>
    </row>
    <row r="101" spans="1:25" x14ac:dyDescent="0.15">
      <c r="A101" s="1">
        <v>2022</v>
      </c>
      <c r="B101" s="1" t="s">
        <v>34</v>
      </c>
      <c r="C101" s="1">
        <v>5</v>
      </c>
      <c r="D101" s="1">
        <v>17</v>
      </c>
      <c r="E101" s="1" t="s">
        <v>37</v>
      </c>
      <c r="F101" s="1" t="s">
        <v>39</v>
      </c>
      <c r="G101" s="1" t="s">
        <v>14</v>
      </c>
      <c r="H101" s="1" t="s">
        <v>37</v>
      </c>
      <c r="I101" s="1">
        <v>1</v>
      </c>
      <c r="J101" s="3" t="s">
        <v>70</v>
      </c>
      <c r="K101" s="1" t="s">
        <v>42</v>
      </c>
      <c r="L101" s="1">
        <v>84</v>
      </c>
      <c r="M101" s="1">
        <v>65</v>
      </c>
      <c r="N101" s="7">
        <f t="shared" si="32"/>
        <v>19</v>
      </c>
      <c r="O101" s="6">
        <v>1.5277777777777781</v>
      </c>
      <c r="P101" s="6">
        <v>3.0555555555555562</v>
      </c>
      <c r="Q101" s="6">
        <f>O101/(0.1*O87)</f>
        <v>5.238095238095239</v>
      </c>
      <c r="R101" s="6">
        <f>O101/(0.1*O90)</f>
        <v>3.1428571428571432</v>
      </c>
      <c r="S101" s="6">
        <f>P101/(0.9*P92)</f>
        <v>0.94017094017094027</v>
      </c>
      <c r="T101" s="6">
        <f t="shared" si="33"/>
        <v>6.1782661782661794</v>
      </c>
      <c r="U101" s="6">
        <f t="shared" si="34"/>
        <v>4.0830280830280836</v>
      </c>
      <c r="V101" s="1">
        <f>O101/O87+P101/P92</f>
        <v>1.36996336996337</v>
      </c>
      <c r="W101" s="1">
        <f>O101/O90+P101/P92</f>
        <v>1.1604395604395605</v>
      </c>
      <c r="X101" s="1">
        <f t="shared" si="30"/>
        <v>67</v>
      </c>
      <c r="Y101" s="6">
        <f t="shared" si="31"/>
        <v>4.5833333333333339</v>
      </c>
    </row>
    <row r="102" spans="1:25" x14ac:dyDescent="0.15">
      <c r="A102" s="1">
        <v>2022</v>
      </c>
      <c r="B102" s="1" t="s">
        <v>34</v>
      </c>
      <c r="C102" s="1">
        <v>5</v>
      </c>
      <c r="D102" s="1">
        <v>18</v>
      </c>
      <c r="E102" s="1" t="s">
        <v>37</v>
      </c>
      <c r="F102" s="1" t="s">
        <v>40</v>
      </c>
      <c r="G102" s="1" t="s">
        <v>14</v>
      </c>
      <c r="H102" s="1" t="s">
        <v>37</v>
      </c>
      <c r="I102" s="1">
        <v>1</v>
      </c>
      <c r="J102" s="3" t="s">
        <v>71</v>
      </c>
      <c r="K102" s="1" t="s">
        <v>42</v>
      </c>
      <c r="L102" s="1">
        <v>88</v>
      </c>
      <c r="M102" s="1">
        <v>70</v>
      </c>
      <c r="N102" s="7">
        <f t="shared" si="32"/>
        <v>18</v>
      </c>
      <c r="O102" s="6">
        <v>0.69444444444444442</v>
      </c>
      <c r="P102" s="6">
        <v>2.3611111111111112</v>
      </c>
      <c r="Q102" s="6">
        <f>O102/(0.1*O87)</f>
        <v>2.3809523809523809</v>
      </c>
      <c r="R102" s="6">
        <f>O102/(0.1*O90)</f>
        <v>1.4285714285714284</v>
      </c>
      <c r="S102" s="6">
        <f>P102/(0.9*P93)</f>
        <v>0.75555555555555542</v>
      </c>
      <c r="T102" s="6">
        <f t="shared" si="33"/>
        <v>3.1365079365079365</v>
      </c>
      <c r="U102" s="6">
        <f t="shared" si="34"/>
        <v>2.1841269841269839</v>
      </c>
      <c r="V102" s="1">
        <f>O102/O87+P102/P93</f>
        <v>0.91809523809523796</v>
      </c>
      <c r="W102" s="1">
        <f>O102/O90+P102/P93</f>
        <v>0.82285714285714273</v>
      </c>
      <c r="X102" s="1">
        <f t="shared" si="30"/>
        <v>77</v>
      </c>
      <c r="Y102" s="6">
        <f t="shared" si="31"/>
        <v>3.0555555555555554</v>
      </c>
    </row>
    <row r="103" spans="1:25" x14ac:dyDescent="0.15">
      <c r="A103" s="1">
        <v>2022</v>
      </c>
      <c r="B103" s="1" t="s">
        <v>34</v>
      </c>
      <c r="C103" s="1">
        <v>6</v>
      </c>
      <c r="D103" s="1">
        <v>1</v>
      </c>
      <c r="E103" s="1" t="s">
        <v>35</v>
      </c>
      <c r="F103" s="1"/>
      <c r="G103" s="1" t="s">
        <v>41</v>
      </c>
      <c r="H103" s="1" t="s">
        <v>35</v>
      </c>
      <c r="I103" s="1">
        <v>2</v>
      </c>
      <c r="J103" s="3" t="s">
        <v>35</v>
      </c>
      <c r="K103" s="1" t="s">
        <v>42</v>
      </c>
      <c r="L103" s="1">
        <v>108</v>
      </c>
      <c r="M103" s="1" t="s">
        <v>45</v>
      </c>
      <c r="N103" s="7" t="s">
        <v>45</v>
      </c>
      <c r="O103" s="6">
        <v>4.0277777777777777</v>
      </c>
      <c r="P103" s="6" t="s">
        <v>45</v>
      </c>
      <c r="Q103" s="6" t="s">
        <v>45</v>
      </c>
      <c r="R103" s="6" t="s">
        <v>45</v>
      </c>
      <c r="S103" s="6" t="s">
        <v>45</v>
      </c>
      <c r="T103" s="6" t="s">
        <v>45</v>
      </c>
      <c r="U103" s="6" t="s">
        <v>45</v>
      </c>
      <c r="V103" s="1" t="s">
        <v>45</v>
      </c>
      <c r="W103" s="1" t="s">
        <v>45</v>
      </c>
      <c r="X103" s="6" t="s">
        <v>45</v>
      </c>
      <c r="Y103" s="6">
        <f>O103</f>
        <v>4.0277777777777777</v>
      </c>
    </row>
    <row r="104" spans="1:25" x14ac:dyDescent="0.15">
      <c r="A104" s="1">
        <v>2022</v>
      </c>
      <c r="B104" s="1" t="s">
        <v>34</v>
      </c>
      <c r="C104" s="1">
        <v>6</v>
      </c>
      <c r="D104" s="1">
        <v>2</v>
      </c>
      <c r="E104" s="1" t="s">
        <v>36</v>
      </c>
      <c r="F104" s="1"/>
      <c r="G104" s="1" t="s">
        <v>41</v>
      </c>
      <c r="H104" s="1" t="s">
        <v>36</v>
      </c>
      <c r="I104" s="1">
        <v>2</v>
      </c>
      <c r="J104" s="3" t="s">
        <v>36</v>
      </c>
      <c r="K104" s="1" t="s">
        <v>42</v>
      </c>
      <c r="L104" s="1">
        <v>95</v>
      </c>
      <c r="M104" s="1" t="s">
        <v>45</v>
      </c>
      <c r="N104" s="7" t="s">
        <v>45</v>
      </c>
      <c r="O104" s="6">
        <v>5.9722222222222223</v>
      </c>
      <c r="P104" s="6" t="s">
        <v>45</v>
      </c>
      <c r="Q104" s="6" t="s">
        <v>45</v>
      </c>
      <c r="R104" s="6" t="s">
        <v>45</v>
      </c>
      <c r="S104" s="6" t="s">
        <v>45</v>
      </c>
      <c r="T104" s="6" t="s">
        <v>45</v>
      </c>
      <c r="U104" s="6" t="s">
        <v>45</v>
      </c>
      <c r="V104" s="1" t="s">
        <v>45</v>
      </c>
      <c r="W104" s="1" t="s">
        <v>45</v>
      </c>
      <c r="X104" s="6" t="s">
        <v>45</v>
      </c>
      <c r="Y104" s="6">
        <f t="shared" ref="Y104:Y108" si="35">O104</f>
        <v>5.9722222222222223</v>
      </c>
    </row>
    <row r="105" spans="1:25" x14ac:dyDescent="0.15">
      <c r="A105" s="1">
        <v>2022</v>
      </c>
      <c r="B105" s="1" t="s">
        <v>34</v>
      </c>
      <c r="C105" s="1">
        <v>6</v>
      </c>
      <c r="D105" s="1">
        <v>3</v>
      </c>
      <c r="E105" s="1" t="s">
        <v>37</v>
      </c>
      <c r="F105" s="1"/>
      <c r="G105" s="1" t="s">
        <v>41</v>
      </c>
      <c r="H105" s="1" t="s">
        <v>37</v>
      </c>
      <c r="I105" s="1">
        <v>2</v>
      </c>
      <c r="J105" s="3" t="s">
        <v>37</v>
      </c>
      <c r="K105" s="1" t="s">
        <v>42</v>
      </c>
      <c r="L105" s="1">
        <v>78</v>
      </c>
      <c r="M105" s="1" t="s">
        <v>45</v>
      </c>
      <c r="N105" s="7" t="s">
        <v>45</v>
      </c>
      <c r="O105" s="6">
        <v>5.4166666666666679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6" t="s">
        <v>45</v>
      </c>
      <c r="V105" s="1" t="s">
        <v>45</v>
      </c>
      <c r="W105" s="1" t="s">
        <v>45</v>
      </c>
      <c r="X105" s="6" t="s">
        <v>45</v>
      </c>
      <c r="Y105" s="6">
        <f t="shared" si="35"/>
        <v>5.4166666666666679</v>
      </c>
    </row>
    <row r="106" spans="1:25" x14ac:dyDescent="0.15">
      <c r="A106" s="1">
        <v>2022</v>
      </c>
      <c r="B106" s="1" t="s">
        <v>34</v>
      </c>
      <c r="C106" s="1">
        <v>6</v>
      </c>
      <c r="D106" s="1">
        <v>4</v>
      </c>
      <c r="E106" s="1" t="s">
        <v>35</v>
      </c>
      <c r="F106" s="1"/>
      <c r="G106" s="1" t="s">
        <v>41</v>
      </c>
      <c r="H106" s="1" t="s">
        <v>75</v>
      </c>
      <c r="I106" s="1">
        <v>2</v>
      </c>
      <c r="J106" s="3" t="s">
        <v>35</v>
      </c>
      <c r="K106" s="1" t="s">
        <v>43</v>
      </c>
      <c r="L106" s="1">
        <v>119</v>
      </c>
      <c r="M106" s="1" t="s">
        <v>45</v>
      </c>
      <c r="N106" s="7" t="s">
        <v>45</v>
      </c>
      <c r="O106" s="6">
        <v>6.2500000000000009</v>
      </c>
      <c r="P106" s="6" t="s">
        <v>45</v>
      </c>
      <c r="Q106" s="6" t="s">
        <v>45</v>
      </c>
      <c r="R106" s="6" t="s">
        <v>45</v>
      </c>
      <c r="S106" s="6" t="s">
        <v>45</v>
      </c>
      <c r="T106" s="6" t="s">
        <v>45</v>
      </c>
      <c r="U106" s="6" t="s">
        <v>45</v>
      </c>
      <c r="V106" s="1" t="s">
        <v>45</v>
      </c>
      <c r="W106" s="1" t="s">
        <v>45</v>
      </c>
      <c r="X106" s="1" t="s">
        <v>45</v>
      </c>
      <c r="Y106" s="6">
        <f t="shared" si="35"/>
        <v>6.2500000000000009</v>
      </c>
    </row>
    <row r="107" spans="1:25" x14ac:dyDescent="0.15">
      <c r="A107" s="1">
        <v>2022</v>
      </c>
      <c r="B107" s="1" t="s">
        <v>34</v>
      </c>
      <c r="C107" s="1">
        <v>6</v>
      </c>
      <c r="D107" s="1">
        <v>5</v>
      </c>
      <c r="E107" s="1" t="s">
        <v>36</v>
      </c>
      <c r="F107" s="1"/>
      <c r="G107" s="1" t="s">
        <v>41</v>
      </c>
      <c r="H107" s="1" t="s">
        <v>76</v>
      </c>
      <c r="I107" s="1">
        <v>2</v>
      </c>
      <c r="J107" s="3" t="s">
        <v>36</v>
      </c>
      <c r="K107" s="1" t="s">
        <v>43</v>
      </c>
      <c r="L107" s="1">
        <v>106</v>
      </c>
      <c r="M107" s="1" t="s">
        <v>45</v>
      </c>
      <c r="N107" s="7" t="s">
        <v>45</v>
      </c>
      <c r="O107" s="6">
        <v>5.0000000000000009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6" t="s">
        <v>45</v>
      </c>
      <c r="V107" s="1" t="s">
        <v>45</v>
      </c>
      <c r="W107" s="1" t="s">
        <v>45</v>
      </c>
      <c r="X107" s="1" t="s">
        <v>45</v>
      </c>
      <c r="Y107" s="6">
        <f t="shared" si="35"/>
        <v>5.0000000000000009</v>
      </c>
    </row>
    <row r="108" spans="1:25" x14ac:dyDescent="0.15">
      <c r="A108" s="1">
        <v>2022</v>
      </c>
      <c r="B108" s="1" t="s">
        <v>34</v>
      </c>
      <c r="C108" s="1">
        <v>6</v>
      </c>
      <c r="D108" s="1">
        <v>6</v>
      </c>
      <c r="E108" s="1" t="s">
        <v>37</v>
      </c>
      <c r="F108" s="1"/>
      <c r="G108" s="1" t="s">
        <v>41</v>
      </c>
      <c r="H108" s="1" t="s">
        <v>77</v>
      </c>
      <c r="I108" s="1">
        <v>2</v>
      </c>
      <c r="J108" s="3" t="s">
        <v>37</v>
      </c>
      <c r="K108" s="1" t="s">
        <v>43</v>
      </c>
      <c r="L108" s="1">
        <v>86</v>
      </c>
      <c r="M108" s="1" t="s">
        <v>45</v>
      </c>
      <c r="N108" s="7" t="s">
        <v>45</v>
      </c>
      <c r="O108" s="6">
        <v>5.8333333333333339</v>
      </c>
      <c r="P108" s="1" t="s">
        <v>45</v>
      </c>
      <c r="Q108" s="6" t="s">
        <v>45</v>
      </c>
      <c r="R108" s="6" t="s">
        <v>45</v>
      </c>
      <c r="S108" s="6" t="s">
        <v>45</v>
      </c>
      <c r="T108" s="6" t="s">
        <v>45</v>
      </c>
      <c r="U108" s="6" t="s">
        <v>45</v>
      </c>
      <c r="V108" s="1" t="s">
        <v>45</v>
      </c>
      <c r="W108" s="1" t="s">
        <v>45</v>
      </c>
      <c r="X108" s="1" t="s">
        <v>45</v>
      </c>
      <c r="Y108" s="6">
        <f t="shared" si="35"/>
        <v>5.8333333333333339</v>
      </c>
    </row>
    <row r="109" spans="1:25" x14ac:dyDescent="0.15">
      <c r="A109" s="1">
        <v>2022</v>
      </c>
      <c r="B109" s="1" t="s">
        <v>34</v>
      </c>
      <c r="C109" s="1">
        <v>6</v>
      </c>
      <c r="D109" s="1">
        <v>7</v>
      </c>
      <c r="E109" s="1"/>
      <c r="F109" s="1" t="s">
        <v>38</v>
      </c>
      <c r="G109" s="1" t="s">
        <v>41</v>
      </c>
      <c r="H109" s="1"/>
      <c r="I109" s="1">
        <v>2</v>
      </c>
      <c r="J109" s="3" t="s">
        <v>38</v>
      </c>
      <c r="K109" s="1" t="s">
        <v>42</v>
      </c>
      <c r="L109" s="1" t="s">
        <v>45</v>
      </c>
      <c r="M109" s="1">
        <v>59</v>
      </c>
      <c r="N109" s="7" t="s">
        <v>45</v>
      </c>
      <c r="O109" s="6" t="s">
        <v>45</v>
      </c>
      <c r="P109" s="1">
        <v>2.916666666666667</v>
      </c>
      <c r="Q109" s="6" t="s">
        <v>45</v>
      </c>
      <c r="R109" s="6" t="s">
        <v>45</v>
      </c>
      <c r="S109" s="6" t="s">
        <v>45</v>
      </c>
      <c r="T109" s="6" t="s">
        <v>45</v>
      </c>
      <c r="U109" s="6" t="s">
        <v>45</v>
      </c>
      <c r="V109" s="1" t="s">
        <v>45</v>
      </c>
      <c r="W109" s="1" t="s">
        <v>45</v>
      </c>
      <c r="X109" s="1" t="s">
        <v>45</v>
      </c>
      <c r="Y109" s="6">
        <f>P109</f>
        <v>2.916666666666667</v>
      </c>
    </row>
    <row r="110" spans="1:25" x14ac:dyDescent="0.15">
      <c r="A110" s="1">
        <v>2022</v>
      </c>
      <c r="B110" s="1" t="s">
        <v>34</v>
      </c>
      <c r="C110" s="1">
        <v>6</v>
      </c>
      <c r="D110" s="1">
        <v>8</v>
      </c>
      <c r="E110" s="1"/>
      <c r="F110" s="1" t="s">
        <v>39</v>
      </c>
      <c r="G110" s="1" t="s">
        <v>41</v>
      </c>
      <c r="H110" s="1"/>
      <c r="I110" s="1">
        <v>2</v>
      </c>
      <c r="J110" s="3" t="s">
        <v>39</v>
      </c>
      <c r="K110" s="1" t="s">
        <v>42</v>
      </c>
      <c r="L110" s="1" t="s">
        <v>45</v>
      </c>
      <c r="M110" s="1">
        <v>62</v>
      </c>
      <c r="N110" s="7" t="s">
        <v>45</v>
      </c>
      <c r="O110" s="6" t="s">
        <v>45</v>
      </c>
      <c r="P110" s="1">
        <v>3.6111111111111116</v>
      </c>
      <c r="Q110" s="6" t="s">
        <v>45</v>
      </c>
      <c r="R110" s="6" t="s">
        <v>45</v>
      </c>
      <c r="S110" s="6" t="s">
        <v>45</v>
      </c>
      <c r="T110" s="6" t="s">
        <v>45</v>
      </c>
      <c r="U110" s="6" t="s">
        <v>45</v>
      </c>
      <c r="V110" s="1" t="s">
        <v>45</v>
      </c>
      <c r="W110" s="1" t="s">
        <v>45</v>
      </c>
      <c r="X110" s="1" t="s">
        <v>45</v>
      </c>
      <c r="Y110" s="6">
        <f t="shared" ref="Y110:Y111" si="36">P110</f>
        <v>3.6111111111111116</v>
      </c>
    </row>
    <row r="111" spans="1:25" x14ac:dyDescent="0.15">
      <c r="A111" s="1">
        <v>2022</v>
      </c>
      <c r="B111" s="1" t="s">
        <v>34</v>
      </c>
      <c r="C111" s="1">
        <v>6</v>
      </c>
      <c r="D111" s="1">
        <v>9</v>
      </c>
      <c r="E111" s="1"/>
      <c r="F111" s="1" t="s">
        <v>40</v>
      </c>
      <c r="G111" s="1" t="s">
        <v>41</v>
      </c>
      <c r="H111" s="1"/>
      <c r="I111" s="1">
        <v>2</v>
      </c>
      <c r="J111" s="3" t="s">
        <v>40</v>
      </c>
      <c r="K111" s="1" t="s">
        <v>42</v>
      </c>
      <c r="L111" s="1" t="s">
        <v>45</v>
      </c>
      <c r="M111" s="1">
        <v>72</v>
      </c>
      <c r="N111" s="7" t="s">
        <v>45</v>
      </c>
      <c r="O111" s="1" t="s">
        <v>45</v>
      </c>
      <c r="P111" s="6">
        <v>2.5000000000000004</v>
      </c>
      <c r="Q111" s="6" t="s">
        <v>45</v>
      </c>
      <c r="R111" s="6" t="s">
        <v>45</v>
      </c>
      <c r="S111" s="6" t="s">
        <v>45</v>
      </c>
      <c r="T111" s="6" t="s">
        <v>45</v>
      </c>
      <c r="U111" s="6" t="s">
        <v>45</v>
      </c>
      <c r="V111" s="1" t="s">
        <v>45</v>
      </c>
      <c r="W111" s="1" t="s">
        <v>45</v>
      </c>
      <c r="X111" s="1" t="s">
        <v>45</v>
      </c>
      <c r="Y111" s="6">
        <f t="shared" si="36"/>
        <v>2.5000000000000004</v>
      </c>
    </row>
    <row r="112" spans="1:25" x14ac:dyDescent="0.15">
      <c r="A112" s="1">
        <v>2022</v>
      </c>
      <c r="B112" s="1" t="s">
        <v>34</v>
      </c>
      <c r="C112" s="1">
        <v>6</v>
      </c>
      <c r="D112" s="1">
        <v>10</v>
      </c>
      <c r="E112" s="1" t="s">
        <v>35</v>
      </c>
      <c r="F112" s="1" t="s">
        <v>38</v>
      </c>
      <c r="G112" s="1" t="s">
        <v>14</v>
      </c>
      <c r="H112" s="1" t="s">
        <v>35</v>
      </c>
      <c r="I112" s="1">
        <v>2</v>
      </c>
      <c r="J112" s="3" t="s">
        <v>63</v>
      </c>
      <c r="K112" s="1" t="s">
        <v>42</v>
      </c>
      <c r="L112" s="1">
        <v>120</v>
      </c>
      <c r="M112" s="1">
        <v>62</v>
      </c>
      <c r="N112" s="7">
        <f>L112-M112</f>
        <v>58</v>
      </c>
      <c r="O112" s="1">
        <v>1.2500000000000002</v>
      </c>
      <c r="P112" s="6">
        <v>3.4722222222222228</v>
      </c>
      <c r="Q112" s="6">
        <f>O112/(0.1*O103)</f>
        <v>3.1034482758620694</v>
      </c>
      <c r="R112" s="6">
        <f>O112/(0.1*O106)</f>
        <v>2</v>
      </c>
      <c r="S112" s="6">
        <f>P112/(0.9*P109)</f>
        <v>1.3227513227513228</v>
      </c>
      <c r="T112" s="6">
        <f>Q112+S112</f>
        <v>4.4261995986133922</v>
      </c>
      <c r="U112" s="6">
        <f>R112+S112</f>
        <v>3.3227513227513228</v>
      </c>
      <c r="V112" s="1">
        <f>O112/O103+P112/P109</f>
        <v>1.5008210180623975</v>
      </c>
      <c r="W112" s="1">
        <f>O112/O106+P112/P109</f>
        <v>1.3904761904761904</v>
      </c>
      <c r="X112" s="1">
        <f t="shared" ref="X112:X120" si="37">100*ROUND(P112/(P112+O112), 2)</f>
        <v>74</v>
      </c>
      <c r="Y112" s="6">
        <f t="shared" ref="Y112:Y120" si="38">O112+P112</f>
        <v>4.7222222222222232</v>
      </c>
    </row>
    <row r="113" spans="1:25" x14ac:dyDescent="0.15">
      <c r="A113" s="1">
        <v>2022</v>
      </c>
      <c r="B113" s="1" t="s">
        <v>34</v>
      </c>
      <c r="C113" s="1">
        <v>6</v>
      </c>
      <c r="D113" s="1">
        <v>11</v>
      </c>
      <c r="E113" s="1" t="s">
        <v>35</v>
      </c>
      <c r="F113" s="1" t="s">
        <v>39</v>
      </c>
      <c r="G113" s="1" t="s">
        <v>14</v>
      </c>
      <c r="H113" s="1" t="s">
        <v>35</v>
      </c>
      <c r="I113" s="1">
        <v>2</v>
      </c>
      <c r="J113" s="3" t="s">
        <v>64</v>
      </c>
      <c r="K113" s="1" t="s">
        <v>42</v>
      </c>
      <c r="L113" s="1">
        <v>122</v>
      </c>
      <c r="M113" s="1">
        <v>65</v>
      </c>
      <c r="N113" s="7">
        <f t="shared" ref="N113:N120" si="39">L113-M113</f>
        <v>57</v>
      </c>
      <c r="O113" s="1">
        <v>1.2500000000000002</v>
      </c>
      <c r="P113" s="6">
        <v>2.7777777777777777</v>
      </c>
      <c r="Q113" s="6">
        <f>O113/(0.1*O103)</f>
        <v>3.1034482758620694</v>
      </c>
      <c r="R113" s="6">
        <f>O113/(0.1*O106)</f>
        <v>2</v>
      </c>
      <c r="S113" s="6">
        <f>P113/(0.9*P110)</f>
        <v>0.85470085470085455</v>
      </c>
      <c r="T113" s="6">
        <f t="shared" ref="T113:T120" si="40">Q113+S113</f>
        <v>3.9581491305629237</v>
      </c>
      <c r="U113" s="6">
        <f t="shared" ref="U113:U120" si="41">R113+S113</f>
        <v>2.8547008547008543</v>
      </c>
      <c r="V113" s="1">
        <f>O113/O103+P113/P110</f>
        <v>1.079575596816976</v>
      </c>
      <c r="W113" s="1">
        <f>O113/O106+P113/P110</f>
        <v>0.96923076923076912</v>
      </c>
      <c r="X113" s="1">
        <f t="shared" si="37"/>
        <v>69</v>
      </c>
      <c r="Y113" s="6">
        <f t="shared" si="38"/>
        <v>4.0277777777777777</v>
      </c>
    </row>
    <row r="114" spans="1:25" x14ac:dyDescent="0.15">
      <c r="A114" s="1">
        <v>2022</v>
      </c>
      <c r="B114" s="1" t="s">
        <v>34</v>
      </c>
      <c r="C114" s="1">
        <v>6</v>
      </c>
      <c r="D114" s="1">
        <v>12</v>
      </c>
      <c r="E114" s="1" t="s">
        <v>35</v>
      </c>
      <c r="F114" s="1" t="s">
        <v>40</v>
      </c>
      <c r="G114" s="1" t="s">
        <v>14</v>
      </c>
      <c r="H114" s="1" t="s">
        <v>35</v>
      </c>
      <c r="I114" s="1">
        <v>2</v>
      </c>
      <c r="J114" s="3" t="s">
        <v>65</v>
      </c>
      <c r="K114" s="1" t="s">
        <v>42</v>
      </c>
      <c r="L114" s="1">
        <v>117</v>
      </c>
      <c r="M114" s="1">
        <v>60</v>
      </c>
      <c r="N114" s="7">
        <f t="shared" si="39"/>
        <v>57</v>
      </c>
      <c r="O114" s="6">
        <v>2.0833333333333335</v>
      </c>
      <c r="P114" s="6">
        <v>1.3888888888888888</v>
      </c>
      <c r="Q114" s="6">
        <f>O114/(0.1*O103)</f>
        <v>5.1724137931034484</v>
      </c>
      <c r="R114" s="6">
        <f>O114/(0.1*O106)</f>
        <v>3.333333333333333</v>
      </c>
      <c r="S114" s="6">
        <f>P114/(0.9*P111)</f>
        <v>0.61728395061728381</v>
      </c>
      <c r="T114" s="6">
        <f t="shared" si="40"/>
        <v>5.7896977437207324</v>
      </c>
      <c r="U114" s="6">
        <f t="shared" si="41"/>
        <v>3.9506172839506171</v>
      </c>
      <c r="V114" s="1">
        <f>O114/O103+P114/P111</f>
        <v>1.0727969348659003</v>
      </c>
      <c r="W114" s="1">
        <f>O114/O106+P114/P111</f>
        <v>0.88888888888888884</v>
      </c>
      <c r="X114" s="1">
        <f t="shared" si="37"/>
        <v>40</v>
      </c>
      <c r="Y114" s="6">
        <f t="shared" si="38"/>
        <v>3.4722222222222223</v>
      </c>
    </row>
    <row r="115" spans="1:25" x14ac:dyDescent="0.15">
      <c r="A115" s="1">
        <v>2022</v>
      </c>
      <c r="B115" s="1" t="s">
        <v>34</v>
      </c>
      <c r="C115" s="1">
        <v>6</v>
      </c>
      <c r="D115" s="1">
        <v>13</v>
      </c>
      <c r="E115" s="1" t="s">
        <v>36</v>
      </c>
      <c r="F115" s="1" t="s">
        <v>38</v>
      </c>
      <c r="G115" s="1" t="s">
        <v>14</v>
      </c>
      <c r="H115" s="1" t="s">
        <v>36</v>
      </c>
      <c r="I115" s="1">
        <v>2</v>
      </c>
      <c r="J115" s="3" t="s">
        <v>66</v>
      </c>
      <c r="K115" s="1" t="s">
        <v>42</v>
      </c>
      <c r="L115" s="1">
        <v>108</v>
      </c>
      <c r="M115" s="1">
        <v>61</v>
      </c>
      <c r="N115" s="7">
        <f t="shared" si="39"/>
        <v>47</v>
      </c>
      <c r="O115" s="6">
        <v>0.97222222222222221</v>
      </c>
      <c r="P115" s="6">
        <v>2.7777777777777777</v>
      </c>
      <c r="Q115" s="6">
        <f>O115/(0.1*O104)</f>
        <v>1.6279069767441861</v>
      </c>
      <c r="R115" s="6">
        <f>O115/(0.1*O107)</f>
        <v>1.944444444444444</v>
      </c>
      <c r="S115" s="6">
        <f>P115/(0.9*P109)</f>
        <v>1.0582010582010579</v>
      </c>
      <c r="T115" s="6">
        <f t="shared" si="40"/>
        <v>2.686108034945244</v>
      </c>
      <c r="U115" s="6">
        <f t="shared" si="41"/>
        <v>3.0026455026455019</v>
      </c>
      <c r="V115" s="1">
        <f>O115/O104+P115/P109</f>
        <v>1.1151716500553708</v>
      </c>
      <c r="W115" s="1">
        <f>O115/O107+P115/P109</f>
        <v>1.1468253968253967</v>
      </c>
      <c r="X115" s="1">
        <f t="shared" si="37"/>
        <v>74</v>
      </c>
      <c r="Y115" s="6">
        <f t="shared" si="38"/>
        <v>3.75</v>
      </c>
    </row>
    <row r="116" spans="1:25" x14ac:dyDescent="0.15">
      <c r="A116" s="1">
        <v>2022</v>
      </c>
      <c r="B116" s="1" t="s">
        <v>34</v>
      </c>
      <c r="C116" s="1">
        <v>6</v>
      </c>
      <c r="D116" s="1">
        <v>14</v>
      </c>
      <c r="E116" s="1" t="s">
        <v>36</v>
      </c>
      <c r="F116" s="1" t="s">
        <v>39</v>
      </c>
      <c r="G116" s="1" t="s">
        <v>14</v>
      </c>
      <c r="H116" s="1" t="s">
        <v>36</v>
      </c>
      <c r="I116" s="1">
        <v>2</v>
      </c>
      <c r="J116" s="3" t="s">
        <v>67</v>
      </c>
      <c r="K116" s="1" t="s">
        <v>42</v>
      </c>
      <c r="L116" s="1">
        <v>109</v>
      </c>
      <c r="M116" s="1">
        <v>61</v>
      </c>
      <c r="N116" s="7">
        <f t="shared" si="39"/>
        <v>48</v>
      </c>
      <c r="O116" s="6">
        <v>2.2222222222222228</v>
      </c>
      <c r="P116" s="6">
        <v>1.666666666666667</v>
      </c>
      <c r="Q116" s="6">
        <f>O116/(0.1*O104)</f>
        <v>3.7209302325581404</v>
      </c>
      <c r="R116" s="6">
        <f>O116/(0.1*O107)</f>
        <v>4.4444444444444446</v>
      </c>
      <c r="S116" s="6">
        <f>P116/(0.9*P110)</f>
        <v>0.51282051282051289</v>
      </c>
      <c r="T116" s="6">
        <f t="shared" si="40"/>
        <v>4.2337507453786536</v>
      </c>
      <c r="U116" s="6">
        <f t="shared" si="41"/>
        <v>4.9572649572649574</v>
      </c>
      <c r="V116" s="1">
        <f>O116/O104+P116/P110</f>
        <v>0.83363148479427562</v>
      </c>
      <c r="W116" s="1">
        <f>O116/O107+P116/P110</f>
        <v>0.90598290598290609</v>
      </c>
      <c r="X116" s="1">
        <f t="shared" si="37"/>
        <v>43</v>
      </c>
      <c r="Y116" s="6">
        <f t="shared" si="38"/>
        <v>3.8888888888888897</v>
      </c>
    </row>
    <row r="117" spans="1:25" x14ac:dyDescent="0.15">
      <c r="A117" s="1">
        <v>2022</v>
      </c>
      <c r="B117" s="1" t="s">
        <v>34</v>
      </c>
      <c r="C117" s="1">
        <v>6</v>
      </c>
      <c r="D117" s="1">
        <v>15</v>
      </c>
      <c r="E117" s="1" t="s">
        <v>36</v>
      </c>
      <c r="F117" s="1" t="s">
        <v>40</v>
      </c>
      <c r="G117" s="1" t="s">
        <v>14</v>
      </c>
      <c r="H117" s="1" t="s">
        <v>36</v>
      </c>
      <c r="I117" s="1">
        <v>2</v>
      </c>
      <c r="J117" s="3" t="s">
        <v>68</v>
      </c>
      <c r="K117" s="1" t="s">
        <v>42</v>
      </c>
      <c r="L117" s="1">
        <v>110</v>
      </c>
      <c r="M117" s="1">
        <v>65</v>
      </c>
      <c r="N117" s="7">
        <f t="shared" si="39"/>
        <v>45</v>
      </c>
      <c r="O117" s="6">
        <v>1.5277777777777781</v>
      </c>
      <c r="P117" s="6">
        <v>2.5000000000000004</v>
      </c>
      <c r="Q117" s="6">
        <f>O117/(0.1*O104)</f>
        <v>2.5581395348837215</v>
      </c>
      <c r="R117" s="6">
        <f>O117/(0.1*O107)</f>
        <v>3.0555555555555554</v>
      </c>
      <c r="S117" s="6">
        <f>P117/(0.9*P111)</f>
        <v>1.1111111111111112</v>
      </c>
      <c r="T117" s="6">
        <f t="shared" si="40"/>
        <v>3.6692506459948326</v>
      </c>
      <c r="U117" s="6">
        <f t="shared" si="41"/>
        <v>4.1666666666666661</v>
      </c>
      <c r="V117" s="1">
        <f>O117/O104+P117/P111</f>
        <v>1.2558139534883721</v>
      </c>
      <c r="W117" s="1">
        <f>O117/O107+P117/P111</f>
        <v>1.3055555555555556</v>
      </c>
      <c r="X117" s="1">
        <f t="shared" si="37"/>
        <v>62</v>
      </c>
      <c r="Y117" s="6">
        <f t="shared" si="38"/>
        <v>4.0277777777777786</v>
      </c>
    </row>
    <row r="118" spans="1:25" x14ac:dyDescent="0.15">
      <c r="A118" s="1">
        <v>2022</v>
      </c>
      <c r="B118" s="1" t="s">
        <v>34</v>
      </c>
      <c r="C118" s="1">
        <v>6</v>
      </c>
      <c r="D118" s="1">
        <v>16</v>
      </c>
      <c r="E118" s="1" t="s">
        <v>37</v>
      </c>
      <c r="F118" s="1" t="s">
        <v>38</v>
      </c>
      <c r="G118" s="1" t="s">
        <v>14</v>
      </c>
      <c r="H118" s="1" t="s">
        <v>37</v>
      </c>
      <c r="I118" s="1">
        <v>2</v>
      </c>
      <c r="J118" s="3" t="s">
        <v>69</v>
      </c>
      <c r="K118" s="1" t="s">
        <v>42</v>
      </c>
      <c r="L118" s="1">
        <v>89</v>
      </c>
      <c r="M118" s="1">
        <v>68</v>
      </c>
      <c r="N118" s="7">
        <f t="shared" si="39"/>
        <v>21</v>
      </c>
      <c r="O118" s="6">
        <v>1.3888888888888888</v>
      </c>
      <c r="P118" s="6">
        <v>3.0555555555555562</v>
      </c>
      <c r="Q118" s="6">
        <f>O118/(0.1*O105)</f>
        <v>2.564102564102563</v>
      </c>
      <c r="R118" s="6">
        <f>O118/(0.1*O108)</f>
        <v>2.3809523809523809</v>
      </c>
      <c r="S118" s="6">
        <f>P118/(0.9*P109)</f>
        <v>1.1640211640211642</v>
      </c>
      <c r="T118" s="6">
        <f t="shared" si="40"/>
        <v>3.7281237281237272</v>
      </c>
      <c r="U118" s="6">
        <f t="shared" si="41"/>
        <v>3.5449735449735451</v>
      </c>
      <c r="V118" s="1">
        <f>O118/O105+P118/P109</f>
        <v>1.3040293040293041</v>
      </c>
      <c r="W118" s="1">
        <f>O118/O108+P118/P109</f>
        <v>1.2857142857142858</v>
      </c>
      <c r="X118" s="1">
        <f t="shared" si="37"/>
        <v>69</v>
      </c>
      <c r="Y118" s="6">
        <f t="shared" si="38"/>
        <v>4.4444444444444446</v>
      </c>
    </row>
    <row r="119" spans="1:25" x14ac:dyDescent="0.15">
      <c r="A119" s="1">
        <v>2022</v>
      </c>
      <c r="B119" s="1" t="s">
        <v>34</v>
      </c>
      <c r="C119" s="1">
        <v>6</v>
      </c>
      <c r="D119" s="1">
        <v>17</v>
      </c>
      <c r="E119" s="1" t="s">
        <v>37</v>
      </c>
      <c r="F119" s="1" t="s">
        <v>39</v>
      </c>
      <c r="G119" s="1" t="s">
        <v>14</v>
      </c>
      <c r="H119" s="1" t="s">
        <v>37</v>
      </c>
      <c r="I119" s="1">
        <v>2</v>
      </c>
      <c r="J119" s="3" t="s">
        <v>70</v>
      </c>
      <c r="K119" s="1" t="s">
        <v>42</v>
      </c>
      <c r="L119" s="1">
        <v>89</v>
      </c>
      <c r="M119" s="1">
        <v>68</v>
      </c>
      <c r="N119" s="7">
        <f t="shared" si="39"/>
        <v>21</v>
      </c>
      <c r="O119" s="6">
        <v>1.2500000000000002</v>
      </c>
      <c r="P119" s="6">
        <v>3.0555555555555562</v>
      </c>
      <c r="Q119" s="6">
        <f>O119/(0.1*O105)</f>
        <v>2.3076923076923075</v>
      </c>
      <c r="R119" s="6">
        <f>O119/(0.1*O108)</f>
        <v>2.1428571428571432</v>
      </c>
      <c r="S119" s="6">
        <f>P119/(0.9*P110)</f>
        <v>0.94017094017094027</v>
      </c>
      <c r="T119" s="6">
        <f t="shared" si="40"/>
        <v>3.2478632478632479</v>
      </c>
      <c r="U119" s="6">
        <f t="shared" si="41"/>
        <v>3.0830280830280836</v>
      </c>
      <c r="V119" s="1">
        <f>O119/O105+P119/P110</f>
        <v>1.0769230769230771</v>
      </c>
      <c r="W119" s="1">
        <f>O119/O108+P119/P110</f>
        <v>1.0604395604395607</v>
      </c>
      <c r="X119" s="1">
        <f t="shared" si="37"/>
        <v>71</v>
      </c>
      <c r="Y119" s="6">
        <f t="shared" si="38"/>
        <v>4.3055555555555562</v>
      </c>
    </row>
    <row r="120" spans="1:25" x14ac:dyDescent="0.15">
      <c r="A120" s="1">
        <v>2022</v>
      </c>
      <c r="B120" s="1" t="s">
        <v>34</v>
      </c>
      <c r="C120" s="1">
        <v>6</v>
      </c>
      <c r="D120" s="1">
        <v>18</v>
      </c>
      <c r="E120" s="1" t="s">
        <v>37</v>
      </c>
      <c r="F120" s="1" t="s">
        <v>40</v>
      </c>
      <c r="G120" s="1" t="s">
        <v>14</v>
      </c>
      <c r="H120" s="1" t="s">
        <v>37</v>
      </c>
      <c r="I120" s="1">
        <v>2</v>
      </c>
      <c r="J120" s="3" t="s">
        <v>71</v>
      </c>
      <c r="K120" s="1" t="s">
        <v>42</v>
      </c>
      <c r="L120" s="1">
        <v>82</v>
      </c>
      <c r="M120" s="1">
        <v>70</v>
      </c>
      <c r="N120" s="7">
        <f t="shared" si="39"/>
        <v>12</v>
      </c>
      <c r="O120" s="6">
        <v>1.5277777777777781</v>
      </c>
      <c r="P120" s="6">
        <v>2.916666666666667</v>
      </c>
      <c r="Q120" s="6">
        <f>O120/(0.1*O105)</f>
        <v>2.8205128205128203</v>
      </c>
      <c r="R120" s="6">
        <f>O120/(0.1*O108)</f>
        <v>2.6190476190476195</v>
      </c>
      <c r="S120" s="6">
        <f>P120/(0.9*P111)</f>
        <v>1.2962962962962963</v>
      </c>
      <c r="T120" s="6">
        <f t="shared" si="40"/>
        <v>4.116809116809117</v>
      </c>
      <c r="U120" s="6">
        <f t="shared" si="41"/>
        <v>3.9153439153439158</v>
      </c>
      <c r="V120" s="1">
        <f>O120/O105+P120/P111</f>
        <v>1.4487179487179485</v>
      </c>
      <c r="W120" s="1">
        <f>O120/O108+P120/P111</f>
        <v>1.4285714285714284</v>
      </c>
      <c r="X120" s="1">
        <f t="shared" si="37"/>
        <v>66</v>
      </c>
      <c r="Y120" s="6">
        <f t="shared" si="38"/>
        <v>4.4444444444444446</v>
      </c>
    </row>
    <row r="121" spans="1:25" x14ac:dyDescent="0.15">
      <c r="A121" s="1">
        <v>2022</v>
      </c>
      <c r="B121" s="1" t="s">
        <v>34</v>
      </c>
      <c r="C121" s="1">
        <v>7</v>
      </c>
      <c r="D121" s="1">
        <v>1</v>
      </c>
      <c r="E121" s="1" t="s">
        <v>35</v>
      </c>
      <c r="F121" s="1"/>
      <c r="G121" s="1" t="s">
        <v>41</v>
      </c>
      <c r="H121" s="1" t="s">
        <v>35</v>
      </c>
      <c r="I121" s="1">
        <v>3</v>
      </c>
      <c r="J121" s="3" t="s">
        <v>35</v>
      </c>
      <c r="K121" s="1" t="s">
        <v>42</v>
      </c>
      <c r="L121" s="1">
        <v>105</v>
      </c>
      <c r="M121" s="1" t="s">
        <v>45</v>
      </c>
      <c r="N121" s="7" t="s">
        <v>45</v>
      </c>
      <c r="O121" s="6">
        <v>5.6944444444444446</v>
      </c>
      <c r="P121" s="1" t="s">
        <v>45</v>
      </c>
      <c r="Q121" s="6" t="s">
        <v>45</v>
      </c>
      <c r="R121" s="6" t="s">
        <v>45</v>
      </c>
      <c r="S121" s="6" t="s">
        <v>45</v>
      </c>
      <c r="T121" s="6" t="s">
        <v>45</v>
      </c>
      <c r="U121" s="6" t="s">
        <v>45</v>
      </c>
      <c r="V121" s="1" t="s">
        <v>45</v>
      </c>
      <c r="W121" s="1" t="s">
        <v>45</v>
      </c>
      <c r="X121" s="6" t="s">
        <v>45</v>
      </c>
      <c r="Y121" s="6">
        <f>O121</f>
        <v>5.6944444444444446</v>
      </c>
    </row>
    <row r="122" spans="1:25" x14ac:dyDescent="0.15">
      <c r="A122" s="1">
        <v>2022</v>
      </c>
      <c r="B122" s="1" t="s">
        <v>34</v>
      </c>
      <c r="C122" s="1">
        <v>7</v>
      </c>
      <c r="D122" s="1">
        <v>2</v>
      </c>
      <c r="E122" s="1" t="s">
        <v>36</v>
      </c>
      <c r="F122" s="1"/>
      <c r="G122" s="1" t="s">
        <v>41</v>
      </c>
      <c r="H122" s="1" t="s">
        <v>36</v>
      </c>
      <c r="I122" s="1">
        <v>3</v>
      </c>
      <c r="J122" s="3" t="s">
        <v>36</v>
      </c>
      <c r="K122" s="1" t="s">
        <v>42</v>
      </c>
      <c r="L122" s="1">
        <v>98</v>
      </c>
      <c r="M122" s="1" t="s">
        <v>45</v>
      </c>
      <c r="N122" s="7" t="s">
        <v>45</v>
      </c>
      <c r="O122" s="6">
        <v>5.0000000000000009</v>
      </c>
      <c r="P122" s="1" t="s">
        <v>45</v>
      </c>
      <c r="Q122" s="6" t="s">
        <v>45</v>
      </c>
      <c r="R122" s="6" t="s">
        <v>45</v>
      </c>
      <c r="S122" s="6" t="s">
        <v>45</v>
      </c>
      <c r="T122" s="6" t="s">
        <v>45</v>
      </c>
      <c r="U122" s="6" t="s">
        <v>45</v>
      </c>
      <c r="V122" s="1" t="s">
        <v>45</v>
      </c>
      <c r="W122" s="1" t="s">
        <v>45</v>
      </c>
      <c r="X122" s="6" t="s">
        <v>45</v>
      </c>
      <c r="Y122" s="6">
        <f t="shared" ref="Y122:Y126" si="42">O122</f>
        <v>5.0000000000000009</v>
      </c>
    </row>
    <row r="123" spans="1:25" x14ac:dyDescent="0.15">
      <c r="A123" s="1">
        <v>2022</v>
      </c>
      <c r="B123" s="1" t="s">
        <v>34</v>
      </c>
      <c r="C123" s="1">
        <v>7</v>
      </c>
      <c r="D123" s="1">
        <v>3</v>
      </c>
      <c r="E123" s="1" t="s">
        <v>37</v>
      </c>
      <c r="F123" s="1"/>
      <c r="G123" s="1" t="s">
        <v>41</v>
      </c>
      <c r="H123" s="1" t="s">
        <v>37</v>
      </c>
      <c r="I123" s="1">
        <v>3</v>
      </c>
      <c r="J123" s="3" t="s">
        <v>37</v>
      </c>
      <c r="K123" s="1" t="s">
        <v>42</v>
      </c>
      <c r="L123" s="1">
        <v>76</v>
      </c>
      <c r="M123" s="1" t="s">
        <v>45</v>
      </c>
      <c r="N123" s="7" t="s">
        <v>45</v>
      </c>
      <c r="O123" s="6">
        <v>3.8888888888888888</v>
      </c>
      <c r="P123" s="1" t="s">
        <v>45</v>
      </c>
      <c r="Q123" s="6" t="s">
        <v>45</v>
      </c>
      <c r="R123" s="6" t="s">
        <v>45</v>
      </c>
      <c r="S123" s="6" t="s">
        <v>45</v>
      </c>
      <c r="T123" s="6" t="s">
        <v>45</v>
      </c>
      <c r="U123" s="6" t="s">
        <v>45</v>
      </c>
      <c r="V123" s="1" t="s">
        <v>45</v>
      </c>
      <c r="W123" s="1" t="s">
        <v>45</v>
      </c>
      <c r="X123" s="6" t="s">
        <v>45</v>
      </c>
      <c r="Y123" s="6">
        <f t="shared" si="42"/>
        <v>3.8888888888888888</v>
      </c>
    </row>
    <row r="124" spans="1:25" x14ac:dyDescent="0.15">
      <c r="A124" s="1">
        <v>2022</v>
      </c>
      <c r="B124" s="1" t="s">
        <v>34</v>
      </c>
      <c r="C124" s="1">
        <v>7</v>
      </c>
      <c r="D124" s="1">
        <v>4</v>
      </c>
      <c r="E124" s="1" t="s">
        <v>35</v>
      </c>
      <c r="F124" s="1"/>
      <c r="G124" s="1" t="s">
        <v>41</v>
      </c>
      <c r="H124" s="1" t="s">
        <v>75</v>
      </c>
      <c r="I124" s="1">
        <v>3</v>
      </c>
      <c r="J124" s="3" t="s">
        <v>35</v>
      </c>
      <c r="K124" s="1" t="s">
        <v>43</v>
      </c>
      <c r="L124" s="1">
        <v>123</v>
      </c>
      <c r="M124" s="1" t="s">
        <v>45</v>
      </c>
      <c r="N124" s="7" t="s">
        <v>45</v>
      </c>
      <c r="O124" s="1">
        <v>4.7222222222222223</v>
      </c>
      <c r="P124" s="6" t="s">
        <v>45</v>
      </c>
      <c r="Q124" s="6" t="s">
        <v>45</v>
      </c>
      <c r="R124" s="6" t="s">
        <v>45</v>
      </c>
      <c r="S124" s="6" t="s">
        <v>45</v>
      </c>
      <c r="T124" s="6" t="s">
        <v>45</v>
      </c>
      <c r="U124" s="6" t="s">
        <v>45</v>
      </c>
      <c r="V124" s="1" t="s">
        <v>45</v>
      </c>
      <c r="W124" s="1" t="s">
        <v>45</v>
      </c>
      <c r="X124" s="1" t="s">
        <v>45</v>
      </c>
      <c r="Y124" s="6">
        <f t="shared" si="42"/>
        <v>4.7222222222222223</v>
      </c>
    </row>
    <row r="125" spans="1:25" x14ac:dyDescent="0.15">
      <c r="A125" s="1">
        <v>2022</v>
      </c>
      <c r="B125" s="1" t="s">
        <v>34</v>
      </c>
      <c r="C125" s="1">
        <v>7</v>
      </c>
      <c r="D125" s="1">
        <v>5</v>
      </c>
      <c r="E125" s="1" t="s">
        <v>36</v>
      </c>
      <c r="F125" s="1"/>
      <c r="G125" s="1" t="s">
        <v>41</v>
      </c>
      <c r="H125" s="1" t="s">
        <v>76</v>
      </c>
      <c r="I125" s="1">
        <v>3</v>
      </c>
      <c r="J125" s="3" t="s">
        <v>36</v>
      </c>
      <c r="K125" s="1" t="s">
        <v>43</v>
      </c>
      <c r="L125" s="1">
        <v>104</v>
      </c>
      <c r="M125" s="1" t="s">
        <v>45</v>
      </c>
      <c r="N125" s="7" t="s">
        <v>45</v>
      </c>
      <c r="O125" s="1">
        <v>5.1388888888888893</v>
      </c>
      <c r="P125" s="6" t="s">
        <v>45</v>
      </c>
      <c r="Q125" s="6" t="s">
        <v>45</v>
      </c>
      <c r="R125" s="6" t="s">
        <v>45</v>
      </c>
      <c r="S125" s="6" t="s">
        <v>45</v>
      </c>
      <c r="T125" s="6" t="s">
        <v>45</v>
      </c>
      <c r="U125" s="6" t="s">
        <v>45</v>
      </c>
      <c r="V125" s="1" t="s">
        <v>45</v>
      </c>
      <c r="W125" s="1" t="s">
        <v>45</v>
      </c>
      <c r="X125" s="1" t="s">
        <v>45</v>
      </c>
      <c r="Y125" s="6">
        <f t="shared" si="42"/>
        <v>5.1388888888888893</v>
      </c>
    </row>
    <row r="126" spans="1:25" x14ac:dyDescent="0.15">
      <c r="A126" s="1">
        <v>2022</v>
      </c>
      <c r="B126" s="1" t="s">
        <v>34</v>
      </c>
      <c r="C126" s="1">
        <v>7</v>
      </c>
      <c r="D126" s="1">
        <v>6</v>
      </c>
      <c r="E126" s="1" t="s">
        <v>37</v>
      </c>
      <c r="F126" s="1"/>
      <c r="G126" s="1" t="s">
        <v>41</v>
      </c>
      <c r="H126" s="1" t="s">
        <v>77</v>
      </c>
      <c r="I126" s="1">
        <v>3</v>
      </c>
      <c r="J126" s="3" t="s">
        <v>37</v>
      </c>
      <c r="K126" s="1" t="s">
        <v>43</v>
      </c>
      <c r="L126" s="1">
        <v>80</v>
      </c>
      <c r="M126" s="1" t="s">
        <v>45</v>
      </c>
      <c r="N126" s="7" t="s">
        <v>45</v>
      </c>
      <c r="O126" s="1">
        <v>5.2777777777777777</v>
      </c>
      <c r="P126" s="6" t="s">
        <v>45</v>
      </c>
      <c r="Q126" s="6" t="s">
        <v>45</v>
      </c>
      <c r="R126" s="6" t="s">
        <v>45</v>
      </c>
      <c r="S126" s="6" t="s">
        <v>45</v>
      </c>
      <c r="T126" s="6" t="s">
        <v>45</v>
      </c>
      <c r="U126" s="6" t="s">
        <v>45</v>
      </c>
      <c r="V126" s="1" t="s">
        <v>45</v>
      </c>
      <c r="W126" s="1" t="s">
        <v>45</v>
      </c>
      <c r="X126" s="1" t="s">
        <v>45</v>
      </c>
      <c r="Y126" s="6">
        <f t="shared" si="42"/>
        <v>5.2777777777777777</v>
      </c>
    </row>
    <row r="127" spans="1:25" x14ac:dyDescent="0.15">
      <c r="A127" s="1">
        <v>2022</v>
      </c>
      <c r="B127" s="1" t="s">
        <v>34</v>
      </c>
      <c r="C127" s="1">
        <v>7</v>
      </c>
      <c r="D127" s="1">
        <v>7</v>
      </c>
      <c r="E127" s="1"/>
      <c r="F127" s="1" t="s">
        <v>38</v>
      </c>
      <c r="G127" s="1" t="s">
        <v>41</v>
      </c>
      <c r="H127" s="1"/>
      <c r="I127" s="1">
        <v>3</v>
      </c>
      <c r="J127" s="3" t="s">
        <v>38</v>
      </c>
      <c r="K127" s="1" t="s">
        <v>42</v>
      </c>
      <c r="L127" s="1" t="s">
        <v>45</v>
      </c>
      <c r="M127" s="1">
        <v>62</v>
      </c>
      <c r="N127" s="7" t="s">
        <v>45</v>
      </c>
      <c r="O127" s="6" t="s">
        <v>45</v>
      </c>
      <c r="P127" s="6">
        <v>3.0555555555555562</v>
      </c>
      <c r="Q127" s="6" t="s">
        <v>45</v>
      </c>
      <c r="R127" s="6" t="s">
        <v>45</v>
      </c>
      <c r="S127" s="6" t="s">
        <v>45</v>
      </c>
      <c r="T127" s="6" t="s">
        <v>45</v>
      </c>
      <c r="U127" s="6" t="s">
        <v>45</v>
      </c>
      <c r="V127" s="1" t="s">
        <v>45</v>
      </c>
      <c r="W127" s="1" t="s">
        <v>45</v>
      </c>
      <c r="X127" s="1" t="s">
        <v>45</v>
      </c>
      <c r="Y127" s="6">
        <f>P127</f>
        <v>3.0555555555555562</v>
      </c>
    </row>
    <row r="128" spans="1:25" x14ac:dyDescent="0.15">
      <c r="A128" s="1">
        <v>2022</v>
      </c>
      <c r="B128" s="1" t="s">
        <v>34</v>
      </c>
      <c r="C128" s="1">
        <v>7</v>
      </c>
      <c r="D128" s="1">
        <v>8</v>
      </c>
      <c r="E128" s="1"/>
      <c r="F128" s="1" t="s">
        <v>39</v>
      </c>
      <c r="G128" s="1" t="s">
        <v>41</v>
      </c>
      <c r="H128" s="1"/>
      <c r="I128" s="1">
        <v>3</v>
      </c>
      <c r="J128" s="3" t="s">
        <v>39</v>
      </c>
      <c r="K128" s="1" t="s">
        <v>42</v>
      </c>
      <c r="L128" s="1" t="s">
        <v>45</v>
      </c>
      <c r="M128" s="1">
        <v>64</v>
      </c>
      <c r="N128" s="7" t="s">
        <v>45</v>
      </c>
      <c r="O128" s="6" t="s">
        <v>45</v>
      </c>
      <c r="P128" s="6">
        <v>3.8888888888888888</v>
      </c>
      <c r="Q128" s="6" t="s">
        <v>45</v>
      </c>
      <c r="R128" s="6" t="s">
        <v>45</v>
      </c>
      <c r="S128" s="6" t="s">
        <v>45</v>
      </c>
      <c r="T128" s="6" t="s">
        <v>45</v>
      </c>
      <c r="U128" s="6" t="s">
        <v>45</v>
      </c>
      <c r="V128" s="1" t="s">
        <v>45</v>
      </c>
      <c r="W128" s="1" t="s">
        <v>45</v>
      </c>
      <c r="X128" s="1" t="s">
        <v>45</v>
      </c>
      <c r="Y128" s="6">
        <f t="shared" ref="Y128:Y129" si="43">P128</f>
        <v>3.8888888888888888</v>
      </c>
    </row>
    <row r="129" spans="1:25" x14ac:dyDescent="0.15">
      <c r="A129" s="1">
        <v>2022</v>
      </c>
      <c r="B129" s="1" t="s">
        <v>34</v>
      </c>
      <c r="C129" s="1">
        <v>7</v>
      </c>
      <c r="D129" s="1">
        <v>9</v>
      </c>
      <c r="E129" s="1"/>
      <c r="F129" s="1" t="s">
        <v>40</v>
      </c>
      <c r="G129" s="1" t="s">
        <v>41</v>
      </c>
      <c r="H129" s="1"/>
      <c r="I129" s="1">
        <v>3</v>
      </c>
      <c r="J129" s="3" t="s">
        <v>40</v>
      </c>
      <c r="K129" s="1" t="s">
        <v>42</v>
      </c>
      <c r="L129" s="1" t="s">
        <v>45</v>
      </c>
      <c r="M129" s="1">
        <v>58</v>
      </c>
      <c r="N129" s="7" t="s">
        <v>45</v>
      </c>
      <c r="O129" s="6" t="s">
        <v>45</v>
      </c>
      <c r="P129" s="6">
        <v>3.1944444444444446</v>
      </c>
      <c r="Q129" s="6" t="s">
        <v>45</v>
      </c>
      <c r="R129" s="6" t="s">
        <v>45</v>
      </c>
      <c r="S129" s="6" t="s">
        <v>45</v>
      </c>
      <c r="T129" s="6" t="s">
        <v>45</v>
      </c>
      <c r="U129" s="6" t="s">
        <v>45</v>
      </c>
      <c r="V129" s="1" t="s">
        <v>45</v>
      </c>
      <c r="W129" s="1" t="s">
        <v>45</v>
      </c>
      <c r="X129" s="1" t="s">
        <v>45</v>
      </c>
      <c r="Y129" s="6">
        <f t="shared" si="43"/>
        <v>3.1944444444444446</v>
      </c>
    </row>
    <row r="130" spans="1:25" x14ac:dyDescent="0.15">
      <c r="A130" s="1">
        <v>2022</v>
      </c>
      <c r="B130" s="1" t="s">
        <v>34</v>
      </c>
      <c r="C130" s="1">
        <v>7</v>
      </c>
      <c r="D130" s="1">
        <v>10</v>
      </c>
      <c r="E130" s="1" t="s">
        <v>35</v>
      </c>
      <c r="F130" s="1" t="s">
        <v>38</v>
      </c>
      <c r="G130" s="1" t="s">
        <v>14</v>
      </c>
      <c r="H130" s="1" t="s">
        <v>35</v>
      </c>
      <c r="I130" s="1">
        <v>3</v>
      </c>
      <c r="J130" s="3" t="s">
        <v>63</v>
      </c>
      <c r="K130" s="1" t="s">
        <v>42</v>
      </c>
      <c r="L130" s="1">
        <v>126</v>
      </c>
      <c r="M130" s="1">
        <v>73</v>
      </c>
      <c r="N130" s="7">
        <f>L130-M130</f>
        <v>53</v>
      </c>
      <c r="O130" s="6">
        <v>1.8055555555555558</v>
      </c>
      <c r="P130" s="6">
        <v>2.916666666666667</v>
      </c>
      <c r="Q130" s="6">
        <f>O130/(0.1*O121)</f>
        <v>3.1707317073170733</v>
      </c>
      <c r="R130" s="6">
        <f>O130/(0.1*O124)</f>
        <v>3.8235294117647061</v>
      </c>
      <c r="S130" s="6">
        <f>P130/(0.9*P127)</f>
        <v>1.0606060606060603</v>
      </c>
      <c r="T130" s="6">
        <f>Q130+S130</f>
        <v>4.2313377679231339</v>
      </c>
      <c r="U130" s="6">
        <f>R130+S130</f>
        <v>4.8841354723707662</v>
      </c>
      <c r="V130" s="1">
        <f>O130/O121+P130/P127</f>
        <v>1.2716186252771617</v>
      </c>
      <c r="W130" s="1">
        <f>O130/O124+P130/P127</f>
        <v>1.3368983957219251</v>
      </c>
      <c r="X130" s="1">
        <f t="shared" ref="X130:X138" si="44">100*ROUND(P130/(P130+O130), 2)</f>
        <v>62</v>
      </c>
      <c r="Y130" s="6">
        <f t="shared" ref="Y130:Y138" si="45">O130+P130</f>
        <v>4.7222222222222232</v>
      </c>
    </row>
    <row r="131" spans="1:25" x14ac:dyDescent="0.15">
      <c r="A131" s="1">
        <v>2022</v>
      </c>
      <c r="B131" s="1" t="s">
        <v>34</v>
      </c>
      <c r="C131" s="1">
        <v>7</v>
      </c>
      <c r="D131" s="1">
        <v>11</v>
      </c>
      <c r="E131" s="1" t="s">
        <v>35</v>
      </c>
      <c r="F131" s="1" t="s">
        <v>39</v>
      </c>
      <c r="G131" s="1" t="s">
        <v>14</v>
      </c>
      <c r="H131" s="1" t="s">
        <v>35</v>
      </c>
      <c r="I131" s="1">
        <v>3</v>
      </c>
      <c r="J131" s="3" t="s">
        <v>64</v>
      </c>
      <c r="K131" s="1" t="s">
        <v>42</v>
      </c>
      <c r="L131" s="1">
        <v>114</v>
      </c>
      <c r="M131" s="1">
        <v>68</v>
      </c>
      <c r="N131" s="7">
        <f t="shared" ref="N131:N138" si="46">L131-M131</f>
        <v>46</v>
      </c>
      <c r="O131" s="6">
        <v>1.1111111111111114</v>
      </c>
      <c r="P131" s="6">
        <v>1.9444444444444444</v>
      </c>
      <c r="Q131" s="6">
        <f>O131/(0.1*O121)</f>
        <v>1.9512195121951221</v>
      </c>
      <c r="R131" s="6">
        <f>O131/(0.1*O124)</f>
        <v>2.3529411764705888</v>
      </c>
      <c r="S131" s="6">
        <f>P131/(0.9*P128)</f>
        <v>0.55555555555555558</v>
      </c>
      <c r="T131" s="6">
        <f t="shared" ref="T131:T138" si="47">Q131+S131</f>
        <v>2.5067750677506777</v>
      </c>
      <c r="U131" s="6">
        <f t="shared" ref="U131:U138" si="48">R131+S131</f>
        <v>2.9084967320261441</v>
      </c>
      <c r="V131" s="1">
        <f>O131/O121+P131/P128</f>
        <v>0.69512195121951226</v>
      </c>
      <c r="W131" s="1">
        <f>O131/O124+P131/P128</f>
        <v>0.73529411764705888</v>
      </c>
      <c r="X131" s="1">
        <f t="shared" si="44"/>
        <v>64</v>
      </c>
      <c r="Y131" s="6">
        <f t="shared" si="45"/>
        <v>3.0555555555555558</v>
      </c>
    </row>
    <row r="132" spans="1:25" x14ac:dyDescent="0.15">
      <c r="A132" s="1">
        <v>2022</v>
      </c>
      <c r="B132" s="1" t="s">
        <v>34</v>
      </c>
      <c r="C132" s="1">
        <v>7</v>
      </c>
      <c r="D132" s="1">
        <v>12</v>
      </c>
      <c r="E132" s="1" t="s">
        <v>35</v>
      </c>
      <c r="F132" s="1" t="s">
        <v>40</v>
      </c>
      <c r="G132" s="1" t="s">
        <v>14</v>
      </c>
      <c r="H132" s="1" t="s">
        <v>35</v>
      </c>
      <c r="I132" s="1">
        <v>3</v>
      </c>
      <c r="J132" s="3" t="s">
        <v>65</v>
      </c>
      <c r="K132" s="1" t="s">
        <v>42</v>
      </c>
      <c r="L132" s="1">
        <v>122</v>
      </c>
      <c r="M132" s="1">
        <v>60</v>
      </c>
      <c r="N132" s="7">
        <f t="shared" si="46"/>
        <v>62</v>
      </c>
      <c r="O132" s="6">
        <v>1.9444444444444444</v>
      </c>
      <c r="P132" s="6">
        <v>1.8055555555555558</v>
      </c>
      <c r="Q132" s="6">
        <f>O132/(0.1*O121)</f>
        <v>3.4146341463414629</v>
      </c>
      <c r="R132" s="6">
        <f>O132/(0.1*O124)</f>
        <v>4.117647058823529</v>
      </c>
      <c r="S132" s="6">
        <f>P132/(0.9*P129)</f>
        <v>0.6280193236714976</v>
      </c>
      <c r="T132" s="6">
        <f t="shared" si="47"/>
        <v>4.0426534700129606</v>
      </c>
      <c r="U132" s="6">
        <f t="shared" si="48"/>
        <v>4.7456663824950267</v>
      </c>
      <c r="V132" s="1">
        <f>O132/O121+P132/P129</f>
        <v>0.90668080593849421</v>
      </c>
      <c r="W132" s="1">
        <f>O132/O124+P132/P129</f>
        <v>0.97698209718670082</v>
      </c>
      <c r="X132" s="1">
        <f t="shared" si="44"/>
        <v>48</v>
      </c>
      <c r="Y132" s="6">
        <f t="shared" si="45"/>
        <v>3.75</v>
      </c>
    </row>
    <row r="133" spans="1:25" x14ac:dyDescent="0.15">
      <c r="A133" s="1">
        <v>2022</v>
      </c>
      <c r="B133" s="1" t="s">
        <v>34</v>
      </c>
      <c r="C133" s="1">
        <v>7</v>
      </c>
      <c r="D133" s="1">
        <v>13</v>
      </c>
      <c r="E133" s="1" t="s">
        <v>36</v>
      </c>
      <c r="F133" s="1" t="s">
        <v>38</v>
      </c>
      <c r="G133" s="1" t="s">
        <v>14</v>
      </c>
      <c r="H133" s="1" t="s">
        <v>36</v>
      </c>
      <c r="I133" s="1">
        <v>3</v>
      </c>
      <c r="J133" s="3" t="s">
        <v>66</v>
      </c>
      <c r="K133" s="1" t="s">
        <v>42</v>
      </c>
      <c r="L133" s="1">
        <v>113</v>
      </c>
      <c r="M133" s="1">
        <v>64</v>
      </c>
      <c r="N133" s="7">
        <f t="shared" si="46"/>
        <v>49</v>
      </c>
      <c r="O133" s="6">
        <v>1.8055555555555558</v>
      </c>
      <c r="P133" s="6">
        <v>2.916666666666667</v>
      </c>
      <c r="Q133" s="6">
        <f>O133/(0.1*O122)</f>
        <v>3.6111111111111107</v>
      </c>
      <c r="R133" s="6">
        <f>O133/(0.1*O125)</f>
        <v>3.5135135135135136</v>
      </c>
      <c r="S133" s="6">
        <f>P133/(0.9*P127)</f>
        <v>1.0606060606060603</v>
      </c>
      <c r="T133" s="6">
        <f t="shared" si="47"/>
        <v>4.6717171717171713</v>
      </c>
      <c r="U133" s="6">
        <f t="shared" si="48"/>
        <v>4.5741195741195737</v>
      </c>
      <c r="V133" s="1">
        <f>O133/O122+P133/P127</f>
        <v>1.3156565656565655</v>
      </c>
      <c r="W133" s="1">
        <f>O133/O125+P133/P127</f>
        <v>1.3058968058968059</v>
      </c>
      <c r="X133" s="1">
        <f t="shared" si="44"/>
        <v>62</v>
      </c>
      <c r="Y133" s="6">
        <f t="shared" si="45"/>
        <v>4.7222222222222232</v>
      </c>
    </row>
    <row r="134" spans="1:25" x14ac:dyDescent="0.15">
      <c r="A134" s="1">
        <v>2022</v>
      </c>
      <c r="B134" s="1" t="s">
        <v>34</v>
      </c>
      <c r="C134" s="1">
        <v>7</v>
      </c>
      <c r="D134" s="1">
        <v>14</v>
      </c>
      <c r="E134" s="1" t="s">
        <v>36</v>
      </c>
      <c r="F134" s="1" t="s">
        <v>39</v>
      </c>
      <c r="G134" s="1" t="s">
        <v>14</v>
      </c>
      <c r="H134" s="1" t="s">
        <v>36</v>
      </c>
      <c r="I134" s="1">
        <v>3</v>
      </c>
      <c r="J134" s="3" t="s">
        <v>67</v>
      </c>
      <c r="K134" s="1" t="s">
        <v>42</v>
      </c>
      <c r="L134" s="1">
        <v>112</v>
      </c>
      <c r="M134" s="1">
        <v>61</v>
      </c>
      <c r="N134" s="7">
        <f t="shared" si="46"/>
        <v>51</v>
      </c>
      <c r="O134" s="6">
        <v>1.9444444444444444</v>
      </c>
      <c r="P134" s="6">
        <v>2.5000000000000004</v>
      </c>
      <c r="Q134" s="6">
        <f>O134/(0.1*O122)</f>
        <v>3.888888888888888</v>
      </c>
      <c r="R134" s="6">
        <f>O134/(0.1*O125)</f>
        <v>3.7837837837837833</v>
      </c>
      <c r="S134" s="6">
        <f>P134/(0.9*P128)</f>
        <v>0.71428571428571441</v>
      </c>
      <c r="T134" s="6">
        <f t="shared" si="47"/>
        <v>4.6031746031746028</v>
      </c>
      <c r="U134" s="6">
        <f t="shared" si="48"/>
        <v>4.4980694980694977</v>
      </c>
      <c r="V134" s="1">
        <f>O134/O122+P134/P128</f>
        <v>1.0317460317460319</v>
      </c>
      <c r="W134" s="1">
        <f>O134/O125+P134/P128</f>
        <v>1.0212355212355213</v>
      </c>
      <c r="X134" s="1">
        <f t="shared" si="44"/>
        <v>56.000000000000007</v>
      </c>
      <c r="Y134" s="6">
        <f t="shared" si="45"/>
        <v>4.4444444444444446</v>
      </c>
    </row>
    <row r="135" spans="1:25" x14ac:dyDescent="0.15">
      <c r="A135" s="1">
        <v>2022</v>
      </c>
      <c r="B135" s="1" t="s">
        <v>34</v>
      </c>
      <c r="C135" s="1">
        <v>7</v>
      </c>
      <c r="D135" s="1">
        <v>15</v>
      </c>
      <c r="E135" s="1" t="s">
        <v>36</v>
      </c>
      <c r="F135" s="1" t="s">
        <v>40</v>
      </c>
      <c r="G135" s="1" t="s">
        <v>14</v>
      </c>
      <c r="H135" s="1" t="s">
        <v>36</v>
      </c>
      <c r="I135" s="1">
        <v>3</v>
      </c>
      <c r="J135" s="3" t="s">
        <v>68</v>
      </c>
      <c r="K135" s="1" t="s">
        <v>42</v>
      </c>
      <c r="L135" s="1">
        <v>111</v>
      </c>
      <c r="M135" s="1">
        <v>64</v>
      </c>
      <c r="N135" s="7">
        <f t="shared" si="46"/>
        <v>47</v>
      </c>
      <c r="O135" s="6">
        <v>1.666666666666667</v>
      </c>
      <c r="P135" s="6">
        <v>1.5277777777777781</v>
      </c>
      <c r="Q135" s="6">
        <f>O135/(0.1*O122)</f>
        <v>3.333333333333333</v>
      </c>
      <c r="R135" s="6">
        <f>O135/(0.1*O125)</f>
        <v>3.2432432432432434</v>
      </c>
      <c r="S135" s="6">
        <f>P135/(0.9*P129)</f>
        <v>0.53140096618357491</v>
      </c>
      <c r="T135" s="6">
        <f t="shared" si="47"/>
        <v>3.8647342995169081</v>
      </c>
      <c r="U135" s="6">
        <f t="shared" si="48"/>
        <v>3.7746442094268184</v>
      </c>
      <c r="V135" s="1">
        <f>O135/O122+P135/P129</f>
        <v>0.81159420289855078</v>
      </c>
      <c r="W135" s="1">
        <f>O135/O125+P135/P129</f>
        <v>0.80258519388954186</v>
      </c>
      <c r="X135" s="1">
        <f t="shared" si="44"/>
        <v>48</v>
      </c>
      <c r="Y135" s="6">
        <f t="shared" si="45"/>
        <v>3.1944444444444451</v>
      </c>
    </row>
    <row r="136" spans="1:25" x14ac:dyDescent="0.15">
      <c r="A136" s="1">
        <v>2022</v>
      </c>
      <c r="B136" s="1" t="s">
        <v>34</v>
      </c>
      <c r="C136" s="1">
        <v>7</v>
      </c>
      <c r="D136" s="1">
        <v>16</v>
      </c>
      <c r="E136" s="1" t="s">
        <v>37</v>
      </c>
      <c r="F136" s="1" t="s">
        <v>38</v>
      </c>
      <c r="G136" s="1" t="s">
        <v>14</v>
      </c>
      <c r="H136" s="1" t="s">
        <v>37</v>
      </c>
      <c r="I136" s="1">
        <v>3</v>
      </c>
      <c r="J136" s="3" t="s">
        <v>69</v>
      </c>
      <c r="K136" s="1" t="s">
        <v>42</v>
      </c>
      <c r="L136" s="1">
        <v>83</v>
      </c>
      <c r="M136" s="1">
        <v>63</v>
      </c>
      <c r="N136" s="7">
        <f t="shared" si="46"/>
        <v>20</v>
      </c>
      <c r="O136" s="6">
        <v>1.666666666666667</v>
      </c>
      <c r="P136" s="1">
        <v>2.916666666666667</v>
      </c>
      <c r="Q136" s="6">
        <f>O136/(0.1*O123)</f>
        <v>4.2857142857142865</v>
      </c>
      <c r="R136" s="6">
        <f>O136/(0.1*O126)</f>
        <v>3.1578947368421058</v>
      </c>
      <c r="S136" s="6">
        <f>P136/(0.9*P127)</f>
        <v>1.0606060606060603</v>
      </c>
      <c r="T136" s="6">
        <f t="shared" si="47"/>
        <v>5.346320346320347</v>
      </c>
      <c r="U136" s="6">
        <f t="shared" si="48"/>
        <v>4.2185007974481659</v>
      </c>
      <c r="V136" s="1">
        <f>O136/O123+P136/P127</f>
        <v>1.3831168831168832</v>
      </c>
      <c r="W136" s="1">
        <f>O136/O126+P136/P127</f>
        <v>1.270334928229665</v>
      </c>
      <c r="X136" s="1">
        <f t="shared" si="44"/>
        <v>64</v>
      </c>
      <c r="Y136" s="6">
        <f t="shared" si="45"/>
        <v>4.5833333333333339</v>
      </c>
    </row>
    <row r="137" spans="1:25" x14ac:dyDescent="0.15">
      <c r="A137" s="1">
        <v>2022</v>
      </c>
      <c r="B137" s="1" t="s">
        <v>34</v>
      </c>
      <c r="C137" s="1">
        <v>7</v>
      </c>
      <c r="D137" s="1">
        <v>17</v>
      </c>
      <c r="E137" s="1" t="s">
        <v>37</v>
      </c>
      <c r="F137" s="1" t="s">
        <v>39</v>
      </c>
      <c r="G137" s="1" t="s">
        <v>14</v>
      </c>
      <c r="H137" s="1" t="s">
        <v>37</v>
      </c>
      <c r="I137" s="1">
        <v>3</v>
      </c>
      <c r="J137" s="3" t="s">
        <v>70</v>
      </c>
      <c r="K137" s="1" t="s">
        <v>42</v>
      </c>
      <c r="L137" s="1">
        <v>89</v>
      </c>
      <c r="M137" s="1">
        <v>68</v>
      </c>
      <c r="N137" s="7">
        <f t="shared" si="46"/>
        <v>21</v>
      </c>
      <c r="O137" s="6">
        <v>1.5277777777777781</v>
      </c>
      <c r="P137" s="1">
        <v>2.7777777777777777</v>
      </c>
      <c r="Q137" s="6">
        <f>O137/(0.1*O123)</f>
        <v>3.9285714285714293</v>
      </c>
      <c r="R137" s="6">
        <f>O137/(0.1*O126)</f>
        <v>2.8947368421052637</v>
      </c>
      <c r="S137" s="6">
        <f>P137/(0.9*P128)</f>
        <v>0.79365079365079361</v>
      </c>
      <c r="T137" s="6">
        <f t="shared" si="47"/>
        <v>4.7222222222222232</v>
      </c>
      <c r="U137" s="6">
        <f t="shared" si="48"/>
        <v>3.6883876357560572</v>
      </c>
      <c r="V137" s="1">
        <f>O137/O123+P137/P128</f>
        <v>1.1071428571428572</v>
      </c>
      <c r="W137" s="1">
        <f>O137/O126+P137/P128</f>
        <v>1.0037593984962407</v>
      </c>
      <c r="X137" s="1">
        <f t="shared" si="44"/>
        <v>65</v>
      </c>
      <c r="Y137" s="6">
        <f t="shared" si="45"/>
        <v>4.3055555555555554</v>
      </c>
    </row>
    <row r="138" spans="1:25" x14ac:dyDescent="0.15">
      <c r="A138" s="1">
        <v>2022</v>
      </c>
      <c r="B138" s="1" t="s">
        <v>34</v>
      </c>
      <c r="C138" s="1">
        <v>7</v>
      </c>
      <c r="D138" s="1">
        <v>18</v>
      </c>
      <c r="E138" s="1" t="s">
        <v>37</v>
      </c>
      <c r="F138" s="1" t="s">
        <v>40</v>
      </c>
      <c r="G138" s="1" t="s">
        <v>14</v>
      </c>
      <c r="H138" s="1" t="s">
        <v>37</v>
      </c>
      <c r="I138" s="1">
        <v>3</v>
      </c>
      <c r="J138" s="3" t="s">
        <v>71</v>
      </c>
      <c r="K138" s="1" t="s">
        <v>42</v>
      </c>
      <c r="L138" s="1">
        <v>86</v>
      </c>
      <c r="M138" s="1">
        <v>81</v>
      </c>
      <c r="N138" s="7">
        <f t="shared" si="46"/>
        <v>5</v>
      </c>
      <c r="O138" s="6">
        <v>2.0833333333333335</v>
      </c>
      <c r="P138" s="1">
        <v>1.666666666666667</v>
      </c>
      <c r="Q138" s="6">
        <f>O138/(0.1*O123)</f>
        <v>5.3571428571428577</v>
      </c>
      <c r="R138" s="6">
        <f>O138/(0.1*O126)</f>
        <v>3.9473684210526319</v>
      </c>
      <c r="S138" s="6">
        <f>P138/(0.9*P129)</f>
        <v>0.57971014492753625</v>
      </c>
      <c r="T138" s="6">
        <f t="shared" si="47"/>
        <v>5.9368530020703938</v>
      </c>
      <c r="U138" s="6">
        <f t="shared" si="48"/>
        <v>4.527078565980168</v>
      </c>
      <c r="V138" s="1">
        <f>O138/O123+P138/P129</f>
        <v>1.0574534161490685</v>
      </c>
      <c r="W138" s="1">
        <f>O138/O126+P138/P129</f>
        <v>0.91647597254004598</v>
      </c>
      <c r="X138" s="1">
        <f t="shared" si="44"/>
        <v>44</v>
      </c>
      <c r="Y138" s="6">
        <f t="shared" si="45"/>
        <v>3.7500000000000004</v>
      </c>
    </row>
    <row r="139" spans="1:25" x14ac:dyDescent="0.15">
      <c r="A139" s="1">
        <v>2022</v>
      </c>
      <c r="B139" s="1" t="s">
        <v>34</v>
      </c>
      <c r="C139" s="1">
        <v>8</v>
      </c>
      <c r="D139" s="1">
        <v>1</v>
      </c>
      <c r="E139" s="1" t="s">
        <v>35</v>
      </c>
      <c r="F139" s="1"/>
      <c r="G139" s="1" t="s">
        <v>41</v>
      </c>
      <c r="H139" s="1" t="s">
        <v>35</v>
      </c>
      <c r="I139" s="1">
        <v>4</v>
      </c>
      <c r="J139" s="3" t="s">
        <v>35</v>
      </c>
      <c r="K139" s="1" t="s">
        <v>42</v>
      </c>
      <c r="L139" s="1">
        <v>103</v>
      </c>
      <c r="M139" s="1" t="s">
        <v>45</v>
      </c>
      <c r="N139" s="7" t="s">
        <v>45</v>
      </c>
      <c r="O139" s="1">
        <v>5.0000000000000009</v>
      </c>
      <c r="P139" s="6" t="s">
        <v>45</v>
      </c>
      <c r="Q139" s="6" t="s">
        <v>45</v>
      </c>
      <c r="R139" s="6" t="s">
        <v>45</v>
      </c>
      <c r="S139" s="6" t="s">
        <v>45</v>
      </c>
      <c r="T139" s="6" t="s">
        <v>45</v>
      </c>
      <c r="U139" s="6" t="s">
        <v>45</v>
      </c>
      <c r="V139" s="1" t="s">
        <v>45</v>
      </c>
      <c r="W139" s="1" t="s">
        <v>45</v>
      </c>
      <c r="X139" s="6" t="s">
        <v>45</v>
      </c>
      <c r="Y139" s="6">
        <f>O139</f>
        <v>5.0000000000000009</v>
      </c>
    </row>
    <row r="140" spans="1:25" x14ac:dyDescent="0.15">
      <c r="A140" s="1">
        <v>2022</v>
      </c>
      <c r="B140" s="1" t="s">
        <v>34</v>
      </c>
      <c r="C140" s="1">
        <v>8</v>
      </c>
      <c r="D140" s="1">
        <v>2</v>
      </c>
      <c r="E140" s="1" t="s">
        <v>36</v>
      </c>
      <c r="F140" s="1"/>
      <c r="G140" s="1" t="s">
        <v>41</v>
      </c>
      <c r="H140" s="1" t="s">
        <v>36</v>
      </c>
      <c r="I140" s="1">
        <v>4</v>
      </c>
      <c r="J140" s="3" t="s">
        <v>36</v>
      </c>
      <c r="K140" s="1" t="s">
        <v>42</v>
      </c>
      <c r="L140" s="1">
        <v>97</v>
      </c>
      <c r="M140" s="1" t="s">
        <v>45</v>
      </c>
      <c r="N140" s="7" t="s">
        <v>45</v>
      </c>
      <c r="O140" s="6">
        <v>4.8611111111111116</v>
      </c>
      <c r="P140" s="6" t="s">
        <v>45</v>
      </c>
      <c r="Q140" s="6" t="s">
        <v>45</v>
      </c>
      <c r="R140" s="6" t="s">
        <v>45</v>
      </c>
      <c r="S140" s="6" t="s">
        <v>45</v>
      </c>
      <c r="T140" s="6" t="s">
        <v>45</v>
      </c>
      <c r="U140" s="6" t="s">
        <v>45</v>
      </c>
      <c r="V140" s="1" t="s">
        <v>45</v>
      </c>
      <c r="W140" s="1" t="s">
        <v>45</v>
      </c>
      <c r="X140" s="6" t="s">
        <v>45</v>
      </c>
      <c r="Y140" s="6">
        <f t="shared" ref="Y140:Y144" si="49">O140</f>
        <v>4.8611111111111116</v>
      </c>
    </row>
    <row r="141" spans="1:25" x14ac:dyDescent="0.15">
      <c r="A141" s="1">
        <v>2022</v>
      </c>
      <c r="B141" s="1" t="s">
        <v>34</v>
      </c>
      <c r="C141" s="1">
        <v>8</v>
      </c>
      <c r="D141" s="1">
        <v>3</v>
      </c>
      <c r="E141" s="1" t="s">
        <v>37</v>
      </c>
      <c r="F141" s="1"/>
      <c r="G141" s="1" t="s">
        <v>41</v>
      </c>
      <c r="H141" s="1" t="s">
        <v>37</v>
      </c>
      <c r="I141" s="1">
        <v>4</v>
      </c>
      <c r="J141" s="3" t="s">
        <v>37</v>
      </c>
      <c r="K141" s="1" t="s">
        <v>42</v>
      </c>
      <c r="L141" s="1">
        <v>70</v>
      </c>
      <c r="M141" s="1" t="s">
        <v>45</v>
      </c>
      <c r="N141" s="7" t="s">
        <v>45</v>
      </c>
      <c r="O141" s="6">
        <v>3.7500000000000004</v>
      </c>
      <c r="P141" s="6" t="s">
        <v>45</v>
      </c>
      <c r="Q141" s="6" t="s">
        <v>45</v>
      </c>
      <c r="R141" s="6" t="s">
        <v>45</v>
      </c>
      <c r="S141" s="6" t="s">
        <v>45</v>
      </c>
      <c r="T141" s="6" t="s">
        <v>45</v>
      </c>
      <c r="U141" s="6" t="s">
        <v>45</v>
      </c>
      <c r="V141" s="1" t="s">
        <v>45</v>
      </c>
      <c r="W141" s="1" t="s">
        <v>45</v>
      </c>
      <c r="X141" s="6" t="s">
        <v>45</v>
      </c>
      <c r="Y141" s="6">
        <f t="shared" si="49"/>
        <v>3.7500000000000004</v>
      </c>
    </row>
    <row r="142" spans="1:25" x14ac:dyDescent="0.15">
      <c r="A142" s="1">
        <v>2022</v>
      </c>
      <c r="B142" s="1" t="s">
        <v>34</v>
      </c>
      <c r="C142" s="1">
        <v>8</v>
      </c>
      <c r="D142" s="1">
        <v>4</v>
      </c>
      <c r="E142" s="1" t="s">
        <v>35</v>
      </c>
      <c r="F142" s="1"/>
      <c r="G142" s="1" t="s">
        <v>41</v>
      </c>
      <c r="H142" s="1" t="s">
        <v>75</v>
      </c>
      <c r="I142" s="1">
        <v>4</v>
      </c>
      <c r="J142" s="3" t="s">
        <v>35</v>
      </c>
      <c r="K142" s="1" t="s">
        <v>43</v>
      </c>
      <c r="L142" s="1">
        <v>117</v>
      </c>
      <c r="M142" s="1" t="s">
        <v>45</v>
      </c>
      <c r="N142" s="7" t="s">
        <v>45</v>
      </c>
      <c r="O142" s="6">
        <v>4.5833333333333339</v>
      </c>
      <c r="P142" s="6" t="s">
        <v>45</v>
      </c>
      <c r="Q142" s="6" t="s">
        <v>45</v>
      </c>
      <c r="R142" s="6" t="s">
        <v>45</v>
      </c>
      <c r="S142" s="6" t="s">
        <v>45</v>
      </c>
      <c r="T142" s="6" t="s">
        <v>45</v>
      </c>
      <c r="U142" s="6" t="s">
        <v>45</v>
      </c>
      <c r="V142" s="1" t="s">
        <v>45</v>
      </c>
      <c r="W142" s="1" t="s">
        <v>45</v>
      </c>
      <c r="X142" s="1" t="s">
        <v>45</v>
      </c>
      <c r="Y142" s="6">
        <f t="shared" si="49"/>
        <v>4.5833333333333339</v>
      </c>
    </row>
    <row r="143" spans="1:25" x14ac:dyDescent="0.15">
      <c r="A143" s="1">
        <v>2022</v>
      </c>
      <c r="B143" s="1" t="s">
        <v>34</v>
      </c>
      <c r="C143" s="1">
        <v>8</v>
      </c>
      <c r="D143" s="1">
        <v>5</v>
      </c>
      <c r="E143" s="1" t="s">
        <v>36</v>
      </c>
      <c r="F143" s="1"/>
      <c r="G143" s="1" t="s">
        <v>41</v>
      </c>
      <c r="H143" s="1" t="s">
        <v>76</v>
      </c>
      <c r="I143" s="1">
        <v>4</v>
      </c>
      <c r="J143" s="3" t="s">
        <v>36</v>
      </c>
      <c r="K143" s="1" t="s">
        <v>43</v>
      </c>
      <c r="L143" s="1">
        <v>100</v>
      </c>
      <c r="M143" s="1" t="s">
        <v>45</v>
      </c>
      <c r="N143" s="7" t="s">
        <v>45</v>
      </c>
      <c r="O143" s="6">
        <v>6.3888888888888893</v>
      </c>
      <c r="P143" s="6" t="s">
        <v>45</v>
      </c>
      <c r="Q143" s="6" t="s">
        <v>45</v>
      </c>
      <c r="R143" s="6" t="s">
        <v>45</v>
      </c>
      <c r="S143" s="6" t="s">
        <v>45</v>
      </c>
      <c r="T143" s="6" t="s">
        <v>45</v>
      </c>
      <c r="U143" s="6" t="s">
        <v>45</v>
      </c>
      <c r="V143" s="1" t="s">
        <v>45</v>
      </c>
      <c r="W143" s="1" t="s">
        <v>45</v>
      </c>
      <c r="X143" s="1" t="s">
        <v>45</v>
      </c>
      <c r="Y143" s="6">
        <f t="shared" si="49"/>
        <v>6.3888888888888893</v>
      </c>
    </row>
    <row r="144" spans="1:25" x14ac:dyDescent="0.15">
      <c r="A144" s="1">
        <v>2022</v>
      </c>
      <c r="B144" s="1" t="s">
        <v>34</v>
      </c>
      <c r="C144" s="1">
        <v>8</v>
      </c>
      <c r="D144" s="1">
        <v>6</v>
      </c>
      <c r="E144" s="1" t="s">
        <v>37</v>
      </c>
      <c r="F144" s="1"/>
      <c r="G144" s="1" t="s">
        <v>41</v>
      </c>
      <c r="H144" s="1" t="s">
        <v>77</v>
      </c>
      <c r="I144" s="1">
        <v>4</v>
      </c>
      <c r="J144" s="3" t="s">
        <v>37</v>
      </c>
      <c r="K144" s="1" t="s">
        <v>43</v>
      </c>
      <c r="L144" s="1">
        <v>71</v>
      </c>
      <c r="M144" s="1" t="s">
        <v>45</v>
      </c>
      <c r="N144" s="7" t="s">
        <v>45</v>
      </c>
      <c r="O144" s="6">
        <v>5.5555555555555554</v>
      </c>
      <c r="P144" s="6" t="s">
        <v>45</v>
      </c>
      <c r="Q144" s="6" t="s">
        <v>45</v>
      </c>
      <c r="R144" s="6" t="s">
        <v>45</v>
      </c>
      <c r="S144" s="6" t="s">
        <v>45</v>
      </c>
      <c r="T144" s="6" t="s">
        <v>45</v>
      </c>
      <c r="U144" s="6" t="s">
        <v>45</v>
      </c>
      <c r="V144" s="1" t="s">
        <v>45</v>
      </c>
      <c r="W144" s="1" t="s">
        <v>45</v>
      </c>
      <c r="X144" s="1" t="s">
        <v>45</v>
      </c>
      <c r="Y144" s="6">
        <f t="shared" si="49"/>
        <v>5.5555555555555554</v>
      </c>
    </row>
    <row r="145" spans="1:25" x14ac:dyDescent="0.15">
      <c r="A145" s="1">
        <v>2022</v>
      </c>
      <c r="B145" s="1" t="s">
        <v>34</v>
      </c>
      <c r="C145" s="1">
        <v>8</v>
      </c>
      <c r="D145" s="1">
        <v>7</v>
      </c>
      <c r="E145" s="1"/>
      <c r="F145" s="1" t="s">
        <v>38</v>
      </c>
      <c r="G145" s="1" t="s">
        <v>41</v>
      </c>
      <c r="H145" s="1"/>
      <c r="I145" s="1">
        <v>4</v>
      </c>
      <c r="J145" s="3" t="s">
        <v>38</v>
      </c>
      <c r="K145" s="1" t="s">
        <v>42</v>
      </c>
      <c r="L145" s="1" t="s">
        <v>45</v>
      </c>
      <c r="M145" s="1">
        <v>62</v>
      </c>
      <c r="N145" s="7" t="s">
        <v>45</v>
      </c>
      <c r="O145" s="6" t="s">
        <v>45</v>
      </c>
      <c r="P145" s="6">
        <v>4.166666666666667</v>
      </c>
      <c r="Q145" s="6" t="s">
        <v>45</v>
      </c>
      <c r="R145" s="6" t="s">
        <v>45</v>
      </c>
      <c r="S145" s="6" t="s">
        <v>45</v>
      </c>
      <c r="T145" s="6" t="s">
        <v>45</v>
      </c>
      <c r="U145" s="6" t="s">
        <v>45</v>
      </c>
      <c r="V145" s="1" t="s">
        <v>45</v>
      </c>
      <c r="W145" s="1" t="s">
        <v>45</v>
      </c>
      <c r="X145" s="1" t="s">
        <v>45</v>
      </c>
      <c r="Y145" s="6">
        <f>P145</f>
        <v>4.166666666666667</v>
      </c>
    </row>
    <row r="146" spans="1:25" x14ac:dyDescent="0.15">
      <c r="A146" s="1">
        <v>2022</v>
      </c>
      <c r="B146" s="1" t="s">
        <v>34</v>
      </c>
      <c r="C146" s="1">
        <v>8</v>
      </c>
      <c r="D146" s="1">
        <v>8</v>
      </c>
      <c r="E146" s="1"/>
      <c r="F146" s="1" t="s">
        <v>39</v>
      </c>
      <c r="G146" s="1" t="s">
        <v>41</v>
      </c>
      <c r="H146" s="1"/>
      <c r="I146" s="1">
        <v>4</v>
      </c>
      <c r="J146" s="3" t="s">
        <v>39</v>
      </c>
      <c r="K146" s="1" t="s">
        <v>42</v>
      </c>
      <c r="L146" s="1" t="s">
        <v>45</v>
      </c>
      <c r="M146" s="1">
        <v>75</v>
      </c>
      <c r="N146" s="7" t="s">
        <v>45</v>
      </c>
      <c r="O146" s="6" t="s">
        <v>45</v>
      </c>
      <c r="P146" s="6">
        <v>3.6111111111111116</v>
      </c>
      <c r="Q146" s="6" t="s">
        <v>45</v>
      </c>
      <c r="R146" s="6" t="s">
        <v>45</v>
      </c>
      <c r="S146" s="6" t="s">
        <v>45</v>
      </c>
      <c r="T146" s="6" t="s">
        <v>45</v>
      </c>
      <c r="U146" s="6" t="s">
        <v>45</v>
      </c>
      <c r="V146" s="1" t="s">
        <v>45</v>
      </c>
      <c r="W146" s="1" t="s">
        <v>45</v>
      </c>
      <c r="X146" s="1" t="s">
        <v>45</v>
      </c>
      <c r="Y146" s="6">
        <f t="shared" ref="Y146:Y147" si="50">P146</f>
        <v>3.6111111111111116</v>
      </c>
    </row>
    <row r="147" spans="1:25" x14ac:dyDescent="0.15">
      <c r="A147" s="1">
        <v>2022</v>
      </c>
      <c r="B147" s="1" t="s">
        <v>34</v>
      </c>
      <c r="C147" s="1">
        <v>8</v>
      </c>
      <c r="D147" s="1">
        <v>9</v>
      </c>
      <c r="E147" s="1"/>
      <c r="F147" s="1" t="s">
        <v>40</v>
      </c>
      <c r="G147" s="1" t="s">
        <v>41</v>
      </c>
      <c r="H147" s="1"/>
      <c r="I147" s="1">
        <v>4</v>
      </c>
      <c r="J147" s="3" t="s">
        <v>40</v>
      </c>
      <c r="K147" s="1" t="s">
        <v>42</v>
      </c>
      <c r="L147" s="1" t="s">
        <v>45</v>
      </c>
      <c r="M147" s="1">
        <v>66</v>
      </c>
      <c r="N147" s="7" t="s">
        <v>45</v>
      </c>
      <c r="O147" s="6" t="s">
        <v>45</v>
      </c>
      <c r="P147" s="6">
        <v>3.3333333333333339</v>
      </c>
      <c r="Q147" s="6" t="s">
        <v>45</v>
      </c>
      <c r="R147" s="6" t="s">
        <v>45</v>
      </c>
      <c r="S147" s="6" t="s">
        <v>45</v>
      </c>
      <c r="T147" s="6" t="s">
        <v>45</v>
      </c>
      <c r="U147" s="6" t="s">
        <v>45</v>
      </c>
      <c r="V147" s="1" t="s">
        <v>45</v>
      </c>
      <c r="W147" s="1" t="s">
        <v>45</v>
      </c>
      <c r="X147" s="1" t="s">
        <v>45</v>
      </c>
      <c r="Y147" s="6">
        <f t="shared" si="50"/>
        <v>3.3333333333333339</v>
      </c>
    </row>
    <row r="148" spans="1:25" x14ac:dyDescent="0.15">
      <c r="A148" s="1">
        <v>2022</v>
      </c>
      <c r="B148" s="1" t="s">
        <v>34</v>
      </c>
      <c r="C148" s="1">
        <v>8</v>
      </c>
      <c r="D148" s="1">
        <v>10</v>
      </c>
      <c r="E148" s="1" t="s">
        <v>35</v>
      </c>
      <c r="F148" s="1" t="s">
        <v>38</v>
      </c>
      <c r="G148" s="1" t="s">
        <v>14</v>
      </c>
      <c r="H148" s="1" t="s">
        <v>35</v>
      </c>
      <c r="I148" s="1">
        <v>4</v>
      </c>
      <c r="J148" s="3" t="s">
        <v>63</v>
      </c>
      <c r="K148" s="1" t="s">
        <v>42</v>
      </c>
      <c r="L148" s="1">
        <v>118</v>
      </c>
      <c r="M148" s="1">
        <v>62</v>
      </c>
      <c r="N148" s="7">
        <f>L148-M148</f>
        <v>56</v>
      </c>
      <c r="O148" s="6">
        <v>1.666666666666667</v>
      </c>
      <c r="P148" s="6">
        <v>2.6388888888888888</v>
      </c>
      <c r="Q148" s="6">
        <f>O148/(0.1*O139)</f>
        <v>3.333333333333333</v>
      </c>
      <c r="R148" s="6">
        <f>O148/(0.1*O142)</f>
        <v>3.6363636363636362</v>
      </c>
      <c r="S148" s="6">
        <f>P148/(0.9*P145)</f>
        <v>0.70370370370370361</v>
      </c>
      <c r="T148" s="6">
        <f>Q148+S148</f>
        <v>4.0370370370370363</v>
      </c>
      <c r="U148" s="6">
        <f>R148+S148</f>
        <v>4.34006734006734</v>
      </c>
      <c r="V148" s="1">
        <f>O148/O139+P148/P145</f>
        <v>0.96666666666666656</v>
      </c>
      <c r="W148" s="1">
        <f>O148/O142+P148/P145</f>
        <v>0.99696969696969695</v>
      </c>
      <c r="X148" s="1">
        <f t="shared" ref="X148:X156" si="51">100*ROUND(P148/(P148+O148), 2)</f>
        <v>61</v>
      </c>
      <c r="Y148" s="6">
        <f t="shared" ref="Y148:Y156" si="52">O148+P148</f>
        <v>4.3055555555555554</v>
      </c>
    </row>
    <row r="149" spans="1:25" x14ac:dyDescent="0.15">
      <c r="A149" s="1">
        <v>2022</v>
      </c>
      <c r="B149" s="1" t="s">
        <v>34</v>
      </c>
      <c r="C149" s="1">
        <v>8</v>
      </c>
      <c r="D149" s="1">
        <v>11</v>
      </c>
      <c r="E149" s="1" t="s">
        <v>35</v>
      </c>
      <c r="F149" s="1" t="s">
        <v>39</v>
      </c>
      <c r="G149" s="1" t="s">
        <v>14</v>
      </c>
      <c r="H149" s="1" t="s">
        <v>35</v>
      </c>
      <c r="I149" s="1">
        <v>4</v>
      </c>
      <c r="J149" s="3" t="s">
        <v>64</v>
      </c>
      <c r="K149" s="1" t="s">
        <v>42</v>
      </c>
      <c r="L149" s="1">
        <v>123</v>
      </c>
      <c r="M149" s="1">
        <v>64</v>
      </c>
      <c r="N149" s="7">
        <f t="shared" ref="N149:N156" si="53">L149-M149</f>
        <v>59</v>
      </c>
      <c r="O149" s="6">
        <v>1.666666666666667</v>
      </c>
      <c r="P149" s="1">
        <v>2.6388888888888888</v>
      </c>
      <c r="Q149" s="6">
        <f>O149/(0.1*O139)</f>
        <v>3.333333333333333</v>
      </c>
      <c r="R149" s="6">
        <f>O149/(0.1*O142)</f>
        <v>3.6363636363636362</v>
      </c>
      <c r="S149" s="6">
        <f>P149/(0.9*P146)</f>
        <v>0.81196581196581186</v>
      </c>
      <c r="T149" s="6">
        <f t="shared" ref="T149:T156" si="54">Q149+S149</f>
        <v>4.1452991452991448</v>
      </c>
      <c r="U149" s="6">
        <f t="shared" ref="U149:U156" si="55">R149+S149</f>
        <v>4.4483294483294484</v>
      </c>
      <c r="V149" s="1">
        <f>O149/O139+P149/P146</f>
        <v>1.0641025641025639</v>
      </c>
      <c r="W149" s="1">
        <f>O149/O142+P149/P146</f>
        <v>1.0944055944055942</v>
      </c>
      <c r="X149" s="1">
        <f t="shared" si="51"/>
        <v>61</v>
      </c>
      <c r="Y149" s="6">
        <f t="shared" si="52"/>
        <v>4.3055555555555554</v>
      </c>
    </row>
    <row r="150" spans="1:25" x14ac:dyDescent="0.15">
      <c r="A150" s="1">
        <v>2022</v>
      </c>
      <c r="B150" s="1" t="s">
        <v>34</v>
      </c>
      <c r="C150" s="1">
        <v>8</v>
      </c>
      <c r="D150" s="1">
        <v>12</v>
      </c>
      <c r="E150" s="1" t="s">
        <v>35</v>
      </c>
      <c r="F150" s="1" t="s">
        <v>40</v>
      </c>
      <c r="G150" s="1" t="s">
        <v>14</v>
      </c>
      <c r="H150" s="1" t="s">
        <v>35</v>
      </c>
      <c r="I150" s="1">
        <v>4</v>
      </c>
      <c r="J150" s="3" t="s">
        <v>65</v>
      </c>
      <c r="K150" s="1" t="s">
        <v>42</v>
      </c>
      <c r="L150" s="1">
        <v>111</v>
      </c>
      <c r="M150" s="1">
        <v>61</v>
      </c>
      <c r="N150" s="7">
        <f t="shared" si="53"/>
        <v>50</v>
      </c>
      <c r="O150" s="6">
        <v>1.5277777777777781</v>
      </c>
      <c r="P150" s="1">
        <v>2.2222222222222228</v>
      </c>
      <c r="Q150" s="6">
        <f>O150/(0.1*O139)</f>
        <v>3.0555555555555554</v>
      </c>
      <c r="R150" s="6">
        <f>O150/(0.1*O142)</f>
        <v>3.3333333333333335</v>
      </c>
      <c r="S150" s="6">
        <f>P150/(0.9*P147)</f>
        <v>0.74074074074074081</v>
      </c>
      <c r="T150" s="6">
        <f t="shared" si="54"/>
        <v>3.7962962962962963</v>
      </c>
      <c r="U150" s="6">
        <f t="shared" si="55"/>
        <v>4.0740740740740744</v>
      </c>
      <c r="V150" s="1">
        <f>O150/O139+P150/P147</f>
        <v>0.97222222222222232</v>
      </c>
      <c r="W150" s="1">
        <f>O150/O142+P150/P147</f>
        <v>1</v>
      </c>
      <c r="X150" s="1">
        <f t="shared" si="51"/>
        <v>59</v>
      </c>
      <c r="Y150" s="6">
        <f t="shared" si="52"/>
        <v>3.7500000000000009</v>
      </c>
    </row>
    <row r="151" spans="1:25" x14ac:dyDescent="0.15">
      <c r="A151" s="1">
        <v>2022</v>
      </c>
      <c r="B151" s="1" t="s">
        <v>34</v>
      </c>
      <c r="C151" s="1">
        <v>8</v>
      </c>
      <c r="D151" s="1">
        <v>13</v>
      </c>
      <c r="E151" s="1" t="s">
        <v>36</v>
      </c>
      <c r="F151" s="1" t="s">
        <v>38</v>
      </c>
      <c r="G151" s="1" t="s">
        <v>14</v>
      </c>
      <c r="H151" s="1" t="s">
        <v>36</v>
      </c>
      <c r="I151" s="1">
        <v>4</v>
      </c>
      <c r="J151" s="3" t="s">
        <v>66</v>
      </c>
      <c r="K151" s="1" t="s">
        <v>42</v>
      </c>
      <c r="L151" s="1">
        <v>110</v>
      </c>
      <c r="M151" s="1">
        <v>72</v>
      </c>
      <c r="N151" s="7">
        <f t="shared" si="53"/>
        <v>38</v>
      </c>
      <c r="O151" s="6">
        <v>2.0833333333333335</v>
      </c>
      <c r="P151" s="1">
        <v>2.2222222222222228</v>
      </c>
      <c r="Q151" s="6">
        <f>O151/(0.1*O140)</f>
        <v>4.2857142857142856</v>
      </c>
      <c r="R151" s="6">
        <f>O151/(0.1*O143)</f>
        <v>3.2608695652173911</v>
      </c>
      <c r="S151" s="6">
        <f>P151/(0.9*P145)</f>
        <v>0.59259259259259267</v>
      </c>
      <c r="T151" s="6">
        <f t="shared" si="54"/>
        <v>4.8783068783068781</v>
      </c>
      <c r="U151" s="6">
        <f t="shared" si="55"/>
        <v>3.8534621578099837</v>
      </c>
      <c r="V151" s="1">
        <f>O151/O140+P151/P145</f>
        <v>0.96190476190476204</v>
      </c>
      <c r="W151" s="1">
        <f>O151/O143+P151/P145</f>
        <v>0.85942028985507257</v>
      </c>
      <c r="X151" s="1">
        <f t="shared" si="51"/>
        <v>52</v>
      </c>
      <c r="Y151" s="6">
        <f t="shared" si="52"/>
        <v>4.3055555555555562</v>
      </c>
    </row>
    <row r="152" spans="1:25" x14ac:dyDescent="0.15">
      <c r="A152" s="1">
        <v>2022</v>
      </c>
      <c r="B152" s="1" t="s">
        <v>34</v>
      </c>
      <c r="C152" s="1">
        <v>8</v>
      </c>
      <c r="D152" s="1">
        <v>14</v>
      </c>
      <c r="E152" s="1" t="s">
        <v>36</v>
      </c>
      <c r="F152" s="1" t="s">
        <v>39</v>
      </c>
      <c r="G152" s="1" t="s">
        <v>14</v>
      </c>
      <c r="H152" s="1" t="s">
        <v>36</v>
      </c>
      <c r="I152" s="1">
        <v>4</v>
      </c>
      <c r="J152" s="3" t="s">
        <v>67</v>
      </c>
      <c r="K152" s="1" t="s">
        <v>42</v>
      </c>
      <c r="L152" s="1">
        <v>124</v>
      </c>
      <c r="M152" s="1">
        <v>67</v>
      </c>
      <c r="N152" s="7">
        <f t="shared" si="53"/>
        <v>57</v>
      </c>
      <c r="O152" s="1">
        <v>2.0833333333333335</v>
      </c>
      <c r="P152" s="6">
        <v>2.0833333333333335</v>
      </c>
      <c r="Q152" s="6">
        <f>O152/(0.1*O140)</f>
        <v>4.2857142857142856</v>
      </c>
      <c r="R152" s="6">
        <f>O152/(0.1*O143)</f>
        <v>3.2608695652173911</v>
      </c>
      <c r="S152" s="6">
        <f>P152/(0.9*P146)</f>
        <v>0.64102564102564097</v>
      </c>
      <c r="T152" s="6">
        <f t="shared" si="54"/>
        <v>4.926739926739927</v>
      </c>
      <c r="U152" s="6">
        <f t="shared" si="55"/>
        <v>3.9018952062430321</v>
      </c>
      <c r="V152" s="1">
        <f>O152/O140+P152/P146</f>
        <v>1.0054945054945055</v>
      </c>
      <c r="W152" s="1">
        <f>O152/O143+P152/P146</f>
        <v>0.90301003344481601</v>
      </c>
      <c r="X152" s="1">
        <f t="shared" si="51"/>
        <v>50</v>
      </c>
      <c r="Y152" s="6">
        <f t="shared" si="52"/>
        <v>4.166666666666667</v>
      </c>
    </row>
    <row r="153" spans="1:25" x14ac:dyDescent="0.15">
      <c r="A153" s="1">
        <v>2022</v>
      </c>
      <c r="B153" s="1" t="s">
        <v>34</v>
      </c>
      <c r="C153" s="1">
        <v>8</v>
      </c>
      <c r="D153" s="1">
        <v>15</v>
      </c>
      <c r="E153" s="1" t="s">
        <v>36</v>
      </c>
      <c r="F153" s="1" t="s">
        <v>40</v>
      </c>
      <c r="G153" s="1" t="s">
        <v>14</v>
      </c>
      <c r="H153" s="1" t="s">
        <v>36</v>
      </c>
      <c r="I153" s="1">
        <v>4</v>
      </c>
      <c r="J153" s="3" t="s">
        <v>68</v>
      </c>
      <c r="K153" s="1" t="s">
        <v>42</v>
      </c>
      <c r="L153" s="1">
        <v>105</v>
      </c>
      <c r="M153" s="1">
        <v>68</v>
      </c>
      <c r="N153" s="7">
        <f t="shared" si="53"/>
        <v>37</v>
      </c>
      <c r="O153" s="1">
        <v>2.5000000000000004</v>
      </c>
      <c r="P153" s="6">
        <v>1.9444444444444444</v>
      </c>
      <c r="Q153" s="6">
        <f>O153/(0.1*O140)</f>
        <v>5.1428571428571432</v>
      </c>
      <c r="R153" s="6">
        <f>O153/(0.1*O143)</f>
        <v>3.9130434782608701</v>
      </c>
      <c r="S153" s="6">
        <f>P153/(0.9*P147)</f>
        <v>0.64814814814814803</v>
      </c>
      <c r="T153" s="6">
        <f t="shared" si="54"/>
        <v>5.7910052910052912</v>
      </c>
      <c r="U153" s="6">
        <f t="shared" si="55"/>
        <v>4.561191626409018</v>
      </c>
      <c r="V153" s="1">
        <f>O153/O140+P153/P147</f>
        <v>1.0976190476190477</v>
      </c>
      <c r="W153" s="1">
        <f>O153/O143+P153/P147</f>
        <v>0.97463768115942029</v>
      </c>
      <c r="X153" s="1">
        <f t="shared" si="51"/>
        <v>44</v>
      </c>
      <c r="Y153" s="6">
        <f t="shared" si="52"/>
        <v>4.4444444444444446</v>
      </c>
    </row>
    <row r="154" spans="1:25" x14ac:dyDescent="0.15">
      <c r="A154" s="1">
        <v>2022</v>
      </c>
      <c r="B154" s="1" t="s">
        <v>34</v>
      </c>
      <c r="C154" s="1">
        <v>8</v>
      </c>
      <c r="D154" s="1">
        <v>16</v>
      </c>
      <c r="E154" s="1" t="s">
        <v>37</v>
      </c>
      <c r="F154" s="1" t="s">
        <v>38</v>
      </c>
      <c r="G154" s="1" t="s">
        <v>14</v>
      </c>
      <c r="H154" s="1" t="s">
        <v>37</v>
      </c>
      <c r="I154" s="1">
        <v>4</v>
      </c>
      <c r="J154" s="3" t="s">
        <v>69</v>
      </c>
      <c r="K154" s="1" t="s">
        <v>42</v>
      </c>
      <c r="L154" s="1">
        <v>85</v>
      </c>
      <c r="M154" s="1">
        <v>63</v>
      </c>
      <c r="N154" s="7">
        <f t="shared" si="53"/>
        <v>22</v>
      </c>
      <c r="O154" s="1">
        <v>1.3888888888888888</v>
      </c>
      <c r="P154" s="6">
        <v>3.1944444444444446</v>
      </c>
      <c r="Q154" s="6">
        <f>O154/(0.1*O141)</f>
        <v>3.7037037037037028</v>
      </c>
      <c r="R154" s="6">
        <f>O154/(0.1*O144)</f>
        <v>2.5</v>
      </c>
      <c r="S154" s="6">
        <f>P154/(0.9*P145)</f>
        <v>0.85185185185185175</v>
      </c>
      <c r="T154" s="6">
        <f t="shared" si="54"/>
        <v>4.5555555555555545</v>
      </c>
      <c r="U154" s="6">
        <f t="shared" si="55"/>
        <v>3.3518518518518516</v>
      </c>
      <c r="V154" s="1">
        <f>O154/O141+P154/P145</f>
        <v>1.1370370370370368</v>
      </c>
      <c r="W154" s="1">
        <f>O154/O144+P154/P145</f>
        <v>1.0166666666666666</v>
      </c>
      <c r="X154" s="1">
        <f t="shared" si="51"/>
        <v>70</v>
      </c>
      <c r="Y154" s="6">
        <f t="shared" si="52"/>
        <v>4.5833333333333339</v>
      </c>
    </row>
    <row r="155" spans="1:25" x14ac:dyDescent="0.15">
      <c r="A155" s="1">
        <v>2022</v>
      </c>
      <c r="B155" s="1" t="s">
        <v>34</v>
      </c>
      <c r="C155" s="1">
        <v>8</v>
      </c>
      <c r="D155" s="1">
        <v>17</v>
      </c>
      <c r="E155" s="1" t="s">
        <v>37</v>
      </c>
      <c r="F155" s="1" t="s">
        <v>39</v>
      </c>
      <c r="G155" s="1" t="s">
        <v>14</v>
      </c>
      <c r="H155" s="1" t="s">
        <v>37</v>
      </c>
      <c r="I155" s="1">
        <v>4</v>
      </c>
      <c r="J155" s="3" t="s">
        <v>70</v>
      </c>
      <c r="K155" s="1" t="s">
        <v>42</v>
      </c>
      <c r="L155" s="1">
        <v>79</v>
      </c>
      <c r="M155" s="1">
        <v>61</v>
      </c>
      <c r="N155" s="7">
        <f t="shared" si="53"/>
        <v>18</v>
      </c>
      <c r="O155" s="6">
        <v>1.5277777777777781</v>
      </c>
      <c r="P155" s="6">
        <v>2.5000000000000004</v>
      </c>
      <c r="Q155" s="6">
        <f>O155/(0.1*O141)</f>
        <v>4.0740740740740744</v>
      </c>
      <c r="R155" s="6">
        <f>O155/(0.1*O144)</f>
        <v>2.7500000000000004</v>
      </c>
      <c r="S155" s="6">
        <f>P155/(0.9*P146)</f>
        <v>0.76923076923076927</v>
      </c>
      <c r="T155" s="6">
        <f t="shared" si="54"/>
        <v>4.8433048433048436</v>
      </c>
      <c r="U155" s="6">
        <f t="shared" si="55"/>
        <v>3.5192307692307696</v>
      </c>
      <c r="V155" s="1">
        <f>O155/O141+P155/P146</f>
        <v>1.0997150997150997</v>
      </c>
      <c r="W155" s="1">
        <f>O155/O144+P155/P146</f>
        <v>0.96730769230769242</v>
      </c>
      <c r="X155" s="1">
        <f t="shared" si="51"/>
        <v>62</v>
      </c>
      <c r="Y155" s="6">
        <f t="shared" si="52"/>
        <v>4.0277777777777786</v>
      </c>
    </row>
    <row r="156" spans="1:25" x14ac:dyDescent="0.15">
      <c r="A156" s="1">
        <v>2022</v>
      </c>
      <c r="B156" s="1" t="s">
        <v>34</v>
      </c>
      <c r="C156" s="1">
        <v>8</v>
      </c>
      <c r="D156" s="1">
        <v>18</v>
      </c>
      <c r="E156" s="1" t="s">
        <v>37</v>
      </c>
      <c r="F156" s="1" t="s">
        <v>40</v>
      </c>
      <c r="G156" s="1" t="s">
        <v>14</v>
      </c>
      <c r="H156" s="1" t="s">
        <v>37</v>
      </c>
      <c r="I156" s="1">
        <v>4</v>
      </c>
      <c r="J156" s="3" t="s">
        <v>71</v>
      </c>
      <c r="K156" s="1" t="s">
        <v>42</v>
      </c>
      <c r="L156" s="1">
        <v>82</v>
      </c>
      <c r="M156" s="1">
        <v>67</v>
      </c>
      <c r="N156" s="7">
        <f t="shared" si="53"/>
        <v>15</v>
      </c>
      <c r="O156" s="6">
        <v>1.2500000000000002</v>
      </c>
      <c r="P156" s="6">
        <v>2.3611111111111112</v>
      </c>
      <c r="Q156" s="6">
        <f>O156/(0.1*O141)</f>
        <v>3.3333333333333335</v>
      </c>
      <c r="R156" s="6">
        <f>O156/(0.1*O144)</f>
        <v>2.2500000000000004</v>
      </c>
      <c r="S156" s="6">
        <f>P156/(0.9*P147)</f>
        <v>0.78703703703703698</v>
      </c>
      <c r="T156" s="6">
        <f t="shared" si="54"/>
        <v>4.1203703703703702</v>
      </c>
      <c r="U156" s="6">
        <f t="shared" si="55"/>
        <v>3.0370370370370372</v>
      </c>
      <c r="V156" s="1">
        <f>O156/O141+P156/P147</f>
        <v>1.0416666666666665</v>
      </c>
      <c r="W156" s="1">
        <f>O156/O144+P156/P147</f>
        <v>0.93333333333333335</v>
      </c>
      <c r="X156" s="1">
        <f t="shared" si="51"/>
        <v>65</v>
      </c>
      <c r="Y156" s="6">
        <f t="shared" si="52"/>
        <v>3.6111111111111116</v>
      </c>
    </row>
    <row r="157" spans="1:25" x14ac:dyDescent="0.15">
      <c r="A157" s="3">
        <v>2023</v>
      </c>
      <c r="B157" s="3" t="s">
        <v>33</v>
      </c>
      <c r="C157" s="3">
        <v>9</v>
      </c>
      <c r="D157" s="3">
        <v>1</v>
      </c>
      <c r="E157" s="3" t="s">
        <v>35</v>
      </c>
      <c r="F157" s="3"/>
      <c r="G157" s="3" t="s">
        <v>41</v>
      </c>
      <c r="H157" s="1" t="s">
        <v>35</v>
      </c>
      <c r="I157" s="3">
        <v>1</v>
      </c>
      <c r="J157" s="3" t="s">
        <v>35</v>
      </c>
      <c r="K157" s="1" t="s">
        <v>42</v>
      </c>
      <c r="L157" s="7">
        <v>71</v>
      </c>
      <c r="M157" s="7" t="s">
        <v>45</v>
      </c>
      <c r="N157" s="7" t="s">
        <v>45</v>
      </c>
      <c r="O157" s="6">
        <v>3.3333333333333339</v>
      </c>
      <c r="P157" s="6" t="s">
        <v>45</v>
      </c>
      <c r="Q157" s="6" t="s">
        <v>45</v>
      </c>
      <c r="R157" s="6" t="s">
        <v>45</v>
      </c>
      <c r="S157" s="6" t="s">
        <v>45</v>
      </c>
      <c r="T157" s="6" t="s">
        <v>45</v>
      </c>
      <c r="U157" s="6" t="s">
        <v>45</v>
      </c>
      <c r="V157" s="1" t="s">
        <v>45</v>
      </c>
      <c r="W157" s="1" t="s">
        <v>45</v>
      </c>
      <c r="X157" s="6" t="s">
        <v>45</v>
      </c>
      <c r="Y157" s="6">
        <f>O157</f>
        <v>3.3333333333333339</v>
      </c>
    </row>
    <row r="158" spans="1:25" x14ac:dyDescent="0.15">
      <c r="A158" s="3">
        <v>2023</v>
      </c>
      <c r="B158" s="3" t="s">
        <v>33</v>
      </c>
      <c r="C158" s="3">
        <v>9</v>
      </c>
      <c r="D158" s="3">
        <v>2</v>
      </c>
      <c r="E158" s="3" t="s">
        <v>36</v>
      </c>
      <c r="F158" s="3"/>
      <c r="G158" s="3" t="s">
        <v>41</v>
      </c>
      <c r="H158" s="1" t="s">
        <v>36</v>
      </c>
      <c r="I158" s="3">
        <v>1</v>
      </c>
      <c r="J158" s="3" t="s">
        <v>36</v>
      </c>
      <c r="K158" s="1" t="s">
        <v>42</v>
      </c>
      <c r="L158" s="7">
        <v>60</v>
      </c>
      <c r="M158" s="7" t="s">
        <v>45</v>
      </c>
      <c r="N158" s="7" t="s">
        <v>45</v>
      </c>
      <c r="O158" s="6">
        <v>3.1944444444444446</v>
      </c>
      <c r="P158" s="6" t="s">
        <v>45</v>
      </c>
      <c r="Q158" s="6" t="s">
        <v>45</v>
      </c>
      <c r="R158" s="6" t="s">
        <v>45</v>
      </c>
      <c r="S158" s="6" t="s">
        <v>45</v>
      </c>
      <c r="T158" s="6" t="s">
        <v>45</v>
      </c>
      <c r="U158" s="6" t="s">
        <v>45</v>
      </c>
      <c r="V158" s="1" t="s">
        <v>45</v>
      </c>
      <c r="W158" s="1" t="s">
        <v>45</v>
      </c>
      <c r="X158" s="6" t="s">
        <v>45</v>
      </c>
      <c r="Y158" s="6">
        <f t="shared" ref="Y158:Y162" si="56">O158</f>
        <v>3.1944444444444446</v>
      </c>
    </row>
    <row r="159" spans="1:25" x14ac:dyDescent="0.15">
      <c r="A159" s="3">
        <v>2023</v>
      </c>
      <c r="B159" s="3" t="s">
        <v>33</v>
      </c>
      <c r="C159" s="3">
        <v>9</v>
      </c>
      <c r="D159" s="3">
        <v>3</v>
      </c>
      <c r="E159" s="3" t="s">
        <v>37</v>
      </c>
      <c r="F159" s="3"/>
      <c r="G159" s="3" t="s">
        <v>41</v>
      </c>
      <c r="H159" s="1" t="s">
        <v>37</v>
      </c>
      <c r="I159" s="3">
        <v>1</v>
      </c>
      <c r="J159" s="3" t="s">
        <v>37</v>
      </c>
      <c r="K159" s="1" t="s">
        <v>42</v>
      </c>
      <c r="L159" s="7">
        <v>53</v>
      </c>
      <c r="M159" s="7" t="s">
        <v>45</v>
      </c>
      <c r="N159" s="7" t="s">
        <v>45</v>
      </c>
      <c r="O159" s="6">
        <v>2.7777777777777777</v>
      </c>
      <c r="P159" s="6" t="s">
        <v>45</v>
      </c>
      <c r="Q159" s="6" t="s">
        <v>45</v>
      </c>
      <c r="R159" s="6" t="s">
        <v>45</v>
      </c>
      <c r="S159" s="6" t="s">
        <v>45</v>
      </c>
      <c r="T159" s="6" t="s">
        <v>45</v>
      </c>
      <c r="U159" s="6" t="s">
        <v>45</v>
      </c>
      <c r="V159" s="1" t="s">
        <v>45</v>
      </c>
      <c r="W159" s="1" t="s">
        <v>45</v>
      </c>
      <c r="X159" s="6" t="s">
        <v>45</v>
      </c>
      <c r="Y159" s="6">
        <f t="shared" si="56"/>
        <v>2.7777777777777777</v>
      </c>
    </row>
    <row r="160" spans="1:25" x14ac:dyDescent="0.15">
      <c r="A160" s="3">
        <v>2023</v>
      </c>
      <c r="B160" s="3" t="s">
        <v>33</v>
      </c>
      <c r="C160" s="3">
        <v>9</v>
      </c>
      <c r="D160" s="3">
        <v>4</v>
      </c>
      <c r="E160" s="3" t="s">
        <v>35</v>
      </c>
      <c r="F160" s="3"/>
      <c r="G160" s="3" t="s">
        <v>41</v>
      </c>
      <c r="H160" s="1" t="s">
        <v>75</v>
      </c>
      <c r="I160" s="3">
        <v>1</v>
      </c>
      <c r="J160" s="3" t="s">
        <v>35</v>
      </c>
      <c r="K160" s="1" t="s">
        <v>43</v>
      </c>
      <c r="L160" s="7">
        <v>84</v>
      </c>
      <c r="M160" s="7" t="s">
        <v>45</v>
      </c>
      <c r="N160" s="7" t="s">
        <v>45</v>
      </c>
      <c r="O160" s="6">
        <v>3.8888888888888888</v>
      </c>
      <c r="P160" s="6" t="s">
        <v>45</v>
      </c>
      <c r="Q160" s="6" t="s">
        <v>45</v>
      </c>
      <c r="R160" s="6" t="s">
        <v>45</v>
      </c>
      <c r="S160" s="6" t="s">
        <v>45</v>
      </c>
      <c r="T160" s="6" t="s">
        <v>45</v>
      </c>
      <c r="U160" s="6" t="s">
        <v>45</v>
      </c>
      <c r="V160" s="1" t="s">
        <v>45</v>
      </c>
      <c r="W160" s="1" t="s">
        <v>45</v>
      </c>
      <c r="X160" s="1" t="s">
        <v>45</v>
      </c>
      <c r="Y160" s="6">
        <f t="shared" si="56"/>
        <v>3.8888888888888888</v>
      </c>
    </row>
    <row r="161" spans="1:25" x14ac:dyDescent="0.15">
      <c r="A161" s="3">
        <v>2023</v>
      </c>
      <c r="B161" s="3" t="s">
        <v>33</v>
      </c>
      <c r="C161" s="3">
        <v>9</v>
      </c>
      <c r="D161" s="3">
        <v>5</v>
      </c>
      <c r="E161" s="3" t="s">
        <v>36</v>
      </c>
      <c r="F161" s="3"/>
      <c r="G161" s="3" t="s">
        <v>41</v>
      </c>
      <c r="H161" s="1" t="s">
        <v>76</v>
      </c>
      <c r="I161" s="3">
        <v>1</v>
      </c>
      <c r="J161" s="3" t="s">
        <v>36</v>
      </c>
      <c r="K161" s="1" t="s">
        <v>43</v>
      </c>
      <c r="L161" s="7">
        <v>87</v>
      </c>
      <c r="M161" s="7" t="s">
        <v>45</v>
      </c>
      <c r="N161" s="7" t="s">
        <v>45</v>
      </c>
      <c r="O161" s="6">
        <v>4.166666666666667</v>
      </c>
      <c r="P161" s="6" t="s">
        <v>45</v>
      </c>
      <c r="Q161" s="6" t="s">
        <v>45</v>
      </c>
      <c r="R161" s="6" t="s">
        <v>45</v>
      </c>
      <c r="S161" s="6" t="s">
        <v>45</v>
      </c>
      <c r="T161" s="6" t="s">
        <v>45</v>
      </c>
      <c r="U161" s="6" t="s">
        <v>45</v>
      </c>
      <c r="V161" s="1" t="s">
        <v>45</v>
      </c>
      <c r="W161" s="1" t="s">
        <v>45</v>
      </c>
      <c r="X161" s="1" t="s">
        <v>45</v>
      </c>
      <c r="Y161" s="6">
        <f t="shared" si="56"/>
        <v>4.166666666666667</v>
      </c>
    </row>
    <row r="162" spans="1:25" x14ac:dyDescent="0.15">
      <c r="A162" s="3">
        <v>2023</v>
      </c>
      <c r="B162" s="3" t="s">
        <v>33</v>
      </c>
      <c r="C162" s="3">
        <v>9</v>
      </c>
      <c r="D162" s="3">
        <v>6</v>
      </c>
      <c r="E162" s="3" t="s">
        <v>37</v>
      </c>
      <c r="F162" s="3"/>
      <c r="G162" s="3" t="s">
        <v>41</v>
      </c>
      <c r="H162" s="1" t="s">
        <v>77</v>
      </c>
      <c r="I162" s="3">
        <v>1</v>
      </c>
      <c r="J162" s="3" t="s">
        <v>37</v>
      </c>
      <c r="K162" s="1" t="s">
        <v>43</v>
      </c>
      <c r="L162" s="7">
        <v>73</v>
      </c>
      <c r="M162" s="7" t="s">
        <v>45</v>
      </c>
      <c r="N162" s="7" t="s">
        <v>45</v>
      </c>
      <c r="O162" s="6">
        <v>4.0277777777777777</v>
      </c>
      <c r="P162" s="1" t="s">
        <v>45</v>
      </c>
      <c r="Q162" s="6" t="s">
        <v>45</v>
      </c>
      <c r="R162" s="6" t="s">
        <v>45</v>
      </c>
      <c r="S162" s="6" t="s">
        <v>45</v>
      </c>
      <c r="T162" s="6" t="s">
        <v>45</v>
      </c>
      <c r="U162" s="6" t="s">
        <v>45</v>
      </c>
      <c r="V162" s="1" t="s">
        <v>45</v>
      </c>
      <c r="W162" s="1" t="s">
        <v>45</v>
      </c>
      <c r="X162" s="1" t="s">
        <v>45</v>
      </c>
      <c r="Y162" s="6">
        <f t="shared" si="56"/>
        <v>4.0277777777777777</v>
      </c>
    </row>
    <row r="163" spans="1:25" x14ac:dyDescent="0.15">
      <c r="A163" s="3">
        <v>2023</v>
      </c>
      <c r="B163" s="3" t="s">
        <v>33</v>
      </c>
      <c r="C163" s="3">
        <v>9</v>
      </c>
      <c r="D163" s="3">
        <v>7</v>
      </c>
      <c r="E163" s="3"/>
      <c r="F163" s="3" t="s">
        <v>38</v>
      </c>
      <c r="G163" s="3" t="s">
        <v>41</v>
      </c>
      <c r="H163" s="1"/>
      <c r="I163" s="3">
        <v>1</v>
      </c>
      <c r="J163" s="3" t="s">
        <v>38</v>
      </c>
      <c r="K163" s="1" t="s">
        <v>42</v>
      </c>
      <c r="L163" s="7" t="s">
        <v>45</v>
      </c>
      <c r="M163" s="7">
        <v>71</v>
      </c>
      <c r="N163" s="7" t="s">
        <v>45</v>
      </c>
      <c r="O163" s="6" t="s">
        <v>45</v>
      </c>
      <c r="P163" s="1">
        <v>2.916666666666667</v>
      </c>
      <c r="Q163" s="6" t="s">
        <v>45</v>
      </c>
      <c r="R163" s="6" t="s">
        <v>45</v>
      </c>
      <c r="S163" s="6" t="s">
        <v>45</v>
      </c>
      <c r="T163" s="6" t="s">
        <v>45</v>
      </c>
      <c r="U163" s="6" t="s">
        <v>45</v>
      </c>
      <c r="V163" s="1" t="s">
        <v>45</v>
      </c>
      <c r="W163" s="1" t="s">
        <v>45</v>
      </c>
      <c r="X163" s="1" t="s">
        <v>45</v>
      </c>
      <c r="Y163" s="6">
        <f>P163</f>
        <v>2.916666666666667</v>
      </c>
    </row>
    <row r="164" spans="1:25" x14ac:dyDescent="0.15">
      <c r="A164" s="3">
        <v>2023</v>
      </c>
      <c r="B164" s="3" t="s">
        <v>33</v>
      </c>
      <c r="C164" s="3">
        <v>9</v>
      </c>
      <c r="D164" s="3">
        <v>8</v>
      </c>
      <c r="E164" s="3"/>
      <c r="F164" s="3" t="s">
        <v>39</v>
      </c>
      <c r="G164" s="3" t="s">
        <v>41</v>
      </c>
      <c r="H164" s="1"/>
      <c r="I164" s="3">
        <v>1</v>
      </c>
      <c r="J164" s="3" t="s">
        <v>39</v>
      </c>
      <c r="K164" s="1" t="s">
        <v>42</v>
      </c>
      <c r="L164" s="7" t="s">
        <v>45</v>
      </c>
      <c r="M164" s="7">
        <v>69</v>
      </c>
      <c r="N164" s="7" t="s">
        <v>45</v>
      </c>
      <c r="O164" s="6" t="s">
        <v>45</v>
      </c>
      <c r="P164" s="1">
        <v>2.5000000000000004</v>
      </c>
      <c r="Q164" s="6" t="s">
        <v>45</v>
      </c>
      <c r="R164" s="6" t="s">
        <v>45</v>
      </c>
      <c r="S164" s="6" t="s">
        <v>45</v>
      </c>
      <c r="T164" s="6" t="s">
        <v>45</v>
      </c>
      <c r="U164" s="6" t="s">
        <v>45</v>
      </c>
      <c r="V164" s="1" t="s">
        <v>45</v>
      </c>
      <c r="W164" s="1" t="s">
        <v>45</v>
      </c>
      <c r="X164" s="1" t="s">
        <v>45</v>
      </c>
      <c r="Y164" s="6">
        <f t="shared" ref="Y164:Y165" si="57">P164</f>
        <v>2.5000000000000004</v>
      </c>
    </row>
    <row r="165" spans="1:25" x14ac:dyDescent="0.15">
      <c r="A165" s="3">
        <v>2023</v>
      </c>
      <c r="B165" s="3" t="s">
        <v>33</v>
      </c>
      <c r="C165" s="3">
        <v>9</v>
      </c>
      <c r="D165" s="3">
        <v>9</v>
      </c>
      <c r="E165" s="3"/>
      <c r="F165" s="3" t="s">
        <v>40</v>
      </c>
      <c r="G165" s="3" t="s">
        <v>41</v>
      </c>
      <c r="H165" s="1"/>
      <c r="I165" s="3">
        <v>1</v>
      </c>
      <c r="J165" s="3" t="s">
        <v>40</v>
      </c>
      <c r="K165" s="1" t="s">
        <v>42</v>
      </c>
      <c r="L165" s="7" t="s">
        <v>45</v>
      </c>
      <c r="M165" s="7">
        <v>67</v>
      </c>
      <c r="N165" s="7" t="s">
        <v>45</v>
      </c>
      <c r="O165" s="1" t="s">
        <v>45</v>
      </c>
      <c r="P165" s="6">
        <v>2.916666666666667</v>
      </c>
      <c r="Q165" s="6" t="s">
        <v>45</v>
      </c>
      <c r="R165" s="6" t="s">
        <v>45</v>
      </c>
      <c r="S165" s="6" t="s">
        <v>45</v>
      </c>
      <c r="T165" s="6" t="s">
        <v>45</v>
      </c>
      <c r="U165" s="6" t="s">
        <v>45</v>
      </c>
      <c r="V165" s="1" t="s">
        <v>45</v>
      </c>
      <c r="W165" s="1" t="s">
        <v>45</v>
      </c>
      <c r="X165" s="1" t="s">
        <v>45</v>
      </c>
      <c r="Y165" s="6">
        <f t="shared" si="57"/>
        <v>2.916666666666667</v>
      </c>
    </row>
    <row r="166" spans="1:25" x14ac:dyDescent="0.15">
      <c r="A166" s="3">
        <v>2023</v>
      </c>
      <c r="B166" s="3" t="s">
        <v>33</v>
      </c>
      <c r="C166" s="3">
        <v>9</v>
      </c>
      <c r="D166" s="3">
        <v>10</v>
      </c>
      <c r="E166" s="3" t="s">
        <v>35</v>
      </c>
      <c r="F166" s="3" t="s">
        <v>38</v>
      </c>
      <c r="G166" s="3" t="s">
        <v>14</v>
      </c>
      <c r="H166" s="1" t="s">
        <v>35</v>
      </c>
      <c r="I166" s="3">
        <v>1</v>
      </c>
      <c r="J166" s="3" t="s">
        <v>63</v>
      </c>
      <c r="K166" s="1" t="s">
        <v>42</v>
      </c>
      <c r="L166" s="7">
        <v>108</v>
      </c>
      <c r="M166" s="7">
        <v>76</v>
      </c>
      <c r="N166" s="7">
        <f>L166-M166</f>
        <v>32</v>
      </c>
      <c r="O166" s="1">
        <v>1.3888888888888888</v>
      </c>
      <c r="P166" s="6">
        <v>1.9444444444444444</v>
      </c>
      <c r="Q166" s="6">
        <f>O166/(0.1*O157)</f>
        <v>4.1666666666666652</v>
      </c>
      <c r="R166" s="6">
        <f>O166/(0.1*O160)</f>
        <v>3.5714285714285712</v>
      </c>
      <c r="S166" s="6">
        <f>P166/(0.9*P163)</f>
        <v>0.74074074074074059</v>
      </c>
      <c r="T166" s="6">
        <f>Q166+S166</f>
        <v>4.9074074074074057</v>
      </c>
      <c r="U166" s="6">
        <f>R166+S166</f>
        <v>4.3121693121693117</v>
      </c>
      <c r="V166" s="1">
        <f>O166/O157+P166/P163</f>
        <v>1.0833333333333333</v>
      </c>
      <c r="W166" s="1">
        <f>O166/O160+P166/P163</f>
        <v>1.0238095238095237</v>
      </c>
      <c r="X166" s="1">
        <f t="shared" ref="X166:X174" si="58">100*ROUND(P166/(P166+O166), 2)</f>
        <v>57.999999999999993</v>
      </c>
      <c r="Y166" s="6">
        <f t="shared" ref="Y166:Y174" si="59">O166+P166</f>
        <v>3.333333333333333</v>
      </c>
    </row>
    <row r="167" spans="1:25" x14ac:dyDescent="0.15">
      <c r="A167" s="3">
        <v>2023</v>
      </c>
      <c r="B167" s="3" t="s">
        <v>33</v>
      </c>
      <c r="C167" s="3">
        <v>9</v>
      </c>
      <c r="D167" s="3">
        <v>11</v>
      </c>
      <c r="E167" s="3" t="s">
        <v>35</v>
      </c>
      <c r="F167" s="3" t="s">
        <v>39</v>
      </c>
      <c r="G167" s="3" t="s">
        <v>14</v>
      </c>
      <c r="H167" s="1" t="s">
        <v>35</v>
      </c>
      <c r="I167" s="3">
        <v>1</v>
      </c>
      <c r="J167" s="3" t="s">
        <v>64</v>
      </c>
      <c r="K167" s="1" t="s">
        <v>42</v>
      </c>
      <c r="L167" s="7">
        <v>104</v>
      </c>
      <c r="M167" s="7">
        <v>72</v>
      </c>
      <c r="N167" s="7">
        <f t="shared" ref="N167:N174" si="60">L167-M167</f>
        <v>32</v>
      </c>
      <c r="O167" s="1">
        <v>1.666666666666667</v>
      </c>
      <c r="P167" s="6">
        <v>2.2222222222222228</v>
      </c>
      <c r="Q167" s="6">
        <f>O167/(0.1*O157)</f>
        <v>4.9999999999999991</v>
      </c>
      <c r="R167" s="6">
        <f>O167/(0.1*O160)</f>
        <v>4.2857142857142865</v>
      </c>
      <c r="S167" s="6">
        <f>P167/(0.9*P164)</f>
        <v>0.98765432098765438</v>
      </c>
      <c r="T167" s="6">
        <f t="shared" ref="T167:T174" si="61">Q167+S167</f>
        <v>5.9876543209876534</v>
      </c>
      <c r="U167" s="6">
        <f t="shared" ref="U167:U174" si="62">R167+S167</f>
        <v>5.2733686067019407</v>
      </c>
      <c r="V167" s="1">
        <f>O167/O157+P167/P164</f>
        <v>1.3888888888888888</v>
      </c>
      <c r="W167" s="1">
        <f>O167/O160+P167/P164</f>
        <v>1.3174603174603177</v>
      </c>
      <c r="X167" s="1">
        <f t="shared" si="58"/>
        <v>56.999999999999993</v>
      </c>
      <c r="Y167" s="6">
        <f t="shared" si="59"/>
        <v>3.8888888888888897</v>
      </c>
    </row>
    <row r="168" spans="1:25" x14ac:dyDescent="0.15">
      <c r="A168" s="3">
        <v>2023</v>
      </c>
      <c r="B168" s="3" t="s">
        <v>33</v>
      </c>
      <c r="C168" s="3">
        <v>9</v>
      </c>
      <c r="D168" s="3">
        <v>12</v>
      </c>
      <c r="E168" s="3" t="s">
        <v>35</v>
      </c>
      <c r="F168" s="3" t="s">
        <v>40</v>
      </c>
      <c r="G168" s="3" t="s">
        <v>14</v>
      </c>
      <c r="H168" s="1" t="s">
        <v>35</v>
      </c>
      <c r="I168" s="3">
        <v>1</v>
      </c>
      <c r="J168" s="3" t="s">
        <v>65</v>
      </c>
      <c r="K168" s="1" t="s">
        <v>42</v>
      </c>
      <c r="L168" s="7">
        <v>113</v>
      </c>
      <c r="M168" s="7">
        <v>76</v>
      </c>
      <c r="N168" s="7">
        <f t="shared" si="60"/>
        <v>37</v>
      </c>
      <c r="O168" s="6">
        <v>1.3888888888888888</v>
      </c>
      <c r="P168" s="6">
        <v>1.8055555555555558</v>
      </c>
      <c r="Q168" s="6">
        <f>O168/(0.1*O157)</f>
        <v>4.1666666666666652</v>
      </c>
      <c r="R168" s="6">
        <f>O168/(0.1*O160)</f>
        <v>3.5714285714285712</v>
      </c>
      <c r="S168" s="6">
        <f>P168/(0.9*P165)</f>
        <v>0.68783068783068779</v>
      </c>
      <c r="T168" s="6">
        <f t="shared" si="61"/>
        <v>4.8544973544973526</v>
      </c>
      <c r="U168" s="6">
        <f t="shared" si="62"/>
        <v>4.2592592592592586</v>
      </c>
      <c r="V168" s="1">
        <f>O168/O157+P168/P165</f>
        <v>1.0357142857142856</v>
      </c>
      <c r="W168" s="1">
        <f>O168/O160+P168/P165</f>
        <v>0.97619047619047628</v>
      </c>
      <c r="X168" s="1">
        <f t="shared" si="58"/>
        <v>56.999999999999993</v>
      </c>
      <c r="Y168" s="6">
        <f t="shared" si="59"/>
        <v>3.1944444444444446</v>
      </c>
    </row>
    <row r="169" spans="1:25" x14ac:dyDescent="0.15">
      <c r="A169" s="3">
        <v>2023</v>
      </c>
      <c r="B169" s="3" t="s">
        <v>33</v>
      </c>
      <c r="C169" s="3">
        <v>9</v>
      </c>
      <c r="D169" s="3">
        <v>13</v>
      </c>
      <c r="E169" s="3" t="s">
        <v>36</v>
      </c>
      <c r="F169" s="3" t="s">
        <v>38</v>
      </c>
      <c r="G169" s="3" t="s">
        <v>14</v>
      </c>
      <c r="H169" s="1" t="s">
        <v>36</v>
      </c>
      <c r="I169" s="3">
        <v>1</v>
      </c>
      <c r="J169" s="3" t="s">
        <v>66</v>
      </c>
      <c r="K169" s="1" t="s">
        <v>42</v>
      </c>
      <c r="L169" s="7">
        <v>105</v>
      </c>
      <c r="M169" s="7">
        <v>79</v>
      </c>
      <c r="N169" s="7">
        <f t="shared" si="60"/>
        <v>26</v>
      </c>
      <c r="O169" s="6">
        <v>1.2500000000000002</v>
      </c>
      <c r="P169" s="6">
        <v>2.0833333333333335</v>
      </c>
      <c r="Q169" s="6">
        <f>O169/(0.1*O158)</f>
        <v>3.9130434782608701</v>
      </c>
      <c r="R169" s="6">
        <f>O169/(0.1*O161)</f>
        <v>3</v>
      </c>
      <c r="S169" s="6">
        <f>P169/(0.9*P163)</f>
        <v>0.79365079365079361</v>
      </c>
      <c r="T169" s="6">
        <f t="shared" si="61"/>
        <v>4.7066942719116636</v>
      </c>
      <c r="U169" s="6">
        <f t="shared" si="62"/>
        <v>3.7936507936507935</v>
      </c>
      <c r="V169" s="1">
        <f>O169/O158+P169/P163</f>
        <v>1.1055900621118013</v>
      </c>
      <c r="W169" s="1">
        <f>O169/O161+P169/P163</f>
        <v>1.0142857142857142</v>
      </c>
      <c r="X169" s="1">
        <f t="shared" si="58"/>
        <v>63</v>
      </c>
      <c r="Y169" s="6">
        <f t="shared" si="59"/>
        <v>3.3333333333333339</v>
      </c>
    </row>
    <row r="170" spans="1:25" x14ac:dyDescent="0.15">
      <c r="A170" s="3">
        <v>2023</v>
      </c>
      <c r="B170" s="3" t="s">
        <v>33</v>
      </c>
      <c r="C170" s="3">
        <v>9</v>
      </c>
      <c r="D170" s="3">
        <v>14</v>
      </c>
      <c r="E170" s="3" t="s">
        <v>36</v>
      </c>
      <c r="F170" s="3" t="s">
        <v>39</v>
      </c>
      <c r="G170" s="3" t="s">
        <v>14</v>
      </c>
      <c r="H170" s="1" t="s">
        <v>36</v>
      </c>
      <c r="I170" s="3">
        <v>1</v>
      </c>
      <c r="J170" s="3" t="s">
        <v>67</v>
      </c>
      <c r="K170" s="1" t="s">
        <v>42</v>
      </c>
      <c r="L170" s="7">
        <v>93</v>
      </c>
      <c r="M170" s="7">
        <v>64</v>
      </c>
      <c r="N170" s="7">
        <f t="shared" si="60"/>
        <v>29</v>
      </c>
      <c r="O170" s="6">
        <v>1.5277777777777781</v>
      </c>
      <c r="P170" s="6">
        <v>2.2222222222222228</v>
      </c>
      <c r="Q170" s="6">
        <f>O170/(0.1*O158)</f>
        <v>4.7826086956521747</v>
      </c>
      <c r="R170" s="6">
        <f>O170/(0.1*O161)</f>
        <v>3.666666666666667</v>
      </c>
      <c r="S170" s="6">
        <f>P170/(0.9*P164)</f>
        <v>0.98765432098765438</v>
      </c>
      <c r="T170" s="6">
        <f t="shared" si="61"/>
        <v>5.770263016639829</v>
      </c>
      <c r="U170" s="6">
        <f t="shared" si="62"/>
        <v>4.6543209876543212</v>
      </c>
      <c r="V170" s="1">
        <f>O170/O158+P170/P164</f>
        <v>1.3671497584541064</v>
      </c>
      <c r="W170" s="1">
        <f>O170/O161+P170/P164</f>
        <v>1.2555555555555555</v>
      </c>
      <c r="X170" s="1">
        <f t="shared" si="58"/>
        <v>59</v>
      </c>
      <c r="Y170" s="6">
        <f t="shared" si="59"/>
        <v>3.7500000000000009</v>
      </c>
    </row>
    <row r="171" spans="1:25" x14ac:dyDescent="0.15">
      <c r="A171" s="3">
        <v>2023</v>
      </c>
      <c r="B171" s="3" t="s">
        <v>33</v>
      </c>
      <c r="C171" s="3">
        <v>9</v>
      </c>
      <c r="D171" s="3">
        <v>15</v>
      </c>
      <c r="E171" s="3" t="s">
        <v>36</v>
      </c>
      <c r="F171" s="3" t="s">
        <v>40</v>
      </c>
      <c r="G171" s="3" t="s">
        <v>14</v>
      </c>
      <c r="H171" s="1" t="s">
        <v>36</v>
      </c>
      <c r="I171" s="3">
        <v>1</v>
      </c>
      <c r="J171" s="3" t="s">
        <v>68</v>
      </c>
      <c r="K171" s="1" t="s">
        <v>42</v>
      </c>
      <c r="L171" s="7">
        <v>101</v>
      </c>
      <c r="M171" s="7">
        <v>70</v>
      </c>
      <c r="N171" s="7">
        <f t="shared" si="60"/>
        <v>31</v>
      </c>
      <c r="O171" s="6">
        <v>1.5277777777777781</v>
      </c>
      <c r="P171" s="6">
        <v>1.9444444444444444</v>
      </c>
      <c r="Q171" s="6">
        <f>O171/(0.1*O158)</f>
        <v>4.7826086956521747</v>
      </c>
      <c r="R171" s="6">
        <f>O171/(0.1*O161)</f>
        <v>3.666666666666667</v>
      </c>
      <c r="S171" s="6">
        <f>P171/(0.9*P165)</f>
        <v>0.74074074074074059</v>
      </c>
      <c r="T171" s="6">
        <f t="shared" si="61"/>
        <v>5.5233494363929152</v>
      </c>
      <c r="U171" s="6">
        <f t="shared" si="62"/>
        <v>4.4074074074074074</v>
      </c>
      <c r="V171" s="1">
        <f>O171/O158+P171/P165</f>
        <v>1.144927536231884</v>
      </c>
      <c r="W171" s="1">
        <f>O171/O161+P171/P165</f>
        <v>1.0333333333333332</v>
      </c>
      <c r="X171" s="1">
        <f t="shared" si="58"/>
        <v>56.000000000000007</v>
      </c>
      <c r="Y171" s="6">
        <f t="shared" si="59"/>
        <v>3.4722222222222223</v>
      </c>
    </row>
    <row r="172" spans="1:25" x14ac:dyDescent="0.15">
      <c r="A172" s="3">
        <v>2023</v>
      </c>
      <c r="B172" s="3" t="s">
        <v>33</v>
      </c>
      <c r="C172" s="3">
        <v>9</v>
      </c>
      <c r="D172" s="3">
        <v>16</v>
      </c>
      <c r="E172" s="3" t="s">
        <v>37</v>
      </c>
      <c r="F172" s="3" t="s">
        <v>38</v>
      </c>
      <c r="G172" s="3" t="s">
        <v>14</v>
      </c>
      <c r="H172" s="1" t="s">
        <v>37</v>
      </c>
      <c r="I172" s="3">
        <v>1</v>
      </c>
      <c r="J172" s="3" t="s">
        <v>69</v>
      </c>
      <c r="K172" s="1" t="s">
        <v>42</v>
      </c>
      <c r="L172" s="7">
        <v>73</v>
      </c>
      <c r="M172" s="7">
        <v>74</v>
      </c>
      <c r="N172" s="7">
        <f t="shared" si="60"/>
        <v>-1</v>
      </c>
      <c r="O172" s="6">
        <v>0.83333333333333348</v>
      </c>
      <c r="P172" s="6">
        <v>2.6388888888888888</v>
      </c>
      <c r="Q172" s="6">
        <f>O172/(0.1*O159)</f>
        <v>3.0000000000000004</v>
      </c>
      <c r="R172" s="6">
        <f>O172/(0.1*O162)</f>
        <v>2.0689655172413794</v>
      </c>
      <c r="S172" s="6">
        <f>P172/(0.9*P163)</f>
        <v>1.0052910052910051</v>
      </c>
      <c r="T172" s="6">
        <f t="shared" si="61"/>
        <v>4.0052910052910056</v>
      </c>
      <c r="U172" s="6">
        <f t="shared" si="62"/>
        <v>3.0742565225323846</v>
      </c>
      <c r="V172" s="1">
        <f>O172/O159+P172/P163</f>
        <v>1.2047619047619047</v>
      </c>
      <c r="W172" s="1">
        <f>O172/O162+P172/P163</f>
        <v>1.1116584564860426</v>
      </c>
      <c r="X172" s="1">
        <f t="shared" si="58"/>
        <v>76</v>
      </c>
      <c r="Y172" s="6">
        <f t="shared" si="59"/>
        <v>3.4722222222222223</v>
      </c>
    </row>
    <row r="173" spans="1:25" x14ac:dyDescent="0.15">
      <c r="A173" s="3">
        <v>2023</v>
      </c>
      <c r="B173" s="3" t="s">
        <v>33</v>
      </c>
      <c r="C173" s="3">
        <v>9</v>
      </c>
      <c r="D173" s="3">
        <v>17</v>
      </c>
      <c r="E173" s="3" t="s">
        <v>37</v>
      </c>
      <c r="F173" s="3" t="s">
        <v>39</v>
      </c>
      <c r="G173" s="3" t="s">
        <v>14</v>
      </c>
      <c r="H173" s="1" t="s">
        <v>37</v>
      </c>
      <c r="I173" s="3">
        <v>1</v>
      </c>
      <c r="J173" s="3" t="s">
        <v>70</v>
      </c>
      <c r="K173" s="1" t="s">
        <v>42</v>
      </c>
      <c r="L173" s="7">
        <v>70</v>
      </c>
      <c r="M173" s="7">
        <v>71</v>
      </c>
      <c r="N173" s="7">
        <f t="shared" si="60"/>
        <v>-1</v>
      </c>
      <c r="O173" s="6">
        <v>1.2500000000000002</v>
      </c>
      <c r="P173" s="6">
        <v>2.0833333333333335</v>
      </c>
      <c r="Q173" s="6">
        <f>O173/(0.1*O159)</f>
        <v>4.5000000000000009</v>
      </c>
      <c r="R173" s="6">
        <f>O173/(0.1*O162)</f>
        <v>3.1034482758620694</v>
      </c>
      <c r="S173" s="6">
        <f>P173/(0.9*P164)</f>
        <v>0.92592592592592582</v>
      </c>
      <c r="T173" s="6">
        <f t="shared" si="61"/>
        <v>5.4259259259259265</v>
      </c>
      <c r="U173" s="6">
        <f t="shared" si="62"/>
        <v>4.029374201787995</v>
      </c>
      <c r="V173" s="1">
        <f>O173/O159+P173/P164</f>
        <v>1.2833333333333334</v>
      </c>
      <c r="W173" s="1">
        <f>O173/O162+P173/P164</f>
        <v>1.1436781609195403</v>
      </c>
      <c r="X173" s="1">
        <f t="shared" si="58"/>
        <v>63</v>
      </c>
      <c r="Y173" s="6">
        <f t="shared" si="59"/>
        <v>3.3333333333333339</v>
      </c>
    </row>
    <row r="174" spans="1:25" x14ac:dyDescent="0.15">
      <c r="A174" s="3">
        <v>2023</v>
      </c>
      <c r="B174" s="3" t="s">
        <v>33</v>
      </c>
      <c r="C174" s="3">
        <v>9</v>
      </c>
      <c r="D174" s="3">
        <v>18</v>
      </c>
      <c r="E174" s="3" t="s">
        <v>37</v>
      </c>
      <c r="F174" s="3" t="s">
        <v>40</v>
      </c>
      <c r="G174" s="3" t="s">
        <v>14</v>
      </c>
      <c r="H174" s="1" t="s">
        <v>37</v>
      </c>
      <c r="I174" s="3">
        <v>1</v>
      </c>
      <c r="J174" s="3" t="s">
        <v>71</v>
      </c>
      <c r="K174" s="1" t="s">
        <v>42</v>
      </c>
      <c r="L174" s="7">
        <v>79</v>
      </c>
      <c r="M174" s="7">
        <v>75</v>
      </c>
      <c r="N174" s="7">
        <f t="shared" si="60"/>
        <v>4</v>
      </c>
      <c r="O174" s="6">
        <v>0.97222222222222221</v>
      </c>
      <c r="P174" s="6">
        <v>2.2222222222222228</v>
      </c>
      <c r="Q174" s="6">
        <f>O174/(0.1*O159)</f>
        <v>3.5</v>
      </c>
      <c r="R174" s="6">
        <f>O174/(0.1*O162)</f>
        <v>2.4137931034482758</v>
      </c>
      <c r="S174" s="6">
        <f>P174/(0.9*P165)</f>
        <v>0.84656084656084662</v>
      </c>
      <c r="T174" s="6">
        <f t="shared" si="61"/>
        <v>4.3465608465608465</v>
      </c>
      <c r="U174" s="6">
        <f t="shared" si="62"/>
        <v>3.2603539500091223</v>
      </c>
      <c r="V174" s="1">
        <f>O174/O159+P174/P165</f>
        <v>1.111904761904762</v>
      </c>
      <c r="W174" s="1">
        <f>O174/O162+P174/P165</f>
        <v>1.0032840722495895</v>
      </c>
      <c r="X174" s="1">
        <f t="shared" si="58"/>
        <v>70</v>
      </c>
      <c r="Y174" s="6">
        <f t="shared" si="59"/>
        <v>3.1944444444444451</v>
      </c>
    </row>
    <row r="175" spans="1:25" x14ac:dyDescent="0.15">
      <c r="A175" s="3">
        <v>2023</v>
      </c>
      <c r="B175" s="3" t="s">
        <v>33</v>
      </c>
      <c r="C175" s="3">
        <v>10</v>
      </c>
      <c r="D175" s="3">
        <v>1</v>
      </c>
      <c r="E175" s="3" t="s">
        <v>35</v>
      </c>
      <c r="F175" s="3"/>
      <c r="G175" s="3" t="s">
        <v>41</v>
      </c>
      <c r="H175" s="1" t="s">
        <v>35</v>
      </c>
      <c r="I175" s="3">
        <v>2</v>
      </c>
      <c r="J175" s="3" t="s">
        <v>35</v>
      </c>
      <c r="K175" s="1" t="s">
        <v>42</v>
      </c>
      <c r="L175" s="7">
        <v>62</v>
      </c>
      <c r="M175" s="7" t="s">
        <v>45</v>
      </c>
      <c r="N175" s="7" t="s">
        <v>45</v>
      </c>
      <c r="O175" s="6">
        <v>2.2222222222222228</v>
      </c>
      <c r="P175" s="1" t="s">
        <v>45</v>
      </c>
      <c r="Q175" s="6" t="s">
        <v>45</v>
      </c>
      <c r="R175" s="6" t="s">
        <v>45</v>
      </c>
      <c r="S175" s="6" t="s">
        <v>45</v>
      </c>
      <c r="T175" s="6" t="s">
        <v>45</v>
      </c>
      <c r="U175" s="6" t="s">
        <v>45</v>
      </c>
      <c r="V175" s="1" t="s">
        <v>45</v>
      </c>
      <c r="W175" s="1" t="s">
        <v>45</v>
      </c>
      <c r="X175" s="6" t="s">
        <v>45</v>
      </c>
      <c r="Y175" s="6">
        <f>O175</f>
        <v>2.2222222222222228</v>
      </c>
    </row>
    <row r="176" spans="1:25" x14ac:dyDescent="0.15">
      <c r="A176" s="3">
        <v>2023</v>
      </c>
      <c r="B176" s="3" t="s">
        <v>33</v>
      </c>
      <c r="C176" s="3">
        <v>10</v>
      </c>
      <c r="D176" s="3">
        <v>2</v>
      </c>
      <c r="E176" s="3" t="s">
        <v>36</v>
      </c>
      <c r="F176" s="3"/>
      <c r="G176" s="3" t="s">
        <v>41</v>
      </c>
      <c r="H176" s="1" t="s">
        <v>36</v>
      </c>
      <c r="I176" s="3">
        <v>2</v>
      </c>
      <c r="J176" s="3" t="s">
        <v>36</v>
      </c>
      <c r="K176" s="1" t="s">
        <v>42</v>
      </c>
      <c r="L176" s="7">
        <v>64</v>
      </c>
      <c r="M176" s="7" t="s">
        <v>45</v>
      </c>
      <c r="N176" s="7" t="s">
        <v>45</v>
      </c>
      <c r="O176" s="6">
        <v>3.3333333333333339</v>
      </c>
      <c r="P176" s="1" t="s">
        <v>45</v>
      </c>
      <c r="Q176" s="6" t="s">
        <v>45</v>
      </c>
      <c r="R176" s="6" t="s">
        <v>45</v>
      </c>
      <c r="S176" s="6" t="s">
        <v>45</v>
      </c>
      <c r="T176" s="6" t="s">
        <v>45</v>
      </c>
      <c r="U176" s="6" t="s">
        <v>45</v>
      </c>
      <c r="V176" s="1" t="s">
        <v>45</v>
      </c>
      <c r="W176" s="1" t="s">
        <v>45</v>
      </c>
      <c r="X176" s="6" t="s">
        <v>45</v>
      </c>
      <c r="Y176" s="6">
        <f t="shared" ref="Y176:Y180" si="63">O176</f>
        <v>3.3333333333333339</v>
      </c>
    </row>
    <row r="177" spans="1:25" x14ac:dyDescent="0.15">
      <c r="A177" s="3">
        <v>2023</v>
      </c>
      <c r="B177" s="3" t="s">
        <v>33</v>
      </c>
      <c r="C177" s="3">
        <v>10</v>
      </c>
      <c r="D177" s="3">
        <v>3</v>
      </c>
      <c r="E177" s="3" t="s">
        <v>37</v>
      </c>
      <c r="F177" s="3"/>
      <c r="G177" s="3" t="s">
        <v>41</v>
      </c>
      <c r="H177" s="1" t="s">
        <v>37</v>
      </c>
      <c r="I177" s="3">
        <v>2</v>
      </c>
      <c r="J177" s="3" t="s">
        <v>37</v>
      </c>
      <c r="K177" s="1" t="s">
        <v>42</v>
      </c>
      <c r="L177" s="7">
        <v>54</v>
      </c>
      <c r="M177" s="7" t="s">
        <v>45</v>
      </c>
      <c r="N177" s="7" t="s">
        <v>45</v>
      </c>
      <c r="O177" s="6">
        <v>2.916666666666667</v>
      </c>
      <c r="P177" s="1" t="s">
        <v>45</v>
      </c>
      <c r="Q177" s="6" t="s">
        <v>45</v>
      </c>
      <c r="R177" s="6" t="s">
        <v>45</v>
      </c>
      <c r="S177" s="6" t="s">
        <v>45</v>
      </c>
      <c r="T177" s="6" t="s">
        <v>45</v>
      </c>
      <c r="U177" s="6" t="s">
        <v>45</v>
      </c>
      <c r="V177" s="1" t="s">
        <v>45</v>
      </c>
      <c r="W177" s="1" t="s">
        <v>45</v>
      </c>
      <c r="X177" s="6" t="s">
        <v>45</v>
      </c>
      <c r="Y177" s="6">
        <f t="shared" si="63"/>
        <v>2.916666666666667</v>
      </c>
    </row>
    <row r="178" spans="1:25" x14ac:dyDescent="0.15">
      <c r="A178" s="3">
        <v>2023</v>
      </c>
      <c r="B178" s="3" t="s">
        <v>33</v>
      </c>
      <c r="C178" s="3">
        <v>10</v>
      </c>
      <c r="D178" s="3">
        <v>4</v>
      </c>
      <c r="E178" s="3" t="s">
        <v>35</v>
      </c>
      <c r="F178" s="3"/>
      <c r="G178" s="3" t="s">
        <v>41</v>
      </c>
      <c r="H178" s="1" t="s">
        <v>75</v>
      </c>
      <c r="I178" s="3">
        <v>2</v>
      </c>
      <c r="J178" s="3" t="s">
        <v>35</v>
      </c>
      <c r="K178" s="1" t="s">
        <v>43</v>
      </c>
      <c r="L178" s="7">
        <v>97</v>
      </c>
      <c r="M178" s="7" t="s">
        <v>45</v>
      </c>
      <c r="N178" s="7" t="s">
        <v>45</v>
      </c>
      <c r="O178" s="1">
        <v>4.166666666666667</v>
      </c>
      <c r="P178" s="6" t="s">
        <v>45</v>
      </c>
      <c r="Q178" s="6" t="s">
        <v>45</v>
      </c>
      <c r="R178" s="6" t="s">
        <v>45</v>
      </c>
      <c r="S178" s="6" t="s">
        <v>45</v>
      </c>
      <c r="T178" s="6" t="s">
        <v>45</v>
      </c>
      <c r="U178" s="6" t="s">
        <v>45</v>
      </c>
      <c r="V178" s="1" t="s">
        <v>45</v>
      </c>
      <c r="W178" s="1" t="s">
        <v>45</v>
      </c>
      <c r="X178" s="1" t="s">
        <v>45</v>
      </c>
      <c r="Y178" s="6">
        <f t="shared" si="63"/>
        <v>4.166666666666667</v>
      </c>
    </row>
    <row r="179" spans="1:25" x14ac:dyDescent="0.15">
      <c r="A179" s="3">
        <v>2023</v>
      </c>
      <c r="B179" s="3" t="s">
        <v>33</v>
      </c>
      <c r="C179" s="3">
        <v>10</v>
      </c>
      <c r="D179" s="3">
        <v>5</v>
      </c>
      <c r="E179" s="3" t="s">
        <v>36</v>
      </c>
      <c r="F179" s="3"/>
      <c r="G179" s="3" t="s">
        <v>41</v>
      </c>
      <c r="H179" s="1" t="s">
        <v>76</v>
      </c>
      <c r="I179" s="3">
        <v>2</v>
      </c>
      <c r="J179" s="3" t="s">
        <v>36</v>
      </c>
      <c r="K179" s="1" t="s">
        <v>43</v>
      </c>
      <c r="L179" s="7">
        <v>77</v>
      </c>
      <c r="M179" s="7" t="s">
        <v>45</v>
      </c>
      <c r="N179" s="7" t="s">
        <v>45</v>
      </c>
      <c r="O179" s="1">
        <v>3.8888888888888888</v>
      </c>
      <c r="P179" s="6" t="s">
        <v>45</v>
      </c>
      <c r="Q179" s="6" t="s">
        <v>45</v>
      </c>
      <c r="R179" s="6" t="s">
        <v>45</v>
      </c>
      <c r="S179" s="6" t="s">
        <v>45</v>
      </c>
      <c r="T179" s="6" t="s">
        <v>45</v>
      </c>
      <c r="U179" s="6" t="s">
        <v>45</v>
      </c>
      <c r="V179" s="1" t="s">
        <v>45</v>
      </c>
      <c r="W179" s="1" t="s">
        <v>45</v>
      </c>
      <c r="X179" s="1" t="s">
        <v>45</v>
      </c>
      <c r="Y179" s="6">
        <f t="shared" si="63"/>
        <v>3.8888888888888888</v>
      </c>
    </row>
    <row r="180" spans="1:25" x14ac:dyDescent="0.15">
      <c r="A180" s="3">
        <v>2023</v>
      </c>
      <c r="B180" s="3" t="s">
        <v>33</v>
      </c>
      <c r="C180" s="3">
        <v>10</v>
      </c>
      <c r="D180" s="3">
        <v>6</v>
      </c>
      <c r="E180" s="3" t="s">
        <v>37</v>
      </c>
      <c r="F180" s="3"/>
      <c r="G180" s="3" t="s">
        <v>41</v>
      </c>
      <c r="H180" s="1" t="s">
        <v>77</v>
      </c>
      <c r="I180" s="3">
        <v>2</v>
      </c>
      <c r="J180" s="3" t="s">
        <v>37</v>
      </c>
      <c r="K180" s="1" t="s">
        <v>43</v>
      </c>
      <c r="L180" s="7">
        <v>68</v>
      </c>
      <c r="M180" s="7" t="s">
        <v>45</v>
      </c>
      <c r="N180" s="7" t="s">
        <v>45</v>
      </c>
      <c r="O180" s="1">
        <v>4.4444444444444455</v>
      </c>
      <c r="P180" s="6" t="s">
        <v>45</v>
      </c>
      <c r="Q180" s="6" t="s">
        <v>45</v>
      </c>
      <c r="R180" s="6" t="s">
        <v>45</v>
      </c>
      <c r="S180" s="6" t="s">
        <v>45</v>
      </c>
      <c r="T180" s="6" t="s">
        <v>45</v>
      </c>
      <c r="U180" s="6" t="s">
        <v>45</v>
      </c>
      <c r="V180" s="1" t="s">
        <v>45</v>
      </c>
      <c r="W180" s="1" t="s">
        <v>45</v>
      </c>
      <c r="X180" s="1" t="s">
        <v>45</v>
      </c>
      <c r="Y180" s="6">
        <f t="shared" si="63"/>
        <v>4.4444444444444455</v>
      </c>
    </row>
    <row r="181" spans="1:25" x14ac:dyDescent="0.15">
      <c r="A181" s="3">
        <v>2023</v>
      </c>
      <c r="B181" s="3" t="s">
        <v>33</v>
      </c>
      <c r="C181" s="3">
        <v>10</v>
      </c>
      <c r="D181" s="3">
        <v>7</v>
      </c>
      <c r="E181" s="3"/>
      <c r="F181" s="3" t="s">
        <v>38</v>
      </c>
      <c r="G181" s="3" t="s">
        <v>41</v>
      </c>
      <c r="H181" s="1"/>
      <c r="I181" s="3">
        <v>2</v>
      </c>
      <c r="J181" s="3" t="s">
        <v>38</v>
      </c>
      <c r="K181" s="1" t="s">
        <v>42</v>
      </c>
      <c r="L181" s="7" t="s">
        <v>45</v>
      </c>
      <c r="M181" s="7">
        <v>73</v>
      </c>
      <c r="N181" s="7" t="s">
        <v>45</v>
      </c>
      <c r="O181" s="6" t="s">
        <v>45</v>
      </c>
      <c r="P181" s="6">
        <v>3.3333333333333339</v>
      </c>
      <c r="Q181" s="6" t="s">
        <v>45</v>
      </c>
      <c r="R181" s="6" t="s">
        <v>45</v>
      </c>
      <c r="S181" s="6" t="s">
        <v>45</v>
      </c>
      <c r="T181" s="6" t="s">
        <v>45</v>
      </c>
      <c r="U181" s="6" t="s">
        <v>45</v>
      </c>
      <c r="V181" s="1" t="s">
        <v>45</v>
      </c>
      <c r="W181" s="1" t="s">
        <v>45</v>
      </c>
      <c r="X181" s="1" t="s">
        <v>45</v>
      </c>
      <c r="Y181" s="6">
        <f>P181</f>
        <v>3.3333333333333339</v>
      </c>
    </row>
    <row r="182" spans="1:25" x14ac:dyDescent="0.15">
      <c r="A182" s="3">
        <v>2023</v>
      </c>
      <c r="B182" s="3" t="s">
        <v>33</v>
      </c>
      <c r="C182" s="3">
        <v>10</v>
      </c>
      <c r="D182" s="3">
        <v>8</v>
      </c>
      <c r="E182" s="3"/>
      <c r="F182" s="3" t="s">
        <v>39</v>
      </c>
      <c r="G182" s="3" t="s">
        <v>41</v>
      </c>
      <c r="H182" s="1"/>
      <c r="I182" s="3">
        <v>2</v>
      </c>
      <c r="J182" s="3" t="s">
        <v>39</v>
      </c>
      <c r="K182" s="1" t="s">
        <v>42</v>
      </c>
      <c r="L182" s="7" t="s">
        <v>45</v>
      </c>
      <c r="M182" s="7">
        <v>63</v>
      </c>
      <c r="N182" s="7" t="s">
        <v>45</v>
      </c>
      <c r="O182" s="6" t="s">
        <v>45</v>
      </c>
      <c r="P182" s="6">
        <v>3.0555555555555562</v>
      </c>
      <c r="Q182" s="6" t="s">
        <v>45</v>
      </c>
      <c r="R182" s="6" t="s">
        <v>45</v>
      </c>
      <c r="S182" s="6" t="s">
        <v>45</v>
      </c>
      <c r="T182" s="6" t="s">
        <v>45</v>
      </c>
      <c r="U182" s="6" t="s">
        <v>45</v>
      </c>
      <c r="V182" s="1" t="s">
        <v>45</v>
      </c>
      <c r="W182" s="1" t="s">
        <v>45</v>
      </c>
      <c r="X182" s="1" t="s">
        <v>45</v>
      </c>
      <c r="Y182" s="6">
        <f t="shared" ref="Y182:Y183" si="64">P182</f>
        <v>3.0555555555555562</v>
      </c>
    </row>
    <row r="183" spans="1:25" x14ac:dyDescent="0.15">
      <c r="A183" s="3">
        <v>2023</v>
      </c>
      <c r="B183" s="3" t="s">
        <v>33</v>
      </c>
      <c r="C183" s="3">
        <v>10</v>
      </c>
      <c r="D183" s="3">
        <v>9</v>
      </c>
      <c r="E183" s="3"/>
      <c r="F183" s="3" t="s">
        <v>40</v>
      </c>
      <c r="G183" s="3" t="s">
        <v>41</v>
      </c>
      <c r="H183" s="1"/>
      <c r="I183" s="3">
        <v>2</v>
      </c>
      <c r="J183" s="3" t="s">
        <v>40</v>
      </c>
      <c r="K183" s="1" t="s">
        <v>42</v>
      </c>
      <c r="L183" s="7" t="s">
        <v>45</v>
      </c>
      <c r="M183" s="7">
        <v>78</v>
      </c>
      <c r="N183" s="7" t="s">
        <v>45</v>
      </c>
      <c r="O183" s="6" t="s">
        <v>45</v>
      </c>
      <c r="P183" s="6">
        <v>3.3333333333333339</v>
      </c>
      <c r="Q183" s="6" t="s">
        <v>45</v>
      </c>
      <c r="R183" s="6" t="s">
        <v>45</v>
      </c>
      <c r="S183" s="6" t="s">
        <v>45</v>
      </c>
      <c r="T183" s="6" t="s">
        <v>45</v>
      </c>
      <c r="U183" s="6" t="s">
        <v>45</v>
      </c>
      <c r="V183" s="1" t="s">
        <v>45</v>
      </c>
      <c r="W183" s="1" t="s">
        <v>45</v>
      </c>
      <c r="X183" s="1" t="s">
        <v>45</v>
      </c>
      <c r="Y183" s="6">
        <f t="shared" si="64"/>
        <v>3.3333333333333339</v>
      </c>
    </row>
    <row r="184" spans="1:25" x14ac:dyDescent="0.15">
      <c r="A184" s="3">
        <v>2023</v>
      </c>
      <c r="B184" s="3" t="s">
        <v>33</v>
      </c>
      <c r="C184" s="3">
        <v>10</v>
      </c>
      <c r="D184" s="3">
        <v>10</v>
      </c>
      <c r="E184" s="3" t="s">
        <v>35</v>
      </c>
      <c r="F184" s="3" t="s">
        <v>38</v>
      </c>
      <c r="G184" s="3" t="s">
        <v>14</v>
      </c>
      <c r="H184" s="1" t="s">
        <v>35</v>
      </c>
      <c r="I184" s="3">
        <v>2</v>
      </c>
      <c r="J184" s="3" t="s">
        <v>63</v>
      </c>
      <c r="K184" s="1" t="s">
        <v>42</v>
      </c>
      <c r="L184" s="7">
        <v>117</v>
      </c>
      <c r="M184" s="7">
        <v>82</v>
      </c>
      <c r="N184" s="7">
        <f>L184-M184</f>
        <v>35</v>
      </c>
      <c r="O184" s="6">
        <v>1.5277777777777781</v>
      </c>
      <c r="P184" s="6">
        <v>2.7777777777777777</v>
      </c>
      <c r="Q184" s="6">
        <f>O184/(0.1*O175)</f>
        <v>6.8749999999999991</v>
      </c>
      <c r="R184" s="6">
        <f>O184/(0.1*O178)</f>
        <v>3.666666666666667</v>
      </c>
      <c r="S184" s="6">
        <f>P184/(0.9*P181)</f>
        <v>0.92592592592592571</v>
      </c>
      <c r="T184" s="6">
        <f>Q184+S184</f>
        <v>7.8009259259259247</v>
      </c>
      <c r="U184" s="6">
        <f>R184+S184</f>
        <v>4.5925925925925926</v>
      </c>
      <c r="V184" s="1">
        <f>O184/O175+P184/P181</f>
        <v>1.520833333333333</v>
      </c>
      <c r="W184" s="1">
        <f>O184/O178+P184/P181</f>
        <v>1.1999999999999997</v>
      </c>
      <c r="X184" s="1">
        <f t="shared" ref="X184:X192" si="65">100*ROUND(P184/(P184+O184), 2)</f>
        <v>65</v>
      </c>
      <c r="Y184" s="6">
        <f t="shared" ref="Y184:Y192" si="66">O184+P184</f>
        <v>4.3055555555555554</v>
      </c>
    </row>
    <row r="185" spans="1:25" x14ac:dyDescent="0.15">
      <c r="A185" s="3">
        <v>2023</v>
      </c>
      <c r="B185" s="3" t="s">
        <v>33</v>
      </c>
      <c r="C185" s="3">
        <v>10</v>
      </c>
      <c r="D185" s="3">
        <v>11</v>
      </c>
      <c r="E185" s="3" t="s">
        <v>35</v>
      </c>
      <c r="F185" s="3" t="s">
        <v>39</v>
      </c>
      <c r="G185" s="3" t="s">
        <v>14</v>
      </c>
      <c r="H185" s="1" t="s">
        <v>35</v>
      </c>
      <c r="I185" s="3">
        <v>2</v>
      </c>
      <c r="J185" s="3" t="s">
        <v>64</v>
      </c>
      <c r="K185" s="1" t="s">
        <v>42</v>
      </c>
      <c r="L185" s="7">
        <v>101</v>
      </c>
      <c r="M185" s="7">
        <v>67</v>
      </c>
      <c r="N185" s="7">
        <f t="shared" ref="N185:N192" si="67">L185-M185</f>
        <v>34</v>
      </c>
      <c r="O185" s="6">
        <v>1.2500000000000002</v>
      </c>
      <c r="P185" s="6">
        <v>2.7777777777777777</v>
      </c>
      <c r="Q185" s="6">
        <f>O185/(0.1*O175)</f>
        <v>5.6249999999999991</v>
      </c>
      <c r="R185" s="6">
        <f>O185/(0.1*O178)</f>
        <v>3</v>
      </c>
      <c r="S185" s="6">
        <f>P185/(0.9*P182)</f>
        <v>1.0101010101010097</v>
      </c>
      <c r="T185" s="6">
        <f t="shared" ref="T185:T192" si="68">Q185+S185</f>
        <v>6.6351010101010086</v>
      </c>
      <c r="U185" s="6">
        <f t="shared" ref="U185:U192" si="69">R185+S185</f>
        <v>4.0101010101010095</v>
      </c>
      <c r="V185" s="1">
        <f>O185/O175+P185/P182</f>
        <v>1.4715909090909087</v>
      </c>
      <c r="W185" s="1">
        <f>O185/O178+P185/P182</f>
        <v>1.209090909090909</v>
      </c>
      <c r="X185" s="1">
        <f t="shared" si="65"/>
        <v>69</v>
      </c>
      <c r="Y185" s="6">
        <f t="shared" si="66"/>
        <v>4.0277777777777777</v>
      </c>
    </row>
    <row r="186" spans="1:25" x14ac:dyDescent="0.15">
      <c r="A186" s="3">
        <v>2023</v>
      </c>
      <c r="B186" s="3" t="s">
        <v>33</v>
      </c>
      <c r="C186" s="3">
        <v>10</v>
      </c>
      <c r="D186" s="3">
        <v>12</v>
      </c>
      <c r="E186" s="3" t="s">
        <v>35</v>
      </c>
      <c r="F186" s="3" t="s">
        <v>40</v>
      </c>
      <c r="G186" s="3" t="s">
        <v>14</v>
      </c>
      <c r="H186" s="1" t="s">
        <v>35</v>
      </c>
      <c r="I186" s="3">
        <v>2</v>
      </c>
      <c r="J186" s="3" t="s">
        <v>65</v>
      </c>
      <c r="K186" s="1" t="s">
        <v>42</v>
      </c>
      <c r="L186" s="7">
        <v>113</v>
      </c>
      <c r="M186" s="7">
        <v>76</v>
      </c>
      <c r="N186" s="7">
        <f t="shared" si="67"/>
        <v>37</v>
      </c>
      <c r="O186" s="6">
        <v>1.2500000000000002</v>
      </c>
      <c r="P186" s="6">
        <v>2.3611111111111112</v>
      </c>
      <c r="Q186" s="6">
        <f>O186/(0.1*O175)</f>
        <v>5.6249999999999991</v>
      </c>
      <c r="R186" s="6">
        <f>O186/(0.1*O178)</f>
        <v>3</v>
      </c>
      <c r="S186" s="6">
        <f>P186/(0.9*P183)</f>
        <v>0.78703703703703698</v>
      </c>
      <c r="T186" s="6">
        <f t="shared" si="68"/>
        <v>6.4120370370370363</v>
      </c>
      <c r="U186" s="6">
        <f t="shared" si="69"/>
        <v>3.7870370370370372</v>
      </c>
      <c r="V186" s="1">
        <f>O186/O175+P186/P183</f>
        <v>1.2708333333333333</v>
      </c>
      <c r="W186" s="1">
        <f>O186/O178+P186/P183</f>
        <v>1.0083333333333333</v>
      </c>
      <c r="X186" s="1">
        <f t="shared" si="65"/>
        <v>65</v>
      </c>
      <c r="Y186" s="6">
        <f t="shared" si="66"/>
        <v>3.6111111111111116</v>
      </c>
    </row>
    <row r="187" spans="1:25" x14ac:dyDescent="0.15">
      <c r="A187" s="3">
        <v>2023</v>
      </c>
      <c r="B187" s="3" t="s">
        <v>33</v>
      </c>
      <c r="C187" s="3">
        <v>10</v>
      </c>
      <c r="D187" s="3">
        <v>13</v>
      </c>
      <c r="E187" s="3" t="s">
        <v>36</v>
      </c>
      <c r="F187" s="3" t="s">
        <v>38</v>
      </c>
      <c r="G187" s="3" t="s">
        <v>14</v>
      </c>
      <c r="H187" s="1" t="s">
        <v>36</v>
      </c>
      <c r="I187" s="3">
        <v>2</v>
      </c>
      <c r="J187" s="3" t="s">
        <v>66</v>
      </c>
      <c r="K187" s="1" t="s">
        <v>42</v>
      </c>
      <c r="L187" s="7">
        <v>99</v>
      </c>
      <c r="M187" s="7">
        <v>77</v>
      </c>
      <c r="N187" s="7">
        <f t="shared" si="67"/>
        <v>22</v>
      </c>
      <c r="O187" s="6">
        <v>1.2500000000000002</v>
      </c>
      <c r="P187" s="6">
        <v>2.7777777777777777</v>
      </c>
      <c r="Q187" s="6">
        <f>O187/(0.1*O176)</f>
        <v>3.7499999999999996</v>
      </c>
      <c r="R187" s="6">
        <f>O187/(0.1*O179)</f>
        <v>3.2142857142857149</v>
      </c>
      <c r="S187" s="6">
        <f>P187/(0.9*P181)</f>
        <v>0.92592592592592571</v>
      </c>
      <c r="T187" s="6">
        <f t="shared" si="68"/>
        <v>4.6759259259259256</v>
      </c>
      <c r="U187" s="6">
        <f t="shared" si="69"/>
        <v>4.1402116402116409</v>
      </c>
      <c r="V187" s="1">
        <f>O187/O176+P187/P181</f>
        <v>1.208333333333333</v>
      </c>
      <c r="W187" s="1">
        <f>O187/O179+P187/P181</f>
        <v>1.1547619047619047</v>
      </c>
      <c r="X187" s="1">
        <f t="shared" si="65"/>
        <v>69</v>
      </c>
      <c r="Y187" s="6">
        <f t="shared" si="66"/>
        <v>4.0277777777777777</v>
      </c>
    </row>
    <row r="188" spans="1:25" x14ac:dyDescent="0.15">
      <c r="A188" s="3">
        <v>2023</v>
      </c>
      <c r="B188" s="3" t="s">
        <v>33</v>
      </c>
      <c r="C188" s="3">
        <v>10</v>
      </c>
      <c r="D188" s="3">
        <v>14</v>
      </c>
      <c r="E188" s="3" t="s">
        <v>36</v>
      </c>
      <c r="F188" s="3" t="s">
        <v>39</v>
      </c>
      <c r="G188" s="3" t="s">
        <v>14</v>
      </c>
      <c r="H188" s="1" t="s">
        <v>36</v>
      </c>
      <c r="I188" s="3">
        <v>2</v>
      </c>
      <c r="J188" s="3" t="s">
        <v>67</v>
      </c>
      <c r="K188" s="1" t="s">
        <v>42</v>
      </c>
      <c r="L188" s="7">
        <v>98</v>
      </c>
      <c r="M188" s="7">
        <v>68</v>
      </c>
      <c r="N188" s="7">
        <f t="shared" si="67"/>
        <v>30</v>
      </c>
      <c r="O188" s="6">
        <v>1.5277777777777781</v>
      </c>
      <c r="P188" s="6">
        <v>2.7777777777777777</v>
      </c>
      <c r="Q188" s="6">
        <f>O188/(0.1*O176)</f>
        <v>4.583333333333333</v>
      </c>
      <c r="R188" s="6">
        <f>O188/(0.1*O179)</f>
        <v>3.9285714285714293</v>
      </c>
      <c r="S188" s="6">
        <f>P188/(0.9*P182)</f>
        <v>1.0101010101010097</v>
      </c>
      <c r="T188" s="6">
        <f t="shared" si="68"/>
        <v>5.5934343434343425</v>
      </c>
      <c r="U188" s="6">
        <f t="shared" si="69"/>
        <v>4.9386724386724392</v>
      </c>
      <c r="V188" s="1">
        <f>O188/O176+P188/P182</f>
        <v>1.3674242424242422</v>
      </c>
      <c r="W188" s="1">
        <f>O188/O179+P188/P182</f>
        <v>1.3019480519480517</v>
      </c>
      <c r="X188" s="1">
        <f t="shared" si="65"/>
        <v>65</v>
      </c>
      <c r="Y188" s="6">
        <f t="shared" si="66"/>
        <v>4.3055555555555554</v>
      </c>
    </row>
    <row r="189" spans="1:25" x14ac:dyDescent="0.15">
      <c r="A189" s="3">
        <v>2023</v>
      </c>
      <c r="B189" s="3" t="s">
        <v>33</v>
      </c>
      <c r="C189" s="3">
        <v>10</v>
      </c>
      <c r="D189" s="3">
        <v>15</v>
      </c>
      <c r="E189" s="3" t="s">
        <v>36</v>
      </c>
      <c r="F189" s="3" t="s">
        <v>40</v>
      </c>
      <c r="G189" s="3" t="s">
        <v>14</v>
      </c>
      <c r="H189" s="1" t="s">
        <v>36</v>
      </c>
      <c r="I189" s="3">
        <v>2</v>
      </c>
      <c r="J189" s="3" t="s">
        <v>68</v>
      </c>
      <c r="K189" s="1" t="s">
        <v>42</v>
      </c>
      <c r="L189" s="7">
        <v>101</v>
      </c>
      <c r="M189" s="7">
        <v>74</v>
      </c>
      <c r="N189" s="7">
        <f t="shared" si="67"/>
        <v>27</v>
      </c>
      <c r="O189" s="6">
        <v>1.8055555555555558</v>
      </c>
      <c r="P189" s="6">
        <v>1.9444444444444444</v>
      </c>
      <c r="Q189" s="6">
        <f>O189/(0.1*O176)</f>
        <v>5.4166666666666661</v>
      </c>
      <c r="R189" s="6">
        <f>O189/(0.1*O179)</f>
        <v>4.6428571428571432</v>
      </c>
      <c r="S189" s="6">
        <f>P189/(0.9*P183)</f>
        <v>0.64814814814814803</v>
      </c>
      <c r="T189" s="6">
        <f t="shared" si="68"/>
        <v>6.064814814814814</v>
      </c>
      <c r="U189" s="6">
        <f t="shared" si="69"/>
        <v>5.2910052910052912</v>
      </c>
      <c r="V189" s="1">
        <f>O189/O176+P189/P183</f>
        <v>1.125</v>
      </c>
      <c r="W189" s="1">
        <f>O189/O179+P189/P183</f>
        <v>1.0476190476190477</v>
      </c>
      <c r="X189" s="1">
        <f t="shared" si="65"/>
        <v>52</v>
      </c>
      <c r="Y189" s="6">
        <f t="shared" si="66"/>
        <v>3.75</v>
      </c>
    </row>
    <row r="190" spans="1:25" x14ac:dyDescent="0.15">
      <c r="A190" s="3">
        <v>2023</v>
      </c>
      <c r="B190" s="3" t="s">
        <v>33</v>
      </c>
      <c r="C190" s="3">
        <v>10</v>
      </c>
      <c r="D190" s="3">
        <v>16</v>
      </c>
      <c r="E190" s="3" t="s">
        <v>37</v>
      </c>
      <c r="F190" s="3" t="s">
        <v>38</v>
      </c>
      <c r="G190" s="3" t="s">
        <v>14</v>
      </c>
      <c r="H190" s="1" t="s">
        <v>37</v>
      </c>
      <c r="I190" s="3">
        <v>2</v>
      </c>
      <c r="J190" s="3" t="s">
        <v>69</v>
      </c>
      <c r="K190" s="1" t="s">
        <v>42</v>
      </c>
      <c r="L190" s="7">
        <v>77</v>
      </c>
      <c r="M190" s="7">
        <v>80</v>
      </c>
      <c r="N190" s="7">
        <f t="shared" si="67"/>
        <v>-3</v>
      </c>
      <c r="O190" s="6">
        <v>0.83333333333333348</v>
      </c>
      <c r="P190" s="1">
        <v>3.1944444444444446</v>
      </c>
      <c r="Q190" s="6">
        <f>O190/(0.1*O177)</f>
        <v>2.8571428571428577</v>
      </c>
      <c r="R190" s="6">
        <f>O190/(0.1*O180)</f>
        <v>1.8749999999999998</v>
      </c>
      <c r="S190" s="6">
        <f>P190/(0.9*P181)</f>
        <v>1.0648148148148147</v>
      </c>
      <c r="T190" s="6">
        <f t="shared" si="68"/>
        <v>3.9219576719576725</v>
      </c>
      <c r="U190" s="6">
        <f t="shared" si="69"/>
        <v>2.9398148148148144</v>
      </c>
      <c r="V190" s="1">
        <f>O190/O177+P190/P181</f>
        <v>1.2440476190476191</v>
      </c>
      <c r="W190" s="1">
        <f>O190/O180+P190/P181</f>
        <v>1.1458333333333333</v>
      </c>
      <c r="X190" s="1">
        <f t="shared" si="65"/>
        <v>79</v>
      </c>
      <c r="Y190" s="6">
        <f t="shared" si="66"/>
        <v>4.0277777777777786</v>
      </c>
    </row>
    <row r="191" spans="1:25" x14ac:dyDescent="0.15">
      <c r="A191" s="3">
        <v>2023</v>
      </c>
      <c r="B191" s="3" t="s">
        <v>33</v>
      </c>
      <c r="C191" s="3">
        <v>10</v>
      </c>
      <c r="D191" s="3">
        <v>17</v>
      </c>
      <c r="E191" s="3" t="s">
        <v>37</v>
      </c>
      <c r="F191" s="3" t="s">
        <v>39</v>
      </c>
      <c r="G191" s="3" t="s">
        <v>14</v>
      </c>
      <c r="H191" s="1" t="s">
        <v>37</v>
      </c>
      <c r="I191" s="3">
        <v>2</v>
      </c>
      <c r="J191" s="3" t="s">
        <v>70</v>
      </c>
      <c r="K191" s="1" t="s">
        <v>42</v>
      </c>
      <c r="L191" s="7">
        <v>75</v>
      </c>
      <c r="M191" s="7">
        <v>73</v>
      </c>
      <c r="N191" s="7">
        <f t="shared" si="67"/>
        <v>2</v>
      </c>
      <c r="O191" s="6">
        <v>0.97222222222222221</v>
      </c>
      <c r="P191" s="1">
        <v>3.0555555555555562</v>
      </c>
      <c r="Q191" s="6">
        <f>O191/(0.1*O177)</f>
        <v>3.333333333333333</v>
      </c>
      <c r="R191" s="6">
        <f>O191/(0.1*O180)</f>
        <v>2.1874999999999991</v>
      </c>
      <c r="S191" s="6">
        <f>P191/(0.9*P182)</f>
        <v>1.1111111111111109</v>
      </c>
      <c r="T191" s="6">
        <f t="shared" si="68"/>
        <v>4.4444444444444438</v>
      </c>
      <c r="U191" s="6">
        <f t="shared" si="69"/>
        <v>3.2986111111111098</v>
      </c>
      <c r="V191" s="1">
        <f>O191/O177+P191/P182</f>
        <v>1.3333333333333333</v>
      </c>
      <c r="W191" s="1">
        <f>O191/O180+P191/P182</f>
        <v>1.21875</v>
      </c>
      <c r="X191" s="1">
        <f t="shared" si="65"/>
        <v>76</v>
      </c>
      <c r="Y191" s="6">
        <f t="shared" si="66"/>
        <v>4.0277777777777786</v>
      </c>
    </row>
    <row r="192" spans="1:25" x14ac:dyDescent="0.15">
      <c r="A192" s="3">
        <v>2023</v>
      </c>
      <c r="B192" s="3" t="s">
        <v>33</v>
      </c>
      <c r="C192" s="3">
        <v>10</v>
      </c>
      <c r="D192" s="3">
        <v>18</v>
      </c>
      <c r="E192" s="3" t="s">
        <v>37</v>
      </c>
      <c r="F192" s="3" t="s">
        <v>40</v>
      </c>
      <c r="G192" s="3" t="s">
        <v>14</v>
      </c>
      <c r="H192" s="1" t="s">
        <v>37</v>
      </c>
      <c r="I192" s="3">
        <v>2</v>
      </c>
      <c r="J192" s="3" t="s">
        <v>71</v>
      </c>
      <c r="K192" s="1" t="s">
        <v>42</v>
      </c>
      <c r="L192" s="7">
        <v>77</v>
      </c>
      <c r="M192" s="7">
        <v>77</v>
      </c>
      <c r="N192" s="7">
        <f t="shared" si="67"/>
        <v>0</v>
      </c>
      <c r="O192" s="6">
        <v>0.83333333333333348</v>
      </c>
      <c r="P192" s="1">
        <v>2.3611111111111112</v>
      </c>
      <c r="Q192" s="6">
        <f>O192/(0.1*O177)</f>
        <v>2.8571428571428577</v>
      </c>
      <c r="R192" s="6">
        <f>O192/(0.1*O180)</f>
        <v>1.8749999999999998</v>
      </c>
      <c r="S192" s="6">
        <f>P192/(0.9*P183)</f>
        <v>0.78703703703703698</v>
      </c>
      <c r="T192" s="6">
        <f t="shared" si="68"/>
        <v>3.6441798941798949</v>
      </c>
      <c r="U192" s="6">
        <f t="shared" si="69"/>
        <v>2.6620370370370368</v>
      </c>
      <c r="V192" s="1">
        <f>O192/O177+P192/P183</f>
        <v>0.99404761904761907</v>
      </c>
      <c r="W192" s="1">
        <f>O192/O180+P192/P183</f>
        <v>0.89583333333333326</v>
      </c>
      <c r="X192" s="1">
        <f t="shared" si="65"/>
        <v>74</v>
      </c>
      <c r="Y192" s="6">
        <f t="shared" si="66"/>
        <v>3.1944444444444446</v>
      </c>
    </row>
    <row r="193" spans="1:25" x14ac:dyDescent="0.15">
      <c r="A193" s="3">
        <v>2023</v>
      </c>
      <c r="B193" s="3" t="s">
        <v>33</v>
      </c>
      <c r="C193" s="3">
        <v>11</v>
      </c>
      <c r="D193" s="3">
        <v>1</v>
      </c>
      <c r="E193" s="3" t="s">
        <v>35</v>
      </c>
      <c r="F193" s="3"/>
      <c r="G193" s="3" t="s">
        <v>41</v>
      </c>
      <c r="H193" s="1" t="s">
        <v>35</v>
      </c>
      <c r="I193" s="3">
        <v>3</v>
      </c>
      <c r="J193" s="3" t="s">
        <v>35</v>
      </c>
      <c r="K193" s="1" t="s">
        <v>42</v>
      </c>
      <c r="L193" s="7">
        <v>72</v>
      </c>
      <c r="M193" s="7" t="s">
        <v>45</v>
      </c>
      <c r="N193" s="7" t="s">
        <v>45</v>
      </c>
      <c r="O193" s="1">
        <v>3.1944444444444446</v>
      </c>
      <c r="P193" s="6" t="s">
        <v>45</v>
      </c>
      <c r="Q193" s="6" t="s">
        <v>45</v>
      </c>
      <c r="R193" s="6" t="s">
        <v>45</v>
      </c>
      <c r="S193" s="6" t="s">
        <v>45</v>
      </c>
      <c r="T193" s="6" t="s">
        <v>45</v>
      </c>
      <c r="U193" s="6" t="s">
        <v>45</v>
      </c>
      <c r="V193" s="1" t="s">
        <v>45</v>
      </c>
      <c r="W193" s="1" t="s">
        <v>45</v>
      </c>
      <c r="X193" s="6" t="s">
        <v>45</v>
      </c>
      <c r="Y193" s="6">
        <f>O193</f>
        <v>3.1944444444444446</v>
      </c>
    </row>
    <row r="194" spans="1:25" x14ac:dyDescent="0.15">
      <c r="A194" s="3">
        <v>2023</v>
      </c>
      <c r="B194" s="3" t="s">
        <v>33</v>
      </c>
      <c r="C194" s="3">
        <v>11</v>
      </c>
      <c r="D194" s="3">
        <v>2</v>
      </c>
      <c r="E194" s="3" t="s">
        <v>36</v>
      </c>
      <c r="F194" s="3"/>
      <c r="G194" s="3" t="s">
        <v>41</v>
      </c>
      <c r="H194" s="1" t="s">
        <v>36</v>
      </c>
      <c r="I194" s="3">
        <v>3</v>
      </c>
      <c r="J194" s="3" t="s">
        <v>36</v>
      </c>
      <c r="K194" s="1" t="s">
        <v>42</v>
      </c>
      <c r="L194" s="7">
        <v>56</v>
      </c>
      <c r="M194" s="7" t="s">
        <v>45</v>
      </c>
      <c r="N194" s="7" t="s">
        <v>45</v>
      </c>
      <c r="O194" s="6">
        <v>3.0555555555555562</v>
      </c>
      <c r="P194" s="6" t="s">
        <v>45</v>
      </c>
      <c r="Q194" s="6" t="s">
        <v>45</v>
      </c>
      <c r="R194" s="6" t="s">
        <v>45</v>
      </c>
      <c r="S194" s="6" t="s">
        <v>45</v>
      </c>
      <c r="T194" s="6" t="s">
        <v>45</v>
      </c>
      <c r="U194" s="6" t="s">
        <v>45</v>
      </c>
      <c r="V194" s="1" t="s">
        <v>45</v>
      </c>
      <c r="W194" s="1" t="s">
        <v>45</v>
      </c>
      <c r="X194" s="6" t="s">
        <v>45</v>
      </c>
      <c r="Y194" s="6">
        <f t="shared" ref="Y194:Y198" si="70">O194</f>
        <v>3.0555555555555562</v>
      </c>
    </row>
    <row r="195" spans="1:25" x14ac:dyDescent="0.15">
      <c r="A195" s="3">
        <v>2023</v>
      </c>
      <c r="B195" s="3" t="s">
        <v>33</v>
      </c>
      <c r="C195" s="3">
        <v>11</v>
      </c>
      <c r="D195" s="3">
        <v>3</v>
      </c>
      <c r="E195" s="3" t="s">
        <v>37</v>
      </c>
      <c r="F195" s="3"/>
      <c r="G195" s="3" t="s">
        <v>41</v>
      </c>
      <c r="H195" s="1" t="s">
        <v>37</v>
      </c>
      <c r="I195" s="3">
        <v>3</v>
      </c>
      <c r="J195" s="3" t="s">
        <v>37</v>
      </c>
      <c r="K195" s="1" t="s">
        <v>42</v>
      </c>
      <c r="L195" s="7">
        <v>50</v>
      </c>
      <c r="M195" s="7" t="s">
        <v>45</v>
      </c>
      <c r="N195" s="7" t="s">
        <v>45</v>
      </c>
      <c r="O195" s="6">
        <v>2.6388888888888888</v>
      </c>
      <c r="P195" s="6" t="s">
        <v>45</v>
      </c>
      <c r="Q195" s="6" t="s">
        <v>45</v>
      </c>
      <c r="R195" s="6" t="s">
        <v>45</v>
      </c>
      <c r="S195" s="6" t="s">
        <v>45</v>
      </c>
      <c r="T195" s="6" t="s">
        <v>45</v>
      </c>
      <c r="U195" s="6" t="s">
        <v>45</v>
      </c>
      <c r="V195" s="1" t="s">
        <v>45</v>
      </c>
      <c r="W195" s="1" t="s">
        <v>45</v>
      </c>
      <c r="X195" s="6" t="s">
        <v>45</v>
      </c>
      <c r="Y195" s="6">
        <f t="shared" si="70"/>
        <v>2.6388888888888888</v>
      </c>
    </row>
    <row r="196" spans="1:25" x14ac:dyDescent="0.15">
      <c r="A196" s="3">
        <v>2023</v>
      </c>
      <c r="B196" s="3" t="s">
        <v>33</v>
      </c>
      <c r="C196" s="3">
        <v>11</v>
      </c>
      <c r="D196" s="3">
        <v>4</v>
      </c>
      <c r="E196" s="3" t="s">
        <v>35</v>
      </c>
      <c r="F196" s="3"/>
      <c r="G196" s="3" t="s">
        <v>41</v>
      </c>
      <c r="H196" s="1" t="s">
        <v>75</v>
      </c>
      <c r="I196" s="3">
        <v>3</v>
      </c>
      <c r="J196" s="3" t="s">
        <v>35</v>
      </c>
      <c r="K196" s="1" t="s">
        <v>43</v>
      </c>
      <c r="L196" s="7">
        <v>93</v>
      </c>
      <c r="M196" s="7" t="s">
        <v>45</v>
      </c>
      <c r="N196" s="7" t="s">
        <v>45</v>
      </c>
      <c r="O196" s="6">
        <v>3.7500000000000004</v>
      </c>
      <c r="P196" s="6" t="s">
        <v>45</v>
      </c>
      <c r="Q196" s="6" t="s">
        <v>45</v>
      </c>
      <c r="R196" s="6" t="s">
        <v>45</v>
      </c>
      <c r="S196" s="6" t="s">
        <v>45</v>
      </c>
      <c r="T196" s="6" t="s">
        <v>45</v>
      </c>
      <c r="U196" s="6" t="s">
        <v>45</v>
      </c>
      <c r="V196" s="1" t="s">
        <v>45</v>
      </c>
      <c r="W196" s="1" t="s">
        <v>45</v>
      </c>
      <c r="X196" s="1" t="s">
        <v>45</v>
      </c>
      <c r="Y196" s="6">
        <f t="shared" si="70"/>
        <v>3.7500000000000004</v>
      </c>
    </row>
    <row r="197" spans="1:25" x14ac:dyDescent="0.15">
      <c r="A197" s="3">
        <v>2023</v>
      </c>
      <c r="B197" s="3" t="s">
        <v>33</v>
      </c>
      <c r="C197" s="3">
        <v>11</v>
      </c>
      <c r="D197" s="3">
        <v>5</v>
      </c>
      <c r="E197" s="3" t="s">
        <v>36</v>
      </c>
      <c r="F197" s="3"/>
      <c r="G197" s="3" t="s">
        <v>41</v>
      </c>
      <c r="H197" s="1" t="s">
        <v>76</v>
      </c>
      <c r="I197" s="3">
        <v>3</v>
      </c>
      <c r="J197" s="3" t="s">
        <v>36</v>
      </c>
      <c r="K197" s="1" t="s">
        <v>43</v>
      </c>
      <c r="L197" s="7">
        <v>80</v>
      </c>
      <c r="M197" s="7" t="s">
        <v>45</v>
      </c>
      <c r="N197" s="7" t="s">
        <v>45</v>
      </c>
      <c r="O197" s="6">
        <v>4.5833333333333339</v>
      </c>
      <c r="P197" s="6" t="s">
        <v>45</v>
      </c>
      <c r="Q197" s="6" t="s">
        <v>45</v>
      </c>
      <c r="R197" s="6" t="s">
        <v>45</v>
      </c>
      <c r="S197" s="6" t="s">
        <v>45</v>
      </c>
      <c r="T197" s="6" t="s">
        <v>45</v>
      </c>
      <c r="U197" s="6" t="s">
        <v>45</v>
      </c>
      <c r="V197" s="1" t="s">
        <v>45</v>
      </c>
      <c r="W197" s="1" t="s">
        <v>45</v>
      </c>
      <c r="X197" s="1" t="s">
        <v>45</v>
      </c>
      <c r="Y197" s="6">
        <f t="shared" si="70"/>
        <v>4.5833333333333339</v>
      </c>
    </row>
    <row r="198" spans="1:25" x14ac:dyDescent="0.15">
      <c r="A198" s="3">
        <v>2023</v>
      </c>
      <c r="B198" s="3" t="s">
        <v>33</v>
      </c>
      <c r="C198" s="3">
        <v>11</v>
      </c>
      <c r="D198" s="3">
        <v>6</v>
      </c>
      <c r="E198" s="3" t="s">
        <v>37</v>
      </c>
      <c r="F198" s="3"/>
      <c r="G198" s="3" t="s">
        <v>41</v>
      </c>
      <c r="H198" s="1" t="s">
        <v>77</v>
      </c>
      <c r="I198" s="3">
        <v>3</v>
      </c>
      <c r="J198" s="3" t="s">
        <v>37</v>
      </c>
      <c r="K198" s="1" t="s">
        <v>43</v>
      </c>
      <c r="L198" s="7">
        <v>66</v>
      </c>
      <c r="M198" s="7" t="s">
        <v>45</v>
      </c>
      <c r="N198" s="7" t="s">
        <v>45</v>
      </c>
      <c r="O198" s="6">
        <v>3.7500000000000004</v>
      </c>
      <c r="P198" s="6" t="s">
        <v>45</v>
      </c>
      <c r="Q198" s="6" t="s">
        <v>45</v>
      </c>
      <c r="R198" s="6" t="s">
        <v>45</v>
      </c>
      <c r="S198" s="6" t="s">
        <v>45</v>
      </c>
      <c r="T198" s="6" t="s">
        <v>45</v>
      </c>
      <c r="U198" s="6" t="s">
        <v>45</v>
      </c>
      <c r="V198" s="1" t="s">
        <v>45</v>
      </c>
      <c r="W198" s="1" t="s">
        <v>45</v>
      </c>
      <c r="X198" s="1" t="s">
        <v>45</v>
      </c>
      <c r="Y198" s="6">
        <f t="shared" si="70"/>
        <v>3.7500000000000004</v>
      </c>
    </row>
    <row r="199" spans="1:25" x14ac:dyDescent="0.15">
      <c r="A199" s="3">
        <v>2023</v>
      </c>
      <c r="B199" s="3" t="s">
        <v>33</v>
      </c>
      <c r="C199" s="3">
        <v>11</v>
      </c>
      <c r="D199" s="3">
        <v>7</v>
      </c>
      <c r="E199" s="3"/>
      <c r="F199" s="3" t="s">
        <v>38</v>
      </c>
      <c r="G199" s="3" t="s">
        <v>41</v>
      </c>
      <c r="H199" s="1"/>
      <c r="I199" s="3">
        <v>3</v>
      </c>
      <c r="J199" s="3" t="s">
        <v>38</v>
      </c>
      <c r="K199" s="1" t="s">
        <v>42</v>
      </c>
      <c r="L199" s="7" t="s">
        <v>45</v>
      </c>
      <c r="M199" s="7">
        <v>72</v>
      </c>
      <c r="N199" s="7" t="s">
        <v>45</v>
      </c>
      <c r="O199" s="6" t="s">
        <v>45</v>
      </c>
      <c r="P199" s="6">
        <v>3.4722222222222228</v>
      </c>
      <c r="Q199" s="6" t="s">
        <v>45</v>
      </c>
      <c r="R199" s="6" t="s">
        <v>45</v>
      </c>
      <c r="S199" s="6" t="s">
        <v>45</v>
      </c>
      <c r="T199" s="6" t="s">
        <v>45</v>
      </c>
      <c r="U199" s="6" t="s">
        <v>45</v>
      </c>
      <c r="V199" s="1" t="s">
        <v>45</v>
      </c>
      <c r="W199" s="1" t="s">
        <v>45</v>
      </c>
      <c r="X199" s="1" t="s">
        <v>45</v>
      </c>
      <c r="Y199" s="6">
        <f>P199</f>
        <v>3.4722222222222228</v>
      </c>
    </row>
    <row r="200" spans="1:25" x14ac:dyDescent="0.15">
      <c r="A200" s="3">
        <v>2023</v>
      </c>
      <c r="B200" s="3" t="s">
        <v>33</v>
      </c>
      <c r="C200" s="3">
        <v>11</v>
      </c>
      <c r="D200" s="3">
        <v>8</v>
      </c>
      <c r="E200" s="3"/>
      <c r="F200" s="3" t="s">
        <v>39</v>
      </c>
      <c r="G200" s="3" t="s">
        <v>41</v>
      </c>
      <c r="H200" s="1"/>
      <c r="I200" s="3">
        <v>3</v>
      </c>
      <c r="J200" s="3" t="s">
        <v>39</v>
      </c>
      <c r="K200" s="1" t="s">
        <v>42</v>
      </c>
      <c r="L200" s="7" t="s">
        <v>45</v>
      </c>
      <c r="M200" s="7">
        <v>69</v>
      </c>
      <c r="N200" s="7" t="s">
        <v>45</v>
      </c>
      <c r="O200" s="6" t="s">
        <v>45</v>
      </c>
      <c r="P200" s="6">
        <v>3.8888888888888888</v>
      </c>
      <c r="Q200" s="6" t="s">
        <v>45</v>
      </c>
      <c r="R200" s="6" t="s">
        <v>45</v>
      </c>
      <c r="S200" s="6" t="s">
        <v>45</v>
      </c>
      <c r="T200" s="6" t="s">
        <v>45</v>
      </c>
      <c r="U200" s="6" t="s">
        <v>45</v>
      </c>
      <c r="V200" s="1" t="s">
        <v>45</v>
      </c>
      <c r="W200" s="1" t="s">
        <v>45</v>
      </c>
      <c r="X200" s="1" t="s">
        <v>45</v>
      </c>
      <c r="Y200" s="6">
        <f t="shared" ref="Y200:Y201" si="71">P200</f>
        <v>3.8888888888888888</v>
      </c>
    </row>
    <row r="201" spans="1:25" x14ac:dyDescent="0.15">
      <c r="A201" s="3">
        <v>2023</v>
      </c>
      <c r="B201" s="3" t="s">
        <v>33</v>
      </c>
      <c r="C201" s="3">
        <v>11</v>
      </c>
      <c r="D201" s="3">
        <v>9</v>
      </c>
      <c r="E201" s="3"/>
      <c r="F201" s="3" t="s">
        <v>40</v>
      </c>
      <c r="G201" s="3" t="s">
        <v>41</v>
      </c>
      <c r="H201" s="1"/>
      <c r="I201" s="3">
        <v>3</v>
      </c>
      <c r="J201" s="3" t="s">
        <v>40</v>
      </c>
      <c r="K201" s="1" t="s">
        <v>42</v>
      </c>
      <c r="L201" s="7" t="s">
        <v>45</v>
      </c>
      <c r="M201" s="7">
        <v>70</v>
      </c>
      <c r="N201" s="7" t="s">
        <v>45</v>
      </c>
      <c r="O201" s="6" t="s">
        <v>45</v>
      </c>
      <c r="P201" s="6">
        <v>3.1944444444444446</v>
      </c>
      <c r="Q201" s="6" t="s">
        <v>45</v>
      </c>
      <c r="R201" s="6" t="s">
        <v>45</v>
      </c>
      <c r="S201" s="6" t="s">
        <v>45</v>
      </c>
      <c r="T201" s="6" t="s">
        <v>45</v>
      </c>
      <c r="U201" s="6" t="s">
        <v>45</v>
      </c>
      <c r="V201" s="1" t="s">
        <v>45</v>
      </c>
      <c r="W201" s="1" t="s">
        <v>45</v>
      </c>
      <c r="X201" s="1" t="s">
        <v>45</v>
      </c>
      <c r="Y201" s="6">
        <f t="shared" si="71"/>
        <v>3.1944444444444446</v>
      </c>
    </row>
    <row r="202" spans="1:25" x14ac:dyDescent="0.15">
      <c r="A202" s="3">
        <v>2023</v>
      </c>
      <c r="B202" s="3" t="s">
        <v>33</v>
      </c>
      <c r="C202" s="3">
        <v>11</v>
      </c>
      <c r="D202" s="3">
        <v>10</v>
      </c>
      <c r="E202" s="3" t="s">
        <v>35</v>
      </c>
      <c r="F202" s="3" t="s">
        <v>38</v>
      </c>
      <c r="G202" s="3" t="s">
        <v>14</v>
      </c>
      <c r="H202" s="1" t="s">
        <v>35</v>
      </c>
      <c r="I202" s="3">
        <v>3</v>
      </c>
      <c r="J202" s="3" t="s">
        <v>63</v>
      </c>
      <c r="K202" s="1" t="s">
        <v>42</v>
      </c>
      <c r="L202" s="7">
        <v>106</v>
      </c>
      <c r="M202" s="7">
        <v>72</v>
      </c>
      <c r="N202" s="7">
        <f>L202-M202</f>
        <v>34</v>
      </c>
      <c r="O202" s="6">
        <v>1.1111111111111114</v>
      </c>
      <c r="P202" s="6">
        <v>3.0555555555555562</v>
      </c>
      <c r="Q202" s="6">
        <f>O202/(0.1*O193)</f>
        <v>3.4782608695652177</v>
      </c>
      <c r="R202" s="6">
        <f>O202/(0.1*O196)</f>
        <v>2.9629629629629632</v>
      </c>
      <c r="S202" s="6">
        <f>P202/(0.9*P199)</f>
        <v>0.97777777777777786</v>
      </c>
      <c r="T202" s="6">
        <f>Q202+S202</f>
        <v>4.4560386473429956</v>
      </c>
      <c r="U202" s="6">
        <f>R202+S202</f>
        <v>3.9407407407407411</v>
      </c>
      <c r="V202" s="1">
        <f>O202/O193+P202/P199</f>
        <v>1.2278260869565218</v>
      </c>
      <c r="W202" s="1">
        <f>O202/O196+P202/P199</f>
        <v>1.1762962962962964</v>
      </c>
      <c r="X202" s="1">
        <f t="shared" ref="X202:X210" si="72">100*ROUND(P202/(P202+O202), 2)</f>
        <v>73</v>
      </c>
      <c r="Y202" s="6">
        <f t="shared" ref="Y202:Y210" si="73">O202+P202</f>
        <v>4.1666666666666679</v>
      </c>
    </row>
    <row r="203" spans="1:25" x14ac:dyDescent="0.15">
      <c r="A203" s="3">
        <v>2023</v>
      </c>
      <c r="B203" s="3" t="s">
        <v>33</v>
      </c>
      <c r="C203" s="3">
        <v>11</v>
      </c>
      <c r="D203" s="3">
        <v>11</v>
      </c>
      <c r="E203" s="3" t="s">
        <v>35</v>
      </c>
      <c r="F203" s="3" t="s">
        <v>39</v>
      </c>
      <c r="G203" s="3" t="s">
        <v>14</v>
      </c>
      <c r="H203" s="1" t="s">
        <v>35</v>
      </c>
      <c r="I203" s="3">
        <v>3</v>
      </c>
      <c r="J203" s="3" t="s">
        <v>64</v>
      </c>
      <c r="K203" s="1" t="s">
        <v>42</v>
      </c>
      <c r="L203" s="7">
        <v>106</v>
      </c>
      <c r="M203" s="7">
        <v>71</v>
      </c>
      <c r="N203" s="7">
        <f t="shared" ref="N203:N210" si="74">L203-M203</f>
        <v>35</v>
      </c>
      <c r="O203" s="6">
        <v>1.666666666666667</v>
      </c>
      <c r="P203" s="1">
        <v>2.5000000000000004</v>
      </c>
      <c r="Q203" s="6">
        <f>O203/(0.1*O193)</f>
        <v>5.2173913043478262</v>
      </c>
      <c r="R203" s="6">
        <f>O203/(0.1*O196)</f>
        <v>4.4444444444444446</v>
      </c>
      <c r="S203" s="6">
        <f>P203/(0.9*P200)</f>
        <v>0.71428571428571441</v>
      </c>
      <c r="T203" s="6">
        <f t="shared" ref="T203:T210" si="75">Q203+S203</f>
        <v>5.9316770186335406</v>
      </c>
      <c r="U203" s="6">
        <f t="shared" ref="U203:U210" si="76">R203+S203</f>
        <v>5.1587301587301591</v>
      </c>
      <c r="V203" s="1">
        <f>O203/O193+P203/P200</f>
        <v>1.1645962732919257</v>
      </c>
      <c r="W203" s="1">
        <f>O203/O196+P203/P200</f>
        <v>1.0873015873015874</v>
      </c>
      <c r="X203" s="1">
        <f t="shared" si="72"/>
        <v>60</v>
      </c>
      <c r="Y203" s="6">
        <f t="shared" si="73"/>
        <v>4.1666666666666679</v>
      </c>
    </row>
    <row r="204" spans="1:25" x14ac:dyDescent="0.15">
      <c r="A204" s="3">
        <v>2023</v>
      </c>
      <c r="B204" s="3" t="s">
        <v>33</v>
      </c>
      <c r="C204" s="3">
        <v>11</v>
      </c>
      <c r="D204" s="3">
        <v>12</v>
      </c>
      <c r="E204" s="3" t="s">
        <v>35</v>
      </c>
      <c r="F204" s="3" t="s">
        <v>40</v>
      </c>
      <c r="G204" s="3" t="s">
        <v>14</v>
      </c>
      <c r="H204" s="1" t="s">
        <v>35</v>
      </c>
      <c r="I204" s="3">
        <v>3</v>
      </c>
      <c r="J204" s="3" t="s">
        <v>65</v>
      </c>
      <c r="K204" s="1" t="s">
        <v>42</v>
      </c>
      <c r="L204" s="7">
        <v>107</v>
      </c>
      <c r="M204" s="7">
        <v>76</v>
      </c>
      <c r="N204" s="7">
        <f t="shared" si="74"/>
        <v>31</v>
      </c>
      <c r="O204" s="6">
        <v>1.1111111111111114</v>
      </c>
      <c r="P204" s="1">
        <v>2.7777777777777777</v>
      </c>
      <c r="Q204" s="6">
        <f>O204/(0.1*O193)</f>
        <v>3.4782608695652177</v>
      </c>
      <c r="R204" s="6">
        <f>O204/(0.1*O196)</f>
        <v>2.9629629629629632</v>
      </c>
      <c r="S204" s="6">
        <f>P204/(0.9*P201)</f>
        <v>0.9661835748792269</v>
      </c>
      <c r="T204" s="6">
        <f t="shared" si="75"/>
        <v>4.4444444444444446</v>
      </c>
      <c r="U204" s="6">
        <f t="shared" si="76"/>
        <v>3.9291465378421901</v>
      </c>
      <c r="V204" s="1">
        <f>O204/O193+P204/P201</f>
        <v>1.2173913043478259</v>
      </c>
      <c r="W204" s="1">
        <f>O204/O196+P204/P201</f>
        <v>1.1658615136876005</v>
      </c>
      <c r="X204" s="1">
        <f t="shared" si="72"/>
        <v>71</v>
      </c>
      <c r="Y204" s="6">
        <f t="shared" si="73"/>
        <v>3.8888888888888893</v>
      </c>
    </row>
    <row r="205" spans="1:25" x14ac:dyDescent="0.15">
      <c r="A205" s="3">
        <v>2023</v>
      </c>
      <c r="B205" s="3" t="s">
        <v>33</v>
      </c>
      <c r="C205" s="3">
        <v>11</v>
      </c>
      <c r="D205" s="3">
        <v>13</v>
      </c>
      <c r="E205" s="3" t="s">
        <v>36</v>
      </c>
      <c r="F205" s="3" t="s">
        <v>38</v>
      </c>
      <c r="G205" s="3" t="s">
        <v>14</v>
      </c>
      <c r="H205" s="1" t="s">
        <v>36</v>
      </c>
      <c r="I205" s="3">
        <v>3</v>
      </c>
      <c r="J205" s="3" t="s">
        <v>66</v>
      </c>
      <c r="K205" s="1" t="s">
        <v>42</v>
      </c>
      <c r="L205" s="7">
        <v>101</v>
      </c>
      <c r="M205" s="7">
        <v>77</v>
      </c>
      <c r="N205" s="7">
        <f t="shared" si="74"/>
        <v>24</v>
      </c>
      <c r="O205" s="6">
        <v>1.5277777777777781</v>
      </c>
      <c r="P205" s="1">
        <v>2.5000000000000004</v>
      </c>
      <c r="Q205" s="6">
        <f>O205/(0.1*O194)</f>
        <v>5</v>
      </c>
      <c r="R205" s="6">
        <f>O205/(0.1*O197)</f>
        <v>3.3333333333333335</v>
      </c>
      <c r="S205" s="6">
        <f>P205/(0.9*P199)</f>
        <v>0.8</v>
      </c>
      <c r="T205" s="6">
        <f t="shared" si="75"/>
        <v>5.8</v>
      </c>
      <c r="U205" s="6">
        <f t="shared" si="76"/>
        <v>4.1333333333333337</v>
      </c>
      <c r="V205" s="1">
        <f>O205/O194+P205/P199</f>
        <v>1.22</v>
      </c>
      <c r="W205" s="1">
        <f>O205/O197+P205/P199</f>
        <v>1.0533333333333332</v>
      </c>
      <c r="X205" s="1">
        <f t="shared" si="72"/>
        <v>62</v>
      </c>
      <c r="Y205" s="6">
        <f t="shared" si="73"/>
        <v>4.0277777777777786</v>
      </c>
    </row>
    <row r="206" spans="1:25" x14ac:dyDescent="0.15">
      <c r="A206" s="3">
        <v>2023</v>
      </c>
      <c r="B206" s="3" t="s">
        <v>33</v>
      </c>
      <c r="C206" s="3">
        <v>11</v>
      </c>
      <c r="D206" s="3">
        <v>14</v>
      </c>
      <c r="E206" s="3" t="s">
        <v>36</v>
      </c>
      <c r="F206" s="3" t="s">
        <v>39</v>
      </c>
      <c r="G206" s="3" t="s">
        <v>14</v>
      </c>
      <c r="H206" s="1" t="s">
        <v>36</v>
      </c>
      <c r="I206" s="3">
        <v>3</v>
      </c>
      <c r="J206" s="3" t="s">
        <v>67</v>
      </c>
      <c r="K206" s="1" t="s">
        <v>42</v>
      </c>
      <c r="L206" s="7">
        <v>89</v>
      </c>
      <c r="M206" s="7">
        <v>71</v>
      </c>
      <c r="N206" s="7">
        <f t="shared" si="74"/>
        <v>18</v>
      </c>
      <c r="O206" s="1">
        <v>1.3888888888888888</v>
      </c>
      <c r="P206" s="6">
        <v>3.1944444444444446</v>
      </c>
      <c r="Q206" s="6">
        <f>O206/(0.1*O194)</f>
        <v>4.5454545454545441</v>
      </c>
      <c r="R206" s="6">
        <f>O206/(0.1*O197)</f>
        <v>3.0303030303030294</v>
      </c>
      <c r="S206" s="6">
        <f>P206/(0.9*P200)</f>
        <v>0.91269841269841279</v>
      </c>
      <c r="T206" s="6">
        <f t="shared" si="75"/>
        <v>5.4581529581529571</v>
      </c>
      <c r="U206" s="6">
        <f t="shared" si="76"/>
        <v>3.9430014430014424</v>
      </c>
      <c r="V206" s="1">
        <f>O206/O194+P206/P200</f>
        <v>1.275974025974026</v>
      </c>
      <c r="W206" s="1">
        <f>O206/O197+P206/P200</f>
        <v>1.1244588744588744</v>
      </c>
      <c r="X206" s="1">
        <f t="shared" si="72"/>
        <v>70</v>
      </c>
      <c r="Y206" s="6">
        <f t="shared" si="73"/>
        <v>4.5833333333333339</v>
      </c>
    </row>
    <row r="207" spans="1:25" x14ac:dyDescent="0.15">
      <c r="A207" s="3">
        <v>2023</v>
      </c>
      <c r="B207" s="3" t="s">
        <v>33</v>
      </c>
      <c r="C207" s="3">
        <v>11</v>
      </c>
      <c r="D207" s="3">
        <v>15</v>
      </c>
      <c r="E207" s="3" t="s">
        <v>36</v>
      </c>
      <c r="F207" s="3" t="s">
        <v>40</v>
      </c>
      <c r="G207" s="3" t="s">
        <v>14</v>
      </c>
      <c r="H207" s="1" t="s">
        <v>36</v>
      </c>
      <c r="I207" s="3">
        <v>3</v>
      </c>
      <c r="J207" s="3" t="s">
        <v>68</v>
      </c>
      <c r="K207" s="1" t="s">
        <v>42</v>
      </c>
      <c r="L207" s="7">
        <v>105</v>
      </c>
      <c r="M207" s="7">
        <v>74</v>
      </c>
      <c r="N207" s="7">
        <f t="shared" si="74"/>
        <v>31</v>
      </c>
      <c r="O207" s="1">
        <v>1.2500000000000002</v>
      </c>
      <c r="P207" s="6">
        <v>2.6388888888888888</v>
      </c>
      <c r="Q207" s="6">
        <f>O207/(0.1*O194)</f>
        <v>4.0909090909090908</v>
      </c>
      <c r="R207" s="6">
        <f>O207/(0.1*O197)</f>
        <v>2.7272727272727271</v>
      </c>
      <c r="S207" s="6">
        <f>P207/(0.9*P201)</f>
        <v>0.91787439613526556</v>
      </c>
      <c r="T207" s="6">
        <f t="shared" si="75"/>
        <v>5.0087834870443562</v>
      </c>
      <c r="U207" s="6">
        <f t="shared" si="76"/>
        <v>3.6451471234079929</v>
      </c>
      <c r="V207" s="1">
        <f>O207/O194+P207/P201</f>
        <v>1.235177865612648</v>
      </c>
      <c r="W207" s="1">
        <f>O207/O197+P207/P201</f>
        <v>1.0988142292490117</v>
      </c>
      <c r="X207" s="1">
        <f t="shared" si="72"/>
        <v>68</v>
      </c>
      <c r="Y207" s="6">
        <f t="shared" si="73"/>
        <v>3.8888888888888893</v>
      </c>
    </row>
    <row r="208" spans="1:25" x14ac:dyDescent="0.15">
      <c r="A208" s="3">
        <v>2023</v>
      </c>
      <c r="B208" s="3" t="s">
        <v>33</v>
      </c>
      <c r="C208" s="3">
        <v>11</v>
      </c>
      <c r="D208" s="3">
        <v>16</v>
      </c>
      <c r="E208" s="3" t="s">
        <v>37</v>
      </c>
      <c r="F208" s="3" t="s">
        <v>38</v>
      </c>
      <c r="G208" s="3" t="s">
        <v>14</v>
      </c>
      <c r="H208" s="1" t="s">
        <v>37</v>
      </c>
      <c r="I208" s="3">
        <v>3</v>
      </c>
      <c r="J208" s="3" t="s">
        <v>69</v>
      </c>
      <c r="K208" s="1" t="s">
        <v>42</v>
      </c>
      <c r="L208" s="7">
        <v>75</v>
      </c>
      <c r="M208" s="7">
        <v>73</v>
      </c>
      <c r="N208" s="7">
        <f t="shared" si="74"/>
        <v>2</v>
      </c>
      <c r="O208" s="1">
        <v>0.83333333333333348</v>
      </c>
      <c r="P208" s="6">
        <v>3.0555555555555562</v>
      </c>
      <c r="Q208" s="6">
        <f>O208/(0.1*O195)</f>
        <v>3.1578947368421058</v>
      </c>
      <c r="R208" s="6">
        <f>O208/(0.1*O198)</f>
        <v>2.2222222222222223</v>
      </c>
      <c r="S208" s="6">
        <f>P208/(0.9*P199)</f>
        <v>0.97777777777777786</v>
      </c>
      <c r="T208" s="6">
        <f t="shared" si="75"/>
        <v>4.1356725146198841</v>
      </c>
      <c r="U208" s="6">
        <f t="shared" si="76"/>
        <v>3.2</v>
      </c>
      <c r="V208" s="1">
        <f>O208/O195+P208/P199</f>
        <v>1.1957894736842107</v>
      </c>
      <c r="W208" s="1">
        <f>O208/O198+P208/P199</f>
        <v>1.1022222222222224</v>
      </c>
      <c r="X208" s="1">
        <f t="shared" si="72"/>
        <v>79</v>
      </c>
      <c r="Y208" s="6">
        <f t="shared" si="73"/>
        <v>3.8888888888888897</v>
      </c>
    </row>
    <row r="209" spans="1:25" x14ac:dyDescent="0.15">
      <c r="A209" s="3">
        <v>2023</v>
      </c>
      <c r="B209" s="3" t="s">
        <v>33</v>
      </c>
      <c r="C209" s="3">
        <v>11</v>
      </c>
      <c r="D209" s="3">
        <v>17</v>
      </c>
      <c r="E209" s="3" t="s">
        <v>37</v>
      </c>
      <c r="F209" s="3" t="s">
        <v>39</v>
      </c>
      <c r="G209" s="3" t="s">
        <v>14</v>
      </c>
      <c r="H209" s="1" t="s">
        <v>37</v>
      </c>
      <c r="I209" s="3">
        <v>3</v>
      </c>
      <c r="J209" s="3" t="s">
        <v>70</v>
      </c>
      <c r="K209" s="1" t="s">
        <v>42</v>
      </c>
      <c r="L209" s="7">
        <v>72</v>
      </c>
      <c r="M209" s="7">
        <v>72</v>
      </c>
      <c r="N209" s="7">
        <f t="shared" si="74"/>
        <v>0</v>
      </c>
      <c r="O209" s="6">
        <v>0.69444444444444442</v>
      </c>
      <c r="P209" s="6">
        <v>3.1944444444444446</v>
      </c>
      <c r="Q209" s="6">
        <f>O209/(0.1*O195)</f>
        <v>2.6315789473684208</v>
      </c>
      <c r="R209" s="6">
        <f>O209/(0.1*O198)</f>
        <v>1.8518518518518514</v>
      </c>
      <c r="S209" s="6">
        <f>P209/(0.9*P200)</f>
        <v>0.91269841269841279</v>
      </c>
      <c r="T209" s="6">
        <f t="shared" si="75"/>
        <v>3.5442773600668334</v>
      </c>
      <c r="U209" s="6">
        <f t="shared" si="76"/>
        <v>2.7645502645502642</v>
      </c>
      <c r="V209" s="1">
        <f>O209/O195+P209/P200</f>
        <v>1.0845864661654137</v>
      </c>
      <c r="W209" s="1">
        <f>O209/O198+P209/P200</f>
        <v>1.0066137566137567</v>
      </c>
      <c r="X209" s="1">
        <f t="shared" si="72"/>
        <v>82</v>
      </c>
      <c r="Y209" s="6">
        <f t="shared" si="73"/>
        <v>3.8888888888888893</v>
      </c>
    </row>
    <row r="210" spans="1:25" x14ac:dyDescent="0.15">
      <c r="A210" s="3">
        <v>2023</v>
      </c>
      <c r="B210" s="3" t="s">
        <v>33</v>
      </c>
      <c r="C210" s="3">
        <v>11</v>
      </c>
      <c r="D210" s="3">
        <v>18</v>
      </c>
      <c r="E210" s="3" t="s">
        <v>37</v>
      </c>
      <c r="F210" s="3" t="s">
        <v>40</v>
      </c>
      <c r="G210" s="3" t="s">
        <v>14</v>
      </c>
      <c r="H210" s="1" t="s">
        <v>37</v>
      </c>
      <c r="I210" s="3">
        <v>3</v>
      </c>
      <c r="J210" s="3" t="s">
        <v>71</v>
      </c>
      <c r="K210" s="1" t="s">
        <v>42</v>
      </c>
      <c r="L210" s="7">
        <v>78</v>
      </c>
      <c r="M210" s="7">
        <v>77</v>
      </c>
      <c r="N210" s="7">
        <f t="shared" si="74"/>
        <v>1</v>
      </c>
      <c r="O210" s="6">
        <v>0.83333333333333348</v>
      </c>
      <c r="P210" s="6">
        <v>2.916666666666667</v>
      </c>
      <c r="Q210" s="6">
        <f>O210/(0.1*O195)</f>
        <v>3.1578947368421058</v>
      </c>
      <c r="R210" s="6">
        <f>O210/(0.1*O198)</f>
        <v>2.2222222222222223</v>
      </c>
      <c r="S210" s="6">
        <f>P210/(0.9*P201)</f>
        <v>1.0144927536231882</v>
      </c>
      <c r="T210" s="6">
        <f t="shared" si="75"/>
        <v>4.1723874904652938</v>
      </c>
      <c r="U210" s="6">
        <f t="shared" si="76"/>
        <v>3.2367149758454108</v>
      </c>
      <c r="V210" s="1">
        <f>O210/O195+P210/P201</f>
        <v>1.2288329519450802</v>
      </c>
      <c r="W210" s="1">
        <f>O210/O198+P210/P201</f>
        <v>1.1352657004830919</v>
      </c>
      <c r="X210" s="1">
        <f t="shared" si="72"/>
        <v>78</v>
      </c>
      <c r="Y210" s="6">
        <f t="shared" si="73"/>
        <v>3.7500000000000004</v>
      </c>
    </row>
    <row r="211" spans="1:25" x14ac:dyDescent="0.15">
      <c r="A211" s="3">
        <v>2023</v>
      </c>
      <c r="B211" s="3" t="s">
        <v>33</v>
      </c>
      <c r="C211" s="3">
        <v>12</v>
      </c>
      <c r="D211" s="3">
        <v>1</v>
      </c>
      <c r="E211" s="3" t="s">
        <v>35</v>
      </c>
      <c r="F211" s="3"/>
      <c r="G211" s="3" t="s">
        <v>41</v>
      </c>
      <c r="H211" s="1" t="s">
        <v>35</v>
      </c>
      <c r="I211" s="3">
        <v>4</v>
      </c>
      <c r="J211" s="3" t="s">
        <v>35</v>
      </c>
      <c r="K211" s="1" t="s">
        <v>42</v>
      </c>
      <c r="L211" s="7">
        <v>73</v>
      </c>
      <c r="M211" s="7" t="s">
        <v>45</v>
      </c>
      <c r="N211" s="7" t="s">
        <v>45</v>
      </c>
      <c r="O211" s="6">
        <v>2.916666666666667</v>
      </c>
      <c r="P211" s="6" t="s">
        <v>45</v>
      </c>
      <c r="Q211" s="6" t="s">
        <v>45</v>
      </c>
      <c r="R211" s="6" t="s">
        <v>45</v>
      </c>
      <c r="S211" s="6" t="s">
        <v>45</v>
      </c>
      <c r="T211" s="6" t="s">
        <v>45</v>
      </c>
      <c r="U211" s="6" t="s">
        <v>45</v>
      </c>
      <c r="V211" s="1" t="s">
        <v>45</v>
      </c>
      <c r="W211" s="1" t="s">
        <v>45</v>
      </c>
      <c r="X211" s="6" t="s">
        <v>45</v>
      </c>
      <c r="Y211" s="6">
        <f>O211</f>
        <v>2.916666666666667</v>
      </c>
    </row>
    <row r="212" spans="1:25" x14ac:dyDescent="0.15">
      <c r="A212" s="3">
        <v>2023</v>
      </c>
      <c r="B212" s="3" t="s">
        <v>33</v>
      </c>
      <c r="C212" s="3">
        <v>12</v>
      </c>
      <c r="D212" s="3">
        <v>2</v>
      </c>
      <c r="E212" s="3" t="s">
        <v>36</v>
      </c>
      <c r="F212" s="3"/>
      <c r="G212" s="3" t="s">
        <v>41</v>
      </c>
      <c r="H212" s="1" t="s">
        <v>36</v>
      </c>
      <c r="I212" s="3">
        <v>4</v>
      </c>
      <c r="J212" s="3" t="s">
        <v>36</v>
      </c>
      <c r="K212" s="1" t="s">
        <v>42</v>
      </c>
      <c r="L212" s="7">
        <v>58</v>
      </c>
      <c r="M212" s="7" t="s">
        <v>45</v>
      </c>
      <c r="N212" s="7" t="s">
        <v>45</v>
      </c>
      <c r="O212" s="6">
        <v>2.3611111111111112</v>
      </c>
      <c r="P212" s="6" t="s">
        <v>45</v>
      </c>
      <c r="Q212" s="6" t="s">
        <v>45</v>
      </c>
      <c r="R212" s="6" t="s">
        <v>45</v>
      </c>
      <c r="S212" s="6" t="s">
        <v>45</v>
      </c>
      <c r="T212" s="6" t="s">
        <v>45</v>
      </c>
      <c r="U212" s="6" t="s">
        <v>45</v>
      </c>
      <c r="V212" s="1" t="s">
        <v>45</v>
      </c>
      <c r="W212" s="1" t="s">
        <v>45</v>
      </c>
      <c r="X212" s="6" t="s">
        <v>45</v>
      </c>
      <c r="Y212" s="6">
        <f t="shared" ref="Y212:Y216" si="77">O212</f>
        <v>2.3611111111111112</v>
      </c>
    </row>
    <row r="213" spans="1:25" x14ac:dyDescent="0.15">
      <c r="A213" s="3">
        <v>2023</v>
      </c>
      <c r="B213" s="3" t="s">
        <v>33</v>
      </c>
      <c r="C213" s="3">
        <v>12</v>
      </c>
      <c r="D213" s="3">
        <v>3</v>
      </c>
      <c r="E213" s="3" t="s">
        <v>37</v>
      </c>
      <c r="F213" s="3"/>
      <c r="G213" s="3" t="s">
        <v>41</v>
      </c>
      <c r="H213" s="1" t="s">
        <v>37</v>
      </c>
      <c r="I213" s="3">
        <v>4</v>
      </c>
      <c r="J213" s="3" t="s">
        <v>37</v>
      </c>
      <c r="K213" s="1" t="s">
        <v>42</v>
      </c>
      <c r="L213" s="7">
        <v>44</v>
      </c>
      <c r="M213" s="7" t="s">
        <v>45</v>
      </c>
      <c r="N213" s="7" t="s">
        <v>45</v>
      </c>
      <c r="O213" s="6">
        <v>2.6388888888888888</v>
      </c>
      <c r="P213" s="6" t="s">
        <v>45</v>
      </c>
      <c r="Q213" s="6" t="s">
        <v>45</v>
      </c>
      <c r="R213" s="6" t="s">
        <v>45</v>
      </c>
      <c r="S213" s="6" t="s">
        <v>45</v>
      </c>
      <c r="T213" s="6" t="s">
        <v>45</v>
      </c>
      <c r="U213" s="6" t="s">
        <v>45</v>
      </c>
      <c r="V213" s="1" t="s">
        <v>45</v>
      </c>
      <c r="W213" s="1" t="s">
        <v>45</v>
      </c>
      <c r="X213" s="6" t="s">
        <v>45</v>
      </c>
      <c r="Y213" s="6">
        <f t="shared" si="77"/>
        <v>2.6388888888888888</v>
      </c>
    </row>
    <row r="214" spans="1:25" x14ac:dyDescent="0.15">
      <c r="A214" s="3">
        <v>2023</v>
      </c>
      <c r="B214" s="3" t="s">
        <v>33</v>
      </c>
      <c r="C214" s="3">
        <v>12</v>
      </c>
      <c r="D214" s="3">
        <v>4</v>
      </c>
      <c r="E214" s="3" t="s">
        <v>35</v>
      </c>
      <c r="F214" s="3"/>
      <c r="G214" s="3" t="s">
        <v>41</v>
      </c>
      <c r="H214" s="1" t="s">
        <v>75</v>
      </c>
      <c r="I214" s="3">
        <v>4</v>
      </c>
      <c r="J214" s="3" t="s">
        <v>35</v>
      </c>
      <c r="K214" s="1" t="s">
        <v>43</v>
      </c>
      <c r="L214" s="7">
        <v>102</v>
      </c>
      <c r="M214" s="7" t="s">
        <v>45</v>
      </c>
      <c r="N214" s="7" t="s">
        <v>45</v>
      </c>
      <c r="O214" s="6">
        <v>4.5833333333333339</v>
      </c>
      <c r="P214" s="6" t="s">
        <v>45</v>
      </c>
      <c r="Q214" s="6" t="s">
        <v>45</v>
      </c>
      <c r="R214" s="6" t="s">
        <v>45</v>
      </c>
      <c r="S214" s="6" t="s">
        <v>45</v>
      </c>
      <c r="T214" s="6" t="s">
        <v>45</v>
      </c>
      <c r="U214" s="6" t="s">
        <v>45</v>
      </c>
      <c r="V214" s="1" t="s">
        <v>45</v>
      </c>
      <c r="W214" s="1" t="s">
        <v>45</v>
      </c>
      <c r="X214" s="1" t="s">
        <v>45</v>
      </c>
      <c r="Y214" s="6">
        <f t="shared" si="77"/>
        <v>4.5833333333333339</v>
      </c>
    </row>
    <row r="215" spans="1:25" x14ac:dyDescent="0.15">
      <c r="A215" s="3">
        <v>2023</v>
      </c>
      <c r="B215" s="3" t="s">
        <v>33</v>
      </c>
      <c r="C215" s="3">
        <v>12</v>
      </c>
      <c r="D215" s="3">
        <v>5</v>
      </c>
      <c r="E215" s="3" t="s">
        <v>36</v>
      </c>
      <c r="F215" s="3"/>
      <c r="G215" s="3" t="s">
        <v>41</v>
      </c>
      <c r="H215" s="1" t="s">
        <v>76</v>
      </c>
      <c r="I215" s="3">
        <v>4</v>
      </c>
      <c r="J215" s="3" t="s">
        <v>36</v>
      </c>
      <c r="K215" s="1" t="s">
        <v>43</v>
      </c>
      <c r="L215" s="7">
        <v>82</v>
      </c>
      <c r="M215" s="7" t="s">
        <v>45</v>
      </c>
      <c r="N215" s="7" t="s">
        <v>45</v>
      </c>
      <c r="O215" s="6">
        <v>4.0277777777777777</v>
      </c>
      <c r="P215" s="6" t="s">
        <v>45</v>
      </c>
      <c r="Q215" s="6" t="s">
        <v>45</v>
      </c>
      <c r="R215" s="6" t="s">
        <v>45</v>
      </c>
      <c r="S215" s="6" t="s">
        <v>45</v>
      </c>
      <c r="T215" s="6" t="s">
        <v>45</v>
      </c>
      <c r="U215" s="6" t="s">
        <v>45</v>
      </c>
      <c r="V215" s="1" t="s">
        <v>45</v>
      </c>
      <c r="W215" s="1" t="s">
        <v>45</v>
      </c>
      <c r="X215" s="1" t="s">
        <v>45</v>
      </c>
      <c r="Y215" s="6">
        <f t="shared" si="77"/>
        <v>4.0277777777777777</v>
      </c>
    </row>
    <row r="216" spans="1:25" x14ac:dyDescent="0.15">
      <c r="A216" s="3">
        <v>2023</v>
      </c>
      <c r="B216" s="3" t="s">
        <v>33</v>
      </c>
      <c r="C216" s="3">
        <v>12</v>
      </c>
      <c r="D216" s="3">
        <v>6</v>
      </c>
      <c r="E216" s="3" t="s">
        <v>37</v>
      </c>
      <c r="F216" s="3"/>
      <c r="G216" s="3" t="s">
        <v>41</v>
      </c>
      <c r="H216" s="1" t="s">
        <v>77</v>
      </c>
      <c r="I216" s="3">
        <v>4</v>
      </c>
      <c r="J216" s="3" t="s">
        <v>37</v>
      </c>
      <c r="K216" s="1" t="s">
        <v>43</v>
      </c>
      <c r="L216" s="7">
        <v>71</v>
      </c>
      <c r="M216" s="7" t="s">
        <v>45</v>
      </c>
      <c r="N216" s="7" t="s">
        <v>45</v>
      </c>
      <c r="O216" s="6">
        <v>4.166666666666667</v>
      </c>
      <c r="P216" s="1" t="s">
        <v>45</v>
      </c>
      <c r="Q216" s="6" t="s">
        <v>45</v>
      </c>
      <c r="R216" s="6" t="s">
        <v>45</v>
      </c>
      <c r="S216" s="6" t="s">
        <v>45</v>
      </c>
      <c r="T216" s="6" t="s">
        <v>45</v>
      </c>
      <c r="U216" s="6" t="s">
        <v>45</v>
      </c>
      <c r="V216" s="1" t="s">
        <v>45</v>
      </c>
      <c r="W216" s="1" t="s">
        <v>45</v>
      </c>
      <c r="X216" s="1" t="s">
        <v>45</v>
      </c>
      <c r="Y216" s="6">
        <f t="shared" si="77"/>
        <v>4.166666666666667</v>
      </c>
    </row>
    <row r="217" spans="1:25" x14ac:dyDescent="0.15">
      <c r="A217" s="3">
        <v>2023</v>
      </c>
      <c r="B217" s="3" t="s">
        <v>33</v>
      </c>
      <c r="C217" s="3">
        <v>12</v>
      </c>
      <c r="D217" s="3">
        <v>7</v>
      </c>
      <c r="E217" s="3"/>
      <c r="F217" s="3" t="s">
        <v>38</v>
      </c>
      <c r="G217" s="3" t="s">
        <v>41</v>
      </c>
      <c r="H217" s="1"/>
      <c r="I217" s="3">
        <v>4</v>
      </c>
      <c r="J217" s="3" t="s">
        <v>38</v>
      </c>
      <c r="K217" s="1" t="s">
        <v>42</v>
      </c>
      <c r="L217" s="7" t="s">
        <v>45</v>
      </c>
      <c r="M217" s="7">
        <v>77</v>
      </c>
      <c r="N217" s="7" t="s">
        <v>45</v>
      </c>
      <c r="O217" s="6" t="s">
        <v>45</v>
      </c>
      <c r="P217" s="1">
        <v>3.3333333333333339</v>
      </c>
      <c r="Q217" s="6" t="s">
        <v>45</v>
      </c>
      <c r="R217" s="6" t="s">
        <v>45</v>
      </c>
      <c r="S217" s="6" t="s">
        <v>45</v>
      </c>
      <c r="T217" s="6" t="s">
        <v>45</v>
      </c>
      <c r="U217" s="6" t="s">
        <v>45</v>
      </c>
      <c r="V217" s="1" t="s">
        <v>45</v>
      </c>
      <c r="W217" s="1" t="s">
        <v>45</v>
      </c>
      <c r="X217" s="1" t="s">
        <v>45</v>
      </c>
      <c r="Y217" s="6">
        <f>P217</f>
        <v>3.3333333333333339</v>
      </c>
    </row>
    <row r="218" spans="1:25" x14ac:dyDescent="0.15">
      <c r="A218" s="3">
        <v>2023</v>
      </c>
      <c r="B218" s="3" t="s">
        <v>33</v>
      </c>
      <c r="C218" s="3">
        <v>12</v>
      </c>
      <c r="D218" s="3">
        <v>8</v>
      </c>
      <c r="E218" s="3"/>
      <c r="F218" s="3" t="s">
        <v>39</v>
      </c>
      <c r="G218" s="3" t="s">
        <v>41</v>
      </c>
      <c r="H218" s="1"/>
      <c r="I218" s="3">
        <v>4</v>
      </c>
      <c r="J218" s="3" t="s">
        <v>39</v>
      </c>
      <c r="K218" s="1" t="s">
        <v>42</v>
      </c>
      <c r="L218" s="7" t="s">
        <v>45</v>
      </c>
      <c r="M218" s="7">
        <v>73</v>
      </c>
      <c r="N218" s="7" t="s">
        <v>45</v>
      </c>
      <c r="O218" s="6" t="s">
        <v>45</v>
      </c>
      <c r="P218" s="1">
        <v>3.6111111111111116</v>
      </c>
      <c r="Q218" s="6" t="s">
        <v>45</v>
      </c>
      <c r="R218" s="6" t="s">
        <v>45</v>
      </c>
      <c r="S218" s="6" t="s">
        <v>45</v>
      </c>
      <c r="T218" s="6" t="s">
        <v>45</v>
      </c>
      <c r="U218" s="6" t="s">
        <v>45</v>
      </c>
      <c r="V218" s="1" t="s">
        <v>45</v>
      </c>
      <c r="W218" s="1" t="s">
        <v>45</v>
      </c>
      <c r="X218" s="1" t="s">
        <v>45</v>
      </c>
      <c r="Y218" s="6">
        <f t="shared" ref="Y218:Y219" si="78">P218</f>
        <v>3.6111111111111116</v>
      </c>
    </row>
    <row r="219" spans="1:25" x14ac:dyDescent="0.15">
      <c r="A219" s="3">
        <v>2023</v>
      </c>
      <c r="B219" s="3" t="s">
        <v>33</v>
      </c>
      <c r="C219" s="3">
        <v>12</v>
      </c>
      <c r="D219" s="3">
        <v>9</v>
      </c>
      <c r="E219" s="3"/>
      <c r="F219" s="3" t="s">
        <v>40</v>
      </c>
      <c r="G219" s="3" t="s">
        <v>41</v>
      </c>
      <c r="H219" s="1"/>
      <c r="I219" s="3">
        <v>4</v>
      </c>
      <c r="J219" s="3" t="s">
        <v>40</v>
      </c>
      <c r="K219" s="1" t="s">
        <v>42</v>
      </c>
      <c r="L219" s="7" t="s">
        <v>45</v>
      </c>
      <c r="M219" s="7">
        <v>72</v>
      </c>
      <c r="N219" s="7" t="s">
        <v>45</v>
      </c>
      <c r="O219" s="1" t="s">
        <v>45</v>
      </c>
      <c r="P219" s="6">
        <v>3.1944444444444446</v>
      </c>
      <c r="Q219" s="6" t="s">
        <v>45</v>
      </c>
      <c r="R219" s="6" t="s">
        <v>45</v>
      </c>
      <c r="S219" s="6" t="s">
        <v>45</v>
      </c>
      <c r="T219" s="6" t="s">
        <v>45</v>
      </c>
      <c r="U219" s="6" t="s">
        <v>45</v>
      </c>
      <c r="V219" s="1" t="s">
        <v>45</v>
      </c>
      <c r="W219" s="1" t="s">
        <v>45</v>
      </c>
      <c r="X219" s="1" t="s">
        <v>45</v>
      </c>
      <c r="Y219" s="6">
        <f t="shared" si="78"/>
        <v>3.1944444444444446</v>
      </c>
    </row>
    <row r="220" spans="1:25" x14ac:dyDescent="0.15">
      <c r="A220" s="3">
        <v>2023</v>
      </c>
      <c r="B220" s="3" t="s">
        <v>33</v>
      </c>
      <c r="C220" s="3">
        <v>12</v>
      </c>
      <c r="D220" s="3">
        <v>10</v>
      </c>
      <c r="E220" s="3" t="s">
        <v>35</v>
      </c>
      <c r="F220" s="3" t="s">
        <v>38</v>
      </c>
      <c r="G220" s="3" t="s">
        <v>14</v>
      </c>
      <c r="H220" s="1" t="s">
        <v>35</v>
      </c>
      <c r="I220" s="3">
        <v>4</v>
      </c>
      <c r="J220" s="3" t="s">
        <v>63</v>
      </c>
      <c r="K220" s="1" t="s">
        <v>42</v>
      </c>
      <c r="L220" s="7">
        <v>113</v>
      </c>
      <c r="M220" s="7">
        <v>74</v>
      </c>
      <c r="N220" s="7">
        <f>L220-M220</f>
        <v>39</v>
      </c>
      <c r="O220" s="1">
        <v>1.1111111111111114</v>
      </c>
      <c r="P220" s="6">
        <v>3.0555555555555562</v>
      </c>
      <c r="Q220" s="6">
        <f>O220/(0.1*O211)</f>
        <v>3.8095238095238102</v>
      </c>
      <c r="R220" s="6">
        <f>O220/(0.1*O214)</f>
        <v>2.4242424242424243</v>
      </c>
      <c r="S220" s="6">
        <f>P220/(0.9*P217)</f>
        <v>1.0185185185185186</v>
      </c>
      <c r="T220" s="6">
        <f>Q220+S220</f>
        <v>4.8280423280423292</v>
      </c>
      <c r="U220" s="6">
        <f>R220+S220</f>
        <v>3.4427609427609429</v>
      </c>
      <c r="V220" s="1">
        <f>O220/O211+P220/P217</f>
        <v>1.2976190476190477</v>
      </c>
      <c r="W220" s="1">
        <f>O220/O214+P220/P217</f>
        <v>1.1590909090909092</v>
      </c>
      <c r="X220" s="1">
        <f t="shared" ref="X220:X228" si="79">100*ROUND(P220/(P220+O220), 2)</f>
        <v>73</v>
      </c>
      <c r="Y220" s="6">
        <f t="shared" ref="Y220:Y228" si="80">O220+P220</f>
        <v>4.1666666666666679</v>
      </c>
    </row>
    <row r="221" spans="1:25" x14ac:dyDescent="0.15">
      <c r="A221" s="3">
        <v>2023</v>
      </c>
      <c r="B221" s="3" t="s">
        <v>33</v>
      </c>
      <c r="C221" s="3">
        <v>12</v>
      </c>
      <c r="D221" s="3">
        <v>11</v>
      </c>
      <c r="E221" s="3" t="s">
        <v>35</v>
      </c>
      <c r="F221" s="3" t="s">
        <v>39</v>
      </c>
      <c r="G221" s="3" t="s">
        <v>14</v>
      </c>
      <c r="H221" s="1" t="s">
        <v>35</v>
      </c>
      <c r="I221" s="3">
        <v>4</v>
      </c>
      <c r="J221" s="3" t="s">
        <v>64</v>
      </c>
      <c r="K221" s="1" t="s">
        <v>42</v>
      </c>
      <c r="L221" s="7">
        <v>107</v>
      </c>
      <c r="M221" s="7">
        <v>73</v>
      </c>
      <c r="N221" s="7">
        <f t="shared" ref="N221:N228" si="81">L221-M221</f>
        <v>34</v>
      </c>
      <c r="O221" s="1">
        <v>1.3888888888888888</v>
      </c>
      <c r="P221" s="6">
        <v>2.6388888888888888</v>
      </c>
      <c r="Q221" s="6">
        <f>O221/(0.1*O211)</f>
        <v>4.7619047619047619</v>
      </c>
      <c r="R221" s="6">
        <f>O221/(0.1*O214)</f>
        <v>3.0303030303030294</v>
      </c>
      <c r="S221" s="6">
        <f>P221/(0.9*P218)</f>
        <v>0.81196581196581186</v>
      </c>
      <c r="T221" s="6">
        <f t="shared" ref="T221:T228" si="82">Q221+S221</f>
        <v>5.5738705738705736</v>
      </c>
      <c r="U221" s="6">
        <f t="shared" ref="U221:U228" si="83">R221+S221</f>
        <v>3.8422688422688411</v>
      </c>
      <c r="V221" s="1">
        <f>O221/O211+P221/P218</f>
        <v>1.2069597069597067</v>
      </c>
      <c r="W221" s="1">
        <f>O221/O214+P221/P218</f>
        <v>1.0337995337995336</v>
      </c>
      <c r="X221" s="1">
        <f t="shared" si="79"/>
        <v>66</v>
      </c>
      <c r="Y221" s="6">
        <f t="shared" si="80"/>
        <v>4.0277777777777777</v>
      </c>
    </row>
    <row r="222" spans="1:25" x14ac:dyDescent="0.15">
      <c r="A222" s="3">
        <v>2023</v>
      </c>
      <c r="B222" s="3" t="s">
        <v>33</v>
      </c>
      <c r="C222" s="3">
        <v>12</v>
      </c>
      <c r="D222" s="3">
        <v>12</v>
      </c>
      <c r="E222" s="3" t="s">
        <v>35</v>
      </c>
      <c r="F222" s="3" t="s">
        <v>40</v>
      </c>
      <c r="G222" s="3" t="s">
        <v>14</v>
      </c>
      <c r="H222" s="1" t="s">
        <v>35</v>
      </c>
      <c r="I222" s="3">
        <v>4</v>
      </c>
      <c r="J222" s="3" t="s">
        <v>65</v>
      </c>
      <c r="K222" s="1" t="s">
        <v>42</v>
      </c>
      <c r="L222" s="7">
        <v>110</v>
      </c>
      <c r="M222" s="7">
        <v>77</v>
      </c>
      <c r="N222" s="7">
        <f t="shared" si="81"/>
        <v>33</v>
      </c>
      <c r="O222" s="6">
        <v>1.1111111111111114</v>
      </c>
      <c r="P222" s="6">
        <v>2.2222222222222228</v>
      </c>
      <c r="Q222" s="6">
        <f>O222/(0.1*O211)</f>
        <v>3.8095238095238102</v>
      </c>
      <c r="R222" s="6">
        <f>O222/(0.1*O214)</f>
        <v>2.4242424242424243</v>
      </c>
      <c r="S222" s="6">
        <f>P222/(0.9*P219)</f>
        <v>0.77294685990338174</v>
      </c>
      <c r="T222" s="6">
        <f t="shared" si="82"/>
        <v>4.5824706694271917</v>
      </c>
      <c r="U222" s="6">
        <f t="shared" si="83"/>
        <v>3.1971892841458063</v>
      </c>
      <c r="V222" s="1">
        <f>O222/O211+P222/P219</f>
        <v>1.0766045548654246</v>
      </c>
      <c r="W222" s="1">
        <f>O222/O214+P222/P219</f>
        <v>0.938076416337286</v>
      </c>
      <c r="X222" s="1">
        <f t="shared" si="79"/>
        <v>67</v>
      </c>
      <c r="Y222" s="6">
        <f t="shared" si="80"/>
        <v>3.3333333333333339</v>
      </c>
    </row>
    <row r="223" spans="1:25" x14ac:dyDescent="0.15">
      <c r="A223" s="3">
        <v>2023</v>
      </c>
      <c r="B223" s="3" t="s">
        <v>33</v>
      </c>
      <c r="C223" s="3">
        <v>12</v>
      </c>
      <c r="D223" s="3">
        <v>13</v>
      </c>
      <c r="E223" s="3" t="s">
        <v>36</v>
      </c>
      <c r="F223" s="3" t="s">
        <v>38</v>
      </c>
      <c r="G223" s="3" t="s">
        <v>14</v>
      </c>
      <c r="H223" s="1" t="s">
        <v>36</v>
      </c>
      <c r="I223" s="3">
        <v>4</v>
      </c>
      <c r="J223" s="3" t="s">
        <v>66</v>
      </c>
      <c r="K223" s="1" t="s">
        <v>42</v>
      </c>
      <c r="L223" s="7">
        <v>94</v>
      </c>
      <c r="M223" s="7">
        <v>71</v>
      </c>
      <c r="N223" s="7">
        <f t="shared" si="81"/>
        <v>23</v>
      </c>
      <c r="O223" s="6">
        <v>1.1111111111111114</v>
      </c>
      <c r="P223" s="6">
        <v>2.7777777777777777</v>
      </c>
      <c r="Q223" s="6">
        <f>O223/(0.1*O212)</f>
        <v>4.7058823529411775</v>
      </c>
      <c r="R223" s="6">
        <f>O223/(0.1*O215)</f>
        <v>2.758620689655173</v>
      </c>
      <c r="S223" s="6">
        <f>P223/(0.9*P217)</f>
        <v>0.92592592592592571</v>
      </c>
      <c r="T223" s="6">
        <f t="shared" si="82"/>
        <v>5.6318082788671031</v>
      </c>
      <c r="U223" s="6">
        <f t="shared" si="83"/>
        <v>3.6845466155810986</v>
      </c>
      <c r="V223" s="1">
        <f>O223/O212+P223/P217</f>
        <v>1.3039215686274508</v>
      </c>
      <c r="W223" s="1">
        <f>O223/O215+P223/P217</f>
        <v>1.1091954022988504</v>
      </c>
      <c r="X223" s="1">
        <f t="shared" si="79"/>
        <v>71</v>
      </c>
      <c r="Y223" s="6">
        <f t="shared" si="80"/>
        <v>3.8888888888888893</v>
      </c>
    </row>
    <row r="224" spans="1:25" x14ac:dyDescent="0.15">
      <c r="A224" s="3">
        <v>2023</v>
      </c>
      <c r="B224" s="3" t="s">
        <v>33</v>
      </c>
      <c r="C224" s="3">
        <v>12</v>
      </c>
      <c r="D224" s="3">
        <v>14</v>
      </c>
      <c r="E224" s="3" t="s">
        <v>36</v>
      </c>
      <c r="F224" s="3" t="s">
        <v>39</v>
      </c>
      <c r="G224" s="3" t="s">
        <v>14</v>
      </c>
      <c r="H224" s="1" t="s">
        <v>36</v>
      </c>
      <c r="I224" s="3">
        <v>4</v>
      </c>
      <c r="J224" s="3" t="s">
        <v>67</v>
      </c>
      <c r="K224" s="1" t="s">
        <v>42</v>
      </c>
      <c r="L224" s="7">
        <v>94</v>
      </c>
      <c r="M224" s="7">
        <v>68</v>
      </c>
      <c r="N224" s="7">
        <f t="shared" si="81"/>
        <v>26</v>
      </c>
      <c r="O224" s="6">
        <v>1.2500000000000002</v>
      </c>
      <c r="P224" s="6">
        <v>2.6388888888888888</v>
      </c>
      <c r="Q224" s="6">
        <f>O224/(0.1*O212)</f>
        <v>5.2941176470588243</v>
      </c>
      <c r="R224" s="6">
        <f>O224/(0.1*O215)</f>
        <v>3.1034482758620694</v>
      </c>
      <c r="S224" s="6">
        <f>P224/(0.9*P218)</f>
        <v>0.81196581196581186</v>
      </c>
      <c r="T224" s="6">
        <f t="shared" si="82"/>
        <v>6.106083459024636</v>
      </c>
      <c r="U224" s="6">
        <f t="shared" si="83"/>
        <v>3.9154140878278811</v>
      </c>
      <c r="V224" s="1">
        <f>O224/O212+P224/P218</f>
        <v>1.2601809954751131</v>
      </c>
      <c r="W224" s="1">
        <f>O224/O215+P224/P218</f>
        <v>1.0411140583554377</v>
      </c>
      <c r="X224" s="1">
        <f t="shared" si="79"/>
        <v>68</v>
      </c>
      <c r="Y224" s="6">
        <f t="shared" si="80"/>
        <v>3.8888888888888893</v>
      </c>
    </row>
    <row r="225" spans="1:25" x14ac:dyDescent="0.15">
      <c r="A225" s="3">
        <v>2023</v>
      </c>
      <c r="B225" s="3" t="s">
        <v>33</v>
      </c>
      <c r="C225" s="3">
        <v>12</v>
      </c>
      <c r="D225" s="3">
        <v>15</v>
      </c>
      <c r="E225" s="3" t="s">
        <v>36</v>
      </c>
      <c r="F225" s="3" t="s">
        <v>40</v>
      </c>
      <c r="G225" s="3" t="s">
        <v>14</v>
      </c>
      <c r="H225" s="1" t="s">
        <v>36</v>
      </c>
      <c r="I225" s="3">
        <v>4</v>
      </c>
      <c r="J225" s="3" t="s">
        <v>68</v>
      </c>
      <c r="K225" s="1" t="s">
        <v>42</v>
      </c>
      <c r="L225" s="7">
        <v>101</v>
      </c>
      <c r="M225" s="7">
        <v>70</v>
      </c>
      <c r="N225" s="7">
        <f t="shared" si="81"/>
        <v>31</v>
      </c>
      <c r="O225" s="6">
        <v>1.3888888888888888</v>
      </c>
      <c r="P225" s="6">
        <v>2.3611111111111112</v>
      </c>
      <c r="Q225" s="6">
        <f>O225/(0.1*O212)</f>
        <v>5.8823529411764701</v>
      </c>
      <c r="R225" s="6">
        <f>O225/(0.1*O215)</f>
        <v>3.4482758620689653</v>
      </c>
      <c r="S225" s="6">
        <f>P225/(0.9*P219)</f>
        <v>0.82125603864734287</v>
      </c>
      <c r="T225" s="6">
        <f t="shared" si="82"/>
        <v>6.7036089798238132</v>
      </c>
      <c r="U225" s="6">
        <f t="shared" si="83"/>
        <v>4.2695319007163084</v>
      </c>
      <c r="V225" s="1">
        <f>O225/O212+P225/P219</f>
        <v>1.3273657289002556</v>
      </c>
      <c r="W225" s="1">
        <f>O225/O215+P225/P219</f>
        <v>1.0839580209895052</v>
      </c>
      <c r="X225" s="1">
        <f t="shared" si="79"/>
        <v>63</v>
      </c>
      <c r="Y225" s="6">
        <f t="shared" si="80"/>
        <v>3.75</v>
      </c>
    </row>
    <row r="226" spans="1:25" x14ac:dyDescent="0.15">
      <c r="A226" s="3">
        <v>2023</v>
      </c>
      <c r="B226" s="3" t="s">
        <v>33</v>
      </c>
      <c r="C226" s="3">
        <v>12</v>
      </c>
      <c r="D226" s="3">
        <v>16</v>
      </c>
      <c r="E226" s="3" t="s">
        <v>37</v>
      </c>
      <c r="F226" s="3" t="s">
        <v>38</v>
      </c>
      <c r="G226" s="3" t="s">
        <v>14</v>
      </c>
      <c r="H226" s="1" t="s">
        <v>37</v>
      </c>
      <c r="I226" s="3">
        <v>4</v>
      </c>
      <c r="J226" s="3" t="s">
        <v>69</v>
      </c>
      <c r="K226" s="1" t="s">
        <v>42</v>
      </c>
      <c r="L226" s="7">
        <v>78</v>
      </c>
      <c r="M226" s="7">
        <v>83</v>
      </c>
      <c r="N226" s="7">
        <f t="shared" si="81"/>
        <v>-5</v>
      </c>
      <c r="O226" s="6">
        <v>0.69444444444444442</v>
      </c>
      <c r="P226" s="6">
        <v>3.4722222222222228</v>
      </c>
      <c r="Q226" s="6">
        <f>O226/(0.1*O213)</f>
        <v>2.6315789473684208</v>
      </c>
      <c r="R226" s="6">
        <f>O226/(0.1*O216)</f>
        <v>1.6666666666666663</v>
      </c>
      <c r="S226" s="6">
        <f>P226/(0.9*P217)</f>
        <v>1.1574074074074074</v>
      </c>
      <c r="T226" s="6">
        <f t="shared" si="82"/>
        <v>3.7889863547758282</v>
      </c>
      <c r="U226" s="6">
        <f t="shared" si="83"/>
        <v>2.8240740740740735</v>
      </c>
      <c r="V226" s="1">
        <f>O226/O213+P226/P217</f>
        <v>1.3048245614035088</v>
      </c>
      <c r="W226" s="1">
        <f>O226/O216+P226/P217</f>
        <v>1.2083333333333335</v>
      </c>
      <c r="X226" s="1">
        <f t="shared" si="79"/>
        <v>83</v>
      </c>
      <c r="Y226" s="6">
        <f t="shared" si="80"/>
        <v>4.166666666666667</v>
      </c>
    </row>
    <row r="227" spans="1:25" x14ac:dyDescent="0.15">
      <c r="A227" s="3">
        <v>2023</v>
      </c>
      <c r="B227" s="3" t="s">
        <v>33</v>
      </c>
      <c r="C227" s="3">
        <v>12</v>
      </c>
      <c r="D227" s="3">
        <v>17</v>
      </c>
      <c r="E227" s="3" t="s">
        <v>37</v>
      </c>
      <c r="F227" s="3" t="s">
        <v>39</v>
      </c>
      <c r="G227" s="3" t="s">
        <v>14</v>
      </c>
      <c r="H227" s="1" t="s">
        <v>37</v>
      </c>
      <c r="I227" s="3">
        <v>4</v>
      </c>
      <c r="J227" s="3" t="s">
        <v>70</v>
      </c>
      <c r="K227" s="1" t="s">
        <v>42</v>
      </c>
      <c r="L227" s="7">
        <v>77</v>
      </c>
      <c r="M227" s="7">
        <v>73</v>
      </c>
      <c r="N227" s="7">
        <f t="shared" si="81"/>
        <v>4</v>
      </c>
      <c r="O227" s="6">
        <v>1.1111111111111114</v>
      </c>
      <c r="P227" s="6">
        <v>3.0555555555555562</v>
      </c>
      <c r="Q227" s="6">
        <f>O227/(0.1*O213)</f>
        <v>4.2105263157894743</v>
      </c>
      <c r="R227" s="6">
        <f>O227/(0.1*O216)</f>
        <v>2.666666666666667</v>
      </c>
      <c r="S227" s="6">
        <f>P227/(0.9*P218)</f>
        <v>0.94017094017094027</v>
      </c>
      <c r="T227" s="6">
        <f t="shared" si="82"/>
        <v>5.1506972559604147</v>
      </c>
      <c r="U227" s="6">
        <f t="shared" si="83"/>
        <v>3.6068376068376073</v>
      </c>
      <c r="V227" s="1">
        <f>O227/O213+P227/P218</f>
        <v>1.2672064777327936</v>
      </c>
      <c r="W227" s="1">
        <f>O227/O216+P227/P218</f>
        <v>1.1128205128205129</v>
      </c>
      <c r="X227" s="1">
        <f t="shared" si="79"/>
        <v>73</v>
      </c>
      <c r="Y227" s="6">
        <f t="shared" si="80"/>
        <v>4.1666666666666679</v>
      </c>
    </row>
    <row r="228" spans="1:25" x14ac:dyDescent="0.15">
      <c r="A228" s="3">
        <v>2023</v>
      </c>
      <c r="B228" s="3" t="s">
        <v>33</v>
      </c>
      <c r="C228" s="3">
        <v>12</v>
      </c>
      <c r="D228" s="3">
        <v>18</v>
      </c>
      <c r="E228" s="3" t="s">
        <v>37</v>
      </c>
      <c r="F228" s="3" t="s">
        <v>40</v>
      </c>
      <c r="G228" s="3" t="s">
        <v>14</v>
      </c>
      <c r="H228" s="1" t="s">
        <v>37</v>
      </c>
      <c r="I228" s="3">
        <v>4</v>
      </c>
      <c r="J228" s="3" t="s">
        <v>71</v>
      </c>
      <c r="K228" s="1" t="s">
        <v>42</v>
      </c>
      <c r="L228" s="7">
        <v>73</v>
      </c>
      <c r="M228" s="7">
        <v>78</v>
      </c>
      <c r="N228" s="7">
        <f t="shared" si="81"/>
        <v>-5</v>
      </c>
      <c r="O228" s="6">
        <v>0.69444444444444442</v>
      </c>
      <c r="P228" s="6">
        <v>3.0555555555555562</v>
      </c>
      <c r="Q228" s="6">
        <f>O228/(0.1*O213)</f>
        <v>2.6315789473684208</v>
      </c>
      <c r="R228" s="6">
        <f>O228/(0.1*O216)</f>
        <v>1.6666666666666663</v>
      </c>
      <c r="S228" s="6">
        <f>P228/(0.9*P219)</f>
        <v>1.0628019323671498</v>
      </c>
      <c r="T228" s="6">
        <f t="shared" si="82"/>
        <v>3.6943808797355704</v>
      </c>
      <c r="U228" s="6">
        <f t="shared" si="83"/>
        <v>2.7294685990338161</v>
      </c>
      <c r="V228" s="1">
        <f>O228/O213+P228/P219</f>
        <v>1.2196796338672771</v>
      </c>
      <c r="W228" s="1">
        <f>O228/O216+P228/P219</f>
        <v>1.1231884057971016</v>
      </c>
      <c r="X228" s="1">
        <f t="shared" si="79"/>
        <v>81</v>
      </c>
      <c r="Y228" s="6">
        <f t="shared" si="80"/>
        <v>3.7500000000000009</v>
      </c>
    </row>
    <row r="229" spans="1:25" x14ac:dyDescent="0.15">
      <c r="A229" s="3">
        <v>2023</v>
      </c>
      <c r="B229" s="3" t="s">
        <v>34</v>
      </c>
      <c r="C229" s="3">
        <v>13</v>
      </c>
      <c r="D229" s="3">
        <v>1</v>
      </c>
      <c r="E229" s="3" t="s">
        <v>35</v>
      </c>
      <c r="F229" s="3"/>
      <c r="G229" s="3" t="s">
        <v>41</v>
      </c>
      <c r="H229" s="1" t="s">
        <v>35</v>
      </c>
      <c r="I229" s="3">
        <v>1</v>
      </c>
      <c r="J229" s="3" t="s">
        <v>35</v>
      </c>
      <c r="K229" s="1" t="s">
        <v>42</v>
      </c>
      <c r="L229" s="1">
        <v>84</v>
      </c>
      <c r="M229" s="1" t="s">
        <v>45</v>
      </c>
      <c r="N229" s="7" t="s">
        <v>45</v>
      </c>
      <c r="O229" s="1">
        <v>2.6388888888888888</v>
      </c>
      <c r="P229" s="1" t="s">
        <v>45</v>
      </c>
      <c r="Q229" s="6" t="s">
        <v>45</v>
      </c>
      <c r="R229" s="6" t="s">
        <v>45</v>
      </c>
      <c r="S229" s="6" t="s">
        <v>45</v>
      </c>
      <c r="T229" s="6" t="s">
        <v>45</v>
      </c>
      <c r="U229" s="6" t="s">
        <v>45</v>
      </c>
      <c r="V229" s="1" t="s">
        <v>45</v>
      </c>
      <c r="W229" s="1" t="s">
        <v>45</v>
      </c>
      <c r="X229" s="6" t="s">
        <v>45</v>
      </c>
      <c r="Y229" s="6">
        <f>O229</f>
        <v>2.6388888888888888</v>
      </c>
    </row>
    <row r="230" spans="1:25" x14ac:dyDescent="0.15">
      <c r="A230" s="3">
        <v>2023</v>
      </c>
      <c r="B230" s="3" t="s">
        <v>34</v>
      </c>
      <c r="C230" s="3">
        <v>13</v>
      </c>
      <c r="D230" s="3">
        <v>2</v>
      </c>
      <c r="E230" s="3" t="s">
        <v>36</v>
      </c>
      <c r="F230" s="3"/>
      <c r="G230" s="3" t="s">
        <v>41</v>
      </c>
      <c r="H230" s="1" t="s">
        <v>36</v>
      </c>
      <c r="I230" s="3">
        <v>1</v>
      </c>
      <c r="J230" s="3" t="s">
        <v>36</v>
      </c>
      <c r="K230" s="1" t="s">
        <v>42</v>
      </c>
      <c r="L230" s="1">
        <v>77</v>
      </c>
      <c r="M230" s="1" t="s">
        <v>45</v>
      </c>
      <c r="N230" s="7" t="s">
        <v>45</v>
      </c>
      <c r="O230" s="1">
        <v>2.916666666666667</v>
      </c>
      <c r="P230" s="1" t="s">
        <v>45</v>
      </c>
      <c r="Q230" s="6" t="s">
        <v>45</v>
      </c>
      <c r="R230" s="6" t="s">
        <v>45</v>
      </c>
      <c r="S230" s="6" t="s">
        <v>45</v>
      </c>
      <c r="T230" s="6" t="s">
        <v>45</v>
      </c>
      <c r="U230" s="6" t="s">
        <v>45</v>
      </c>
      <c r="V230" s="1" t="s">
        <v>45</v>
      </c>
      <c r="W230" s="1" t="s">
        <v>45</v>
      </c>
      <c r="X230" s="6" t="s">
        <v>45</v>
      </c>
      <c r="Y230" s="6">
        <f t="shared" ref="Y230:Y234" si="84">O230</f>
        <v>2.916666666666667</v>
      </c>
    </row>
    <row r="231" spans="1:25" x14ac:dyDescent="0.15">
      <c r="A231" s="3">
        <v>2023</v>
      </c>
      <c r="B231" s="3" t="s">
        <v>34</v>
      </c>
      <c r="C231" s="3">
        <v>13</v>
      </c>
      <c r="D231" s="3">
        <v>3</v>
      </c>
      <c r="E231" s="3" t="s">
        <v>37</v>
      </c>
      <c r="F231" s="3"/>
      <c r="G231" s="3" t="s">
        <v>41</v>
      </c>
      <c r="H231" s="1" t="s">
        <v>37</v>
      </c>
      <c r="I231" s="3">
        <v>1</v>
      </c>
      <c r="J231" s="3" t="s">
        <v>37</v>
      </c>
      <c r="K231" s="1" t="s">
        <v>42</v>
      </c>
      <c r="L231" s="1">
        <v>57</v>
      </c>
      <c r="M231" s="1" t="s">
        <v>45</v>
      </c>
      <c r="N231" s="7" t="s">
        <v>45</v>
      </c>
      <c r="O231" s="1">
        <v>3.1944444444444446</v>
      </c>
      <c r="P231" s="1" t="s">
        <v>45</v>
      </c>
      <c r="Q231" s="6" t="s">
        <v>45</v>
      </c>
      <c r="R231" s="6" t="s">
        <v>45</v>
      </c>
      <c r="S231" s="6" t="s">
        <v>45</v>
      </c>
      <c r="T231" s="6" t="s">
        <v>45</v>
      </c>
      <c r="U231" s="6" t="s">
        <v>45</v>
      </c>
      <c r="V231" s="1" t="s">
        <v>45</v>
      </c>
      <c r="W231" s="1" t="s">
        <v>45</v>
      </c>
      <c r="X231" s="6" t="s">
        <v>45</v>
      </c>
      <c r="Y231" s="6">
        <f t="shared" si="84"/>
        <v>3.1944444444444446</v>
      </c>
    </row>
    <row r="232" spans="1:25" x14ac:dyDescent="0.15">
      <c r="A232" s="3">
        <v>2023</v>
      </c>
      <c r="B232" s="3" t="s">
        <v>34</v>
      </c>
      <c r="C232" s="3">
        <v>13</v>
      </c>
      <c r="D232" s="3">
        <v>4</v>
      </c>
      <c r="E232" s="3" t="s">
        <v>35</v>
      </c>
      <c r="F232" s="3"/>
      <c r="G232" s="3" t="s">
        <v>41</v>
      </c>
      <c r="H232" s="1" t="s">
        <v>75</v>
      </c>
      <c r="I232" s="3">
        <v>1</v>
      </c>
      <c r="J232" s="3" t="s">
        <v>35</v>
      </c>
      <c r="K232" s="1" t="s">
        <v>43</v>
      </c>
      <c r="L232" s="1">
        <v>124</v>
      </c>
      <c r="M232" s="1" t="s">
        <v>45</v>
      </c>
      <c r="N232" s="7" t="s">
        <v>45</v>
      </c>
      <c r="O232" s="1">
        <v>4.3055555555555562</v>
      </c>
      <c r="P232" s="1" t="s">
        <v>45</v>
      </c>
      <c r="Q232" s="6" t="s">
        <v>45</v>
      </c>
      <c r="R232" s="6" t="s">
        <v>45</v>
      </c>
      <c r="S232" s="6" t="s">
        <v>45</v>
      </c>
      <c r="T232" s="6" t="s">
        <v>45</v>
      </c>
      <c r="U232" s="6" t="s">
        <v>45</v>
      </c>
      <c r="V232" s="1" t="s">
        <v>45</v>
      </c>
      <c r="W232" s="1" t="s">
        <v>45</v>
      </c>
      <c r="X232" s="1" t="s">
        <v>45</v>
      </c>
      <c r="Y232" s="6">
        <f t="shared" si="84"/>
        <v>4.3055555555555562</v>
      </c>
    </row>
    <row r="233" spans="1:25" x14ac:dyDescent="0.15">
      <c r="A233" s="3">
        <v>2023</v>
      </c>
      <c r="B233" s="3" t="s">
        <v>34</v>
      </c>
      <c r="C233" s="3">
        <v>13</v>
      </c>
      <c r="D233" s="3">
        <v>5</v>
      </c>
      <c r="E233" s="3" t="s">
        <v>36</v>
      </c>
      <c r="F233" s="3"/>
      <c r="G233" s="3" t="s">
        <v>41</v>
      </c>
      <c r="H233" s="1" t="s">
        <v>76</v>
      </c>
      <c r="I233" s="3">
        <v>1</v>
      </c>
      <c r="J233" s="3" t="s">
        <v>36</v>
      </c>
      <c r="K233" s="1" t="s">
        <v>43</v>
      </c>
      <c r="L233" s="1">
        <v>94</v>
      </c>
      <c r="M233" s="1" t="s">
        <v>45</v>
      </c>
      <c r="N233" s="7" t="s">
        <v>45</v>
      </c>
      <c r="O233" s="1">
        <v>5.6944444444444446</v>
      </c>
      <c r="P233" s="1" t="s">
        <v>45</v>
      </c>
      <c r="Q233" s="6" t="s">
        <v>45</v>
      </c>
      <c r="R233" s="6" t="s">
        <v>45</v>
      </c>
      <c r="S233" s="6" t="s">
        <v>45</v>
      </c>
      <c r="T233" s="6" t="s">
        <v>45</v>
      </c>
      <c r="U233" s="6" t="s">
        <v>45</v>
      </c>
      <c r="V233" s="1" t="s">
        <v>45</v>
      </c>
      <c r="W233" s="1" t="s">
        <v>45</v>
      </c>
      <c r="X233" s="1" t="s">
        <v>45</v>
      </c>
      <c r="Y233" s="6">
        <f t="shared" si="84"/>
        <v>5.6944444444444446</v>
      </c>
    </row>
    <row r="234" spans="1:25" x14ac:dyDescent="0.15">
      <c r="A234" s="3">
        <v>2023</v>
      </c>
      <c r="B234" s="3" t="s">
        <v>34</v>
      </c>
      <c r="C234" s="3">
        <v>13</v>
      </c>
      <c r="D234" s="3">
        <v>6</v>
      </c>
      <c r="E234" s="3" t="s">
        <v>37</v>
      </c>
      <c r="F234" s="3"/>
      <c r="G234" s="3" t="s">
        <v>41</v>
      </c>
      <c r="H234" s="1" t="s">
        <v>77</v>
      </c>
      <c r="I234" s="3">
        <v>1</v>
      </c>
      <c r="J234" s="3" t="s">
        <v>37</v>
      </c>
      <c r="K234" s="1" t="s">
        <v>43</v>
      </c>
      <c r="L234" s="1">
        <v>81</v>
      </c>
      <c r="M234" s="1" t="s">
        <v>45</v>
      </c>
      <c r="N234" s="7" t="s">
        <v>45</v>
      </c>
      <c r="O234" s="1">
        <v>4.5833333333333339</v>
      </c>
      <c r="P234" s="1" t="s">
        <v>45</v>
      </c>
      <c r="Q234" s="6" t="s">
        <v>45</v>
      </c>
      <c r="R234" s="6" t="s">
        <v>45</v>
      </c>
      <c r="S234" s="6" t="s">
        <v>45</v>
      </c>
      <c r="T234" s="6" t="s">
        <v>45</v>
      </c>
      <c r="U234" s="6" t="s">
        <v>45</v>
      </c>
      <c r="V234" s="1" t="s">
        <v>45</v>
      </c>
      <c r="W234" s="1" t="s">
        <v>45</v>
      </c>
      <c r="X234" s="1" t="s">
        <v>45</v>
      </c>
      <c r="Y234" s="6">
        <f t="shared" si="84"/>
        <v>4.5833333333333339</v>
      </c>
    </row>
    <row r="235" spans="1:25" x14ac:dyDescent="0.15">
      <c r="A235" s="3">
        <v>2023</v>
      </c>
      <c r="B235" s="3" t="s">
        <v>34</v>
      </c>
      <c r="C235" s="3">
        <v>13</v>
      </c>
      <c r="D235" s="3">
        <v>7</v>
      </c>
      <c r="E235" s="3"/>
      <c r="F235" s="3" t="s">
        <v>38</v>
      </c>
      <c r="G235" s="3" t="s">
        <v>41</v>
      </c>
      <c r="H235" s="1"/>
      <c r="I235" s="3">
        <v>1</v>
      </c>
      <c r="J235" s="3" t="s">
        <v>38</v>
      </c>
      <c r="K235" s="1" t="s">
        <v>42</v>
      </c>
      <c r="L235" s="1" t="s">
        <v>45</v>
      </c>
      <c r="M235" s="1">
        <v>73</v>
      </c>
      <c r="N235" s="7" t="s">
        <v>45</v>
      </c>
      <c r="O235" s="1" t="s">
        <v>45</v>
      </c>
      <c r="P235" s="1">
        <v>1.1111111111111114</v>
      </c>
      <c r="Q235" s="6" t="s">
        <v>45</v>
      </c>
      <c r="R235" s="6" t="s">
        <v>45</v>
      </c>
      <c r="S235" s="6" t="s">
        <v>45</v>
      </c>
      <c r="T235" s="6" t="s">
        <v>45</v>
      </c>
      <c r="U235" s="6" t="s">
        <v>45</v>
      </c>
      <c r="V235" s="1" t="s">
        <v>45</v>
      </c>
      <c r="W235" s="1" t="s">
        <v>45</v>
      </c>
      <c r="X235" s="1" t="s">
        <v>45</v>
      </c>
      <c r="Y235" s="6">
        <f>P235</f>
        <v>1.1111111111111114</v>
      </c>
    </row>
    <row r="236" spans="1:25" x14ac:dyDescent="0.15">
      <c r="A236" s="3">
        <v>2023</v>
      </c>
      <c r="B236" s="3" t="s">
        <v>34</v>
      </c>
      <c r="C236" s="3">
        <v>13</v>
      </c>
      <c r="D236" s="3">
        <v>8</v>
      </c>
      <c r="E236" s="3"/>
      <c r="F236" s="3" t="s">
        <v>39</v>
      </c>
      <c r="G236" s="3" t="s">
        <v>41</v>
      </c>
      <c r="H236" s="1"/>
      <c r="I236" s="3">
        <v>1</v>
      </c>
      <c r="J236" s="3" t="s">
        <v>39</v>
      </c>
      <c r="K236" s="1" t="s">
        <v>42</v>
      </c>
      <c r="L236" s="1" t="s">
        <v>45</v>
      </c>
      <c r="M236" s="1">
        <v>68</v>
      </c>
      <c r="N236" s="7" t="s">
        <v>45</v>
      </c>
      <c r="O236" s="1" t="s">
        <v>45</v>
      </c>
      <c r="P236" s="1">
        <v>0.55555555555555569</v>
      </c>
      <c r="Q236" s="6" t="s">
        <v>45</v>
      </c>
      <c r="R236" s="6" t="s">
        <v>45</v>
      </c>
      <c r="S236" s="6" t="s">
        <v>45</v>
      </c>
      <c r="T236" s="6" t="s">
        <v>45</v>
      </c>
      <c r="U236" s="6" t="s">
        <v>45</v>
      </c>
      <c r="V236" s="1" t="s">
        <v>45</v>
      </c>
      <c r="W236" s="1" t="s">
        <v>45</v>
      </c>
      <c r="X236" s="1" t="s">
        <v>45</v>
      </c>
      <c r="Y236" s="6">
        <f t="shared" ref="Y236:Y237" si="85">P236</f>
        <v>0.55555555555555569</v>
      </c>
    </row>
    <row r="237" spans="1:25" x14ac:dyDescent="0.15">
      <c r="A237" s="3">
        <v>2023</v>
      </c>
      <c r="B237" s="3" t="s">
        <v>34</v>
      </c>
      <c r="C237" s="3">
        <v>13</v>
      </c>
      <c r="D237" s="3">
        <v>9</v>
      </c>
      <c r="E237" s="3"/>
      <c r="F237" s="3" t="s">
        <v>40</v>
      </c>
      <c r="G237" s="3" t="s">
        <v>41</v>
      </c>
      <c r="H237" s="1"/>
      <c r="I237" s="3">
        <v>1</v>
      </c>
      <c r="J237" s="3" t="s">
        <v>40</v>
      </c>
      <c r="K237" s="1" t="s">
        <v>42</v>
      </c>
      <c r="L237" s="1" t="s">
        <v>45</v>
      </c>
      <c r="M237" s="1">
        <v>52</v>
      </c>
      <c r="N237" s="7" t="s">
        <v>45</v>
      </c>
      <c r="O237" s="1" t="s">
        <v>45</v>
      </c>
      <c r="P237" s="1">
        <v>1.2500000000000002</v>
      </c>
      <c r="Q237" s="6" t="s">
        <v>45</v>
      </c>
      <c r="R237" s="6" t="s">
        <v>45</v>
      </c>
      <c r="S237" s="6" t="s">
        <v>45</v>
      </c>
      <c r="T237" s="6" t="s">
        <v>45</v>
      </c>
      <c r="U237" s="6" t="s">
        <v>45</v>
      </c>
      <c r="V237" s="1" t="s">
        <v>45</v>
      </c>
      <c r="W237" s="1" t="s">
        <v>45</v>
      </c>
      <c r="X237" s="1" t="s">
        <v>45</v>
      </c>
      <c r="Y237" s="6">
        <f t="shared" si="85"/>
        <v>1.2500000000000002</v>
      </c>
    </row>
    <row r="238" spans="1:25" x14ac:dyDescent="0.15">
      <c r="A238" s="3">
        <v>2023</v>
      </c>
      <c r="B238" s="3" t="s">
        <v>34</v>
      </c>
      <c r="C238" s="3">
        <v>13</v>
      </c>
      <c r="D238" s="3">
        <v>10</v>
      </c>
      <c r="E238" s="3" t="s">
        <v>35</v>
      </c>
      <c r="F238" s="3" t="s">
        <v>38</v>
      </c>
      <c r="G238" s="3" t="s">
        <v>14</v>
      </c>
      <c r="H238" s="1" t="s">
        <v>35</v>
      </c>
      <c r="I238" s="3">
        <v>1</v>
      </c>
      <c r="J238" s="3" t="s">
        <v>63</v>
      </c>
      <c r="K238" s="1" t="s">
        <v>42</v>
      </c>
      <c r="L238" s="1">
        <v>130</v>
      </c>
      <c r="M238" s="1">
        <v>73</v>
      </c>
      <c r="N238" s="7">
        <f>L238-M238</f>
        <v>57</v>
      </c>
      <c r="O238" s="1">
        <v>1.8055555555555558</v>
      </c>
      <c r="P238" s="1">
        <v>0.97222222222222221</v>
      </c>
      <c r="Q238" s="6">
        <f>O238/(0.1*O229)</f>
        <v>6.8421052631578956</v>
      </c>
      <c r="R238" s="6">
        <f>O238/(0.1*O232)</f>
        <v>4.193548387096774</v>
      </c>
      <c r="S238" s="6">
        <f>P238/(0.9*P235)</f>
        <v>0.97222222222222199</v>
      </c>
      <c r="T238" s="6">
        <f>Q238+S238</f>
        <v>7.8143274853801179</v>
      </c>
      <c r="U238" s="6">
        <f>R238+S238</f>
        <v>5.1657706093189963</v>
      </c>
      <c r="V238" s="1">
        <f>O238/O229+P238/P235</f>
        <v>1.5592105263157894</v>
      </c>
      <c r="W238" s="1">
        <f>O238/O232+P238/P235</f>
        <v>1.2943548387096773</v>
      </c>
      <c r="X238" s="1">
        <f t="shared" ref="X238:X246" si="86">100*ROUND(P238/(P238+O238), 2)</f>
        <v>35</v>
      </c>
      <c r="Y238" s="6">
        <f t="shared" ref="Y238:Y246" si="87">O238+P238</f>
        <v>2.7777777777777781</v>
      </c>
    </row>
    <row r="239" spans="1:25" x14ac:dyDescent="0.15">
      <c r="A239" s="3">
        <v>2023</v>
      </c>
      <c r="B239" s="3" t="s">
        <v>34</v>
      </c>
      <c r="C239" s="3">
        <v>13</v>
      </c>
      <c r="D239" s="3">
        <v>11</v>
      </c>
      <c r="E239" s="3" t="s">
        <v>35</v>
      </c>
      <c r="F239" s="3" t="s">
        <v>39</v>
      </c>
      <c r="G239" s="3" t="s">
        <v>14</v>
      </c>
      <c r="H239" s="1" t="s">
        <v>35</v>
      </c>
      <c r="I239" s="3">
        <v>1</v>
      </c>
      <c r="J239" s="3" t="s">
        <v>64</v>
      </c>
      <c r="K239" s="1" t="s">
        <v>42</v>
      </c>
      <c r="L239" s="1">
        <v>116</v>
      </c>
      <c r="M239" s="1">
        <v>60</v>
      </c>
      <c r="N239" s="7">
        <f t="shared" ref="N239:N246" si="88">L239-M239</f>
        <v>56</v>
      </c>
      <c r="O239" s="1">
        <v>1.8055555555555558</v>
      </c>
      <c r="P239" s="1">
        <v>0.83333333333333348</v>
      </c>
      <c r="Q239" s="6">
        <f>O239/(0.1*O229)</f>
        <v>6.8421052631578956</v>
      </c>
      <c r="R239" s="6">
        <f>O239/(0.1*O232)</f>
        <v>4.193548387096774</v>
      </c>
      <c r="S239" s="6">
        <f>P239/(0.9*P236)</f>
        <v>1.6666666666666665</v>
      </c>
      <c r="T239" s="6">
        <f t="shared" ref="T239:T246" si="89">Q239+S239</f>
        <v>8.5087719298245617</v>
      </c>
      <c r="U239" s="6">
        <f t="shared" ref="U239:U246" si="90">R239+S239</f>
        <v>5.8602150537634401</v>
      </c>
      <c r="V239" s="1">
        <f>O239/O229+P239/P236</f>
        <v>2.1842105263157894</v>
      </c>
      <c r="W239" s="1">
        <f>O239/O232+P239/P236</f>
        <v>1.9193548387096775</v>
      </c>
      <c r="X239" s="1">
        <f t="shared" si="86"/>
        <v>32</v>
      </c>
      <c r="Y239" s="6">
        <f t="shared" si="87"/>
        <v>2.6388888888888893</v>
      </c>
    </row>
    <row r="240" spans="1:25" x14ac:dyDescent="0.15">
      <c r="A240" s="3">
        <v>2023</v>
      </c>
      <c r="B240" s="3" t="s">
        <v>34</v>
      </c>
      <c r="C240" s="3">
        <v>13</v>
      </c>
      <c r="D240" s="3">
        <v>12</v>
      </c>
      <c r="E240" s="3" t="s">
        <v>35</v>
      </c>
      <c r="F240" s="3" t="s">
        <v>40</v>
      </c>
      <c r="G240" s="3" t="s">
        <v>14</v>
      </c>
      <c r="H240" s="1" t="s">
        <v>35</v>
      </c>
      <c r="I240" s="3">
        <v>1</v>
      </c>
      <c r="J240" s="3" t="s">
        <v>65</v>
      </c>
      <c r="K240" s="1" t="s">
        <v>42</v>
      </c>
      <c r="L240" s="1">
        <v>121</v>
      </c>
      <c r="M240" s="1">
        <v>76</v>
      </c>
      <c r="N240" s="7">
        <f t="shared" si="88"/>
        <v>45</v>
      </c>
      <c r="O240" s="1">
        <v>1.9444444444444444</v>
      </c>
      <c r="P240" s="1">
        <v>0.27777777777777785</v>
      </c>
      <c r="Q240" s="6">
        <f>O240/(0.1*O229)</f>
        <v>7.3684210526315788</v>
      </c>
      <c r="R240" s="6">
        <f>O240/(0.1*O232)</f>
        <v>4.5161290322580641</v>
      </c>
      <c r="S240" s="6">
        <f>P240/(0.9*P237)</f>
        <v>0.24691358024691359</v>
      </c>
      <c r="T240" s="6">
        <f t="shared" si="89"/>
        <v>7.6153346328784925</v>
      </c>
      <c r="U240" s="6">
        <f t="shared" si="90"/>
        <v>4.7630426125049778</v>
      </c>
      <c r="V240" s="1">
        <f>O240/O229+P240/P237</f>
        <v>0.95906432748538006</v>
      </c>
      <c r="W240" s="1">
        <f>O240/O232+P240/P237</f>
        <v>0.67383512544802859</v>
      </c>
      <c r="X240" s="1">
        <f t="shared" si="86"/>
        <v>13</v>
      </c>
      <c r="Y240" s="6">
        <f t="shared" si="87"/>
        <v>2.2222222222222223</v>
      </c>
    </row>
    <row r="241" spans="1:25" x14ac:dyDescent="0.15">
      <c r="A241" s="3">
        <v>2023</v>
      </c>
      <c r="B241" s="3" t="s">
        <v>34</v>
      </c>
      <c r="C241" s="3">
        <v>13</v>
      </c>
      <c r="D241" s="3">
        <v>13</v>
      </c>
      <c r="E241" s="3" t="s">
        <v>36</v>
      </c>
      <c r="F241" s="3" t="s">
        <v>38</v>
      </c>
      <c r="G241" s="3" t="s">
        <v>14</v>
      </c>
      <c r="H241" s="1" t="s">
        <v>36</v>
      </c>
      <c r="I241" s="3">
        <v>1</v>
      </c>
      <c r="J241" s="3" t="s">
        <v>66</v>
      </c>
      <c r="K241" s="1" t="s">
        <v>42</v>
      </c>
      <c r="L241" s="1">
        <v>99</v>
      </c>
      <c r="M241" s="1">
        <v>63</v>
      </c>
      <c r="N241" s="7">
        <f t="shared" si="88"/>
        <v>36</v>
      </c>
      <c r="O241" s="1">
        <v>2.916666666666667</v>
      </c>
      <c r="P241" s="1">
        <v>0.97222222222222221</v>
      </c>
      <c r="Q241" s="6">
        <f>O241/(0.1*O230)</f>
        <v>10</v>
      </c>
      <c r="R241" s="6">
        <f>O241/(0.1*O233)</f>
        <v>5.1219512195121952</v>
      </c>
      <c r="S241" s="6">
        <f>P241/(0.9*P235)</f>
        <v>0.97222222222222199</v>
      </c>
      <c r="T241" s="6">
        <f t="shared" si="89"/>
        <v>10.972222222222221</v>
      </c>
      <c r="U241" s="6">
        <f t="shared" si="90"/>
        <v>6.0941734417344176</v>
      </c>
      <c r="V241" s="1">
        <f>O241/O230+P241/P235</f>
        <v>1.8749999999999998</v>
      </c>
      <c r="W241" s="1">
        <f>O241/O233+P241/P235</f>
        <v>1.3871951219512193</v>
      </c>
      <c r="X241" s="1">
        <f t="shared" si="86"/>
        <v>25</v>
      </c>
      <c r="Y241" s="6">
        <f t="shared" si="87"/>
        <v>3.8888888888888893</v>
      </c>
    </row>
    <row r="242" spans="1:25" x14ac:dyDescent="0.15">
      <c r="A242" s="3">
        <v>2023</v>
      </c>
      <c r="B242" s="3" t="s">
        <v>34</v>
      </c>
      <c r="C242" s="3">
        <v>13</v>
      </c>
      <c r="D242" s="3">
        <v>14</v>
      </c>
      <c r="E242" s="3" t="s">
        <v>36</v>
      </c>
      <c r="F242" s="3" t="s">
        <v>39</v>
      </c>
      <c r="G242" s="3" t="s">
        <v>14</v>
      </c>
      <c r="H242" s="1" t="s">
        <v>36</v>
      </c>
      <c r="I242" s="3">
        <v>1</v>
      </c>
      <c r="J242" s="3" t="s">
        <v>67</v>
      </c>
      <c r="K242" s="1" t="s">
        <v>42</v>
      </c>
      <c r="L242" s="1">
        <v>100</v>
      </c>
      <c r="M242" s="1">
        <v>63</v>
      </c>
      <c r="N242" s="7">
        <f t="shared" si="88"/>
        <v>37</v>
      </c>
      <c r="O242" s="1">
        <v>2.2222222222222228</v>
      </c>
      <c r="P242" s="1">
        <v>0.41666666666666674</v>
      </c>
      <c r="Q242" s="6">
        <f>O242/(0.1*O230)</f>
        <v>7.6190476190476204</v>
      </c>
      <c r="R242" s="6">
        <f>O242/(0.1*O233)</f>
        <v>3.9024390243902443</v>
      </c>
      <c r="S242" s="6">
        <f>P242/(0.9*P236)</f>
        <v>0.83333333333333326</v>
      </c>
      <c r="T242" s="6">
        <f t="shared" si="89"/>
        <v>8.4523809523809543</v>
      </c>
      <c r="U242" s="6">
        <f t="shared" si="90"/>
        <v>4.7357723577235777</v>
      </c>
      <c r="V242" s="1">
        <f>O242/O230+P242/P236</f>
        <v>1.5119047619047619</v>
      </c>
      <c r="W242" s="1">
        <f>O242/O233+P242/P236</f>
        <v>1.1402439024390245</v>
      </c>
      <c r="X242" s="1">
        <f t="shared" si="86"/>
        <v>16</v>
      </c>
      <c r="Y242" s="6">
        <f t="shared" si="87"/>
        <v>2.6388888888888893</v>
      </c>
    </row>
    <row r="243" spans="1:25" x14ac:dyDescent="0.15">
      <c r="A243" s="3">
        <v>2023</v>
      </c>
      <c r="B243" s="3" t="s">
        <v>34</v>
      </c>
      <c r="C243" s="3">
        <v>13</v>
      </c>
      <c r="D243" s="3">
        <v>15</v>
      </c>
      <c r="E243" s="3" t="s">
        <v>36</v>
      </c>
      <c r="F243" s="3" t="s">
        <v>40</v>
      </c>
      <c r="G243" s="3" t="s">
        <v>14</v>
      </c>
      <c r="H243" s="1" t="s">
        <v>36</v>
      </c>
      <c r="I243" s="3">
        <v>1</v>
      </c>
      <c r="J243" s="3" t="s">
        <v>68</v>
      </c>
      <c r="K243" s="1" t="s">
        <v>42</v>
      </c>
      <c r="L243" s="1">
        <v>108</v>
      </c>
      <c r="M243" s="1">
        <v>64</v>
      </c>
      <c r="N243" s="7">
        <f t="shared" si="88"/>
        <v>44</v>
      </c>
      <c r="O243" s="1">
        <v>2.6388888888888888</v>
      </c>
      <c r="P243" s="1">
        <v>0.13888888888888892</v>
      </c>
      <c r="Q243" s="6">
        <f>O243/(0.1*O230)</f>
        <v>9.0476190476190474</v>
      </c>
      <c r="R243" s="6">
        <f>O243/(0.1*O233)</f>
        <v>4.6341463414634134</v>
      </c>
      <c r="S243" s="6">
        <f>P243/(0.9*P237)</f>
        <v>0.1234567901234568</v>
      </c>
      <c r="T243" s="6">
        <f t="shared" si="89"/>
        <v>9.1710758377425048</v>
      </c>
      <c r="U243" s="6">
        <f t="shared" si="90"/>
        <v>4.7576031315868699</v>
      </c>
      <c r="V243" s="1">
        <f>O243/O230+P243/P237</f>
        <v>1.0158730158730158</v>
      </c>
      <c r="W243" s="1">
        <f>O243/O233+P243/P237</f>
        <v>0.57452574525745259</v>
      </c>
      <c r="X243" s="1">
        <f t="shared" si="86"/>
        <v>5</v>
      </c>
      <c r="Y243" s="6">
        <f t="shared" si="87"/>
        <v>2.7777777777777777</v>
      </c>
    </row>
    <row r="244" spans="1:25" x14ac:dyDescent="0.15">
      <c r="A244" s="3">
        <v>2023</v>
      </c>
      <c r="B244" s="3" t="s">
        <v>34</v>
      </c>
      <c r="C244" s="3">
        <v>13</v>
      </c>
      <c r="D244" s="3">
        <v>16</v>
      </c>
      <c r="E244" s="3" t="s">
        <v>37</v>
      </c>
      <c r="F244" s="3" t="s">
        <v>38</v>
      </c>
      <c r="G244" s="3" t="s">
        <v>14</v>
      </c>
      <c r="H244" s="1" t="s">
        <v>37</v>
      </c>
      <c r="I244" s="3">
        <v>1</v>
      </c>
      <c r="J244" s="3" t="s">
        <v>69</v>
      </c>
      <c r="K244" s="1" t="s">
        <v>42</v>
      </c>
      <c r="L244" s="1">
        <v>91</v>
      </c>
      <c r="M244" s="1">
        <v>74</v>
      </c>
      <c r="N244" s="7">
        <f t="shared" si="88"/>
        <v>17</v>
      </c>
      <c r="O244" s="1">
        <v>2.5000000000000004</v>
      </c>
      <c r="P244" s="1">
        <v>0.97222222222222221</v>
      </c>
      <c r="Q244" s="6">
        <f>O244/(0.1*O231)</f>
        <v>7.8260869565217401</v>
      </c>
      <c r="R244" s="6">
        <f>O244/(0.1*O234)</f>
        <v>5.4545454545454541</v>
      </c>
      <c r="S244" s="6">
        <f>P244/(0.9*P235)</f>
        <v>0.97222222222222199</v>
      </c>
      <c r="T244" s="6">
        <f t="shared" si="89"/>
        <v>8.7983091787439616</v>
      </c>
      <c r="U244" s="6">
        <f t="shared" si="90"/>
        <v>6.4267676767676765</v>
      </c>
      <c r="V244" s="1">
        <f>O244/O231+P244/P235</f>
        <v>1.6576086956521738</v>
      </c>
      <c r="W244" s="1">
        <f>O244/O234+P244/P235</f>
        <v>1.4204545454545454</v>
      </c>
      <c r="X244" s="1">
        <f t="shared" si="86"/>
        <v>28.000000000000004</v>
      </c>
      <c r="Y244" s="6">
        <f t="shared" si="87"/>
        <v>3.4722222222222228</v>
      </c>
    </row>
    <row r="245" spans="1:25" x14ac:dyDescent="0.15">
      <c r="A245" s="3">
        <v>2023</v>
      </c>
      <c r="B245" s="3" t="s">
        <v>34</v>
      </c>
      <c r="C245" s="3">
        <v>13</v>
      </c>
      <c r="D245" s="3">
        <v>17</v>
      </c>
      <c r="E245" s="3" t="s">
        <v>37</v>
      </c>
      <c r="F245" s="3" t="s">
        <v>39</v>
      </c>
      <c r="G245" s="3" t="s">
        <v>14</v>
      </c>
      <c r="H245" s="1" t="s">
        <v>37</v>
      </c>
      <c r="I245" s="3">
        <v>1</v>
      </c>
      <c r="J245" s="3" t="s">
        <v>70</v>
      </c>
      <c r="K245" s="1" t="s">
        <v>42</v>
      </c>
      <c r="L245" s="1">
        <v>83</v>
      </c>
      <c r="M245" s="1">
        <v>55</v>
      </c>
      <c r="N245" s="7">
        <f t="shared" si="88"/>
        <v>28</v>
      </c>
      <c r="O245" s="1">
        <v>2.3611111111111112</v>
      </c>
      <c r="P245" s="1">
        <v>0.55555555555555569</v>
      </c>
      <c r="Q245" s="6">
        <f>O245/(0.1*O231)</f>
        <v>7.391304347826086</v>
      </c>
      <c r="R245" s="6">
        <f>O245/(0.1*O234)</f>
        <v>5.1515151515151505</v>
      </c>
      <c r="S245" s="6">
        <f>P245/(0.9*P236)</f>
        <v>1.1111111111111112</v>
      </c>
      <c r="T245" s="6">
        <f t="shared" si="89"/>
        <v>8.5024154589371967</v>
      </c>
      <c r="U245" s="6">
        <f t="shared" si="90"/>
        <v>6.2626262626262612</v>
      </c>
      <c r="V245" s="1">
        <f>O245/O231+P245/P236</f>
        <v>1.7391304347826086</v>
      </c>
      <c r="W245" s="1">
        <f>O245/O234+P245/P236</f>
        <v>1.5151515151515151</v>
      </c>
      <c r="X245" s="1">
        <f t="shared" si="86"/>
        <v>19</v>
      </c>
      <c r="Y245" s="6">
        <f t="shared" si="87"/>
        <v>2.916666666666667</v>
      </c>
    </row>
    <row r="246" spans="1:25" x14ac:dyDescent="0.15">
      <c r="A246" s="3">
        <v>2023</v>
      </c>
      <c r="B246" s="3" t="s">
        <v>34</v>
      </c>
      <c r="C246" s="3">
        <v>13</v>
      </c>
      <c r="D246" s="3">
        <v>18</v>
      </c>
      <c r="E246" s="3" t="s">
        <v>37</v>
      </c>
      <c r="F246" s="3" t="s">
        <v>40</v>
      </c>
      <c r="G246" s="3" t="s">
        <v>14</v>
      </c>
      <c r="H246" s="1" t="s">
        <v>37</v>
      </c>
      <c r="I246" s="3">
        <v>1</v>
      </c>
      <c r="J246" s="3" t="s">
        <v>71</v>
      </c>
      <c r="K246" s="1" t="s">
        <v>42</v>
      </c>
      <c r="L246" s="1">
        <v>78</v>
      </c>
      <c r="M246" s="1">
        <v>57</v>
      </c>
      <c r="N246" s="7">
        <f t="shared" si="88"/>
        <v>21</v>
      </c>
      <c r="O246" s="1">
        <v>2.3611111111111112</v>
      </c>
      <c r="P246" s="1">
        <v>0.41666666666666674</v>
      </c>
      <c r="Q246" s="6">
        <f>O246/(0.1*O231)</f>
        <v>7.391304347826086</v>
      </c>
      <c r="R246" s="6">
        <f>O246/(0.1*O234)</f>
        <v>5.1515151515151505</v>
      </c>
      <c r="S246" s="6">
        <f>P246/(0.9*P237)</f>
        <v>0.37037037037037035</v>
      </c>
      <c r="T246" s="6">
        <f t="shared" si="89"/>
        <v>7.7616747181964563</v>
      </c>
      <c r="U246" s="6">
        <f t="shared" si="90"/>
        <v>5.5218855218855207</v>
      </c>
      <c r="V246" s="1">
        <f>O246/O231+P246/P237</f>
        <v>1.0724637681159419</v>
      </c>
      <c r="W246" s="1">
        <f>O246/O234+P246/P237</f>
        <v>0.8484848484848484</v>
      </c>
      <c r="X246" s="1">
        <f t="shared" si="86"/>
        <v>15</v>
      </c>
      <c r="Y246" s="6">
        <f t="shared" si="87"/>
        <v>2.7777777777777777</v>
      </c>
    </row>
    <row r="247" spans="1:25" x14ac:dyDescent="0.15">
      <c r="A247" s="3">
        <v>2023</v>
      </c>
      <c r="B247" s="3" t="s">
        <v>34</v>
      </c>
      <c r="C247" s="3">
        <v>14</v>
      </c>
      <c r="D247" s="3">
        <v>1</v>
      </c>
      <c r="E247" s="3" t="s">
        <v>35</v>
      </c>
      <c r="F247" s="3"/>
      <c r="G247" s="3" t="s">
        <v>41</v>
      </c>
      <c r="H247" s="1" t="s">
        <v>35</v>
      </c>
      <c r="I247" s="3">
        <v>2</v>
      </c>
      <c r="J247" s="3" t="s">
        <v>35</v>
      </c>
      <c r="K247" s="1" t="s">
        <v>42</v>
      </c>
      <c r="L247" s="1">
        <v>80</v>
      </c>
      <c r="M247" s="1" t="s">
        <v>45</v>
      </c>
      <c r="N247" s="7" t="s">
        <v>45</v>
      </c>
      <c r="O247" s="1">
        <v>3.3333333333333339</v>
      </c>
      <c r="P247" s="1" t="s">
        <v>45</v>
      </c>
      <c r="Q247" s="6" t="s">
        <v>45</v>
      </c>
      <c r="R247" s="6" t="s">
        <v>45</v>
      </c>
      <c r="S247" s="6" t="s">
        <v>45</v>
      </c>
      <c r="T247" s="6" t="s">
        <v>45</v>
      </c>
      <c r="U247" s="6" t="s">
        <v>45</v>
      </c>
      <c r="V247" s="1" t="s">
        <v>45</v>
      </c>
      <c r="W247" s="1" t="s">
        <v>45</v>
      </c>
      <c r="X247" s="6" t="s">
        <v>45</v>
      </c>
      <c r="Y247" s="6">
        <f>O247</f>
        <v>3.3333333333333339</v>
      </c>
    </row>
    <row r="248" spans="1:25" x14ac:dyDescent="0.15">
      <c r="A248" s="3">
        <v>2023</v>
      </c>
      <c r="B248" s="3" t="s">
        <v>34</v>
      </c>
      <c r="C248" s="3">
        <v>14</v>
      </c>
      <c r="D248" s="3">
        <v>2</v>
      </c>
      <c r="E248" s="3" t="s">
        <v>36</v>
      </c>
      <c r="F248" s="3"/>
      <c r="G248" s="3" t="s">
        <v>41</v>
      </c>
      <c r="H248" s="1" t="s">
        <v>36</v>
      </c>
      <c r="I248" s="3">
        <v>2</v>
      </c>
      <c r="J248" s="3" t="s">
        <v>36</v>
      </c>
      <c r="K248" s="1" t="s">
        <v>42</v>
      </c>
      <c r="L248" s="1">
        <v>67</v>
      </c>
      <c r="M248" s="1" t="s">
        <v>45</v>
      </c>
      <c r="N248" s="7" t="s">
        <v>45</v>
      </c>
      <c r="O248" s="1">
        <v>3.8888888888888888</v>
      </c>
      <c r="P248" s="1" t="s">
        <v>45</v>
      </c>
      <c r="Q248" s="6" t="s">
        <v>45</v>
      </c>
      <c r="R248" s="6" t="s">
        <v>45</v>
      </c>
      <c r="S248" s="6" t="s">
        <v>45</v>
      </c>
      <c r="T248" s="6" t="s">
        <v>45</v>
      </c>
      <c r="U248" s="6" t="s">
        <v>45</v>
      </c>
      <c r="V248" s="1" t="s">
        <v>45</v>
      </c>
      <c r="W248" s="1" t="s">
        <v>45</v>
      </c>
      <c r="X248" s="6" t="s">
        <v>45</v>
      </c>
      <c r="Y248" s="6">
        <f t="shared" ref="Y248:Y252" si="91">O248</f>
        <v>3.8888888888888888</v>
      </c>
    </row>
    <row r="249" spans="1:25" x14ac:dyDescent="0.15">
      <c r="A249" s="3">
        <v>2023</v>
      </c>
      <c r="B249" s="3" t="s">
        <v>34</v>
      </c>
      <c r="C249" s="3">
        <v>14</v>
      </c>
      <c r="D249" s="3">
        <v>3</v>
      </c>
      <c r="E249" s="3" t="s">
        <v>37</v>
      </c>
      <c r="F249" s="3"/>
      <c r="G249" s="3" t="s">
        <v>41</v>
      </c>
      <c r="H249" s="1" t="s">
        <v>37</v>
      </c>
      <c r="I249" s="3">
        <v>2</v>
      </c>
      <c r="J249" s="3" t="s">
        <v>37</v>
      </c>
      <c r="K249" s="1" t="s">
        <v>42</v>
      </c>
      <c r="L249" s="1">
        <v>66</v>
      </c>
      <c r="M249" s="1" t="s">
        <v>45</v>
      </c>
      <c r="N249" s="7" t="s">
        <v>45</v>
      </c>
      <c r="O249" s="1">
        <v>3.4722222222222228</v>
      </c>
      <c r="P249" s="1" t="s">
        <v>45</v>
      </c>
      <c r="Q249" s="6" t="s">
        <v>45</v>
      </c>
      <c r="R249" s="6" t="s">
        <v>45</v>
      </c>
      <c r="S249" s="6" t="s">
        <v>45</v>
      </c>
      <c r="T249" s="6" t="s">
        <v>45</v>
      </c>
      <c r="U249" s="6" t="s">
        <v>45</v>
      </c>
      <c r="V249" s="1" t="s">
        <v>45</v>
      </c>
      <c r="W249" s="1" t="s">
        <v>45</v>
      </c>
      <c r="X249" s="6" t="s">
        <v>45</v>
      </c>
      <c r="Y249" s="6">
        <f t="shared" si="91"/>
        <v>3.4722222222222228</v>
      </c>
    </row>
    <row r="250" spans="1:25" x14ac:dyDescent="0.15">
      <c r="A250" s="3">
        <v>2023</v>
      </c>
      <c r="B250" s="3" t="s">
        <v>34</v>
      </c>
      <c r="C250" s="3">
        <v>14</v>
      </c>
      <c r="D250" s="3">
        <v>4</v>
      </c>
      <c r="E250" s="3" t="s">
        <v>35</v>
      </c>
      <c r="F250" s="3"/>
      <c r="G250" s="3" t="s">
        <v>41</v>
      </c>
      <c r="H250" s="1" t="s">
        <v>75</v>
      </c>
      <c r="I250" s="3">
        <v>2</v>
      </c>
      <c r="J250" s="3" t="s">
        <v>35</v>
      </c>
      <c r="K250" s="1" t="s">
        <v>43</v>
      </c>
      <c r="L250" s="1">
        <v>101</v>
      </c>
      <c r="M250" s="1" t="s">
        <v>45</v>
      </c>
      <c r="N250" s="7" t="s">
        <v>45</v>
      </c>
      <c r="O250" s="1">
        <v>5.1388888888888893</v>
      </c>
      <c r="P250" s="1" t="s">
        <v>45</v>
      </c>
      <c r="Q250" s="6" t="s">
        <v>45</v>
      </c>
      <c r="R250" s="6" t="s">
        <v>45</v>
      </c>
      <c r="S250" s="6" t="s">
        <v>45</v>
      </c>
      <c r="T250" s="6" t="s">
        <v>45</v>
      </c>
      <c r="U250" s="6" t="s">
        <v>45</v>
      </c>
      <c r="V250" s="1" t="s">
        <v>45</v>
      </c>
      <c r="W250" s="1" t="s">
        <v>45</v>
      </c>
      <c r="X250" s="1" t="s">
        <v>45</v>
      </c>
      <c r="Y250" s="6">
        <f t="shared" si="91"/>
        <v>5.1388888888888893</v>
      </c>
    </row>
    <row r="251" spans="1:25" x14ac:dyDescent="0.15">
      <c r="A251" s="3">
        <v>2023</v>
      </c>
      <c r="B251" s="3" t="s">
        <v>34</v>
      </c>
      <c r="C251" s="3">
        <v>14</v>
      </c>
      <c r="D251" s="3">
        <v>5</v>
      </c>
      <c r="E251" s="3" t="s">
        <v>36</v>
      </c>
      <c r="F251" s="3"/>
      <c r="G251" s="3" t="s">
        <v>41</v>
      </c>
      <c r="H251" s="1" t="s">
        <v>76</v>
      </c>
      <c r="I251" s="3">
        <v>2</v>
      </c>
      <c r="J251" s="3" t="s">
        <v>36</v>
      </c>
      <c r="K251" s="1" t="s">
        <v>43</v>
      </c>
      <c r="L251" s="1">
        <v>90</v>
      </c>
      <c r="M251" s="1" t="s">
        <v>45</v>
      </c>
      <c r="N251" s="7" t="s">
        <v>45</v>
      </c>
      <c r="O251" s="1">
        <v>5.8333333333333339</v>
      </c>
      <c r="P251" s="1" t="s">
        <v>45</v>
      </c>
      <c r="Q251" s="6" t="s">
        <v>45</v>
      </c>
      <c r="R251" s="6" t="s">
        <v>45</v>
      </c>
      <c r="S251" s="6" t="s">
        <v>45</v>
      </c>
      <c r="T251" s="6" t="s">
        <v>45</v>
      </c>
      <c r="U251" s="6" t="s">
        <v>45</v>
      </c>
      <c r="V251" s="1" t="s">
        <v>45</v>
      </c>
      <c r="W251" s="1" t="s">
        <v>45</v>
      </c>
      <c r="X251" s="1" t="s">
        <v>45</v>
      </c>
      <c r="Y251" s="6">
        <f t="shared" si="91"/>
        <v>5.8333333333333339</v>
      </c>
    </row>
    <row r="252" spans="1:25" x14ac:dyDescent="0.15">
      <c r="A252" s="3">
        <v>2023</v>
      </c>
      <c r="B252" s="3" t="s">
        <v>34</v>
      </c>
      <c r="C252" s="3">
        <v>14</v>
      </c>
      <c r="D252" s="3">
        <v>6</v>
      </c>
      <c r="E252" s="3" t="s">
        <v>37</v>
      </c>
      <c r="F252" s="3"/>
      <c r="G252" s="3" t="s">
        <v>41</v>
      </c>
      <c r="H252" s="1" t="s">
        <v>77</v>
      </c>
      <c r="I252" s="3">
        <v>2</v>
      </c>
      <c r="J252" s="3" t="s">
        <v>37</v>
      </c>
      <c r="K252" s="1" t="s">
        <v>43</v>
      </c>
      <c r="L252" s="1">
        <v>71</v>
      </c>
      <c r="M252" s="1" t="s">
        <v>45</v>
      </c>
      <c r="N252" s="7" t="s">
        <v>45</v>
      </c>
      <c r="O252" s="1">
        <v>5.4166666666666679</v>
      </c>
      <c r="P252" s="1" t="s">
        <v>45</v>
      </c>
      <c r="Q252" s="6" t="s">
        <v>45</v>
      </c>
      <c r="R252" s="6" t="s">
        <v>45</v>
      </c>
      <c r="S252" s="6" t="s">
        <v>45</v>
      </c>
      <c r="T252" s="6" t="s">
        <v>45</v>
      </c>
      <c r="U252" s="6" t="s">
        <v>45</v>
      </c>
      <c r="V252" s="1" t="s">
        <v>45</v>
      </c>
      <c r="W252" s="1" t="s">
        <v>45</v>
      </c>
      <c r="X252" s="1" t="s">
        <v>45</v>
      </c>
      <c r="Y252" s="6">
        <f t="shared" si="91"/>
        <v>5.4166666666666679</v>
      </c>
    </row>
    <row r="253" spans="1:25" x14ac:dyDescent="0.15">
      <c r="A253" s="3">
        <v>2023</v>
      </c>
      <c r="B253" s="3" t="s">
        <v>34</v>
      </c>
      <c r="C253" s="3">
        <v>14</v>
      </c>
      <c r="D253" s="3">
        <v>7</v>
      </c>
      <c r="E253" s="3"/>
      <c r="F253" s="3" t="s">
        <v>38</v>
      </c>
      <c r="G253" s="3" t="s">
        <v>41</v>
      </c>
      <c r="H253" s="1"/>
      <c r="I253" s="3">
        <v>2</v>
      </c>
      <c r="J253" s="3" t="s">
        <v>38</v>
      </c>
      <c r="K253" s="1" t="s">
        <v>42</v>
      </c>
      <c r="L253" s="1" t="s">
        <v>45</v>
      </c>
      <c r="M253" s="1">
        <v>62</v>
      </c>
      <c r="N253" s="7" t="s">
        <v>45</v>
      </c>
      <c r="O253" s="1" t="s">
        <v>45</v>
      </c>
      <c r="P253" s="1">
        <v>0.69444444444444442</v>
      </c>
      <c r="Q253" s="6" t="s">
        <v>45</v>
      </c>
      <c r="R253" s="6" t="s">
        <v>45</v>
      </c>
      <c r="S253" s="6" t="s">
        <v>45</v>
      </c>
      <c r="T253" s="6" t="s">
        <v>45</v>
      </c>
      <c r="U253" s="6" t="s">
        <v>45</v>
      </c>
      <c r="V253" s="1" t="s">
        <v>45</v>
      </c>
      <c r="W253" s="1" t="s">
        <v>45</v>
      </c>
      <c r="X253" s="1" t="s">
        <v>45</v>
      </c>
      <c r="Y253" s="6">
        <f>P253</f>
        <v>0.69444444444444442</v>
      </c>
    </row>
    <row r="254" spans="1:25" x14ac:dyDescent="0.15">
      <c r="A254" s="3">
        <v>2023</v>
      </c>
      <c r="B254" s="3" t="s">
        <v>34</v>
      </c>
      <c r="C254" s="3">
        <v>14</v>
      </c>
      <c r="D254" s="3">
        <v>8</v>
      </c>
      <c r="E254" s="3"/>
      <c r="F254" s="3" t="s">
        <v>39</v>
      </c>
      <c r="G254" s="3" t="s">
        <v>41</v>
      </c>
      <c r="H254" s="1"/>
      <c r="I254" s="3">
        <v>2</v>
      </c>
      <c r="J254" s="3" t="s">
        <v>39</v>
      </c>
      <c r="K254" s="1" t="s">
        <v>42</v>
      </c>
      <c r="L254" s="1" t="s">
        <v>45</v>
      </c>
      <c r="M254" s="1">
        <v>64</v>
      </c>
      <c r="N254" s="7" t="s">
        <v>45</v>
      </c>
      <c r="O254" s="1" t="s">
        <v>45</v>
      </c>
      <c r="P254" s="1">
        <v>1.8055555555555558</v>
      </c>
      <c r="Q254" s="6" t="s">
        <v>45</v>
      </c>
      <c r="R254" s="6" t="s">
        <v>45</v>
      </c>
      <c r="S254" s="6" t="s">
        <v>45</v>
      </c>
      <c r="T254" s="6" t="s">
        <v>45</v>
      </c>
      <c r="U254" s="6" t="s">
        <v>45</v>
      </c>
      <c r="V254" s="1" t="s">
        <v>45</v>
      </c>
      <c r="W254" s="1" t="s">
        <v>45</v>
      </c>
      <c r="X254" s="1" t="s">
        <v>45</v>
      </c>
      <c r="Y254" s="6">
        <f t="shared" ref="Y254:Y255" si="92">P254</f>
        <v>1.8055555555555558</v>
      </c>
    </row>
    <row r="255" spans="1:25" x14ac:dyDescent="0.15">
      <c r="A255" s="3">
        <v>2023</v>
      </c>
      <c r="B255" s="3" t="s">
        <v>34</v>
      </c>
      <c r="C255" s="3">
        <v>14</v>
      </c>
      <c r="D255" s="3">
        <v>9</v>
      </c>
      <c r="E255" s="3"/>
      <c r="F255" s="3" t="s">
        <v>40</v>
      </c>
      <c r="G255" s="3" t="s">
        <v>41</v>
      </c>
      <c r="H255" s="1"/>
      <c r="I255" s="3">
        <v>2</v>
      </c>
      <c r="J255" s="3" t="s">
        <v>40</v>
      </c>
      <c r="K255" s="1" t="s">
        <v>42</v>
      </c>
      <c r="L255" s="1" t="s">
        <v>45</v>
      </c>
      <c r="M255" s="1">
        <v>40</v>
      </c>
      <c r="N255" s="7" t="s">
        <v>45</v>
      </c>
      <c r="O255" s="1" t="s">
        <v>45</v>
      </c>
      <c r="P255" s="1">
        <v>1.2500000000000002</v>
      </c>
      <c r="Q255" s="6" t="s">
        <v>45</v>
      </c>
      <c r="R255" s="6" t="s">
        <v>45</v>
      </c>
      <c r="S255" s="6" t="s">
        <v>45</v>
      </c>
      <c r="T255" s="6" t="s">
        <v>45</v>
      </c>
      <c r="U255" s="6" t="s">
        <v>45</v>
      </c>
      <c r="V255" s="1" t="s">
        <v>45</v>
      </c>
      <c r="W255" s="1" t="s">
        <v>45</v>
      </c>
      <c r="X255" s="1" t="s">
        <v>45</v>
      </c>
      <c r="Y255" s="6">
        <f t="shared" si="92"/>
        <v>1.2500000000000002</v>
      </c>
    </row>
    <row r="256" spans="1:25" x14ac:dyDescent="0.15">
      <c r="A256" s="3">
        <v>2023</v>
      </c>
      <c r="B256" s="3" t="s">
        <v>34</v>
      </c>
      <c r="C256" s="3">
        <v>14</v>
      </c>
      <c r="D256" s="3">
        <v>10</v>
      </c>
      <c r="E256" s="3" t="s">
        <v>35</v>
      </c>
      <c r="F256" s="3" t="s">
        <v>38</v>
      </c>
      <c r="G256" s="3" t="s">
        <v>14</v>
      </c>
      <c r="H256" s="1" t="s">
        <v>35</v>
      </c>
      <c r="I256" s="3">
        <v>2</v>
      </c>
      <c r="J256" s="3" t="s">
        <v>63</v>
      </c>
      <c r="K256" s="1" t="s">
        <v>42</v>
      </c>
      <c r="L256" s="1">
        <v>113</v>
      </c>
      <c r="M256" s="1">
        <v>61</v>
      </c>
      <c r="N256" s="7">
        <f>L256-M256</f>
        <v>52</v>
      </c>
      <c r="O256" s="1">
        <v>2.0833333333333335</v>
      </c>
      <c r="P256" s="1">
        <v>0.97222222222222221</v>
      </c>
      <c r="Q256" s="6">
        <f>O256/(0.1*O247)</f>
        <v>6.2499999999999991</v>
      </c>
      <c r="R256" s="6">
        <f>O256/(0.1*O250)</f>
        <v>4.0540540540540535</v>
      </c>
      <c r="S256" s="6">
        <f>P256/(0.9*P253)</f>
        <v>1.5555555555555556</v>
      </c>
      <c r="T256" s="6">
        <f>Q256+S256</f>
        <v>7.8055555555555545</v>
      </c>
      <c r="U256" s="6">
        <f>R256+S256</f>
        <v>5.6096096096096089</v>
      </c>
      <c r="V256" s="1">
        <f>O256/O247+P256/P253</f>
        <v>2.0249999999999999</v>
      </c>
      <c r="W256" s="1">
        <f>O256/O250+P256/P253</f>
        <v>1.8054054054054056</v>
      </c>
      <c r="X256" s="1">
        <f t="shared" ref="X256:X261" si="93">100*ROUND(P256/(P256+O256), 2)</f>
        <v>32</v>
      </c>
      <c r="Y256" s="6">
        <f t="shared" ref="Y256:Y261" si="94">O256+P256</f>
        <v>3.0555555555555558</v>
      </c>
    </row>
    <row r="257" spans="1:25" x14ac:dyDescent="0.15">
      <c r="A257" s="3">
        <v>2023</v>
      </c>
      <c r="B257" s="3" t="s">
        <v>34</v>
      </c>
      <c r="C257" s="3">
        <v>14</v>
      </c>
      <c r="D257" s="3">
        <v>11</v>
      </c>
      <c r="E257" s="3" t="s">
        <v>35</v>
      </c>
      <c r="F257" s="3" t="s">
        <v>39</v>
      </c>
      <c r="G257" s="3" t="s">
        <v>14</v>
      </c>
      <c r="H257" s="1" t="s">
        <v>35</v>
      </c>
      <c r="I257" s="3">
        <v>2</v>
      </c>
      <c r="J257" s="3" t="s">
        <v>64</v>
      </c>
      <c r="K257" s="1" t="s">
        <v>42</v>
      </c>
      <c r="L257" s="1">
        <v>103</v>
      </c>
      <c r="M257" s="1">
        <v>43</v>
      </c>
      <c r="N257" s="7">
        <f t="shared" ref="N257:N264" si="95">L257-M257</f>
        <v>60</v>
      </c>
      <c r="O257" s="1">
        <v>1.9444444444444444</v>
      </c>
      <c r="P257" s="1">
        <v>0.69444444444444442</v>
      </c>
      <c r="Q257" s="6">
        <f>O257/(0.1*O247)</f>
        <v>5.8333333333333313</v>
      </c>
      <c r="R257" s="6">
        <f>O257/(0.1*O250)</f>
        <v>3.7837837837837833</v>
      </c>
      <c r="S257" s="6">
        <f>P257/(0.9*P254)</f>
        <v>0.42735042735042728</v>
      </c>
      <c r="T257" s="6">
        <f t="shared" ref="T257:T264" si="96">Q257+S257</f>
        <v>6.2606837606837589</v>
      </c>
      <c r="U257" s="6">
        <f t="shared" ref="U257:U264" si="97">R257+S257</f>
        <v>4.2111342111342109</v>
      </c>
      <c r="V257" s="1">
        <f>O257/O247+P257/P254</f>
        <v>0.96794871794871784</v>
      </c>
      <c r="W257" s="1">
        <f>O257/O250+P257/P254</f>
        <v>0.76299376299376287</v>
      </c>
      <c r="X257" s="1">
        <f t="shared" si="93"/>
        <v>26</v>
      </c>
      <c r="Y257" s="6">
        <f t="shared" si="94"/>
        <v>2.6388888888888888</v>
      </c>
    </row>
    <row r="258" spans="1:25" x14ac:dyDescent="0.15">
      <c r="A258" s="3">
        <v>2023</v>
      </c>
      <c r="B258" s="3" t="s">
        <v>34</v>
      </c>
      <c r="C258" s="3">
        <v>14</v>
      </c>
      <c r="D258" s="3">
        <v>12</v>
      </c>
      <c r="E258" s="3" t="s">
        <v>35</v>
      </c>
      <c r="F258" s="3" t="s">
        <v>40</v>
      </c>
      <c r="G258" s="3" t="s">
        <v>14</v>
      </c>
      <c r="H258" s="1" t="s">
        <v>35</v>
      </c>
      <c r="I258" s="3">
        <v>2</v>
      </c>
      <c r="J258" s="3" t="s">
        <v>65</v>
      </c>
      <c r="K258" s="1" t="s">
        <v>42</v>
      </c>
      <c r="L258" s="1">
        <v>99</v>
      </c>
      <c r="M258" s="1">
        <v>52</v>
      </c>
      <c r="N258" s="7">
        <f t="shared" si="95"/>
        <v>47</v>
      </c>
      <c r="O258" s="1">
        <v>1.666666666666667</v>
      </c>
      <c r="P258" s="1">
        <v>0.41666666666666674</v>
      </c>
      <c r="Q258" s="6">
        <f>O258/(0.1*O247)</f>
        <v>4.9999999999999991</v>
      </c>
      <c r="R258" s="6">
        <f>O258/(0.1*O250)</f>
        <v>3.2432432432432434</v>
      </c>
      <c r="S258" s="6">
        <f>P258/(0.9*P255)</f>
        <v>0.37037037037037035</v>
      </c>
      <c r="T258" s="6">
        <f t="shared" si="96"/>
        <v>5.3703703703703694</v>
      </c>
      <c r="U258" s="6">
        <f t="shared" si="97"/>
        <v>3.6136136136136137</v>
      </c>
      <c r="V258" s="1">
        <f>O258/O247+P258/P255</f>
        <v>0.83333333333333326</v>
      </c>
      <c r="W258" s="1">
        <f>O258/O250+P258/P255</f>
        <v>0.6576576576576576</v>
      </c>
      <c r="X258" s="1">
        <f t="shared" si="93"/>
        <v>20</v>
      </c>
      <c r="Y258" s="6">
        <f t="shared" si="94"/>
        <v>2.0833333333333339</v>
      </c>
    </row>
    <row r="259" spans="1:25" x14ac:dyDescent="0.15">
      <c r="A259" s="3">
        <v>2023</v>
      </c>
      <c r="B259" s="3" t="s">
        <v>34</v>
      </c>
      <c r="C259" s="3">
        <v>14</v>
      </c>
      <c r="D259" s="3">
        <v>13</v>
      </c>
      <c r="E259" s="3" t="s">
        <v>36</v>
      </c>
      <c r="F259" s="3" t="s">
        <v>38</v>
      </c>
      <c r="G259" s="3" t="s">
        <v>14</v>
      </c>
      <c r="H259" s="1" t="s">
        <v>36</v>
      </c>
      <c r="I259" s="3">
        <v>2</v>
      </c>
      <c r="J259" s="3" t="s">
        <v>66</v>
      </c>
      <c r="K259" s="1" t="s">
        <v>42</v>
      </c>
      <c r="L259" s="1">
        <v>99</v>
      </c>
      <c r="M259" s="1">
        <v>57</v>
      </c>
      <c r="N259" s="7">
        <f t="shared" si="95"/>
        <v>42</v>
      </c>
      <c r="O259" s="1">
        <v>2.6388888888888888</v>
      </c>
      <c r="P259" s="1">
        <v>1.2500000000000002</v>
      </c>
      <c r="Q259" s="6">
        <f>O259/(0.1*O248)</f>
        <v>6.7857142857142856</v>
      </c>
      <c r="R259" s="6">
        <f>O259/(0.1*O251)</f>
        <v>4.5238095238095237</v>
      </c>
      <c r="S259" s="6">
        <f>P259/(0.9*P253)</f>
        <v>2.0000000000000004</v>
      </c>
      <c r="T259" s="6">
        <f t="shared" si="96"/>
        <v>8.7857142857142865</v>
      </c>
      <c r="U259" s="6">
        <f t="shared" si="97"/>
        <v>6.5238095238095237</v>
      </c>
      <c r="V259" s="1">
        <f>O259/O248+P259/P253</f>
        <v>2.4785714285714291</v>
      </c>
      <c r="W259" s="1">
        <f>O259/O251+P259/P253</f>
        <v>2.2523809523809528</v>
      </c>
      <c r="X259" s="1">
        <f t="shared" si="93"/>
        <v>32</v>
      </c>
      <c r="Y259" s="6">
        <f t="shared" si="94"/>
        <v>3.8888888888888893</v>
      </c>
    </row>
    <row r="260" spans="1:25" x14ac:dyDescent="0.15">
      <c r="A260" s="3">
        <v>2023</v>
      </c>
      <c r="B260" s="3" t="s">
        <v>34</v>
      </c>
      <c r="C260" s="3">
        <v>14</v>
      </c>
      <c r="D260" s="3">
        <v>14</v>
      </c>
      <c r="E260" s="3" t="s">
        <v>36</v>
      </c>
      <c r="F260" s="3" t="s">
        <v>39</v>
      </c>
      <c r="G260" s="3" t="s">
        <v>14</v>
      </c>
      <c r="H260" s="1" t="s">
        <v>36</v>
      </c>
      <c r="I260" s="3">
        <v>2</v>
      </c>
      <c r="J260" s="3" t="s">
        <v>67</v>
      </c>
      <c r="K260" s="1" t="s">
        <v>42</v>
      </c>
      <c r="L260" s="1">
        <v>105</v>
      </c>
      <c r="M260" s="1">
        <v>51</v>
      </c>
      <c r="N260" s="7">
        <f t="shared" si="95"/>
        <v>54</v>
      </c>
      <c r="O260" s="1">
        <v>2.6388888888888888</v>
      </c>
      <c r="P260" s="1">
        <v>0.55555555555555569</v>
      </c>
      <c r="Q260" s="6">
        <f>O260/(0.1*O248)</f>
        <v>6.7857142857142856</v>
      </c>
      <c r="R260" s="6">
        <f>O260/(0.1*O251)</f>
        <v>4.5238095238095237</v>
      </c>
      <c r="S260" s="6">
        <f>P260/(0.9*P254)</f>
        <v>0.34188034188034194</v>
      </c>
      <c r="T260" s="6">
        <f t="shared" si="96"/>
        <v>7.1275946275946271</v>
      </c>
      <c r="U260" s="6">
        <f t="shared" si="97"/>
        <v>4.8656898656898653</v>
      </c>
      <c r="V260" s="1">
        <f>O260/O248+P260/P254</f>
        <v>0.98626373626373631</v>
      </c>
      <c r="W260" s="1">
        <f>O260/O251+P260/P254</f>
        <v>0.76007326007326004</v>
      </c>
      <c r="X260" s="1">
        <f t="shared" si="93"/>
        <v>17</v>
      </c>
      <c r="Y260" s="6">
        <f t="shared" si="94"/>
        <v>3.1944444444444446</v>
      </c>
    </row>
    <row r="261" spans="1:25" x14ac:dyDescent="0.15">
      <c r="A261" s="3">
        <v>2023</v>
      </c>
      <c r="B261" s="3" t="s">
        <v>34</v>
      </c>
      <c r="C261" s="3">
        <v>14</v>
      </c>
      <c r="D261" s="3">
        <v>15</v>
      </c>
      <c r="E261" s="3" t="s">
        <v>36</v>
      </c>
      <c r="F261" s="3" t="s">
        <v>40</v>
      </c>
      <c r="G261" s="3" t="s">
        <v>14</v>
      </c>
      <c r="H261" s="1" t="s">
        <v>36</v>
      </c>
      <c r="I261" s="3">
        <v>2</v>
      </c>
      <c r="J261" s="3" t="s">
        <v>68</v>
      </c>
      <c r="K261" s="1" t="s">
        <v>42</v>
      </c>
      <c r="L261" s="1">
        <v>78</v>
      </c>
      <c r="M261" s="1">
        <v>45</v>
      </c>
      <c r="N261" s="7">
        <f t="shared" si="95"/>
        <v>33</v>
      </c>
      <c r="O261" s="1">
        <v>2.6388888888888888</v>
      </c>
      <c r="P261" s="1">
        <v>0.55555555555555569</v>
      </c>
      <c r="Q261" s="6">
        <f>O261/(0.1*O248)</f>
        <v>6.7857142857142856</v>
      </c>
      <c r="R261" s="6">
        <f>O261/(0.1*O251)</f>
        <v>4.5238095238095237</v>
      </c>
      <c r="S261" s="6">
        <f>P261/(0.9*P255)</f>
        <v>0.49382716049382719</v>
      </c>
      <c r="T261" s="6">
        <f t="shared" si="96"/>
        <v>7.2795414462081132</v>
      </c>
      <c r="U261" s="6">
        <f t="shared" si="97"/>
        <v>5.0176366843033513</v>
      </c>
      <c r="V261" s="1">
        <f>O261/O248+P261/P255</f>
        <v>1.123015873015873</v>
      </c>
      <c r="W261" s="1">
        <f>O261/O251+P261/P255</f>
        <v>0.89682539682539675</v>
      </c>
      <c r="X261" s="1">
        <f t="shared" si="93"/>
        <v>17</v>
      </c>
      <c r="Y261" s="6">
        <f t="shared" si="94"/>
        <v>3.1944444444444446</v>
      </c>
    </row>
    <row r="262" spans="1:25" x14ac:dyDescent="0.15">
      <c r="A262" s="3">
        <v>2023</v>
      </c>
      <c r="B262" s="3" t="s">
        <v>34</v>
      </c>
      <c r="C262" s="3">
        <v>14</v>
      </c>
      <c r="D262" s="3">
        <v>16</v>
      </c>
      <c r="E262" s="3" t="s">
        <v>37</v>
      </c>
      <c r="F262" s="3" t="s">
        <v>38</v>
      </c>
      <c r="G262" s="3" t="s">
        <v>14</v>
      </c>
      <c r="H262" s="1" t="s">
        <v>37</v>
      </c>
      <c r="I262" s="3">
        <v>2</v>
      </c>
      <c r="J262" s="3" t="s">
        <v>69</v>
      </c>
      <c r="K262" s="1" t="s">
        <v>42</v>
      </c>
      <c r="L262" s="1">
        <v>74</v>
      </c>
      <c r="M262" s="1">
        <v>45</v>
      </c>
      <c r="N262" s="7">
        <f t="shared" si="95"/>
        <v>29</v>
      </c>
      <c r="O262" s="1" t="s">
        <v>45</v>
      </c>
      <c r="P262" s="1" t="s">
        <v>45</v>
      </c>
      <c r="Q262" s="1" t="s">
        <v>45</v>
      </c>
      <c r="R262" s="1" t="s">
        <v>45</v>
      </c>
      <c r="S262" s="1" t="s">
        <v>45</v>
      </c>
      <c r="T262" s="1" t="s">
        <v>45</v>
      </c>
      <c r="U262" s="1" t="s">
        <v>45</v>
      </c>
      <c r="V262" s="1" t="s">
        <v>45</v>
      </c>
      <c r="W262" s="1" t="s">
        <v>45</v>
      </c>
      <c r="X262" s="1" t="s">
        <v>45</v>
      </c>
      <c r="Y262" s="1" t="s">
        <v>45</v>
      </c>
    </row>
    <row r="263" spans="1:25" x14ac:dyDescent="0.15">
      <c r="A263" s="3">
        <v>2023</v>
      </c>
      <c r="B263" s="3" t="s">
        <v>34</v>
      </c>
      <c r="C263" s="3">
        <v>14</v>
      </c>
      <c r="D263" s="3">
        <v>17</v>
      </c>
      <c r="E263" s="3" t="s">
        <v>37</v>
      </c>
      <c r="F263" s="3" t="s">
        <v>39</v>
      </c>
      <c r="G263" s="3" t="s">
        <v>14</v>
      </c>
      <c r="H263" s="1" t="s">
        <v>37</v>
      </c>
      <c r="I263" s="3">
        <v>2</v>
      </c>
      <c r="J263" s="3" t="s">
        <v>70</v>
      </c>
      <c r="K263" s="1" t="s">
        <v>42</v>
      </c>
      <c r="L263" s="1">
        <v>73</v>
      </c>
      <c r="M263" s="1">
        <v>42</v>
      </c>
      <c r="N263" s="7">
        <f t="shared" si="95"/>
        <v>31</v>
      </c>
      <c r="O263" s="1">
        <v>2.3611111111111112</v>
      </c>
      <c r="P263" s="1">
        <v>0.69444444444444442</v>
      </c>
      <c r="Q263" s="6">
        <f>O263/(0.1*O249)</f>
        <v>6.799999999999998</v>
      </c>
      <c r="R263" s="6">
        <f>O263/(0.1*O252)</f>
        <v>4.3589743589743577</v>
      </c>
      <c r="S263" s="6">
        <f>P263/(0.9*P254)</f>
        <v>0.42735042735042728</v>
      </c>
      <c r="T263" s="6">
        <f t="shared" si="96"/>
        <v>7.2273504273504257</v>
      </c>
      <c r="U263" s="6">
        <f t="shared" si="97"/>
        <v>4.7863247863247853</v>
      </c>
      <c r="V263" s="1">
        <f>O263/O249+P263/P254</f>
        <v>1.0646153846153845</v>
      </c>
      <c r="W263" s="1">
        <f>O263/O252+P263/P254</f>
        <v>0.82051282051282026</v>
      </c>
      <c r="X263" s="1">
        <f>100*ROUND(P263/(P263+O263), 2)</f>
        <v>23</v>
      </c>
      <c r="Y263" s="6">
        <f>O263+P263</f>
        <v>3.0555555555555554</v>
      </c>
    </row>
    <row r="264" spans="1:25" x14ac:dyDescent="0.15">
      <c r="A264" s="3">
        <v>2023</v>
      </c>
      <c r="B264" s="3" t="s">
        <v>34</v>
      </c>
      <c r="C264" s="3">
        <v>14</v>
      </c>
      <c r="D264" s="3">
        <v>18</v>
      </c>
      <c r="E264" s="3" t="s">
        <v>37</v>
      </c>
      <c r="F264" s="3" t="s">
        <v>40</v>
      </c>
      <c r="G264" s="3" t="s">
        <v>14</v>
      </c>
      <c r="H264" s="1" t="s">
        <v>37</v>
      </c>
      <c r="I264" s="3">
        <v>2</v>
      </c>
      <c r="J264" s="3" t="s">
        <v>71</v>
      </c>
      <c r="K264" s="1" t="s">
        <v>42</v>
      </c>
      <c r="L264" s="1">
        <v>80</v>
      </c>
      <c r="M264" s="1">
        <v>51</v>
      </c>
      <c r="N264" s="7">
        <f t="shared" si="95"/>
        <v>29</v>
      </c>
      <c r="O264" s="1">
        <v>2.6388888888888888</v>
      </c>
      <c r="P264" s="1">
        <v>0.13888888888888892</v>
      </c>
      <c r="Q264" s="6">
        <f>O264/(0.1*O249)</f>
        <v>7.5999999999999979</v>
      </c>
      <c r="R264" s="6">
        <f>O264/(0.1*O252)</f>
        <v>4.8717948717948705</v>
      </c>
      <c r="S264" s="6">
        <f>P264/(0.9*P255)</f>
        <v>0.1234567901234568</v>
      </c>
      <c r="T264" s="6">
        <f t="shared" si="96"/>
        <v>7.7234567901234543</v>
      </c>
      <c r="U264" s="6">
        <f t="shared" si="97"/>
        <v>4.9952516619183269</v>
      </c>
      <c r="V264" s="1">
        <f>O264/O249+P264/P255</f>
        <v>0.87111111111111106</v>
      </c>
      <c r="W264" s="1">
        <f>O264/O252+P264/P255</f>
        <v>0.59829059829059816</v>
      </c>
      <c r="X264" s="1">
        <f>100*ROUND(P264/(P264+O264), 2)</f>
        <v>5</v>
      </c>
      <c r="Y264" s="6">
        <f>O264+P264</f>
        <v>2.7777777777777777</v>
      </c>
    </row>
    <row r="265" spans="1:25" x14ac:dyDescent="0.15">
      <c r="A265" s="3">
        <v>2023</v>
      </c>
      <c r="B265" s="3" t="s">
        <v>34</v>
      </c>
      <c r="C265" s="3">
        <v>15</v>
      </c>
      <c r="D265" s="3">
        <v>1</v>
      </c>
      <c r="E265" s="3" t="s">
        <v>35</v>
      </c>
      <c r="F265" s="3"/>
      <c r="G265" s="3" t="s">
        <v>41</v>
      </c>
      <c r="H265" s="1" t="s">
        <v>35</v>
      </c>
      <c r="I265" s="3">
        <v>3</v>
      </c>
      <c r="J265" s="3" t="s">
        <v>35</v>
      </c>
      <c r="K265" s="1" t="s">
        <v>42</v>
      </c>
      <c r="L265" s="1">
        <v>87</v>
      </c>
      <c r="M265" s="1" t="s">
        <v>45</v>
      </c>
      <c r="N265" s="7" t="s">
        <v>45</v>
      </c>
      <c r="O265" s="1">
        <v>3.3333333333333339</v>
      </c>
      <c r="P265" s="1" t="s">
        <v>45</v>
      </c>
      <c r="Q265" s="6" t="s">
        <v>45</v>
      </c>
      <c r="R265" s="6" t="s">
        <v>45</v>
      </c>
      <c r="S265" s="6" t="s">
        <v>45</v>
      </c>
      <c r="T265" s="6" t="s">
        <v>45</v>
      </c>
      <c r="U265" s="6" t="s">
        <v>45</v>
      </c>
      <c r="V265" s="1" t="s">
        <v>45</v>
      </c>
      <c r="W265" s="1" t="s">
        <v>45</v>
      </c>
      <c r="X265" s="6" t="s">
        <v>45</v>
      </c>
      <c r="Y265" s="6">
        <f>O265</f>
        <v>3.3333333333333339</v>
      </c>
    </row>
    <row r="266" spans="1:25" x14ac:dyDescent="0.15">
      <c r="A266" s="3">
        <v>2023</v>
      </c>
      <c r="B266" s="3" t="s">
        <v>34</v>
      </c>
      <c r="C266" s="3">
        <v>15</v>
      </c>
      <c r="D266" s="3">
        <v>2</v>
      </c>
      <c r="E266" s="3" t="s">
        <v>36</v>
      </c>
      <c r="F266" s="3"/>
      <c r="G266" s="3" t="s">
        <v>41</v>
      </c>
      <c r="H266" s="1" t="s">
        <v>36</v>
      </c>
      <c r="I266" s="3">
        <v>3</v>
      </c>
      <c r="J266" s="3" t="s">
        <v>36</v>
      </c>
      <c r="K266" s="1" t="s">
        <v>42</v>
      </c>
      <c r="L266" s="1">
        <v>78</v>
      </c>
      <c r="M266" s="1" t="s">
        <v>45</v>
      </c>
      <c r="N266" s="7" t="s">
        <v>45</v>
      </c>
      <c r="O266" s="1">
        <v>3.6111111111111116</v>
      </c>
      <c r="P266" s="1" t="s">
        <v>45</v>
      </c>
      <c r="Q266" s="6" t="s">
        <v>45</v>
      </c>
      <c r="R266" s="6" t="s">
        <v>45</v>
      </c>
      <c r="S266" s="6" t="s">
        <v>45</v>
      </c>
      <c r="T266" s="6" t="s">
        <v>45</v>
      </c>
      <c r="U266" s="6" t="s">
        <v>45</v>
      </c>
      <c r="V266" s="1" t="s">
        <v>45</v>
      </c>
      <c r="W266" s="1" t="s">
        <v>45</v>
      </c>
      <c r="X266" s="6" t="s">
        <v>45</v>
      </c>
      <c r="Y266" s="6">
        <f t="shared" ref="Y266:Y270" si="98">O266</f>
        <v>3.6111111111111116</v>
      </c>
    </row>
    <row r="267" spans="1:25" x14ac:dyDescent="0.15">
      <c r="A267" s="3">
        <v>2023</v>
      </c>
      <c r="B267" s="3" t="s">
        <v>34</v>
      </c>
      <c r="C267" s="3">
        <v>15</v>
      </c>
      <c r="D267" s="3">
        <v>3</v>
      </c>
      <c r="E267" s="3" t="s">
        <v>37</v>
      </c>
      <c r="F267" s="3"/>
      <c r="G267" s="3" t="s">
        <v>41</v>
      </c>
      <c r="H267" s="1" t="s">
        <v>37</v>
      </c>
      <c r="I267" s="3">
        <v>3</v>
      </c>
      <c r="J267" s="3" t="s">
        <v>37</v>
      </c>
      <c r="K267" s="1" t="s">
        <v>42</v>
      </c>
      <c r="L267" s="1">
        <v>55</v>
      </c>
      <c r="M267" s="1" t="s">
        <v>45</v>
      </c>
      <c r="N267" s="7" t="s">
        <v>45</v>
      </c>
      <c r="O267" s="1">
        <v>4.166666666666667</v>
      </c>
      <c r="P267" s="1" t="s">
        <v>45</v>
      </c>
      <c r="Q267" s="6" t="s">
        <v>45</v>
      </c>
      <c r="R267" s="6" t="s">
        <v>45</v>
      </c>
      <c r="S267" s="6" t="s">
        <v>45</v>
      </c>
      <c r="T267" s="6" t="s">
        <v>45</v>
      </c>
      <c r="U267" s="6" t="s">
        <v>45</v>
      </c>
      <c r="V267" s="1" t="s">
        <v>45</v>
      </c>
      <c r="W267" s="1" t="s">
        <v>45</v>
      </c>
      <c r="X267" s="6" t="s">
        <v>45</v>
      </c>
      <c r="Y267" s="6">
        <f t="shared" si="98"/>
        <v>4.166666666666667</v>
      </c>
    </row>
    <row r="268" spans="1:25" x14ac:dyDescent="0.15">
      <c r="A268" s="3">
        <v>2023</v>
      </c>
      <c r="B268" s="3" t="s">
        <v>34</v>
      </c>
      <c r="C268" s="3">
        <v>15</v>
      </c>
      <c r="D268" s="3">
        <v>4</v>
      </c>
      <c r="E268" s="3" t="s">
        <v>35</v>
      </c>
      <c r="F268" s="3"/>
      <c r="G268" s="3" t="s">
        <v>41</v>
      </c>
      <c r="H268" s="1" t="s">
        <v>75</v>
      </c>
      <c r="I268" s="3">
        <v>3</v>
      </c>
      <c r="J268" s="3" t="s">
        <v>35</v>
      </c>
      <c r="K268" s="1" t="s">
        <v>43</v>
      </c>
      <c r="L268" s="1">
        <v>113</v>
      </c>
      <c r="M268" s="1" t="s">
        <v>45</v>
      </c>
      <c r="N268" s="7" t="s">
        <v>45</v>
      </c>
      <c r="O268" s="1">
        <v>4.4444444444444455</v>
      </c>
      <c r="P268" s="1" t="s">
        <v>45</v>
      </c>
      <c r="Q268" s="6" t="s">
        <v>45</v>
      </c>
      <c r="R268" s="6" t="s">
        <v>45</v>
      </c>
      <c r="S268" s="6" t="s">
        <v>45</v>
      </c>
      <c r="T268" s="6" t="s">
        <v>45</v>
      </c>
      <c r="U268" s="6" t="s">
        <v>45</v>
      </c>
      <c r="V268" s="1" t="s">
        <v>45</v>
      </c>
      <c r="W268" s="1" t="s">
        <v>45</v>
      </c>
      <c r="X268" s="1" t="s">
        <v>45</v>
      </c>
      <c r="Y268" s="6">
        <f t="shared" si="98"/>
        <v>4.4444444444444455</v>
      </c>
    </row>
    <row r="269" spans="1:25" x14ac:dyDescent="0.15">
      <c r="A269" s="3">
        <v>2023</v>
      </c>
      <c r="B269" s="3" t="s">
        <v>34</v>
      </c>
      <c r="C269" s="3">
        <v>15</v>
      </c>
      <c r="D269" s="3">
        <v>5</v>
      </c>
      <c r="E269" s="3" t="s">
        <v>36</v>
      </c>
      <c r="F269" s="3"/>
      <c r="G269" s="3" t="s">
        <v>41</v>
      </c>
      <c r="H269" s="1" t="s">
        <v>76</v>
      </c>
      <c r="I269" s="3">
        <v>3</v>
      </c>
      <c r="J269" s="3" t="s">
        <v>36</v>
      </c>
      <c r="K269" s="1" t="s">
        <v>43</v>
      </c>
      <c r="L269" s="1">
        <v>106</v>
      </c>
      <c r="M269" s="1" t="s">
        <v>45</v>
      </c>
      <c r="N269" s="7" t="s">
        <v>45</v>
      </c>
      <c r="O269" s="1">
        <v>5.1388888888888893</v>
      </c>
      <c r="P269" s="1" t="s">
        <v>45</v>
      </c>
      <c r="Q269" s="6" t="s">
        <v>45</v>
      </c>
      <c r="R269" s="6" t="s">
        <v>45</v>
      </c>
      <c r="S269" s="6" t="s">
        <v>45</v>
      </c>
      <c r="T269" s="6" t="s">
        <v>45</v>
      </c>
      <c r="U269" s="6" t="s">
        <v>45</v>
      </c>
      <c r="V269" s="1" t="s">
        <v>45</v>
      </c>
      <c r="W269" s="1" t="s">
        <v>45</v>
      </c>
      <c r="X269" s="1" t="s">
        <v>45</v>
      </c>
      <c r="Y269" s="6">
        <f t="shared" si="98"/>
        <v>5.1388888888888893</v>
      </c>
    </row>
    <row r="270" spans="1:25" x14ac:dyDescent="0.15">
      <c r="A270" s="3">
        <v>2023</v>
      </c>
      <c r="B270" s="3" t="s">
        <v>34</v>
      </c>
      <c r="C270" s="3">
        <v>15</v>
      </c>
      <c r="D270" s="3">
        <v>6</v>
      </c>
      <c r="E270" s="3" t="s">
        <v>37</v>
      </c>
      <c r="F270" s="3"/>
      <c r="G270" s="3" t="s">
        <v>41</v>
      </c>
      <c r="H270" s="1" t="s">
        <v>77</v>
      </c>
      <c r="I270" s="3">
        <v>3</v>
      </c>
      <c r="J270" s="3" t="s">
        <v>37</v>
      </c>
      <c r="K270" s="1" t="s">
        <v>43</v>
      </c>
      <c r="L270" s="1">
        <v>82</v>
      </c>
      <c r="M270" s="1" t="s">
        <v>45</v>
      </c>
      <c r="N270" s="7" t="s">
        <v>45</v>
      </c>
      <c r="O270" s="1">
        <v>4.4444444444444455</v>
      </c>
      <c r="P270" s="1" t="s">
        <v>45</v>
      </c>
      <c r="Q270" s="6" t="s">
        <v>45</v>
      </c>
      <c r="R270" s="6" t="s">
        <v>45</v>
      </c>
      <c r="S270" s="6" t="s">
        <v>45</v>
      </c>
      <c r="T270" s="6" t="s">
        <v>45</v>
      </c>
      <c r="U270" s="6" t="s">
        <v>45</v>
      </c>
      <c r="V270" s="1" t="s">
        <v>45</v>
      </c>
      <c r="W270" s="1" t="s">
        <v>45</v>
      </c>
      <c r="X270" s="1" t="s">
        <v>45</v>
      </c>
      <c r="Y270" s="6">
        <f t="shared" si="98"/>
        <v>4.4444444444444455</v>
      </c>
    </row>
    <row r="271" spans="1:25" x14ac:dyDescent="0.15">
      <c r="A271" s="3">
        <v>2023</v>
      </c>
      <c r="B271" s="3" t="s">
        <v>34</v>
      </c>
      <c r="C271" s="3">
        <v>15</v>
      </c>
      <c r="D271" s="3">
        <v>7</v>
      </c>
      <c r="E271" s="3"/>
      <c r="F271" s="3" t="s">
        <v>38</v>
      </c>
      <c r="G271" s="3" t="s">
        <v>41</v>
      </c>
      <c r="H271" s="1"/>
      <c r="I271" s="3">
        <v>3</v>
      </c>
      <c r="J271" s="3" t="s">
        <v>38</v>
      </c>
      <c r="K271" s="1" t="s">
        <v>42</v>
      </c>
      <c r="L271" s="1" t="s">
        <v>45</v>
      </c>
      <c r="M271" s="1">
        <v>36</v>
      </c>
      <c r="N271" s="7" t="s">
        <v>45</v>
      </c>
      <c r="O271" s="1" t="s">
        <v>45</v>
      </c>
      <c r="P271" s="1">
        <v>3.3333333333333339</v>
      </c>
      <c r="Q271" s="6" t="s">
        <v>45</v>
      </c>
      <c r="R271" s="6" t="s">
        <v>45</v>
      </c>
      <c r="S271" s="6" t="s">
        <v>45</v>
      </c>
      <c r="T271" s="6" t="s">
        <v>45</v>
      </c>
      <c r="U271" s="6" t="s">
        <v>45</v>
      </c>
      <c r="V271" s="1" t="s">
        <v>45</v>
      </c>
      <c r="W271" s="1" t="s">
        <v>45</v>
      </c>
      <c r="X271" s="1" t="s">
        <v>45</v>
      </c>
      <c r="Y271" s="6">
        <f>P271</f>
        <v>3.3333333333333339</v>
      </c>
    </row>
    <row r="272" spans="1:25" x14ac:dyDescent="0.15">
      <c r="A272" s="3">
        <v>2023</v>
      </c>
      <c r="B272" s="3" t="s">
        <v>34</v>
      </c>
      <c r="C272" s="3">
        <v>15</v>
      </c>
      <c r="D272" s="3">
        <v>8</v>
      </c>
      <c r="E272" s="3"/>
      <c r="F272" s="3" t="s">
        <v>39</v>
      </c>
      <c r="G272" s="3" t="s">
        <v>41</v>
      </c>
      <c r="H272" s="1"/>
      <c r="I272" s="3">
        <v>3</v>
      </c>
      <c r="J272" s="3" t="s">
        <v>39</v>
      </c>
      <c r="K272" s="1" t="s">
        <v>42</v>
      </c>
      <c r="L272" s="1" t="s">
        <v>45</v>
      </c>
      <c r="M272" s="1">
        <v>38</v>
      </c>
      <c r="N272" s="7" t="s">
        <v>45</v>
      </c>
      <c r="O272" s="1" t="s">
        <v>45</v>
      </c>
      <c r="P272" s="1" t="s">
        <v>45</v>
      </c>
      <c r="Q272" s="6" t="s">
        <v>45</v>
      </c>
      <c r="R272" s="6" t="s">
        <v>45</v>
      </c>
      <c r="S272" s="6" t="s">
        <v>45</v>
      </c>
      <c r="T272" s="6" t="s">
        <v>45</v>
      </c>
      <c r="U272" s="6" t="s">
        <v>45</v>
      </c>
      <c r="V272" s="1" t="s">
        <v>45</v>
      </c>
      <c r="W272" s="1" t="s">
        <v>45</v>
      </c>
      <c r="X272" s="1" t="s">
        <v>45</v>
      </c>
      <c r="Y272" s="6" t="str">
        <f t="shared" ref="Y272:Y273" si="99">P272</f>
        <v>NA</v>
      </c>
    </row>
    <row r="273" spans="1:25" x14ac:dyDescent="0.15">
      <c r="A273" s="3">
        <v>2023</v>
      </c>
      <c r="B273" s="3" t="s">
        <v>34</v>
      </c>
      <c r="C273" s="3">
        <v>15</v>
      </c>
      <c r="D273" s="3">
        <v>9</v>
      </c>
      <c r="E273" s="3"/>
      <c r="F273" s="3" t="s">
        <v>40</v>
      </c>
      <c r="G273" s="3" t="s">
        <v>41</v>
      </c>
      <c r="H273" s="1"/>
      <c r="I273" s="3">
        <v>3</v>
      </c>
      <c r="J273" s="3" t="s">
        <v>40</v>
      </c>
      <c r="K273" s="1" t="s">
        <v>42</v>
      </c>
      <c r="L273" s="1" t="s">
        <v>45</v>
      </c>
      <c r="M273" s="1">
        <v>33</v>
      </c>
      <c r="N273" s="7" t="s">
        <v>45</v>
      </c>
      <c r="O273" s="1" t="s">
        <v>45</v>
      </c>
      <c r="P273" s="1">
        <v>1.5277777777777781</v>
      </c>
      <c r="Q273" s="6" t="s">
        <v>45</v>
      </c>
      <c r="R273" s="6" t="s">
        <v>45</v>
      </c>
      <c r="S273" s="6" t="s">
        <v>45</v>
      </c>
      <c r="T273" s="6" t="s">
        <v>45</v>
      </c>
      <c r="U273" s="6" t="s">
        <v>45</v>
      </c>
      <c r="V273" s="1" t="s">
        <v>45</v>
      </c>
      <c r="W273" s="1" t="s">
        <v>45</v>
      </c>
      <c r="X273" s="1" t="s">
        <v>45</v>
      </c>
      <c r="Y273" s="6">
        <f t="shared" si="99"/>
        <v>1.5277777777777781</v>
      </c>
    </row>
    <row r="274" spans="1:25" x14ac:dyDescent="0.15">
      <c r="A274" s="3">
        <v>2023</v>
      </c>
      <c r="B274" s="3" t="s">
        <v>34</v>
      </c>
      <c r="C274" s="3">
        <v>15</v>
      </c>
      <c r="D274" s="3">
        <v>10</v>
      </c>
      <c r="E274" s="3" t="s">
        <v>35</v>
      </c>
      <c r="F274" s="3" t="s">
        <v>38</v>
      </c>
      <c r="G274" s="3" t="s">
        <v>14</v>
      </c>
      <c r="H274" s="1" t="s">
        <v>35</v>
      </c>
      <c r="I274" s="3">
        <v>3</v>
      </c>
      <c r="J274" s="3" t="s">
        <v>63</v>
      </c>
      <c r="K274" s="1" t="s">
        <v>42</v>
      </c>
      <c r="L274" s="1">
        <v>110</v>
      </c>
      <c r="M274" s="1">
        <v>53</v>
      </c>
      <c r="N274" s="7">
        <f>L274-M274</f>
        <v>57</v>
      </c>
      <c r="O274" s="1">
        <v>2.2222222222222228</v>
      </c>
      <c r="P274" s="1">
        <v>1.666666666666667</v>
      </c>
      <c r="Q274" s="6">
        <f>O274/(0.1*O265)</f>
        <v>6.6666666666666661</v>
      </c>
      <c r="R274" s="6">
        <f>O274/(0.1*O268)</f>
        <v>5</v>
      </c>
      <c r="S274" s="6">
        <f>P274/(0.9*P271)</f>
        <v>0.55555555555555558</v>
      </c>
      <c r="T274" s="6">
        <f>Q274+S274</f>
        <v>7.2222222222222214</v>
      </c>
      <c r="U274" s="6">
        <f>R274+S274</f>
        <v>5.5555555555555554</v>
      </c>
      <c r="V274" s="1">
        <f>O274/O265+P274/P271</f>
        <v>1.1666666666666667</v>
      </c>
      <c r="W274" s="1">
        <f>O274/O268+P274/P271</f>
        <v>1</v>
      </c>
      <c r="X274" s="1">
        <f t="shared" ref="X274:X282" si="100">100*ROUND(P274/(P274+O274), 2)</f>
        <v>43</v>
      </c>
      <c r="Y274" s="6">
        <f t="shared" ref="Y274:Y282" si="101">O274+P274</f>
        <v>3.8888888888888897</v>
      </c>
    </row>
    <row r="275" spans="1:25" x14ac:dyDescent="0.15">
      <c r="A275" s="3">
        <v>2023</v>
      </c>
      <c r="B275" s="3" t="s">
        <v>34</v>
      </c>
      <c r="C275" s="3">
        <v>15</v>
      </c>
      <c r="D275" s="3">
        <v>11</v>
      </c>
      <c r="E275" s="3" t="s">
        <v>35</v>
      </c>
      <c r="F275" s="3" t="s">
        <v>39</v>
      </c>
      <c r="G275" s="3" t="s">
        <v>14</v>
      </c>
      <c r="H275" s="1" t="s">
        <v>35</v>
      </c>
      <c r="I275" s="3">
        <v>3</v>
      </c>
      <c r="J275" s="3" t="s">
        <v>64</v>
      </c>
      <c r="K275" s="1" t="s">
        <v>42</v>
      </c>
      <c r="L275" s="1">
        <v>104</v>
      </c>
      <c r="M275" s="1">
        <v>38</v>
      </c>
      <c r="N275" s="7">
        <f t="shared" ref="N275:N282" si="102">L275-M275</f>
        <v>66</v>
      </c>
      <c r="O275" s="1">
        <v>1.9444444444444444</v>
      </c>
      <c r="P275" s="1">
        <v>0.55555555555555569</v>
      </c>
      <c r="Q275" s="6">
        <f>O275/(0.1*O265)</f>
        <v>5.8333333333333313</v>
      </c>
      <c r="R275" s="6">
        <f>O275/(0.1*O268)</f>
        <v>4.3749999999999982</v>
      </c>
      <c r="S275" s="1" t="s">
        <v>45</v>
      </c>
      <c r="T275" s="1" t="s">
        <v>45</v>
      </c>
      <c r="U275" s="1" t="s">
        <v>45</v>
      </c>
      <c r="V275" s="1" t="s">
        <v>45</v>
      </c>
      <c r="W275" s="1" t="s">
        <v>45</v>
      </c>
      <c r="X275" s="1">
        <f t="shared" si="100"/>
        <v>22</v>
      </c>
      <c r="Y275" s="6">
        <f t="shared" si="101"/>
        <v>2.5</v>
      </c>
    </row>
    <row r="276" spans="1:25" x14ac:dyDescent="0.15">
      <c r="A276" s="3">
        <v>2023</v>
      </c>
      <c r="B276" s="3" t="s">
        <v>34</v>
      </c>
      <c r="C276" s="3">
        <v>15</v>
      </c>
      <c r="D276" s="3">
        <v>12</v>
      </c>
      <c r="E276" s="3" t="s">
        <v>35</v>
      </c>
      <c r="F276" s="3" t="s">
        <v>40</v>
      </c>
      <c r="G276" s="3" t="s">
        <v>14</v>
      </c>
      <c r="H276" s="1" t="s">
        <v>35</v>
      </c>
      <c r="I276" s="3">
        <v>3</v>
      </c>
      <c r="J276" s="3" t="s">
        <v>65</v>
      </c>
      <c r="K276" s="1" t="s">
        <v>42</v>
      </c>
      <c r="L276" s="1">
        <v>102</v>
      </c>
      <c r="M276" s="1">
        <v>46</v>
      </c>
      <c r="N276" s="7">
        <f t="shared" si="102"/>
        <v>56</v>
      </c>
      <c r="O276" s="1">
        <v>1.9444444444444444</v>
      </c>
      <c r="P276" s="1">
        <v>0.83333333333333348</v>
      </c>
      <c r="Q276" s="6">
        <f>O276/(0.1*O265)</f>
        <v>5.8333333333333313</v>
      </c>
      <c r="R276" s="6">
        <f>O276/(0.1*O268)</f>
        <v>4.3749999999999982</v>
      </c>
      <c r="S276" s="6">
        <f>P276/(0.9*P273)</f>
        <v>0.60606060606060597</v>
      </c>
      <c r="T276" s="6">
        <f t="shared" ref="T275:T282" si="103">Q276+S276</f>
        <v>6.4393939393939377</v>
      </c>
      <c r="U276" s="6">
        <f t="shared" ref="U275:U282" si="104">R276+S276</f>
        <v>4.9810606060606037</v>
      </c>
      <c r="V276" s="1">
        <f>O276/O265+P276/P273</f>
        <v>1.1287878787878787</v>
      </c>
      <c r="W276" s="1">
        <f>O276/O268+P276/P273</f>
        <v>0.9829545454545453</v>
      </c>
      <c r="X276" s="1">
        <f t="shared" si="100"/>
        <v>30</v>
      </c>
      <c r="Y276" s="6">
        <f t="shared" si="101"/>
        <v>2.7777777777777777</v>
      </c>
    </row>
    <row r="277" spans="1:25" x14ac:dyDescent="0.15">
      <c r="A277" s="3">
        <v>2023</v>
      </c>
      <c r="B277" s="3" t="s">
        <v>34</v>
      </c>
      <c r="C277" s="3">
        <v>15</v>
      </c>
      <c r="D277" s="3">
        <v>13</v>
      </c>
      <c r="E277" s="3" t="s">
        <v>36</v>
      </c>
      <c r="F277" s="3" t="s">
        <v>38</v>
      </c>
      <c r="G277" s="3" t="s">
        <v>14</v>
      </c>
      <c r="H277" s="1" t="s">
        <v>36</v>
      </c>
      <c r="I277" s="3">
        <v>3</v>
      </c>
      <c r="J277" s="3" t="s">
        <v>66</v>
      </c>
      <c r="K277" s="1" t="s">
        <v>42</v>
      </c>
      <c r="L277" s="1">
        <v>101</v>
      </c>
      <c r="M277" s="1">
        <v>53</v>
      </c>
      <c r="N277" s="7">
        <f t="shared" si="102"/>
        <v>48</v>
      </c>
      <c r="O277" s="1">
        <v>2.5000000000000004</v>
      </c>
      <c r="P277" s="1">
        <v>1.5277777777777781</v>
      </c>
      <c r="Q277" s="6">
        <f>O277/(0.1*O266)</f>
        <v>6.9230769230769234</v>
      </c>
      <c r="R277" s="6">
        <f>O277/(0.1*O269)</f>
        <v>4.8648648648648649</v>
      </c>
      <c r="S277" s="6">
        <f>P277/(0.9*P271)</f>
        <v>0.5092592592592593</v>
      </c>
      <c r="T277" s="6">
        <f t="shared" si="103"/>
        <v>7.4323361823361829</v>
      </c>
      <c r="U277" s="6">
        <f t="shared" si="104"/>
        <v>5.3741241241241244</v>
      </c>
      <c r="V277" s="1">
        <f>O277/O266+P277/P271</f>
        <v>1.1506410256410255</v>
      </c>
      <c r="W277" s="1">
        <f>O277/O269+P277/P271</f>
        <v>0.94481981981981988</v>
      </c>
      <c r="X277" s="1">
        <f t="shared" si="100"/>
        <v>38</v>
      </c>
      <c r="Y277" s="6">
        <f t="shared" si="101"/>
        <v>4.0277777777777786</v>
      </c>
    </row>
    <row r="278" spans="1:25" x14ac:dyDescent="0.15">
      <c r="A278" s="3">
        <v>2023</v>
      </c>
      <c r="B278" s="3" t="s">
        <v>34</v>
      </c>
      <c r="C278" s="3">
        <v>15</v>
      </c>
      <c r="D278" s="3">
        <v>14</v>
      </c>
      <c r="E278" s="3" t="s">
        <v>36</v>
      </c>
      <c r="F278" s="3" t="s">
        <v>39</v>
      </c>
      <c r="G278" s="3" t="s">
        <v>14</v>
      </c>
      <c r="H278" s="1" t="s">
        <v>36</v>
      </c>
      <c r="I278" s="3">
        <v>3</v>
      </c>
      <c r="J278" s="3" t="s">
        <v>67</v>
      </c>
      <c r="K278" s="1" t="s">
        <v>42</v>
      </c>
      <c r="L278" s="1">
        <v>100</v>
      </c>
      <c r="M278" s="1">
        <v>42</v>
      </c>
      <c r="N278" s="7">
        <f t="shared" si="102"/>
        <v>58</v>
      </c>
      <c r="O278" s="1">
        <v>2.7777777777777777</v>
      </c>
      <c r="P278" s="1">
        <v>0.97222222222222221</v>
      </c>
      <c r="Q278" s="6">
        <f>O278/(0.1*O266)</f>
        <v>7.6923076923076907</v>
      </c>
      <c r="R278" s="6">
        <f>O278/(0.1*O269)</f>
        <v>5.4054054054054044</v>
      </c>
      <c r="S278" s="1" t="s">
        <v>45</v>
      </c>
      <c r="T278" s="1" t="s">
        <v>45</v>
      </c>
      <c r="U278" s="1" t="s">
        <v>45</v>
      </c>
      <c r="V278" s="1" t="s">
        <v>45</v>
      </c>
      <c r="W278" s="1" t="s">
        <v>45</v>
      </c>
      <c r="X278" s="1">
        <f t="shared" si="100"/>
        <v>26</v>
      </c>
      <c r="Y278" s="6">
        <f t="shared" si="101"/>
        <v>3.75</v>
      </c>
    </row>
    <row r="279" spans="1:25" x14ac:dyDescent="0.15">
      <c r="A279" s="3">
        <v>2023</v>
      </c>
      <c r="B279" s="3" t="s">
        <v>34</v>
      </c>
      <c r="C279" s="3">
        <v>15</v>
      </c>
      <c r="D279" s="3">
        <v>15</v>
      </c>
      <c r="E279" s="3" t="s">
        <v>36</v>
      </c>
      <c r="F279" s="3" t="s">
        <v>40</v>
      </c>
      <c r="G279" s="3" t="s">
        <v>14</v>
      </c>
      <c r="H279" s="1" t="s">
        <v>36</v>
      </c>
      <c r="I279" s="3">
        <v>3</v>
      </c>
      <c r="J279" s="3" t="s">
        <v>68</v>
      </c>
      <c r="K279" s="1" t="s">
        <v>42</v>
      </c>
      <c r="L279" s="1">
        <v>103</v>
      </c>
      <c r="M279" s="1">
        <v>46</v>
      </c>
      <c r="N279" s="7">
        <f t="shared" si="102"/>
        <v>57</v>
      </c>
      <c r="O279" s="1">
        <v>2.3611111111111112</v>
      </c>
      <c r="P279" s="1">
        <v>0.27777777777777785</v>
      </c>
      <c r="Q279" s="6">
        <f>O279/(0.1*O266)</f>
        <v>6.5384615384615374</v>
      </c>
      <c r="R279" s="6">
        <f>O279/(0.1*O269)</f>
        <v>4.5945945945945939</v>
      </c>
      <c r="S279" s="6">
        <f>P279/(0.9*P273)</f>
        <v>0.20202020202020202</v>
      </c>
      <c r="T279" s="6">
        <f t="shared" si="103"/>
        <v>6.7404817404817399</v>
      </c>
      <c r="U279" s="6">
        <f t="shared" si="104"/>
        <v>4.7966147966147963</v>
      </c>
      <c r="V279" s="1">
        <f>O279/O266+P279/P273</f>
        <v>0.83566433566433562</v>
      </c>
      <c r="W279" s="1">
        <f>O279/O269+P279/P273</f>
        <v>0.64127764127764131</v>
      </c>
      <c r="X279" s="1">
        <f t="shared" si="100"/>
        <v>11</v>
      </c>
      <c r="Y279" s="6">
        <f t="shared" si="101"/>
        <v>2.6388888888888888</v>
      </c>
    </row>
    <row r="280" spans="1:25" x14ac:dyDescent="0.15">
      <c r="A280" s="3">
        <v>2023</v>
      </c>
      <c r="B280" s="3" t="s">
        <v>34</v>
      </c>
      <c r="C280" s="3">
        <v>15</v>
      </c>
      <c r="D280" s="3">
        <v>16</v>
      </c>
      <c r="E280" s="3" t="s">
        <v>37</v>
      </c>
      <c r="F280" s="3" t="s">
        <v>38</v>
      </c>
      <c r="G280" s="3" t="s">
        <v>14</v>
      </c>
      <c r="H280" s="1" t="s">
        <v>37</v>
      </c>
      <c r="I280" s="3">
        <v>3</v>
      </c>
      <c r="J280" s="3" t="s">
        <v>69</v>
      </c>
      <c r="K280" s="1" t="s">
        <v>42</v>
      </c>
      <c r="L280" s="1">
        <v>78</v>
      </c>
      <c r="M280" s="1">
        <v>45</v>
      </c>
      <c r="N280" s="7">
        <f t="shared" si="102"/>
        <v>33</v>
      </c>
      <c r="O280" s="1">
        <v>2.5000000000000004</v>
      </c>
      <c r="P280" s="1">
        <v>1.666666666666667</v>
      </c>
      <c r="Q280" s="6">
        <f>O280/(0.1*O267)</f>
        <v>6</v>
      </c>
      <c r="R280" s="6">
        <f>O280/(0.1*O270)</f>
        <v>5.6249999999999991</v>
      </c>
      <c r="S280" s="6">
        <f>P280/(0.9*P271)</f>
        <v>0.55555555555555558</v>
      </c>
      <c r="T280" s="6">
        <f t="shared" si="103"/>
        <v>6.5555555555555554</v>
      </c>
      <c r="U280" s="6">
        <f t="shared" si="104"/>
        <v>6.1805555555555545</v>
      </c>
      <c r="V280" s="1">
        <f>O280/O267+P280/P271</f>
        <v>1.1000000000000001</v>
      </c>
      <c r="W280" s="1">
        <f>O280/O270+P280/P271</f>
        <v>1.0625</v>
      </c>
      <c r="X280" s="1">
        <f t="shared" si="100"/>
        <v>40</v>
      </c>
      <c r="Y280" s="6">
        <f t="shared" si="101"/>
        <v>4.1666666666666679</v>
      </c>
    </row>
    <row r="281" spans="1:25" x14ac:dyDescent="0.15">
      <c r="A281" s="3">
        <v>2023</v>
      </c>
      <c r="B281" s="3" t="s">
        <v>34</v>
      </c>
      <c r="C281" s="3">
        <v>15</v>
      </c>
      <c r="D281" s="3">
        <v>17</v>
      </c>
      <c r="E281" s="3" t="s">
        <v>37</v>
      </c>
      <c r="F281" s="3" t="s">
        <v>39</v>
      </c>
      <c r="G281" s="3" t="s">
        <v>14</v>
      </c>
      <c r="H281" s="1" t="s">
        <v>37</v>
      </c>
      <c r="I281" s="3">
        <v>3</v>
      </c>
      <c r="J281" s="3" t="s">
        <v>70</v>
      </c>
      <c r="K281" s="1" t="s">
        <v>42</v>
      </c>
      <c r="L281" s="1">
        <v>75</v>
      </c>
      <c r="M281" s="1">
        <v>34</v>
      </c>
      <c r="N281" s="7">
        <f t="shared" si="102"/>
        <v>41</v>
      </c>
      <c r="O281" s="1">
        <v>2.6388888888888888</v>
      </c>
      <c r="P281" s="1">
        <v>1.3888888888888888</v>
      </c>
      <c r="Q281" s="6">
        <f>O281/(0.1*O267)</f>
        <v>6.3333333333333321</v>
      </c>
      <c r="R281" s="6">
        <f>O281/(0.1*O270)</f>
        <v>5.9374999999999982</v>
      </c>
      <c r="S281" s="1" t="s">
        <v>45</v>
      </c>
      <c r="T281" s="1" t="s">
        <v>45</v>
      </c>
      <c r="U281" s="1" t="s">
        <v>45</v>
      </c>
      <c r="V281" s="1" t="s">
        <v>45</v>
      </c>
      <c r="W281" s="1" t="s">
        <v>45</v>
      </c>
      <c r="X281" s="1">
        <f t="shared" si="100"/>
        <v>34</v>
      </c>
      <c r="Y281" s="6">
        <f t="shared" si="101"/>
        <v>4.0277777777777777</v>
      </c>
    </row>
    <row r="282" spans="1:25" x14ac:dyDescent="0.15">
      <c r="A282" s="3">
        <v>2023</v>
      </c>
      <c r="B282" s="3" t="s">
        <v>34</v>
      </c>
      <c r="C282" s="3">
        <v>15</v>
      </c>
      <c r="D282" s="3">
        <v>18</v>
      </c>
      <c r="E282" s="3" t="s">
        <v>37</v>
      </c>
      <c r="F282" s="3" t="s">
        <v>40</v>
      </c>
      <c r="G282" s="3" t="s">
        <v>14</v>
      </c>
      <c r="H282" s="1" t="s">
        <v>37</v>
      </c>
      <c r="I282" s="3">
        <v>3</v>
      </c>
      <c r="J282" s="3" t="s">
        <v>71</v>
      </c>
      <c r="K282" s="1" t="s">
        <v>42</v>
      </c>
      <c r="L282" s="1">
        <v>77</v>
      </c>
      <c r="M282" s="1">
        <v>33</v>
      </c>
      <c r="N282" s="7">
        <f t="shared" si="102"/>
        <v>44</v>
      </c>
      <c r="O282" s="1">
        <v>2.5000000000000004</v>
      </c>
      <c r="P282" s="1">
        <v>1.2500000000000002</v>
      </c>
      <c r="Q282" s="6">
        <f>O282/(0.1*O267)</f>
        <v>6</v>
      </c>
      <c r="R282" s="6">
        <f>O282/(0.1*O270)</f>
        <v>5.6249999999999991</v>
      </c>
      <c r="S282" s="6">
        <f>P282/(0.9*P273)</f>
        <v>0.90909090909090895</v>
      </c>
      <c r="T282" s="6">
        <f t="shared" si="103"/>
        <v>6.9090909090909092</v>
      </c>
      <c r="U282" s="6">
        <f t="shared" si="104"/>
        <v>6.5340909090909083</v>
      </c>
      <c r="V282" s="1">
        <f>O282/O267+P282/P273</f>
        <v>1.4181818181818182</v>
      </c>
      <c r="W282" s="1">
        <f>O282/O270+P282/P273</f>
        <v>1.3806818181818181</v>
      </c>
      <c r="X282" s="1">
        <f t="shared" si="100"/>
        <v>33</v>
      </c>
      <c r="Y282" s="6">
        <f t="shared" si="101"/>
        <v>3.7500000000000009</v>
      </c>
    </row>
    <row r="283" spans="1:25" x14ac:dyDescent="0.15">
      <c r="A283" s="3">
        <v>2023</v>
      </c>
      <c r="B283" s="3" t="s">
        <v>34</v>
      </c>
      <c r="C283" s="3">
        <v>16</v>
      </c>
      <c r="D283" s="3">
        <v>1</v>
      </c>
      <c r="E283" s="3" t="s">
        <v>35</v>
      </c>
      <c r="F283" s="3"/>
      <c r="G283" s="3" t="s">
        <v>41</v>
      </c>
      <c r="H283" s="1" t="s">
        <v>35</v>
      </c>
      <c r="I283" s="3">
        <v>4</v>
      </c>
      <c r="J283" s="3" t="s">
        <v>35</v>
      </c>
      <c r="K283" s="1" t="s">
        <v>42</v>
      </c>
      <c r="L283" s="1">
        <v>73</v>
      </c>
      <c r="M283" s="1" t="s">
        <v>45</v>
      </c>
      <c r="N283" s="7" t="s">
        <v>45</v>
      </c>
      <c r="O283" s="1">
        <v>3.8888888888888888</v>
      </c>
      <c r="P283" s="1" t="s">
        <v>45</v>
      </c>
      <c r="Q283" s="6" t="s">
        <v>45</v>
      </c>
      <c r="R283" s="6" t="s">
        <v>45</v>
      </c>
      <c r="S283" s="6" t="s">
        <v>45</v>
      </c>
      <c r="T283" s="6" t="s">
        <v>45</v>
      </c>
      <c r="U283" s="6" t="s">
        <v>45</v>
      </c>
      <c r="V283" s="1" t="s">
        <v>45</v>
      </c>
      <c r="W283" s="1" t="s">
        <v>45</v>
      </c>
      <c r="X283" s="6" t="s">
        <v>45</v>
      </c>
      <c r="Y283" s="6">
        <f>O283</f>
        <v>3.8888888888888888</v>
      </c>
    </row>
    <row r="284" spans="1:25" x14ac:dyDescent="0.15">
      <c r="A284" s="3">
        <v>2023</v>
      </c>
      <c r="B284" s="3" t="s">
        <v>34</v>
      </c>
      <c r="C284" s="3">
        <v>16</v>
      </c>
      <c r="D284" s="3">
        <v>2</v>
      </c>
      <c r="E284" s="3" t="s">
        <v>36</v>
      </c>
      <c r="F284" s="3"/>
      <c r="G284" s="3" t="s">
        <v>41</v>
      </c>
      <c r="H284" s="1" t="s">
        <v>36</v>
      </c>
      <c r="I284" s="3">
        <v>4</v>
      </c>
      <c r="J284" s="3" t="s">
        <v>36</v>
      </c>
      <c r="K284" s="1" t="s">
        <v>42</v>
      </c>
      <c r="L284" s="1">
        <v>67</v>
      </c>
      <c r="M284" s="1" t="s">
        <v>45</v>
      </c>
      <c r="N284" s="7" t="s">
        <v>45</v>
      </c>
      <c r="O284" s="1">
        <v>4.0277777777777777</v>
      </c>
      <c r="P284" s="1" t="s">
        <v>45</v>
      </c>
      <c r="Q284" s="6" t="s">
        <v>45</v>
      </c>
      <c r="R284" s="6" t="s">
        <v>45</v>
      </c>
      <c r="S284" s="6" t="s">
        <v>45</v>
      </c>
      <c r="T284" s="6" t="s">
        <v>45</v>
      </c>
      <c r="U284" s="6" t="s">
        <v>45</v>
      </c>
      <c r="V284" s="1" t="s">
        <v>45</v>
      </c>
      <c r="W284" s="1" t="s">
        <v>45</v>
      </c>
      <c r="X284" s="6" t="s">
        <v>45</v>
      </c>
      <c r="Y284" s="6">
        <f t="shared" ref="Y284:Y288" si="105">O284</f>
        <v>4.0277777777777777</v>
      </c>
    </row>
    <row r="285" spans="1:25" x14ac:dyDescent="0.15">
      <c r="A285" s="3">
        <v>2023</v>
      </c>
      <c r="B285" s="3" t="s">
        <v>34</v>
      </c>
      <c r="C285" s="3">
        <v>16</v>
      </c>
      <c r="D285" s="3">
        <v>3</v>
      </c>
      <c r="E285" s="3" t="s">
        <v>37</v>
      </c>
      <c r="F285" s="3"/>
      <c r="G285" s="3" t="s">
        <v>41</v>
      </c>
      <c r="H285" s="1" t="s">
        <v>37</v>
      </c>
      <c r="I285" s="3">
        <v>4</v>
      </c>
      <c r="J285" s="3" t="s">
        <v>37</v>
      </c>
      <c r="K285" s="1" t="s">
        <v>42</v>
      </c>
      <c r="L285" s="1">
        <v>53</v>
      </c>
      <c r="M285" s="1" t="s">
        <v>45</v>
      </c>
      <c r="N285" s="7" t="s">
        <v>45</v>
      </c>
      <c r="O285" s="1">
        <v>3.4722222222222228</v>
      </c>
      <c r="P285" s="1" t="s">
        <v>45</v>
      </c>
      <c r="Q285" s="6" t="s">
        <v>45</v>
      </c>
      <c r="R285" s="6" t="s">
        <v>45</v>
      </c>
      <c r="S285" s="6" t="s">
        <v>45</v>
      </c>
      <c r="T285" s="6" t="s">
        <v>45</v>
      </c>
      <c r="U285" s="6" t="s">
        <v>45</v>
      </c>
      <c r="V285" s="1" t="s">
        <v>45</v>
      </c>
      <c r="W285" s="1" t="s">
        <v>45</v>
      </c>
      <c r="X285" s="6" t="s">
        <v>45</v>
      </c>
      <c r="Y285" s="6">
        <f t="shared" si="105"/>
        <v>3.4722222222222228</v>
      </c>
    </row>
    <row r="286" spans="1:25" x14ac:dyDescent="0.15">
      <c r="A286" s="3">
        <v>2023</v>
      </c>
      <c r="B286" s="3" t="s">
        <v>34</v>
      </c>
      <c r="C286" s="3">
        <v>16</v>
      </c>
      <c r="D286" s="3">
        <v>4</v>
      </c>
      <c r="E286" s="3" t="s">
        <v>35</v>
      </c>
      <c r="F286" s="3"/>
      <c r="G286" s="3" t="s">
        <v>41</v>
      </c>
      <c r="H286" s="1" t="s">
        <v>75</v>
      </c>
      <c r="I286" s="3">
        <v>4</v>
      </c>
      <c r="J286" s="3" t="s">
        <v>35</v>
      </c>
      <c r="K286" s="1" t="s">
        <v>43</v>
      </c>
      <c r="L286" s="1">
        <v>106</v>
      </c>
      <c r="M286" s="1" t="s">
        <v>45</v>
      </c>
      <c r="N286" s="7" t="s">
        <v>45</v>
      </c>
      <c r="O286" s="1">
        <v>6.3888888888888893</v>
      </c>
      <c r="P286" s="1" t="s">
        <v>45</v>
      </c>
      <c r="Q286" s="6" t="s">
        <v>45</v>
      </c>
      <c r="R286" s="6" t="s">
        <v>45</v>
      </c>
      <c r="S286" s="6" t="s">
        <v>45</v>
      </c>
      <c r="T286" s="6" t="s">
        <v>45</v>
      </c>
      <c r="U286" s="6" t="s">
        <v>45</v>
      </c>
      <c r="V286" s="1" t="s">
        <v>45</v>
      </c>
      <c r="W286" s="1" t="s">
        <v>45</v>
      </c>
      <c r="X286" s="1" t="s">
        <v>45</v>
      </c>
      <c r="Y286" s="6">
        <f t="shared" si="105"/>
        <v>6.3888888888888893</v>
      </c>
    </row>
    <row r="287" spans="1:25" x14ac:dyDescent="0.15">
      <c r="A287" s="3">
        <v>2023</v>
      </c>
      <c r="B287" s="3" t="s">
        <v>34</v>
      </c>
      <c r="C287" s="3">
        <v>16</v>
      </c>
      <c r="D287" s="3">
        <v>5</v>
      </c>
      <c r="E287" s="3" t="s">
        <v>36</v>
      </c>
      <c r="F287" s="3"/>
      <c r="G287" s="3" t="s">
        <v>41</v>
      </c>
      <c r="H287" s="1" t="s">
        <v>76</v>
      </c>
      <c r="I287" s="3">
        <v>4</v>
      </c>
      <c r="J287" s="3" t="s">
        <v>36</v>
      </c>
      <c r="K287" s="1" t="s">
        <v>43</v>
      </c>
      <c r="L287" s="1">
        <v>104</v>
      </c>
      <c r="M287" s="1" t="s">
        <v>45</v>
      </c>
      <c r="N287" s="7" t="s">
        <v>45</v>
      </c>
      <c r="O287" s="1">
        <v>5.6944444444444446</v>
      </c>
      <c r="P287" s="1" t="s">
        <v>45</v>
      </c>
      <c r="Q287" s="6" t="s">
        <v>45</v>
      </c>
      <c r="R287" s="6" t="s">
        <v>45</v>
      </c>
      <c r="S287" s="6" t="s">
        <v>45</v>
      </c>
      <c r="T287" s="6" t="s">
        <v>45</v>
      </c>
      <c r="U287" s="6" t="s">
        <v>45</v>
      </c>
      <c r="V287" s="1" t="s">
        <v>45</v>
      </c>
      <c r="W287" s="1" t="s">
        <v>45</v>
      </c>
      <c r="X287" s="1" t="s">
        <v>45</v>
      </c>
      <c r="Y287" s="6">
        <f t="shared" si="105"/>
        <v>5.6944444444444446</v>
      </c>
    </row>
    <row r="288" spans="1:25" x14ac:dyDescent="0.15">
      <c r="A288" s="3">
        <v>2023</v>
      </c>
      <c r="B288" s="3" t="s">
        <v>34</v>
      </c>
      <c r="C288" s="3">
        <v>16</v>
      </c>
      <c r="D288" s="3">
        <v>6</v>
      </c>
      <c r="E288" s="3" t="s">
        <v>37</v>
      </c>
      <c r="F288" s="3"/>
      <c r="G288" s="3" t="s">
        <v>41</v>
      </c>
      <c r="H288" s="1" t="s">
        <v>77</v>
      </c>
      <c r="I288" s="3">
        <v>4</v>
      </c>
      <c r="J288" s="3" t="s">
        <v>37</v>
      </c>
      <c r="K288" s="1" t="s">
        <v>43</v>
      </c>
      <c r="L288" s="1">
        <v>72</v>
      </c>
      <c r="M288" s="1" t="s">
        <v>45</v>
      </c>
      <c r="N288" s="7" t="s">
        <v>45</v>
      </c>
      <c r="O288" s="1">
        <v>5.1388888888888893</v>
      </c>
      <c r="P288" s="1" t="s">
        <v>45</v>
      </c>
      <c r="Q288" s="6" t="s">
        <v>45</v>
      </c>
      <c r="R288" s="6" t="s">
        <v>45</v>
      </c>
      <c r="S288" s="6" t="s">
        <v>45</v>
      </c>
      <c r="T288" s="6" t="s">
        <v>45</v>
      </c>
      <c r="U288" s="6" t="s">
        <v>45</v>
      </c>
      <c r="V288" s="1" t="s">
        <v>45</v>
      </c>
      <c r="W288" s="1" t="s">
        <v>45</v>
      </c>
      <c r="X288" s="1" t="s">
        <v>45</v>
      </c>
      <c r="Y288" s="6">
        <f t="shared" si="105"/>
        <v>5.1388888888888893</v>
      </c>
    </row>
    <row r="289" spans="1:25" x14ac:dyDescent="0.15">
      <c r="A289" s="3">
        <v>2023</v>
      </c>
      <c r="B289" s="3" t="s">
        <v>34</v>
      </c>
      <c r="C289" s="3">
        <v>16</v>
      </c>
      <c r="D289" s="3">
        <v>7</v>
      </c>
      <c r="E289" s="3"/>
      <c r="F289" s="3" t="s">
        <v>38</v>
      </c>
      <c r="G289" s="3" t="s">
        <v>41</v>
      </c>
      <c r="H289" s="1"/>
      <c r="I289" s="3">
        <v>4</v>
      </c>
      <c r="J289" s="3" t="s">
        <v>38</v>
      </c>
      <c r="K289" s="1" t="s">
        <v>42</v>
      </c>
      <c r="L289" s="1" t="s">
        <v>45</v>
      </c>
      <c r="M289" s="1">
        <v>33</v>
      </c>
      <c r="N289" s="7" t="s">
        <v>45</v>
      </c>
      <c r="O289" s="1" t="s">
        <v>45</v>
      </c>
      <c r="P289" s="1">
        <v>5.0000000000000009</v>
      </c>
      <c r="Q289" s="6" t="s">
        <v>45</v>
      </c>
      <c r="R289" s="6" t="s">
        <v>45</v>
      </c>
      <c r="S289" s="6" t="s">
        <v>45</v>
      </c>
      <c r="T289" s="6" t="s">
        <v>45</v>
      </c>
      <c r="U289" s="6" t="s">
        <v>45</v>
      </c>
      <c r="V289" s="1" t="s">
        <v>45</v>
      </c>
      <c r="W289" s="1" t="s">
        <v>45</v>
      </c>
      <c r="X289" s="1" t="s">
        <v>45</v>
      </c>
      <c r="Y289" s="6">
        <f>P289</f>
        <v>5.0000000000000009</v>
      </c>
    </row>
    <row r="290" spans="1:25" x14ac:dyDescent="0.15">
      <c r="A290" s="3">
        <v>2023</v>
      </c>
      <c r="B290" s="3" t="s">
        <v>34</v>
      </c>
      <c r="C290" s="3">
        <v>16</v>
      </c>
      <c r="D290" s="3">
        <v>8</v>
      </c>
      <c r="E290" s="3"/>
      <c r="F290" s="3" t="s">
        <v>39</v>
      </c>
      <c r="G290" s="3" t="s">
        <v>41</v>
      </c>
      <c r="H290" s="1"/>
      <c r="I290" s="3">
        <v>4</v>
      </c>
      <c r="J290" s="3" t="s">
        <v>39</v>
      </c>
      <c r="K290" s="1" t="s">
        <v>42</v>
      </c>
      <c r="L290" s="1" t="s">
        <v>45</v>
      </c>
      <c r="M290" s="1">
        <v>29</v>
      </c>
      <c r="N290" s="7" t="s">
        <v>45</v>
      </c>
      <c r="O290" s="1" t="s">
        <v>45</v>
      </c>
      <c r="P290" s="1">
        <v>4.3055555555555562</v>
      </c>
      <c r="Q290" s="6" t="s">
        <v>45</v>
      </c>
      <c r="R290" s="6" t="s">
        <v>45</v>
      </c>
      <c r="S290" s="6" t="s">
        <v>45</v>
      </c>
      <c r="T290" s="6" t="s">
        <v>45</v>
      </c>
      <c r="U290" s="6" t="s">
        <v>45</v>
      </c>
      <c r="V290" s="1" t="s">
        <v>45</v>
      </c>
      <c r="W290" s="1" t="s">
        <v>45</v>
      </c>
      <c r="X290" s="1" t="s">
        <v>45</v>
      </c>
      <c r="Y290" s="6">
        <f t="shared" ref="Y290:Y291" si="106">P290</f>
        <v>4.3055555555555562</v>
      </c>
    </row>
    <row r="291" spans="1:25" x14ac:dyDescent="0.15">
      <c r="A291" s="3">
        <v>2023</v>
      </c>
      <c r="B291" s="3" t="s">
        <v>34</v>
      </c>
      <c r="C291" s="3">
        <v>16</v>
      </c>
      <c r="D291" s="3">
        <v>9</v>
      </c>
      <c r="E291" s="3"/>
      <c r="F291" s="3" t="s">
        <v>40</v>
      </c>
      <c r="G291" s="3" t="s">
        <v>41</v>
      </c>
      <c r="H291" s="1"/>
      <c r="I291" s="3">
        <v>4</v>
      </c>
      <c r="J291" s="3" t="s">
        <v>40</v>
      </c>
      <c r="K291" s="1" t="s">
        <v>42</v>
      </c>
      <c r="L291" s="1" t="s">
        <v>45</v>
      </c>
      <c r="M291" s="1">
        <v>45</v>
      </c>
      <c r="N291" s="7" t="s">
        <v>45</v>
      </c>
      <c r="O291" s="1" t="s">
        <v>45</v>
      </c>
      <c r="P291" s="1">
        <v>3.0555555555555562</v>
      </c>
      <c r="Q291" s="6" t="s">
        <v>45</v>
      </c>
      <c r="R291" s="6" t="s">
        <v>45</v>
      </c>
      <c r="S291" s="6" t="s">
        <v>45</v>
      </c>
      <c r="T291" s="6" t="s">
        <v>45</v>
      </c>
      <c r="U291" s="6" t="s">
        <v>45</v>
      </c>
      <c r="V291" s="1" t="s">
        <v>45</v>
      </c>
      <c r="W291" s="1" t="s">
        <v>45</v>
      </c>
      <c r="X291" s="1" t="s">
        <v>45</v>
      </c>
      <c r="Y291" s="6">
        <f t="shared" si="106"/>
        <v>3.0555555555555562</v>
      </c>
    </row>
    <row r="292" spans="1:25" x14ac:dyDescent="0.15">
      <c r="A292" s="3">
        <v>2023</v>
      </c>
      <c r="B292" s="3" t="s">
        <v>34</v>
      </c>
      <c r="C292" s="3">
        <v>16</v>
      </c>
      <c r="D292" s="3">
        <v>10</v>
      </c>
      <c r="E292" s="3" t="s">
        <v>35</v>
      </c>
      <c r="F292" s="3" t="s">
        <v>38</v>
      </c>
      <c r="G292" s="3" t="s">
        <v>14</v>
      </c>
      <c r="H292" s="1" t="s">
        <v>35</v>
      </c>
      <c r="I292" s="3">
        <v>4</v>
      </c>
      <c r="J292" s="3" t="s">
        <v>63</v>
      </c>
      <c r="K292" s="1" t="s">
        <v>42</v>
      </c>
      <c r="L292" s="1">
        <v>101</v>
      </c>
      <c r="M292" s="1">
        <v>55</v>
      </c>
      <c r="N292" s="7">
        <f>L292-M292</f>
        <v>46</v>
      </c>
      <c r="O292" s="1">
        <v>2.3611111111111112</v>
      </c>
      <c r="P292" s="1">
        <v>2.0833333333333335</v>
      </c>
      <c r="Q292" s="6">
        <f>O292/(0.1*O283)</f>
        <v>6.0714285714285712</v>
      </c>
      <c r="R292" s="6">
        <f>O292/(0.1*O286)</f>
        <v>3.695652173913043</v>
      </c>
      <c r="S292" s="6">
        <f>P292/(0.9*P289)</f>
        <v>0.46296296296296291</v>
      </c>
      <c r="T292" s="6">
        <f>Q292+S292</f>
        <v>6.534391534391534</v>
      </c>
      <c r="U292" s="6">
        <f>R292+S292</f>
        <v>4.1586151368760058</v>
      </c>
      <c r="V292" s="1">
        <f>O292/O283+P292/P289</f>
        <v>1.0238095238095237</v>
      </c>
      <c r="W292" s="1">
        <f>O292/O286+P292/P289</f>
        <v>0.78623188405797095</v>
      </c>
      <c r="X292" s="1">
        <f>100*ROUND(P292/(P292+O292), 2)</f>
        <v>47</v>
      </c>
      <c r="Y292" s="6">
        <f>O292+P292</f>
        <v>4.4444444444444446</v>
      </c>
    </row>
    <row r="293" spans="1:25" x14ac:dyDescent="0.15">
      <c r="A293" s="3">
        <v>2023</v>
      </c>
      <c r="B293" s="3" t="s">
        <v>34</v>
      </c>
      <c r="C293" s="3">
        <v>16</v>
      </c>
      <c r="D293" s="3">
        <v>11</v>
      </c>
      <c r="E293" s="3" t="s">
        <v>35</v>
      </c>
      <c r="F293" s="3" t="s">
        <v>39</v>
      </c>
      <c r="G293" s="3" t="s">
        <v>14</v>
      </c>
      <c r="H293" s="1" t="s">
        <v>35</v>
      </c>
      <c r="I293" s="3">
        <v>4</v>
      </c>
      <c r="J293" s="3" t="s">
        <v>64</v>
      </c>
      <c r="K293" s="1" t="s">
        <v>42</v>
      </c>
      <c r="L293" s="1">
        <v>105</v>
      </c>
      <c r="M293" s="1">
        <v>41</v>
      </c>
      <c r="N293" s="7">
        <f t="shared" ref="N293:N300" si="107">L293-M293</f>
        <v>64</v>
      </c>
      <c r="O293" s="1">
        <v>1.9444444444444444</v>
      </c>
      <c r="P293" s="1">
        <v>2.2222222222222228</v>
      </c>
      <c r="Q293" s="6">
        <f>O293/(0.1*O283)</f>
        <v>5</v>
      </c>
      <c r="R293" s="6">
        <f>O293/(0.1*O286)</f>
        <v>3.043478260869565</v>
      </c>
      <c r="S293" s="6">
        <f>P293/(0.9*P290)</f>
        <v>0.57347670250896055</v>
      </c>
      <c r="T293" s="6">
        <f t="shared" ref="T293:T300" si="108">Q293+S293</f>
        <v>5.5734767025089607</v>
      </c>
      <c r="U293" s="6">
        <f t="shared" ref="U293:U300" si="109">R293+S293</f>
        <v>3.6169549633785256</v>
      </c>
      <c r="V293" s="1">
        <f>O293/O283+P293/P290</f>
        <v>1.0161290322580645</v>
      </c>
      <c r="W293" s="1">
        <f>O293/O286+P293/P290</f>
        <v>0.82047685834502104</v>
      </c>
      <c r="X293" s="1">
        <f>100*ROUND(P293/(P293+O293), 2)</f>
        <v>53</v>
      </c>
      <c r="Y293" s="6">
        <f>O293+P293</f>
        <v>4.166666666666667</v>
      </c>
    </row>
    <row r="294" spans="1:25" x14ac:dyDescent="0.15">
      <c r="A294" s="3">
        <v>2023</v>
      </c>
      <c r="B294" s="3" t="s">
        <v>34</v>
      </c>
      <c r="C294" s="3">
        <v>16</v>
      </c>
      <c r="D294" s="3">
        <v>12</v>
      </c>
      <c r="E294" s="3" t="s">
        <v>35</v>
      </c>
      <c r="F294" s="3" t="s">
        <v>40</v>
      </c>
      <c r="G294" s="3" t="s">
        <v>14</v>
      </c>
      <c r="H294" s="1" t="s">
        <v>35</v>
      </c>
      <c r="I294" s="3">
        <v>4</v>
      </c>
      <c r="J294" s="3" t="s">
        <v>65</v>
      </c>
      <c r="K294" s="1" t="s">
        <v>42</v>
      </c>
      <c r="L294" s="1">
        <v>105</v>
      </c>
      <c r="M294" s="1">
        <v>37</v>
      </c>
      <c r="N294" s="7">
        <f t="shared" si="107"/>
        <v>68</v>
      </c>
      <c r="O294" s="1">
        <v>1.9444444444444444</v>
      </c>
      <c r="P294" s="1">
        <v>2.3611111111111112</v>
      </c>
      <c r="Q294" s="6">
        <f>O294/(0.1*O283)</f>
        <v>5</v>
      </c>
      <c r="R294" s="6">
        <f>O294/(0.1*O286)</f>
        <v>3.043478260869565</v>
      </c>
      <c r="S294" s="6">
        <f>P294/(0.9*P291)</f>
        <v>0.85858585858585834</v>
      </c>
      <c r="T294" s="6">
        <f t="shared" si="108"/>
        <v>5.8585858585858581</v>
      </c>
      <c r="U294" s="6">
        <f t="shared" si="109"/>
        <v>3.9020641194554235</v>
      </c>
      <c r="V294" s="1">
        <f>O294/O283+P294/P291</f>
        <v>1.2727272727272725</v>
      </c>
      <c r="W294" s="1">
        <f>O294/O286+P294/P291</f>
        <v>1.077075098814229</v>
      </c>
      <c r="X294" s="1">
        <f>100*ROUND(P294/(P294+O294), 2)</f>
        <v>55.000000000000007</v>
      </c>
      <c r="Y294" s="6">
        <f>O294+P294</f>
        <v>4.3055555555555554</v>
      </c>
    </row>
    <row r="295" spans="1:25" x14ac:dyDescent="0.15">
      <c r="A295" s="3">
        <v>2023</v>
      </c>
      <c r="B295" s="3" t="s">
        <v>34</v>
      </c>
      <c r="C295" s="3">
        <v>16</v>
      </c>
      <c r="D295" s="3">
        <v>13</v>
      </c>
      <c r="E295" s="3" t="s">
        <v>36</v>
      </c>
      <c r="F295" s="3" t="s">
        <v>38</v>
      </c>
      <c r="G295" s="3" t="s">
        <v>14</v>
      </c>
      <c r="H295" s="1" t="s">
        <v>36</v>
      </c>
      <c r="I295" s="3">
        <v>4</v>
      </c>
      <c r="J295" s="3" t="s">
        <v>66</v>
      </c>
      <c r="K295" s="1" t="s">
        <v>42</v>
      </c>
      <c r="L295" s="1">
        <v>99</v>
      </c>
      <c r="M295" s="1">
        <v>50</v>
      </c>
      <c r="N295" s="7">
        <f t="shared" si="107"/>
        <v>49</v>
      </c>
      <c r="O295" s="1">
        <v>1.9444444444444444</v>
      </c>
      <c r="P295" s="1">
        <v>2.2222222222222228</v>
      </c>
      <c r="Q295" s="6">
        <f>O295/(0.1*O284)</f>
        <v>4.8275862068965516</v>
      </c>
      <c r="R295" s="6">
        <f>O295/(0.1*O287)</f>
        <v>3.4146341463414629</v>
      </c>
      <c r="S295" s="6">
        <f>P295/(0.9*P289)</f>
        <v>0.49382716049382719</v>
      </c>
      <c r="T295" s="6">
        <f t="shared" si="108"/>
        <v>5.3214133673903792</v>
      </c>
      <c r="U295" s="6">
        <f t="shared" si="109"/>
        <v>3.90846130683529</v>
      </c>
      <c r="V295" s="1">
        <f>O295/O284+P295/P289</f>
        <v>0.92720306513409967</v>
      </c>
      <c r="W295" s="1">
        <f>O295/O287+P295/P289</f>
        <v>0.78590785907859084</v>
      </c>
      <c r="X295" s="1">
        <f>100*ROUND(P295/(P295+O295), 2)</f>
        <v>53</v>
      </c>
      <c r="Y295" s="6">
        <f>O295+P295</f>
        <v>4.166666666666667</v>
      </c>
    </row>
    <row r="296" spans="1:25" x14ac:dyDescent="0.15">
      <c r="A296" s="3">
        <v>2023</v>
      </c>
      <c r="B296" s="3" t="s">
        <v>34</v>
      </c>
      <c r="C296" s="3">
        <v>16</v>
      </c>
      <c r="D296" s="3">
        <v>14</v>
      </c>
      <c r="E296" s="3" t="s">
        <v>36</v>
      </c>
      <c r="F296" s="3" t="s">
        <v>39</v>
      </c>
      <c r="G296" s="3" t="s">
        <v>14</v>
      </c>
      <c r="H296" s="1" t="s">
        <v>36</v>
      </c>
      <c r="I296" s="3">
        <v>4</v>
      </c>
      <c r="J296" s="3" t="s">
        <v>67</v>
      </c>
      <c r="K296" s="1" t="s">
        <v>42</v>
      </c>
      <c r="L296" s="1">
        <v>93</v>
      </c>
      <c r="M296" s="1">
        <v>34</v>
      </c>
      <c r="N296" s="7">
        <f t="shared" si="107"/>
        <v>59</v>
      </c>
      <c r="O296" s="1" t="s">
        <v>45</v>
      </c>
      <c r="P296" s="1" t="s">
        <v>45</v>
      </c>
      <c r="Q296" s="1" t="s">
        <v>45</v>
      </c>
      <c r="R296" s="1" t="s">
        <v>45</v>
      </c>
      <c r="S296" s="1" t="s">
        <v>45</v>
      </c>
      <c r="T296" s="1" t="s">
        <v>45</v>
      </c>
      <c r="U296" s="1" t="s">
        <v>45</v>
      </c>
      <c r="V296" s="1" t="s">
        <v>45</v>
      </c>
      <c r="W296" s="1" t="s">
        <v>45</v>
      </c>
      <c r="X296" s="1" t="s">
        <v>45</v>
      </c>
      <c r="Y296" s="1" t="s">
        <v>45</v>
      </c>
    </row>
    <row r="297" spans="1:25" x14ac:dyDescent="0.15">
      <c r="A297" s="3">
        <v>2023</v>
      </c>
      <c r="B297" s="3" t="s">
        <v>34</v>
      </c>
      <c r="C297" s="3">
        <v>16</v>
      </c>
      <c r="D297" s="3">
        <v>15</v>
      </c>
      <c r="E297" s="3" t="s">
        <v>36</v>
      </c>
      <c r="F297" s="3" t="s">
        <v>40</v>
      </c>
      <c r="G297" s="3" t="s">
        <v>14</v>
      </c>
      <c r="H297" s="1" t="s">
        <v>36</v>
      </c>
      <c r="I297" s="3">
        <v>4</v>
      </c>
      <c r="J297" s="3" t="s">
        <v>68</v>
      </c>
      <c r="K297" s="1" t="s">
        <v>42</v>
      </c>
      <c r="L297" s="1">
        <v>93</v>
      </c>
      <c r="M297" s="1">
        <v>37</v>
      </c>
      <c r="N297" s="7">
        <f t="shared" si="107"/>
        <v>56</v>
      </c>
      <c r="O297" s="1">
        <v>2.5000000000000004</v>
      </c>
      <c r="P297" s="1">
        <v>1.5277777777777781</v>
      </c>
      <c r="Q297" s="6">
        <f>O297/(0.1*O284)</f>
        <v>6.2068965517241388</v>
      </c>
      <c r="R297" s="6">
        <f>O297/(0.1*O287)</f>
        <v>4.3902439024390247</v>
      </c>
      <c r="S297" s="6">
        <f>P297/(0.9*P291)</f>
        <v>0.55555555555555547</v>
      </c>
      <c r="T297" s="6">
        <f t="shared" si="108"/>
        <v>6.7624521072796941</v>
      </c>
      <c r="U297" s="6">
        <f t="shared" si="109"/>
        <v>4.9457994579945801</v>
      </c>
      <c r="V297" s="1">
        <f>O297/O284+P297/P291</f>
        <v>1.1206896551724139</v>
      </c>
      <c r="W297" s="1">
        <f>O297/O287+P297/P291</f>
        <v>0.9390243902439025</v>
      </c>
      <c r="X297" s="1">
        <f>100*ROUND(P297/(P297+O297), 2)</f>
        <v>38</v>
      </c>
      <c r="Y297" s="6">
        <f>O297+P297</f>
        <v>4.0277777777777786</v>
      </c>
    </row>
    <row r="298" spans="1:25" x14ac:dyDescent="0.15">
      <c r="A298" s="3">
        <v>2023</v>
      </c>
      <c r="B298" s="3" t="s">
        <v>34</v>
      </c>
      <c r="C298" s="3">
        <v>16</v>
      </c>
      <c r="D298" s="3">
        <v>16</v>
      </c>
      <c r="E298" s="3" t="s">
        <v>37</v>
      </c>
      <c r="F298" s="3" t="s">
        <v>38</v>
      </c>
      <c r="G298" s="3" t="s">
        <v>14</v>
      </c>
      <c r="H298" s="1" t="s">
        <v>37</v>
      </c>
      <c r="I298" s="3">
        <v>4</v>
      </c>
      <c r="J298" s="3" t="s">
        <v>69</v>
      </c>
      <c r="K298" s="1" t="s">
        <v>42</v>
      </c>
      <c r="L298" s="1">
        <v>74</v>
      </c>
      <c r="M298" s="1">
        <v>48</v>
      </c>
      <c r="N298" s="7">
        <f t="shared" si="107"/>
        <v>26</v>
      </c>
      <c r="O298" s="1">
        <v>1.666666666666667</v>
      </c>
      <c r="P298" s="1">
        <v>3.6111111111111116</v>
      </c>
      <c r="Q298" s="6">
        <f>O298/(0.1*O285)</f>
        <v>4.8</v>
      </c>
      <c r="R298" s="6">
        <f>O298/(0.1*O288)</f>
        <v>3.2432432432432434</v>
      </c>
      <c r="S298" s="6">
        <f>P298/(0.9*P289)</f>
        <v>0.80246913580246904</v>
      </c>
      <c r="T298" s="6">
        <f t="shared" si="108"/>
        <v>5.602469135802469</v>
      </c>
      <c r="U298" s="6">
        <f t="shared" si="109"/>
        <v>4.0457123790457121</v>
      </c>
      <c r="V298" s="1">
        <f>O298/O285+P298/P289</f>
        <v>1.2022222222222223</v>
      </c>
      <c r="W298" s="1">
        <f>O298/O288+P298/P289</f>
        <v>1.0465465465465464</v>
      </c>
      <c r="X298" s="1">
        <f>100*ROUND(P298/(P298+O298), 2)</f>
        <v>68</v>
      </c>
      <c r="Y298" s="6">
        <f>O298+P298</f>
        <v>5.2777777777777786</v>
      </c>
    </row>
    <row r="299" spans="1:25" x14ac:dyDescent="0.15">
      <c r="A299" s="3">
        <v>2023</v>
      </c>
      <c r="B299" s="3" t="s">
        <v>34</v>
      </c>
      <c r="C299" s="3">
        <v>16</v>
      </c>
      <c r="D299" s="3">
        <v>17</v>
      </c>
      <c r="E299" s="3" t="s">
        <v>37</v>
      </c>
      <c r="F299" s="3" t="s">
        <v>39</v>
      </c>
      <c r="G299" s="3" t="s">
        <v>14</v>
      </c>
      <c r="H299" s="1" t="s">
        <v>37</v>
      </c>
      <c r="I299" s="3">
        <v>4</v>
      </c>
      <c r="J299" s="3" t="s">
        <v>70</v>
      </c>
      <c r="K299" s="1" t="s">
        <v>42</v>
      </c>
      <c r="L299" s="1">
        <v>79</v>
      </c>
      <c r="M299" s="1">
        <v>43</v>
      </c>
      <c r="N299" s="7">
        <f t="shared" si="107"/>
        <v>36</v>
      </c>
      <c r="O299" s="1">
        <v>2.2222222222222228</v>
      </c>
      <c r="P299" s="1">
        <v>2.2222222222222228</v>
      </c>
      <c r="Q299" s="6">
        <f>O299/(0.1*O285)</f>
        <v>6.3999999999999995</v>
      </c>
      <c r="R299" s="6">
        <f>O299/(0.1*O288)</f>
        <v>4.3243243243243246</v>
      </c>
      <c r="S299" s="6">
        <f>P299/(0.9*P290)</f>
        <v>0.57347670250896055</v>
      </c>
      <c r="T299" s="6">
        <f t="shared" si="108"/>
        <v>6.9734767025089601</v>
      </c>
      <c r="U299" s="6">
        <f t="shared" si="109"/>
        <v>4.8978010268332852</v>
      </c>
      <c r="V299" s="1">
        <f>O299/O285+P299/P290</f>
        <v>1.1561290322580646</v>
      </c>
      <c r="W299" s="1">
        <f>O299/O288+P299/P290</f>
        <v>0.94856146469049718</v>
      </c>
      <c r="X299" s="1">
        <f>100*ROUND(P299/(P299+O299), 2)</f>
        <v>50</v>
      </c>
      <c r="Y299" s="6">
        <f>O299+P299</f>
        <v>4.4444444444444455</v>
      </c>
    </row>
    <row r="300" spans="1:25" x14ac:dyDescent="0.15">
      <c r="A300" s="3">
        <v>2023</v>
      </c>
      <c r="B300" s="3" t="s">
        <v>34</v>
      </c>
      <c r="C300" s="3">
        <v>16</v>
      </c>
      <c r="D300" s="3">
        <v>18</v>
      </c>
      <c r="E300" s="3" t="s">
        <v>37</v>
      </c>
      <c r="F300" s="3" t="s">
        <v>40</v>
      </c>
      <c r="G300" s="3" t="s">
        <v>14</v>
      </c>
      <c r="H300" s="1" t="s">
        <v>37</v>
      </c>
      <c r="I300" s="3">
        <v>4</v>
      </c>
      <c r="J300" s="3" t="s">
        <v>71</v>
      </c>
      <c r="K300" s="1" t="s">
        <v>42</v>
      </c>
      <c r="L300" s="1">
        <v>68</v>
      </c>
      <c r="M300" s="1">
        <v>35</v>
      </c>
      <c r="N300" s="7">
        <f t="shared" si="107"/>
        <v>33</v>
      </c>
      <c r="O300" s="1">
        <v>2.6388888888888888</v>
      </c>
      <c r="P300" s="1">
        <v>1.666666666666667</v>
      </c>
      <c r="Q300" s="6">
        <f>O300/(0.1*O285)</f>
        <v>7.5999999999999979</v>
      </c>
      <c r="R300" s="6">
        <f>O300/(0.1*O288)</f>
        <v>5.1351351351351342</v>
      </c>
      <c r="S300" s="6">
        <f>P300/(0.9*P291)</f>
        <v>0.60606060606060597</v>
      </c>
      <c r="T300" s="6">
        <f t="shared" si="108"/>
        <v>8.2060606060606034</v>
      </c>
      <c r="U300" s="6">
        <f t="shared" si="109"/>
        <v>5.7411957411957406</v>
      </c>
      <c r="V300" s="1">
        <f>O300/O285+P300/P291</f>
        <v>1.3054545454545452</v>
      </c>
      <c r="W300" s="1">
        <f>O300/O288+P300/P291</f>
        <v>1.058968058968059</v>
      </c>
      <c r="X300" s="1">
        <f>100*ROUND(P300/(P300+O300), 2)</f>
        <v>39</v>
      </c>
      <c r="Y300" s="6">
        <f>O300+P300</f>
        <v>4.3055555555555554</v>
      </c>
    </row>
    <row r="301" spans="1:25" x14ac:dyDescent="0.15">
      <c r="A301" s="1">
        <v>2022</v>
      </c>
      <c r="B301" s="1" t="s">
        <v>55</v>
      </c>
      <c r="C301" s="1">
        <v>1</v>
      </c>
      <c r="D301" s="1">
        <v>1</v>
      </c>
      <c r="E301" s="1" t="s">
        <v>35</v>
      </c>
      <c r="F301" s="1"/>
      <c r="G301" s="1" t="s">
        <v>41</v>
      </c>
      <c r="H301" s="1" t="s">
        <v>35</v>
      </c>
      <c r="I301" s="1">
        <v>1</v>
      </c>
      <c r="J301" s="3" t="s">
        <v>35</v>
      </c>
      <c r="K301" s="1" t="s">
        <v>42</v>
      </c>
      <c r="L301" s="1" t="s">
        <v>45</v>
      </c>
      <c r="M301" s="1" t="s">
        <v>45</v>
      </c>
      <c r="N301" s="1" t="s">
        <v>45</v>
      </c>
      <c r="O301" s="1">
        <v>3.33</v>
      </c>
      <c r="P301" s="1" t="s">
        <v>45</v>
      </c>
      <c r="Q301" s="6" t="s">
        <v>45</v>
      </c>
      <c r="R301" s="6" t="s">
        <v>45</v>
      </c>
      <c r="S301" s="6" t="s">
        <v>45</v>
      </c>
      <c r="T301" s="6" t="s">
        <v>45</v>
      </c>
      <c r="U301" s="6" t="s">
        <v>45</v>
      </c>
      <c r="V301" s="1" t="s">
        <v>45</v>
      </c>
      <c r="W301" s="1" t="s">
        <v>45</v>
      </c>
      <c r="X301" s="6" t="s">
        <v>45</v>
      </c>
      <c r="Y301" s="6">
        <f>O301</f>
        <v>3.33</v>
      </c>
    </row>
    <row r="302" spans="1:25" x14ac:dyDescent="0.15">
      <c r="A302" s="1">
        <v>2022</v>
      </c>
      <c r="B302" s="1" t="s">
        <v>55</v>
      </c>
      <c r="C302" s="1">
        <v>1</v>
      </c>
      <c r="D302" s="1">
        <v>2</v>
      </c>
      <c r="E302" s="1" t="s">
        <v>36</v>
      </c>
      <c r="F302" s="1"/>
      <c r="G302" s="1" t="s">
        <v>41</v>
      </c>
      <c r="H302" s="1" t="s">
        <v>36</v>
      </c>
      <c r="I302" s="1">
        <v>1</v>
      </c>
      <c r="J302" s="3" t="s">
        <v>36</v>
      </c>
      <c r="K302" s="1" t="s">
        <v>42</v>
      </c>
      <c r="L302" s="1" t="s">
        <v>45</v>
      </c>
      <c r="M302" s="1" t="s">
        <v>45</v>
      </c>
      <c r="N302" s="1" t="s">
        <v>45</v>
      </c>
      <c r="O302" s="1">
        <v>3.22</v>
      </c>
      <c r="P302" s="1" t="s">
        <v>45</v>
      </c>
      <c r="Q302" s="6" t="s">
        <v>45</v>
      </c>
      <c r="R302" s="6" t="s">
        <v>45</v>
      </c>
      <c r="S302" s="6" t="s">
        <v>45</v>
      </c>
      <c r="T302" s="6" t="s">
        <v>45</v>
      </c>
      <c r="U302" s="6" t="s">
        <v>45</v>
      </c>
      <c r="V302" s="1" t="s">
        <v>45</v>
      </c>
      <c r="W302" s="1" t="s">
        <v>45</v>
      </c>
      <c r="X302" s="6" t="s">
        <v>45</v>
      </c>
      <c r="Y302" s="6">
        <f t="shared" ref="Y302:Y306" si="110">O302</f>
        <v>3.22</v>
      </c>
    </row>
    <row r="303" spans="1:25" x14ac:dyDescent="0.15">
      <c r="A303" s="1">
        <v>2022</v>
      </c>
      <c r="B303" s="1" t="s">
        <v>55</v>
      </c>
      <c r="C303" s="1">
        <v>1</v>
      </c>
      <c r="D303" s="1">
        <v>3</v>
      </c>
      <c r="E303" s="1" t="s">
        <v>37</v>
      </c>
      <c r="F303" s="1"/>
      <c r="G303" s="1" t="s">
        <v>41</v>
      </c>
      <c r="H303" s="1" t="s">
        <v>37</v>
      </c>
      <c r="I303" s="1">
        <v>1</v>
      </c>
      <c r="J303" s="3" t="s">
        <v>37</v>
      </c>
      <c r="K303" s="1" t="s">
        <v>42</v>
      </c>
      <c r="L303" s="1" t="s">
        <v>45</v>
      </c>
      <c r="M303" s="1" t="s">
        <v>45</v>
      </c>
      <c r="N303" s="1" t="s">
        <v>45</v>
      </c>
      <c r="O303" s="1">
        <v>3.11</v>
      </c>
      <c r="P303" s="1" t="s">
        <v>45</v>
      </c>
      <c r="Q303" s="6" t="s">
        <v>45</v>
      </c>
      <c r="R303" s="6" t="s">
        <v>45</v>
      </c>
      <c r="S303" s="6" t="s">
        <v>45</v>
      </c>
      <c r="T303" s="6" t="s">
        <v>45</v>
      </c>
      <c r="U303" s="6" t="s">
        <v>45</v>
      </c>
      <c r="V303" s="1" t="s">
        <v>45</v>
      </c>
      <c r="W303" s="1" t="s">
        <v>45</v>
      </c>
      <c r="X303" s="6" t="s">
        <v>45</v>
      </c>
      <c r="Y303" s="6">
        <f t="shared" si="110"/>
        <v>3.11</v>
      </c>
    </row>
    <row r="304" spans="1:25" x14ac:dyDescent="0.15">
      <c r="A304" s="1">
        <v>2022</v>
      </c>
      <c r="B304" s="1" t="s">
        <v>55</v>
      </c>
      <c r="C304" s="1">
        <v>1</v>
      </c>
      <c r="D304" s="1">
        <v>4</v>
      </c>
      <c r="E304" s="1" t="s">
        <v>35</v>
      </c>
      <c r="F304" s="1"/>
      <c r="G304" s="1" t="s">
        <v>41</v>
      </c>
      <c r="H304" s="1" t="s">
        <v>75</v>
      </c>
      <c r="I304" s="1">
        <v>1</v>
      </c>
      <c r="J304" s="3" t="s">
        <v>35</v>
      </c>
      <c r="K304" s="1" t="s">
        <v>43</v>
      </c>
      <c r="L304" s="1" t="s">
        <v>45</v>
      </c>
      <c r="M304" s="1" t="s">
        <v>45</v>
      </c>
      <c r="N304" s="1" t="s">
        <v>45</v>
      </c>
      <c r="O304" s="1">
        <v>3.44</v>
      </c>
      <c r="P304" s="1" t="s">
        <v>45</v>
      </c>
      <c r="Q304" s="6" t="s">
        <v>45</v>
      </c>
      <c r="R304" s="6" t="s">
        <v>45</v>
      </c>
      <c r="S304" s="6" t="s">
        <v>45</v>
      </c>
      <c r="T304" s="6" t="s">
        <v>45</v>
      </c>
      <c r="U304" s="6" t="s">
        <v>45</v>
      </c>
      <c r="V304" s="1" t="s">
        <v>45</v>
      </c>
      <c r="W304" s="1" t="s">
        <v>45</v>
      </c>
      <c r="X304" s="1" t="s">
        <v>45</v>
      </c>
      <c r="Y304" s="6">
        <f t="shared" si="110"/>
        <v>3.44</v>
      </c>
    </row>
    <row r="305" spans="1:25" x14ac:dyDescent="0.15">
      <c r="A305" s="1">
        <v>2022</v>
      </c>
      <c r="B305" s="1" t="s">
        <v>55</v>
      </c>
      <c r="C305" s="1">
        <v>1</v>
      </c>
      <c r="D305" s="1">
        <v>5</v>
      </c>
      <c r="E305" s="1" t="s">
        <v>36</v>
      </c>
      <c r="F305" s="1"/>
      <c r="G305" s="1" t="s">
        <v>41</v>
      </c>
      <c r="H305" s="1" t="s">
        <v>76</v>
      </c>
      <c r="I305" s="1">
        <v>1</v>
      </c>
      <c r="J305" s="3" t="s">
        <v>36</v>
      </c>
      <c r="K305" s="1" t="s">
        <v>43</v>
      </c>
      <c r="L305" s="1" t="s">
        <v>45</v>
      </c>
      <c r="M305" s="1" t="s">
        <v>45</v>
      </c>
      <c r="N305" s="1" t="s">
        <v>45</v>
      </c>
      <c r="O305" s="1">
        <v>3.22</v>
      </c>
      <c r="P305" s="1" t="s">
        <v>45</v>
      </c>
      <c r="Q305" s="6" t="s">
        <v>45</v>
      </c>
      <c r="R305" s="6" t="s">
        <v>45</v>
      </c>
      <c r="S305" s="6" t="s">
        <v>45</v>
      </c>
      <c r="T305" s="6" t="s">
        <v>45</v>
      </c>
      <c r="U305" s="6" t="s">
        <v>45</v>
      </c>
      <c r="V305" s="1" t="s">
        <v>45</v>
      </c>
      <c r="W305" s="1" t="s">
        <v>45</v>
      </c>
      <c r="X305" s="1" t="s">
        <v>45</v>
      </c>
      <c r="Y305" s="6">
        <f t="shared" si="110"/>
        <v>3.22</v>
      </c>
    </row>
    <row r="306" spans="1:25" x14ac:dyDescent="0.15">
      <c r="A306" s="1">
        <v>2022</v>
      </c>
      <c r="B306" s="1" t="s">
        <v>55</v>
      </c>
      <c r="C306" s="1">
        <v>1</v>
      </c>
      <c r="D306" s="1">
        <v>6</v>
      </c>
      <c r="E306" s="1" t="s">
        <v>37</v>
      </c>
      <c r="F306" s="1"/>
      <c r="G306" s="1" t="s">
        <v>41</v>
      </c>
      <c r="H306" s="1" t="s">
        <v>77</v>
      </c>
      <c r="I306" s="1">
        <v>1</v>
      </c>
      <c r="J306" s="3" t="s">
        <v>37</v>
      </c>
      <c r="K306" s="1" t="s">
        <v>43</v>
      </c>
      <c r="L306" s="1" t="s">
        <v>45</v>
      </c>
      <c r="M306" s="1" t="s">
        <v>45</v>
      </c>
      <c r="N306" s="1" t="s">
        <v>45</v>
      </c>
      <c r="O306" s="1">
        <v>3.67</v>
      </c>
      <c r="P306" s="1" t="s">
        <v>45</v>
      </c>
      <c r="Q306" s="6" t="s">
        <v>45</v>
      </c>
      <c r="R306" s="6" t="s">
        <v>45</v>
      </c>
      <c r="S306" s="6" t="s">
        <v>45</v>
      </c>
      <c r="T306" s="6" t="s">
        <v>45</v>
      </c>
      <c r="U306" s="6" t="s">
        <v>45</v>
      </c>
      <c r="V306" s="1" t="s">
        <v>45</v>
      </c>
      <c r="W306" s="1" t="s">
        <v>45</v>
      </c>
      <c r="X306" s="1" t="s">
        <v>45</v>
      </c>
      <c r="Y306" s="6">
        <f t="shared" si="110"/>
        <v>3.67</v>
      </c>
    </row>
    <row r="307" spans="1:25" x14ac:dyDescent="0.15">
      <c r="A307" s="1">
        <v>2022</v>
      </c>
      <c r="B307" s="1" t="s">
        <v>55</v>
      </c>
      <c r="C307" s="1">
        <v>1</v>
      </c>
      <c r="D307" s="1">
        <v>7</v>
      </c>
      <c r="E307" s="1"/>
      <c r="F307" s="1" t="s">
        <v>38</v>
      </c>
      <c r="G307" s="1" t="s">
        <v>41</v>
      </c>
      <c r="H307" s="1"/>
      <c r="I307" s="1">
        <v>1</v>
      </c>
      <c r="J307" s="3" t="s">
        <v>38</v>
      </c>
      <c r="K307" s="1" t="s">
        <v>42</v>
      </c>
      <c r="L307" s="1" t="s">
        <v>45</v>
      </c>
      <c r="M307" s="1" t="s">
        <v>45</v>
      </c>
      <c r="N307" s="1" t="s">
        <v>45</v>
      </c>
      <c r="O307" s="1" t="s">
        <v>45</v>
      </c>
      <c r="P307" s="1">
        <v>0.22</v>
      </c>
      <c r="Q307" s="6" t="s">
        <v>45</v>
      </c>
      <c r="R307" s="6" t="s">
        <v>45</v>
      </c>
      <c r="S307" s="6" t="s">
        <v>45</v>
      </c>
      <c r="T307" s="6" t="s">
        <v>45</v>
      </c>
      <c r="U307" s="6" t="s">
        <v>45</v>
      </c>
      <c r="V307" s="1" t="s">
        <v>45</v>
      </c>
      <c r="W307" s="1" t="s">
        <v>45</v>
      </c>
      <c r="X307" s="1" t="s">
        <v>45</v>
      </c>
      <c r="Y307" s="6">
        <f>P307</f>
        <v>0.22</v>
      </c>
    </row>
    <row r="308" spans="1:25" x14ac:dyDescent="0.15">
      <c r="A308" s="1">
        <v>2022</v>
      </c>
      <c r="B308" s="1" t="s">
        <v>55</v>
      </c>
      <c r="C308" s="1">
        <v>1</v>
      </c>
      <c r="D308" s="1">
        <v>8</v>
      </c>
      <c r="E308" s="1"/>
      <c r="F308" s="1" t="s">
        <v>39</v>
      </c>
      <c r="G308" s="1" t="s">
        <v>41</v>
      </c>
      <c r="H308" s="1"/>
      <c r="I308" s="1">
        <v>1</v>
      </c>
      <c r="J308" s="3" t="s">
        <v>39</v>
      </c>
      <c r="K308" s="1" t="s">
        <v>42</v>
      </c>
      <c r="L308" s="1" t="s">
        <v>45</v>
      </c>
      <c r="M308" s="1" t="s">
        <v>45</v>
      </c>
      <c r="N308" s="1" t="s">
        <v>45</v>
      </c>
      <c r="O308" s="1" t="s">
        <v>45</v>
      </c>
      <c r="P308" s="1">
        <v>0.44</v>
      </c>
      <c r="Q308" s="6" t="s">
        <v>45</v>
      </c>
      <c r="R308" s="6" t="s">
        <v>45</v>
      </c>
      <c r="S308" s="6" t="s">
        <v>45</v>
      </c>
      <c r="T308" s="6" t="s">
        <v>45</v>
      </c>
      <c r="U308" s="6" t="s">
        <v>45</v>
      </c>
      <c r="V308" s="1" t="s">
        <v>45</v>
      </c>
      <c r="W308" s="1" t="s">
        <v>45</v>
      </c>
      <c r="X308" s="1" t="s">
        <v>45</v>
      </c>
      <c r="Y308" s="6">
        <f t="shared" ref="Y308:Y309" si="111">P308</f>
        <v>0.44</v>
      </c>
    </row>
    <row r="309" spans="1:25" x14ac:dyDescent="0.15">
      <c r="A309" s="1">
        <v>2022</v>
      </c>
      <c r="B309" s="1" t="s">
        <v>55</v>
      </c>
      <c r="C309" s="1">
        <v>1</v>
      </c>
      <c r="D309" s="1">
        <v>9</v>
      </c>
      <c r="E309" s="1"/>
      <c r="F309" s="1" t="s">
        <v>40</v>
      </c>
      <c r="G309" s="1" t="s">
        <v>41</v>
      </c>
      <c r="H309" s="1"/>
      <c r="I309" s="1">
        <v>1</v>
      </c>
      <c r="J309" s="3" t="s">
        <v>40</v>
      </c>
      <c r="K309" s="1" t="s">
        <v>42</v>
      </c>
      <c r="L309" s="1" t="s">
        <v>45</v>
      </c>
      <c r="M309" s="1" t="s">
        <v>45</v>
      </c>
      <c r="N309" s="1" t="s">
        <v>45</v>
      </c>
      <c r="O309" s="1" t="s">
        <v>45</v>
      </c>
      <c r="P309" s="1">
        <v>0.33</v>
      </c>
      <c r="Q309" s="6" t="s">
        <v>45</v>
      </c>
      <c r="R309" s="6" t="s">
        <v>45</v>
      </c>
      <c r="S309" s="6" t="s">
        <v>45</v>
      </c>
      <c r="T309" s="6" t="s">
        <v>45</v>
      </c>
      <c r="U309" s="6" t="s">
        <v>45</v>
      </c>
      <c r="V309" s="1" t="s">
        <v>45</v>
      </c>
      <c r="W309" s="1" t="s">
        <v>45</v>
      </c>
      <c r="X309" s="1" t="s">
        <v>45</v>
      </c>
      <c r="Y309" s="6">
        <f t="shared" si="111"/>
        <v>0.33</v>
      </c>
    </row>
    <row r="310" spans="1:25" x14ac:dyDescent="0.15">
      <c r="A310" s="1">
        <v>2022</v>
      </c>
      <c r="B310" s="1" t="s">
        <v>55</v>
      </c>
      <c r="C310" s="1">
        <v>1</v>
      </c>
      <c r="D310" s="1">
        <v>10</v>
      </c>
      <c r="E310" s="1" t="s">
        <v>35</v>
      </c>
      <c r="F310" s="1" t="s">
        <v>38</v>
      </c>
      <c r="G310" s="1" t="s">
        <v>14</v>
      </c>
      <c r="H310" s="1" t="s">
        <v>35</v>
      </c>
      <c r="I310" s="1">
        <v>1</v>
      </c>
      <c r="J310" s="3" t="s">
        <v>63</v>
      </c>
      <c r="K310" s="1" t="s">
        <v>42</v>
      </c>
      <c r="L310" s="1" t="s">
        <v>45</v>
      </c>
      <c r="M310" s="1" t="s">
        <v>45</v>
      </c>
      <c r="N310" s="1" t="s">
        <v>45</v>
      </c>
      <c r="O310" s="1">
        <v>1.56</v>
      </c>
      <c r="P310" s="1">
        <v>0</v>
      </c>
      <c r="Q310" s="6">
        <f>O310/(0.1*O301)</f>
        <v>4.6846846846846848</v>
      </c>
      <c r="R310" s="6">
        <f>O310/(0.1*O304)</f>
        <v>4.5348837209302326</v>
      </c>
      <c r="S310" s="6">
        <f>P310/(0.9*P307)</f>
        <v>0</v>
      </c>
      <c r="T310" s="6">
        <f>Q310+S310</f>
        <v>4.6846846846846848</v>
      </c>
      <c r="U310" s="6">
        <f>R310+S310</f>
        <v>4.5348837209302326</v>
      </c>
      <c r="V310" s="1">
        <f>O310/O301+P310/P307</f>
        <v>0.46846846846846846</v>
      </c>
      <c r="W310" s="1">
        <f>O310/O304+P310/P307</f>
        <v>0.45348837209302328</v>
      </c>
      <c r="X310" s="1">
        <f t="shared" ref="X310:X318" si="112">100*ROUND(P310/(P310+O310), 2)</f>
        <v>0</v>
      </c>
      <c r="Y310" s="6">
        <f>O310+P310</f>
        <v>1.56</v>
      </c>
    </row>
    <row r="311" spans="1:25" x14ac:dyDescent="0.15">
      <c r="A311" s="1">
        <v>2022</v>
      </c>
      <c r="B311" s="1" t="s">
        <v>55</v>
      </c>
      <c r="C311" s="1">
        <v>1</v>
      </c>
      <c r="D311" s="1">
        <v>11</v>
      </c>
      <c r="E311" s="1" t="s">
        <v>35</v>
      </c>
      <c r="F311" s="1" t="s">
        <v>39</v>
      </c>
      <c r="G311" s="1" t="s">
        <v>14</v>
      </c>
      <c r="H311" s="1" t="s">
        <v>35</v>
      </c>
      <c r="I311" s="1">
        <v>1</v>
      </c>
      <c r="J311" s="3" t="s">
        <v>64</v>
      </c>
      <c r="K311" s="1" t="s">
        <v>42</v>
      </c>
      <c r="L311" s="1" t="s">
        <v>45</v>
      </c>
      <c r="M311" s="1" t="s">
        <v>45</v>
      </c>
      <c r="N311" s="1" t="s">
        <v>45</v>
      </c>
      <c r="O311" s="1">
        <v>1.22</v>
      </c>
      <c r="P311" s="1">
        <v>0.22</v>
      </c>
      <c r="Q311" s="6">
        <f>O311/(0.1*O301)</f>
        <v>3.6636636636636633</v>
      </c>
      <c r="R311" s="6">
        <f>O311/(0.1*O304)</f>
        <v>3.5465116279069764</v>
      </c>
      <c r="S311" s="6">
        <f>P311/(0.9*P308)</f>
        <v>0.55555555555555558</v>
      </c>
      <c r="T311" s="6">
        <f t="shared" ref="T311:T318" si="113">Q311+S311</f>
        <v>4.2192192192192186</v>
      </c>
      <c r="U311" s="6">
        <f t="shared" ref="U311:U318" si="114">R311+S311</f>
        <v>4.1020671834625322</v>
      </c>
      <c r="V311" s="1">
        <f>O311/O301+P311/P308</f>
        <v>0.86636636636636633</v>
      </c>
      <c r="W311" s="1">
        <f>O311/O304+P311/P308</f>
        <v>0.85465116279069764</v>
      </c>
      <c r="X311" s="1">
        <f t="shared" si="112"/>
        <v>15</v>
      </c>
      <c r="Y311" s="6">
        <f t="shared" ref="Y311:Y318" si="115">O311+P311</f>
        <v>1.44</v>
      </c>
    </row>
    <row r="312" spans="1:25" x14ac:dyDescent="0.15">
      <c r="A312" s="1">
        <v>2022</v>
      </c>
      <c r="B312" s="1" t="s">
        <v>55</v>
      </c>
      <c r="C312" s="1">
        <v>1</v>
      </c>
      <c r="D312" s="1">
        <v>12</v>
      </c>
      <c r="E312" s="1" t="s">
        <v>35</v>
      </c>
      <c r="F312" s="1" t="s">
        <v>40</v>
      </c>
      <c r="G312" s="1" t="s">
        <v>14</v>
      </c>
      <c r="H312" s="1" t="s">
        <v>35</v>
      </c>
      <c r="I312" s="1">
        <v>1</v>
      </c>
      <c r="J312" s="3" t="s">
        <v>65</v>
      </c>
      <c r="K312" s="1" t="s">
        <v>42</v>
      </c>
      <c r="L312" s="1" t="s">
        <v>45</v>
      </c>
      <c r="M312" s="1" t="s">
        <v>45</v>
      </c>
      <c r="N312" s="1" t="s">
        <v>45</v>
      </c>
      <c r="O312" s="1">
        <v>1.44</v>
      </c>
      <c r="P312" s="1">
        <v>0.22</v>
      </c>
      <c r="Q312" s="6">
        <f>O312/(0.1*O301)</f>
        <v>4.3243243243243237</v>
      </c>
      <c r="R312" s="6">
        <f>O312/(0.1*O304)</f>
        <v>4.1860465116279064</v>
      </c>
      <c r="S312" s="6">
        <f>P312/(0.9*P309)</f>
        <v>0.74074074074074059</v>
      </c>
      <c r="T312" s="6">
        <f t="shared" si="113"/>
        <v>5.0650650650650642</v>
      </c>
      <c r="U312" s="6">
        <f t="shared" si="114"/>
        <v>4.9267872523686469</v>
      </c>
      <c r="V312" s="1">
        <f>O312/O301+P312/P309</f>
        <v>1.099099099099099</v>
      </c>
      <c r="W312" s="1">
        <f>O312/O304+P312/P309</f>
        <v>1.0852713178294573</v>
      </c>
      <c r="X312" s="1">
        <f t="shared" si="112"/>
        <v>13</v>
      </c>
      <c r="Y312" s="6">
        <f t="shared" si="115"/>
        <v>1.66</v>
      </c>
    </row>
    <row r="313" spans="1:25" x14ac:dyDescent="0.15">
      <c r="A313" s="1">
        <v>2022</v>
      </c>
      <c r="B313" s="1" t="s">
        <v>55</v>
      </c>
      <c r="C313" s="1">
        <v>1</v>
      </c>
      <c r="D313" s="1">
        <v>13</v>
      </c>
      <c r="E313" s="1" t="s">
        <v>36</v>
      </c>
      <c r="F313" s="1" t="s">
        <v>38</v>
      </c>
      <c r="G313" s="1" t="s">
        <v>14</v>
      </c>
      <c r="H313" s="1" t="s">
        <v>36</v>
      </c>
      <c r="I313" s="1">
        <v>1</v>
      </c>
      <c r="J313" s="3" t="s">
        <v>66</v>
      </c>
      <c r="K313" s="1" t="s">
        <v>42</v>
      </c>
      <c r="L313" s="1" t="s">
        <v>45</v>
      </c>
      <c r="M313" s="1" t="s">
        <v>45</v>
      </c>
      <c r="N313" s="1" t="s">
        <v>45</v>
      </c>
      <c r="O313" s="1">
        <v>1.22</v>
      </c>
      <c r="P313" s="1">
        <v>0.11</v>
      </c>
      <c r="Q313" s="6">
        <f>O313/(0.1*O302)</f>
        <v>3.7888198757763969</v>
      </c>
      <c r="R313" s="6">
        <f>O313/(0.1*O305)</f>
        <v>3.7888198757763969</v>
      </c>
      <c r="S313" s="6">
        <f>P313/(0.9*P307)</f>
        <v>0.55555555555555558</v>
      </c>
      <c r="T313" s="6">
        <f t="shared" si="113"/>
        <v>4.3443754313319527</v>
      </c>
      <c r="U313" s="6">
        <f t="shared" si="114"/>
        <v>4.3443754313319527</v>
      </c>
      <c r="V313" s="1">
        <f>O313/O302+P313/P307</f>
        <v>0.87888198757763969</v>
      </c>
      <c r="W313" s="1">
        <f>O313/O305+P313/P307</f>
        <v>0.87888198757763969</v>
      </c>
      <c r="X313" s="1">
        <f t="shared" si="112"/>
        <v>8</v>
      </c>
      <c r="Y313" s="6">
        <f t="shared" si="115"/>
        <v>1.33</v>
      </c>
    </row>
    <row r="314" spans="1:25" x14ac:dyDescent="0.15">
      <c r="A314" s="1">
        <v>2022</v>
      </c>
      <c r="B314" s="1" t="s">
        <v>55</v>
      </c>
      <c r="C314" s="1">
        <v>1</v>
      </c>
      <c r="D314" s="1">
        <v>14</v>
      </c>
      <c r="E314" s="1" t="s">
        <v>36</v>
      </c>
      <c r="F314" s="1" t="s">
        <v>39</v>
      </c>
      <c r="G314" s="1" t="s">
        <v>14</v>
      </c>
      <c r="H314" s="1" t="s">
        <v>36</v>
      </c>
      <c r="I314" s="1">
        <v>1</v>
      </c>
      <c r="J314" s="3" t="s">
        <v>67</v>
      </c>
      <c r="K314" s="1" t="s">
        <v>42</v>
      </c>
      <c r="L314" s="1" t="s">
        <v>45</v>
      </c>
      <c r="M314" s="1" t="s">
        <v>45</v>
      </c>
      <c r="N314" s="1" t="s">
        <v>45</v>
      </c>
      <c r="O314" s="1">
        <v>1.22</v>
      </c>
      <c r="P314" s="1">
        <v>0.11</v>
      </c>
      <c r="Q314" s="6">
        <f>O314/(0.1*O302)</f>
        <v>3.7888198757763969</v>
      </c>
      <c r="R314" s="6">
        <f>O314/(0.1*O305)</f>
        <v>3.7888198757763969</v>
      </c>
      <c r="S314" s="6">
        <f>P314/(0.9*P308)</f>
        <v>0.27777777777777779</v>
      </c>
      <c r="T314" s="6">
        <f t="shared" si="113"/>
        <v>4.066597653554175</v>
      </c>
      <c r="U314" s="6">
        <f t="shared" si="114"/>
        <v>4.066597653554175</v>
      </c>
      <c r="V314" s="1">
        <f>O314/O302+P314/P308</f>
        <v>0.62888198757763969</v>
      </c>
      <c r="W314" s="1">
        <f>O314/O305+P314/P308</f>
        <v>0.62888198757763969</v>
      </c>
      <c r="X314" s="1">
        <f t="shared" si="112"/>
        <v>8</v>
      </c>
      <c r="Y314" s="6">
        <f t="shared" si="115"/>
        <v>1.33</v>
      </c>
    </row>
    <row r="315" spans="1:25" x14ac:dyDescent="0.15">
      <c r="A315" s="1">
        <v>2022</v>
      </c>
      <c r="B315" s="1" t="s">
        <v>55</v>
      </c>
      <c r="C315" s="1">
        <v>1</v>
      </c>
      <c r="D315" s="1">
        <v>15</v>
      </c>
      <c r="E315" s="1" t="s">
        <v>36</v>
      </c>
      <c r="F315" s="1" t="s">
        <v>40</v>
      </c>
      <c r="G315" s="1" t="s">
        <v>14</v>
      </c>
      <c r="H315" s="1" t="s">
        <v>36</v>
      </c>
      <c r="I315" s="1">
        <v>1</v>
      </c>
      <c r="J315" s="3" t="s">
        <v>68</v>
      </c>
      <c r="K315" s="1" t="s">
        <v>42</v>
      </c>
      <c r="L315" s="1" t="s">
        <v>45</v>
      </c>
      <c r="M315" s="1" t="s">
        <v>45</v>
      </c>
      <c r="N315" s="1" t="s">
        <v>45</v>
      </c>
      <c r="O315" s="1">
        <v>1.33</v>
      </c>
      <c r="P315" s="1">
        <v>0.11</v>
      </c>
      <c r="Q315" s="6">
        <f>O315/(0.1*O302)</f>
        <v>4.1304347826086953</v>
      </c>
      <c r="R315" s="6">
        <f>O315/(0.1*O305)</f>
        <v>4.1304347826086953</v>
      </c>
      <c r="S315" s="6">
        <f>P315/(0.9*P309)</f>
        <v>0.37037037037037029</v>
      </c>
      <c r="T315" s="6">
        <f t="shared" si="113"/>
        <v>4.5008051529790656</v>
      </c>
      <c r="U315" s="6">
        <f t="shared" si="114"/>
        <v>4.5008051529790656</v>
      </c>
      <c r="V315" s="1">
        <f>O315/O302+P315/P309</f>
        <v>0.74637681159420288</v>
      </c>
      <c r="W315" s="1">
        <f>O315/O305+P315/P309</f>
        <v>0.74637681159420288</v>
      </c>
      <c r="X315" s="1">
        <f t="shared" si="112"/>
        <v>8</v>
      </c>
      <c r="Y315" s="6">
        <f t="shared" si="115"/>
        <v>1.4400000000000002</v>
      </c>
    </row>
    <row r="316" spans="1:25" x14ac:dyDescent="0.15">
      <c r="A316" s="1">
        <v>2022</v>
      </c>
      <c r="B316" s="1" t="s">
        <v>55</v>
      </c>
      <c r="C316" s="1">
        <v>1</v>
      </c>
      <c r="D316" s="1">
        <v>16</v>
      </c>
      <c r="E316" s="1" t="s">
        <v>37</v>
      </c>
      <c r="F316" s="1" t="s">
        <v>38</v>
      </c>
      <c r="G316" s="1" t="s">
        <v>14</v>
      </c>
      <c r="H316" s="1" t="s">
        <v>37</v>
      </c>
      <c r="I316" s="1">
        <v>1</v>
      </c>
      <c r="J316" s="3" t="s">
        <v>69</v>
      </c>
      <c r="K316" s="1" t="s">
        <v>42</v>
      </c>
      <c r="L316" s="1" t="s">
        <v>45</v>
      </c>
      <c r="M316" s="1" t="s">
        <v>45</v>
      </c>
      <c r="N316" s="1" t="s">
        <v>45</v>
      </c>
      <c r="O316" s="1">
        <v>0.89</v>
      </c>
      <c r="P316" s="1">
        <v>0.11</v>
      </c>
      <c r="Q316" s="6">
        <f>O316/(0.1*O303)</f>
        <v>2.861736334405145</v>
      </c>
      <c r="R316" s="6">
        <f>O316/(0.1*O306)</f>
        <v>2.4250681198910082</v>
      </c>
      <c r="S316" s="6">
        <f>P316/(0.9*P307)</f>
        <v>0.55555555555555558</v>
      </c>
      <c r="T316" s="6">
        <f t="shared" si="113"/>
        <v>3.4172918899607003</v>
      </c>
      <c r="U316" s="6">
        <f t="shared" si="114"/>
        <v>2.980623675446564</v>
      </c>
      <c r="V316" s="1">
        <f>O316/O303+P316/P307</f>
        <v>0.7861736334405145</v>
      </c>
      <c r="W316" s="1">
        <f>O316/O306+P316/P307</f>
        <v>0.74250681198910085</v>
      </c>
      <c r="X316" s="1">
        <f t="shared" si="112"/>
        <v>11</v>
      </c>
      <c r="Y316" s="6">
        <f t="shared" si="115"/>
        <v>1</v>
      </c>
    </row>
    <row r="317" spans="1:25" x14ac:dyDescent="0.15">
      <c r="A317" s="1">
        <v>2022</v>
      </c>
      <c r="B317" s="1" t="s">
        <v>55</v>
      </c>
      <c r="C317" s="1">
        <v>1</v>
      </c>
      <c r="D317" s="1">
        <v>17</v>
      </c>
      <c r="E317" s="1" t="s">
        <v>37</v>
      </c>
      <c r="F317" s="1" t="s">
        <v>39</v>
      </c>
      <c r="G317" s="1" t="s">
        <v>14</v>
      </c>
      <c r="H317" s="1" t="s">
        <v>37</v>
      </c>
      <c r="I317" s="1">
        <v>1</v>
      </c>
      <c r="J317" s="3" t="s">
        <v>70</v>
      </c>
      <c r="K317" s="1" t="s">
        <v>42</v>
      </c>
      <c r="L317" s="1" t="s">
        <v>45</v>
      </c>
      <c r="M317" s="1" t="s">
        <v>45</v>
      </c>
      <c r="N317" s="1" t="s">
        <v>45</v>
      </c>
      <c r="O317" s="1">
        <v>1</v>
      </c>
      <c r="P317" s="1">
        <v>0.11</v>
      </c>
      <c r="Q317" s="6">
        <f>O317/(0.1*O303)</f>
        <v>3.215434083601286</v>
      </c>
      <c r="R317" s="6">
        <f>O317/(0.1*O306)</f>
        <v>2.7247956403269757</v>
      </c>
      <c r="S317" s="6">
        <f>P317/(0.9*P308)</f>
        <v>0.27777777777777779</v>
      </c>
      <c r="T317" s="6">
        <f t="shared" si="113"/>
        <v>3.4932118613790637</v>
      </c>
      <c r="U317" s="6">
        <f t="shared" si="114"/>
        <v>3.0025734181047534</v>
      </c>
      <c r="V317" s="1">
        <f>O317/O303+P317/P308</f>
        <v>0.57154340836012862</v>
      </c>
      <c r="W317" s="1">
        <f>O317/O306+P317/P308</f>
        <v>0.52247956403269757</v>
      </c>
      <c r="X317" s="1">
        <f t="shared" si="112"/>
        <v>10</v>
      </c>
      <c r="Y317" s="6">
        <f t="shared" si="115"/>
        <v>1.1100000000000001</v>
      </c>
    </row>
    <row r="318" spans="1:25" x14ac:dyDescent="0.15">
      <c r="A318" s="1">
        <v>2022</v>
      </c>
      <c r="B318" s="1" t="s">
        <v>55</v>
      </c>
      <c r="C318" s="1">
        <v>1</v>
      </c>
      <c r="D318" s="1">
        <v>18</v>
      </c>
      <c r="E318" s="1" t="s">
        <v>37</v>
      </c>
      <c r="F318" s="1" t="s">
        <v>40</v>
      </c>
      <c r="G318" s="1" t="s">
        <v>14</v>
      </c>
      <c r="H318" s="1" t="s">
        <v>37</v>
      </c>
      <c r="I318" s="1">
        <v>1</v>
      </c>
      <c r="J318" s="3" t="s">
        <v>71</v>
      </c>
      <c r="K318" s="1" t="s">
        <v>42</v>
      </c>
      <c r="L318" s="1" t="s">
        <v>45</v>
      </c>
      <c r="M318" s="1" t="s">
        <v>45</v>
      </c>
      <c r="N318" s="1" t="s">
        <v>45</v>
      </c>
      <c r="O318" s="1">
        <v>1.22</v>
      </c>
      <c r="P318" s="1">
        <v>0.11</v>
      </c>
      <c r="Q318" s="6">
        <f>O318/(0.1*O303)</f>
        <v>3.922829581993569</v>
      </c>
      <c r="R318" s="6">
        <f>O318/(0.1*O306)</f>
        <v>3.3242506811989099</v>
      </c>
      <c r="S318" s="6">
        <f>P318/(0.9*P309)</f>
        <v>0.37037037037037029</v>
      </c>
      <c r="T318" s="6">
        <f t="shared" si="113"/>
        <v>4.2931999523639393</v>
      </c>
      <c r="U318" s="6">
        <f t="shared" si="114"/>
        <v>3.6946210515692801</v>
      </c>
      <c r="V318" s="1">
        <f>O318/O303+P318/P309</f>
        <v>0.72561629153269025</v>
      </c>
      <c r="W318" s="1">
        <f>O318/O306+P318/P309</f>
        <v>0.66575840145322429</v>
      </c>
      <c r="X318" s="1">
        <f t="shared" si="112"/>
        <v>8</v>
      </c>
      <c r="Y318" s="6">
        <f t="shared" si="115"/>
        <v>1.33</v>
      </c>
    </row>
    <row r="319" spans="1:25" x14ac:dyDescent="0.15">
      <c r="A319" s="1">
        <v>2022</v>
      </c>
      <c r="B319" s="1" t="s">
        <v>55</v>
      </c>
      <c r="C319" s="1">
        <v>2</v>
      </c>
      <c r="D319" s="1">
        <v>1</v>
      </c>
      <c r="E319" s="1" t="s">
        <v>35</v>
      </c>
      <c r="F319" s="1"/>
      <c r="G319" s="1" t="s">
        <v>41</v>
      </c>
      <c r="H319" s="1" t="s">
        <v>35</v>
      </c>
      <c r="I319" s="1">
        <v>2</v>
      </c>
      <c r="J319" s="3" t="s">
        <v>35</v>
      </c>
      <c r="K319" s="1" t="s">
        <v>42</v>
      </c>
      <c r="L319" s="1" t="s">
        <v>45</v>
      </c>
      <c r="M319" s="1" t="s">
        <v>45</v>
      </c>
      <c r="N319" s="1" t="s">
        <v>45</v>
      </c>
      <c r="O319" s="1">
        <v>2.89</v>
      </c>
      <c r="P319" s="1" t="s">
        <v>45</v>
      </c>
      <c r="Q319" s="6" t="s">
        <v>45</v>
      </c>
      <c r="R319" s="6" t="s">
        <v>45</v>
      </c>
      <c r="S319" s="6" t="s">
        <v>45</v>
      </c>
      <c r="T319" s="6" t="s">
        <v>45</v>
      </c>
      <c r="U319" s="6" t="s">
        <v>45</v>
      </c>
      <c r="V319" s="1" t="s">
        <v>45</v>
      </c>
      <c r="W319" s="1" t="s">
        <v>45</v>
      </c>
      <c r="X319" s="6" t="s">
        <v>45</v>
      </c>
      <c r="Y319" s="6">
        <f>O319</f>
        <v>2.89</v>
      </c>
    </row>
    <row r="320" spans="1:25" x14ac:dyDescent="0.15">
      <c r="A320" s="1">
        <v>2022</v>
      </c>
      <c r="B320" s="1" t="s">
        <v>55</v>
      </c>
      <c r="C320" s="1">
        <v>2</v>
      </c>
      <c r="D320" s="1">
        <v>2</v>
      </c>
      <c r="E320" s="1" t="s">
        <v>36</v>
      </c>
      <c r="F320" s="1"/>
      <c r="G320" s="1" t="s">
        <v>41</v>
      </c>
      <c r="H320" s="1" t="s">
        <v>36</v>
      </c>
      <c r="I320" s="1">
        <v>2</v>
      </c>
      <c r="J320" s="3" t="s">
        <v>36</v>
      </c>
      <c r="K320" s="1" t="s">
        <v>42</v>
      </c>
      <c r="L320" s="1" t="s">
        <v>45</v>
      </c>
      <c r="M320" s="1" t="s">
        <v>45</v>
      </c>
      <c r="N320" s="1" t="s">
        <v>45</v>
      </c>
      <c r="O320" s="1">
        <v>3</v>
      </c>
      <c r="P320" s="1" t="s">
        <v>45</v>
      </c>
      <c r="Q320" s="6" t="s">
        <v>45</v>
      </c>
      <c r="R320" s="6" t="s">
        <v>45</v>
      </c>
      <c r="S320" s="6" t="s">
        <v>45</v>
      </c>
      <c r="T320" s="6" t="s">
        <v>45</v>
      </c>
      <c r="U320" s="6" t="s">
        <v>45</v>
      </c>
      <c r="V320" s="1" t="s">
        <v>45</v>
      </c>
      <c r="W320" s="1" t="s">
        <v>45</v>
      </c>
      <c r="X320" s="6" t="s">
        <v>45</v>
      </c>
      <c r="Y320" s="6">
        <f t="shared" ref="Y320:Y324" si="116">O320</f>
        <v>3</v>
      </c>
    </row>
    <row r="321" spans="1:25" x14ac:dyDescent="0.15">
      <c r="A321" s="1">
        <v>2022</v>
      </c>
      <c r="B321" s="1" t="s">
        <v>55</v>
      </c>
      <c r="C321" s="1">
        <v>2</v>
      </c>
      <c r="D321" s="1">
        <v>3</v>
      </c>
      <c r="E321" s="1" t="s">
        <v>37</v>
      </c>
      <c r="F321" s="1"/>
      <c r="G321" s="1" t="s">
        <v>41</v>
      </c>
      <c r="H321" s="1" t="s">
        <v>37</v>
      </c>
      <c r="I321" s="1">
        <v>2</v>
      </c>
      <c r="J321" s="3" t="s">
        <v>37</v>
      </c>
      <c r="K321" s="1" t="s">
        <v>42</v>
      </c>
      <c r="L321" s="1" t="s">
        <v>45</v>
      </c>
      <c r="M321" s="1" t="s">
        <v>45</v>
      </c>
      <c r="N321" s="1" t="s">
        <v>45</v>
      </c>
      <c r="O321" s="1">
        <v>3.22</v>
      </c>
      <c r="P321" s="1" t="s">
        <v>45</v>
      </c>
      <c r="Q321" s="6" t="s">
        <v>45</v>
      </c>
      <c r="R321" s="6" t="s">
        <v>45</v>
      </c>
      <c r="S321" s="6" t="s">
        <v>45</v>
      </c>
      <c r="T321" s="6" t="s">
        <v>45</v>
      </c>
      <c r="U321" s="6" t="s">
        <v>45</v>
      </c>
      <c r="V321" s="1" t="s">
        <v>45</v>
      </c>
      <c r="W321" s="1" t="s">
        <v>45</v>
      </c>
      <c r="X321" s="6" t="s">
        <v>45</v>
      </c>
      <c r="Y321" s="6">
        <f t="shared" si="116"/>
        <v>3.22</v>
      </c>
    </row>
    <row r="322" spans="1:25" x14ac:dyDescent="0.15">
      <c r="A322" s="1">
        <v>2022</v>
      </c>
      <c r="B322" s="1" t="s">
        <v>55</v>
      </c>
      <c r="C322" s="1">
        <v>2</v>
      </c>
      <c r="D322" s="1">
        <v>4</v>
      </c>
      <c r="E322" s="1" t="s">
        <v>35</v>
      </c>
      <c r="F322" s="1"/>
      <c r="G322" s="1" t="s">
        <v>41</v>
      </c>
      <c r="H322" s="1" t="s">
        <v>75</v>
      </c>
      <c r="I322" s="1">
        <v>2</v>
      </c>
      <c r="J322" s="3" t="s">
        <v>35</v>
      </c>
      <c r="K322" s="1" t="s">
        <v>43</v>
      </c>
      <c r="L322" s="1" t="s">
        <v>45</v>
      </c>
      <c r="M322" s="1" t="s">
        <v>45</v>
      </c>
      <c r="N322" s="1" t="s">
        <v>45</v>
      </c>
      <c r="O322" s="1">
        <v>4</v>
      </c>
      <c r="P322" s="1" t="s">
        <v>45</v>
      </c>
      <c r="Q322" s="6" t="s">
        <v>45</v>
      </c>
      <c r="R322" s="6" t="s">
        <v>45</v>
      </c>
      <c r="S322" s="6" t="s">
        <v>45</v>
      </c>
      <c r="T322" s="6" t="s">
        <v>45</v>
      </c>
      <c r="U322" s="6" t="s">
        <v>45</v>
      </c>
      <c r="V322" s="1" t="s">
        <v>45</v>
      </c>
      <c r="W322" s="1" t="s">
        <v>45</v>
      </c>
      <c r="X322" s="1" t="s">
        <v>45</v>
      </c>
      <c r="Y322" s="6">
        <f t="shared" si="116"/>
        <v>4</v>
      </c>
    </row>
    <row r="323" spans="1:25" x14ac:dyDescent="0.15">
      <c r="A323" s="1">
        <v>2022</v>
      </c>
      <c r="B323" s="1" t="s">
        <v>55</v>
      </c>
      <c r="C323" s="1">
        <v>2</v>
      </c>
      <c r="D323" s="1">
        <v>5</v>
      </c>
      <c r="E323" s="1" t="s">
        <v>36</v>
      </c>
      <c r="F323" s="1"/>
      <c r="G323" s="1" t="s">
        <v>41</v>
      </c>
      <c r="H323" s="1" t="s">
        <v>76</v>
      </c>
      <c r="I323" s="1">
        <v>2</v>
      </c>
      <c r="J323" s="3" t="s">
        <v>36</v>
      </c>
      <c r="K323" s="1" t="s">
        <v>43</v>
      </c>
      <c r="L323" s="1" t="s">
        <v>45</v>
      </c>
      <c r="M323" s="1" t="s">
        <v>45</v>
      </c>
      <c r="N323" s="1" t="s">
        <v>45</v>
      </c>
      <c r="O323" s="1">
        <v>2.89</v>
      </c>
      <c r="P323" s="1" t="s">
        <v>45</v>
      </c>
      <c r="Q323" s="6" t="s">
        <v>45</v>
      </c>
      <c r="R323" s="6" t="s">
        <v>45</v>
      </c>
      <c r="S323" s="6" t="s">
        <v>45</v>
      </c>
      <c r="T323" s="6" t="s">
        <v>45</v>
      </c>
      <c r="U323" s="6" t="s">
        <v>45</v>
      </c>
      <c r="V323" s="1" t="s">
        <v>45</v>
      </c>
      <c r="W323" s="1" t="s">
        <v>45</v>
      </c>
      <c r="X323" s="1" t="s">
        <v>45</v>
      </c>
      <c r="Y323" s="6">
        <f t="shared" si="116"/>
        <v>2.89</v>
      </c>
    </row>
    <row r="324" spans="1:25" x14ac:dyDescent="0.15">
      <c r="A324" s="1">
        <v>2022</v>
      </c>
      <c r="B324" s="1" t="s">
        <v>55</v>
      </c>
      <c r="C324" s="1">
        <v>2</v>
      </c>
      <c r="D324" s="1">
        <v>6</v>
      </c>
      <c r="E324" s="1" t="s">
        <v>37</v>
      </c>
      <c r="F324" s="1"/>
      <c r="G324" s="1" t="s">
        <v>41</v>
      </c>
      <c r="H324" s="1" t="s">
        <v>77</v>
      </c>
      <c r="I324" s="1">
        <v>2</v>
      </c>
      <c r="J324" s="3" t="s">
        <v>37</v>
      </c>
      <c r="K324" s="1" t="s">
        <v>43</v>
      </c>
      <c r="L324" s="1" t="s">
        <v>45</v>
      </c>
      <c r="M324" s="1" t="s">
        <v>45</v>
      </c>
      <c r="N324" s="1" t="s">
        <v>45</v>
      </c>
      <c r="O324" s="1">
        <v>2.67</v>
      </c>
      <c r="P324" s="1" t="s">
        <v>45</v>
      </c>
      <c r="Q324" s="6" t="s">
        <v>45</v>
      </c>
      <c r="R324" s="6" t="s">
        <v>45</v>
      </c>
      <c r="S324" s="6" t="s">
        <v>45</v>
      </c>
      <c r="T324" s="6" t="s">
        <v>45</v>
      </c>
      <c r="U324" s="6" t="s">
        <v>45</v>
      </c>
      <c r="V324" s="1" t="s">
        <v>45</v>
      </c>
      <c r="W324" s="1" t="s">
        <v>45</v>
      </c>
      <c r="X324" s="1" t="s">
        <v>45</v>
      </c>
      <c r="Y324" s="6">
        <f t="shared" si="116"/>
        <v>2.67</v>
      </c>
    </row>
    <row r="325" spans="1:25" x14ac:dyDescent="0.15">
      <c r="A325" s="1">
        <v>2022</v>
      </c>
      <c r="B325" s="1" t="s">
        <v>55</v>
      </c>
      <c r="C325" s="1">
        <v>2</v>
      </c>
      <c r="D325" s="1">
        <v>7</v>
      </c>
      <c r="E325" s="1"/>
      <c r="F325" s="1" t="s">
        <v>38</v>
      </c>
      <c r="G325" s="1" t="s">
        <v>41</v>
      </c>
      <c r="H325" s="1"/>
      <c r="I325" s="1">
        <v>2</v>
      </c>
      <c r="J325" s="3" t="s">
        <v>38</v>
      </c>
      <c r="K325" s="1" t="s">
        <v>42</v>
      </c>
      <c r="L325" s="1" t="s">
        <v>45</v>
      </c>
      <c r="M325" s="1" t="s">
        <v>45</v>
      </c>
      <c r="N325" s="1" t="s">
        <v>45</v>
      </c>
      <c r="O325" s="1" t="s">
        <v>45</v>
      </c>
      <c r="P325" s="1">
        <v>0.22</v>
      </c>
      <c r="Q325" s="6" t="s">
        <v>45</v>
      </c>
      <c r="R325" s="6" t="s">
        <v>45</v>
      </c>
      <c r="S325" s="6" t="s">
        <v>45</v>
      </c>
      <c r="T325" s="6" t="s">
        <v>45</v>
      </c>
      <c r="U325" s="6" t="s">
        <v>45</v>
      </c>
      <c r="V325" s="1" t="s">
        <v>45</v>
      </c>
      <c r="W325" s="1" t="s">
        <v>45</v>
      </c>
      <c r="X325" s="1" t="s">
        <v>45</v>
      </c>
      <c r="Y325" s="6">
        <f>P325</f>
        <v>0.22</v>
      </c>
    </row>
    <row r="326" spans="1:25" x14ac:dyDescent="0.15">
      <c r="A326" s="1">
        <v>2022</v>
      </c>
      <c r="B326" s="1" t="s">
        <v>55</v>
      </c>
      <c r="C326" s="1">
        <v>2</v>
      </c>
      <c r="D326" s="1">
        <v>8</v>
      </c>
      <c r="E326" s="1"/>
      <c r="F326" s="1" t="s">
        <v>39</v>
      </c>
      <c r="G326" s="1" t="s">
        <v>41</v>
      </c>
      <c r="H326" s="1"/>
      <c r="I326" s="1">
        <v>2</v>
      </c>
      <c r="J326" s="3" t="s">
        <v>39</v>
      </c>
      <c r="K326" s="1" t="s">
        <v>42</v>
      </c>
      <c r="L326" s="1" t="s">
        <v>45</v>
      </c>
      <c r="M326" s="1" t="s">
        <v>45</v>
      </c>
      <c r="N326" s="1" t="s">
        <v>45</v>
      </c>
      <c r="O326" s="1" t="s">
        <v>45</v>
      </c>
      <c r="P326" s="1">
        <v>0.56000000000000005</v>
      </c>
      <c r="Q326" s="6" t="s">
        <v>45</v>
      </c>
      <c r="R326" s="6" t="s">
        <v>45</v>
      </c>
      <c r="S326" s="6" t="s">
        <v>45</v>
      </c>
      <c r="T326" s="6" t="s">
        <v>45</v>
      </c>
      <c r="U326" s="6" t="s">
        <v>45</v>
      </c>
      <c r="V326" s="1" t="s">
        <v>45</v>
      </c>
      <c r="W326" s="1" t="s">
        <v>45</v>
      </c>
      <c r="X326" s="1" t="s">
        <v>45</v>
      </c>
      <c r="Y326" s="6">
        <f t="shared" ref="Y326:Y327" si="117">P326</f>
        <v>0.56000000000000005</v>
      </c>
    </row>
    <row r="327" spans="1:25" x14ac:dyDescent="0.15">
      <c r="A327" s="1">
        <v>2022</v>
      </c>
      <c r="B327" s="1" t="s">
        <v>55</v>
      </c>
      <c r="C327" s="1">
        <v>2</v>
      </c>
      <c r="D327" s="1">
        <v>9</v>
      </c>
      <c r="E327" s="1"/>
      <c r="F327" s="1" t="s">
        <v>40</v>
      </c>
      <c r="G327" s="1" t="s">
        <v>41</v>
      </c>
      <c r="H327" s="1"/>
      <c r="I327" s="1">
        <v>2</v>
      </c>
      <c r="J327" s="3" t="s">
        <v>40</v>
      </c>
      <c r="K327" s="1" t="s">
        <v>42</v>
      </c>
      <c r="L327" s="1" t="s">
        <v>45</v>
      </c>
      <c r="M327" s="1" t="s">
        <v>45</v>
      </c>
      <c r="N327" s="1" t="s">
        <v>45</v>
      </c>
      <c r="O327" s="1" t="s">
        <v>45</v>
      </c>
      <c r="P327" s="1">
        <v>0.22</v>
      </c>
      <c r="Q327" s="6" t="s">
        <v>45</v>
      </c>
      <c r="R327" s="6" t="s">
        <v>45</v>
      </c>
      <c r="S327" s="6" t="s">
        <v>45</v>
      </c>
      <c r="T327" s="6" t="s">
        <v>45</v>
      </c>
      <c r="U327" s="6" t="s">
        <v>45</v>
      </c>
      <c r="V327" s="1" t="s">
        <v>45</v>
      </c>
      <c r="W327" s="1" t="s">
        <v>45</v>
      </c>
      <c r="X327" s="1" t="s">
        <v>45</v>
      </c>
      <c r="Y327" s="6">
        <f t="shared" si="117"/>
        <v>0.22</v>
      </c>
    </row>
    <row r="328" spans="1:25" x14ac:dyDescent="0.15">
      <c r="A328" s="1">
        <v>2022</v>
      </c>
      <c r="B328" s="1" t="s">
        <v>55</v>
      </c>
      <c r="C328" s="1">
        <v>2</v>
      </c>
      <c r="D328" s="1">
        <v>10</v>
      </c>
      <c r="E328" s="1" t="s">
        <v>35</v>
      </c>
      <c r="F328" s="1" t="s">
        <v>38</v>
      </c>
      <c r="G328" s="1" t="s">
        <v>14</v>
      </c>
      <c r="H328" s="1" t="s">
        <v>35</v>
      </c>
      <c r="I328" s="1">
        <v>2</v>
      </c>
      <c r="J328" s="3" t="s">
        <v>63</v>
      </c>
      <c r="K328" s="1" t="s">
        <v>42</v>
      </c>
      <c r="L328" s="1" t="s">
        <v>45</v>
      </c>
      <c r="M328" s="1" t="s">
        <v>45</v>
      </c>
      <c r="N328" s="1" t="s">
        <v>45</v>
      </c>
      <c r="O328" s="1">
        <v>1.78</v>
      </c>
      <c r="P328" s="1">
        <v>0.11</v>
      </c>
      <c r="Q328" s="6">
        <f>O328/(0.1*O319)</f>
        <v>6.1591695501730097</v>
      </c>
      <c r="R328" s="6">
        <f>O328/(0.1*O322)</f>
        <v>4.45</v>
      </c>
      <c r="S328" s="6">
        <f>P328/(0.9*P325)</f>
        <v>0.55555555555555558</v>
      </c>
      <c r="T328" s="6">
        <f>Q328+S328</f>
        <v>6.7147251057285651</v>
      </c>
      <c r="U328" s="6">
        <f>R328+S328</f>
        <v>5.0055555555555555</v>
      </c>
      <c r="V328" s="1">
        <f>O328/O319+P328/P325</f>
        <v>1.1159169550173011</v>
      </c>
      <c r="W328" s="1">
        <f>O328/O322+P328/P325</f>
        <v>0.94500000000000006</v>
      </c>
      <c r="X328" s="1">
        <f t="shared" ref="X328:X336" si="118">100*ROUND(P328/(P328+O328), 2)</f>
        <v>6</v>
      </c>
      <c r="Y328" s="6">
        <f>O328+P328</f>
        <v>1.8900000000000001</v>
      </c>
    </row>
    <row r="329" spans="1:25" x14ac:dyDescent="0.15">
      <c r="A329" s="1">
        <v>2022</v>
      </c>
      <c r="B329" s="1" t="s">
        <v>55</v>
      </c>
      <c r="C329" s="1">
        <v>2</v>
      </c>
      <c r="D329" s="1">
        <v>11</v>
      </c>
      <c r="E329" s="1" t="s">
        <v>35</v>
      </c>
      <c r="F329" s="1" t="s">
        <v>39</v>
      </c>
      <c r="G329" s="1" t="s">
        <v>14</v>
      </c>
      <c r="H329" s="1" t="s">
        <v>35</v>
      </c>
      <c r="I329" s="1">
        <v>2</v>
      </c>
      <c r="J329" s="3" t="s">
        <v>64</v>
      </c>
      <c r="K329" s="1" t="s">
        <v>42</v>
      </c>
      <c r="L329" s="1" t="s">
        <v>45</v>
      </c>
      <c r="M329" s="1" t="s">
        <v>45</v>
      </c>
      <c r="N329" s="1" t="s">
        <v>45</v>
      </c>
      <c r="O329" s="1">
        <v>1.56</v>
      </c>
      <c r="P329" s="1">
        <v>0.11</v>
      </c>
      <c r="Q329" s="6">
        <f>O329/(0.1*O319)</f>
        <v>5.3979238754325252</v>
      </c>
      <c r="R329" s="6">
        <f>O329/(0.1*O322)</f>
        <v>3.9</v>
      </c>
      <c r="S329" s="6">
        <f>P329/(0.9*P326)</f>
        <v>0.2182539682539682</v>
      </c>
      <c r="T329" s="6">
        <f t="shared" ref="T329:T336" si="119">Q329+S329</f>
        <v>5.6161778436864935</v>
      </c>
      <c r="U329" s="6">
        <f t="shared" ref="U329:U336" si="120">R329+S329</f>
        <v>4.1182539682539678</v>
      </c>
      <c r="V329" s="1">
        <f>O329/O319+P329/P326</f>
        <v>0.73622095897182394</v>
      </c>
      <c r="W329" s="1">
        <f>O329/O322+P329/P326</f>
        <v>0.58642857142857141</v>
      </c>
      <c r="X329" s="1">
        <f t="shared" si="118"/>
        <v>7.0000000000000009</v>
      </c>
      <c r="Y329" s="6">
        <f t="shared" ref="Y329:Y336" si="121">O329+P329</f>
        <v>1.6700000000000002</v>
      </c>
    </row>
    <row r="330" spans="1:25" x14ac:dyDescent="0.15">
      <c r="A330" s="1">
        <v>2022</v>
      </c>
      <c r="B330" s="1" t="s">
        <v>55</v>
      </c>
      <c r="C330" s="1">
        <v>2</v>
      </c>
      <c r="D330" s="1">
        <v>12</v>
      </c>
      <c r="E330" s="1" t="s">
        <v>35</v>
      </c>
      <c r="F330" s="1" t="s">
        <v>40</v>
      </c>
      <c r="G330" s="1" t="s">
        <v>14</v>
      </c>
      <c r="H330" s="1" t="s">
        <v>35</v>
      </c>
      <c r="I330" s="1">
        <v>2</v>
      </c>
      <c r="J330" s="3" t="s">
        <v>65</v>
      </c>
      <c r="K330" s="1" t="s">
        <v>42</v>
      </c>
      <c r="L330" s="1" t="s">
        <v>45</v>
      </c>
      <c r="M330" s="1" t="s">
        <v>45</v>
      </c>
      <c r="N330" s="1" t="s">
        <v>45</v>
      </c>
      <c r="O330" s="1">
        <v>1.78</v>
      </c>
      <c r="P330" s="1">
        <v>0</v>
      </c>
      <c r="Q330" s="6">
        <f>O330/(0.1*O319)</f>
        <v>6.1591695501730097</v>
      </c>
      <c r="R330" s="6">
        <f>O330/(0.1*O322)</f>
        <v>4.45</v>
      </c>
      <c r="S330" s="6">
        <f>P330/(0.9*P327)</f>
        <v>0</v>
      </c>
      <c r="T330" s="6">
        <f t="shared" si="119"/>
        <v>6.1591695501730097</v>
      </c>
      <c r="U330" s="6">
        <f t="shared" si="120"/>
        <v>4.45</v>
      </c>
      <c r="V330" s="1">
        <f>O330/O319+P330/P327</f>
        <v>0.61591695501730104</v>
      </c>
      <c r="W330" s="1">
        <f>O330/O322+P330/P327</f>
        <v>0.44500000000000001</v>
      </c>
      <c r="X330" s="1">
        <f t="shared" si="118"/>
        <v>0</v>
      </c>
      <c r="Y330" s="6">
        <f t="shared" si="121"/>
        <v>1.78</v>
      </c>
    </row>
    <row r="331" spans="1:25" x14ac:dyDescent="0.15">
      <c r="A331" s="1">
        <v>2022</v>
      </c>
      <c r="B331" s="1" t="s">
        <v>55</v>
      </c>
      <c r="C331" s="1">
        <v>2</v>
      </c>
      <c r="D331" s="1">
        <v>13</v>
      </c>
      <c r="E331" s="1" t="s">
        <v>36</v>
      </c>
      <c r="F331" s="1" t="s">
        <v>38</v>
      </c>
      <c r="G331" s="1" t="s">
        <v>14</v>
      </c>
      <c r="H331" s="1" t="s">
        <v>36</v>
      </c>
      <c r="I331" s="1">
        <v>2</v>
      </c>
      <c r="J331" s="3" t="s">
        <v>66</v>
      </c>
      <c r="K331" s="1" t="s">
        <v>42</v>
      </c>
      <c r="L331" s="1" t="s">
        <v>45</v>
      </c>
      <c r="M331" s="1" t="s">
        <v>45</v>
      </c>
      <c r="N331" s="1" t="s">
        <v>45</v>
      </c>
      <c r="O331" s="1">
        <v>1.22</v>
      </c>
      <c r="P331" s="1">
        <v>0.11</v>
      </c>
      <c r="Q331" s="6">
        <f>O331/(0.1*O320)</f>
        <v>4.0666666666666655</v>
      </c>
      <c r="R331" s="6">
        <f>O331/(0.1*O323)</f>
        <v>4.2214532871972317</v>
      </c>
      <c r="S331" s="6">
        <f>P331/(0.9*P325)</f>
        <v>0.55555555555555558</v>
      </c>
      <c r="T331" s="6">
        <f t="shared" si="119"/>
        <v>4.6222222222222209</v>
      </c>
      <c r="U331" s="6">
        <f t="shared" si="120"/>
        <v>4.777008842752787</v>
      </c>
      <c r="V331" s="1">
        <f>O331/O320+P331/P325</f>
        <v>0.90666666666666673</v>
      </c>
      <c r="W331" s="1">
        <f>O331/O323+P331/P325</f>
        <v>0.92214532871972321</v>
      </c>
      <c r="X331" s="1">
        <f t="shared" si="118"/>
        <v>8</v>
      </c>
      <c r="Y331" s="6">
        <f t="shared" si="121"/>
        <v>1.33</v>
      </c>
    </row>
    <row r="332" spans="1:25" x14ac:dyDescent="0.15">
      <c r="A332" s="1">
        <v>2022</v>
      </c>
      <c r="B332" s="1" t="s">
        <v>55</v>
      </c>
      <c r="C332" s="1">
        <v>2</v>
      </c>
      <c r="D332" s="1">
        <v>14</v>
      </c>
      <c r="E332" s="1" t="s">
        <v>36</v>
      </c>
      <c r="F332" s="1" t="s">
        <v>39</v>
      </c>
      <c r="G332" s="1" t="s">
        <v>14</v>
      </c>
      <c r="H332" s="1" t="s">
        <v>36</v>
      </c>
      <c r="I332" s="1">
        <v>2</v>
      </c>
      <c r="J332" s="3" t="s">
        <v>67</v>
      </c>
      <c r="K332" s="1" t="s">
        <v>42</v>
      </c>
      <c r="L332" s="1" t="s">
        <v>45</v>
      </c>
      <c r="M332" s="1" t="s">
        <v>45</v>
      </c>
      <c r="N332" s="1" t="s">
        <v>45</v>
      </c>
      <c r="O332" s="1">
        <v>1.44</v>
      </c>
      <c r="P332" s="1">
        <v>0.11</v>
      </c>
      <c r="Q332" s="6">
        <f>O332/(0.1*O320)</f>
        <v>4.7999999999999989</v>
      </c>
      <c r="R332" s="6">
        <f>O332/(0.1*O323)</f>
        <v>4.9826989619377153</v>
      </c>
      <c r="S332" s="6">
        <f>P332/(0.9*P326)</f>
        <v>0.2182539682539682</v>
      </c>
      <c r="T332" s="6">
        <f t="shared" si="119"/>
        <v>5.0182539682539673</v>
      </c>
      <c r="U332" s="6">
        <f t="shared" si="120"/>
        <v>5.2009529301916837</v>
      </c>
      <c r="V332" s="1">
        <f>O332/O320+P332/P326</f>
        <v>0.67642857142857138</v>
      </c>
      <c r="W332" s="1">
        <f>O332/O323+P332/P326</f>
        <v>0.694698467622343</v>
      </c>
      <c r="X332" s="1">
        <f t="shared" si="118"/>
        <v>7.0000000000000009</v>
      </c>
      <c r="Y332" s="6">
        <f t="shared" si="121"/>
        <v>1.55</v>
      </c>
    </row>
    <row r="333" spans="1:25" x14ac:dyDescent="0.15">
      <c r="A333" s="1">
        <v>2022</v>
      </c>
      <c r="B333" s="1" t="s">
        <v>55</v>
      </c>
      <c r="C333" s="1">
        <v>2</v>
      </c>
      <c r="D333" s="1">
        <v>15</v>
      </c>
      <c r="E333" s="1" t="s">
        <v>36</v>
      </c>
      <c r="F333" s="1" t="s">
        <v>40</v>
      </c>
      <c r="G333" s="1" t="s">
        <v>14</v>
      </c>
      <c r="H333" s="1" t="s">
        <v>36</v>
      </c>
      <c r="I333" s="1">
        <v>2</v>
      </c>
      <c r="J333" s="3" t="s">
        <v>68</v>
      </c>
      <c r="K333" s="1" t="s">
        <v>42</v>
      </c>
      <c r="L333" s="1" t="s">
        <v>45</v>
      </c>
      <c r="M333" s="1" t="s">
        <v>45</v>
      </c>
      <c r="N333" s="1" t="s">
        <v>45</v>
      </c>
      <c r="O333" s="1">
        <v>1.33</v>
      </c>
      <c r="P333" s="1">
        <v>0.11</v>
      </c>
      <c r="Q333" s="6">
        <f>O333/(0.1*O320)</f>
        <v>4.4333333333333327</v>
      </c>
      <c r="R333" s="6">
        <f>O333/(0.1*O323)</f>
        <v>4.6020761245674739</v>
      </c>
      <c r="S333" s="6">
        <f>P333/(0.9*P327)</f>
        <v>0.55555555555555558</v>
      </c>
      <c r="T333" s="6">
        <f t="shared" si="119"/>
        <v>4.988888888888888</v>
      </c>
      <c r="U333" s="6">
        <f t="shared" si="120"/>
        <v>5.1576316801230293</v>
      </c>
      <c r="V333" s="1">
        <f>O333/O320+P333/P327</f>
        <v>0.94333333333333336</v>
      </c>
      <c r="W333" s="1">
        <f>O333/O323+P333/P327</f>
        <v>0.96020761245674735</v>
      </c>
      <c r="X333" s="1">
        <f t="shared" si="118"/>
        <v>8</v>
      </c>
      <c r="Y333" s="6">
        <f t="shared" si="121"/>
        <v>1.4400000000000002</v>
      </c>
    </row>
    <row r="334" spans="1:25" x14ac:dyDescent="0.15">
      <c r="A334" s="1">
        <v>2022</v>
      </c>
      <c r="B334" s="1" t="s">
        <v>55</v>
      </c>
      <c r="C334" s="1">
        <v>2</v>
      </c>
      <c r="D334" s="1">
        <v>16</v>
      </c>
      <c r="E334" s="1" t="s">
        <v>37</v>
      </c>
      <c r="F334" s="1" t="s">
        <v>38</v>
      </c>
      <c r="G334" s="1" t="s">
        <v>14</v>
      </c>
      <c r="H334" s="1" t="s">
        <v>37</v>
      </c>
      <c r="I334" s="1">
        <v>2</v>
      </c>
      <c r="J334" s="3" t="s">
        <v>69</v>
      </c>
      <c r="K334" s="1" t="s">
        <v>42</v>
      </c>
      <c r="L334" s="1" t="s">
        <v>45</v>
      </c>
      <c r="M334" s="1" t="s">
        <v>45</v>
      </c>
      <c r="N334" s="1" t="s">
        <v>45</v>
      </c>
      <c r="O334" s="1">
        <v>0.78</v>
      </c>
      <c r="P334" s="1">
        <v>0.11</v>
      </c>
      <c r="Q334" s="6">
        <f>O334/(0.1*O321)</f>
        <v>2.4223602484472044</v>
      </c>
      <c r="R334" s="6">
        <f>O334/(0.1*O324)</f>
        <v>2.9213483146067416</v>
      </c>
      <c r="S334" s="6">
        <f>P334/(0.9*P325)</f>
        <v>0.55555555555555558</v>
      </c>
      <c r="T334" s="6">
        <f t="shared" si="119"/>
        <v>2.9779158040027598</v>
      </c>
      <c r="U334" s="6">
        <f t="shared" si="120"/>
        <v>3.476903870162297</v>
      </c>
      <c r="V334" s="1">
        <f>O334/O321+P334/P325</f>
        <v>0.74223602484472051</v>
      </c>
      <c r="W334" s="1">
        <f>O334/O324+P334/P325</f>
        <v>0.7921348314606742</v>
      </c>
      <c r="X334" s="1">
        <f t="shared" si="118"/>
        <v>12</v>
      </c>
      <c r="Y334" s="6">
        <f t="shared" si="121"/>
        <v>0.89</v>
      </c>
    </row>
    <row r="335" spans="1:25" x14ac:dyDescent="0.15">
      <c r="A335" s="1">
        <v>2022</v>
      </c>
      <c r="B335" s="1" t="s">
        <v>55</v>
      </c>
      <c r="C335" s="1">
        <v>2</v>
      </c>
      <c r="D335" s="1">
        <v>17</v>
      </c>
      <c r="E335" s="1" t="s">
        <v>37</v>
      </c>
      <c r="F335" s="1" t="s">
        <v>39</v>
      </c>
      <c r="G335" s="1" t="s">
        <v>14</v>
      </c>
      <c r="H335" s="1" t="s">
        <v>37</v>
      </c>
      <c r="I335" s="1">
        <v>2</v>
      </c>
      <c r="J335" s="3" t="s">
        <v>70</v>
      </c>
      <c r="K335" s="1" t="s">
        <v>42</v>
      </c>
      <c r="L335" s="1" t="s">
        <v>45</v>
      </c>
      <c r="M335" s="1" t="s">
        <v>45</v>
      </c>
      <c r="N335" s="1" t="s">
        <v>45</v>
      </c>
      <c r="O335" s="1">
        <v>1.1100000000000001</v>
      </c>
      <c r="P335" s="1">
        <v>0.11</v>
      </c>
      <c r="Q335" s="6">
        <f>O335/(0.1*O321)</f>
        <v>3.4472049689440989</v>
      </c>
      <c r="R335" s="6">
        <f>O335/(0.1*O324)</f>
        <v>4.1573033707865168</v>
      </c>
      <c r="S335" s="6">
        <f>P335/(0.9*P326)</f>
        <v>0.2182539682539682</v>
      </c>
      <c r="T335" s="6">
        <f t="shared" si="119"/>
        <v>3.6654589371980673</v>
      </c>
      <c r="U335" s="6">
        <f t="shared" si="120"/>
        <v>4.3755573390404852</v>
      </c>
      <c r="V335" s="1">
        <f>O335/O321+P335/P326</f>
        <v>0.54114906832298137</v>
      </c>
      <c r="W335" s="1">
        <f>O335/O324+P335/P326</f>
        <v>0.61215890850722321</v>
      </c>
      <c r="X335" s="1">
        <f t="shared" si="118"/>
        <v>9</v>
      </c>
      <c r="Y335" s="6">
        <f t="shared" si="121"/>
        <v>1.2200000000000002</v>
      </c>
    </row>
    <row r="336" spans="1:25" x14ac:dyDescent="0.15">
      <c r="A336" s="1">
        <v>2022</v>
      </c>
      <c r="B336" s="1" t="s">
        <v>55</v>
      </c>
      <c r="C336" s="1">
        <v>2</v>
      </c>
      <c r="D336" s="1">
        <v>18</v>
      </c>
      <c r="E336" s="1" t="s">
        <v>37</v>
      </c>
      <c r="F336" s="1" t="s">
        <v>40</v>
      </c>
      <c r="G336" s="1" t="s">
        <v>14</v>
      </c>
      <c r="H336" s="1" t="s">
        <v>37</v>
      </c>
      <c r="I336" s="1">
        <v>2</v>
      </c>
      <c r="J336" s="3" t="s">
        <v>71</v>
      </c>
      <c r="K336" s="1" t="s">
        <v>42</v>
      </c>
      <c r="L336" s="1" t="s">
        <v>45</v>
      </c>
      <c r="M336" s="1" t="s">
        <v>45</v>
      </c>
      <c r="N336" s="1" t="s">
        <v>45</v>
      </c>
      <c r="O336" s="1">
        <v>1</v>
      </c>
      <c r="P336" s="1">
        <v>0.11</v>
      </c>
      <c r="Q336" s="6">
        <f>O336/(0.1*O321)</f>
        <v>3.1055900621118004</v>
      </c>
      <c r="R336" s="6">
        <f>O336/(0.1*O324)</f>
        <v>3.7453183520599249</v>
      </c>
      <c r="S336" s="6">
        <f>P336/(0.9*P327)</f>
        <v>0.55555555555555558</v>
      </c>
      <c r="T336" s="6">
        <f t="shared" si="119"/>
        <v>3.6611456176673558</v>
      </c>
      <c r="U336" s="6">
        <f t="shared" si="120"/>
        <v>4.3008739076154807</v>
      </c>
      <c r="V336" s="1">
        <f>O336/O321+P336/P327</f>
        <v>0.81055900621118004</v>
      </c>
      <c r="W336" s="1">
        <f>O336/O324+P336/P327</f>
        <v>0.87453183520599254</v>
      </c>
      <c r="X336" s="1">
        <f t="shared" si="118"/>
        <v>10</v>
      </c>
      <c r="Y336" s="6">
        <f t="shared" si="121"/>
        <v>1.1100000000000001</v>
      </c>
    </row>
    <row r="337" spans="1:25" x14ac:dyDescent="0.15">
      <c r="A337" s="1">
        <v>2022</v>
      </c>
      <c r="B337" s="1" t="s">
        <v>55</v>
      </c>
      <c r="C337" s="1">
        <v>3</v>
      </c>
      <c r="D337" s="1">
        <v>1</v>
      </c>
      <c r="E337" s="1" t="s">
        <v>35</v>
      </c>
      <c r="F337" s="1"/>
      <c r="G337" s="1" t="s">
        <v>41</v>
      </c>
      <c r="H337" s="1" t="s">
        <v>35</v>
      </c>
      <c r="I337" s="1">
        <v>3</v>
      </c>
      <c r="J337" s="3" t="s">
        <v>35</v>
      </c>
      <c r="K337" s="1" t="s">
        <v>42</v>
      </c>
      <c r="L337" s="1" t="s">
        <v>45</v>
      </c>
      <c r="M337" s="1" t="s">
        <v>45</v>
      </c>
      <c r="N337" s="1" t="s">
        <v>45</v>
      </c>
      <c r="O337" s="1">
        <v>3</v>
      </c>
      <c r="P337" s="1" t="s">
        <v>45</v>
      </c>
      <c r="Q337" s="6" t="s">
        <v>45</v>
      </c>
      <c r="R337" s="6" t="s">
        <v>45</v>
      </c>
      <c r="S337" s="6" t="s">
        <v>45</v>
      </c>
      <c r="T337" s="6" t="s">
        <v>45</v>
      </c>
      <c r="U337" s="6" t="s">
        <v>45</v>
      </c>
      <c r="V337" s="1" t="s">
        <v>45</v>
      </c>
      <c r="W337" s="1" t="s">
        <v>45</v>
      </c>
      <c r="X337" s="6" t="s">
        <v>45</v>
      </c>
      <c r="Y337" s="6">
        <f>O337</f>
        <v>3</v>
      </c>
    </row>
    <row r="338" spans="1:25" x14ac:dyDescent="0.15">
      <c r="A338" s="1">
        <v>2022</v>
      </c>
      <c r="B338" s="1" t="s">
        <v>55</v>
      </c>
      <c r="C338" s="1">
        <v>3</v>
      </c>
      <c r="D338" s="1">
        <v>2</v>
      </c>
      <c r="E338" s="1" t="s">
        <v>36</v>
      </c>
      <c r="F338" s="1"/>
      <c r="G338" s="1" t="s">
        <v>41</v>
      </c>
      <c r="H338" s="1" t="s">
        <v>36</v>
      </c>
      <c r="I338" s="1">
        <v>3</v>
      </c>
      <c r="J338" s="3" t="s">
        <v>36</v>
      </c>
      <c r="K338" s="1" t="s">
        <v>42</v>
      </c>
      <c r="L338" s="1" t="s">
        <v>45</v>
      </c>
      <c r="M338" s="1" t="s">
        <v>45</v>
      </c>
      <c r="N338" s="1" t="s">
        <v>45</v>
      </c>
      <c r="O338" s="1">
        <v>2.89</v>
      </c>
      <c r="P338" s="1" t="s">
        <v>45</v>
      </c>
      <c r="Q338" s="6" t="s">
        <v>45</v>
      </c>
      <c r="R338" s="6" t="s">
        <v>45</v>
      </c>
      <c r="S338" s="6" t="s">
        <v>45</v>
      </c>
      <c r="T338" s="6" t="s">
        <v>45</v>
      </c>
      <c r="U338" s="6" t="s">
        <v>45</v>
      </c>
      <c r="V338" s="1" t="s">
        <v>45</v>
      </c>
      <c r="W338" s="1" t="s">
        <v>45</v>
      </c>
      <c r="X338" s="6" t="s">
        <v>45</v>
      </c>
      <c r="Y338" s="6">
        <f t="shared" ref="Y338:Y342" si="122">O338</f>
        <v>2.89</v>
      </c>
    </row>
    <row r="339" spans="1:25" x14ac:dyDescent="0.15">
      <c r="A339" s="1">
        <v>2022</v>
      </c>
      <c r="B339" s="1" t="s">
        <v>55</v>
      </c>
      <c r="C339" s="1">
        <v>3</v>
      </c>
      <c r="D339" s="1">
        <v>3</v>
      </c>
      <c r="E339" s="1" t="s">
        <v>37</v>
      </c>
      <c r="F339" s="1"/>
      <c r="G339" s="1" t="s">
        <v>41</v>
      </c>
      <c r="H339" s="1" t="s">
        <v>37</v>
      </c>
      <c r="I339" s="1">
        <v>3</v>
      </c>
      <c r="J339" s="3" t="s">
        <v>37</v>
      </c>
      <c r="K339" s="1" t="s">
        <v>42</v>
      </c>
      <c r="L339" s="1" t="s">
        <v>45</v>
      </c>
      <c r="M339" s="1" t="s">
        <v>45</v>
      </c>
      <c r="N339" s="1" t="s">
        <v>45</v>
      </c>
      <c r="O339" s="1">
        <v>3.44</v>
      </c>
      <c r="P339" s="1" t="s">
        <v>45</v>
      </c>
      <c r="Q339" s="6" t="s">
        <v>45</v>
      </c>
      <c r="R339" s="6" t="s">
        <v>45</v>
      </c>
      <c r="S339" s="6" t="s">
        <v>45</v>
      </c>
      <c r="T339" s="6" t="s">
        <v>45</v>
      </c>
      <c r="U339" s="6" t="s">
        <v>45</v>
      </c>
      <c r="V339" s="1" t="s">
        <v>45</v>
      </c>
      <c r="W339" s="1" t="s">
        <v>45</v>
      </c>
      <c r="X339" s="6" t="s">
        <v>45</v>
      </c>
      <c r="Y339" s="6">
        <f t="shared" si="122"/>
        <v>3.44</v>
      </c>
    </row>
    <row r="340" spans="1:25" x14ac:dyDescent="0.15">
      <c r="A340" s="1">
        <v>2022</v>
      </c>
      <c r="B340" s="1" t="s">
        <v>55</v>
      </c>
      <c r="C340" s="1">
        <v>3</v>
      </c>
      <c r="D340" s="1">
        <v>4</v>
      </c>
      <c r="E340" s="1" t="s">
        <v>35</v>
      </c>
      <c r="F340" s="1"/>
      <c r="G340" s="1" t="s">
        <v>41</v>
      </c>
      <c r="H340" s="1" t="s">
        <v>75</v>
      </c>
      <c r="I340" s="1">
        <v>3</v>
      </c>
      <c r="J340" s="3" t="s">
        <v>35</v>
      </c>
      <c r="K340" s="1" t="s">
        <v>43</v>
      </c>
      <c r="L340" s="1" t="s">
        <v>45</v>
      </c>
      <c r="M340" s="1" t="s">
        <v>45</v>
      </c>
      <c r="N340" s="1" t="s">
        <v>45</v>
      </c>
      <c r="O340" s="1">
        <v>3.33</v>
      </c>
      <c r="P340" s="1" t="s">
        <v>45</v>
      </c>
      <c r="Q340" s="6" t="s">
        <v>45</v>
      </c>
      <c r="R340" s="6" t="s">
        <v>45</v>
      </c>
      <c r="S340" s="6" t="s">
        <v>45</v>
      </c>
      <c r="T340" s="6" t="s">
        <v>45</v>
      </c>
      <c r="U340" s="6" t="s">
        <v>45</v>
      </c>
      <c r="V340" s="1" t="s">
        <v>45</v>
      </c>
      <c r="W340" s="1" t="s">
        <v>45</v>
      </c>
      <c r="X340" s="1" t="s">
        <v>45</v>
      </c>
      <c r="Y340" s="6">
        <f t="shared" si="122"/>
        <v>3.33</v>
      </c>
    </row>
    <row r="341" spans="1:25" x14ac:dyDescent="0.15">
      <c r="A341" s="1">
        <v>2022</v>
      </c>
      <c r="B341" s="1" t="s">
        <v>55</v>
      </c>
      <c r="C341" s="1">
        <v>3</v>
      </c>
      <c r="D341" s="1">
        <v>5</v>
      </c>
      <c r="E341" s="1" t="s">
        <v>36</v>
      </c>
      <c r="F341" s="1"/>
      <c r="G341" s="1" t="s">
        <v>41</v>
      </c>
      <c r="H341" s="1" t="s">
        <v>76</v>
      </c>
      <c r="I341" s="1">
        <v>3</v>
      </c>
      <c r="J341" s="3" t="s">
        <v>36</v>
      </c>
      <c r="K341" s="1" t="s">
        <v>43</v>
      </c>
      <c r="L341" s="1" t="s">
        <v>45</v>
      </c>
      <c r="M341" s="1" t="s">
        <v>45</v>
      </c>
      <c r="N341" s="1" t="s">
        <v>45</v>
      </c>
      <c r="O341" s="1">
        <v>3</v>
      </c>
      <c r="P341" s="1" t="s">
        <v>45</v>
      </c>
      <c r="Q341" s="6" t="s">
        <v>45</v>
      </c>
      <c r="R341" s="6" t="s">
        <v>45</v>
      </c>
      <c r="S341" s="6" t="s">
        <v>45</v>
      </c>
      <c r="T341" s="6" t="s">
        <v>45</v>
      </c>
      <c r="U341" s="6" t="s">
        <v>45</v>
      </c>
      <c r="V341" s="1" t="s">
        <v>45</v>
      </c>
      <c r="W341" s="1" t="s">
        <v>45</v>
      </c>
      <c r="X341" s="1" t="s">
        <v>45</v>
      </c>
      <c r="Y341" s="6">
        <f t="shared" si="122"/>
        <v>3</v>
      </c>
    </row>
    <row r="342" spans="1:25" x14ac:dyDescent="0.15">
      <c r="A342" s="1">
        <v>2022</v>
      </c>
      <c r="B342" s="1" t="s">
        <v>55</v>
      </c>
      <c r="C342" s="1">
        <v>3</v>
      </c>
      <c r="D342" s="1">
        <v>6</v>
      </c>
      <c r="E342" s="1" t="s">
        <v>37</v>
      </c>
      <c r="F342" s="1"/>
      <c r="G342" s="1" t="s">
        <v>41</v>
      </c>
      <c r="H342" s="1" t="s">
        <v>77</v>
      </c>
      <c r="I342" s="1">
        <v>3</v>
      </c>
      <c r="J342" s="3" t="s">
        <v>37</v>
      </c>
      <c r="K342" s="1" t="s">
        <v>43</v>
      </c>
      <c r="L342" s="1" t="s">
        <v>45</v>
      </c>
      <c r="M342" s="1" t="s">
        <v>45</v>
      </c>
      <c r="N342" s="1" t="s">
        <v>45</v>
      </c>
      <c r="O342" s="1">
        <v>3</v>
      </c>
      <c r="P342" s="1" t="s">
        <v>45</v>
      </c>
      <c r="Q342" s="6" t="s">
        <v>45</v>
      </c>
      <c r="R342" s="6" t="s">
        <v>45</v>
      </c>
      <c r="S342" s="6" t="s">
        <v>45</v>
      </c>
      <c r="T342" s="6" t="s">
        <v>45</v>
      </c>
      <c r="U342" s="6" t="s">
        <v>45</v>
      </c>
      <c r="V342" s="1" t="s">
        <v>45</v>
      </c>
      <c r="W342" s="1" t="s">
        <v>45</v>
      </c>
      <c r="X342" s="1" t="s">
        <v>45</v>
      </c>
      <c r="Y342" s="6">
        <f t="shared" si="122"/>
        <v>3</v>
      </c>
    </row>
    <row r="343" spans="1:25" x14ac:dyDescent="0.15">
      <c r="A343" s="1">
        <v>2022</v>
      </c>
      <c r="B343" s="1" t="s">
        <v>55</v>
      </c>
      <c r="C343" s="1">
        <v>3</v>
      </c>
      <c r="D343" s="1">
        <v>7</v>
      </c>
      <c r="E343" s="1"/>
      <c r="F343" s="1" t="s">
        <v>38</v>
      </c>
      <c r="G343" s="1" t="s">
        <v>41</v>
      </c>
      <c r="H343" s="1"/>
      <c r="I343" s="1">
        <v>3</v>
      </c>
      <c r="J343" s="3" t="s">
        <v>38</v>
      </c>
      <c r="K343" s="1" t="s">
        <v>42</v>
      </c>
      <c r="L343" s="1" t="s">
        <v>45</v>
      </c>
      <c r="M343" s="1" t="s">
        <v>45</v>
      </c>
      <c r="N343" s="1" t="s">
        <v>45</v>
      </c>
      <c r="O343" s="1" t="s">
        <v>45</v>
      </c>
      <c r="P343" s="1">
        <v>0.22</v>
      </c>
      <c r="Q343" s="6" t="s">
        <v>45</v>
      </c>
      <c r="R343" s="6" t="s">
        <v>45</v>
      </c>
      <c r="S343" s="6" t="s">
        <v>45</v>
      </c>
      <c r="T343" s="6" t="s">
        <v>45</v>
      </c>
      <c r="U343" s="6" t="s">
        <v>45</v>
      </c>
      <c r="V343" s="1" t="s">
        <v>45</v>
      </c>
      <c r="W343" s="1" t="s">
        <v>45</v>
      </c>
      <c r="X343" s="1" t="s">
        <v>45</v>
      </c>
      <c r="Y343" s="6">
        <f>P343</f>
        <v>0.22</v>
      </c>
    </row>
    <row r="344" spans="1:25" x14ac:dyDescent="0.15">
      <c r="A344" s="1">
        <v>2022</v>
      </c>
      <c r="B344" s="1" t="s">
        <v>55</v>
      </c>
      <c r="C344" s="1">
        <v>3</v>
      </c>
      <c r="D344" s="1">
        <v>8</v>
      </c>
      <c r="E344" s="1"/>
      <c r="F344" s="1" t="s">
        <v>39</v>
      </c>
      <c r="G344" s="1" t="s">
        <v>41</v>
      </c>
      <c r="H344" s="1"/>
      <c r="I344" s="1">
        <v>3</v>
      </c>
      <c r="J344" s="3" t="s">
        <v>39</v>
      </c>
      <c r="K344" s="1" t="s">
        <v>42</v>
      </c>
      <c r="L344" s="1" t="s">
        <v>45</v>
      </c>
      <c r="M344" s="1" t="s">
        <v>45</v>
      </c>
      <c r="N344" s="1" t="s">
        <v>45</v>
      </c>
      <c r="O344" s="1" t="s">
        <v>45</v>
      </c>
      <c r="P344" s="1">
        <v>0.33</v>
      </c>
      <c r="Q344" s="6" t="s">
        <v>45</v>
      </c>
      <c r="R344" s="6" t="s">
        <v>45</v>
      </c>
      <c r="S344" s="6" t="s">
        <v>45</v>
      </c>
      <c r="T344" s="6" t="s">
        <v>45</v>
      </c>
      <c r="U344" s="6" t="s">
        <v>45</v>
      </c>
      <c r="V344" s="1" t="s">
        <v>45</v>
      </c>
      <c r="W344" s="1" t="s">
        <v>45</v>
      </c>
      <c r="X344" s="1" t="s">
        <v>45</v>
      </c>
      <c r="Y344" s="6">
        <f t="shared" ref="Y344:Y345" si="123">P344</f>
        <v>0.33</v>
      </c>
    </row>
    <row r="345" spans="1:25" x14ac:dyDescent="0.15">
      <c r="A345" s="1">
        <v>2022</v>
      </c>
      <c r="B345" s="1" t="s">
        <v>55</v>
      </c>
      <c r="C345" s="1">
        <v>3</v>
      </c>
      <c r="D345" s="1">
        <v>9</v>
      </c>
      <c r="E345" s="1"/>
      <c r="F345" s="1" t="s">
        <v>40</v>
      </c>
      <c r="G345" s="1" t="s">
        <v>41</v>
      </c>
      <c r="H345" s="1"/>
      <c r="I345" s="1">
        <v>3</v>
      </c>
      <c r="J345" s="3" t="s">
        <v>40</v>
      </c>
      <c r="K345" s="1" t="s">
        <v>42</v>
      </c>
      <c r="L345" s="1" t="s">
        <v>45</v>
      </c>
      <c r="M345" s="1" t="s">
        <v>45</v>
      </c>
      <c r="N345" s="1" t="s">
        <v>45</v>
      </c>
      <c r="O345" s="1" t="s">
        <v>45</v>
      </c>
      <c r="P345" s="1">
        <v>0.33</v>
      </c>
      <c r="Q345" s="6" t="s">
        <v>45</v>
      </c>
      <c r="R345" s="6" t="s">
        <v>45</v>
      </c>
      <c r="S345" s="6" t="s">
        <v>45</v>
      </c>
      <c r="T345" s="6" t="s">
        <v>45</v>
      </c>
      <c r="U345" s="6" t="s">
        <v>45</v>
      </c>
      <c r="V345" s="1" t="s">
        <v>45</v>
      </c>
      <c r="W345" s="1" t="s">
        <v>45</v>
      </c>
      <c r="X345" s="1" t="s">
        <v>45</v>
      </c>
      <c r="Y345" s="6">
        <f t="shared" si="123"/>
        <v>0.33</v>
      </c>
    </row>
    <row r="346" spans="1:25" x14ac:dyDescent="0.15">
      <c r="A346" s="1">
        <v>2022</v>
      </c>
      <c r="B346" s="1" t="s">
        <v>55</v>
      </c>
      <c r="C346" s="1">
        <v>3</v>
      </c>
      <c r="D346" s="1">
        <v>10</v>
      </c>
      <c r="E346" s="1" t="s">
        <v>35</v>
      </c>
      <c r="F346" s="1" t="s">
        <v>38</v>
      </c>
      <c r="G346" s="1" t="s">
        <v>14</v>
      </c>
      <c r="H346" s="1" t="s">
        <v>35</v>
      </c>
      <c r="I346" s="1">
        <v>3</v>
      </c>
      <c r="J346" s="3" t="s">
        <v>63</v>
      </c>
      <c r="K346" s="1" t="s">
        <v>42</v>
      </c>
      <c r="L346" s="1" t="s">
        <v>45</v>
      </c>
      <c r="M346" s="1" t="s">
        <v>45</v>
      </c>
      <c r="N346" s="1" t="s">
        <v>45</v>
      </c>
      <c r="O346" s="1">
        <v>1.1100000000000001</v>
      </c>
      <c r="P346" s="1">
        <v>0.11</v>
      </c>
      <c r="Q346" s="6">
        <f>O346/(0.1*O337)</f>
        <v>3.6999999999999997</v>
      </c>
      <c r="R346" s="6">
        <f>O346/(0.1*O340)</f>
        <v>3.3333333333333335</v>
      </c>
      <c r="S346" s="6">
        <f>P346/(0.9*P343)</f>
        <v>0.55555555555555558</v>
      </c>
      <c r="T346" s="6">
        <f>Q346+S346</f>
        <v>4.2555555555555555</v>
      </c>
      <c r="U346" s="6">
        <f>R346+S346</f>
        <v>3.8888888888888893</v>
      </c>
      <c r="V346" s="1">
        <f>O346/O337+P346/P343</f>
        <v>0.87000000000000011</v>
      </c>
      <c r="W346" s="1">
        <f>O346/O340+P346/P343</f>
        <v>0.83333333333333337</v>
      </c>
      <c r="X346" s="1">
        <f t="shared" ref="X346:X354" si="124">100*ROUND(P346/(P346+O346), 2)</f>
        <v>9</v>
      </c>
      <c r="Y346" s="6">
        <f>O346+P346</f>
        <v>1.2200000000000002</v>
      </c>
    </row>
    <row r="347" spans="1:25" x14ac:dyDescent="0.15">
      <c r="A347" s="1">
        <v>2022</v>
      </c>
      <c r="B347" s="1" t="s">
        <v>55</v>
      </c>
      <c r="C347" s="1">
        <v>3</v>
      </c>
      <c r="D347" s="1">
        <v>11</v>
      </c>
      <c r="E347" s="1" t="s">
        <v>35</v>
      </c>
      <c r="F347" s="1" t="s">
        <v>39</v>
      </c>
      <c r="G347" s="1" t="s">
        <v>14</v>
      </c>
      <c r="H347" s="1" t="s">
        <v>35</v>
      </c>
      <c r="I347" s="1">
        <v>3</v>
      </c>
      <c r="J347" s="3" t="s">
        <v>64</v>
      </c>
      <c r="K347" s="1" t="s">
        <v>42</v>
      </c>
      <c r="L347" s="1" t="s">
        <v>45</v>
      </c>
      <c r="M347" s="1" t="s">
        <v>45</v>
      </c>
      <c r="N347" s="1" t="s">
        <v>45</v>
      </c>
      <c r="O347" s="1">
        <v>1.44</v>
      </c>
      <c r="P347" s="1">
        <v>0.11</v>
      </c>
      <c r="Q347" s="6">
        <f>O347/(0.1*O337)</f>
        <v>4.7999999999999989</v>
      </c>
      <c r="R347" s="6">
        <f>O347/(0.1*O340)</f>
        <v>4.3243243243243237</v>
      </c>
      <c r="S347" s="6">
        <f>P347/(0.9*P344)</f>
        <v>0.37037037037037029</v>
      </c>
      <c r="T347" s="6">
        <f t="shared" ref="T347:T354" si="125">Q347+S347</f>
        <v>5.1703703703703692</v>
      </c>
      <c r="U347" s="6">
        <f t="shared" ref="U347:U354" si="126">R347+S347</f>
        <v>4.6946946946946939</v>
      </c>
      <c r="V347" s="1">
        <f>O347/O337+P347/P344</f>
        <v>0.81333333333333324</v>
      </c>
      <c r="W347" s="1">
        <f>O347/O340+P347/P344</f>
        <v>0.76576576576576572</v>
      </c>
      <c r="X347" s="1">
        <f t="shared" si="124"/>
        <v>7.0000000000000009</v>
      </c>
      <c r="Y347" s="6">
        <f t="shared" ref="Y347:Y354" si="127">O347+P347</f>
        <v>1.55</v>
      </c>
    </row>
    <row r="348" spans="1:25" x14ac:dyDescent="0.15">
      <c r="A348" s="1">
        <v>2022</v>
      </c>
      <c r="B348" s="1" t="s">
        <v>55</v>
      </c>
      <c r="C348" s="1">
        <v>3</v>
      </c>
      <c r="D348" s="1">
        <v>12</v>
      </c>
      <c r="E348" s="1" t="s">
        <v>35</v>
      </c>
      <c r="F348" s="1" t="s">
        <v>40</v>
      </c>
      <c r="G348" s="1" t="s">
        <v>14</v>
      </c>
      <c r="H348" s="1" t="s">
        <v>35</v>
      </c>
      <c r="I348" s="1">
        <v>3</v>
      </c>
      <c r="J348" s="3" t="s">
        <v>65</v>
      </c>
      <c r="K348" s="1" t="s">
        <v>42</v>
      </c>
      <c r="L348" s="1" t="s">
        <v>45</v>
      </c>
      <c r="M348" s="1" t="s">
        <v>45</v>
      </c>
      <c r="N348" s="1" t="s">
        <v>45</v>
      </c>
      <c r="O348" s="1">
        <v>1.33</v>
      </c>
      <c r="P348" s="1">
        <v>0.11</v>
      </c>
      <c r="Q348" s="6">
        <f>O348/(0.1*O337)</f>
        <v>4.4333333333333327</v>
      </c>
      <c r="R348" s="6">
        <f>O348/(0.1*O340)</f>
        <v>3.9939939939939939</v>
      </c>
      <c r="S348" s="6">
        <f>P348/(0.9*P345)</f>
        <v>0.37037037037037029</v>
      </c>
      <c r="T348" s="6">
        <f t="shared" si="125"/>
        <v>4.8037037037037029</v>
      </c>
      <c r="U348" s="6">
        <f t="shared" si="126"/>
        <v>4.3643643643643646</v>
      </c>
      <c r="V348" s="1">
        <f>O348/O337+P348/P345</f>
        <v>0.77666666666666662</v>
      </c>
      <c r="W348" s="1">
        <f>O348/O340+P348/P345</f>
        <v>0.73273273273273265</v>
      </c>
      <c r="X348" s="1">
        <f t="shared" si="124"/>
        <v>8</v>
      </c>
      <c r="Y348" s="6">
        <f t="shared" si="127"/>
        <v>1.4400000000000002</v>
      </c>
    </row>
    <row r="349" spans="1:25" x14ac:dyDescent="0.15">
      <c r="A349" s="1">
        <v>2022</v>
      </c>
      <c r="B349" s="1" t="s">
        <v>55</v>
      </c>
      <c r="C349" s="1">
        <v>3</v>
      </c>
      <c r="D349" s="1">
        <v>13</v>
      </c>
      <c r="E349" s="1" t="s">
        <v>36</v>
      </c>
      <c r="F349" s="1" t="s">
        <v>38</v>
      </c>
      <c r="G349" s="1" t="s">
        <v>14</v>
      </c>
      <c r="H349" s="1" t="s">
        <v>36</v>
      </c>
      <c r="I349" s="1">
        <v>3</v>
      </c>
      <c r="J349" s="3" t="s">
        <v>66</v>
      </c>
      <c r="K349" s="1" t="s">
        <v>42</v>
      </c>
      <c r="L349" s="1" t="s">
        <v>45</v>
      </c>
      <c r="M349" s="1" t="s">
        <v>45</v>
      </c>
      <c r="N349" s="1" t="s">
        <v>45</v>
      </c>
      <c r="O349" s="1">
        <v>1.22</v>
      </c>
      <c r="P349" s="1">
        <v>0.11</v>
      </c>
      <c r="Q349" s="6">
        <f>O349/(0.1*O338)</f>
        <v>4.2214532871972317</v>
      </c>
      <c r="R349" s="6">
        <f>O349/(0.1*O341)</f>
        <v>4.0666666666666655</v>
      </c>
      <c r="S349" s="6">
        <f>P349/(0.9*P343)</f>
        <v>0.55555555555555558</v>
      </c>
      <c r="T349" s="6">
        <f t="shared" si="125"/>
        <v>4.777008842752787</v>
      </c>
      <c r="U349" s="6">
        <f t="shared" si="126"/>
        <v>4.6222222222222209</v>
      </c>
      <c r="V349" s="1">
        <f>O349/O338+P349/P343</f>
        <v>0.92214532871972321</v>
      </c>
      <c r="W349" s="1">
        <f>O349/O341+P349/P343</f>
        <v>0.90666666666666673</v>
      </c>
      <c r="X349" s="1">
        <f t="shared" si="124"/>
        <v>8</v>
      </c>
      <c r="Y349" s="6">
        <f t="shared" si="127"/>
        <v>1.33</v>
      </c>
    </row>
    <row r="350" spans="1:25" x14ac:dyDescent="0.15">
      <c r="A350" s="1">
        <v>2022</v>
      </c>
      <c r="B350" s="1" t="s">
        <v>55</v>
      </c>
      <c r="C350" s="1">
        <v>3</v>
      </c>
      <c r="D350" s="1">
        <v>14</v>
      </c>
      <c r="E350" s="1" t="s">
        <v>36</v>
      </c>
      <c r="F350" s="1" t="s">
        <v>39</v>
      </c>
      <c r="G350" s="1" t="s">
        <v>14</v>
      </c>
      <c r="H350" s="1" t="s">
        <v>36</v>
      </c>
      <c r="I350" s="1">
        <v>3</v>
      </c>
      <c r="J350" s="3" t="s">
        <v>67</v>
      </c>
      <c r="K350" s="1" t="s">
        <v>42</v>
      </c>
      <c r="L350" s="1" t="s">
        <v>45</v>
      </c>
      <c r="M350" s="1" t="s">
        <v>45</v>
      </c>
      <c r="N350" s="1" t="s">
        <v>45</v>
      </c>
      <c r="O350" s="1">
        <v>1.44</v>
      </c>
      <c r="P350" s="1">
        <v>0.11</v>
      </c>
      <c r="Q350" s="6">
        <f>O350/(0.1*O338)</f>
        <v>4.9826989619377153</v>
      </c>
      <c r="R350" s="6">
        <f>O350/(0.1*O341)</f>
        <v>4.7999999999999989</v>
      </c>
      <c r="S350" s="6">
        <f>P350/(0.9*P344)</f>
        <v>0.37037037037037029</v>
      </c>
      <c r="T350" s="6">
        <f t="shared" si="125"/>
        <v>5.3530693323080856</v>
      </c>
      <c r="U350" s="6">
        <f t="shared" si="126"/>
        <v>5.1703703703703692</v>
      </c>
      <c r="V350" s="1">
        <f>O350/O338+P350/P344</f>
        <v>0.83160322952710497</v>
      </c>
      <c r="W350" s="1">
        <f>O350/O341+P350/P344</f>
        <v>0.81333333333333324</v>
      </c>
      <c r="X350" s="1">
        <f t="shared" si="124"/>
        <v>7.0000000000000009</v>
      </c>
      <c r="Y350" s="6">
        <f t="shared" si="127"/>
        <v>1.55</v>
      </c>
    </row>
    <row r="351" spans="1:25" x14ac:dyDescent="0.15">
      <c r="A351" s="1">
        <v>2022</v>
      </c>
      <c r="B351" s="1" t="s">
        <v>55</v>
      </c>
      <c r="C351" s="1">
        <v>3</v>
      </c>
      <c r="D351" s="1">
        <v>15</v>
      </c>
      <c r="E351" s="1" t="s">
        <v>36</v>
      </c>
      <c r="F351" s="1" t="s">
        <v>40</v>
      </c>
      <c r="G351" s="1" t="s">
        <v>14</v>
      </c>
      <c r="H351" s="1" t="s">
        <v>36</v>
      </c>
      <c r="I351" s="1">
        <v>3</v>
      </c>
      <c r="J351" s="3" t="s">
        <v>68</v>
      </c>
      <c r="K351" s="1" t="s">
        <v>42</v>
      </c>
      <c r="L351" s="1" t="s">
        <v>45</v>
      </c>
      <c r="M351" s="1" t="s">
        <v>45</v>
      </c>
      <c r="N351" s="1" t="s">
        <v>45</v>
      </c>
      <c r="O351" s="1">
        <v>1.33</v>
      </c>
      <c r="P351" s="1">
        <v>0.11</v>
      </c>
      <c r="Q351" s="6">
        <f>O351/(0.1*O338)</f>
        <v>4.6020761245674739</v>
      </c>
      <c r="R351" s="6">
        <f>O351/(0.1*O341)</f>
        <v>4.4333333333333327</v>
      </c>
      <c r="S351" s="6">
        <f>P351/(0.9*P345)</f>
        <v>0.37037037037037029</v>
      </c>
      <c r="T351" s="6">
        <f t="shared" si="125"/>
        <v>4.9724464949378442</v>
      </c>
      <c r="U351" s="6">
        <f t="shared" si="126"/>
        <v>4.8037037037037029</v>
      </c>
      <c r="V351" s="1">
        <f>O351/O338+P351/P345</f>
        <v>0.79354094579008072</v>
      </c>
      <c r="W351" s="1">
        <f>O351/O341+P351/P345</f>
        <v>0.77666666666666662</v>
      </c>
      <c r="X351" s="1">
        <f t="shared" si="124"/>
        <v>8</v>
      </c>
      <c r="Y351" s="6">
        <f t="shared" si="127"/>
        <v>1.4400000000000002</v>
      </c>
    </row>
    <row r="352" spans="1:25" x14ac:dyDescent="0.15">
      <c r="A352" s="1">
        <v>2022</v>
      </c>
      <c r="B352" s="1" t="s">
        <v>55</v>
      </c>
      <c r="C352" s="1">
        <v>3</v>
      </c>
      <c r="D352" s="1">
        <v>16</v>
      </c>
      <c r="E352" s="1" t="s">
        <v>37</v>
      </c>
      <c r="F352" s="1" t="s">
        <v>38</v>
      </c>
      <c r="G352" s="1" t="s">
        <v>14</v>
      </c>
      <c r="H352" s="1" t="s">
        <v>37</v>
      </c>
      <c r="I352" s="1">
        <v>3</v>
      </c>
      <c r="J352" s="3" t="s">
        <v>69</v>
      </c>
      <c r="K352" s="1" t="s">
        <v>42</v>
      </c>
      <c r="L352" s="1" t="s">
        <v>45</v>
      </c>
      <c r="M352" s="1" t="s">
        <v>45</v>
      </c>
      <c r="N352" s="1" t="s">
        <v>45</v>
      </c>
      <c r="O352" s="1">
        <v>1.22</v>
      </c>
      <c r="P352" s="1">
        <v>0.11</v>
      </c>
      <c r="Q352" s="6">
        <f>O352/(0.1*O339)</f>
        <v>3.5465116279069764</v>
      </c>
      <c r="R352" s="6">
        <f>O352/(0.1*O342)</f>
        <v>4.0666666666666655</v>
      </c>
      <c r="S352" s="6">
        <f>P352/(0.9*P343)</f>
        <v>0.55555555555555558</v>
      </c>
      <c r="T352" s="6">
        <f t="shared" si="125"/>
        <v>4.1020671834625322</v>
      </c>
      <c r="U352" s="6">
        <f t="shared" si="126"/>
        <v>4.6222222222222209</v>
      </c>
      <c r="V352" s="1">
        <f>O352/O339+P352/P343</f>
        <v>0.85465116279069764</v>
      </c>
      <c r="W352" s="1">
        <f>O352/O342+P352/P343</f>
        <v>0.90666666666666673</v>
      </c>
      <c r="X352" s="1">
        <f t="shared" si="124"/>
        <v>8</v>
      </c>
      <c r="Y352" s="6">
        <f t="shared" si="127"/>
        <v>1.33</v>
      </c>
    </row>
    <row r="353" spans="1:25" x14ac:dyDescent="0.15">
      <c r="A353" s="1">
        <v>2022</v>
      </c>
      <c r="B353" s="1" t="s">
        <v>55</v>
      </c>
      <c r="C353" s="1">
        <v>3</v>
      </c>
      <c r="D353" s="1">
        <v>17</v>
      </c>
      <c r="E353" s="1" t="s">
        <v>37</v>
      </c>
      <c r="F353" s="1" t="s">
        <v>39</v>
      </c>
      <c r="G353" s="1" t="s">
        <v>14</v>
      </c>
      <c r="H353" s="1" t="s">
        <v>37</v>
      </c>
      <c r="I353" s="1">
        <v>3</v>
      </c>
      <c r="J353" s="3" t="s">
        <v>70</v>
      </c>
      <c r="K353" s="1" t="s">
        <v>42</v>
      </c>
      <c r="L353" s="1" t="s">
        <v>45</v>
      </c>
      <c r="M353" s="1" t="s">
        <v>45</v>
      </c>
      <c r="N353" s="1" t="s">
        <v>45</v>
      </c>
      <c r="O353" s="1">
        <v>1.1100000000000001</v>
      </c>
      <c r="P353" s="1">
        <v>0.11</v>
      </c>
      <c r="Q353" s="6">
        <f>O353/(0.1*O339)</f>
        <v>3.2267441860465116</v>
      </c>
      <c r="R353" s="6">
        <f>O353/(0.1*O342)</f>
        <v>3.6999999999999997</v>
      </c>
      <c r="S353" s="6">
        <f>P353/(0.9*P344)</f>
        <v>0.37037037037037029</v>
      </c>
      <c r="T353" s="6">
        <f t="shared" si="125"/>
        <v>3.5971145564168818</v>
      </c>
      <c r="U353" s="6">
        <f t="shared" si="126"/>
        <v>4.0703703703703704</v>
      </c>
      <c r="V353" s="1">
        <f>O353/O339+P353/P344</f>
        <v>0.65600775193798455</v>
      </c>
      <c r="W353" s="1">
        <f>O353/O342+P353/P344</f>
        <v>0.70333333333333337</v>
      </c>
      <c r="X353" s="1">
        <f t="shared" si="124"/>
        <v>9</v>
      </c>
      <c r="Y353" s="6">
        <f t="shared" si="127"/>
        <v>1.2200000000000002</v>
      </c>
    </row>
    <row r="354" spans="1:25" x14ac:dyDescent="0.15">
      <c r="A354" s="1">
        <v>2022</v>
      </c>
      <c r="B354" s="1" t="s">
        <v>55</v>
      </c>
      <c r="C354" s="1">
        <v>3</v>
      </c>
      <c r="D354" s="1">
        <v>18</v>
      </c>
      <c r="E354" s="1" t="s">
        <v>37</v>
      </c>
      <c r="F354" s="1" t="s">
        <v>40</v>
      </c>
      <c r="G354" s="1" t="s">
        <v>14</v>
      </c>
      <c r="H354" s="1" t="s">
        <v>37</v>
      </c>
      <c r="I354" s="1">
        <v>3</v>
      </c>
      <c r="J354" s="3" t="s">
        <v>71</v>
      </c>
      <c r="K354" s="1" t="s">
        <v>42</v>
      </c>
      <c r="L354" s="1" t="s">
        <v>45</v>
      </c>
      <c r="M354" s="1" t="s">
        <v>45</v>
      </c>
      <c r="N354" s="1" t="s">
        <v>45</v>
      </c>
      <c r="O354" s="1">
        <v>1.44</v>
      </c>
      <c r="P354" s="1">
        <v>0.11</v>
      </c>
      <c r="Q354" s="6">
        <f>O354/(0.1*O339)</f>
        <v>4.1860465116279064</v>
      </c>
      <c r="R354" s="6">
        <f>O354/(0.1*O342)</f>
        <v>4.7999999999999989</v>
      </c>
      <c r="S354" s="6">
        <f>P354/(0.9*P345)</f>
        <v>0.37037037037037029</v>
      </c>
      <c r="T354" s="6">
        <f t="shared" si="125"/>
        <v>4.5564168819982767</v>
      </c>
      <c r="U354" s="6">
        <f t="shared" si="126"/>
        <v>5.1703703703703692</v>
      </c>
      <c r="V354" s="1">
        <f>O354/O339+P354/P345</f>
        <v>0.75193798449612403</v>
      </c>
      <c r="W354" s="1">
        <f>O354/O342+P354/P345</f>
        <v>0.81333333333333324</v>
      </c>
      <c r="X354" s="1">
        <f t="shared" si="124"/>
        <v>7.0000000000000009</v>
      </c>
      <c r="Y354" s="6">
        <f t="shared" si="127"/>
        <v>1.55</v>
      </c>
    </row>
    <row r="355" spans="1:25" x14ac:dyDescent="0.15">
      <c r="A355" s="1">
        <v>2022</v>
      </c>
      <c r="B355" s="1" t="s">
        <v>55</v>
      </c>
      <c r="C355" s="1">
        <v>4</v>
      </c>
      <c r="D355" s="1">
        <v>1</v>
      </c>
      <c r="E355" s="1" t="s">
        <v>35</v>
      </c>
      <c r="F355" s="1"/>
      <c r="G355" s="1" t="s">
        <v>41</v>
      </c>
      <c r="H355" s="1" t="s">
        <v>35</v>
      </c>
      <c r="I355" s="1">
        <v>4</v>
      </c>
      <c r="J355" s="3" t="s">
        <v>35</v>
      </c>
      <c r="K355" s="1" t="s">
        <v>42</v>
      </c>
      <c r="L355" s="1" t="s">
        <v>45</v>
      </c>
      <c r="M355" s="1" t="s">
        <v>45</v>
      </c>
      <c r="N355" s="1" t="s">
        <v>45</v>
      </c>
      <c r="O355" s="1">
        <v>2.56</v>
      </c>
      <c r="P355" s="1" t="s">
        <v>45</v>
      </c>
      <c r="Q355" s="6" t="s">
        <v>45</v>
      </c>
      <c r="R355" s="6" t="s">
        <v>45</v>
      </c>
      <c r="S355" s="6" t="s">
        <v>45</v>
      </c>
      <c r="T355" s="6" t="s">
        <v>45</v>
      </c>
      <c r="U355" s="6" t="s">
        <v>45</v>
      </c>
      <c r="V355" s="1" t="s">
        <v>45</v>
      </c>
      <c r="W355" s="1" t="s">
        <v>45</v>
      </c>
      <c r="X355" s="6" t="s">
        <v>45</v>
      </c>
      <c r="Y355" s="6">
        <f>O355</f>
        <v>2.56</v>
      </c>
    </row>
    <row r="356" spans="1:25" x14ac:dyDescent="0.15">
      <c r="A356" s="1">
        <v>2022</v>
      </c>
      <c r="B356" s="1" t="s">
        <v>55</v>
      </c>
      <c r="C356" s="1">
        <v>4</v>
      </c>
      <c r="D356" s="1">
        <v>2</v>
      </c>
      <c r="E356" s="1" t="s">
        <v>36</v>
      </c>
      <c r="F356" s="1"/>
      <c r="G356" s="1" t="s">
        <v>41</v>
      </c>
      <c r="H356" s="1" t="s">
        <v>36</v>
      </c>
      <c r="I356" s="1">
        <v>4</v>
      </c>
      <c r="J356" s="3" t="s">
        <v>36</v>
      </c>
      <c r="K356" s="1" t="s">
        <v>42</v>
      </c>
      <c r="L356" s="1" t="s">
        <v>45</v>
      </c>
      <c r="M356" s="1" t="s">
        <v>45</v>
      </c>
      <c r="N356" s="1" t="s">
        <v>45</v>
      </c>
      <c r="O356" s="1">
        <v>2.33</v>
      </c>
      <c r="P356" s="1" t="s">
        <v>45</v>
      </c>
      <c r="Q356" s="6" t="s">
        <v>45</v>
      </c>
      <c r="R356" s="6" t="s">
        <v>45</v>
      </c>
      <c r="S356" s="6" t="s">
        <v>45</v>
      </c>
      <c r="T356" s="6" t="s">
        <v>45</v>
      </c>
      <c r="U356" s="6" t="s">
        <v>45</v>
      </c>
      <c r="V356" s="1" t="s">
        <v>45</v>
      </c>
      <c r="W356" s="1" t="s">
        <v>45</v>
      </c>
      <c r="X356" s="6" t="s">
        <v>45</v>
      </c>
      <c r="Y356" s="6">
        <f t="shared" ref="Y356:Y360" si="128">O356</f>
        <v>2.33</v>
      </c>
    </row>
    <row r="357" spans="1:25" x14ac:dyDescent="0.15">
      <c r="A357" s="1">
        <v>2022</v>
      </c>
      <c r="B357" s="1" t="s">
        <v>55</v>
      </c>
      <c r="C357" s="1">
        <v>4</v>
      </c>
      <c r="D357" s="1">
        <v>3</v>
      </c>
      <c r="E357" s="1" t="s">
        <v>37</v>
      </c>
      <c r="F357" s="1"/>
      <c r="G357" s="1" t="s">
        <v>41</v>
      </c>
      <c r="H357" s="1" t="s">
        <v>37</v>
      </c>
      <c r="I357" s="1">
        <v>4</v>
      </c>
      <c r="J357" s="3" t="s">
        <v>37</v>
      </c>
      <c r="K357" s="1" t="s">
        <v>42</v>
      </c>
      <c r="L357" s="1" t="s">
        <v>45</v>
      </c>
      <c r="M357" s="1" t="s">
        <v>45</v>
      </c>
      <c r="N357" s="1" t="s">
        <v>45</v>
      </c>
      <c r="O357" s="1">
        <v>2.67</v>
      </c>
      <c r="P357" s="1" t="s">
        <v>45</v>
      </c>
      <c r="Q357" s="6" t="s">
        <v>45</v>
      </c>
      <c r="R357" s="6" t="s">
        <v>45</v>
      </c>
      <c r="S357" s="6" t="s">
        <v>45</v>
      </c>
      <c r="T357" s="6" t="s">
        <v>45</v>
      </c>
      <c r="U357" s="6" t="s">
        <v>45</v>
      </c>
      <c r="V357" s="1" t="s">
        <v>45</v>
      </c>
      <c r="W357" s="1" t="s">
        <v>45</v>
      </c>
      <c r="X357" s="6" t="s">
        <v>45</v>
      </c>
      <c r="Y357" s="6">
        <f t="shared" si="128"/>
        <v>2.67</v>
      </c>
    </row>
    <row r="358" spans="1:25" x14ac:dyDescent="0.15">
      <c r="A358" s="1">
        <v>2022</v>
      </c>
      <c r="B358" s="1" t="s">
        <v>55</v>
      </c>
      <c r="C358" s="1">
        <v>4</v>
      </c>
      <c r="D358" s="1">
        <v>4</v>
      </c>
      <c r="E358" s="1" t="s">
        <v>35</v>
      </c>
      <c r="F358" s="1"/>
      <c r="G358" s="1" t="s">
        <v>41</v>
      </c>
      <c r="H358" s="1" t="s">
        <v>75</v>
      </c>
      <c r="I358" s="1">
        <v>4</v>
      </c>
      <c r="J358" s="3" t="s">
        <v>35</v>
      </c>
      <c r="K358" s="1" t="s">
        <v>43</v>
      </c>
      <c r="L358" s="1" t="s">
        <v>45</v>
      </c>
      <c r="M358" s="1" t="s">
        <v>45</v>
      </c>
      <c r="N358" s="1" t="s">
        <v>45</v>
      </c>
      <c r="O358" s="1">
        <v>2.11</v>
      </c>
      <c r="P358" s="1" t="s">
        <v>45</v>
      </c>
      <c r="Q358" s="6" t="s">
        <v>45</v>
      </c>
      <c r="R358" s="6" t="s">
        <v>45</v>
      </c>
      <c r="S358" s="6" t="s">
        <v>45</v>
      </c>
      <c r="T358" s="6" t="s">
        <v>45</v>
      </c>
      <c r="U358" s="6" t="s">
        <v>45</v>
      </c>
      <c r="V358" s="1" t="s">
        <v>45</v>
      </c>
      <c r="W358" s="1" t="s">
        <v>45</v>
      </c>
      <c r="X358" s="1" t="s">
        <v>45</v>
      </c>
      <c r="Y358" s="6">
        <f t="shared" si="128"/>
        <v>2.11</v>
      </c>
    </row>
    <row r="359" spans="1:25" x14ac:dyDescent="0.15">
      <c r="A359" s="1">
        <v>2022</v>
      </c>
      <c r="B359" s="1" t="s">
        <v>55</v>
      </c>
      <c r="C359" s="1">
        <v>4</v>
      </c>
      <c r="D359" s="1">
        <v>5</v>
      </c>
      <c r="E359" s="1" t="s">
        <v>36</v>
      </c>
      <c r="F359" s="1"/>
      <c r="G359" s="1" t="s">
        <v>41</v>
      </c>
      <c r="H359" s="1" t="s">
        <v>76</v>
      </c>
      <c r="I359" s="1">
        <v>4</v>
      </c>
      <c r="J359" s="3" t="s">
        <v>36</v>
      </c>
      <c r="K359" s="1" t="s">
        <v>43</v>
      </c>
      <c r="L359" s="1" t="s">
        <v>45</v>
      </c>
      <c r="M359" s="1" t="s">
        <v>45</v>
      </c>
      <c r="N359" s="1" t="s">
        <v>45</v>
      </c>
      <c r="O359" s="1">
        <v>2.78</v>
      </c>
      <c r="P359" s="1" t="s">
        <v>45</v>
      </c>
      <c r="Q359" s="6" t="s">
        <v>45</v>
      </c>
      <c r="R359" s="6" t="s">
        <v>45</v>
      </c>
      <c r="S359" s="6" t="s">
        <v>45</v>
      </c>
      <c r="T359" s="6" t="s">
        <v>45</v>
      </c>
      <c r="U359" s="6" t="s">
        <v>45</v>
      </c>
      <c r="V359" s="1" t="s">
        <v>45</v>
      </c>
      <c r="W359" s="1" t="s">
        <v>45</v>
      </c>
      <c r="X359" s="1" t="s">
        <v>45</v>
      </c>
      <c r="Y359" s="6">
        <f t="shared" si="128"/>
        <v>2.78</v>
      </c>
    </row>
    <row r="360" spans="1:25" x14ac:dyDescent="0.15">
      <c r="A360" s="1">
        <v>2022</v>
      </c>
      <c r="B360" s="1" t="s">
        <v>55</v>
      </c>
      <c r="C360" s="1">
        <v>4</v>
      </c>
      <c r="D360" s="1">
        <v>6</v>
      </c>
      <c r="E360" s="1" t="s">
        <v>37</v>
      </c>
      <c r="F360" s="1"/>
      <c r="G360" s="1" t="s">
        <v>41</v>
      </c>
      <c r="H360" s="1" t="s">
        <v>77</v>
      </c>
      <c r="I360" s="1">
        <v>4</v>
      </c>
      <c r="J360" s="3" t="s">
        <v>37</v>
      </c>
      <c r="K360" s="1" t="s">
        <v>43</v>
      </c>
      <c r="L360" s="1" t="s">
        <v>45</v>
      </c>
      <c r="M360" s="1" t="s">
        <v>45</v>
      </c>
      <c r="N360" s="1" t="s">
        <v>45</v>
      </c>
      <c r="O360" s="1">
        <v>1.56</v>
      </c>
      <c r="P360" s="1" t="s">
        <v>45</v>
      </c>
      <c r="Q360" s="6" t="s">
        <v>45</v>
      </c>
      <c r="R360" s="6" t="s">
        <v>45</v>
      </c>
      <c r="S360" s="6" t="s">
        <v>45</v>
      </c>
      <c r="T360" s="6" t="s">
        <v>45</v>
      </c>
      <c r="U360" s="6" t="s">
        <v>45</v>
      </c>
      <c r="V360" s="1" t="s">
        <v>45</v>
      </c>
      <c r="W360" s="1" t="s">
        <v>45</v>
      </c>
      <c r="X360" s="1" t="s">
        <v>45</v>
      </c>
      <c r="Y360" s="6">
        <f t="shared" si="128"/>
        <v>1.56</v>
      </c>
    </row>
    <row r="361" spans="1:25" x14ac:dyDescent="0.15">
      <c r="A361" s="1">
        <v>2022</v>
      </c>
      <c r="B361" s="1" t="s">
        <v>55</v>
      </c>
      <c r="C361" s="1">
        <v>4</v>
      </c>
      <c r="D361" s="1">
        <v>7</v>
      </c>
      <c r="E361" s="1"/>
      <c r="F361" s="1" t="s">
        <v>38</v>
      </c>
      <c r="G361" s="1" t="s">
        <v>41</v>
      </c>
      <c r="H361" s="1"/>
      <c r="I361" s="1">
        <v>4</v>
      </c>
      <c r="J361" s="3" t="s">
        <v>38</v>
      </c>
      <c r="K361" s="1" t="s">
        <v>42</v>
      </c>
      <c r="L361" s="1" t="s">
        <v>45</v>
      </c>
      <c r="M361" s="1" t="s">
        <v>45</v>
      </c>
      <c r="N361" s="1" t="s">
        <v>45</v>
      </c>
      <c r="O361" s="1" t="s">
        <v>45</v>
      </c>
      <c r="P361" s="1">
        <v>0.22</v>
      </c>
      <c r="Q361" s="6" t="s">
        <v>45</v>
      </c>
      <c r="R361" s="6" t="s">
        <v>45</v>
      </c>
      <c r="S361" s="6" t="s">
        <v>45</v>
      </c>
      <c r="T361" s="6" t="s">
        <v>45</v>
      </c>
      <c r="U361" s="6" t="s">
        <v>45</v>
      </c>
      <c r="V361" s="1" t="s">
        <v>45</v>
      </c>
      <c r="W361" s="1" t="s">
        <v>45</v>
      </c>
      <c r="X361" s="1" t="s">
        <v>45</v>
      </c>
      <c r="Y361" s="6">
        <f>P361</f>
        <v>0.22</v>
      </c>
    </row>
    <row r="362" spans="1:25" x14ac:dyDescent="0.15">
      <c r="A362" s="1">
        <v>2022</v>
      </c>
      <c r="B362" s="1" t="s">
        <v>55</v>
      </c>
      <c r="C362" s="1">
        <v>4</v>
      </c>
      <c r="D362" s="1">
        <v>8</v>
      </c>
      <c r="E362" s="1"/>
      <c r="F362" s="1" t="s">
        <v>39</v>
      </c>
      <c r="G362" s="1" t="s">
        <v>41</v>
      </c>
      <c r="H362" s="1"/>
      <c r="I362" s="1">
        <v>4</v>
      </c>
      <c r="J362" s="3" t="s">
        <v>39</v>
      </c>
      <c r="K362" s="1" t="s">
        <v>42</v>
      </c>
      <c r="L362" s="1" t="s">
        <v>45</v>
      </c>
      <c r="M362" s="1" t="s">
        <v>45</v>
      </c>
      <c r="N362" s="1" t="s">
        <v>45</v>
      </c>
      <c r="O362" s="1" t="s">
        <v>45</v>
      </c>
      <c r="P362" s="1">
        <v>0.33</v>
      </c>
      <c r="Q362" s="6" t="s">
        <v>45</v>
      </c>
      <c r="R362" s="6" t="s">
        <v>45</v>
      </c>
      <c r="S362" s="6" t="s">
        <v>45</v>
      </c>
      <c r="T362" s="6" t="s">
        <v>45</v>
      </c>
      <c r="U362" s="6" t="s">
        <v>45</v>
      </c>
      <c r="V362" s="1" t="s">
        <v>45</v>
      </c>
      <c r="W362" s="1" t="s">
        <v>45</v>
      </c>
      <c r="X362" s="1" t="s">
        <v>45</v>
      </c>
      <c r="Y362" s="6">
        <f t="shared" ref="Y362:Y363" si="129">P362</f>
        <v>0.33</v>
      </c>
    </row>
    <row r="363" spans="1:25" x14ac:dyDescent="0.15">
      <c r="A363" s="1">
        <v>2022</v>
      </c>
      <c r="B363" s="1" t="s">
        <v>55</v>
      </c>
      <c r="C363" s="1">
        <v>4</v>
      </c>
      <c r="D363" s="1">
        <v>9</v>
      </c>
      <c r="E363" s="1"/>
      <c r="F363" s="1" t="s">
        <v>40</v>
      </c>
      <c r="G363" s="1" t="s">
        <v>41</v>
      </c>
      <c r="H363" s="1"/>
      <c r="I363" s="1">
        <v>4</v>
      </c>
      <c r="J363" s="3" t="s">
        <v>40</v>
      </c>
      <c r="K363" s="1" t="s">
        <v>42</v>
      </c>
      <c r="L363" s="1" t="s">
        <v>45</v>
      </c>
      <c r="M363" s="1" t="s">
        <v>45</v>
      </c>
      <c r="N363" s="1" t="s">
        <v>45</v>
      </c>
      <c r="O363" s="1" t="s">
        <v>45</v>
      </c>
      <c r="P363" s="1">
        <v>0.22</v>
      </c>
      <c r="Q363" s="6" t="s">
        <v>45</v>
      </c>
      <c r="R363" s="6" t="s">
        <v>45</v>
      </c>
      <c r="S363" s="6" t="s">
        <v>45</v>
      </c>
      <c r="T363" s="6" t="s">
        <v>45</v>
      </c>
      <c r="U363" s="6" t="s">
        <v>45</v>
      </c>
      <c r="V363" s="1" t="s">
        <v>45</v>
      </c>
      <c r="W363" s="1" t="s">
        <v>45</v>
      </c>
      <c r="X363" s="1" t="s">
        <v>45</v>
      </c>
      <c r="Y363" s="6">
        <f t="shared" si="129"/>
        <v>0.22</v>
      </c>
    </row>
    <row r="364" spans="1:25" x14ac:dyDescent="0.15">
      <c r="A364" s="1">
        <v>2022</v>
      </c>
      <c r="B364" s="1" t="s">
        <v>55</v>
      </c>
      <c r="C364" s="1">
        <v>4</v>
      </c>
      <c r="D364" s="1">
        <v>10</v>
      </c>
      <c r="E364" s="1" t="s">
        <v>35</v>
      </c>
      <c r="F364" s="1" t="s">
        <v>38</v>
      </c>
      <c r="G364" s="1" t="s">
        <v>14</v>
      </c>
      <c r="H364" s="1" t="s">
        <v>35</v>
      </c>
      <c r="I364" s="1">
        <v>4</v>
      </c>
      <c r="J364" s="3" t="s">
        <v>63</v>
      </c>
      <c r="K364" s="1" t="s">
        <v>42</v>
      </c>
      <c r="L364" s="1" t="s">
        <v>45</v>
      </c>
      <c r="M364" s="1" t="s">
        <v>45</v>
      </c>
      <c r="N364" s="1" t="s">
        <v>45</v>
      </c>
      <c r="O364" s="1" t="s">
        <v>45</v>
      </c>
      <c r="P364" s="1">
        <v>0.11</v>
      </c>
      <c r="Q364" s="1" t="s">
        <v>45</v>
      </c>
      <c r="R364" s="1" t="s">
        <v>45</v>
      </c>
      <c r="S364" s="1" t="s">
        <v>45</v>
      </c>
      <c r="T364" s="1" t="s">
        <v>45</v>
      </c>
      <c r="U364" s="1" t="s">
        <v>45</v>
      </c>
      <c r="V364" s="1" t="s">
        <v>45</v>
      </c>
      <c r="W364" s="1" t="s">
        <v>45</v>
      </c>
      <c r="X364" s="1" t="s">
        <v>45</v>
      </c>
      <c r="Y364" s="1" t="s">
        <v>45</v>
      </c>
    </row>
    <row r="365" spans="1:25" x14ac:dyDescent="0.15">
      <c r="A365" s="1">
        <v>2022</v>
      </c>
      <c r="B365" s="1" t="s">
        <v>55</v>
      </c>
      <c r="C365" s="1">
        <v>4</v>
      </c>
      <c r="D365" s="1">
        <v>11</v>
      </c>
      <c r="E365" s="1" t="s">
        <v>35</v>
      </c>
      <c r="F365" s="1" t="s">
        <v>39</v>
      </c>
      <c r="G365" s="1" t="s">
        <v>14</v>
      </c>
      <c r="H365" s="1" t="s">
        <v>35</v>
      </c>
      <c r="I365" s="1">
        <v>4</v>
      </c>
      <c r="J365" s="3" t="s">
        <v>64</v>
      </c>
      <c r="K365" s="1" t="s">
        <v>42</v>
      </c>
      <c r="L365" s="1" t="s">
        <v>45</v>
      </c>
      <c r="M365" s="1" t="s">
        <v>45</v>
      </c>
      <c r="N365" s="1" t="s">
        <v>45</v>
      </c>
      <c r="O365" s="1">
        <v>1.78</v>
      </c>
      <c r="P365" s="1">
        <v>0.11</v>
      </c>
      <c r="Q365" s="6">
        <f>O365/(0.1*O355)</f>
        <v>6.953125</v>
      </c>
      <c r="R365" s="6">
        <f>O365/(0.1*O358)</f>
        <v>8.4360189573459721</v>
      </c>
      <c r="S365" s="6">
        <f>P365/(0.9*P362)</f>
        <v>0.37037037037037029</v>
      </c>
      <c r="T365" s="6">
        <f t="shared" ref="T365:T372" si="130">Q365+S365</f>
        <v>7.3234953703703702</v>
      </c>
      <c r="U365" s="6">
        <f t="shared" ref="U365:U372" si="131">R365+S365</f>
        <v>8.8063893277163423</v>
      </c>
      <c r="V365" s="1">
        <f>O365/O355+P365/P362</f>
        <v>1.0286458333333333</v>
      </c>
      <c r="W365" s="1">
        <f>O365/O358+P365/P362</f>
        <v>1.1769352290679305</v>
      </c>
      <c r="X365" s="1">
        <f t="shared" ref="X365:X372" si="132">100*ROUND(P365/(P365+O365), 2)</f>
        <v>6</v>
      </c>
      <c r="Y365" s="6">
        <f t="shared" ref="Y365:Y372" si="133">O365+P365</f>
        <v>1.8900000000000001</v>
      </c>
    </row>
    <row r="366" spans="1:25" x14ac:dyDescent="0.15">
      <c r="A366" s="1">
        <v>2022</v>
      </c>
      <c r="B366" s="1" t="s">
        <v>55</v>
      </c>
      <c r="C366" s="1">
        <v>4</v>
      </c>
      <c r="D366" s="1">
        <v>12</v>
      </c>
      <c r="E366" s="1" t="s">
        <v>35</v>
      </c>
      <c r="F366" s="1" t="s">
        <v>40</v>
      </c>
      <c r="G366" s="1" t="s">
        <v>14</v>
      </c>
      <c r="H366" s="1" t="s">
        <v>35</v>
      </c>
      <c r="I366" s="1">
        <v>4</v>
      </c>
      <c r="J366" s="3" t="s">
        <v>65</v>
      </c>
      <c r="K366" s="1" t="s">
        <v>42</v>
      </c>
      <c r="L366" s="1" t="s">
        <v>45</v>
      </c>
      <c r="M366" s="1" t="s">
        <v>45</v>
      </c>
      <c r="N366" s="1" t="s">
        <v>45</v>
      </c>
      <c r="O366" s="1">
        <v>1.22</v>
      </c>
      <c r="P366" s="1">
        <v>0.11</v>
      </c>
      <c r="Q366" s="6">
        <f>O366/(0.1*O355)</f>
        <v>4.765625</v>
      </c>
      <c r="R366" s="6">
        <f>O366/(0.1*O358)</f>
        <v>5.781990521327014</v>
      </c>
      <c r="S366" s="6">
        <f>P366/(0.9*P363)</f>
        <v>0.55555555555555558</v>
      </c>
      <c r="T366" s="6">
        <f t="shared" si="130"/>
        <v>5.3211805555555554</v>
      </c>
      <c r="U366" s="6">
        <f t="shared" si="131"/>
        <v>6.3375460768825693</v>
      </c>
      <c r="V366" s="1">
        <f>O366/O355+P366/P363</f>
        <v>0.9765625</v>
      </c>
      <c r="W366" s="1">
        <f>O366/O358+P366/P363</f>
        <v>1.0781990521327014</v>
      </c>
      <c r="X366" s="1">
        <f t="shared" si="132"/>
        <v>8</v>
      </c>
      <c r="Y366" s="6">
        <f t="shared" si="133"/>
        <v>1.33</v>
      </c>
    </row>
    <row r="367" spans="1:25" x14ac:dyDescent="0.15">
      <c r="A367" s="1">
        <v>2022</v>
      </c>
      <c r="B367" s="1" t="s">
        <v>55</v>
      </c>
      <c r="C367" s="1">
        <v>4</v>
      </c>
      <c r="D367" s="1">
        <v>13</v>
      </c>
      <c r="E367" s="1" t="s">
        <v>36</v>
      </c>
      <c r="F367" s="1" t="s">
        <v>38</v>
      </c>
      <c r="G367" s="1" t="s">
        <v>14</v>
      </c>
      <c r="H367" s="1" t="s">
        <v>36</v>
      </c>
      <c r="I367" s="1">
        <v>4</v>
      </c>
      <c r="J367" s="3" t="s">
        <v>66</v>
      </c>
      <c r="K367" s="1" t="s">
        <v>42</v>
      </c>
      <c r="L367" s="1" t="s">
        <v>45</v>
      </c>
      <c r="M367" s="1" t="s">
        <v>45</v>
      </c>
      <c r="N367" s="1" t="s">
        <v>45</v>
      </c>
      <c r="O367" s="1">
        <v>0.78</v>
      </c>
      <c r="P367" s="1">
        <v>0</v>
      </c>
      <c r="Q367" s="6">
        <f>O367/(0.1*O356)</f>
        <v>3.3476394849785409</v>
      </c>
      <c r="R367" s="6">
        <f>O367/(0.1*O359)</f>
        <v>2.8057553956834536</v>
      </c>
      <c r="S367" s="6">
        <f>P367/(0.9*P361)</f>
        <v>0</v>
      </c>
      <c r="T367" s="6">
        <f t="shared" si="130"/>
        <v>3.3476394849785409</v>
      </c>
      <c r="U367" s="6">
        <f t="shared" si="131"/>
        <v>2.8057553956834536</v>
      </c>
      <c r="V367" s="1">
        <f>O367/O356+P367/P361</f>
        <v>0.33476394849785407</v>
      </c>
      <c r="W367" s="1">
        <f>O367/O359+P367/P361</f>
        <v>0.28057553956834536</v>
      </c>
      <c r="X367" s="1">
        <f t="shared" si="132"/>
        <v>0</v>
      </c>
      <c r="Y367" s="6">
        <f t="shared" si="133"/>
        <v>0.78</v>
      </c>
    </row>
    <row r="368" spans="1:25" x14ac:dyDescent="0.15">
      <c r="A368" s="1">
        <v>2022</v>
      </c>
      <c r="B368" s="1" t="s">
        <v>55</v>
      </c>
      <c r="C368" s="1">
        <v>4</v>
      </c>
      <c r="D368" s="1">
        <v>14</v>
      </c>
      <c r="E368" s="1" t="s">
        <v>36</v>
      </c>
      <c r="F368" s="1" t="s">
        <v>39</v>
      </c>
      <c r="G368" s="1" t="s">
        <v>14</v>
      </c>
      <c r="H368" s="1" t="s">
        <v>36</v>
      </c>
      <c r="I368" s="1">
        <v>4</v>
      </c>
      <c r="J368" s="3" t="s">
        <v>67</v>
      </c>
      <c r="K368" s="1" t="s">
        <v>42</v>
      </c>
      <c r="L368" s="1" t="s">
        <v>45</v>
      </c>
      <c r="M368" s="1" t="s">
        <v>45</v>
      </c>
      <c r="N368" s="1" t="s">
        <v>45</v>
      </c>
      <c r="O368" s="1">
        <v>1.33</v>
      </c>
      <c r="P368" s="1">
        <v>0.11</v>
      </c>
      <c r="Q368" s="6">
        <f>O368/(0.1*O356)</f>
        <v>5.7081545064377686</v>
      </c>
      <c r="R368" s="6">
        <f>O368/(0.1*O359)</f>
        <v>4.7841726618705041</v>
      </c>
      <c r="S368" s="6">
        <f>P368/(0.9*P362)</f>
        <v>0.37037037037037029</v>
      </c>
      <c r="T368" s="6">
        <f t="shared" si="130"/>
        <v>6.0785248768081388</v>
      </c>
      <c r="U368" s="6">
        <f t="shared" si="131"/>
        <v>5.1545430322408743</v>
      </c>
      <c r="V368" s="1">
        <f>O368/O356+P368/P362</f>
        <v>0.90414878397711007</v>
      </c>
      <c r="W368" s="1">
        <f>O368/O359+P368/P362</f>
        <v>0.81175059952038375</v>
      </c>
      <c r="X368" s="1">
        <f t="shared" si="132"/>
        <v>8</v>
      </c>
      <c r="Y368" s="6">
        <f t="shared" si="133"/>
        <v>1.4400000000000002</v>
      </c>
    </row>
    <row r="369" spans="1:25" x14ac:dyDescent="0.15">
      <c r="A369" s="1">
        <v>2022</v>
      </c>
      <c r="B369" s="1" t="s">
        <v>55</v>
      </c>
      <c r="C369" s="1">
        <v>4</v>
      </c>
      <c r="D369" s="1">
        <v>15</v>
      </c>
      <c r="E369" s="1" t="s">
        <v>36</v>
      </c>
      <c r="F369" s="1" t="s">
        <v>40</v>
      </c>
      <c r="G369" s="1" t="s">
        <v>14</v>
      </c>
      <c r="H369" s="1" t="s">
        <v>36</v>
      </c>
      <c r="I369" s="1">
        <v>4</v>
      </c>
      <c r="J369" s="3" t="s">
        <v>68</v>
      </c>
      <c r="K369" s="1" t="s">
        <v>42</v>
      </c>
      <c r="L369" s="1" t="s">
        <v>45</v>
      </c>
      <c r="M369" s="1" t="s">
        <v>45</v>
      </c>
      <c r="N369" s="1" t="s">
        <v>45</v>
      </c>
      <c r="O369" s="1">
        <v>1.22</v>
      </c>
      <c r="P369" s="1">
        <v>0.22</v>
      </c>
      <c r="Q369" s="6">
        <f>O369/(0.1*O356)</f>
        <v>5.236051502145922</v>
      </c>
      <c r="R369" s="6">
        <f>O369/(0.1*O359)</f>
        <v>4.3884892086330938</v>
      </c>
      <c r="S369" s="6">
        <f>P369/(0.9*P363)</f>
        <v>1.1111111111111112</v>
      </c>
      <c r="T369" s="6">
        <f t="shared" si="130"/>
        <v>6.3471626132570336</v>
      </c>
      <c r="U369" s="6">
        <f t="shared" si="131"/>
        <v>5.4996003197442054</v>
      </c>
      <c r="V369" s="1">
        <f>O369/O356+P369/P363</f>
        <v>1.5236051502145922</v>
      </c>
      <c r="W369" s="1">
        <f>O369/O359+P369/P363</f>
        <v>1.4388489208633093</v>
      </c>
      <c r="X369" s="1">
        <f t="shared" si="132"/>
        <v>15</v>
      </c>
      <c r="Y369" s="6">
        <f t="shared" si="133"/>
        <v>1.44</v>
      </c>
    </row>
    <row r="370" spans="1:25" x14ac:dyDescent="0.15">
      <c r="A370" s="1">
        <v>2022</v>
      </c>
      <c r="B370" s="1" t="s">
        <v>55</v>
      </c>
      <c r="C370" s="1">
        <v>4</v>
      </c>
      <c r="D370" s="1">
        <v>16</v>
      </c>
      <c r="E370" s="1" t="s">
        <v>37</v>
      </c>
      <c r="F370" s="1" t="s">
        <v>38</v>
      </c>
      <c r="G370" s="1" t="s">
        <v>14</v>
      </c>
      <c r="H370" s="1" t="s">
        <v>37</v>
      </c>
      <c r="I370" s="1">
        <v>4</v>
      </c>
      <c r="J370" s="3" t="s">
        <v>69</v>
      </c>
      <c r="K370" s="1" t="s">
        <v>42</v>
      </c>
      <c r="L370" s="1" t="s">
        <v>45</v>
      </c>
      <c r="M370" s="1" t="s">
        <v>45</v>
      </c>
      <c r="N370" s="1" t="s">
        <v>45</v>
      </c>
      <c r="O370" s="1">
        <v>1.33</v>
      </c>
      <c r="P370" s="1">
        <v>0.11</v>
      </c>
      <c r="Q370" s="6">
        <f>O370/(0.1*O357)</f>
        <v>4.9812734082397006</v>
      </c>
      <c r="R370" s="6">
        <f>O370/(0.1*O360)</f>
        <v>8.5256410256410238</v>
      </c>
      <c r="S370" s="6">
        <f>P370/(0.9*P361)</f>
        <v>0.55555555555555558</v>
      </c>
      <c r="T370" s="6">
        <f t="shared" si="130"/>
        <v>5.5368289637952559</v>
      </c>
      <c r="U370" s="6">
        <f t="shared" si="131"/>
        <v>9.0811965811965791</v>
      </c>
      <c r="V370" s="1">
        <f>O370/O357+P370/P361</f>
        <v>0.99812734082397014</v>
      </c>
      <c r="W370" s="1">
        <f>O370/O360+P370/P361</f>
        <v>1.3525641025641026</v>
      </c>
      <c r="X370" s="1">
        <f t="shared" si="132"/>
        <v>8</v>
      </c>
      <c r="Y370" s="6">
        <f t="shared" si="133"/>
        <v>1.4400000000000002</v>
      </c>
    </row>
    <row r="371" spans="1:25" x14ac:dyDescent="0.15">
      <c r="A371" s="1">
        <v>2022</v>
      </c>
      <c r="B371" s="1" t="s">
        <v>55</v>
      </c>
      <c r="C371" s="1">
        <v>4</v>
      </c>
      <c r="D371" s="1">
        <v>17</v>
      </c>
      <c r="E371" s="1" t="s">
        <v>37</v>
      </c>
      <c r="F371" s="1" t="s">
        <v>39</v>
      </c>
      <c r="G371" s="1" t="s">
        <v>14</v>
      </c>
      <c r="H371" s="1" t="s">
        <v>37</v>
      </c>
      <c r="I371" s="1">
        <v>4</v>
      </c>
      <c r="J371" s="3" t="s">
        <v>70</v>
      </c>
      <c r="K371" s="1" t="s">
        <v>42</v>
      </c>
      <c r="L371" s="1" t="s">
        <v>45</v>
      </c>
      <c r="M371" s="1" t="s">
        <v>45</v>
      </c>
      <c r="N371" s="1" t="s">
        <v>45</v>
      </c>
      <c r="O371" s="1">
        <v>0.78</v>
      </c>
      <c r="P371" s="1">
        <v>0</v>
      </c>
      <c r="Q371" s="6">
        <f>O371/(0.1*O357)</f>
        <v>2.9213483146067416</v>
      </c>
      <c r="R371" s="6">
        <f>O371/(0.1*O360)</f>
        <v>4.9999999999999991</v>
      </c>
      <c r="S371" s="6">
        <f>P371/(0.9*P362)</f>
        <v>0</v>
      </c>
      <c r="T371" s="6">
        <f t="shared" si="130"/>
        <v>2.9213483146067416</v>
      </c>
      <c r="U371" s="6">
        <f t="shared" si="131"/>
        <v>4.9999999999999991</v>
      </c>
      <c r="V371" s="1">
        <f>O371/O357+P371/P362</f>
        <v>0.29213483146067415</v>
      </c>
      <c r="W371" s="1">
        <f>O371/O360+P371/P362</f>
        <v>0.5</v>
      </c>
      <c r="X371" s="1">
        <f t="shared" si="132"/>
        <v>0</v>
      </c>
      <c r="Y371" s="6">
        <f t="shared" si="133"/>
        <v>0.78</v>
      </c>
    </row>
    <row r="372" spans="1:25" x14ac:dyDescent="0.15">
      <c r="A372" s="1">
        <v>2022</v>
      </c>
      <c r="B372" s="1" t="s">
        <v>55</v>
      </c>
      <c r="C372" s="1">
        <v>4</v>
      </c>
      <c r="D372" s="1">
        <v>18</v>
      </c>
      <c r="E372" s="1" t="s">
        <v>37</v>
      </c>
      <c r="F372" s="1" t="s">
        <v>40</v>
      </c>
      <c r="G372" s="1" t="s">
        <v>14</v>
      </c>
      <c r="H372" s="1" t="s">
        <v>37</v>
      </c>
      <c r="I372" s="1">
        <v>4</v>
      </c>
      <c r="J372" s="3" t="s">
        <v>71</v>
      </c>
      <c r="K372" s="1" t="s">
        <v>42</v>
      </c>
      <c r="L372" s="1" t="s">
        <v>45</v>
      </c>
      <c r="M372" s="1" t="s">
        <v>45</v>
      </c>
      <c r="N372" s="1" t="s">
        <v>45</v>
      </c>
      <c r="O372" s="1">
        <v>1</v>
      </c>
      <c r="P372" s="1">
        <v>0.11</v>
      </c>
      <c r="Q372" s="6">
        <f>O372/(0.1*O357)</f>
        <v>3.7453183520599249</v>
      </c>
      <c r="R372" s="6">
        <f>O372/(0.1*O360)</f>
        <v>6.4102564102564088</v>
      </c>
      <c r="S372" s="6">
        <f>P372/(0.9*P363)</f>
        <v>0.55555555555555558</v>
      </c>
      <c r="T372" s="6">
        <f t="shared" si="130"/>
        <v>4.3008739076154807</v>
      </c>
      <c r="U372" s="6">
        <f t="shared" si="131"/>
        <v>6.9658119658119642</v>
      </c>
      <c r="V372" s="1">
        <f>O372/O357+P372/P363</f>
        <v>0.87453183520599254</v>
      </c>
      <c r="W372" s="1">
        <f>O372/O360+P372/P363</f>
        <v>1.141025641025641</v>
      </c>
      <c r="X372" s="1">
        <f t="shared" si="132"/>
        <v>10</v>
      </c>
      <c r="Y372" s="6">
        <f t="shared" si="133"/>
        <v>1.1100000000000001</v>
      </c>
    </row>
    <row r="373" spans="1:25" x14ac:dyDescent="0.15">
      <c r="A373" s="1">
        <v>2023</v>
      </c>
      <c r="B373" s="1" t="s">
        <v>55</v>
      </c>
      <c r="C373" s="1">
        <v>5</v>
      </c>
      <c r="D373" s="1">
        <v>1</v>
      </c>
      <c r="E373" s="1" t="s">
        <v>35</v>
      </c>
      <c r="F373" s="1"/>
      <c r="G373" s="1" t="s">
        <v>41</v>
      </c>
      <c r="H373" s="1" t="s">
        <v>35</v>
      </c>
      <c r="I373" s="1">
        <v>1</v>
      </c>
      <c r="J373" s="3" t="s">
        <v>35</v>
      </c>
      <c r="K373" s="1" t="s">
        <v>42</v>
      </c>
      <c r="L373" s="1" t="s">
        <v>45</v>
      </c>
      <c r="M373" s="1" t="s">
        <v>45</v>
      </c>
      <c r="N373" s="1" t="s">
        <v>45</v>
      </c>
      <c r="O373" s="1">
        <v>3.33</v>
      </c>
      <c r="P373" s="1" t="s">
        <v>45</v>
      </c>
      <c r="Q373" s="6" t="s">
        <v>45</v>
      </c>
      <c r="R373" s="6" t="s">
        <v>45</v>
      </c>
      <c r="S373" s="6" t="s">
        <v>45</v>
      </c>
      <c r="T373" s="6" t="s">
        <v>45</v>
      </c>
      <c r="U373" s="6" t="s">
        <v>45</v>
      </c>
      <c r="V373" s="1" t="s">
        <v>45</v>
      </c>
      <c r="W373" s="1" t="s">
        <v>45</v>
      </c>
      <c r="X373" s="6" t="s">
        <v>45</v>
      </c>
      <c r="Y373" s="6">
        <f>O373</f>
        <v>3.33</v>
      </c>
    </row>
    <row r="374" spans="1:25" x14ac:dyDescent="0.15">
      <c r="A374" s="1">
        <v>2023</v>
      </c>
      <c r="B374" s="1" t="s">
        <v>55</v>
      </c>
      <c r="C374" s="1">
        <v>5</v>
      </c>
      <c r="D374" s="1">
        <v>2</v>
      </c>
      <c r="E374" s="1" t="s">
        <v>36</v>
      </c>
      <c r="F374" s="1"/>
      <c r="G374" s="1" t="s">
        <v>41</v>
      </c>
      <c r="H374" s="1" t="s">
        <v>36</v>
      </c>
      <c r="I374" s="1">
        <v>1</v>
      </c>
      <c r="J374" s="3" t="s">
        <v>36</v>
      </c>
      <c r="K374" s="1" t="s">
        <v>42</v>
      </c>
      <c r="L374" s="1" t="s">
        <v>45</v>
      </c>
      <c r="M374" s="1" t="s">
        <v>45</v>
      </c>
      <c r="N374" s="1" t="s">
        <v>45</v>
      </c>
      <c r="O374" s="1">
        <v>4.5599999999999996</v>
      </c>
      <c r="P374" s="1" t="s">
        <v>45</v>
      </c>
      <c r="Q374" s="6" t="s">
        <v>45</v>
      </c>
      <c r="R374" s="6" t="s">
        <v>45</v>
      </c>
      <c r="S374" s="6" t="s">
        <v>45</v>
      </c>
      <c r="T374" s="6" t="s">
        <v>45</v>
      </c>
      <c r="U374" s="6" t="s">
        <v>45</v>
      </c>
      <c r="V374" s="1" t="s">
        <v>45</v>
      </c>
      <c r="W374" s="1" t="s">
        <v>45</v>
      </c>
      <c r="X374" s="6" t="s">
        <v>45</v>
      </c>
      <c r="Y374" s="6">
        <f t="shared" ref="Y374:Y378" si="134">O374</f>
        <v>4.5599999999999996</v>
      </c>
    </row>
    <row r="375" spans="1:25" x14ac:dyDescent="0.15">
      <c r="A375" s="1">
        <v>2023</v>
      </c>
      <c r="B375" s="1" t="s">
        <v>55</v>
      </c>
      <c r="C375" s="1">
        <v>5</v>
      </c>
      <c r="D375" s="1">
        <v>3</v>
      </c>
      <c r="E375" s="1" t="s">
        <v>37</v>
      </c>
      <c r="F375" s="1"/>
      <c r="G375" s="1" t="s">
        <v>41</v>
      </c>
      <c r="H375" s="1" t="s">
        <v>37</v>
      </c>
      <c r="I375" s="1">
        <v>1</v>
      </c>
      <c r="J375" s="3" t="s">
        <v>37</v>
      </c>
      <c r="K375" s="1" t="s">
        <v>42</v>
      </c>
      <c r="L375" s="1" t="s">
        <v>45</v>
      </c>
      <c r="M375" s="1" t="s">
        <v>45</v>
      </c>
      <c r="N375" s="1" t="s">
        <v>45</v>
      </c>
      <c r="O375" s="1">
        <v>4.22</v>
      </c>
      <c r="P375" s="1" t="s">
        <v>45</v>
      </c>
      <c r="Q375" s="6" t="s">
        <v>45</v>
      </c>
      <c r="R375" s="6" t="s">
        <v>45</v>
      </c>
      <c r="S375" s="6" t="s">
        <v>45</v>
      </c>
      <c r="T375" s="6" t="s">
        <v>45</v>
      </c>
      <c r="U375" s="6" t="s">
        <v>45</v>
      </c>
      <c r="V375" s="1" t="s">
        <v>45</v>
      </c>
      <c r="W375" s="1" t="s">
        <v>45</v>
      </c>
      <c r="X375" s="6" t="s">
        <v>45</v>
      </c>
      <c r="Y375" s="6">
        <f t="shared" si="134"/>
        <v>4.22</v>
      </c>
    </row>
    <row r="376" spans="1:25" x14ac:dyDescent="0.15">
      <c r="A376" s="1">
        <v>2023</v>
      </c>
      <c r="B376" s="1" t="s">
        <v>55</v>
      </c>
      <c r="C376" s="1">
        <v>5</v>
      </c>
      <c r="D376" s="1">
        <v>4</v>
      </c>
      <c r="E376" s="1" t="s">
        <v>35</v>
      </c>
      <c r="F376" s="1"/>
      <c r="G376" s="1" t="s">
        <v>41</v>
      </c>
      <c r="H376" s="1" t="s">
        <v>75</v>
      </c>
      <c r="I376" s="1">
        <v>1</v>
      </c>
      <c r="J376" s="3" t="s">
        <v>35</v>
      </c>
      <c r="K376" s="1" t="s">
        <v>43</v>
      </c>
      <c r="L376" s="1" t="s">
        <v>45</v>
      </c>
      <c r="M376" s="1" t="s">
        <v>45</v>
      </c>
      <c r="N376" s="1" t="s">
        <v>45</v>
      </c>
      <c r="O376" s="1">
        <v>4</v>
      </c>
      <c r="P376" s="1" t="s">
        <v>45</v>
      </c>
      <c r="Q376" s="6" t="s">
        <v>45</v>
      </c>
      <c r="R376" s="6" t="s">
        <v>45</v>
      </c>
      <c r="S376" s="6" t="s">
        <v>45</v>
      </c>
      <c r="T376" s="6" t="s">
        <v>45</v>
      </c>
      <c r="U376" s="6" t="s">
        <v>45</v>
      </c>
      <c r="V376" s="1" t="s">
        <v>45</v>
      </c>
      <c r="W376" s="1" t="s">
        <v>45</v>
      </c>
      <c r="X376" s="1" t="s">
        <v>45</v>
      </c>
      <c r="Y376" s="6">
        <f t="shared" si="134"/>
        <v>4</v>
      </c>
    </row>
    <row r="377" spans="1:25" x14ac:dyDescent="0.15">
      <c r="A377" s="1">
        <v>2023</v>
      </c>
      <c r="B377" s="1" t="s">
        <v>55</v>
      </c>
      <c r="C377" s="1">
        <v>5</v>
      </c>
      <c r="D377" s="1">
        <v>5</v>
      </c>
      <c r="E377" s="1" t="s">
        <v>36</v>
      </c>
      <c r="F377" s="1"/>
      <c r="G377" s="1" t="s">
        <v>41</v>
      </c>
      <c r="H377" s="1" t="s">
        <v>76</v>
      </c>
      <c r="I377" s="1">
        <v>1</v>
      </c>
      <c r="J377" s="3" t="s">
        <v>36</v>
      </c>
      <c r="K377" s="1" t="s">
        <v>43</v>
      </c>
      <c r="L377" s="1" t="s">
        <v>45</v>
      </c>
      <c r="M377" s="1" t="s">
        <v>45</v>
      </c>
      <c r="N377" s="1" t="s">
        <v>45</v>
      </c>
      <c r="O377" s="1">
        <v>4.4400000000000004</v>
      </c>
      <c r="P377" s="1" t="s">
        <v>45</v>
      </c>
      <c r="Q377" s="6" t="s">
        <v>45</v>
      </c>
      <c r="R377" s="6" t="s">
        <v>45</v>
      </c>
      <c r="S377" s="6" t="s">
        <v>45</v>
      </c>
      <c r="T377" s="6" t="s">
        <v>45</v>
      </c>
      <c r="U377" s="6" t="s">
        <v>45</v>
      </c>
      <c r="V377" s="1" t="s">
        <v>45</v>
      </c>
      <c r="W377" s="1" t="s">
        <v>45</v>
      </c>
      <c r="X377" s="1" t="s">
        <v>45</v>
      </c>
      <c r="Y377" s="6">
        <f t="shared" si="134"/>
        <v>4.4400000000000004</v>
      </c>
    </row>
    <row r="378" spans="1:25" x14ac:dyDescent="0.15">
      <c r="A378" s="1">
        <v>2023</v>
      </c>
      <c r="B378" s="1" t="s">
        <v>55</v>
      </c>
      <c r="C378" s="1">
        <v>5</v>
      </c>
      <c r="D378" s="1">
        <v>6</v>
      </c>
      <c r="E378" s="1" t="s">
        <v>37</v>
      </c>
      <c r="F378" s="1"/>
      <c r="G378" s="1" t="s">
        <v>41</v>
      </c>
      <c r="H378" s="1" t="s">
        <v>77</v>
      </c>
      <c r="I378" s="1">
        <v>1</v>
      </c>
      <c r="J378" s="3" t="s">
        <v>37</v>
      </c>
      <c r="K378" s="1" t="s">
        <v>43</v>
      </c>
      <c r="L378" s="1" t="s">
        <v>45</v>
      </c>
      <c r="M378" s="1" t="s">
        <v>45</v>
      </c>
      <c r="N378" s="1" t="s">
        <v>45</v>
      </c>
      <c r="O378" s="1">
        <v>3.56</v>
      </c>
      <c r="P378" s="1" t="s">
        <v>45</v>
      </c>
      <c r="Q378" s="6" t="s">
        <v>45</v>
      </c>
      <c r="R378" s="6" t="s">
        <v>45</v>
      </c>
      <c r="S378" s="6" t="s">
        <v>45</v>
      </c>
      <c r="T378" s="6" t="s">
        <v>45</v>
      </c>
      <c r="U378" s="6" t="s">
        <v>45</v>
      </c>
      <c r="V378" s="1" t="s">
        <v>45</v>
      </c>
      <c r="W378" s="1" t="s">
        <v>45</v>
      </c>
      <c r="X378" s="1" t="s">
        <v>45</v>
      </c>
      <c r="Y378" s="6">
        <f t="shared" si="134"/>
        <v>3.56</v>
      </c>
    </row>
    <row r="379" spans="1:25" x14ac:dyDescent="0.15">
      <c r="A379" s="1">
        <v>2023</v>
      </c>
      <c r="B379" s="1" t="s">
        <v>55</v>
      </c>
      <c r="C379" s="1">
        <v>5</v>
      </c>
      <c r="D379" s="1">
        <v>7</v>
      </c>
      <c r="E379" s="1"/>
      <c r="F379" s="1" t="s">
        <v>38</v>
      </c>
      <c r="G379" s="1" t="s">
        <v>41</v>
      </c>
      <c r="H379" s="1"/>
      <c r="I379" s="1">
        <v>1</v>
      </c>
      <c r="J379" s="3" t="s">
        <v>38</v>
      </c>
      <c r="K379" s="1" t="s">
        <v>42</v>
      </c>
      <c r="L379" s="1" t="s">
        <v>45</v>
      </c>
      <c r="M379" s="1" t="s">
        <v>45</v>
      </c>
      <c r="N379" s="1" t="s">
        <v>45</v>
      </c>
      <c r="O379" s="1" t="s">
        <v>45</v>
      </c>
      <c r="P379" s="1">
        <v>2.2200000000000002</v>
      </c>
      <c r="Q379" s="6" t="s">
        <v>45</v>
      </c>
      <c r="R379" s="6" t="s">
        <v>45</v>
      </c>
      <c r="S379" s="6" t="s">
        <v>45</v>
      </c>
      <c r="T379" s="6" t="s">
        <v>45</v>
      </c>
      <c r="U379" s="6" t="s">
        <v>45</v>
      </c>
      <c r="V379" s="1" t="s">
        <v>45</v>
      </c>
      <c r="W379" s="1" t="s">
        <v>45</v>
      </c>
      <c r="X379" s="1" t="s">
        <v>45</v>
      </c>
      <c r="Y379" s="6">
        <f>P379</f>
        <v>2.2200000000000002</v>
      </c>
    </row>
    <row r="380" spans="1:25" x14ac:dyDescent="0.15">
      <c r="A380" s="1">
        <v>2023</v>
      </c>
      <c r="B380" s="1" t="s">
        <v>55</v>
      </c>
      <c r="C380" s="1">
        <v>5</v>
      </c>
      <c r="D380" s="1">
        <v>8</v>
      </c>
      <c r="E380" s="1"/>
      <c r="F380" s="1" t="s">
        <v>39</v>
      </c>
      <c r="G380" s="1" t="s">
        <v>41</v>
      </c>
      <c r="H380" s="1"/>
      <c r="I380" s="1">
        <v>1</v>
      </c>
      <c r="J380" s="3" t="s">
        <v>39</v>
      </c>
      <c r="K380" s="1" t="s">
        <v>42</v>
      </c>
      <c r="L380" s="1" t="s">
        <v>45</v>
      </c>
      <c r="M380" s="1" t="s">
        <v>45</v>
      </c>
      <c r="N380" s="1" t="s">
        <v>45</v>
      </c>
      <c r="O380" s="1" t="s">
        <v>45</v>
      </c>
      <c r="P380" s="1">
        <v>1.67</v>
      </c>
      <c r="Q380" s="6" t="s">
        <v>45</v>
      </c>
      <c r="R380" s="6" t="s">
        <v>45</v>
      </c>
      <c r="S380" s="6" t="s">
        <v>45</v>
      </c>
      <c r="T380" s="6" t="s">
        <v>45</v>
      </c>
      <c r="U380" s="6" t="s">
        <v>45</v>
      </c>
      <c r="V380" s="1" t="s">
        <v>45</v>
      </c>
      <c r="W380" s="1" t="s">
        <v>45</v>
      </c>
      <c r="X380" s="1" t="s">
        <v>45</v>
      </c>
      <c r="Y380" s="6">
        <f t="shared" ref="Y380:Y381" si="135">P380</f>
        <v>1.67</v>
      </c>
    </row>
    <row r="381" spans="1:25" x14ac:dyDescent="0.15">
      <c r="A381" s="1">
        <v>2023</v>
      </c>
      <c r="B381" s="1" t="s">
        <v>55</v>
      </c>
      <c r="C381" s="1">
        <v>5</v>
      </c>
      <c r="D381" s="1">
        <v>9</v>
      </c>
      <c r="E381" s="1"/>
      <c r="F381" s="1" t="s">
        <v>40</v>
      </c>
      <c r="G381" s="1" t="s">
        <v>41</v>
      </c>
      <c r="H381" s="1"/>
      <c r="I381" s="1">
        <v>1</v>
      </c>
      <c r="J381" s="3" t="s">
        <v>40</v>
      </c>
      <c r="K381" s="1" t="s">
        <v>42</v>
      </c>
      <c r="L381" s="1" t="s">
        <v>45</v>
      </c>
      <c r="M381" s="1" t="s">
        <v>45</v>
      </c>
      <c r="N381" s="1" t="s">
        <v>45</v>
      </c>
      <c r="O381" s="1" t="s">
        <v>45</v>
      </c>
      <c r="P381" s="1">
        <v>1.67</v>
      </c>
      <c r="Q381" s="6" t="s">
        <v>45</v>
      </c>
      <c r="R381" s="6" t="s">
        <v>45</v>
      </c>
      <c r="S381" s="6" t="s">
        <v>45</v>
      </c>
      <c r="T381" s="6" t="s">
        <v>45</v>
      </c>
      <c r="U381" s="6" t="s">
        <v>45</v>
      </c>
      <c r="V381" s="1" t="s">
        <v>45</v>
      </c>
      <c r="W381" s="1" t="s">
        <v>45</v>
      </c>
      <c r="X381" s="1" t="s">
        <v>45</v>
      </c>
      <c r="Y381" s="6">
        <f t="shared" si="135"/>
        <v>1.67</v>
      </c>
    </row>
    <row r="382" spans="1:25" x14ac:dyDescent="0.15">
      <c r="A382" s="1">
        <v>2023</v>
      </c>
      <c r="B382" s="1" t="s">
        <v>55</v>
      </c>
      <c r="C382" s="1">
        <v>5</v>
      </c>
      <c r="D382" s="1">
        <v>10</v>
      </c>
      <c r="E382" s="1" t="s">
        <v>35</v>
      </c>
      <c r="F382" s="1" t="s">
        <v>38</v>
      </c>
      <c r="G382" s="1" t="s">
        <v>14</v>
      </c>
      <c r="H382" s="1" t="s">
        <v>35</v>
      </c>
      <c r="I382" s="1">
        <v>1</v>
      </c>
      <c r="J382" s="3" t="s">
        <v>63</v>
      </c>
      <c r="K382" s="1" t="s">
        <v>42</v>
      </c>
      <c r="L382" s="1" t="s">
        <v>45</v>
      </c>
      <c r="M382" s="1" t="s">
        <v>45</v>
      </c>
      <c r="N382" s="1" t="s">
        <v>45</v>
      </c>
      <c r="O382" s="1">
        <v>0.78</v>
      </c>
      <c r="P382" s="1">
        <v>1.89</v>
      </c>
      <c r="Q382" s="6">
        <f>O382/(0.1*O373)</f>
        <v>2.3423423423423424</v>
      </c>
      <c r="R382" s="6">
        <f>O382/(0.1*O376)</f>
        <v>1.95</v>
      </c>
      <c r="S382" s="6">
        <f>P382/(0.9*P379)</f>
        <v>0.94594594594594583</v>
      </c>
      <c r="T382" s="6">
        <f>Q382+S382</f>
        <v>3.288288288288288</v>
      </c>
      <c r="U382" s="6">
        <f>R382+S382</f>
        <v>2.8959459459459458</v>
      </c>
      <c r="V382" s="1">
        <f>O382/O373+P382/P379</f>
        <v>1.0855855855855854</v>
      </c>
      <c r="W382" s="1">
        <f>O382/O376+P382/P379</f>
        <v>1.0463513513513512</v>
      </c>
      <c r="X382" s="1">
        <f t="shared" ref="X382:X390" si="136">100*ROUND(P382/(P382+O382), 2)</f>
        <v>71</v>
      </c>
      <c r="Y382" s="6">
        <f>O382+P382</f>
        <v>2.67</v>
      </c>
    </row>
    <row r="383" spans="1:25" x14ac:dyDescent="0.15">
      <c r="A383" s="1">
        <v>2023</v>
      </c>
      <c r="B383" s="1" t="s">
        <v>55</v>
      </c>
      <c r="C383" s="1">
        <v>5</v>
      </c>
      <c r="D383" s="1">
        <v>11</v>
      </c>
      <c r="E383" s="1" t="s">
        <v>35</v>
      </c>
      <c r="F383" s="1" t="s">
        <v>39</v>
      </c>
      <c r="G383" s="1" t="s">
        <v>14</v>
      </c>
      <c r="H383" s="1" t="s">
        <v>35</v>
      </c>
      <c r="I383" s="1">
        <v>1</v>
      </c>
      <c r="J383" s="3" t="s">
        <v>64</v>
      </c>
      <c r="K383" s="1" t="s">
        <v>42</v>
      </c>
      <c r="L383" s="1" t="s">
        <v>45</v>
      </c>
      <c r="M383" s="1" t="s">
        <v>45</v>
      </c>
      <c r="N383" s="1" t="s">
        <v>45</v>
      </c>
      <c r="O383" s="1">
        <v>0.78</v>
      </c>
      <c r="P383" s="1">
        <v>1.67</v>
      </c>
      <c r="Q383" s="6">
        <f>O383/(0.1*O373)</f>
        <v>2.3423423423423424</v>
      </c>
      <c r="R383" s="6">
        <f>O383/(0.1*O376)</f>
        <v>1.95</v>
      </c>
      <c r="S383" s="6">
        <f>P383/(0.9*P380)</f>
        <v>1.1111111111111112</v>
      </c>
      <c r="T383" s="6">
        <f t="shared" ref="T383:T390" si="137">Q383+S383</f>
        <v>3.4534534534534536</v>
      </c>
      <c r="U383" s="6">
        <f t="shared" ref="U383:U390" si="138">R383+S383</f>
        <v>3.0611111111111109</v>
      </c>
      <c r="V383" s="1">
        <f>O383/O373+P383/P380</f>
        <v>1.2342342342342343</v>
      </c>
      <c r="W383" s="1">
        <f>O383/O376+P383/P380</f>
        <v>1.1950000000000001</v>
      </c>
      <c r="X383" s="1">
        <f t="shared" si="136"/>
        <v>68</v>
      </c>
      <c r="Y383" s="6">
        <f t="shared" ref="Y383:Y390" si="139">O383+P383</f>
        <v>2.4500000000000002</v>
      </c>
    </row>
    <row r="384" spans="1:25" x14ac:dyDescent="0.15">
      <c r="A384" s="1">
        <v>2023</v>
      </c>
      <c r="B384" s="1" t="s">
        <v>55</v>
      </c>
      <c r="C384" s="1">
        <v>5</v>
      </c>
      <c r="D384" s="1">
        <v>12</v>
      </c>
      <c r="E384" s="1" t="s">
        <v>35</v>
      </c>
      <c r="F384" s="1" t="s">
        <v>40</v>
      </c>
      <c r="G384" s="1" t="s">
        <v>14</v>
      </c>
      <c r="H384" s="1" t="s">
        <v>35</v>
      </c>
      <c r="I384" s="1">
        <v>1</v>
      </c>
      <c r="J384" s="3" t="s">
        <v>65</v>
      </c>
      <c r="K384" s="1" t="s">
        <v>42</v>
      </c>
      <c r="L384" s="1" t="s">
        <v>45</v>
      </c>
      <c r="M384" s="1" t="s">
        <v>45</v>
      </c>
      <c r="N384" s="1" t="s">
        <v>45</v>
      </c>
      <c r="O384" s="1">
        <v>1</v>
      </c>
      <c r="P384" s="1">
        <v>1.78</v>
      </c>
      <c r="Q384" s="6">
        <f>O384/(0.1*O373)</f>
        <v>3.0030030030030028</v>
      </c>
      <c r="R384" s="6">
        <f>O384/(0.1*O376)</f>
        <v>2.5</v>
      </c>
      <c r="S384" s="6">
        <f>P384/(0.9*P381)</f>
        <v>1.1842980705256156</v>
      </c>
      <c r="T384" s="6">
        <f t="shared" si="137"/>
        <v>4.1873010735286185</v>
      </c>
      <c r="U384" s="6">
        <f t="shared" si="138"/>
        <v>3.6842980705256156</v>
      </c>
      <c r="V384" s="1">
        <f>O384/O373+P384/P381</f>
        <v>1.3661685637733543</v>
      </c>
      <c r="W384" s="1">
        <f>O384/O376+P384/P381</f>
        <v>1.3158682634730539</v>
      </c>
      <c r="X384" s="1">
        <f t="shared" si="136"/>
        <v>64</v>
      </c>
      <c r="Y384" s="6">
        <f t="shared" si="139"/>
        <v>2.7800000000000002</v>
      </c>
    </row>
    <row r="385" spans="1:25" x14ac:dyDescent="0.15">
      <c r="A385" s="1">
        <v>2023</v>
      </c>
      <c r="B385" s="1" t="s">
        <v>55</v>
      </c>
      <c r="C385" s="1">
        <v>5</v>
      </c>
      <c r="D385" s="1">
        <v>13</v>
      </c>
      <c r="E385" s="1" t="s">
        <v>36</v>
      </c>
      <c r="F385" s="1" t="s">
        <v>38</v>
      </c>
      <c r="G385" s="1" t="s">
        <v>14</v>
      </c>
      <c r="H385" s="1" t="s">
        <v>36</v>
      </c>
      <c r="I385" s="1">
        <v>1</v>
      </c>
      <c r="J385" s="3" t="s">
        <v>66</v>
      </c>
      <c r="K385" s="1" t="s">
        <v>42</v>
      </c>
      <c r="L385" s="1" t="s">
        <v>45</v>
      </c>
      <c r="M385" s="1" t="s">
        <v>45</v>
      </c>
      <c r="N385" s="1" t="s">
        <v>45</v>
      </c>
      <c r="O385" s="1">
        <v>1.33</v>
      </c>
      <c r="P385" s="1">
        <v>2.11</v>
      </c>
      <c r="Q385" s="6">
        <f>O385/(0.1*O374)</f>
        <v>2.916666666666667</v>
      </c>
      <c r="R385" s="6">
        <f>O385/(0.1*O377)</f>
        <v>2.9954954954954953</v>
      </c>
      <c r="S385" s="6">
        <f>P385/(0.9*P379)</f>
        <v>1.0560560560560559</v>
      </c>
      <c r="T385" s="6">
        <f t="shared" si="137"/>
        <v>3.9727227227227226</v>
      </c>
      <c r="U385" s="6">
        <f t="shared" si="138"/>
        <v>4.051551551551551</v>
      </c>
      <c r="V385" s="1">
        <f>O385/O374+P385/P379</f>
        <v>1.242117117117117</v>
      </c>
      <c r="W385" s="1">
        <f>O385/O377+P385/P379</f>
        <v>1.2499999999999998</v>
      </c>
      <c r="X385" s="1">
        <f t="shared" si="136"/>
        <v>61</v>
      </c>
      <c r="Y385" s="6">
        <f t="shared" si="139"/>
        <v>3.44</v>
      </c>
    </row>
    <row r="386" spans="1:25" x14ac:dyDescent="0.15">
      <c r="A386" s="1">
        <v>2023</v>
      </c>
      <c r="B386" s="1" t="s">
        <v>55</v>
      </c>
      <c r="C386" s="1">
        <v>5</v>
      </c>
      <c r="D386" s="1">
        <v>14</v>
      </c>
      <c r="E386" s="1" t="s">
        <v>36</v>
      </c>
      <c r="F386" s="1" t="s">
        <v>39</v>
      </c>
      <c r="G386" s="1" t="s">
        <v>14</v>
      </c>
      <c r="H386" s="1" t="s">
        <v>36</v>
      </c>
      <c r="I386" s="1">
        <v>1</v>
      </c>
      <c r="J386" s="3" t="s">
        <v>67</v>
      </c>
      <c r="K386" s="1" t="s">
        <v>42</v>
      </c>
      <c r="L386" s="1" t="s">
        <v>45</v>
      </c>
      <c r="M386" s="1" t="s">
        <v>45</v>
      </c>
      <c r="N386" s="1" t="s">
        <v>45</v>
      </c>
      <c r="O386" s="1">
        <v>1.22</v>
      </c>
      <c r="P386" s="1">
        <v>1.1100000000000001</v>
      </c>
      <c r="Q386" s="6">
        <f>O386/(0.1*O374)</f>
        <v>2.6754385964912282</v>
      </c>
      <c r="R386" s="6">
        <f>O386/(0.1*O377)</f>
        <v>2.7477477477477472</v>
      </c>
      <c r="S386" s="6">
        <f>P386/(0.9*P380)</f>
        <v>0.73852295409181645</v>
      </c>
      <c r="T386" s="6">
        <f t="shared" si="137"/>
        <v>3.4139615505830445</v>
      </c>
      <c r="U386" s="6">
        <f t="shared" si="138"/>
        <v>3.4862707018395636</v>
      </c>
      <c r="V386" s="1">
        <f>O386/O374+P386/P380</f>
        <v>0.93221451833175761</v>
      </c>
      <c r="W386" s="1">
        <f>O386/O377+P386/P380</f>
        <v>0.93944543345740961</v>
      </c>
      <c r="X386" s="1">
        <f t="shared" si="136"/>
        <v>48</v>
      </c>
      <c r="Y386" s="6">
        <f t="shared" si="139"/>
        <v>2.33</v>
      </c>
    </row>
    <row r="387" spans="1:25" x14ac:dyDescent="0.15">
      <c r="A387" s="1">
        <v>2023</v>
      </c>
      <c r="B387" s="1" t="s">
        <v>55</v>
      </c>
      <c r="C387" s="1">
        <v>5</v>
      </c>
      <c r="D387" s="1">
        <v>15</v>
      </c>
      <c r="E387" s="1" t="s">
        <v>36</v>
      </c>
      <c r="F387" s="1" t="s">
        <v>40</v>
      </c>
      <c r="G387" s="1" t="s">
        <v>14</v>
      </c>
      <c r="H387" s="1" t="s">
        <v>36</v>
      </c>
      <c r="I387" s="1">
        <v>1</v>
      </c>
      <c r="J387" s="3" t="s">
        <v>68</v>
      </c>
      <c r="K387" s="1" t="s">
        <v>42</v>
      </c>
      <c r="L387" s="1" t="s">
        <v>45</v>
      </c>
      <c r="M387" s="1" t="s">
        <v>45</v>
      </c>
      <c r="N387" s="1" t="s">
        <v>45</v>
      </c>
      <c r="O387" s="1">
        <v>1.33</v>
      </c>
      <c r="P387" s="1">
        <v>1.22</v>
      </c>
      <c r="Q387" s="6">
        <f>O387/(0.1*O374)</f>
        <v>2.916666666666667</v>
      </c>
      <c r="R387" s="6">
        <f>O387/(0.1*O377)</f>
        <v>2.9954954954954953</v>
      </c>
      <c r="S387" s="6">
        <f>P387/(0.9*P381)</f>
        <v>0.81170991350632071</v>
      </c>
      <c r="T387" s="6">
        <f t="shared" si="137"/>
        <v>3.7283765801729878</v>
      </c>
      <c r="U387" s="6">
        <f t="shared" si="138"/>
        <v>3.8072054090018161</v>
      </c>
      <c r="V387" s="1">
        <f>O387/O374+P387/P381</f>
        <v>1.0222055888223553</v>
      </c>
      <c r="W387" s="1">
        <f>O387/O377+P387/P381</f>
        <v>1.0300884717052381</v>
      </c>
      <c r="X387" s="1">
        <f t="shared" si="136"/>
        <v>48</v>
      </c>
      <c r="Y387" s="6">
        <f t="shared" si="139"/>
        <v>2.5499999999999998</v>
      </c>
    </row>
    <row r="388" spans="1:25" x14ac:dyDescent="0.15">
      <c r="A388" s="1">
        <v>2023</v>
      </c>
      <c r="B388" s="1" t="s">
        <v>55</v>
      </c>
      <c r="C388" s="1">
        <v>5</v>
      </c>
      <c r="D388" s="1">
        <v>16</v>
      </c>
      <c r="E388" s="1" t="s">
        <v>37</v>
      </c>
      <c r="F388" s="1" t="s">
        <v>38</v>
      </c>
      <c r="G388" s="1" t="s">
        <v>14</v>
      </c>
      <c r="H388" s="1" t="s">
        <v>37</v>
      </c>
      <c r="I388" s="1">
        <v>1</v>
      </c>
      <c r="J388" s="3" t="s">
        <v>69</v>
      </c>
      <c r="K388" s="1" t="s">
        <v>42</v>
      </c>
      <c r="L388" s="1" t="s">
        <v>45</v>
      </c>
      <c r="M388" s="1" t="s">
        <v>45</v>
      </c>
      <c r="N388" s="1" t="s">
        <v>45</v>
      </c>
      <c r="O388" s="1">
        <v>0.78</v>
      </c>
      <c r="P388" s="1">
        <v>2.11</v>
      </c>
      <c r="Q388" s="6">
        <f>O388/(0.1*O375)</f>
        <v>1.8483412322274884</v>
      </c>
      <c r="R388" s="6">
        <f>O388/(0.1*O378)</f>
        <v>2.191011235955056</v>
      </c>
      <c r="S388" s="6">
        <f>P388/(0.9*P379)</f>
        <v>1.0560560560560559</v>
      </c>
      <c r="T388" s="6">
        <f t="shared" si="137"/>
        <v>2.904397288283544</v>
      </c>
      <c r="U388" s="6">
        <f t="shared" si="138"/>
        <v>3.2470672920111117</v>
      </c>
      <c r="V388" s="1">
        <f>O388/O375+P388/P379</f>
        <v>1.1352845736731991</v>
      </c>
      <c r="W388" s="1">
        <f>O388/O378+P388/P379</f>
        <v>1.1695515740459559</v>
      </c>
      <c r="X388" s="1">
        <f t="shared" si="136"/>
        <v>73</v>
      </c>
      <c r="Y388" s="6">
        <f t="shared" si="139"/>
        <v>2.8899999999999997</v>
      </c>
    </row>
    <row r="389" spans="1:25" x14ac:dyDescent="0.15">
      <c r="A389" s="1">
        <v>2023</v>
      </c>
      <c r="B389" s="1" t="s">
        <v>55</v>
      </c>
      <c r="C389" s="1">
        <v>5</v>
      </c>
      <c r="D389" s="1">
        <v>17</v>
      </c>
      <c r="E389" s="1" t="s">
        <v>37</v>
      </c>
      <c r="F389" s="1" t="s">
        <v>39</v>
      </c>
      <c r="G389" s="1" t="s">
        <v>14</v>
      </c>
      <c r="H389" s="1" t="s">
        <v>37</v>
      </c>
      <c r="I389" s="1">
        <v>1</v>
      </c>
      <c r="J389" s="3" t="s">
        <v>70</v>
      </c>
      <c r="K389" s="1" t="s">
        <v>42</v>
      </c>
      <c r="L389" s="1" t="s">
        <v>45</v>
      </c>
      <c r="M389" s="1" t="s">
        <v>45</v>
      </c>
      <c r="N389" s="1" t="s">
        <v>45</v>
      </c>
      <c r="O389" s="1">
        <v>1</v>
      </c>
      <c r="P389" s="1">
        <v>1.33</v>
      </c>
      <c r="Q389" s="6">
        <f>O389/(0.1*O375)</f>
        <v>2.3696682464454977</v>
      </c>
      <c r="R389" s="6">
        <f>O389/(0.1*O378)</f>
        <v>2.8089887640449436</v>
      </c>
      <c r="S389" s="6">
        <f>P389/(0.9*P380)</f>
        <v>0.88489687292082508</v>
      </c>
      <c r="T389" s="6">
        <f t="shared" si="137"/>
        <v>3.2545651193663225</v>
      </c>
      <c r="U389" s="6">
        <f t="shared" si="138"/>
        <v>3.6938856369657689</v>
      </c>
      <c r="V389" s="1">
        <f>O389/O375+P389/P380</f>
        <v>1.0333740102732922</v>
      </c>
      <c r="W389" s="1">
        <f>O389/O378+P389/P380</f>
        <v>1.0773060620332369</v>
      </c>
      <c r="X389" s="1">
        <f t="shared" si="136"/>
        <v>56.999999999999993</v>
      </c>
      <c r="Y389" s="6">
        <f t="shared" si="139"/>
        <v>2.33</v>
      </c>
    </row>
    <row r="390" spans="1:25" x14ac:dyDescent="0.15">
      <c r="A390" s="1">
        <v>2023</v>
      </c>
      <c r="B390" s="1" t="s">
        <v>55</v>
      </c>
      <c r="C390" s="1">
        <v>5</v>
      </c>
      <c r="D390" s="1">
        <v>18</v>
      </c>
      <c r="E390" s="1" t="s">
        <v>37</v>
      </c>
      <c r="F390" s="1" t="s">
        <v>40</v>
      </c>
      <c r="G390" s="1" t="s">
        <v>14</v>
      </c>
      <c r="H390" s="1" t="s">
        <v>37</v>
      </c>
      <c r="I390" s="1">
        <v>1</v>
      </c>
      <c r="J390" s="3" t="s">
        <v>71</v>
      </c>
      <c r="K390" s="1" t="s">
        <v>42</v>
      </c>
      <c r="L390" s="1" t="s">
        <v>45</v>
      </c>
      <c r="M390" s="1" t="s">
        <v>45</v>
      </c>
      <c r="N390" s="1" t="s">
        <v>45</v>
      </c>
      <c r="O390" s="1">
        <v>1</v>
      </c>
      <c r="P390" s="1">
        <v>1.67</v>
      </c>
      <c r="Q390" s="6">
        <f>O390/(0.1*O375)</f>
        <v>2.3696682464454977</v>
      </c>
      <c r="R390" s="6">
        <f>O390/(0.1*O378)</f>
        <v>2.8089887640449436</v>
      </c>
      <c r="S390" s="6">
        <f>P390/(0.9*P381)</f>
        <v>1.1111111111111112</v>
      </c>
      <c r="T390" s="6">
        <f t="shared" si="137"/>
        <v>3.4807793575566088</v>
      </c>
      <c r="U390" s="6">
        <f t="shared" si="138"/>
        <v>3.9200998751560547</v>
      </c>
      <c r="V390" s="1">
        <f>O390/O375+P390/P381</f>
        <v>1.2369668246445498</v>
      </c>
      <c r="W390" s="1">
        <f>O390/O378+P390/P381</f>
        <v>1.2808988764044944</v>
      </c>
      <c r="X390" s="1">
        <f t="shared" si="136"/>
        <v>63</v>
      </c>
      <c r="Y390" s="6">
        <f t="shared" si="139"/>
        <v>2.67</v>
      </c>
    </row>
    <row r="391" spans="1:25" x14ac:dyDescent="0.15">
      <c r="A391" s="1">
        <v>2023</v>
      </c>
      <c r="B391" s="1" t="s">
        <v>55</v>
      </c>
      <c r="C391" s="1">
        <v>6</v>
      </c>
      <c r="D391" s="1">
        <v>1</v>
      </c>
      <c r="E391" s="1" t="s">
        <v>35</v>
      </c>
      <c r="F391" s="1"/>
      <c r="G391" s="1" t="s">
        <v>41</v>
      </c>
      <c r="H391" s="1" t="s">
        <v>35</v>
      </c>
      <c r="I391" s="1">
        <v>2</v>
      </c>
      <c r="J391" s="3" t="s">
        <v>35</v>
      </c>
      <c r="K391" s="1" t="s">
        <v>42</v>
      </c>
      <c r="L391" s="1" t="s">
        <v>45</v>
      </c>
      <c r="M391" s="1" t="s">
        <v>45</v>
      </c>
      <c r="N391" s="1" t="s">
        <v>45</v>
      </c>
      <c r="O391" s="1">
        <v>3.56</v>
      </c>
      <c r="P391" s="1" t="s">
        <v>45</v>
      </c>
      <c r="Q391" s="6" t="s">
        <v>45</v>
      </c>
      <c r="R391" s="6" t="s">
        <v>45</v>
      </c>
      <c r="S391" s="6" t="s">
        <v>45</v>
      </c>
      <c r="T391" s="6" t="s">
        <v>45</v>
      </c>
      <c r="U391" s="6" t="s">
        <v>45</v>
      </c>
      <c r="V391" s="1" t="s">
        <v>45</v>
      </c>
      <c r="W391" s="1" t="s">
        <v>45</v>
      </c>
      <c r="X391" s="6" t="s">
        <v>45</v>
      </c>
      <c r="Y391" s="6">
        <f>O391</f>
        <v>3.56</v>
      </c>
    </row>
    <row r="392" spans="1:25" x14ac:dyDescent="0.15">
      <c r="A392" s="1">
        <v>2023</v>
      </c>
      <c r="B392" s="1" t="s">
        <v>55</v>
      </c>
      <c r="C392" s="1">
        <v>6</v>
      </c>
      <c r="D392" s="1">
        <v>2</v>
      </c>
      <c r="E392" s="1" t="s">
        <v>36</v>
      </c>
      <c r="F392" s="1"/>
      <c r="G392" s="1" t="s">
        <v>41</v>
      </c>
      <c r="H392" s="1" t="s">
        <v>36</v>
      </c>
      <c r="I392" s="1">
        <v>2</v>
      </c>
      <c r="J392" s="3" t="s">
        <v>36</v>
      </c>
      <c r="K392" s="1" t="s">
        <v>42</v>
      </c>
      <c r="L392" s="1" t="s">
        <v>45</v>
      </c>
      <c r="M392" s="1" t="s">
        <v>45</v>
      </c>
      <c r="N392" s="1" t="s">
        <v>45</v>
      </c>
      <c r="O392" s="1">
        <v>4.5599999999999996</v>
      </c>
      <c r="P392" s="1" t="s">
        <v>45</v>
      </c>
      <c r="Q392" s="6" t="s">
        <v>45</v>
      </c>
      <c r="R392" s="6" t="s">
        <v>45</v>
      </c>
      <c r="S392" s="6" t="s">
        <v>45</v>
      </c>
      <c r="T392" s="6" t="s">
        <v>45</v>
      </c>
      <c r="U392" s="6" t="s">
        <v>45</v>
      </c>
      <c r="V392" s="1" t="s">
        <v>45</v>
      </c>
      <c r="W392" s="1" t="s">
        <v>45</v>
      </c>
      <c r="X392" s="6" t="s">
        <v>45</v>
      </c>
      <c r="Y392" s="6">
        <f t="shared" ref="Y392:Y396" si="140">O392</f>
        <v>4.5599999999999996</v>
      </c>
    </row>
    <row r="393" spans="1:25" x14ac:dyDescent="0.15">
      <c r="A393" s="1">
        <v>2023</v>
      </c>
      <c r="B393" s="1" t="s">
        <v>55</v>
      </c>
      <c r="C393" s="1">
        <v>6</v>
      </c>
      <c r="D393" s="1">
        <v>3</v>
      </c>
      <c r="E393" s="1" t="s">
        <v>37</v>
      </c>
      <c r="F393" s="1"/>
      <c r="G393" s="1" t="s">
        <v>41</v>
      </c>
      <c r="H393" s="1" t="s">
        <v>37</v>
      </c>
      <c r="I393" s="1">
        <v>2</v>
      </c>
      <c r="J393" s="3" t="s">
        <v>37</v>
      </c>
      <c r="K393" s="1" t="s">
        <v>42</v>
      </c>
      <c r="L393" s="1" t="s">
        <v>45</v>
      </c>
      <c r="M393" s="1" t="s">
        <v>45</v>
      </c>
      <c r="N393" s="1" t="s">
        <v>45</v>
      </c>
      <c r="O393" s="1">
        <v>4.1100000000000003</v>
      </c>
      <c r="P393" s="1" t="s">
        <v>45</v>
      </c>
      <c r="Q393" s="6" t="s">
        <v>45</v>
      </c>
      <c r="R393" s="6" t="s">
        <v>45</v>
      </c>
      <c r="S393" s="6" t="s">
        <v>45</v>
      </c>
      <c r="T393" s="6" t="s">
        <v>45</v>
      </c>
      <c r="U393" s="6" t="s">
        <v>45</v>
      </c>
      <c r="V393" s="1" t="s">
        <v>45</v>
      </c>
      <c r="W393" s="1" t="s">
        <v>45</v>
      </c>
      <c r="X393" s="6" t="s">
        <v>45</v>
      </c>
      <c r="Y393" s="6">
        <f t="shared" si="140"/>
        <v>4.1100000000000003</v>
      </c>
    </row>
    <row r="394" spans="1:25" x14ac:dyDescent="0.15">
      <c r="A394" s="1">
        <v>2023</v>
      </c>
      <c r="B394" s="1" t="s">
        <v>55</v>
      </c>
      <c r="C394" s="1">
        <v>6</v>
      </c>
      <c r="D394" s="1">
        <v>4</v>
      </c>
      <c r="E394" s="1" t="s">
        <v>35</v>
      </c>
      <c r="F394" s="1"/>
      <c r="G394" s="1" t="s">
        <v>41</v>
      </c>
      <c r="H394" s="1" t="s">
        <v>75</v>
      </c>
      <c r="I394" s="1">
        <v>2</v>
      </c>
      <c r="J394" s="3" t="s">
        <v>35</v>
      </c>
      <c r="K394" s="1" t="s">
        <v>43</v>
      </c>
      <c r="L394" s="1" t="s">
        <v>45</v>
      </c>
      <c r="M394" s="1" t="s">
        <v>45</v>
      </c>
      <c r="N394" s="1" t="s">
        <v>45</v>
      </c>
      <c r="O394" s="1">
        <v>3.78</v>
      </c>
      <c r="P394" s="1" t="s">
        <v>45</v>
      </c>
      <c r="Q394" s="6" t="s">
        <v>45</v>
      </c>
      <c r="R394" s="6" t="s">
        <v>45</v>
      </c>
      <c r="S394" s="6" t="s">
        <v>45</v>
      </c>
      <c r="T394" s="6" t="s">
        <v>45</v>
      </c>
      <c r="U394" s="6" t="s">
        <v>45</v>
      </c>
      <c r="V394" s="1" t="s">
        <v>45</v>
      </c>
      <c r="W394" s="1" t="s">
        <v>45</v>
      </c>
      <c r="X394" s="1" t="s">
        <v>45</v>
      </c>
      <c r="Y394" s="6">
        <f t="shared" si="140"/>
        <v>3.78</v>
      </c>
    </row>
    <row r="395" spans="1:25" x14ac:dyDescent="0.15">
      <c r="A395" s="1">
        <v>2023</v>
      </c>
      <c r="B395" s="1" t="s">
        <v>55</v>
      </c>
      <c r="C395" s="1">
        <v>6</v>
      </c>
      <c r="D395" s="1">
        <v>5</v>
      </c>
      <c r="E395" s="1" t="s">
        <v>36</v>
      </c>
      <c r="F395" s="1"/>
      <c r="G395" s="1" t="s">
        <v>41</v>
      </c>
      <c r="H395" s="1" t="s">
        <v>76</v>
      </c>
      <c r="I395" s="1">
        <v>2</v>
      </c>
      <c r="J395" s="3" t="s">
        <v>36</v>
      </c>
      <c r="K395" s="1" t="s">
        <v>43</v>
      </c>
      <c r="L395" s="1" t="s">
        <v>45</v>
      </c>
      <c r="M395" s="1" t="s">
        <v>45</v>
      </c>
      <c r="N395" s="1" t="s">
        <v>45</v>
      </c>
      <c r="O395" s="1">
        <v>5.1100000000000003</v>
      </c>
      <c r="P395" s="1" t="s">
        <v>45</v>
      </c>
      <c r="Q395" s="6" t="s">
        <v>45</v>
      </c>
      <c r="R395" s="6" t="s">
        <v>45</v>
      </c>
      <c r="S395" s="6" t="s">
        <v>45</v>
      </c>
      <c r="T395" s="6" t="s">
        <v>45</v>
      </c>
      <c r="U395" s="6" t="s">
        <v>45</v>
      </c>
      <c r="V395" s="1" t="s">
        <v>45</v>
      </c>
      <c r="W395" s="1" t="s">
        <v>45</v>
      </c>
      <c r="X395" s="1" t="s">
        <v>45</v>
      </c>
      <c r="Y395" s="6">
        <f t="shared" si="140"/>
        <v>5.1100000000000003</v>
      </c>
    </row>
    <row r="396" spans="1:25" x14ac:dyDescent="0.15">
      <c r="A396" s="1">
        <v>2023</v>
      </c>
      <c r="B396" s="1" t="s">
        <v>55</v>
      </c>
      <c r="C396" s="1">
        <v>6</v>
      </c>
      <c r="D396" s="1">
        <v>6</v>
      </c>
      <c r="E396" s="1" t="s">
        <v>37</v>
      </c>
      <c r="F396" s="1"/>
      <c r="G396" s="1" t="s">
        <v>41</v>
      </c>
      <c r="H396" s="1" t="s">
        <v>77</v>
      </c>
      <c r="I396" s="1">
        <v>2</v>
      </c>
      <c r="J396" s="3" t="s">
        <v>37</v>
      </c>
      <c r="K396" s="1" t="s">
        <v>43</v>
      </c>
      <c r="L396" s="1" t="s">
        <v>45</v>
      </c>
      <c r="M396" s="1" t="s">
        <v>45</v>
      </c>
      <c r="N396" s="1" t="s">
        <v>45</v>
      </c>
      <c r="O396" s="1">
        <v>3</v>
      </c>
      <c r="P396" s="1" t="s">
        <v>45</v>
      </c>
      <c r="Q396" s="6" t="s">
        <v>45</v>
      </c>
      <c r="R396" s="6" t="s">
        <v>45</v>
      </c>
      <c r="S396" s="6" t="s">
        <v>45</v>
      </c>
      <c r="T396" s="6" t="s">
        <v>45</v>
      </c>
      <c r="U396" s="6" t="s">
        <v>45</v>
      </c>
      <c r="V396" s="1" t="s">
        <v>45</v>
      </c>
      <c r="W396" s="1" t="s">
        <v>45</v>
      </c>
      <c r="X396" s="1" t="s">
        <v>45</v>
      </c>
      <c r="Y396" s="6">
        <f t="shared" si="140"/>
        <v>3</v>
      </c>
    </row>
    <row r="397" spans="1:25" x14ac:dyDescent="0.15">
      <c r="A397" s="1">
        <v>2023</v>
      </c>
      <c r="B397" s="1" t="s">
        <v>55</v>
      </c>
      <c r="C397" s="1">
        <v>6</v>
      </c>
      <c r="D397" s="1">
        <v>7</v>
      </c>
      <c r="E397" s="1"/>
      <c r="F397" s="1" t="s">
        <v>38</v>
      </c>
      <c r="G397" s="1" t="s">
        <v>41</v>
      </c>
      <c r="H397" s="1"/>
      <c r="I397" s="1">
        <v>2</v>
      </c>
      <c r="J397" s="3" t="s">
        <v>38</v>
      </c>
      <c r="K397" s="1" t="s">
        <v>42</v>
      </c>
      <c r="L397" s="1" t="s">
        <v>45</v>
      </c>
      <c r="M397" s="1" t="s">
        <v>45</v>
      </c>
      <c r="N397" s="1" t="s">
        <v>45</v>
      </c>
      <c r="O397" s="1" t="s">
        <v>45</v>
      </c>
      <c r="P397" s="1">
        <v>2.56</v>
      </c>
      <c r="Q397" s="6" t="s">
        <v>45</v>
      </c>
      <c r="R397" s="6" t="s">
        <v>45</v>
      </c>
      <c r="S397" s="6" t="s">
        <v>45</v>
      </c>
      <c r="T397" s="6" t="s">
        <v>45</v>
      </c>
      <c r="U397" s="6" t="s">
        <v>45</v>
      </c>
      <c r="V397" s="1" t="s">
        <v>45</v>
      </c>
      <c r="W397" s="1" t="s">
        <v>45</v>
      </c>
      <c r="X397" s="1" t="s">
        <v>45</v>
      </c>
      <c r="Y397" s="6">
        <f>P397</f>
        <v>2.56</v>
      </c>
    </row>
    <row r="398" spans="1:25" x14ac:dyDescent="0.15">
      <c r="A398" s="1">
        <v>2023</v>
      </c>
      <c r="B398" s="1" t="s">
        <v>55</v>
      </c>
      <c r="C398" s="1">
        <v>6</v>
      </c>
      <c r="D398" s="1">
        <v>8</v>
      </c>
      <c r="E398" s="1"/>
      <c r="F398" s="1" t="s">
        <v>39</v>
      </c>
      <c r="G398" s="1" t="s">
        <v>41</v>
      </c>
      <c r="H398" s="1"/>
      <c r="I398" s="1">
        <v>2</v>
      </c>
      <c r="J398" s="3" t="s">
        <v>39</v>
      </c>
      <c r="K398" s="1" t="s">
        <v>42</v>
      </c>
      <c r="L398" s="1" t="s">
        <v>45</v>
      </c>
      <c r="M398" s="1" t="s">
        <v>45</v>
      </c>
      <c r="N398" s="1" t="s">
        <v>45</v>
      </c>
      <c r="O398" s="1" t="s">
        <v>45</v>
      </c>
      <c r="P398" s="1">
        <v>1.78</v>
      </c>
      <c r="Q398" s="6" t="s">
        <v>45</v>
      </c>
      <c r="R398" s="6" t="s">
        <v>45</v>
      </c>
      <c r="S398" s="6" t="s">
        <v>45</v>
      </c>
      <c r="T398" s="6" t="s">
        <v>45</v>
      </c>
      <c r="U398" s="6" t="s">
        <v>45</v>
      </c>
      <c r="V398" s="1" t="s">
        <v>45</v>
      </c>
      <c r="W398" s="1" t="s">
        <v>45</v>
      </c>
      <c r="X398" s="1" t="s">
        <v>45</v>
      </c>
      <c r="Y398" s="6">
        <f t="shared" ref="Y398:Y399" si="141">P398</f>
        <v>1.78</v>
      </c>
    </row>
    <row r="399" spans="1:25" x14ac:dyDescent="0.15">
      <c r="A399" s="1">
        <v>2023</v>
      </c>
      <c r="B399" s="1" t="s">
        <v>55</v>
      </c>
      <c r="C399" s="1">
        <v>6</v>
      </c>
      <c r="D399" s="1">
        <v>9</v>
      </c>
      <c r="E399" s="1"/>
      <c r="F399" s="1" t="s">
        <v>40</v>
      </c>
      <c r="G399" s="1" t="s">
        <v>41</v>
      </c>
      <c r="H399" s="1"/>
      <c r="I399" s="1">
        <v>2</v>
      </c>
      <c r="J399" s="3" t="s">
        <v>40</v>
      </c>
      <c r="K399" s="1" t="s">
        <v>42</v>
      </c>
      <c r="L399" s="1" t="s">
        <v>45</v>
      </c>
      <c r="M399" s="1" t="s">
        <v>45</v>
      </c>
      <c r="N399" s="1" t="s">
        <v>45</v>
      </c>
      <c r="O399" s="1" t="s">
        <v>45</v>
      </c>
      <c r="P399" s="1">
        <v>1.33</v>
      </c>
      <c r="Q399" s="6" t="s">
        <v>45</v>
      </c>
      <c r="R399" s="6" t="s">
        <v>45</v>
      </c>
      <c r="S399" s="6" t="s">
        <v>45</v>
      </c>
      <c r="T399" s="6" t="s">
        <v>45</v>
      </c>
      <c r="U399" s="6" t="s">
        <v>45</v>
      </c>
      <c r="V399" s="1" t="s">
        <v>45</v>
      </c>
      <c r="W399" s="1" t="s">
        <v>45</v>
      </c>
      <c r="X399" s="1" t="s">
        <v>45</v>
      </c>
      <c r="Y399" s="6">
        <f t="shared" si="141"/>
        <v>1.33</v>
      </c>
    </row>
    <row r="400" spans="1:25" x14ac:dyDescent="0.15">
      <c r="A400" s="1">
        <v>2023</v>
      </c>
      <c r="B400" s="1" t="s">
        <v>55</v>
      </c>
      <c r="C400" s="1">
        <v>6</v>
      </c>
      <c r="D400" s="1">
        <v>10</v>
      </c>
      <c r="E400" s="1" t="s">
        <v>35</v>
      </c>
      <c r="F400" s="1" t="s">
        <v>38</v>
      </c>
      <c r="G400" s="1" t="s">
        <v>14</v>
      </c>
      <c r="H400" s="1" t="s">
        <v>35</v>
      </c>
      <c r="I400" s="1">
        <v>2</v>
      </c>
      <c r="J400" s="3" t="s">
        <v>63</v>
      </c>
      <c r="K400" s="1" t="s">
        <v>42</v>
      </c>
      <c r="L400" s="1" t="s">
        <v>45</v>
      </c>
      <c r="M400" s="1" t="s">
        <v>45</v>
      </c>
      <c r="N400" s="1" t="s">
        <v>45</v>
      </c>
      <c r="O400" s="1">
        <v>0.89</v>
      </c>
      <c r="P400" s="1">
        <v>2.44</v>
      </c>
      <c r="Q400" s="6">
        <f>O400/(0.1*O391)</f>
        <v>2.4999999999999996</v>
      </c>
      <c r="R400" s="6">
        <f>O400/(0.1*O394)</f>
        <v>2.3544973544973544</v>
      </c>
      <c r="S400" s="6">
        <f>P400/(0.9*P397)</f>
        <v>1.0590277777777777</v>
      </c>
      <c r="T400" s="6">
        <f>Q400+S400</f>
        <v>3.5590277777777772</v>
      </c>
      <c r="U400" s="6">
        <f>R400+S400</f>
        <v>3.4135251322751321</v>
      </c>
      <c r="V400" s="1">
        <f>O400/O391+P400/P397</f>
        <v>1.203125</v>
      </c>
      <c r="W400" s="1">
        <f>O400/O394+P400/P397</f>
        <v>1.1885747354497354</v>
      </c>
      <c r="X400" s="1">
        <f t="shared" ref="X400:X408" si="142">100*ROUND(P400/(P400+O400), 2)</f>
        <v>73</v>
      </c>
      <c r="Y400" s="6">
        <f>O400+P400</f>
        <v>3.33</v>
      </c>
    </row>
    <row r="401" spans="1:25" x14ac:dyDescent="0.15">
      <c r="A401" s="1">
        <v>2023</v>
      </c>
      <c r="B401" s="1" t="s">
        <v>55</v>
      </c>
      <c r="C401" s="1">
        <v>6</v>
      </c>
      <c r="D401" s="1">
        <v>11</v>
      </c>
      <c r="E401" s="1" t="s">
        <v>35</v>
      </c>
      <c r="F401" s="1" t="s">
        <v>39</v>
      </c>
      <c r="G401" s="1" t="s">
        <v>14</v>
      </c>
      <c r="H401" s="1" t="s">
        <v>35</v>
      </c>
      <c r="I401" s="1">
        <v>2</v>
      </c>
      <c r="J401" s="3" t="s">
        <v>64</v>
      </c>
      <c r="K401" s="1" t="s">
        <v>42</v>
      </c>
      <c r="L401" s="1" t="s">
        <v>45</v>
      </c>
      <c r="M401" s="1" t="s">
        <v>45</v>
      </c>
      <c r="N401" s="7" t="s">
        <v>45</v>
      </c>
      <c r="O401" s="1">
        <v>0.67</v>
      </c>
      <c r="P401" s="1">
        <v>1.78</v>
      </c>
      <c r="Q401" s="6">
        <f>O401/(0.1*O391)</f>
        <v>1.8820224719101122</v>
      </c>
      <c r="R401" s="6">
        <f>O401/(0.1*O394)</f>
        <v>1.7724867724867726</v>
      </c>
      <c r="S401" s="6">
        <f>P401/(0.9*P398)</f>
        <v>1.1111111111111112</v>
      </c>
      <c r="T401" s="6">
        <f t="shared" ref="T401:T408" si="143">Q401+S401</f>
        <v>2.9931335830212236</v>
      </c>
      <c r="U401" s="6">
        <f t="shared" ref="U401:U408" si="144">R401+S401</f>
        <v>2.8835978835978837</v>
      </c>
      <c r="V401" s="1">
        <f>O401/O391+P401/P398</f>
        <v>1.1882022471910112</v>
      </c>
      <c r="W401" s="1">
        <f>O401/O394+P401/P398</f>
        <v>1.1772486772486772</v>
      </c>
      <c r="X401" s="1">
        <f t="shared" si="142"/>
        <v>73</v>
      </c>
      <c r="Y401" s="6">
        <f t="shared" ref="Y401:Y408" si="145">O401+P401</f>
        <v>2.4500000000000002</v>
      </c>
    </row>
    <row r="402" spans="1:25" x14ac:dyDescent="0.15">
      <c r="A402" s="1">
        <v>2023</v>
      </c>
      <c r="B402" s="1" t="s">
        <v>55</v>
      </c>
      <c r="C402" s="1">
        <v>6</v>
      </c>
      <c r="D402" s="1">
        <v>12</v>
      </c>
      <c r="E402" s="1" t="s">
        <v>35</v>
      </c>
      <c r="F402" s="1" t="s">
        <v>40</v>
      </c>
      <c r="G402" s="1" t="s">
        <v>14</v>
      </c>
      <c r="H402" s="1" t="s">
        <v>35</v>
      </c>
      <c r="I402" s="1">
        <v>2</v>
      </c>
      <c r="J402" s="3" t="s">
        <v>65</v>
      </c>
      <c r="K402" s="1" t="s">
        <v>42</v>
      </c>
      <c r="L402" s="1" t="s">
        <v>45</v>
      </c>
      <c r="M402" s="1" t="s">
        <v>45</v>
      </c>
      <c r="N402" s="7" t="s">
        <v>45</v>
      </c>
      <c r="O402" s="1">
        <v>1</v>
      </c>
      <c r="P402" s="1">
        <v>1.89</v>
      </c>
      <c r="Q402" s="6">
        <f>O402/(0.1*O391)</f>
        <v>2.8089887640449436</v>
      </c>
      <c r="R402" s="6">
        <f>O402/(0.1*O394)</f>
        <v>2.6455026455026456</v>
      </c>
      <c r="S402" s="6">
        <f>P402/(0.9*P399)</f>
        <v>1.5789473684210524</v>
      </c>
      <c r="T402" s="6">
        <f t="shared" si="143"/>
        <v>4.3879361324659962</v>
      </c>
      <c r="U402" s="6">
        <f t="shared" si="144"/>
        <v>4.2244500139236978</v>
      </c>
      <c r="V402" s="1">
        <f>O402/O391+P402/P399</f>
        <v>1.7019515079834415</v>
      </c>
      <c r="W402" s="1">
        <f>O402/O394+P402/P399</f>
        <v>1.6856028961292118</v>
      </c>
      <c r="X402" s="1">
        <f t="shared" si="142"/>
        <v>65</v>
      </c>
      <c r="Y402" s="6">
        <f t="shared" si="145"/>
        <v>2.8899999999999997</v>
      </c>
    </row>
    <row r="403" spans="1:25" x14ac:dyDescent="0.15">
      <c r="A403" s="1">
        <v>2023</v>
      </c>
      <c r="B403" s="1" t="s">
        <v>55</v>
      </c>
      <c r="C403" s="1">
        <v>6</v>
      </c>
      <c r="D403" s="1">
        <v>13</v>
      </c>
      <c r="E403" s="1" t="s">
        <v>36</v>
      </c>
      <c r="F403" s="1" t="s">
        <v>38</v>
      </c>
      <c r="G403" s="1" t="s">
        <v>14</v>
      </c>
      <c r="H403" s="1" t="s">
        <v>36</v>
      </c>
      <c r="I403" s="1">
        <v>2</v>
      </c>
      <c r="J403" s="3" t="s">
        <v>66</v>
      </c>
      <c r="K403" s="1" t="s">
        <v>42</v>
      </c>
      <c r="L403" s="1" t="s">
        <v>45</v>
      </c>
      <c r="M403" s="1" t="s">
        <v>45</v>
      </c>
      <c r="N403" s="7" t="s">
        <v>45</v>
      </c>
      <c r="O403" s="1">
        <v>0.89</v>
      </c>
      <c r="P403" s="1">
        <v>1.89</v>
      </c>
      <c r="Q403" s="6">
        <f>O403/(0.1*O392)</f>
        <v>1.9517543859649125</v>
      </c>
      <c r="R403" s="6">
        <f>O403/(0.1*O395)</f>
        <v>1.7416829745596869</v>
      </c>
      <c r="S403" s="6">
        <f>P403/(0.9*P397)</f>
        <v>0.82031249999999989</v>
      </c>
      <c r="T403" s="6">
        <f t="shared" si="143"/>
        <v>2.7720668859649122</v>
      </c>
      <c r="U403" s="6">
        <f t="shared" si="144"/>
        <v>2.5619954745596867</v>
      </c>
      <c r="V403" s="1">
        <f>O403/O392+P403/P397</f>
        <v>0.93345668859649122</v>
      </c>
      <c r="W403" s="1">
        <f>O403/O395+P403/P397</f>
        <v>0.91244954745596862</v>
      </c>
      <c r="X403" s="1">
        <f t="shared" si="142"/>
        <v>68</v>
      </c>
      <c r="Y403" s="6">
        <f t="shared" si="145"/>
        <v>2.78</v>
      </c>
    </row>
    <row r="404" spans="1:25" x14ac:dyDescent="0.15">
      <c r="A404" s="1">
        <v>2023</v>
      </c>
      <c r="B404" s="1" t="s">
        <v>55</v>
      </c>
      <c r="C404" s="1">
        <v>6</v>
      </c>
      <c r="D404" s="1">
        <v>14</v>
      </c>
      <c r="E404" s="1" t="s">
        <v>36</v>
      </c>
      <c r="F404" s="1" t="s">
        <v>39</v>
      </c>
      <c r="G404" s="1" t="s">
        <v>14</v>
      </c>
      <c r="H404" s="1" t="s">
        <v>36</v>
      </c>
      <c r="I404" s="1">
        <v>2</v>
      </c>
      <c r="J404" s="3" t="s">
        <v>67</v>
      </c>
      <c r="K404" s="1" t="s">
        <v>42</v>
      </c>
      <c r="L404" s="1" t="s">
        <v>45</v>
      </c>
      <c r="M404" s="1" t="s">
        <v>45</v>
      </c>
      <c r="N404" s="7" t="s">
        <v>45</v>
      </c>
      <c r="O404" s="1">
        <v>1.1100000000000001</v>
      </c>
      <c r="P404" s="1">
        <v>1.56</v>
      </c>
      <c r="Q404" s="6">
        <f>O404/(0.1*O392)</f>
        <v>2.4342105263157898</v>
      </c>
      <c r="R404" s="6">
        <f>O404/(0.1*O395)</f>
        <v>2.1722113502935421</v>
      </c>
      <c r="S404" s="6">
        <f>P404/(0.9*P398)</f>
        <v>0.97378277153558046</v>
      </c>
      <c r="T404" s="6">
        <f t="shared" si="143"/>
        <v>3.4079932978513705</v>
      </c>
      <c r="U404" s="6">
        <f t="shared" si="144"/>
        <v>3.1459941218291227</v>
      </c>
      <c r="V404" s="1">
        <f>O404/O392+P404/P398</f>
        <v>1.1198255470136016</v>
      </c>
      <c r="W404" s="1">
        <f>O404/O395+P404/P398</f>
        <v>1.0936256294113766</v>
      </c>
      <c r="X404" s="1">
        <f t="shared" si="142"/>
        <v>57.999999999999993</v>
      </c>
      <c r="Y404" s="6">
        <f t="shared" si="145"/>
        <v>2.67</v>
      </c>
    </row>
    <row r="405" spans="1:25" x14ac:dyDescent="0.15">
      <c r="A405" s="1">
        <v>2023</v>
      </c>
      <c r="B405" s="1" t="s">
        <v>55</v>
      </c>
      <c r="C405" s="1">
        <v>6</v>
      </c>
      <c r="D405" s="1">
        <v>15</v>
      </c>
      <c r="E405" s="1" t="s">
        <v>36</v>
      </c>
      <c r="F405" s="1" t="s">
        <v>40</v>
      </c>
      <c r="G405" s="1" t="s">
        <v>14</v>
      </c>
      <c r="H405" s="1" t="s">
        <v>36</v>
      </c>
      <c r="I405" s="1">
        <v>2</v>
      </c>
      <c r="J405" s="3" t="s">
        <v>68</v>
      </c>
      <c r="K405" s="1" t="s">
        <v>42</v>
      </c>
      <c r="L405" s="1" t="s">
        <v>45</v>
      </c>
      <c r="M405" s="1" t="s">
        <v>45</v>
      </c>
      <c r="N405" s="7" t="s">
        <v>45</v>
      </c>
      <c r="O405" s="1">
        <v>1.33</v>
      </c>
      <c r="P405" s="1">
        <v>1.78</v>
      </c>
      <c r="Q405" s="6">
        <f>O405/(0.1*O392)</f>
        <v>2.916666666666667</v>
      </c>
      <c r="R405" s="6">
        <f>O405/(0.1*O395)</f>
        <v>2.6027397260273974</v>
      </c>
      <c r="S405" s="6">
        <f>P405/(0.9*P399)</f>
        <v>1.4870509607351712</v>
      </c>
      <c r="T405" s="6">
        <f t="shared" si="143"/>
        <v>4.4037176274018384</v>
      </c>
      <c r="U405" s="6">
        <f t="shared" si="144"/>
        <v>4.0897906867625684</v>
      </c>
      <c r="V405" s="1">
        <f>O405/O392+P405/P399</f>
        <v>1.6300125313283209</v>
      </c>
      <c r="W405" s="1">
        <f>O405/O395+P405/P399</f>
        <v>1.5986198372643938</v>
      </c>
      <c r="X405" s="1">
        <f t="shared" si="142"/>
        <v>56.999999999999993</v>
      </c>
      <c r="Y405" s="6">
        <f t="shared" si="145"/>
        <v>3.1100000000000003</v>
      </c>
    </row>
    <row r="406" spans="1:25" x14ac:dyDescent="0.15">
      <c r="A406" s="1">
        <v>2023</v>
      </c>
      <c r="B406" s="1" t="s">
        <v>55</v>
      </c>
      <c r="C406" s="1">
        <v>6</v>
      </c>
      <c r="D406" s="1">
        <v>16</v>
      </c>
      <c r="E406" s="1" t="s">
        <v>37</v>
      </c>
      <c r="F406" s="1" t="s">
        <v>38</v>
      </c>
      <c r="G406" s="1" t="s">
        <v>14</v>
      </c>
      <c r="H406" s="1" t="s">
        <v>37</v>
      </c>
      <c r="I406" s="1">
        <v>2</v>
      </c>
      <c r="J406" s="3" t="s">
        <v>69</v>
      </c>
      <c r="K406" s="1" t="s">
        <v>42</v>
      </c>
      <c r="L406" s="1" t="s">
        <v>45</v>
      </c>
      <c r="M406" s="1" t="s">
        <v>45</v>
      </c>
      <c r="N406" s="7" t="s">
        <v>45</v>
      </c>
      <c r="O406" s="1">
        <v>0.78</v>
      </c>
      <c r="P406" s="1">
        <v>2.11</v>
      </c>
      <c r="Q406" s="6">
        <f>O406/(0.1*O393)</f>
        <v>1.8978102189781021</v>
      </c>
      <c r="R406" s="6">
        <f>O406/(0.1*O396)</f>
        <v>2.5999999999999996</v>
      </c>
      <c r="S406" s="6">
        <f>P406/(0.9*P397)</f>
        <v>0.91579861111111094</v>
      </c>
      <c r="T406" s="6">
        <f t="shared" si="143"/>
        <v>2.8136088300892128</v>
      </c>
      <c r="U406" s="6">
        <f t="shared" si="144"/>
        <v>3.5157986111111104</v>
      </c>
      <c r="V406" s="1">
        <f>O406/O393+P406/P397</f>
        <v>1.0139997718978102</v>
      </c>
      <c r="W406" s="1">
        <f>O406/O396+P406/P397</f>
        <v>1.0842187499999998</v>
      </c>
      <c r="X406" s="1">
        <f t="shared" si="142"/>
        <v>73</v>
      </c>
      <c r="Y406" s="6">
        <f t="shared" si="145"/>
        <v>2.8899999999999997</v>
      </c>
    </row>
    <row r="407" spans="1:25" x14ac:dyDescent="0.15">
      <c r="A407" s="1">
        <v>2023</v>
      </c>
      <c r="B407" s="1" t="s">
        <v>55</v>
      </c>
      <c r="C407" s="1">
        <v>6</v>
      </c>
      <c r="D407" s="1">
        <v>17</v>
      </c>
      <c r="E407" s="1" t="s">
        <v>37</v>
      </c>
      <c r="F407" s="1" t="s">
        <v>39</v>
      </c>
      <c r="G407" s="1" t="s">
        <v>14</v>
      </c>
      <c r="H407" s="1" t="s">
        <v>37</v>
      </c>
      <c r="I407" s="1">
        <v>2</v>
      </c>
      <c r="J407" s="3" t="s">
        <v>70</v>
      </c>
      <c r="K407" s="1" t="s">
        <v>42</v>
      </c>
      <c r="L407" s="1" t="s">
        <v>45</v>
      </c>
      <c r="M407" s="1" t="s">
        <v>45</v>
      </c>
      <c r="N407" s="7" t="s">
        <v>45</v>
      </c>
      <c r="O407" s="1">
        <v>0.78</v>
      </c>
      <c r="P407" s="1">
        <v>1</v>
      </c>
      <c r="Q407" s="6">
        <f>O407/(0.1*O393)</f>
        <v>1.8978102189781021</v>
      </c>
      <c r="R407" s="6">
        <f>O407/(0.1*O396)</f>
        <v>2.5999999999999996</v>
      </c>
      <c r="S407" s="6">
        <f>P407/(0.9*P398)</f>
        <v>0.62421972534332082</v>
      </c>
      <c r="T407" s="6">
        <f t="shared" si="143"/>
        <v>2.5220299443214227</v>
      </c>
      <c r="U407" s="6">
        <f t="shared" si="144"/>
        <v>3.2242197253433202</v>
      </c>
      <c r="V407" s="1">
        <f>O407/O393+P407/P398</f>
        <v>0.75157877470679901</v>
      </c>
      <c r="W407" s="1">
        <f>O407/O396+P407/P398</f>
        <v>0.82179775280898881</v>
      </c>
      <c r="X407" s="1">
        <f t="shared" si="142"/>
        <v>56.000000000000007</v>
      </c>
      <c r="Y407" s="6">
        <f t="shared" si="145"/>
        <v>1.78</v>
      </c>
    </row>
    <row r="408" spans="1:25" x14ac:dyDescent="0.15">
      <c r="A408" s="1">
        <v>2023</v>
      </c>
      <c r="B408" s="1" t="s">
        <v>55</v>
      </c>
      <c r="C408" s="1">
        <v>6</v>
      </c>
      <c r="D408" s="1">
        <v>18</v>
      </c>
      <c r="E408" s="1" t="s">
        <v>37</v>
      </c>
      <c r="F408" s="1" t="s">
        <v>40</v>
      </c>
      <c r="G408" s="1" t="s">
        <v>14</v>
      </c>
      <c r="H408" s="1" t="s">
        <v>37</v>
      </c>
      <c r="I408" s="1">
        <v>2</v>
      </c>
      <c r="J408" s="3" t="s">
        <v>71</v>
      </c>
      <c r="K408" s="1" t="s">
        <v>42</v>
      </c>
      <c r="L408" s="1" t="s">
        <v>45</v>
      </c>
      <c r="M408" s="1" t="s">
        <v>45</v>
      </c>
      <c r="N408" s="7" t="s">
        <v>45</v>
      </c>
      <c r="O408" s="1">
        <v>0.89</v>
      </c>
      <c r="P408" s="1">
        <v>1.56</v>
      </c>
      <c r="Q408" s="6">
        <f>O408/(0.1*O393)</f>
        <v>2.165450121654501</v>
      </c>
      <c r="R408" s="6">
        <f>O408/(0.1*O396)</f>
        <v>2.9666666666666663</v>
      </c>
      <c r="S408" s="6">
        <f>P408/(0.9*P399)</f>
        <v>1.3032581453634084</v>
      </c>
      <c r="T408" s="6">
        <f t="shared" si="143"/>
        <v>3.4687082670179095</v>
      </c>
      <c r="U408" s="6">
        <f t="shared" si="144"/>
        <v>4.2699248120300748</v>
      </c>
      <c r="V408" s="1">
        <f>O408/O393+P408/P399</f>
        <v>1.3894773429925178</v>
      </c>
      <c r="W408" s="1">
        <f>O408/O396+P408/P399</f>
        <v>1.4695989974937342</v>
      </c>
      <c r="X408" s="1">
        <f t="shared" si="142"/>
        <v>64</v>
      </c>
      <c r="Y408" s="6">
        <f t="shared" si="145"/>
        <v>2.4500000000000002</v>
      </c>
    </row>
    <row r="409" spans="1:25" x14ac:dyDescent="0.15">
      <c r="A409" s="1">
        <v>2023</v>
      </c>
      <c r="B409" s="1" t="s">
        <v>55</v>
      </c>
      <c r="C409" s="1">
        <v>7</v>
      </c>
      <c r="D409" s="1">
        <v>1</v>
      </c>
      <c r="E409" s="1" t="s">
        <v>35</v>
      </c>
      <c r="F409" s="1"/>
      <c r="G409" s="1" t="s">
        <v>41</v>
      </c>
      <c r="H409" s="1" t="s">
        <v>35</v>
      </c>
      <c r="I409" s="1">
        <v>3</v>
      </c>
      <c r="J409" s="3" t="s">
        <v>35</v>
      </c>
      <c r="K409" s="1" t="s">
        <v>42</v>
      </c>
      <c r="L409" s="1" t="s">
        <v>45</v>
      </c>
      <c r="M409" s="1" t="s">
        <v>45</v>
      </c>
      <c r="N409" s="7" t="s">
        <v>45</v>
      </c>
      <c r="O409" s="1">
        <v>3.33</v>
      </c>
      <c r="P409" s="1" t="s">
        <v>45</v>
      </c>
      <c r="Q409" s="6" t="s">
        <v>45</v>
      </c>
      <c r="R409" s="6" t="s">
        <v>45</v>
      </c>
      <c r="S409" s="6" t="s">
        <v>45</v>
      </c>
      <c r="T409" s="6" t="s">
        <v>45</v>
      </c>
      <c r="U409" s="6" t="s">
        <v>45</v>
      </c>
      <c r="V409" s="1" t="s">
        <v>45</v>
      </c>
      <c r="W409" s="1" t="s">
        <v>45</v>
      </c>
      <c r="X409" s="6" t="s">
        <v>45</v>
      </c>
      <c r="Y409" s="6">
        <f>O409</f>
        <v>3.33</v>
      </c>
    </row>
    <row r="410" spans="1:25" x14ac:dyDescent="0.15">
      <c r="A410" s="1">
        <v>2023</v>
      </c>
      <c r="B410" s="1" t="s">
        <v>55</v>
      </c>
      <c r="C410" s="1">
        <v>7</v>
      </c>
      <c r="D410" s="1">
        <v>2</v>
      </c>
      <c r="E410" s="1" t="s">
        <v>36</v>
      </c>
      <c r="F410" s="1"/>
      <c r="G410" s="1" t="s">
        <v>41</v>
      </c>
      <c r="H410" s="1" t="s">
        <v>36</v>
      </c>
      <c r="I410" s="1">
        <v>3</v>
      </c>
      <c r="J410" s="3" t="s">
        <v>36</v>
      </c>
      <c r="K410" s="1" t="s">
        <v>42</v>
      </c>
      <c r="L410" s="1" t="s">
        <v>45</v>
      </c>
      <c r="M410" s="1" t="s">
        <v>45</v>
      </c>
      <c r="N410" s="7" t="s">
        <v>45</v>
      </c>
      <c r="O410" s="1">
        <v>4.8899999999999997</v>
      </c>
      <c r="P410" s="1" t="s">
        <v>45</v>
      </c>
      <c r="Q410" s="6" t="s">
        <v>45</v>
      </c>
      <c r="R410" s="6" t="s">
        <v>45</v>
      </c>
      <c r="S410" s="6" t="s">
        <v>45</v>
      </c>
      <c r="T410" s="6" t="s">
        <v>45</v>
      </c>
      <c r="U410" s="6" t="s">
        <v>45</v>
      </c>
      <c r="V410" s="1" t="s">
        <v>45</v>
      </c>
      <c r="W410" s="1" t="s">
        <v>45</v>
      </c>
      <c r="X410" s="6" t="s">
        <v>45</v>
      </c>
      <c r="Y410" s="6">
        <f t="shared" ref="Y410:Y414" si="146">O410</f>
        <v>4.8899999999999997</v>
      </c>
    </row>
    <row r="411" spans="1:25" x14ac:dyDescent="0.15">
      <c r="A411" s="1">
        <v>2023</v>
      </c>
      <c r="B411" s="1" t="s">
        <v>55</v>
      </c>
      <c r="C411" s="1">
        <v>7</v>
      </c>
      <c r="D411" s="1">
        <v>3</v>
      </c>
      <c r="E411" s="1" t="s">
        <v>37</v>
      </c>
      <c r="F411" s="1"/>
      <c r="G411" s="1" t="s">
        <v>41</v>
      </c>
      <c r="H411" s="1" t="s">
        <v>37</v>
      </c>
      <c r="I411" s="1">
        <v>3</v>
      </c>
      <c r="J411" s="3" t="s">
        <v>37</v>
      </c>
      <c r="K411" s="1" t="s">
        <v>42</v>
      </c>
      <c r="L411" s="1" t="s">
        <v>45</v>
      </c>
      <c r="M411" s="1" t="s">
        <v>45</v>
      </c>
      <c r="N411" s="7" t="s">
        <v>45</v>
      </c>
      <c r="O411" s="1">
        <v>3.22</v>
      </c>
      <c r="P411" s="1" t="s">
        <v>45</v>
      </c>
      <c r="Q411" s="6" t="s">
        <v>45</v>
      </c>
      <c r="R411" s="6" t="s">
        <v>45</v>
      </c>
      <c r="S411" s="6" t="s">
        <v>45</v>
      </c>
      <c r="T411" s="6" t="s">
        <v>45</v>
      </c>
      <c r="U411" s="6" t="s">
        <v>45</v>
      </c>
      <c r="V411" s="1" t="s">
        <v>45</v>
      </c>
      <c r="W411" s="1" t="s">
        <v>45</v>
      </c>
      <c r="X411" s="6" t="s">
        <v>45</v>
      </c>
      <c r="Y411" s="6">
        <f t="shared" si="146"/>
        <v>3.22</v>
      </c>
    </row>
    <row r="412" spans="1:25" x14ac:dyDescent="0.15">
      <c r="A412" s="1">
        <v>2023</v>
      </c>
      <c r="B412" s="1" t="s">
        <v>55</v>
      </c>
      <c r="C412" s="1">
        <v>7</v>
      </c>
      <c r="D412" s="1">
        <v>4</v>
      </c>
      <c r="E412" s="1" t="s">
        <v>35</v>
      </c>
      <c r="F412" s="1"/>
      <c r="G412" s="1" t="s">
        <v>41</v>
      </c>
      <c r="H412" s="1" t="s">
        <v>75</v>
      </c>
      <c r="I412" s="1">
        <v>3</v>
      </c>
      <c r="J412" s="3" t="s">
        <v>35</v>
      </c>
      <c r="K412" s="1" t="s">
        <v>43</v>
      </c>
      <c r="L412" s="1" t="s">
        <v>45</v>
      </c>
      <c r="M412" s="1" t="s">
        <v>45</v>
      </c>
      <c r="N412" s="7" t="s">
        <v>45</v>
      </c>
      <c r="O412" s="1">
        <v>3.33</v>
      </c>
      <c r="P412" s="1" t="s">
        <v>45</v>
      </c>
      <c r="Q412" s="6" t="s">
        <v>45</v>
      </c>
      <c r="R412" s="6" t="s">
        <v>45</v>
      </c>
      <c r="S412" s="6" t="s">
        <v>45</v>
      </c>
      <c r="T412" s="6" t="s">
        <v>45</v>
      </c>
      <c r="U412" s="6" t="s">
        <v>45</v>
      </c>
      <c r="V412" s="1" t="s">
        <v>45</v>
      </c>
      <c r="W412" s="1" t="s">
        <v>45</v>
      </c>
      <c r="X412" s="1" t="s">
        <v>45</v>
      </c>
      <c r="Y412" s="6">
        <f t="shared" si="146"/>
        <v>3.33</v>
      </c>
    </row>
    <row r="413" spans="1:25" x14ac:dyDescent="0.15">
      <c r="A413" s="1">
        <v>2023</v>
      </c>
      <c r="B413" s="1" t="s">
        <v>55</v>
      </c>
      <c r="C413" s="1">
        <v>7</v>
      </c>
      <c r="D413" s="1">
        <v>5</v>
      </c>
      <c r="E413" s="1" t="s">
        <v>36</v>
      </c>
      <c r="F413" s="1"/>
      <c r="G413" s="1" t="s">
        <v>41</v>
      </c>
      <c r="H413" s="1" t="s">
        <v>76</v>
      </c>
      <c r="I413" s="1">
        <v>3</v>
      </c>
      <c r="J413" s="3" t="s">
        <v>36</v>
      </c>
      <c r="K413" s="1" t="s">
        <v>43</v>
      </c>
      <c r="L413" s="1" t="s">
        <v>45</v>
      </c>
      <c r="M413" s="1" t="s">
        <v>45</v>
      </c>
      <c r="N413" s="7" t="s">
        <v>45</v>
      </c>
      <c r="O413" s="1">
        <v>4.67</v>
      </c>
      <c r="P413" s="1" t="s">
        <v>45</v>
      </c>
      <c r="Q413" s="6" t="s">
        <v>45</v>
      </c>
      <c r="R413" s="6" t="s">
        <v>45</v>
      </c>
      <c r="S413" s="6" t="s">
        <v>45</v>
      </c>
      <c r="T413" s="6" t="s">
        <v>45</v>
      </c>
      <c r="U413" s="6" t="s">
        <v>45</v>
      </c>
      <c r="V413" s="1" t="s">
        <v>45</v>
      </c>
      <c r="W413" s="1" t="s">
        <v>45</v>
      </c>
      <c r="X413" s="1" t="s">
        <v>45</v>
      </c>
      <c r="Y413" s="6">
        <f t="shared" si="146"/>
        <v>4.67</v>
      </c>
    </row>
    <row r="414" spans="1:25" x14ac:dyDescent="0.15">
      <c r="A414" s="1">
        <v>2023</v>
      </c>
      <c r="B414" s="1" t="s">
        <v>55</v>
      </c>
      <c r="C414" s="1">
        <v>7</v>
      </c>
      <c r="D414" s="1">
        <v>6</v>
      </c>
      <c r="E414" s="1" t="s">
        <v>37</v>
      </c>
      <c r="F414" s="1"/>
      <c r="G414" s="1" t="s">
        <v>41</v>
      </c>
      <c r="H414" s="1" t="s">
        <v>77</v>
      </c>
      <c r="I414" s="1">
        <v>3</v>
      </c>
      <c r="J414" s="3" t="s">
        <v>37</v>
      </c>
      <c r="K414" s="1" t="s">
        <v>43</v>
      </c>
      <c r="L414" s="1" t="s">
        <v>45</v>
      </c>
      <c r="M414" s="1" t="s">
        <v>45</v>
      </c>
      <c r="N414" s="7" t="s">
        <v>45</v>
      </c>
      <c r="O414" s="1">
        <v>3.22</v>
      </c>
      <c r="P414" s="1" t="s">
        <v>45</v>
      </c>
      <c r="Q414" s="6" t="s">
        <v>45</v>
      </c>
      <c r="R414" s="6" t="s">
        <v>45</v>
      </c>
      <c r="S414" s="6" t="s">
        <v>45</v>
      </c>
      <c r="T414" s="6" t="s">
        <v>45</v>
      </c>
      <c r="U414" s="6" t="s">
        <v>45</v>
      </c>
      <c r="V414" s="1" t="s">
        <v>45</v>
      </c>
      <c r="W414" s="1" t="s">
        <v>45</v>
      </c>
      <c r="X414" s="1" t="s">
        <v>45</v>
      </c>
      <c r="Y414" s="6">
        <f t="shared" si="146"/>
        <v>3.22</v>
      </c>
    </row>
    <row r="415" spans="1:25" x14ac:dyDescent="0.15">
      <c r="A415" s="1">
        <v>2023</v>
      </c>
      <c r="B415" s="1" t="s">
        <v>55</v>
      </c>
      <c r="C415" s="1">
        <v>7</v>
      </c>
      <c r="D415" s="1">
        <v>7</v>
      </c>
      <c r="E415" s="1"/>
      <c r="F415" s="1" t="s">
        <v>38</v>
      </c>
      <c r="G415" s="1" t="s">
        <v>41</v>
      </c>
      <c r="H415" s="1"/>
      <c r="I415" s="1">
        <v>3</v>
      </c>
      <c r="J415" s="3" t="s">
        <v>38</v>
      </c>
      <c r="K415" s="1" t="s">
        <v>42</v>
      </c>
      <c r="L415" s="1" t="s">
        <v>45</v>
      </c>
      <c r="M415" s="1" t="s">
        <v>45</v>
      </c>
      <c r="N415" s="7" t="s">
        <v>45</v>
      </c>
      <c r="O415" s="1" t="s">
        <v>45</v>
      </c>
      <c r="P415" s="1">
        <v>2.56</v>
      </c>
      <c r="Q415" s="6" t="s">
        <v>45</v>
      </c>
      <c r="R415" s="6" t="s">
        <v>45</v>
      </c>
      <c r="S415" s="6" t="s">
        <v>45</v>
      </c>
      <c r="T415" s="6" t="s">
        <v>45</v>
      </c>
      <c r="U415" s="6" t="s">
        <v>45</v>
      </c>
      <c r="V415" s="1" t="s">
        <v>45</v>
      </c>
      <c r="W415" s="1" t="s">
        <v>45</v>
      </c>
      <c r="X415" s="1" t="s">
        <v>45</v>
      </c>
      <c r="Y415" s="6">
        <f>P415</f>
        <v>2.56</v>
      </c>
    </row>
    <row r="416" spans="1:25" x14ac:dyDescent="0.15">
      <c r="A416" s="1">
        <v>2023</v>
      </c>
      <c r="B416" s="1" t="s">
        <v>55</v>
      </c>
      <c r="C416" s="1">
        <v>7</v>
      </c>
      <c r="D416" s="1">
        <v>8</v>
      </c>
      <c r="E416" s="1"/>
      <c r="F416" s="1" t="s">
        <v>39</v>
      </c>
      <c r="G416" s="1" t="s">
        <v>41</v>
      </c>
      <c r="H416" s="1"/>
      <c r="I416" s="1">
        <v>3</v>
      </c>
      <c r="J416" s="3" t="s">
        <v>39</v>
      </c>
      <c r="K416" s="1" t="s">
        <v>42</v>
      </c>
      <c r="L416" s="1" t="s">
        <v>45</v>
      </c>
      <c r="M416" s="1" t="s">
        <v>45</v>
      </c>
      <c r="N416" s="7" t="s">
        <v>45</v>
      </c>
      <c r="O416" s="1" t="s">
        <v>45</v>
      </c>
      <c r="P416" s="1">
        <v>1.33</v>
      </c>
      <c r="Q416" s="6" t="s">
        <v>45</v>
      </c>
      <c r="R416" s="6" t="s">
        <v>45</v>
      </c>
      <c r="S416" s="6" t="s">
        <v>45</v>
      </c>
      <c r="T416" s="6" t="s">
        <v>45</v>
      </c>
      <c r="U416" s="6" t="s">
        <v>45</v>
      </c>
      <c r="V416" s="1" t="s">
        <v>45</v>
      </c>
      <c r="W416" s="1" t="s">
        <v>45</v>
      </c>
      <c r="X416" s="1" t="s">
        <v>45</v>
      </c>
      <c r="Y416" s="6">
        <f t="shared" ref="Y416:Y417" si="147">P416</f>
        <v>1.33</v>
      </c>
    </row>
    <row r="417" spans="1:25" x14ac:dyDescent="0.15">
      <c r="A417" s="1">
        <v>2023</v>
      </c>
      <c r="B417" s="1" t="s">
        <v>55</v>
      </c>
      <c r="C417" s="1">
        <v>7</v>
      </c>
      <c r="D417" s="1">
        <v>9</v>
      </c>
      <c r="E417" s="1"/>
      <c r="F417" s="1" t="s">
        <v>40</v>
      </c>
      <c r="G417" s="1" t="s">
        <v>41</v>
      </c>
      <c r="H417" s="1"/>
      <c r="I417" s="1">
        <v>3</v>
      </c>
      <c r="J417" s="3" t="s">
        <v>40</v>
      </c>
      <c r="K417" s="1" t="s">
        <v>42</v>
      </c>
      <c r="L417" s="1" t="s">
        <v>45</v>
      </c>
      <c r="M417" s="1" t="s">
        <v>45</v>
      </c>
      <c r="N417" s="7" t="s">
        <v>45</v>
      </c>
      <c r="O417" s="1" t="s">
        <v>45</v>
      </c>
      <c r="P417" s="1">
        <v>1.89</v>
      </c>
      <c r="Q417" s="6" t="s">
        <v>45</v>
      </c>
      <c r="R417" s="6" t="s">
        <v>45</v>
      </c>
      <c r="S417" s="6" t="s">
        <v>45</v>
      </c>
      <c r="T417" s="6" t="s">
        <v>45</v>
      </c>
      <c r="U417" s="6" t="s">
        <v>45</v>
      </c>
      <c r="V417" s="1" t="s">
        <v>45</v>
      </c>
      <c r="W417" s="1" t="s">
        <v>45</v>
      </c>
      <c r="X417" s="1" t="s">
        <v>45</v>
      </c>
      <c r="Y417" s="6">
        <f t="shared" si="147"/>
        <v>1.89</v>
      </c>
    </row>
    <row r="418" spans="1:25" x14ac:dyDescent="0.15">
      <c r="A418" s="1">
        <v>2023</v>
      </c>
      <c r="B418" s="1" t="s">
        <v>55</v>
      </c>
      <c r="C418" s="1">
        <v>7</v>
      </c>
      <c r="D418" s="1">
        <v>10</v>
      </c>
      <c r="E418" s="1" t="s">
        <v>35</v>
      </c>
      <c r="F418" s="1" t="s">
        <v>38</v>
      </c>
      <c r="G418" s="1" t="s">
        <v>14</v>
      </c>
      <c r="H418" s="1" t="s">
        <v>35</v>
      </c>
      <c r="I418" s="1">
        <v>3</v>
      </c>
      <c r="J418" s="3" t="s">
        <v>63</v>
      </c>
      <c r="K418" s="1" t="s">
        <v>42</v>
      </c>
      <c r="L418" s="1" t="s">
        <v>45</v>
      </c>
      <c r="M418" s="1" t="s">
        <v>45</v>
      </c>
      <c r="N418" s="7" t="s">
        <v>45</v>
      </c>
      <c r="O418" s="1">
        <v>0.78</v>
      </c>
      <c r="P418" s="1">
        <v>2.2200000000000002</v>
      </c>
      <c r="Q418" s="6">
        <f>O418/(0.1*O409)</f>
        <v>2.3423423423423424</v>
      </c>
      <c r="R418" s="6">
        <f>O418/(0.1*O412)</f>
        <v>2.3423423423423424</v>
      </c>
      <c r="S418" s="6">
        <f>P418/(0.9*P415)</f>
        <v>0.96354166666666663</v>
      </c>
      <c r="T418" s="6">
        <f>Q418+S418</f>
        <v>3.3058840090090089</v>
      </c>
      <c r="U418" s="6">
        <f>R418+S418</f>
        <v>3.3058840090090089</v>
      </c>
      <c r="V418" s="1">
        <f>O418/O409+P418/P415</f>
        <v>1.1014217342342343</v>
      </c>
      <c r="W418" s="1">
        <f>O418/O412+P418/P415</f>
        <v>1.1014217342342343</v>
      </c>
      <c r="X418" s="1">
        <f t="shared" ref="X418:X426" si="148">100*ROUND(P418/(P418+O418), 2)</f>
        <v>74</v>
      </c>
      <c r="Y418" s="6">
        <f>O418+P418</f>
        <v>3</v>
      </c>
    </row>
    <row r="419" spans="1:25" x14ac:dyDescent="0.15">
      <c r="A419" s="1">
        <v>2023</v>
      </c>
      <c r="B419" s="1" t="s">
        <v>55</v>
      </c>
      <c r="C419" s="1">
        <v>7</v>
      </c>
      <c r="D419" s="1">
        <v>11</v>
      </c>
      <c r="E419" s="1" t="s">
        <v>35</v>
      </c>
      <c r="F419" s="1" t="s">
        <v>39</v>
      </c>
      <c r="G419" s="1" t="s">
        <v>14</v>
      </c>
      <c r="H419" s="1" t="s">
        <v>35</v>
      </c>
      <c r="I419" s="1">
        <v>3</v>
      </c>
      <c r="J419" s="3" t="s">
        <v>64</v>
      </c>
      <c r="K419" s="1" t="s">
        <v>42</v>
      </c>
      <c r="L419" s="1" t="s">
        <v>45</v>
      </c>
      <c r="M419" s="1" t="s">
        <v>45</v>
      </c>
      <c r="N419" s="7" t="s">
        <v>45</v>
      </c>
      <c r="O419" s="1">
        <v>0.67</v>
      </c>
      <c r="P419" s="1">
        <v>1.89</v>
      </c>
      <c r="Q419" s="6">
        <f>O419/(0.1*O409)</f>
        <v>2.0120120120120122</v>
      </c>
      <c r="R419" s="6">
        <f>O419/(0.1*O412)</f>
        <v>2.0120120120120122</v>
      </c>
      <c r="S419" s="6">
        <f>P419/(0.9*P416)</f>
        <v>1.5789473684210524</v>
      </c>
      <c r="T419" s="6">
        <f t="shared" ref="T419:T426" si="149">Q419+S419</f>
        <v>3.5909593804330644</v>
      </c>
      <c r="U419" s="6">
        <f t="shared" ref="U419:U426" si="150">R419+S419</f>
        <v>3.5909593804330644</v>
      </c>
      <c r="V419" s="1">
        <f>O419/O409+P419/P416</f>
        <v>1.6222538327801483</v>
      </c>
      <c r="W419" s="1">
        <f>O419/O412+P419/P416</f>
        <v>1.6222538327801483</v>
      </c>
      <c r="X419" s="1">
        <f t="shared" si="148"/>
        <v>74</v>
      </c>
      <c r="Y419" s="6">
        <f t="shared" ref="Y419:Y426" si="151">O419+P419</f>
        <v>2.56</v>
      </c>
    </row>
    <row r="420" spans="1:25" x14ac:dyDescent="0.15">
      <c r="A420" s="1">
        <v>2023</v>
      </c>
      <c r="B420" s="1" t="s">
        <v>55</v>
      </c>
      <c r="C420" s="1">
        <v>7</v>
      </c>
      <c r="D420" s="1">
        <v>12</v>
      </c>
      <c r="E420" s="1" t="s">
        <v>35</v>
      </c>
      <c r="F420" s="1" t="s">
        <v>40</v>
      </c>
      <c r="G420" s="1" t="s">
        <v>14</v>
      </c>
      <c r="H420" s="1" t="s">
        <v>35</v>
      </c>
      <c r="I420" s="1">
        <v>3</v>
      </c>
      <c r="J420" s="3" t="s">
        <v>65</v>
      </c>
      <c r="K420" s="1" t="s">
        <v>42</v>
      </c>
      <c r="L420" s="1" t="s">
        <v>45</v>
      </c>
      <c r="M420" s="1" t="s">
        <v>45</v>
      </c>
      <c r="N420" s="7" t="s">
        <v>45</v>
      </c>
      <c r="O420" s="1">
        <v>0.89</v>
      </c>
      <c r="P420" s="1">
        <v>1.56</v>
      </c>
      <c r="Q420" s="6">
        <f>O420/(0.1*O409)</f>
        <v>2.6726726726726726</v>
      </c>
      <c r="R420" s="6">
        <f>O420/(0.1*O412)</f>
        <v>2.6726726726726726</v>
      </c>
      <c r="S420" s="6">
        <f>P420/(0.9*P417)</f>
        <v>0.9171075837742505</v>
      </c>
      <c r="T420" s="6">
        <f t="shared" si="149"/>
        <v>3.589780256446923</v>
      </c>
      <c r="U420" s="6">
        <f t="shared" si="150"/>
        <v>3.589780256446923</v>
      </c>
      <c r="V420" s="1">
        <f>O420/O409+P420/P417</f>
        <v>1.0926640926640927</v>
      </c>
      <c r="W420" s="1">
        <f>O420/O412+P420/P417</f>
        <v>1.0926640926640927</v>
      </c>
      <c r="X420" s="1">
        <f t="shared" si="148"/>
        <v>64</v>
      </c>
      <c r="Y420" s="6">
        <f t="shared" si="151"/>
        <v>2.4500000000000002</v>
      </c>
    </row>
    <row r="421" spans="1:25" x14ac:dyDescent="0.15">
      <c r="A421" s="1">
        <v>2023</v>
      </c>
      <c r="B421" s="1" t="s">
        <v>55</v>
      </c>
      <c r="C421" s="1">
        <v>7</v>
      </c>
      <c r="D421" s="1">
        <v>13</v>
      </c>
      <c r="E421" s="1" t="s">
        <v>36</v>
      </c>
      <c r="F421" s="1" t="s">
        <v>38</v>
      </c>
      <c r="G421" s="1" t="s">
        <v>14</v>
      </c>
      <c r="H421" s="1" t="s">
        <v>36</v>
      </c>
      <c r="I421" s="1">
        <v>3</v>
      </c>
      <c r="J421" s="3" t="s">
        <v>66</v>
      </c>
      <c r="K421" s="1" t="s">
        <v>42</v>
      </c>
      <c r="L421" s="1" t="s">
        <v>45</v>
      </c>
      <c r="M421" s="1" t="s">
        <v>45</v>
      </c>
      <c r="N421" s="7" t="s">
        <v>45</v>
      </c>
      <c r="O421" s="1">
        <v>0.89</v>
      </c>
      <c r="P421" s="1">
        <v>2.2200000000000002</v>
      </c>
      <c r="Q421" s="6">
        <f>O421/(0.1*O410)</f>
        <v>1.8200408997955011</v>
      </c>
      <c r="R421" s="6">
        <f>O421/(0.1*O413)</f>
        <v>1.9057815845824411</v>
      </c>
      <c r="S421" s="6">
        <f>P421/(0.9*P415)</f>
        <v>0.96354166666666663</v>
      </c>
      <c r="T421" s="6">
        <f t="shared" si="149"/>
        <v>2.7835825664621678</v>
      </c>
      <c r="U421" s="6">
        <f t="shared" si="150"/>
        <v>2.8693232512491078</v>
      </c>
      <c r="V421" s="1">
        <f>O421/O410+P421/P415</f>
        <v>1.0491915899795503</v>
      </c>
      <c r="W421" s="1">
        <f>O421/O413+P421/P415</f>
        <v>1.0577656584582442</v>
      </c>
      <c r="X421" s="1">
        <f t="shared" si="148"/>
        <v>71</v>
      </c>
      <c r="Y421" s="6">
        <f t="shared" si="151"/>
        <v>3.1100000000000003</v>
      </c>
    </row>
    <row r="422" spans="1:25" x14ac:dyDescent="0.15">
      <c r="A422" s="1">
        <v>2023</v>
      </c>
      <c r="B422" s="1" t="s">
        <v>55</v>
      </c>
      <c r="C422" s="1">
        <v>7</v>
      </c>
      <c r="D422" s="1">
        <v>14</v>
      </c>
      <c r="E422" s="1" t="s">
        <v>36</v>
      </c>
      <c r="F422" s="1" t="s">
        <v>39</v>
      </c>
      <c r="G422" s="1" t="s">
        <v>14</v>
      </c>
      <c r="H422" s="1" t="s">
        <v>36</v>
      </c>
      <c r="I422" s="1">
        <v>3</v>
      </c>
      <c r="J422" s="3" t="s">
        <v>67</v>
      </c>
      <c r="K422" s="1" t="s">
        <v>42</v>
      </c>
      <c r="L422" s="1" t="s">
        <v>45</v>
      </c>
      <c r="M422" s="1" t="s">
        <v>45</v>
      </c>
      <c r="N422" s="7" t="s">
        <v>45</v>
      </c>
      <c r="O422" s="1">
        <v>1.1100000000000001</v>
      </c>
      <c r="P422" s="1">
        <v>2</v>
      </c>
      <c r="Q422" s="6">
        <f>O422/(0.1*O410)</f>
        <v>2.2699386503067487</v>
      </c>
      <c r="R422" s="6">
        <f>O422/(0.1*O413)</f>
        <v>2.3768736616702357</v>
      </c>
      <c r="S422" s="6">
        <f>P422/(0.9*P416)</f>
        <v>1.6708437761069339</v>
      </c>
      <c r="T422" s="6">
        <f t="shared" si="149"/>
        <v>3.9407824264136826</v>
      </c>
      <c r="U422" s="6">
        <f t="shared" si="150"/>
        <v>4.0477174377771696</v>
      </c>
      <c r="V422" s="1">
        <f>O422/O410+P422/P416</f>
        <v>1.7307532635269154</v>
      </c>
      <c r="W422" s="1">
        <f>O422/O413+P422/P416</f>
        <v>1.7414467646632641</v>
      </c>
      <c r="X422" s="1">
        <f t="shared" si="148"/>
        <v>64</v>
      </c>
      <c r="Y422" s="6">
        <f t="shared" si="151"/>
        <v>3.1100000000000003</v>
      </c>
    </row>
    <row r="423" spans="1:25" x14ac:dyDescent="0.15">
      <c r="A423" s="1">
        <v>2023</v>
      </c>
      <c r="B423" s="1" t="s">
        <v>55</v>
      </c>
      <c r="C423" s="1">
        <v>7</v>
      </c>
      <c r="D423" s="1">
        <v>15</v>
      </c>
      <c r="E423" s="1" t="s">
        <v>36</v>
      </c>
      <c r="F423" s="1" t="s">
        <v>40</v>
      </c>
      <c r="G423" s="1" t="s">
        <v>14</v>
      </c>
      <c r="H423" s="1" t="s">
        <v>36</v>
      </c>
      <c r="I423" s="1">
        <v>3</v>
      </c>
      <c r="J423" s="3" t="s">
        <v>68</v>
      </c>
      <c r="K423" s="1" t="s">
        <v>42</v>
      </c>
      <c r="L423" s="1" t="s">
        <v>45</v>
      </c>
      <c r="M423" s="1" t="s">
        <v>45</v>
      </c>
      <c r="N423" s="7" t="s">
        <v>45</v>
      </c>
      <c r="O423" s="1">
        <v>1.22</v>
      </c>
      <c r="P423" s="1">
        <v>1.67</v>
      </c>
      <c r="Q423" s="6">
        <f>O423/(0.1*O410)</f>
        <v>2.4948875255623721</v>
      </c>
      <c r="R423" s="6">
        <f>O423/(0.1*O413)</f>
        <v>2.6124197002141325</v>
      </c>
      <c r="S423" s="6">
        <f>P423/(0.9*P417)</f>
        <v>0.98177542621987068</v>
      </c>
      <c r="T423" s="6">
        <f t="shared" si="149"/>
        <v>3.4766629517822429</v>
      </c>
      <c r="U423" s="6">
        <f t="shared" si="150"/>
        <v>3.5941951264340033</v>
      </c>
      <c r="V423" s="1">
        <f>O423/O410+P423/P417</f>
        <v>1.1330866361541208</v>
      </c>
      <c r="W423" s="1">
        <f>O423/O413+P423/P417</f>
        <v>1.1448398536192967</v>
      </c>
      <c r="X423" s="1">
        <f t="shared" si="148"/>
        <v>57.999999999999993</v>
      </c>
      <c r="Y423" s="6">
        <f t="shared" si="151"/>
        <v>2.8899999999999997</v>
      </c>
    </row>
    <row r="424" spans="1:25" x14ac:dyDescent="0.15">
      <c r="A424" s="1">
        <v>2023</v>
      </c>
      <c r="B424" s="1" t="s">
        <v>55</v>
      </c>
      <c r="C424" s="1">
        <v>7</v>
      </c>
      <c r="D424" s="1">
        <v>16</v>
      </c>
      <c r="E424" s="1" t="s">
        <v>37</v>
      </c>
      <c r="F424" s="1" t="s">
        <v>38</v>
      </c>
      <c r="G424" s="1" t="s">
        <v>14</v>
      </c>
      <c r="H424" s="1" t="s">
        <v>37</v>
      </c>
      <c r="I424" s="1">
        <v>3</v>
      </c>
      <c r="J424" s="3" t="s">
        <v>69</v>
      </c>
      <c r="K424" s="1" t="s">
        <v>42</v>
      </c>
      <c r="L424" s="1" t="s">
        <v>45</v>
      </c>
      <c r="M424" s="1" t="s">
        <v>45</v>
      </c>
      <c r="N424" s="7" t="s">
        <v>45</v>
      </c>
      <c r="O424" s="1">
        <v>0.89</v>
      </c>
      <c r="P424" s="1">
        <v>2.11</v>
      </c>
      <c r="Q424" s="6">
        <f>O424/(0.1*O411)</f>
        <v>2.7639751552795024</v>
      </c>
      <c r="R424" s="6">
        <f>O424/(0.1*O414)</f>
        <v>2.7639751552795024</v>
      </c>
      <c r="S424" s="6">
        <f>P424/(0.9*P415)</f>
        <v>0.91579861111111094</v>
      </c>
      <c r="T424" s="6">
        <f t="shared" si="149"/>
        <v>3.6797737663906132</v>
      </c>
      <c r="U424" s="6">
        <f t="shared" si="150"/>
        <v>3.6797737663906132</v>
      </c>
      <c r="V424" s="1">
        <f>O424/O411+P424/P415</f>
        <v>1.1006162655279501</v>
      </c>
      <c r="W424" s="1">
        <f>O424/O414+P424/P415</f>
        <v>1.1006162655279501</v>
      </c>
      <c r="X424" s="1">
        <f t="shared" si="148"/>
        <v>70</v>
      </c>
      <c r="Y424" s="6">
        <f t="shared" si="151"/>
        <v>3</v>
      </c>
    </row>
    <row r="425" spans="1:25" x14ac:dyDescent="0.15">
      <c r="A425" s="1">
        <v>2023</v>
      </c>
      <c r="B425" s="1" t="s">
        <v>55</v>
      </c>
      <c r="C425" s="1">
        <v>7</v>
      </c>
      <c r="D425" s="1">
        <v>17</v>
      </c>
      <c r="E425" s="1" t="s">
        <v>37</v>
      </c>
      <c r="F425" s="1" t="s">
        <v>39</v>
      </c>
      <c r="G425" s="1" t="s">
        <v>14</v>
      </c>
      <c r="H425" s="1" t="s">
        <v>37</v>
      </c>
      <c r="I425" s="1">
        <v>3</v>
      </c>
      <c r="J425" s="3" t="s">
        <v>70</v>
      </c>
      <c r="K425" s="1" t="s">
        <v>42</v>
      </c>
      <c r="L425" s="1" t="s">
        <v>45</v>
      </c>
      <c r="M425" s="1" t="s">
        <v>45</v>
      </c>
      <c r="N425" s="7" t="s">
        <v>45</v>
      </c>
      <c r="O425" s="1">
        <v>0.78</v>
      </c>
      <c r="P425" s="1">
        <v>1.78</v>
      </c>
      <c r="Q425" s="6">
        <f>O425/(0.1*O411)</f>
        <v>2.4223602484472044</v>
      </c>
      <c r="R425" s="6">
        <f>O425/(0.1*O414)</f>
        <v>2.4223602484472044</v>
      </c>
      <c r="S425" s="6">
        <f>P425/(0.9*P416)</f>
        <v>1.4870509607351712</v>
      </c>
      <c r="T425" s="6">
        <f t="shared" si="149"/>
        <v>3.9094112091823758</v>
      </c>
      <c r="U425" s="6">
        <f t="shared" si="150"/>
        <v>3.9094112091823758</v>
      </c>
      <c r="V425" s="1">
        <f>O425/O411+P425/P416</f>
        <v>1.5805818895063746</v>
      </c>
      <c r="W425" s="1">
        <f>O425/O414+P425/P416</f>
        <v>1.5805818895063746</v>
      </c>
      <c r="X425" s="1">
        <f t="shared" si="148"/>
        <v>70</v>
      </c>
      <c r="Y425" s="6">
        <f t="shared" si="151"/>
        <v>2.56</v>
      </c>
    </row>
    <row r="426" spans="1:25" x14ac:dyDescent="0.15">
      <c r="A426" s="1">
        <v>2023</v>
      </c>
      <c r="B426" s="1" t="s">
        <v>55</v>
      </c>
      <c r="C426" s="1">
        <v>7</v>
      </c>
      <c r="D426" s="1">
        <v>18</v>
      </c>
      <c r="E426" s="1" t="s">
        <v>37</v>
      </c>
      <c r="F426" s="1" t="s">
        <v>40</v>
      </c>
      <c r="G426" s="1" t="s">
        <v>14</v>
      </c>
      <c r="H426" s="1" t="s">
        <v>37</v>
      </c>
      <c r="I426" s="1">
        <v>3</v>
      </c>
      <c r="J426" s="3" t="s">
        <v>71</v>
      </c>
      <c r="K426" s="1" t="s">
        <v>42</v>
      </c>
      <c r="L426" s="1" t="s">
        <v>45</v>
      </c>
      <c r="M426" s="1" t="s">
        <v>45</v>
      </c>
      <c r="N426" s="7" t="s">
        <v>45</v>
      </c>
      <c r="O426" s="1">
        <v>1</v>
      </c>
      <c r="P426" s="1">
        <v>2.11</v>
      </c>
      <c r="Q426" s="6">
        <f>O426/(0.1*O411)</f>
        <v>3.1055900621118004</v>
      </c>
      <c r="R426" s="6">
        <f>O426/(0.1*O414)</f>
        <v>3.1055900621118004</v>
      </c>
      <c r="S426" s="6">
        <f>P426/(0.9*P417)</f>
        <v>1.2404467960023515</v>
      </c>
      <c r="T426" s="6">
        <f t="shared" si="149"/>
        <v>4.346036858114152</v>
      </c>
      <c r="U426" s="6">
        <f t="shared" si="150"/>
        <v>4.346036858114152</v>
      </c>
      <c r="V426" s="1">
        <f>O426/O411+P426/P417</f>
        <v>1.4269611226132963</v>
      </c>
      <c r="W426" s="1">
        <f>O426/O414+P426/P417</f>
        <v>1.4269611226132963</v>
      </c>
      <c r="X426" s="1">
        <f t="shared" si="148"/>
        <v>68</v>
      </c>
      <c r="Y426" s="6">
        <f t="shared" si="151"/>
        <v>3.11</v>
      </c>
    </row>
    <row r="427" spans="1:25" x14ac:dyDescent="0.15">
      <c r="A427" s="1">
        <v>2023</v>
      </c>
      <c r="B427" s="1" t="s">
        <v>55</v>
      </c>
      <c r="C427" s="1">
        <v>8</v>
      </c>
      <c r="D427" s="1">
        <v>1</v>
      </c>
      <c r="E427" s="1" t="s">
        <v>35</v>
      </c>
      <c r="F427" s="1"/>
      <c r="G427" s="1" t="s">
        <v>41</v>
      </c>
      <c r="H427" s="1" t="s">
        <v>35</v>
      </c>
      <c r="I427" s="1">
        <v>4</v>
      </c>
      <c r="J427" s="3" t="s">
        <v>35</v>
      </c>
      <c r="K427" s="1" t="s">
        <v>42</v>
      </c>
      <c r="L427" s="1" t="s">
        <v>45</v>
      </c>
      <c r="M427" s="1" t="s">
        <v>45</v>
      </c>
      <c r="N427" s="7" t="s">
        <v>45</v>
      </c>
      <c r="O427" s="1">
        <v>2.67</v>
      </c>
      <c r="P427" s="1" t="s">
        <v>45</v>
      </c>
      <c r="Q427" s="6" t="s">
        <v>45</v>
      </c>
      <c r="R427" s="6" t="s">
        <v>45</v>
      </c>
      <c r="S427" s="6" t="s">
        <v>45</v>
      </c>
      <c r="T427" s="6" t="s">
        <v>45</v>
      </c>
      <c r="U427" s="6" t="s">
        <v>45</v>
      </c>
      <c r="V427" s="1" t="s">
        <v>45</v>
      </c>
      <c r="W427" s="1" t="s">
        <v>45</v>
      </c>
      <c r="X427" s="6" t="s">
        <v>45</v>
      </c>
      <c r="Y427" s="6">
        <f>O427</f>
        <v>2.67</v>
      </c>
    </row>
    <row r="428" spans="1:25" x14ac:dyDescent="0.15">
      <c r="A428" s="1">
        <v>2023</v>
      </c>
      <c r="B428" s="1" t="s">
        <v>55</v>
      </c>
      <c r="C428" s="1">
        <v>8</v>
      </c>
      <c r="D428" s="1">
        <v>2</v>
      </c>
      <c r="E428" s="1" t="s">
        <v>36</v>
      </c>
      <c r="F428" s="1"/>
      <c r="G428" s="1" t="s">
        <v>41</v>
      </c>
      <c r="H428" s="1" t="s">
        <v>36</v>
      </c>
      <c r="I428" s="1">
        <v>4</v>
      </c>
      <c r="J428" s="3" t="s">
        <v>36</v>
      </c>
      <c r="K428" s="1" t="s">
        <v>42</v>
      </c>
      <c r="L428" s="1" t="s">
        <v>45</v>
      </c>
      <c r="M428" s="1" t="s">
        <v>45</v>
      </c>
      <c r="N428" s="7" t="s">
        <v>45</v>
      </c>
      <c r="O428" s="1">
        <v>2.89</v>
      </c>
      <c r="P428" s="1" t="s">
        <v>45</v>
      </c>
      <c r="Q428" s="6" t="s">
        <v>45</v>
      </c>
      <c r="R428" s="6" t="s">
        <v>45</v>
      </c>
      <c r="S428" s="6" t="s">
        <v>45</v>
      </c>
      <c r="T428" s="6" t="s">
        <v>45</v>
      </c>
      <c r="U428" s="6" t="s">
        <v>45</v>
      </c>
      <c r="V428" s="1" t="s">
        <v>45</v>
      </c>
      <c r="W428" s="1" t="s">
        <v>45</v>
      </c>
      <c r="X428" s="6" t="s">
        <v>45</v>
      </c>
      <c r="Y428" s="6">
        <f t="shared" ref="Y428:Y432" si="152">O428</f>
        <v>2.89</v>
      </c>
    </row>
    <row r="429" spans="1:25" x14ac:dyDescent="0.15">
      <c r="A429" s="1">
        <v>2023</v>
      </c>
      <c r="B429" s="1" t="s">
        <v>55</v>
      </c>
      <c r="C429" s="1">
        <v>8</v>
      </c>
      <c r="D429" s="1">
        <v>3</v>
      </c>
      <c r="E429" s="1" t="s">
        <v>37</v>
      </c>
      <c r="F429" s="1"/>
      <c r="G429" s="1" t="s">
        <v>41</v>
      </c>
      <c r="H429" s="1" t="s">
        <v>37</v>
      </c>
      <c r="I429" s="1">
        <v>4</v>
      </c>
      <c r="J429" s="3" t="s">
        <v>37</v>
      </c>
      <c r="K429" s="1" t="s">
        <v>42</v>
      </c>
      <c r="L429" s="1" t="s">
        <v>45</v>
      </c>
      <c r="M429" s="1" t="s">
        <v>45</v>
      </c>
      <c r="N429" s="7" t="s">
        <v>45</v>
      </c>
      <c r="O429" s="1">
        <v>2.89</v>
      </c>
      <c r="P429" s="1" t="s">
        <v>45</v>
      </c>
      <c r="Q429" s="6" t="s">
        <v>45</v>
      </c>
      <c r="R429" s="6" t="s">
        <v>45</v>
      </c>
      <c r="S429" s="6" t="s">
        <v>45</v>
      </c>
      <c r="T429" s="6" t="s">
        <v>45</v>
      </c>
      <c r="U429" s="6" t="s">
        <v>45</v>
      </c>
      <c r="V429" s="1" t="s">
        <v>45</v>
      </c>
      <c r="W429" s="1" t="s">
        <v>45</v>
      </c>
      <c r="X429" s="6" t="s">
        <v>45</v>
      </c>
      <c r="Y429" s="6">
        <f t="shared" si="152"/>
        <v>2.89</v>
      </c>
    </row>
    <row r="430" spans="1:25" x14ac:dyDescent="0.15">
      <c r="A430" s="1">
        <v>2023</v>
      </c>
      <c r="B430" s="1" t="s">
        <v>55</v>
      </c>
      <c r="C430" s="1">
        <v>8</v>
      </c>
      <c r="D430" s="1">
        <v>4</v>
      </c>
      <c r="E430" s="1" t="s">
        <v>35</v>
      </c>
      <c r="F430" s="1"/>
      <c r="G430" s="1" t="s">
        <v>41</v>
      </c>
      <c r="H430" s="1" t="s">
        <v>75</v>
      </c>
      <c r="I430" s="1">
        <v>4</v>
      </c>
      <c r="J430" s="3" t="s">
        <v>35</v>
      </c>
      <c r="K430" s="1" t="s">
        <v>43</v>
      </c>
      <c r="L430" s="1" t="s">
        <v>45</v>
      </c>
      <c r="M430" s="1" t="s">
        <v>45</v>
      </c>
      <c r="N430" s="7" t="s">
        <v>45</v>
      </c>
      <c r="O430" s="1">
        <v>1.89</v>
      </c>
      <c r="P430" s="1" t="s">
        <v>45</v>
      </c>
      <c r="Q430" s="6" t="s">
        <v>45</v>
      </c>
      <c r="R430" s="6" t="s">
        <v>45</v>
      </c>
      <c r="S430" s="6" t="s">
        <v>45</v>
      </c>
      <c r="T430" s="6" t="s">
        <v>45</v>
      </c>
      <c r="U430" s="6" t="s">
        <v>45</v>
      </c>
      <c r="V430" s="1" t="s">
        <v>45</v>
      </c>
      <c r="W430" s="1" t="s">
        <v>45</v>
      </c>
      <c r="X430" s="1" t="s">
        <v>45</v>
      </c>
      <c r="Y430" s="6">
        <f t="shared" si="152"/>
        <v>1.89</v>
      </c>
    </row>
    <row r="431" spans="1:25" x14ac:dyDescent="0.15">
      <c r="A431" s="1">
        <v>2023</v>
      </c>
      <c r="B431" s="1" t="s">
        <v>55</v>
      </c>
      <c r="C431" s="1">
        <v>8</v>
      </c>
      <c r="D431" s="1">
        <v>5</v>
      </c>
      <c r="E431" s="1" t="s">
        <v>36</v>
      </c>
      <c r="F431" s="1"/>
      <c r="G431" s="1" t="s">
        <v>41</v>
      </c>
      <c r="H431" s="1" t="s">
        <v>76</v>
      </c>
      <c r="I431" s="1">
        <v>4</v>
      </c>
      <c r="J431" s="3" t="s">
        <v>36</v>
      </c>
      <c r="K431" s="1" t="s">
        <v>43</v>
      </c>
      <c r="L431" s="1" t="s">
        <v>45</v>
      </c>
      <c r="M431" s="1" t="s">
        <v>45</v>
      </c>
      <c r="N431" s="7" t="s">
        <v>45</v>
      </c>
      <c r="O431" s="1">
        <v>3.22</v>
      </c>
      <c r="P431" s="1" t="s">
        <v>45</v>
      </c>
      <c r="Q431" s="6" t="s">
        <v>45</v>
      </c>
      <c r="R431" s="6" t="s">
        <v>45</v>
      </c>
      <c r="S431" s="6" t="s">
        <v>45</v>
      </c>
      <c r="T431" s="6" t="s">
        <v>45</v>
      </c>
      <c r="U431" s="6" t="s">
        <v>45</v>
      </c>
      <c r="V431" s="1" t="s">
        <v>45</v>
      </c>
      <c r="W431" s="1" t="s">
        <v>45</v>
      </c>
      <c r="X431" s="1" t="s">
        <v>45</v>
      </c>
      <c r="Y431" s="6">
        <f t="shared" si="152"/>
        <v>3.22</v>
      </c>
    </row>
    <row r="432" spans="1:25" x14ac:dyDescent="0.15">
      <c r="A432" s="1">
        <v>2023</v>
      </c>
      <c r="B432" s="1" t="s">
        <v>55</v>
      </c>
      <c r="C432" s="1">
        <v>8</v>
      </c>
      <c r="D432" s="1">
        <v>6</v>
      </c>
      <c r="E432" s="1" t="s">
        <v>37</v>
      </c>
      <c r="F432" s="1"/>
      <c r="G432" s="1" t="s">
        <v>41</v>
      </c>
      <c r="H432" s="1" t="s">
        <v>77</v>
      </c>
      <c r="I432" s="1">
        <v>4</v>
      </c>
      <c r="J432" s="3" t="s">
        <v>37</v>
      </c>
      <c r="K432" s="1" t="s">
        <v>43</v>
      </c>
      <c r="L432" s="1" t="s">
        <v>45</v>
      </c>
      <c r="M432" s="1" t="s">
        <v>45</v>
      </c>
      <c r="N432" s="7" t="s">
        <v>45</v>
      </c>
      <c r="O432" s="1">
        <v>1.89</v>
      </c>
      <c r="P432" s="1" t="s">
        <v>45</v>
      </c>
      <c r="Q432" s="6" t="s">
        <v>45</v>
      </c>
      <c r="R432" s="6" t="s">
        <v>45</v>
      </c>
      <c r="S432" s="6" t="s">
        <v>45</v>
      </c>
      <c r="T432" s="6" t="s">
        <v>45</v>
      </c>
      <c r="U432" s="6" t="s">
        <v>45</v>
      </c>
      <c r="V432" s="1" t="s">
        <v>45</v>
      </c>
      <c r="W432" s="1" t="s">
        <v>45</v>
      </c>
      <c r="X432" s="1" t="s">
        <v>45</v>
      </c>
      <c r="Y432" s="6">
        <f t="shared" si="152"/>
        <v>1.89</v>
      </c>
    </row>
    <row r="433" spans="1:25" x14ac:dyDescent="0.15">
      <c r="A433" s="1">
        <v>2023</v>
      </c>
      <c r="B433" s="1" t="s">
        <v>55</v>
      </c>
      <c r="C433" s="1">
        <v>8</v>
      </c>
      <c r="D433" s="1">
        <v>7</v>
      </c>
      <c r="E433" s="1"/>
      <c r="F433" s="1" t="s">
        <v>38</v>
      </c>
      <c r="G433" s="1" t="s">
        <v>41</v>
      </c>
      <c r="H433" s="1"/>
      <c r="I433" s="1">
        <v>4</v>
      </c>
      <c r="J433" s="3" t="s">
        <v>38</v>
      </c>
      <c r="K433" s="1" t="s">
        <v>42</v>
      </c>
      <c r="L433" s="1" t="s">
        <v>45</v>
      </c>
      <c r="M433" s="1" t="s">
        <v>45</v>
      </c>
      <c r="N433" s="7" t="s">
        <v>45</v>
      </c>
      <c r="O433" s="1" t="s">
        <v>45</v>
      </c>
      <c r="P433" s="1">
        <v>2.44</v>
      </c>
      <c r="Q433" s="6" t="s">
        <v>45</v>
      </c>
      <c r="R433" s="6" t="s">
        <v>45</v>
      </c>
      <c r="S433" s="6" t="s">
        <v>45</v>
      </c>
      <c r="T433" s="6" t="s">
        <v>45</v>
      </c>
      <c r="U433" s="6" t="s">
        <v>45</v>
      </c>
      <c r="V433" s="1" t="s">
        <v>45</v>
      </c>
      <c r="W433" s="1" t="s">
        <v>45</v>
      </c>
      <c r="X433" s="1" t="s">
        <v>45</v>
      </c>
      <c r="Y433" s="6">
        <f>P433</f>
        <v>2.44</v>
      </c>
    </row>
    <row r="434" spans="1:25" x14ac:dyDescent="0.15">
      <c r="A434" s="1">
        <v>2023</v>
      </c>
      <c r="B434" s="1" t="s">
        <v>55</v>
      </c>
      <c r="C434" s="1">
        <v>8</v>
      </c>
      <c r="D434" s="1">
        <v>8</v>
      </c>
      <c r="E434" s="1"/>
      <c r="F434" s="1" t="s">
        <v>39</v>
      </c>
      <c r="G434" s="1" t="s">
        <v>41</v>
      </c>
      <c r="H434" s="1"/>
      <c r="I434" s="1">
        <v>4</v>
      </c>
      <c r="J434" s="3" t="s">
        <v>39</v>
      </c>
      <c r="K434" s="1" t="s">
        <v>42</v>
      </c>
      <c r="L434" s="1" t="s">
        <v>45</v>
      </c>
      <c r="M434" s="1" t="s">
        <v>45</v>
      </c>
      <c r="N434" s="7" t="s">
        <v>45</v>
      </c>
      <c r="O434" s="1" t="s">
        <v>45</v>
      </c>
      <c r="P434" s="1">
        <v>1.1100000000000001</v>
      </c>
      <c r="Q434" s="6" t="s">
        <v>45</v>
      </c>
      <c r="R434" s="6" t="s">
        <v>45</v>
      </c>
      <c r="S434" s="6" t="s">
        <v>45</v>
      </c>
      <c r="T434" s="6" t="s">
        <v>45</v>
      </c>
      <c r="U434" s="6" t="s">
        <v>45</v>
      </c>
      <c r="V434" s="1" t="s">
        <v>45</v>
      </c>
      <c r="W434" s="1" t="s">
        <v>45</v>
      </c>
      <c r="X434" s="1" t="s">
        <v>45</v>
      </c>
      <c r="Y434" s="6">
        <f t="shared" ref="Y434:Y435" si="153">P434</f>
        <v>1.1100000000000001</v>
      </c>
    </row>
    <row r="435" spans="1:25" x14ac:dyDescent="0.15">
      <c r="A435" s="1">
        <v>2023</v>
      </c>
      <c r="B435" s="1" t="s">
        <v>55</v>
      </c>
      <c r="C435" s="1">
        <v>8</v>
      </c>
      <c r="D435" s="1">
        <v>9</v>
      </c>
      <c r="E435" s="1"/>
      <c r="F435" s="1" t="s">
        <v>40</v>
      </c>
      <c r="G435" s="1" t="s">
        <v>41</v>
      </c>
      <c r="H435" s="1"/>
      <c r="I435" s="1">
        <v>4</v>
      </c>
      <c r="J435" s="3" t="s">
        <v>40</v>
      </c>
      <c r="K435" s="1" t="s">
        <v>42</v>
      </c>
      <c r="L435" s="1" t="s">
        <v>45</v>
      </c>
      <c r="M435" s="1" t="s">
        <v>45</v>
      </c>
      <c r="N435" s="7" t="s">
        <v>45</v>
      </c>
      <c r="O435" s="1" t="s">
        <v>45</v>
      </c>
      <c r="P435" s="1">
        <v>1.78</v>
      </c>
      <c r="Q435" s="6" t="s">
        <v>45</v>
      </c>
      <c r="R435" s="6" t="s">
        <v>45</v>
      </c>
      <c r="S435" s="6" t="s">
        <v>45</v>
      </c>
      <c r="T435" s="6" t="s">
        <v>45</v>
      </c>
      <c r="U435" s="6" t="s">
        <v>45</v>
      </c>
      <c r="V435" s="1" t="s">
        <v>45</v>
      </c>
      <c r="W435" s="1" t="s">
        <v>45</v>
      </c>
      <c r="X435" s="1" t="s">
        <v>45</v>
      </c>
      <c r="Y435" s="6">
        <f t="shared" si="153"/>
        <v>1.78</v>
      </c>
    </row>
    <row r="436" spans="1:25" x14ac:dyDescent="0.15">
      <c r="A436" s="1">
        <v>2023</v>
      </c>
      <c r="B436" s="1" t="s">
        <v>55</v>
      </c>
      <c r="C436" s="1">
        <v>8</v>
      </c>
      <c r="D436" s="1">
        <v>10</v>
      </c>
      <c r="E436" s="1" t="s">
        <v>35</v>
      </c>
      <c r="F436" s="1" t="s">
        <v>38</v>
      </c>
      <c r="G436" s="1" t="s">
        <v>14</v>
      </c>
      <c r="H436" s="1" t="s">
        <v>35</v>
      </c>
      <c r="I436" s="1">
        <v>4</v>
      </c>
      <c r="J436" s="3" t="s">
        <v>63</v>
      </c>
      <c r="K436" s="1" t="s">
        <v>42</v>
      </c>
      <c r="L436" s="1" t="s">
        <v>45</v>
      </c>
      <c r="M436" s="1" t="s">
        <v>45</v>
      </c>
      <c r="N436" s="7" t="s">
        <v>45</v>
      </c>
      <c r="O436" s="1">
        <v>0.78</v>
      </c>
      <c r="P436" s="1">
        <v>2</v>
      </c>
      <c r="Q436" s="6">
        <f>O436/(0.1*O427)</f>
        <v>2.9213483146067416</v>
      </c>
      <c r="R436" s="6">
        <f>O436/(0.1*O430)</f>
        <v>4.1269841269841274</v>
      </c>
      <c r="S436" s="6">
        <f>P436/(0.9*P433)</f>
        <v>0.91074681238615662</v>
      </c>
      <c r="T436" s="6">
        <f>Q436+S436</f>
        <v>3.8320951269928982</v>
      </c>
      <c r="U436" s="6">
        <f>R436+S436</f>
        <v>5.0377309393702845</v>
      </c>
      <c r="V436" s="1">
        <f>O436/O427+P436/P433</f>
        <v>1.1118069626082152</v>
      </c>
      <c r="W436" s="1">
        <f>O436/O430+P436/P433</f>
        <v>1.2323705438459538</v>
      </c>
      <c r="X436" s="1">
        <f t="shared" ref="X436:X444" si="154">100*ROUND(P436/(P436+O436), 2)</f>
        <v>72</v>
      </c>
      <c r="Y436" s="6">
        <f>O436+P436</f>
        <v>2.7800000000000002</v>
      </c>
    </row>
    <row r="437" spans="1:25" x14ac:dyDescent="0.15">
      <c r="A437" s="1">
        <v>2023</v>
      </c>
      <c r="B437" s="1" t="s">
        <v>55</v>
      </c>
      <c r="C437" s="1">
        <v>8</v>
      </c>
      <c r="D437" s="1">
        <v>11</v>
      </c>
      <c r="E437" s="1" t="s">
        <v>35</v>
      </c>
      <c r="F437" s="1" t="s">
        <v>39</v>
      </c>
      <c r="G437" s="1" t="s">
        <v>14</v>
      </c>
      <c r="H437" s="1" t="s">
        <v>35</v>
      </c>
      <c r="I437" s="1">
        <v>4</v>
      </c>
      <c r="J437" s="3" t="s">
        <v>64</v>
      </c>
      <c r="K437" s="1" t="s">
        <v>42</v>
      </c>
      <c r="L437" s="1" t="s">
        <v>45</v>
      </c>
      <c r="M437" s="1" t="s">
        <v>45</v>
      </c>
      <c r="N437" s="7" t="s">
        <v>45</v>
      </c>
      <c r="O437" s="1">
        <v>0.78</v>
      </c>
      <c r="P437" s="1">
        <v>1.44</v>
      </c>
      <c r="Q437" s="6">
        <f>O437/(0.1*O427)</f>
        <v>2.9213483146067416</v>
      </c>
      <c r="R437" s="6">
        <f>O437/(0.1*O430)</f>
        <v>4.1269841269841274</v>
      </c>
      <c r="S437" s="6">
        <f>P437/(0.9*P434)</f>
        <v>1.4414414414414412</v>
      </c>
      <c r="T437" s="6">
        <f t="shared" ref="T437:T444" si="155">Q437+S437</f>
        <v>4.3627897560481825</v>
      </c>
      <c r="U437" s="6">
        <f t="shared" ref="U437:U444" si="156">R437+S437</f>
        <v>5.5684255684255684</v>
      </c>
      <c r="V437" s="1">
        <f>O437/O427+P437/P434</f>
        <v>1.5894321287579714</v>
      </c>
      <c r="W437" s="1">
        <f>O437/O430+P437/P434</f>
        <v>1.7099957099957099</v>
      </c>
      <c r="X437" s="1">
        <f t="shared" si="154"/>
        <v>65</v>
      </c>
      <c r="Y437" s="6">
        <f t="shared" ref="Y437:Y444" si="157">O437+P437</f>
        <v>2.2199999999999998</v>
      </c>
    </row>
    <row r="438" spans="1:25" x14ac:dyDescent="0.15">
      <c r="A438" s="1">
        <v>2023</v>
      </c>
      <c r="B438" s="1" t="s">
        <v>55</v>
      </c>
      <c r="C438" s="1">
        <v>8</v>
      </c>
      <c r="D438" s="1">
        <v>12</v>
      </c>
      <c r="E438" s="1" t="s">
        <v>35</v>
      </c>
      <c r="F438" s="1" t="s">
        <v>40</v>
      </c>
      <c r="G438" s="1" t="s">
        <v>14</v>
      </c>
      <c r="H438" s="1" t="s">
        <v>35</v>
      </c>
      <c r="I438" s="1">
        <v>4</v>
      </c>
      <c r="J438" s="3" t="s">
        <v>65</v>
      </c>
      <c r="K438" s="1" t="s">
        <v>42</v>
      </c>
      <c r="L438" s="1" t="s">
        <v>45</v>
      </c>
      <c r="M438" s="1" t="s">
        <v>45</v>
      </c>
      <c r="N438" s="7" t="s">
        <v>45</v>
      </c>
      <c r="O438" s="1">
        <v>0.89</v>
      </c>
      <c r="P438" s="1">
        <v>1.56</v>
      </c>
      <c r="Q438" s="6">
        <f>O438/(0.1*O427)</f>
        <v>3.333333333333333</v>
      </c>
      <c r="R438" s="6">
        <f>O438/(0.1*O430)</f>
        <v>4.7089947089947088</v>
      </c>
      <c r="S438" s="6">
        <f>P438/(0.9*P435)</f>
        <v>0.97378277153558046</v>
      </c>
      <c r="T438" s="6">
        <f t="shared" si="155"/>
        <v>4.3071161048689133</v>
      </c>
      <c r="U438" s="6">
        <f t="shared" si="156"/>
        <v>5.6827774805302891</v>
      </c>
      <c r="V438" s="1">
        <f>O438/O427+P438/P435</f>
        <v>1.2097378277153559</v>
      </c>
      <c r="W438" s="1">
        <f>O438/O430+P438/P435</f>
        <v>1.3473039652814935</v>
      </c>
      <c r="X438" s="1">
        <f t="shared" si="154"/>
        <v>64</v>
      </c>
      <c r="Y438" s="6">
        <f t="shared" si="157"/>
        <v>2.4500000000000002</v>
      </c>
    </row>
    <row r="439" spans="1:25" x14ac:dyDescent="0.15">
      <c r="A439" s="1">
        <v>2023</v>
      </c>
      <c r="B439" s="1" t="s">
        <v>55</v>
      </c>
      <c r="C439" s="1">
        <v>8</v>
      </c>
      <c r="D439" s="1">
        <v>13</v>
      </c>
      <c r="E439" s="1" t="s">
        <v>36</v>
      </c>
      <c r="F439" s="1" t="s">
        <v>38</v>
      </c>
      <c r="G439" s="1" t="s">
        <v>14</v>
      </c>
      <c r="H439" s="1" t="s">
        <v>36</v>
      </c>
      <c r="I439" s="1">
        <v>4</v>
      </c>
      <c r="J439" s="3" t="s">
        <v>66</v>
      </c>
      <c r="K439" s="1" t="s">
        <v>42</v>
      </c>
      <c r="L439" s="1" t="s">
        <v>45</v>
      </c>
      <c r="M439" s="1" t="s">
        <v>45</v>
      </c>
      <c r="N439" s="7" t="s">
        <v>45</v>
      </c>
      <c r="O439" s="1">
        <v>1</v>
      </c>
      <c r="P439" s="1">
        <v>1.67</v>
      </c>
      <c r="Q439" s="6">
        <f>O439/(0.1*O428)</f>
        <v>3.4602076124567471</v>
      </c>
      <c r="R439" s="6">
        <f>O439/(0.1*O431)</f>
        <v>3.1055900621118004</v>
      </c>
      <c r="S439" s="6">
        <f>P439/(0.9*P433)</f>
        <v>0.76047358834244072</v>
      </c>
      <c r="T439" s="6">
        <f t="shared" si="155"/>
        <v>4.2206812007991878</v>
      </c>
      <c r="U439" s="6">
        <f t="shared" si="156"/>
        <v>3.8660636504542412</v>
      </c>
      <c r="V439" s="1">
        <f>O439/O428+P439/P433</f>
        <v>1.0304469907538714</v>
      </c>
      <c r="W439" s="1">
        <f>O439/O431+P439/P433</f>
        <v>0.99498523571937691</v>
      </c>
      <c r="X439" s="1">
        <f t="shared" si="154"/>
        <v>63</v>
      </c>
      <c r="Y439" s="6">
        <f t="shared" si="157"/>
        <v>2.67</v>
      </c>
    </row>
    <row r="440" spans="1:25" x14ac:dyDescent="0.15">
      <c r="A440" s="1">
        <v>2023</v>
      </c>
      <c r="B440" s="1" t="s">
        <v>55</v>
      </c>
      <c r="C440" s="1">
        <v>8</v>
      </c>
      <c r="D440" s="1">
        <v>14</v>
      </c>
      <c r="E440" s="1" t="s">
        <v>36</v>
      </c>
      <c r="F440" s="1" t="s">
        <v>39</v>
      </c>
      <c r="G440" s="1" t="s">
        <v>14</v>
      </c>
      <c r="H440" s="1" t="s">
        <v>36</v>
      </c>
      <c r="I440" s="1">
        <v>4</v>
      </c>
      <c r="J440" s="3" t="s">
        <v>67</v>
      </c>
      <c r="K440" s="1" t="s">
        <v>42</v>
      </c>
      <c r="L440" s="1" t="s">
        <v>45</v>
      </c>
      <c r="M440" s="1" t="s">
        <v>45</v>
      </c>
      <c r="N440" s="7" t="s">
        <v>45</v>
      </c>
      <c r="O440" s="1">
        <v>1</v>
      </c>
      <c r="P440" s="1">
        <v>1.44</v>
      </c>
      <c r="Q440" s="6">
        <f>O440/(0.1*O428)</f>
        <v>3.4602076124567471</v>
      </c>
      <c r="R440" s="6">
        <f>O440/(0.1*O431)</f>
        <v>3.1055900621118004</v>
      </c>
      <c r="S440" s="6">
        <f>P440/(0.9*P434)</f>
        <v>1.4414414414414412</v>
      </c>
      <c r="T440" s="6">
        <f t="shared" si="155"/>
        <v>4.9016490538981881</v>
      </c>
      <c r="U440" s="6">
        <f t="shared" si="156"/>
        <v>4.5470315035532414</v>
      </c>
      <c r="V440" s="1">
        <f>O440/O428+P440/P434</f>
        <v>1.6433180585429719</v>
      </c>
      <c r="W440" s="1">
        <f>O440/O431+P440/P434</f>
        <v>1.6078563035084772</v>
      </c>
      <c r="X440" s="1">
        <f t="shared" si="154"/>
        <v>59</v>
      </c>
      <c r="Y440" s="6">
        <f t="shared" si="157"/>
        <v>2.44</v>
      </c>
    </row>
    <row r="441" spans="1:25" x14ac:dyDescent="0.15">
      <c r="A441" s="1">
        <v>2023</v>
      </c>
      <c r="B441" s="1" t="s">
        <v>55</v>
      </c>
      <c r="C441" s="1">
        <v>8</v>
      </c>
      <c r="D441" s="1">
        <v>15</v>
      </c>
      <c r="E441" s="1" t="s">
        <v>36</v>
      </c>
      <c r="F441" s="1" t="s">
        <v>40</v>
      </c>
      <c r="G441" s="1" t="s">
        <v>14</v>
      </c>
      <c r="H441" s="1" t="s">
        <v>36</v>
      </c>
      <c r="I441" s="1">
        <v>4</v>
      </c>
      <c r="J441" s="3" t="s">
        <v>68</v>
      </c>
      <c r="K441" s="1" t="s">
        <v>42</v>
      </c>
      <c r="L441" s="1" t="s">
        <v>45</v>
      </c>
      <c r="M441" s="1" t="s">
        <v>45</v>
      </c>
      <c r="N441" s="7" t="s">
        <v>45</v>
      </c>
      <c r="O441" s="1">
        <v>1.56</v>
      </c>
      <c r="P441" s="1">
        <v>1.44</v>
      </c>
      <c r="Q441" s="6">
        <f>O441/(0.1*O428)</f>
        <v>5.3979238754325252</v>
      </c>
      <c r="R441" s="6">
        <f>O441/(0.1*O431)</f>
        <v>4.8447204968944089</v>
      </c>
      <c r="S441" s="6">
        <f>P441/(0.9*P435)</f>
        <v>0.89887640449438189</v>
      </c>
      <c r="T441" s="6">
        <f t="shared" si="155"/>
        <v>6.2968002799269067</v>
      </c>
      <c r="U441" s="6">
        <f t="shared" si="156"/>
        <v>5.7435969013887904</v>
      </c>
      <c r="V441" s="1">
        <f>O441/O428+P441/P435</f>
        <v>1.3487811515881964</v>
      </c>
      <c r="W441" s="1">
        <f>O441/O431+P441/P435</f>
        <v>1.2934608137343848</v>
      </c>
      <c r="X441" s="1">
        <f t="shared" si="154"/>
        <v>48</v>
      </c>
      <c r="Y441" s="6">
        <f t="shared" si="157"/>
        <v>3</v>
      </c>
    </row>
    <row r="442" spans="1:25" x14ac:dyDescent="0.15">
      <c r="A442" s="1">
        <v>2023</v>
      </c>
      <c r="B442" s="1" t="s">
        <v>55</v>
      </c>
      <c r="C442" s="1">
        <v>8</v>
      </c>
      <c r="D442" s="1">
        <v>16</v>
      </c>
      <c r="E442" s="1" t="s">
        <v>37</v>
      </c>
      <c r="F442" s="1" t="s">
        <v>38</v>
      </c>
      <c r="G442" s="1" t="s">
        <v>14</v>
      </c>
      <c r="H442" s="1" t="s">
        <v>37</v>
      </c>
      <c r="I442" s="1">
        <v>4</v>
      </c>
      <c r="J442" s="3" t="s">
        <v>69</v>
      </c>
      <c r="K442" s="1" t="s">
        <v>42</v>
      </c>
      <c r="L442" s="1" t="s">
        <v>45</v>
      </c>
      <c r="M442" s="1" t="s">
        <v>45</v>
      </c>
      <c r="N442" s="7" t="s">
        <v>45</v>
      </c>
      <c r="O442" s="1">
        <v>0.78</v>
      </c>
      <c r="P442" s="1">
        <v>2.11</v>
      </c>
      <c r="Q442" s="6">
        <f>O442/(0.1*O429)</f>
        <v>2.6989619377162626</v>
      </c>
      <c r="R442" s="6">
        <f>O442/(0.1*O432)</f>
        <v>4.1269841269841274</v>
      </c>
      <c r="S442" s="6">
        <f>P442/(0.9*P433)</f>
        <v>0.96083788706739515</v>
      </c>
      <c r="T442" s="6">
        <f t="shared" si="155"/>
        <v>3.6597998247836578</v>
      </c>
      <c r="U442" s="6">
        <f t="shared" si="156"/>
        <v>5.0878220140515227</v>
      </c>
      <c r="V442" s="1">
        <f>O442/O429+P442/P433</f>
        <v>1.1346502921322821</v>
      </c>
      <c r="W442" s="1">
        <f>O442/O432+P442/P433</f>
        <v>1.2774525110590684</v>
      </c>
      <c r="X442" s="1">
        <f t="shared" si="154"/>
        <v>73</v>
      </c>
      <c r="Y442" s="6">
        <f t="shared" si="157"/>
        <v>2.8899999999999997</v>
      </c>
    </row>
    <row r="443" spans="1:25" x14ac:dyDescent="0.15">
      <c r="A443" s="1">
        <v>2023</v>
      </c>
      <c r="B443" s="1" t="s">
        <v>55</v>
      </c>
      <c r="C443" s="1">
        <v>8</v>
      </c>
      <c r="D443" s="1">
        <v>17</v>
      </c>
      <c r="E443" s="1" t="s">
        <v>37</v>
      </c>
      <c r="F443" s="1" t="s">
        <v>39</v>
      </c>
      <c r="G443" s="1" t="s">
        <v>14</v>
      </c>
      <c r="H443" s="1" t="s">
        <v>37</v>
      </c>
      <c r="I443" s="1">
        <v>4</v>
      </c>
      <c r="J443" s="3" t="s">
        <v>70</v>
      </c>
      <c r="K443" s="1" t="s">
        <v>42</v>
      </c>
      <c r="L443" s="1" t="s">
        <v>45</v>
      </c>
      <c r="M443" s="1" t="s">
        <v>45</v>
      </c>
      <c r="N443" s="7" t="s">
        <v>45</v>
      </c>
      <c r="O443" s="1">
        <v>0.56000000000000005</v>
      </c>
      <c r="P443" s="1">
        <v>0.89</v>
      </c>
      <c r="Q443" s="6">
        <f>O443/(0.1*O429)</f>
        <v>1.9377162629757785</v>
      </c>
      <c r="R443" s="6">
        <f>O443/(0.1*O432)</f>
        <v>2.9629629629629632</v>
      </c>
      <c r="S443" s="6">
        <f>P443/(0.9*P434)</f>
        <v>0.8908908908908908</v>
      </c>
      <c r="T443" s="6">
        <f t="shared" si="155"/>
        <v>2.8286071538666695</v>
      </c>
      <c r="U443" s="6">
        <f t="shared" si="156"/>
        <v>3.8538538538538543</v>
      </c>
      <c r="V443" s="1">
        <f>O443/O429+P443/P434</f>
        <v>0.99557342809937954</v>
      </c>
      <c r="W443" s="1">
        <f>O443/O432+P443/P434</f>
        <v>1.0980980980980981</v>
      </c>
      <c r="X443" s="1">
        <f t="shared" si="154"/>
        <v>61</v>
      </c>
      <c r="Y443" s="6">
        <f t="shared" si="157"/>
        <v>1.4500000000000002</v>
      </c>
    </row>
    <row r="444" spans="1:25" x14ac:dyDescent="0.15">
      <c r="A444" s="1">
        <v>2023</v>
      </c>
      <c r="B444" s="1" t="s">
        <v>55</v>
      </c>
      <c r="C444" s="1">
        <v>8</v>
      </c>
      <c r="D444" s="1">
        <v>18</v>
      </c>
      <c r="E444" s="1" t="s">
        <v>37</v>
      </c>
      <c r="F444" s="1" t="s">
        <v>40</v>
      </c>
      <c r="G444" s="1" t="s">
        <v>14</v>
      </c>
      <c r="H444" s="1" t="s">
        <v>37</v>
      </c>
      <c r="I444" s="1">
        <v>4</v>
      </c>
      <c r="J444" s="3" t="s">
        <v>71</v>
      </c>
      <c r="K444" s="1" t="s">
        <v>42</v>
      </c>
      <c r="L444" s="1" t="s">
        <v>45</v>
      </c>
      <c r="M444" s="1" t="s">
        <v>45</v>
      </c>
      <c r="N444" s="7" t="s">
        <v>45</v>
      </c>
      <c r="O444" s="1">
        <v>0.78</v>
      </c>
      <c r="P444" s="1">
        <v>1.56</v>
      </c>
      <c r="Q444" s="6">
        <f>O444/(0.1*O429)</f>
        <v>2.6989619377162626</v>
      </c>
      <c r="R444" s="6">
        <f>O444/(0.1*O432)</f>
        <v>4.1269841269841274</v>
      </c>
      <c r="S444" s="6">
        <f>P444/(0.9*P435)</f>
        <v>0.97378277153558046</v>
      </c>
      <c r="T444" s="6">
        <f t="shared" si="155"/>
        <v>3.6727447092518428</v>
      </c>
      <c r="U444" s="6">
        <f t="shared" si="156"/>
        <v>5.1007668985197077</v>
      </c>
      <c r="V444" s="1">
        <f>O444/O429+P444/P435</f>
        <v>1.1463006881536488</v>
      </c>
      <c r="W444" s="1">
        <f>O444/O432+P444/P435</f>
        <v>1.2891029070804352</v>
      </c>
      <c r="X444" s="1">
        <f t="shared" si="154"/>
        <v>67</v>
      </c>
      <c r="Y444" s="6">
        <f t="shared" si="157"/>
        <v>2.34</v>
      </c>
    </row>
    <row r="445" spans="1:25" x14ac:dyDescent="0.15">
      <c r="A445" s="3">
        <v>2024</v>
      </c>
      <c r="B445" s="1" t="s">
        <v>55</v>
      </c>
      <c r="C445" s="3">
        <v>9</v>
      </c>
      <c r="D445" s="3">
        <v>1</v>
      </c>
      <c r="E445" s="3" t="s">
        <v>35</v>
      </c>
      <c r="F445" s="3"/>
      <c r="G445" s="3" t="s">
        <v>41</v>
      </c>
      <c r="H445" s="1" t="s">
        <v>35</v>
      </c>
      <c r="I445" s="3">
        <v>1</v>
      </c>
      <c r="J445" s="3" t="s">
        <v>35</v>
      </c>
      <c r="K445" s="1" t="s">
        <v>42</v>
      </c>
      <c r="L445" s="1" t="s">
        <v>45</v>
      </c>
      <c r="M445" s="1" t="s">
        <v>45</v>
      </c>
      <c r="N445" s="7" t="s">
        <v>45</v>
      </c>
      <c r="O445" s="1">
        <v>3.78</v>
      </c>
      <c r="P445" s="1" t="s">
        <v>45</v>
      </c>
      <c r="Q445" s="6" t="s">
        <v>45</v>
      </c>
      <c r="R445" s="6" t="s">
        <v>45</v>
      </c>
      <c r="S445" s="6" t="s">
        <v>45</v>
      </c>
      <c r="T445" s="6" t="s">
        <v>45</v>
      </c>
      <c r="U445" s="6" t="s">
        <v>45</v>
      </c>
      <c r="V445" s="1" t="s">
        <v>45</v>
      </c>
      <c r="W445" s="1" t="s">
        <v>45</v>
      </c>
      <c r="X445" s="6" t="s">
        <v>45</v>
      </c>
      <c r="Y445" s="6">
        <f>O445</f>
        <v>3.78</v>
      </c>
    </row>
    <row r="446" spans="1:25" x14ac:dyDescent="0.15">
      <c r="A446" s="3">
        <v>2024</v>
      </c>
      <c r="B446" s="1" t="s">
        <v>55</v>
      </c>
      <c r="C446" s="3">
        <v>9</v>
      </c>
      <c r="D446" s="3">
        <v>2</v>
      </c>
      <c r="E446" s="3" t="s">
        <v>36</v>
      </c>
      <c r="F446" s="3"/>
      <c r="G446" s="3" t="s">
        <v>41</v>
      </c>
      <c r="H446" s="1" t="s">
        <v>36</v>
      </c>
      <c r="I446" s="3">
        <v>1</v>
      </c>
      <c r="J446" s="3" t="s">
        <v>36</v>
      </c>
      <c r="K446" s="1" t="s">
        <v>42</v>
      </c>
      <c r="L446" s="1" t="s">
        <v>45</v>
      </c>
      <c r="M446" s="1" t="s">
        <v>45</v>
      </c>
      <c r="N446" s="7" t="s">
        <v>45</v>
      </c>
      <c r="O446" s="1">
        <v>4.5599999999999996</v>
      </c>
      <c r="P446" s="1" t="s">
        <v>45</v>
      </c>
      <c r="Q446" s="6" t="s">
        <v>45</v>
      </c>
      <c r="R446" s="6" t="s">
        <v>45</v>
      </c>
      <c r="S446" s="6" t="s">
        <v>45</v>
      </c>
      <c r="T446" s="6" t="s">
        <v>45</v>
      </c>
      <c r="U446" s="6" t="s">
        <v>45</v>
      </c>
      <c r="V446" s="1" t="s">
        <v>45</v>
      </c>
      <c r="W446" s="1" t="s">
        <v>45</v>
      </c>
      <c r="X446" s="6" t="s">
        <v>45</v>
      </c>
      <c r="Y446" s="6">
        <f t="shared" ref="Y446:Y450" si="158">O446</f>
        <v>4.5599999999999996</v>
      </c>
    </row>
    <row r="447" spans="1:25" x14ac:dyDescent="0.15">
      <c r="A447" s="3">
        <v>2024</v>
      </c>
      <c r="B447" s="1" t="s">
        <v>55</v>
      </c>
      <c r="C447" s="3">
        <v>9</v>
      </c>
      <c r="D447" s="3">
        <v>3</v>
      </c>
      <c r="E447" s="3" t="s">
        <v>37</v>
      </c>
      <c r="F447" s="3"/>
      <c r="G447" s="3" t="s">
        <v>41</v>
      </c>
      <c r="H447" s="1" t="s">
        <v>37</v>
      </c>
      <c r="I447" s="3">
        <v>1</v>
      </c>
      <c r="J447" s="3" t="s">
        <v>37</v>
      </c>
      <c r="K447" s="1" t="s">
        <v>42</v>
      </c>
      <c r="L447" s="1" t="s">
        <v>45</v>
      </c>
      <c r="M447" s="1" t="s">
        <v>45</v>
      </c>
      <c r="N447" s="7" t="s">
        <v>45</v>
      </c>
      <c r="O447" s="1">
        <v>3.44</v>
      </c>
      <c r="P447" s="1" t="s">
        <v>45</v>
      </c>
      <c r="Q447" s="6" t="s">
        <v>45</v>
      </c>
      <c r="R447" s="6" t="s">
        <v>45</v>
      </c>
      <c r="S447" s="6" t="s">
        <v>45</v>
      </c>
      <c r="T447" s="6" t="s">
        <v>45</v>
      </c>
      <c r="U447" s="6" t="s">
        <v>45</v>
      </c>
      <c r="V447" s="1" t="s">
        <v>45</v>
      </c>
      <c r="W447" s="1" t="s">
        <v>45</v>
      </c>
      <c r="X447" s="6" t="s">
        <v>45</v>
      </c>
      <c r="Y447" s="6">
        <f t="shared" si="158"/>
        <v>3.44</v>
      </c>
    </row>
    <row r="448" spans="1:25" x14ac:dyDescent="0.15">
      <c r="A448" s="3">
        <v>2024</v>
      </c>
      <c r="B448" s="1" t="s">
        <v>55</v>
      </c>
      <c r="C448" s="3">
        <v>9</v>
      </c>
      <c r="D448" s="3">
        <v>4</v>
      </c>
      <c r="E448" s="3" t="s">
        <v>35</v>
      </c>
      <c r="F448" s="3"/>
      <c r="G448" s="3" t="s">
        <v>41</v>
      </c>
      <c r="H448" s="1" t="s">
        <v>75</v>
      </c>
      <c r="I448" s="3">
        <v>1</v>
      </c>
      <c r="J448" s="3" t="s">
        <v>35</v>
      </c>
      <c r="K448" s="1" t="s">
        <v>43</v>
      </c>
      <c r="L448" s="1" t="s">
        <v>45</v>
      </c>
      <c r="M448" s="1" t="s">
        <v>45</v>
      </c>
      <c r="N448" s="7" t="s">
        <v>45</v>
      </c>
      <c r="O448" s="1">
        <v>4.4400000000000004</v>
      </c>
      <c r="P448" s="1" t="s">
        <v>45</v>
      </c>
      <c r="Q448" s="6" t="s">
        <v>45</v>
      </c>
      <c r="R448" s="6" t="s">
        <v>45</v>
      </c>
      <c r="S448" s="6" t="s">
        <v>45</v>
      </c>
      <c r="T448" s="6" t="s">
        <v>45</v>
      </c>
      <c r="U448" s="6" t="s">
        <v>45</v>
      </c>
      <c r="V448" s="1" t="s">
        <v>45</v>
      </c>
      <c r="W448" s="1" t="s">
        <v>45</v>
      </c>
      <c r="X448" s="1" t="s">
        <v>45</v>
      </c>
      <c r="Y448" s="6">
        <f t="shared" si="158"/>
        <v>4.4400000000000004</v>
      </c>
    </row>
    <row r="449" spans="1:25" x14ac:dyDescent="0.15">
      <c r="A449" s="3">
        <v>2024</v>
      </c>
      <c r="B449" s="1" t="s">
        <v>55</v>
      </c>
      <c r="C449" s="3">
        <v>9</v>
      </c>
      <c r="D449" s="3">
        <v>5</v>
      </c>
      <c r="E449" s="3" t="s">
        <v>36</v>
      </c>
      <c r="F449" s="3"/>
      <c r="G449" s="3" t="s">
        <v>41</v>
      </c>
      <c r="H449" s="1" t="s">
        <v>76</v>
      </c>
      <c r="I449" s="3">
        <v>1</v>
      </c>
      <c r="J449" s="3" t="s">
        <v>36</v>
      </c>
      <c r="K449" s="1" t="s">
        <v>43</v>
      </c>
      <c r="L449" s="1" t="s">
        <v>45</v>
      </c>
      <c r="M449" s="1" t="s">
        <v>45</v>
      </c>
      <c r="N449" s="7" t="s">
        <v>45</v>
      </c>
      <c r="O449" s="1">
        <v>4.8899999999999997</v>
      </c>
      <c r="P449" s="1" t="s">
        <v>45</v>
      </c>
      <c r="Q449" s="6" t="s">
        <v>45</v>
      </c>
      <c r="R449" s="6" t="s">
        <v>45</v>
      </c>
      <c r="S449" s="6" t="s">
        <v>45</v>
      </c>
      <c r="T449" s="6" t="s">
        <v>45</v>
      </c>
      <c r="U449" s="6" t="s">
        <v>45</v>
      </c>
      <c r="V449" s="1" t="s">
        <v>45</v>
      </c>
      <c r="W449" s="1" t="s">
        <v>45</v>
      </c>
      <c r="X449" s="1" t="s">
        <v>45</v>
      </c>
      <c r="Y449" s="6">
        <f t="shared" si="158"/>
        <v>4.8899999999999997</v>
      </c>
    </row>
    <row r="450" spans="1:25" x14ac:dyDescent="0.15">
      <c r="A450" s="3">
        <v>2024</v>
      </c>
      <c r="B450" s="1" t="s">
        <v>55</v>
      </c>
      <c r="C450" s="3">
        <v>9</v>
      </c>
      <c r="D450" s="3">
        <v>6</v>
      </c>
      <c r="E450" s="3" t="s">
        <v>37</v>
      </c>
      <c r="F450" s="3"/>
      <c r="G450" s="3" t="s">
        <v>41</v>
      </c>
      <c r="H450" s="1" t="s">
        <v>77</v>
      </c>
      <c r="I450" s="3">
        <v>1</v>
      </c>
      <c r="J450" s="3" t="s">
        <v>37</v>
      </c>
      <c r="K450" s="1" t="s">
        <v>43</v>
      </c>
      <c r="L450" s="1" t="s">
        <v>45</v>
      </c>
      <c r="M450" s="1" t="s">
        <v>45</v>
      </c>
      <c r="N450" s="7" t="s">
        <v>45</v>
      </c>
      <c r="O450" s="1">
        <v>4.67</v>
      </c>
      <c r="P450" s="1" t="s">
        <v>45</v>
      </c>
      <c r="Q450" s="6" t="s">
        <v>45</v>
      </c>
      <c r="R450" s="6" t="s">
        <v>45</v>
      </c>
      <c r="S450" s="6" t="s">
        <v>45</v>
      </c>
      <c r="T450" s="6" t="s">
        <v>45</v>
      </c>
      <c r="U450" s="6" t="s">
        <v>45</v>
      </c>
      <c r="V450" s="1" t="s">
        <v>45</v>
      </c>
      <c r="W450" s="1" t="s">
        <v>45</v>
      </c>
      <c r="X450" s="1" t="s">
        <v>45</v>
      </c>
      <c r="Y450" s="6">
        <f t="shared" si="158"/>
        <v>4.67</v>
      </c>
    </row>
    <row r="451" spans="1:25" x14ac:dyDescent="0.15">
      <c r="A451" s="3">
        <v>2024</v>
      </c>
      <c r="B451" s="1" t="s">
        <v>55</v>
      </c>
      <c r="C451" s="3">
        <v>9</v>
      </c>
      <c r="D451" s="3">
        <v>7</v>
      </c>
      <c r="E451" s="3"/>
      <c r="F451" s="3" t="s">
        <v>38</v>
      </c>
      <c r="G451" s="3" t="s">
        <v>41</v>
      </c>
      <c r="H451" s="1"/>
      <c r="I451" s="3">
        <v>1</v>
      </c>
      <c r="J451" s="3" t="s">
        <v>38</v>
      </c>
      <c r="K451" s="1" t="s">
        <v>42</v>
      </c>
      <c r="L451" s="1" t="s">
        <v>45</v>
      </c>
      <c r="M451" s="1" t="s">
        <v>45</v>
      </c>
      <c r="N451" s="7" t="s">
        <v>45</v>
      </c>
      <c r="O451" s="1" t="s">
        <v>45</v>
      </c>
      <c r="P451" s="1">
        <v>0.78</v>
      </c>
      <c r="Q451" s="6" t="s">
        <v>45</v>
      </c>
      <c r="R451" s="6" t="s">
        <v>45</v>
      </c>
      <c r="S451" s="6" t="s">
        <v>45</v>
      </c>
      <c r="T451" s="6" t="s">
        <v>45</v>
      </c>
      <c r="U451" s="6" t="s">
        <v>45</v>
      </c>
      <c r="V451" s="1" t="s">
        <v>45</v>
      </c>
      <c r="W451" s="1" t="s">
        <v>45</v>
      </c>
      <c r="X451" s="1" t="s">
        <v>45</v>
      </c>
      <c r="Y451" s="6">
        <f>P451</f>
        <v>0.78</v>
      </c>
    </row>
    <row r="452" spans="1:25" x14ac:dyDescent="0.15">
      <c r="A452" s="3">
        <v>2024</v>
      </c>
      <c r="B452" s="1" t="s">
        <v>55</v>
      </c>
      <c r="C452" s="3">
        <v>9</v>
      </c>
      <c r="D452" s="3">
        <v>8</v>
      </c>
      <c r="E452" s="3"/>
      <c r="F452" s="3" t="s">
        <v>39</v>
      </c>
      <c r="G452" s="3" t="s">
        <v>41</v>
      </c>
      <c r="H452" s="1"/>
      <c r="I452" s="3">
        <v>1</v>
      </c>
      <c r="J452" s="3" t="s">
        <v>39</v>
      </c>
      <c r="K452" s="1" t="s">
        <v>42</v>
      </c>
      <c r="L452" s="1" t="s">
        <v>45</v>
      </c>
      <c r="M452" s="1" t="s">
        <v>45</v>
      </c>
      <c r="N452" s="7" t="s">
        <v>45</v>
      </c>
      <c r="O452" s="1" t="s">
        <v>45</v>
      </c>
      <c r="P452" s="1">
        <v>0.89</v>
      </c>
      <c r="Q452" s="6" t="s">
        <v>45</v>
      </c>
      <c r="R452" s="6" t="s">
        <v>45</v>
      </c>
      <c r="S452" s="6" t="s">
        <v>45</v>
      </c>
      <c r="T452" s="6" t="s">
        <v>45</v>
      </c>
      <c r="U452" s="6" t="s">
        <v>45</v>
      </c>
      <c r="V452" s="1" t="s">
        <v>45</v>
      </c>
      <c r="W452" s="1" t="s">
        <v>45</v>
      </c>
      <c r="X452" s="1" t="s">
        <v>45</v>
      </c>
      <c r="Y452" s="6">
        <f t="shared" ref="Y452:Y453" si="159">P452</f>
        <v>0.89</v>
      </c>
    </row>
    <row r="453" spans="1:25" x14ac:dyDescent="0.15">
      <c r="A453" s="3">
        <v>2024</v>
      </c>
      <c r="B453" s="1" t="s">
        <v>55</v>
      </c>
      <c r="C453" s="3">
        <v>9</v>
      </c>
      <c r="D453" s="3">
        <v>9</v>
      </c>
      <c r="E453" s="3"/>
      <c r="F453" s="3" t="s">
        <v>40</v>
      </c>
      <c r="G453" s="3" t="s">
        <v>41</v>
      </c>
      <c r="H453" s="1"/>
      <c r="I453" s="3">
        <v>1</v>
      </c>
      <c r="J453" s="3" t="s">
        <v>40</v>
      </c>
      <c r="K453" s="1" t="s">
        <v>42</v>
      </c>
      <c r="L453" s="1" t="s">
        <v>45</v>
      </c>
      <c r="M453" s="1" t="s">
        <v>45</v>
      </c>
      <c r="N453" s="7" t="s">
        <v>45</v>
      </c>
      <c r="O453" s="1" t="s">
        <v>45</v>
      </c>
      <c r="P453" s="1">
        <v>1.22</v>
      </c>
      <c r="Q453" s="6" t="s">
        <v>45</v>
      </c>
      <c r="R453" s="6" t="s">
        <v>45</v>
      </c>
      <c r="S453" s="6" t="s">
        <v>45</v>
      </c>
      <c r="T453" s="6" t="s">
        <v>45</v>
      </c>
      <c r="U453" s="6" t="s">
        <v>45</v>
      </c>
      <c r="V453" s="1" t="s">
        <v>45</v>
      </c>
      <c r="W453" s="1" t="s">
        <v>45</v>
      </c>
      <c r="X453" s="1" t="s">
        <v>45</v>
      </c>
      <c r="Y453" s="6">
        <f t="shared" si="159"/>
        <v>1.22</v>
      </c>
    </row>
    <row r="454" spans="1:25" x14ac:dyDescent="0.15">
      <c r="A454" s="3">
        <v>2024</v>
      </c>
      <c r="B454" s="1" t="s">
        <v>55</v>
      </c>
      <c r="C454" s="3">
        <v>9</v>
      </c>
      <c r="D454" s="3">
        <v>10</v>
      </c>
      <c r="E454" s="3" t="s">
        <v>35</v>
      </c>
      <c r="F454" s="3" t="s">
        <v>38</v>
      </c>
      <c r="G454" s="3" t="s">
        <v>14</v>
      </c>
      <c r="H454" s="1" t="s">
        <v>35</v>
      </c>
      <c r="I454" s="3">
        <v>1</v>
      </c>
      <c r="J454" s="3" t="s">
        <v>63</v>
      </c>
      <c r="K454" s="1" t="s">
        <v>42</v>
      </c>
      <c r="L454" s="1" t="s">
        <v>45</v>
      </c>
      <c r="M454" s="1" t="s">
        <v>45</v>
      </c>
      <c r="N454" s="7" t="s">
        <v>45</v>
      </c>
      <c r="O454" s="1">
        <v>2.11</v>
      </c>
      <c r="P454" s="1">
        <v>0.33</v>
      </c>
      <c r="Q454" s="6">
        <f>O454/(0.1*O445)</f>
        <v>5.5820105820105814</v>
      </c>
      <c r="R454" s="6">
        <f>O454/(0.1*O448)</f>
        <v>4.7522522522522515</v>
      </c>
      <c r="S454" s="6">
        <f>P454/(0.9*P451)</f>
        <v>0.47008547008547008</v>
      </c>
      <c r="T454" s="6">
        <f>Q454+S454</f>
        <v>6.0520960520960516</v>
      </c>
      <c r="U454" s="6">
        <f>R454+S454</f>
        <v>5.2223377223377216</v>
      </c>
      <c r="V454" s="1">
        <f>O454/O445+P454/P451</f>
        <v>0.98127798127798127</v>
      </c>
      <c r="W454" s="1">
        <f>O454/O448+P454/P451</f>
        <v>0.89830214830214827</v>
      </c>
      <c r="X454" s="1">
        <f t="shared" ref="X454:X462" si="160">100*ROUND(P454/(P454+O454), 2)</f>
        <v>14.000000000000002</v>
      </c>
      <c r="Y454" s="6">
        <f>O454+P454</f>
        <v>2.44</v>
      </c>
    </row>
    <row r="455" spans="1:25" x14ac:dyDescent="0.15">
      <c r="A455" s="3">
        <v>2024</v>
      </c>
      <c r="B455" s="1" t="s">
        <v>55</v>
      </c>
      <c r="C455" s="3">
        <v>9</v>
      </c>
      <c r="D455" s="3">
        <v>11</v>
      </c>
      <c r="E455" s="3" t="s">
        <v>35</v>
      </c>
      <c r="F455" s="3" t="s">
        <v>39</v>
      </c>
      <c r="G455" s="3" t="s">
        <v>14</v>
      </c>
      <c r="H455" s="1" t="s">
        <v>35</v>
      </c>
      <c r="I455" s="3">
        <v>1</v>
      </c>
      <c r="J455" s="3" t="s">
        <v>64</v>
      </c>
      <c r="K455" s="1" t="s">
        <v>42</v>
      </c>
      <c r="L455" s="1" t="s">
        <v>45</v>
      </c>
      <c r="M455" s="1" t="s">
        <v>45</v>
      </c>
      <c r="N455" s="7" t="s">
        <v>45</v>
      </c>
      <c r="O455" s="1">
        <v>2.11</v>
      </c>
      <c r="P455" s="1">
        <v>0.33</v>
      </c>
      <c r="Q455" s="6">
        <f>O455/(0.1*O445)</f>
        <v>5.5820105820105814</v>
      </c>
      <c r="R455" s="6">
        <f>O455/(0.1*O448)</f>
        <v>4.7522522522522515</v>
      </c>
      <c r="S455" s="6">
        <f>P455/(0.9*P452)</f>
        <v>0.41198501872659177</v>
      </c>
      <c r="T455" s="6">
        <f t="shared" ref="T455:T462" si="161">Q455+S455</f>
        <v>5.9939956007371729</v>
      </c>
      <c r="U455" s="6">
        <f t="shared" ref="U455:U462" si="162">R455+S455</f>
        <v>5.1642372709788429</v>
      </c>
      <c r="V455" s="1">
        <f>O455/O445+P455/P452</f>
        <v>0.92898757505499074</v>
      </c>
      <c r="W455" s="1">
        <f>O455/O448+P455/P452</f>
        <v>0.84601174207915775</v>
      </c>
      <c r="X455" s="1">
        <f t="shared" si="160"/>
        <v>14.000000000000002</v>
      </c>
      <c r="Y455" s="6">
        <f t="shared" ref="Y455:Y462" si="163">O455+P455</f>
        <v>2.44</v>
      </c>
    </row>
    <row r="456" spans="1:25" x14ac:dyDescent="0.15">
      <c r="A456" s="3">
        <v>2024</v>
      </c>
      <c r="B456" s="1" t="s">
        <v>55</v>
      </c>
      <c r="C456" s="3">
        <v>9</v>
      </c>
      <c r="D456" s="3">
        <v>12</v>
      </c>
      <c r="E456" s="3" t="s">
        <v>35</v>
      </c>
      <c r="F456" s="3" t="s">
        <v>40</v>
      </c>
      <c r="G456" s="3" t="s">
        <v>14</v>
      </c>
      <c r="H456" s="1" t="s">
        <v>35</v>
      </c>
      <c r="I456" s="3">
        <v>1</v>
      </c>
      <c r="J456" s="3" t="s">
        <v>65</v>
      </c>
      <c r="K456" s="1" t="s">
        <v>42</v>
      </c>
      <c r="L456" s="1" t="s">
        <v>45</v>
      </c>
      <c r="M456" s="1" t="s">
        <v>45</v>
      </c>
      <c r="N456" s="7" t="s">
        <v>45</v>
      </c>
      <c r="O456" s="1">
        <v>1.89</v>
      </c>
      <c r="P456" s="1">
        <v>0.22</v>
      </c>
      <c r="Q456" s="6">
        <f>O456/(0.1*O445)</f>
        <v>5</v>
      </c>
      <c r="R456" s="6">
        <f>O456/(0.1*O448)</f>
        <v>4.2567567567567561</v>
      </c>
      <c r="S456" s="6">
        <f>P456/(0.9*P453)</f>
        <v>0.20036429872495445</v>
      </c>
      <c r="T456" s="6">
        <f t="shared" si="161"/>
        <v>5.2003642987249545</v>
      </c>
      <c r="U456" s="6">
        <f t="shared" si="162"/>
        <v>4.4571210554817107</v>
      </c>
      <c r="V456" s="1">
        <f>O456/O445+P456/P453</f>
        <v>0.68032786885245899</v>
      </c>
      <c r="W456" s="1">
        <f>O456/O448+P456/P453</f>
        <v>0.60600354452813465</v>
      </c>
      <c r="X456" s="1">
        <f t="shared" si="160"/>
        <v>10</v>
      </c>
      <c r="Y456" s="6">
        <f t="shared" si="163"/>
        <v>2.11</v>
      </c>
    </row>
    <row r="457" spans="1:25" x14ac:dyDescent="0.15">
      <c r="A457" s="3">
        <v>2024</v>
      </c>
      <c r="B457" s="1" t="s">
        <v>55</v>
      </c>
      <c r="C457" s="3">
        <v>9</v>
      </c>
      <c r="D457" s="3">
        <v>13</v>
      </c>
      <c r="E457" s="3" t="s">
        <v>36</v>
      </c>
      <c r="F457" s="3" t="s">
        <v>38</v>
      </c>
      <c r="G457" s="3" t="s">
        <v>14</v>
      </c>
      <c r="H457" s="1" t="s">
        <v>36</v>
      </c>
      <c r="I457" s="3">
        <v>1</v>
      </c>
      <c r="J457" s="3" t="s">
        <v>66</v>
      </c>
      <c r="K457" s="1" t="s">
        <v>42</v>
      </c>
      <c r="L457" s="1" t="s">
        <v>45</v>
      </c>
      <c r="M457" s="1" t="s">
        <v>45</v>
      </c>
      <c r="N457" s="7" t="s">
        <v>45</v>
      </c>
      <c r="O457" s="1">
        <v>2.2200000000000002</v>
      </c>
      <c r="P457" s="1">
        <v>0.22</v>
      </c>
      <c r="Q457" s="6">
        <f>O457/(0.1*O446)</f>
        <v>4.8684210526315796</v>
      </c>
      <c r="R457" s="6">
        <f>O457/(0.1*O449)</f>
        <v>4.5398773006134974</v>
      </c>
      <c r="S457" s="6">
        <f>P457/(0.9*P451)</f>
        <v>0.31339031339031337</v>
      </c>
      <c r="T457" s="6">
        <f t="shared" si="161"/>
        <v>5.1818113660218934</v>
      </c>
      <c r="U457" s="6">
        <f t="shared" si="162"/>
        <v>4.8532676140038111</v>
      </c>
      <c r="V457" s="1">
        <f>O457/O446+P457/P451</f>
        <v>0.76889338731444001</v>
      </c>
      <c r="W457" s="1">
        <f>O457/O449+P457/P451</f>
        <v>0.73603901211263179</v>
      </c>
      <c r="X457" s="1">
        <f t="shared" si="160"/>
        <v>9</v>
      </c>
      <c r="Y457" s="6">
        <f t="shared" si="163"/>
        <v>2.4400000000000004</v>
      </c>
    </row>
    <row r="458" spans="1:25" x14ac:dyDescent="0.15">
      <c r="A458" s="3">
        <v>2024</v>
      </c>
      <c r="B458" s="1" t="s">
        <v>55</v>
      </c>
      <c r="C458" s="3">
        <v>9</v>
      </c>
      <c r="D458" s="3">
        <v>14</v>
      </c>
      <c r="E458" s="3" t="s">
        <v>36</v>
      </c>
      <c r="F458" s="3" t="s">
        <v>39</v>
      </c>
      <c r="G458" s="3" t="s">
        <v>14</v>
      </c>
      <c r="H458" s="1" t="s">
        <v>36</v>
      </c>
      <c r="I458" s="3">
        <v>1</v>
      </c>
      <c r="J458" s="3" t="s">
        <v>67</v>
      </c>
      <c r="K458" s="1" t="s">
        <v>42</v>
      </c>
      <c r="L458" s="1" t="s">
        <v>45</v>
      </c>
      <c r="M458" s="1" t="s">
        <v>45</v>
      </c>
      <c r="N458" s="7" t="s">
        <v>45</v>
      </c>
      <c r="O458" s="1">
        <v>1.78</v>
      </c>
      <c r="P458" s="1">
        <v>0.44</v>
      </c>
      <c r="Q458" s="6">
        <f>O458/(0.1*O446)</f>
        <v>3.9035087719298249</v>
      </c>
      <c r="R458" s="6">
        <f>O458/(0.1*O449)</f>
        <v>3.6400817995910022</v>
      </c>
      <c r="S458" s="6">
        <f>P458/(0.9*P452)</f>
        <v>0.54931335830212236</v>
      </c>
      <c r="T458" s="6">
        <f t="shared" si="161"/>
        <v>4.4528221302319473</v>
      </c>
      <c r="U458" s="6">
        <f t="shared" si="162"/>
        <v>4.1893951578931246</v>
      </c>
      <c r="V458" s="1">
        <f>O458/O446+P458/P452</f>
        <v>0.88473289966489266</v>
      </c>
      <c r="W458" s="1">
        <f>O458/O449+P458/P452</f>
        <v>0.85839020243101039</v>
      </c>
      <c r="X458" s="1">
        <f t="shared" si="160"/>
        <v>20</v>
      </c>
      <c r="Y458" s="6">
        <f t="shared" si="163"/>
        <v>2.2200000000000002</v>
      </c>
    </row>
    <row r="459" spans="1:25" x14ac:dyDescent="0.15">
      <c r="A459" s="3">
        <v>2024</v>
      </c>
      <c r="B459" s="1" t="s">
        <v>55</v>
      </c>
      <c r="C459" s="3">
        <v>9</v>
      </c>
      <c r="D459" s="3">
        <v>15</v>
      </c>
      <c r="E459" s="3" t="s">
        <v>36</v>
      </c>
      <c r="F459" s="3" t="s">
        <v>40</v>
      </c>
      <c r="G459" s="3" t="s">
        <v>14</v>
      </c>
      <c r="H459" s="1" t="s">
        <v>36</v>
      </c>
      <c r="I459" s="3">
        <v>1</v>
      </c>
      <c r="J459" s="3" t="s">
        <v>68</v>
      </c>
      <c r="K459" s="1" t="s">
        <v>42</v>
      </c>
      <c r="L459" s="1" t="s">
        <v>45</v>
      </c>
      <c r="M459" s="1" t="s">
        <v>45</v>
      </c>
      <c r="N459" s="7" t="s">
        <v>45</v>
      </c>
      <c r="O459" s="1">
        <v>1.78</v>
      </c>
      <c r="P459" s="1">
        <v>0.22</v>
      </c>
      <c r="Q459" s="6">
        <f>O459/(0.1*O446)</f>
        <v>3.9035087719298249</v>
      </c>
      <c r="R459" s="6">
        <f>O459/(0.1*O449)</f>
        <v>3.6400817995910022</v>
      </c>
      <c r="S459" s="6">
        <f>P459/(0.9*P453)</f>
        <v>0.20036429872495445</v>
      </c>
      <c r="T459" s="6">
        <f t="shared" si="161"/>
        <v>4.103873070654779</v>
      </c>
      <c r="U459" s="6">
        <f t="shared" si="162"/>
        <v>3.8404460983159567</v>
      </c>
      <c r="V459" s="1">
        <f>O459/O446+P459/P453</f>
        <v>0.57067874604544155</v>
      </c>
      <c r="W459" s="1">
        <f>O459/O449+P459/P453</f>
        <v>0.54433604881155928</v>
      </c>
      <c r="X459" s="1">
        <f t="shared" si="160"/>
        <v>11</v>
      </c>
      <c r="Y459" s="6">
        <f t="shared" si="163"/>
        <v>2</v>
      </c>
    </row>
    <row r="460" spans="1:25" x14ac:dyDescent="0.15">
      <c r="A460" s="3">
        <v>2024</v>
      </c>
      <c r="B460" s="1" t="s">
        <v>55</v>
      </c>
      <c r="C460" s="3">
        <v>9</v>
      </c>
      <c r="D460" s="3">
        <v>16</v>
      </c>
      <c r="E460" s="3" t="s">
        <v>37</v>
      </c>
      <c r="F460" s="3" t="s">
        <v>38</v>
      </c>
      <c r="G460" s="3" t="s">
        <v>14</v>
      </c>
      <c r="H460" s="1" t="s">
        <v>37</v>
      </c>
      <c r="I460" s="3">
        <v>1</v>
      </c>
      <c r="J460" s="3" t="s">
        <v>69</v>
      </c>
      <c r="K460" s="1" t="s">
        <v>42</v>
      </c>
      <c r="L460" s="1" t="s">
        <v>45</v>
      </c>
      <c r="M460" s="1" t="s">
        <v>45</v>
      </c>
      <c r="N460" s="7" t="s">
        <v>45</v>
      </c>
      <c r="O460" s="1">
        <v>1.89</v>
      </c>
      <c r="P460" s="1">
        <v>0.44</v>
      </c>
      <c r="Q460" s="6">
        <f>O460/(0.1*O447)</f>
        <v>5.4941860465116275</v>
      </c>
      <c r="R460" s="6">
        <f>O460/(0.1*O450)</f>
        <v>4.0471092077087789</v>
      </c>
      <c r="S460" s="6">
        <f>P460/(0.9*P451)</f>
        <v>0.62678062678062674</v>
      </c>
      <c r="T460" s="6">
        <f t="shared" si="161"/>
        <v>6.1209666732922541</v>
      </c>
      <c r="U460" s="6">
        <f t="shared" si="162"/>
        <v>4.6738898344894055</v>
      </c>
      <c r="V460" s="1">
        <f>O460/O447+P460/P451</f>
        <v>1.113521168753727</v>
      </c>
      <c r="W460" s="1">
        <f>O460/O450+P460/P451</f>
        <v>0.96881348487344199</v>
      </c>
      <c r="X460" s="1">
        <f t="shared" si="160"/>
        <v>19</v>
      </c>
      <c r="Y460" s="6">
        <f t="shared" si="163"/>
        <v>2.33</v>
      </c>
    </row>
    <row r="461" spans="1:25" x14ac:dyDescent="0.15">
      <c r="A461" s="3">
        <v>2024</v>
      </c>
      <c r="B461" s="1" t="s">
        <v>55</v>
      </c>
      <c r="C461" s="3">
        <v>9</v>
      </c>
      <c r="D461" s="3">
        <v>17</v>
      </c>
      <c r="E461" s="3" t="s">
        <v>37</v>
      </c>
      <c r="F461" s="3" t="s">
        <v>39</v>
      </c>
      <c r="G461" s="3" t="s">
        <v>14</v>
      </c>
      <c r="H461" s="1" t="s">
        <v>37</v>
      </c>
      <c r="I461" s="3">
        <v>1</v>
      </c>
      <c r="J461" s="3" t="s">
        <v>70</v>
      </c>
      <c r="K461" s="1" t="s">
        <v>42</v>
      </c>
      <c r="L461" s="1" t="s">
        <v>45</v>
      </c>
      <c r="M461" s="1" t="s">
        <v>45</v>
      </c>
      <c r="N461" s="7" t="s">
        <v>45</v>
      </c>
      <c r="O461" s="1">
        <v>1.44</v>
      </c>
      <c r="P461" s="1">
        <v>0.22</v>
      </c>
      <c r="Q461" s="6">
        <f>O461/(0.1*O447)</f>
        <v>4.1860465116279064</v>
      </c>
      <c r="R461" s="6">
        <f>O461/(0.1*O450)</f>
        <v>3.0835117773019269</v>
      </c>
      <c r="S461" s="6">
        <f>P461/(0.9*P452)</f>
        <v>0.27465667915106118</v>
      </c>
      <c r="T461" s="6">
        <f t="shared" si="161"/>
        <v>4.4607031907789674</v>
      </c>
      <c r="U461" s="6">
        <f t="shared" si="162"/>
        <v>3.3581684564529883</v>
      </c>
      <c r="V461" s="1">
        <f>O461/O447+P461/P452</f>
        <v>0.66579566239874577</v>
      </c>
      <c r="W461" s="1">
        <f>O461/O450+P461/P452</f>
        <v>0.55554218896614782</v>
      </c>
      <c r="X461" s="1">
        <f t="shared" si="160"/>
        <v>13</v>
      </c>
      <c r="Y461" s="6">
        <f t="shared" si="163"/>
        <v>1.66</v>
      </c>
    </row>
    <row r="462" spans="1:25" x14ac:dyDescent="0.15">
      <c r="A462" s="3">
        <v>2024</v>
      </c>
      <c r="B462" s="1" t="s">
        <v>55</v>
      </c>
      <c r="C462" s="3">
        <v>9</v>
      </c>
      <c r="D462" s="3">
        <v>18</v>
      </c>
      <c r="E462" s="3" t="s">
        <v>37</v>
      </c>
      <c r="F462" s="3" t="s">
        <v>40</v>
      </c>
      <c r="G462" s="3" t="s">
        <v>14</v>
      </c>
      <c r="H462" s="1" t="s">
        <v>37</v>
      </c>
      <c r="I462" s="3">
        <v>1</v>
      </c>
      <c r="J462" s="3" t="s">
        <v>71</v>
      </c>
      <c r="K462" s="1" t="s">
        <v>42</v>
      </c>
      <c r="L462" s="1" t="s">
        <v>45</v>
      </c>
      <c r="M462" s="1" t="s">
        <v>45</v>
      </c>
      <c r="N462" s="7" t="s">
        <v>45</v>
      </c>
      <c r="O462" s="1">
        <v>1.67</v>
      </c>
      <c r="P462" s="1">
        <v>0.22</v>
      </c>
      <c r="Q462" s="6">
        <f>O462/(0.1*O447)</f>
        <v>4.854651162790697</v>
      </c>
      <c r="R462" s="6">
        <f>O462/(0.1*O450)</f>
        <v>3.5760171306209845</v>
      </c>
      <c r="S462" s="6">
        <f>P462/(0.9*P453)</f>
        <v>0.20036429872495445</v>
      </c>
      <c r="T462" s="6">
        <f t="shared" si="161"/>
        <v>5.0550154615156515</v>
      </c>
      <c r="U462" s="6">
        <f t="shared" si="162"/>
        <v>3.776381429345939</v>
      </c>
      <c r="V462" s="1">
        <f>O462/O447+P462/P453</f>
        <v>0.66579298513152874</v>
      </c>
      <c r="W462" s="1">
        <f>O462/O450+P462/P453</f>
        <v>0.53792958191455753</v>
      </c>
      <c r="X462" s="1">
        <f t="shared" si="160"/>
        <v>12</v>
      </c>
      <c r="Y462" s="6">
        <f t="shared" si="163"/>
        <v>1.89</v>
      </c>
    </row>
    <row r="463" spans="1:25" x14ac:dyDescent="0.15">
      <c r="A463" s="3">
        <v>2024</v>
      </c>
      <c r="B463" s="1" t="s">
        <v>55</v>
      </c>
      <c r="C463" s="3">
        <v>10</v>
      </c>
      <c r="D463" s="3">
        <v>1</v>
      </c>
      <c r="E463" s="3" t="s">
        <v>35</v>
      </c>
      <c r="F463" s="3"/>
      <c r="G463" s="3" t="s">
        <v>41</v>
      </c>
      <c r="H463" s="1" t="s">
        <v>35</v>
      </c>
      <c r="I463" s="3">
        <v>2</v>
      </c>
      <c r="J463" s="3" t="s">
        <v>35</v>
      </c>
      <c r="K463" s="1" t="s">
        <v>42</v>
      </c>
      <c r="L463" s="1" t="s">
        <v>45</v>
      </c>
      <c r="M463" s="1" t="s">
        <v>45</v>
      </c>
      <c r="N463" s="7" t="s">
        <v>45</v>
      </c>
      <c r="O463" s="1">
        <v>4.33</v>
      </c>
      <c r="P463" s="1" t="s">
        <v>45</v>
      </c>
      <c r="Q463" s="6" t="s">
        <v>45</v>
      </c>
      <c r="R463" s="6" t="s">
        <v>45</v>
      </c>
      <c r="S463" s="6" t="s">
        <v>45</v>
      </c>
      <c r="T463" s="6" t="s">
        <v>45</v>
      </c>
      <c r="U463" s="6" t="s">
        <v>45</v>
      </c>
      <c r="V463" s="1" t="s">
        <v>45</v>
      </c>
      <c r="W463" s="1" t="s">
        <v>45</v>
      </c>
      <c r="X463" s="6" t="s">
        <v>45</v>
      </c>
      <c r="Y463" s="6">
        <f>O463</f>
        <v>4.33</v>
      </c>
    </row>
    <row r="464" spans="1:25" x14ac:dyDescent="0.15">
      <c r="A464" s="3">
        <v>2024</v>
      </c>
      <c r="B464" s="1" t="s">
        <v>55</v>
      </c>
      <c r="C464" s="3">
        <v>10</v>
      </c>
      <c r="D464" s="3">
        <v>2</v>
      </c>
      <c r="E464" s="3" t="s">
        <v>36</v>
      </c>
      <c r="F464" s="3"/>
      <c r="G464" s="3" t="s">
        <v>41</v>
      </c>
      <c r="H464" s="1" t="s">
        <v>36</v>
      </c>
      <c r="I464" s="3">
        <v>2</v>
      </c>
      <c r="J464" s="3" t="s">
        <v>36</v>
      </c>
      <c r="K464" s="1" t="s">
        <v>42</v>
      </c>
      <c r="L464" s="1" t="s">
        <v>45</v>
      </c>
      <c r="M464" s="1" t="s">
        <v>45</v>
      </c>
      <c r="N464" s="7" t="s">
        <v>45</v>
      </c>
      <c r="O464" s="1">
        <v>4.1100000000000003</v>
      </c>
      <c r="P464" s="1" t="s">
        <v>45</v>
      </c>
      <c r="Q464" s="6" t="s">
        <v>45</v>
      </c>
      <c r="R464" s="6" t="s">
        <v>45</v>
      </c>
      <c r="S464" s="6" t="s">
        <v>45</v>
      </c>
      <c r="T464" s="6" t="s">
        <v>45</v>
      </c>
      <c r="U464" s="6" t="s">
        <v>45</v>
      </c>
      <c r="V464" s="1" t="s">
        <v>45</v>
      </c>
      <c r="W464" s="1" t="s">
        <v>45</v>
      </c>
      <c r="X464" s="6" t="s">
        <v>45</v>
      </c>
      <c r="Y464" s="6">
        <f t="shared" ref="Y464:Y468" si="164">O464</f>
        <v>4.1100000000000003</v>
      </c>
    </row>
    <row r="465" spans="1:25" x14ac:dyDescent="0.15">
      <c r="A465" s="3">
        <v>2024</v>
      </c>
      <c r="B465" s="1" t="s">
        <v>55</v>
      </c>
      <c r="C465" s="3">
        <v>10</v>
      </c>
      <c r="D465" s="3">
        <v>3</v>
      </c>
      <c r="E465" s="3" t="s">
        <v>37</v>
      </c>
      <c r="F465" s="3"/>
      <c r="G465" s="3" t="s">
        <v>41</v>
      </c>
      <c r="H465" s="1" t="s">
        <v>37</v>
      </c>
      <c r="I465" s="3">
        <v>2</v>
      </c>
      <c r="J465" s="3" t="s">
        <v>37</v>
      </c>
      <c r="K465" s="1" t="s">
        <v>42</v>
      </c>
      <c r="L465" s="1" t="s">
        <v>45</v>
      </c>
      <c r="M465" s="1" t="s">
        <v>45</v>
      </c>
      <c r="N465" s="7" t="s">
        <v>45</v>
      </c>
      <c r="O465" s="1">
        <v>3.89</v>
      </c>
      <c r="P465" s="1" t="s">
        <v>45</v>
      </c>
      <c r="Q465" s="6" t="s">
        <v>45</v>
      </c>
      <c r="R465" s="6" t="s">
        <v>45</v>
      </c>
      <c r="S465" s="6" t="s">
        <v>45</v>
      </c>
      <c r="T465" s="6" t="s">
        <v>45</v>
      </c>
      <c r="U465" s="6" t="s">
        <v>45</v>
      </c>
      <c r="V465" s="1" t="s">
        <v>45</v>
      </c>
      <c r="W465" s="1" t="s">
        <v>45</v>
      </c>
      <c r="X465" s="6" t="s">
        <v>45</v>
      </c>
      <c r="Y465" s="6">
        <f t="shared" si="164"/>
        <v>3.89</v>
      </c>
    </row>
    <row r="466" spans="1:25" x14ac:dyDescent="0.15">
      <c r="A466" s="3">
        <v>2024</v>
      </c>
      <c r="B466" s="1" t="s">
        <v>55</v>
      </c>
      <c r="C466" s="3">
        <v>10</v>
      </c>
      <c r="D466" s="3">
        <v>4</v>
      </c>
      <c r="E466" s="3" t="s">
        <v>35</v>
      </c>
      <c r="F466" s="3"/>
      <c r="G466" s="3" t="s">
        <v>41</v>
      </c>
      <c r="H466" s="1" t="s">
        <v>75</v>
      </c>
      <c r="I466" s="3">
        <v>2</v>
      </c>
      <c r="J466" s="3" t="s">
        <v>35</v>
      </c>
      <c r="K466" s="1" t="s">
        <v>43</v>
      </c>
      <c r="L466" s="1" t="s">
        <v>45</v>
      </c>
      <c r="M466" s="1" t="s">
        <v>45</v>
      </c>
      <c r="N466" s="7" t="s">
        <v>45</v>
      </c>
      <c r="O466" s="1">
        <v>4.33</v>
      </c>
      <c r="P466" s="1" t="s">
        <v>45</v>
      </c>
      <c r="Q466" s="6" t="s">
        <v>45</v>
      </c>
      <c r="R466" s="6" t="s">
        <v>45</v>
      </c>
      <c r="S466" s="6" t="s">
        <v>45</v>
      </c>
      <c r="T466" s="6" t="s">
        <v>45</v>
      </c>
      <c r="U466" s="6" t="s">
        <v>45</v>
      </c>
      <c r="V466" s="1" t="s">
        <v>45</v>
      </c>
      <c r="W466" s="1" t="s">
        <v>45</v>
      </c>
      <c r="X466" s="1" t="s">
        <v>45</v>
      </c>
      <c r="Y466" s="6">
        <f t="shared" si="164"/>
        <v>4.33</v>
      </c>
    </row>
    <row r="467" spans="1:25" x14ac:dyDescent="0.15">
      <c r="A467" s="3">
        <v>2024</v>
      </c>
      <c r="B467" s="1" t="s">
        <v>55</v>
      </c>
      <c r="C467" s="3">
        <v>10</v>
      </c>
      <c r="D467" s="3">
        <v>5</v>
      </c>
      <c r="E467" s="3" t="s">
        <v>36</v>
      </c>
      <c r="F467" s="3"/>
      <c r="G467" s="3" t="s">
        <v>41</v>
      </c>
      <c r="H467" s="1" t="s">
        <v>76</v>
      </c>
      <c r="I467" s="3">
        <v>2</v>
      </c>
      <c r="J467" s="3" t="s">
        <v>36</v>
      </c>
      <c r="K467" s="1" t="s">
        <v>43</v>
      </c>
      <c r="L467" s="1" t="s">
        <v>45</v>
      </c>
      <c r="M467" s="1" t="s">
        <v>45</v>
      </c>
      <c r="N467" s="7" t="s">
        <v>45</v>
      </c>
      <c r="O467" s="1">
        <v>3.67</v>
      </c>
      <c r="P467" s="1" t="s">
        <v>45</v>
      </c>
      <c r="Q467" s="6" t="s">
        <v>45</v>
      </c>
      <c r="R467" s="6" t="s">
        <v>45</v>
      </c>
      <c r="S467" s="6" t="s">
        <v>45</v>
      </c>
      <c r="T467" s="6" t="s">
        <v>45</v>
      </c>
      <c r="U467" s="6" t="s">
        <v>45</v>
      </c>
      <c r="V467" s="1" t="s">
        <v>45</v>
      </c>
      <c r="W467" s="1" t="s">
        <v>45</v>
      </c>
      <c r="X467" s="1" t="s">
        <v>45</v>
      </c>
      <c r="Y467" s="6">
        <f t="shared" si="164"/>
        <v>3.67</v>
      </c>
    </row>
    <row r="468" spans="1:25" x14ac:dyDescent="0.15">
      <c r="A468" s="3">
        <v>2024</v>
      </c>
      <c r="B468" s="1" t="s">
        <v>55</v>
      </c>
      <c r="C468" s="3">
        <v>10</v>
      </c>
      <c r="D468" s="3">
        <v>6</v>
      </c>
      <c r="E468" s="3" t="s">
        <v>37</v>
      </c>
      <c r="F468" s="3"/>
      <c r="G468" s="3" t="s">
        <v>41</v>
      </c>
      <c r="H468" s="1" t="s">
        <v>77</v>
      </c>
      <c r="I468" s="3">
        <v>2</v>
      </c>
      <c r="J468" s="3" t="s">
        <v>37</v>
      </c>
      <c r="K468" s="1" t="s">
        <v>43</v>
      </c>
      <c r="L468" s="1" t="s">
        <v>45</v>
      </c>
      <c r="M468" s="1" t="s">
        <v>45</v>
      </c>
      <c r="N468" s="7" t="s">
        <v>45</v>
      </c>
      <c r="O468" s="1">
        <v>3.56</v>
      </c>
      <c r="P468" s="1" t="s">
        <v>45</v>
      </c>
      <c r="Q468" s="6" t="s">
        <v>45</v>
      </c>
      <c r="R468" s="6" t="s">
        <v>45</v>
      </c>
      <c r="S468" s="6" t="s">
        <v>45</v>
      </c>
      <c r="T468" s="6" t="s">
        <v>45</v>
      </c>
      <c r="U468" s="6" t="s">
        <v>45</v>
      </c>
      <c r="V468" s="1" t="s">
        <v>45</v>
      </c>
      <c r="W468" s="1" t="s">
        <v>45</v>
      </c>
      <c r="X468" s="1" t="s">
        <v>45</v>
      </c>
      <c r="Y468" s="6">
        <f t="shared" si="164"/>
        <v>3.56</v>
      </c>
    </row>
    <row r="469" spans="1:25" x14ac:dyDescent="0.15">
      <c r="A469" s="3">
        <v>2024</v>
      </c>
      <c r="B469" s="1" t="s">
        <v>55</v>
      </c>
      <c r="C469" s="3">
        <v>10</v>
      </c>
      <c r="D469" s="3">
        <v>7</v>
      </c>
      <c r="E469" s="3"/>
      <c r="F469" s="3" t="s">
        <v>38</v>
      </c>
      <c r="G469" s="3" t="s">
        <v>41</v>
      </c>
      <c r="H469" s="1"/>
      <c r="I469" s="3">
        <v>2</v>
      </c>
      <c r="J469" s="3" t="s">
        <v>38</v>
      </c>
      <c r="K469" s="1" t="s">
        <v>42</v>
      </c>
      <c r="L469" s="1" t="s">
        <v>45</v>
      </c>
      <c r="M469" s="1" t="s">
        <v>45</v>
      </c>
      <c r="N469" s="7" t="s">
        <v>45</v>
      </c>
      <c r="O469" s="1" t="s">
        <v>45</v>
      </c>
      <c r="P469" s="1">
        <v>0.78</v>
      </c>
      <c r="Q469" s="6" t="s">
        <v>45</v>
      </c>
      <c r="R469" s="6" t="s">
        <v>45</v>
      </c>
      <c r="S469" s="6" t="s">
        <v>45</v>
      </c>
      <c r="T469" s="6" t="s">
        <v>45</v>
      </c>
      <c r="U469" s="6" t="s">
        <v>45</v>
      </c>
      <c r="V469" s="1" t="s">
        <v>45</v>
      </c>
      <c r="W469" s="1" t="s">
        <v>45</v>
      </c>
      <c r="X469" s="1" t="s">
        <v>45</v>
      </c>
      <c r="Y469" s="6">
        <f>P469</f>
        <v>0.78</v>
      </c>
    </row>
    <row r="470" spans="1:25" x14ac:dyDescent="0.15">
      <c r="A470" s="3">
        <v>2024</v>
      </c>
      <c r="B470" s="1" t="s">
        <v>55</v>
      </c>
      <c r="C470" s="3">
        <v>10</v>
      </c>
      <c r="D470" s="3">
        <v>8</v>
      </c>
      <c r="E470" s="3"/>
      <c r="F470" s="3" t="s">
        <v>39</v>
      </c>
      <c r="G470" s="3" t="s">
        <v>41</v>
      </c>
      <c r="H470" s="1"/>
      <c r="I470" s="3">
        <v>2</v>
      </c>
      <c r="J470" s="3" t="s">
        <v>39</v>
      </c>
      <c r="K470" s="1" t="s">
        <v>42</v>
      </c>
      <c r="L470" s="1" t="s">
        <v>45</v>
      </c>
      <c r="M470" s="1" t="s">
        <v>45</v>
      </c>
      <c r="N470" s="7" t="s">
        <v>45</v>
      </c>
      <c r="O470" s="1" t="s">
        <v>45</v>
      </c>
      <c r="P470" s="1">
        <v>0.56000000000000005</v>
      </c>
      <c r="Q470" s="6" t="s">
        <v>45</v>
      </c>
      <c r="R470" s="6" t="s">
        <v>45</v>
      </c>
      <c r="S470" s="6" t="s">
        <v>45</v>
      </c>
      <c r="T470" s="6" t="s">
        <v>45</v>
      </c>
      <c r="U470" s="6" t="s">
        <v>45</v>
      </c>
      <c r="V470" s="1" t="s">
        <v>45</v>
      </c>
      <c r="W470" s="1" t="s">
        <v>45</v>
      </c>
      <c r="X470" s="1" t="s">
        <v>45</v>
      </c>
      <c r="Y470" s="6">
        <f t="shared" ref="Y470:Y471" si="165">P470</f>
        <v>0.56000000000000005</v>
      </c>
    </row>
    <row r="471" spans="1:25" x14ac:dyDescent="0.15">
      <c r="A471" s="3">
        <v>2024</v>
      </c>
      <c r="B471" s="1" t="s">
        <v>55</v>
      </c>
      <c r="C471" s="3">
        <v>10</v>
      </c>
      <c r="D471" s="3">
        <v>9</v>
      </c>
      <c r="E471" s="3"/>
      <c r="F471" s="3" t="s">
        <v>40</v>
      </c>
      <c r="G471" s="3" t="s">
        <v>41</v>
      </c>
      <c r="H471" s="1"/>
      <c r="I471" s="3">
        <v>2</v>
      </c>
      <c r="J471" s="3" t="s">
        <v>40</v>
      </c>
      <c r="K471" s="1" t="s">
        <v>42</v>
      </c>
      <c r="L471" s="1" t="s">
        <v>45</v>
      </c>
      <c r="M471" s="1" t="s">
        <v>45</v>
      </c>
      <c r="N471" s="7" t="s">
        <v>45</v>
      </c>
      <c r="O471" s="1" t="s">
        <v>45</v>
      </c>
      <c r="P471" s="1">
        <v>1</v>
      </c>
      <c r="Q471" s="6" t="s">
        <v>45</v>
      </c>
      <c r="R471" s="6" t="s">
        <v>45</v>
      </c>
      <c r="S471" s="6" t="s">
        <v>45</v>
      </c>
      <c r="T471" s="6" t="s">
        <v>45</v>
      </c>
      <c r="U471" s="6" t="s">
        <v>45</v>
      </c>
      <c r="V471" s="1" t="s">
        <v>45</v>
      </c>
      <c r="W471" s="1" t="s">
        <v>45</v>
      </c>
      <c r="X471" s="1" t="s">
        <v>45</v>
      </c>
      <c r="Y471" s="6">
        <f t="shared" si="165"/>
        <v>1</v>
      </c>
    </row>
    <row r="472" spans="1:25" x14ac:dyDescent="0.15">
      <c r="A472" s="3">
        <v>2024</v>
      </c>
      <c r="B472" s="1" t="s">
        <v>55</v>
      </c>
      <c r="C472" s="3">
        <v>10</v>
      </c>
      <c r="D472" s="3">
        <v>10</v>
      </c>
      <c r="E472" s="3" t="s">
        <v>35</v>
      </c>
      <c r="F472" s="3" t="s">
        <v>38</v>
      </c>
      <c r="G472" s="3" t="s">
        <v>14</v>
      </c>
      <c r="H472" s="1" t="s">
        <v>35</v>
      </c>
      <c r="I472" s="3">
        <v>2</v>
      </c>
      <c r="J472" s="3" t="s">
        <v>63</v>
      </c>
      <c r="K472" s="1" t="s">
        <v>42</v>
      </c>
      <c r="L472" s="1" t="s">
        <v>45</v>
      </c>
      <c r="M472" s="1" t="s">
        <v>45</v>
      </c>
      <c r="N472" s="7" t="s">
        <v>45</v>
      </c>
      <c r="O472" s="1">
        <v>2</v>
      </c>
      <c r="P472" s="1">
        <v>0.44</v>
      </c>
      <c r="Q472" s="6">
        <f>O472/(0.1*O463)</f>
        <v>4.6189376443418011</v>
      </c>
      <c r="R472" s="6">
        <f>O472/(0.1*O466)</f>
        <v>4.6189376443418011</v>
      </c>
      <c r="S472" s="6">
        <f>P472/(0.9*P469)</f>
        <v>0.62678062678062674</v>
      </c>
      <c r="T472" s="6">
        <f>Q472+S472</f>
        <v>5.2457182711224277</v>
      </c>
      <c r="U472" s="6">
        <f>R472+S472</f>
        <v>5.2457182711224277</v>
      </c>
      <c r="V472" s="1">
        <f>O472/O463+P472/P469</f>
        <v>1.0259963285367442</v>
      </c>
      <c r="W472" s="1">
        <f>O472/O466+P472/P469</f>
        <v>1.0259963285367442</v>
      </c>
      <c r="X472" s="1">
        <f t="shared" ref="X472:X480" si="166">100*ROUND(P472/(P472+O472), 2)</f>
        <v>18</v>
      </c>
      <c r="Y472" s="6">
        <f>O472+P472</f>
        <v>2.44</v>
      </c>
    </row>
    <row r="473" spans="1:25" x14ac:dyDescent="0.15">
      <c r="A473" s="3">
        <v>2024</v>
      </c>
      <c r="B473" s="1" t="s">
        <v>55</v>
      </c>
      <c r="C473" s="3">
        <v>10</v>
      </c>
      <c r="D473" s="3">
        <v>11</v>
      </c>
      <c r="E473" s="3" t="s">
        <v>35</v>
      </c>
      <c r="F473" s="3" t="s">
        <v>39</v>
      </c>
      <c r="G473" s="3" t="s">
        <v>14</v>
      </c>
      <c r="H473" s="1" t="s">
        <v>35</v>
      </c>
      <c r="I473" s="3">
        <v>2</v>
      </c>
      <c r="J473" s="3" t="s">
        <v>64</v>
      </c>
      <c r="K473" s="1" t="s">
        <v>42</v>
      </c>
      <c r="L473" s="1" t="s">
        <v>45</v>
      </c>
      <c r="M473" s="1" t="s">
        <v>45</v>
      </c>
      <c r="N473" s="7" t="s">
        <v>45</v>
      </c>
      <c r="O473" s="1">
        <v>2.11</v>
      </c>
      <c r="P473" s="1">
        <v>0.44</v>
      </c>
      <c r="Q473" s="6">
        <f>O473/(0.1*O463)</f>
        <v>4.8729792147805995</v>
      </c>
      <c r="R473" s="6">
        <f>O473/(0.1*O466)</f>
        <v>4.8729792147805995</v>
      </c>
      <c r="S473" s="6">
        <f>P473/(0.9*P470)</f>
        <v>0.8730158730158728</v>
      </c>
      <c r="T473" s="6">
        <f t="shared" ref="T473:T480" si="167">Q473+S473</f>
        <v>5.7459950877964721</v>
      </c>
      <c r="U473" s="6">
        <f t="shared" ref="U473:U480" si="168">R473+S473</f>
        <v>5.7459950877964721</v>
      </c>
      <c r="V473" s="1">
        <f>O473/O463+P473/P470</f>
        <v>1.2730122071923458</v>
      </c>
      <c r="W473" s="1">
        <f>O473/O466+P473/P470</f>
        <v>1.2730122071923458</v>
      </c>
      <c r="X473" s="1">
        <f t="shared" si="166"/>
        <v>17</v>
      </c>
      <c r="Y473" s="6">
        <f t="shared" ref="Y473:Y480" si="169">O473+P473</f>
        <v>2.5499999999999998</v>
      </c>
    </row>
    <row r="474" spans="1:25" x14ac:dyDescent="0.15">
      <c r="A474" s="3">
        <v>2024</v>
      </c>
      <c r="B474" s="1" t="s">
        <v>55</v>
      </c>
      <c r="C474" s="3">
        <v>10</v>
      </c>
      <c r="D474" s="3">
        <v>12</v>
      </c>
      <c r="E474" s="3" t="s">
        <v>35</v>
      </c>
      <c r="F474" s="3" t="s">
        <v>40</v>
      </c>
      <c r="G474" s="3" t="s">
        <v>14</v>
      </c>
      <c r="H474" s="1" t="s">
        <v>35</v>
      </c>
      <c r="I474" s="3">
        <v>2</v>
      </c>
      <c r="J474" s="3" t="s">
        <v>65</v>
      </c>
      <c r="K474" s="1" t="s">
        <v>42</v>
      </c>
      <c r="L474" s="1" t="s">
        <v>45</v>
      </c>
      <c r="M474" s="1" t="s">
        <v>45</v>
      </c>
      <c r="N474" s="7" t="s">
        <v>45</v>
      </c>
      <c r="O474" s="1">
        <v>2.33</v>
      </c>
      <c r="P474" s="1">
        <v>0.22</v>
      </c>
      <c r="Q474" s="6">
        <f>O474/(0.1*O463)</f>
        <v>5.381062355658198</v>
      </c>
      <c r="R474" s="6">
        <f>O474/(0.1*O466)</f>
        <v>5.381062355658198</v>
      </c>
      <c r="S474" s="6">
        <f>P474/(0.9*P471)</f>
        <v>0.24444444444444444</v>
      </c>
      <c r="T474" s="6">
        <f t="shared" si="167"/>
        <v>5.6255068001026425</v>
      </c>
      <c r="U474" s="6">
        <f t="shared" si="168"/>
        <v>5.6255068001026425</v>
      </c>
      <c r="V474" s="1">
        <f>O474/O463+P474/P471</f>
        <v>0.7581062355658198</v>
      </c>
      <c r="W474" s="1">
        <f>O474/O466+P474/P471</f>
        <v>0.7581062355658198</v>
      </c>
      <c r="X474" s="1">
        <f t="shared" si="166"/>
        <v>9</v>
      </c>
      <c r="Y474" s="6">
        <f t="shared" si="169"/>
        <v>2.5500000000000003</v>
      </c>
    </row>
    <row r="475" spans="1:25" x14ac:dyDescent="0.15">
      <c r="A475" s="3">
        <v>2024</v>
      </c>
      <c r="B475" s="1" t="s">
        <v>55</v>
      </c>
      <c r="C475" s="3">
        <v>10</v>
      </c>
      <c r="D475" s="3">
        <v>13</v>
      </c>
      <c r="E475" s="3" t="s">
        <v>36</v>
      </c>
      <c r="F475" s="3" t="s">
        <v>38</v>
      </c>
      <c r="G475" s="3" t="s">
        <v>14</v>
      </c>
      <c r="H475" s="1" t="s">
        <v>36</v>
      </c>
      <c r="I475" s="3">
        <v>2</v>
      </c>
      <c r="J475" s="3" t="s">
        <v>66</v>
      </c>
      <c r="K475" s="1" t="s">
        <v>42</v>
      </c>
      <c r="L475" s="1" t="s">
        <v>45</v>
      </c>
      <c r="M475" s="1" t="s">
        <v>45</v>
      </c>
      <c r="N475" s="7" t="s">
        <v>45</v>
      </c>
      <c r="O475" s="1">
        <v>2.2200000000000002</v>
      </c>
      <c r="P475" s="1">
        <v>0.33</v>
      </c>
      <c r="Q475" s="6">
        <f>O475/(0.1*O464)</f>
        <v>5.4014598540145986</v>
      </c>
      <c r="R475" s="6">
        <f>O475/(0.1*O467)</f>
        <v>6.0490463215258865</v>
      </c>
      <c r="S475" s="6">
        <f>P475/(0.9*P469)</f>
        <v>0.47008547008547008</v>
      </c>
      <c r="T475" s="6">
        <f t="shared" si="167"/>
        <v>5.8715453241000688</v>
      </c>
      <c r="U475" s="6">
        <f t="shared" si="168"/>
        <v>6.5191317916113567</v>
      </c>
      <c r="V475" s="1">
        <f>O475/O464+P475/P469</f>
        <v>0.96322290847838299</v>
      </c>
      <c r="W475" s="1">
        <f>O475/O467+P475/P469</f>
        <v>1.0279815552295117</v>
      </c>
      <c r="X475" s="1">
        <f t="shared" si="166"/>
        <v>13</v>
      </c>
      <c r="Y475" s="6">
        <f t="shared" si="169"/>
        <v>2.5500000000000003</v>
      </c>
    </row>
    <row r="476" spans="1:25" x14ac:dyDescent="0.15">
      <c r="A476" s="3">
        <v>2024</v>
      </c>
      <c r="B476" s="1" t="s">
        <v>55</v>
      </c>
      <c r="C476" s="3">
        <v>10</v>
      </c>
      <c r="D476" s="3">
        <v>14</v>
      </c>
      <c r="E476" s="3" t="s">
        <v>36</v>
      </c>
      <c r="F476" s="3" t="s">
        <v>39</v>
      </c>
      <c r="G476" s="3" t="s">
        <v>14</v>
      </c>
      <c r="H476" s="1" t="s">
        <v>36</v>
      </c>
      <c r="I476" s="3">
        <v>2</v>
      </c>
      <c r="J476" s="3" t="s">
        <v>67</v>
      </c>
      <c r="K476" s="1" t="s">
        <v>42</v>
      </c>
      <c r="L476" s="1" t="s">
        <v>45</v>
      </c>
      <c r="M476" s="1" t="s">
        <v>45</v>
      </c>
      <c r="N476" s="7" t="s">
        <v>45</v>
      </c>
      <c r="O476" s="1">
        <v>2</v>
      </c>
      <c r="P476" s="1">
        <v>0.56000000000000005</v>
      </c>
      <c r="Q476" s="6">
        <f>O476/(0.1*O464)</f>
        <v>4.8661800486617999</v>
      </c>
      <c r="R476" s="6">
        <f>O476/(0.1*O467)</f>
        <v>5.4495912806539515</v>
      </c>
      <c r="S476" s="6">
        <f>P476/(0.9*P470)</f>
        <v>1.1111111111111109</v>
      </c>
      <c r="T476" s="6">
        <f t="shared" si="167"/>
        <v>5.9772911597729106</v>
      </c>
      <c r="U476" s="6">
        <f t="shared" si="168"/>
        <v>6.5607023917650622</v>
      </c>
      <c r="V476" s="1">
        <f>O476/O464+P476/P470</f>
        <v>1.4866180048661799</v>
      </c>
      <c r="W476" s="1">
        <f>O476/O467+P476/P470</f>
        <v>1.5449591280653951</v>
      </c>
      <c r="X476" s="1">
        <f t="shared" si="166"/>
        <v>22</v>
      </c>
      <c r="Y476" s="6">
        <f t="shared" si="169"/>
        <v>2.56</v>
      </c>
    </row>
    <row r="477" spans="1:25" x14ac:dyDescent="0.15">
      <c r="A477" s="3">
        <v>2024</v>
      </c>
      <c r="B477" s="1" t="s">
        <v>55</v>
      </c>
      <c r="C477" s="3">
        <v>10</v>
      </c>
      <c r="D477" s="3">
        <v>15</v>
      </c>
      <c r="E477" s="3" t="s">
        <v>36</v>
      </c>
      <c r="F477" s="3" t="s">
        <v>40</v>
      </c>
      <c r="G477" s="3" t="s">
        <v>14</v>
      </c>
      <c r="H477" s="1" t="s">
        <v>36</v>
      </c>
      <c r="I477" s="3">
        <v>2</v>
      </c>
      <c r="J477" s="3" t="s">
        <v>68</v>
      </c>
      <c r="K477" s="1" t="s">
        <v>42</v>
      </c>
      <c r="L477" s="1" t="s">
        <v>45</v>
      </c>
      <c r="M477" s="1" t="s">
        <v>45</v>
      </c>
      <c r="N477" s="7" t="s">
        <v>45</v>
      </c>
      <c r="O477" s="1">
        <v>2</v>
      </c>
      <c r="P477" s="1">
        <v>0.22</v>
      </c>
      <c r="Q477" s="6">
        <f>O477/(0.1*O464)</f>
        <v>4.8661800486617999</v>
      </c>
      <c r="R477" s="6">
        <f>O477/(0.1*O467)</f>
        <v>5.4495912806539515</v>
      </c>
      <c r="S477" s="6">
        <f>P477/(0.9*P471)</f>
        <v>0.24444444444444444</v>
      </c>
      <c r="T477" s="6">
        <f t="shared" si="167"/>
        <v>5.1106244931062443</v>
      </c>
      <c r="U477" s="6">
        <f t="shared" si="168"/>
        <v>5.694035725098396</v>
      </c>
      <c r="V477" s="1">
        <f>O477/O464+P477/P471</f>
        <v>0.70661800486617998</v>
      </c>
      <c r="W477" s="1">
        <f>O477/O467+P477/P471</f>
        <v>0.76495912806539512</v>
      </c>
      <c r="X477" s="1">
        <f t="shared" si="166"/>
        <v>10</v>
      </c>
      <c r="Y477" s="6">
        <f t="shared" si="169"/>
        <v>2.2200000000000002</v>
      </c>
    </row>
    <row r="478" spans="1:25" x14ac:dyDescent="0.15">
      <c r="A478" s="3">
        <v>2024</v>
      </c>
      <c r="B478" s="1" t="s">
        <v>55</v>
      </c>
      <c r="C478" s="3">
        <v>10</v>
      </c>
      <c r="D478" s="3">
        <v>16</v>
      </c>
      <c r="E478" s="3" t="s">
        <v>37</v>
      </c>
      <c r="F478" s="3" t="s">
        <v>38</v>
      </c>
      <c r="G478" s="3" t="s">
        <v>14</v>
      </c>
      <c r="H478" s="1" t="s">
        <v>37</v>
      </c>
      <c r="I478" s="3">
        <v>2</v>
      </c>
      <c r="J478" s="3" t="s">
        <v>69</v>
      </c>
      <c r="K478" s="1" t="s">
        <v>42</v>
      </c>
      <c r="L478" s="1" t="s">
        <v>45</v>
      </c>
      <c r="M478" s="1" t="s">
        <v>45</v>
      </c>
      <c r="N478" s="7" t="s">
        <v>45</v>
      </c>
      <c r="O478" s="1">
        <v>1.78</v>
      </c>
      <c r="P478" s="1">
        <v>0.44</v>
      </c>
      <c r="Q478" s="6">
        <f>O478/(0.1*O465)</f>
        <v>4.5758354755784065</v>
      </c>
      <c r="R478" s="6">
        <f>O478/(0.1*O468)</f>
        <v>4.9999999999999991</v>
      </c>
      <c r="S478" s="6">
        <f>P478/(0.9*P469)</f>
        <v>0.62678062678062674</v>
      </c>
      <c r="T478" s="6">
        <f t="shared" si="167"/>
        <v>5.2026161023590332</v>
      </c>
      <c r="U478" s="6">
        <f t="shared" si="168"/>
        <v>5.6267806267806257</v>
      </c>
      <c r="V478" s="1">
        <f>O478/O465+P478/P469</f>
        <v>1.0216861116604048</v>
      </c>
      <c r="W478" s="1">
        <f>O478/O468+P478/P469</f>
        <v>1.0641025641025641</v>
      </c>
      <c r="X478" s="1">
        <f t="shared" si="166"/>
        <v>20</v>
      </c>
      <c r="Y478" s="6">
        <f t="shared" si="169"/>
        <v>2.2200000000000002</v>
      </c>
    </row>
    <row r="479" spans="1:25" x14ac:dyDescent="0.15">
      <c r="A479" s="3">
        <v>2024</v>
      </c>
      <c r="B479" s="1" t="s">
        <v>55</v>
      </c>
      <c r="C479" s="3">
        <v>10</v>
      </c>
      <c r="D479" s="3">
        <v>17</v>
      </c>
      <c r="E479" s="3" t="s">
        <v>37</v>
      </c>
      <c r="F479" s="3" t="s">
        <v>39</v>
      </c>
      <c r="G479" s="3" t="s">
        <v>14</v>
      </c>
      <c r="H479" s="1" t="s">
        <v>37</v>
      </c>
      <c r="I479" s="3">
        <v>2</v>
      </c>
      <c r="J479" s="3" t="s">
        <v>70</v>
      </c>
      <c r="K479" s="1" t="s">
        <v>42</v>
      </c>
      <c r="L479" s="1" t="s">
        <v>45</v>
      </c>
      <c r="M479" s="1" t="s">
        <v>45</v>
      </c>
      <c r="N479" s="7" t="s">
        <v>45</v>
      </c>
      <c r="O479" s="1">
        <v>1.44</v>
      </c>
      <c r="P479" s="1">
        <v>0.44</v>
      </c>
      <c r="Q479" s="6">
        <f>O479/(0.1*O465)</f>
        <v>3.7017994858611822</v>
      </c>
      <c r="R479" s="6">
        <f>O479/(0.1*O468)</f>
        <v>4.0449438202247183</v>
      </c>
      <c r="S479" s="6">
        <f>P479/(0.9*P470)</f>
        <v>0.8730158730158728</v>
      </c>
      <c r="T479" s="6">
        <f t="shared" si="167"/>
        <v>4.5748153588770553</v>
      </c>
      <c r="U479" s="6">
        <f t="shared" si="168"/>
        <v>4.9179596932405909</v>
      </c>
      <c r="V479" s="1">
        <f>O479/O465+P479/P470</f>
        <v>1.1558942343004039</v>
      </c>
      <c r="W479" s="1">
        <f>O479/O468+P479/P470</f>
        <v>1.1902086677367576</v>
      </c>
      <c r="X479" s="1">
        <f t="shared" si="166"/>
        <v>23</v>
      </c>
      <c r="Y479" s="6">
        <f t="shared" si="169"/>
        <v>1.88</v>
      </c>
    </row>
    <row r="480" spans="1:25" x14ac:dyDescent="0.15">
      <c r="A480" s="3">
        <v>2024</v>
      </c>
      <c r="B480" s="1" t="s">
        <v>55</v>
      </c>
      <c r="C480" s="3">
        <v>10</v>
      </c>
      <c r="D480" s="3">
        <v>18</v>
      </c>
      <c r="E480" s="3" t="s">
        <v>37</v>
      </c>
      <c r="F480" s="3" t="s">
        <v>40</v>
      </c>
      <c r="G480" s="3" t="s">
        <v>14</v>
      </c>
      <c r="H480" s="1" t="s">
        <v>37</v>
      </c>
      <c r="I480" s="3">
        <v>2</v>
      </c>
      <c r="J480" s="3" t="s">
        <v>71</v>
      </c>
      <c r="K480" s="1" t="s">
        <v>42</v>
      </c>
      <c r="L480" s="1" t="s">
        <v>45</v>
      </c>
      <c r="M480" s="1" t="s">
        <v>45</v>
      </c>
      <c r="N480" s="7" t="s">
        <v>45</v>
      </c>
      <c r="O480" s="1">
        <v>1.78</v>
      </c>
      <c r="P480" s="1">
        <v>0.22</v>
      </c>
      <c r="Q480" s="6">
        <f>O480/(0.1*O465)</f>
        <v>4.5758354755784065</v>
      </c>
      <c r="R480" s="6">
        <f>O480/(0.1*O468)</f>
        <v>4.9999999999999991</v>
      </c>
      <c r="S480" s="6">
        <f>P480/(0.9*P471)</f>
        <v>0.24444444444444444</v>
      </c>
      <c r="T480" s="6">
        <f t="shared" si="167"/>
        <v>4.820279920022851</v>
      </c>
      <c r="U480" s="6">
        <f t="shared" si="168"/>
        <v>5.2444444444444436</v>
      </c>
      <c r="V480" s="1">
        <f>O480/O465+P480/P471</f>
        <v>0.67758354755784056</v>
      </c>
      <c r="W480" s="1">
        <f>O480/O468+P480/P471</f>
        <v>0.72</v>
      </c>
      <c r="X480" s="1">
        <f t="shared" si="166"/>
        <v>11</v>
      </c>
      <c r="Y480" s="6">
        <f t="shared" si="169"/>
        <v>2</v>
      </c>
    </row>
    <row r="481" spans="1:25" x14ac:dyDescent="0.15">
      <c r="A481" s="3">
        <v>2024</v>
      </c>
      <c r="B481" s="1" t="s">
        <v>55</v>
      </c>
      <c r="C481" s="3">
        <v>11</v>
      </c>
      <c r="D481" s="3">
        <v>1</v>
      </c>
      <c r="E481" s="3" t="s">
        <v>35</v>
      </c>
      <c r="F481" s="3"/>
      <c r="G481" s="3" t="s">
        <v>41</v>
      </c>
      <c r="H481" s="1" t="s">
        <v>35</v>
      </c>
      <c r="I481" s="3">
        <v>3</v>
      </c>
      <c r="J481" s="3" t="s">
        <v>35</v>
      </c>
      <c r="K481" s="1" t="s">
        <v>42</v>
      </c>
      <c r="L481" s="1" t="s">
        <v>45</v>
      </c>
      <c r="M481" s="1" t="s">
        <v>45</v>
      </c>
      <c r="N481" s="7" t="s">
        <v>45</v>
      </c>
      <c r="O481" s="1">
        <v>4.4400000000000004</v>
      </c>
      <c r="P481" s="1" t="s">
        <v>45</v>
      </c>
      <c r="Q481" s="6" t="s">
        <v>45</v>
      </c>
      <c r="R481" s="6" t="s">
        <v>45</v>
      </c>
      <c r="S481" s="6" t="s">
        <v>45</v>
      </c>
      <c r="T481" s="6" t="s">
        <v>45</v>
      </c>
      <c r="U481" s="6" t="s">
        <v>45</v>
      </c>
      <c r="V481" s="1" t="s">
        <v>45</v>
      </c>
      <c r="W481" s="1" t="s">
        <v>45</v>
      </c>
      <c r="X481" s="6" t="s">
        <v>45</v>
      </c>
      <c r="Y481" s="6">
        <f>O481</f>
        <v>4.4400000000000004</v>
      </c>
    </row>
    <row r="482" spans="1:25" x14ac:dyDescent="0.15">
      <c r="A482" s="3">
        <v>2024</v>
      </c>
      <c r="B482" s="1" t="s">
        <v>55</v>
      </c>
      <c r="C482" s="3">
        <v>11</v>
      </c>
      <c r="D482" s="3">
        <v>2</v>
      </c>
      <c r="E482" s="3" t="s">
        <v>36</v>
      </c>
      <c r="F482" s="3"/>
      <c r="G482" s="3" t="s">
        <v>41</v>
      </c>
      <c r="H482" s="1" t="s">
        <v>36</v>
      </c>
      <c r="I482" s="3">
        <v>3</v>
      </c>
      <c r="J482" s="3" t="s">
        <v>36</v>
      </c>
      <c r="K482" s="1" t="s">
        <v>42</v>
      </c>
      <c r="L482" s="1" t="s">
        <v>45</v>
      </c>
      <c r="M482" s="1" t="s">
        <v>45</v>
      </c>
      <c r="N482" s="7" t="s">
        <v>45</v>
      </c>
      <c r="O482" s="1">
        <v>3.78</v>
      </c>
      <c r="P482" s="1" t="s">
        <v>45</v>
      </c>
      <c r="Q482" s="6" t="s">
        <v>45</v>
      </c>
      <c r="R482" s="6" t="s">
        <v>45</v>
      </c>
      <c r="S482" s="6" t="s">
        <v>45</v>
      </c>
      <c r="T482" s="6" t="s">
        <v>45</v>
      </c>
      <c r="U482" s="6" t="s">
        <v>45</v>
      </c>
      <c r="V482" s="1" t="s">
        <v>45</v>
      </c>
      <c r="W482" s="1" t="s">
        <v>45</v>
      </c>
      <c r="X482" s="6" t="s">
        <v>45</v>
      </c>
      <c r="Y482" s="6">
        <f t="shared" ref="Y482:Y486" si="170">O482</f>
        <v>3.78</v>
      </c>
    </row>
    <row r="483" spans="1:25" x14ac:dyDescent="0.15">
      <c r="A483" s="3">
        <v>2024</v>
      </c>
      <c r="B483" s="1" t="s">
        <v>55</v>
      </c>
      <c r="C483" s="3">
        <v>11</v>
      </c>
      <c r="D483" s="3">
        <v>3</v>
      </c>
      <c r="E483" s="3" t="s">
        <v>37</v>
      </c>
      <c r="F483" s="3"/>
      <c r="G483" s="3" t="s">
        <v>41</v>
      </c>
      <c r="H483" s="1" t="s">
        <v>37</v>
      </c>
      <c r="I483" s="3">
        <v>3</v>
      </c>
      <c r="J483" s="3" t="s">
        <v>37</v>
      </c>
      <c r="K483" s="1" t="s">
        <v>42</v>
      </c>
      <c r="L483" s="1" t="s">
        <v>45</v>
      </c>
      <c r="M483" s="1" t="s">
        <v>45</v>
      </c>
      <c r="N483" s="7" t="s">
        <v>45</v>
      </c>
      <c r="O483" s="1">
        <v>3.56</v>
      </c>
      <c r="P483" s="1" t="s">
        <v>45</v>
      </c>
      <c r="Q483" s="6" t="s">
        <v>45</v>
      </c>
      <c r="R483" s="6" t="s">
        <v>45</v>
      </c>
      <c r="S483" s="6" t="s">
        <v>45</v>
      </c>
      <c r="T483" s="6" t="s">
        <v>45</v>
      </c>
      <c r="U483" s="6" t="s">
        <v>45</v>
      </c>
      <c r="V483" s="1" t="s">
        <v>45</v>
      </c>
      <c r="W483" s="1" t="s">
        <v>45</v>
      </c>
      <c r="X483" s="6" t="s">
        <v>45</v>
      </c>
      <c r="Y483" s="6">
        <f t="shared" si="170"/>
        <v>3.56</v>
      </c>
    </row>
    <row r="484" spans="1:25" x14ac:dyDescent="0.15">
      <c r="A484" s="3">
        <v>2024</v>
      </c>
      <c r="B484" s="1" t="s">
        <v>55</v>
      </c>
      <c r="C484" s="3">
        <v>11</v>
      </c>
      <c r="D484" s="3">
        <v>4</v>
      </c>
      <c r="E484" s="3" t="s">
        <v>35</v>
      </c>
      <c r="F484" s="3"/>
      <c r="G484" s="3" t="s">
        <v>41</v>
      </c>
      <c r="H484" s="1" t="s">
        <v>75</v>
      </c>
      <c r="I484" s="3">
        <v>3</v>
      </c>
      <c r="J484" s="3" t="s">
        <v>35</v>
      </c>
      <c r="K484" s="1" t="s">
        <v>43</v>
      </c>
      <c r="L484" s="1" t="s">
        <v>45</v>
      </c>
      <c r="M484" s="1" t="s">
        <v>45</v>
      </c>
      <c r="N484" s="7" t="s">
        <v>45</v>
      </c>
      <c r="O484" s="1">
        <v>4.1100000000000003</v>
      </c>
      <c r="P484" s="1" t="s">
        <v>45</v>
      </c>
      <c r="Q484" s="6" t="s">
        <v>45</v>
      </c>
      <c r="R484" s="6" t="s">
        <v>45</v>
      </c>
      <c r="S484" s="6" t="s">
        <v>45</v>
      </c>
      <c r="T484" s="6" t="s">
        <v>45</v>
      </c>
      <c r="U484" s="6" t="s">
        <v>45</v>
      </c>
      <c r="V484" s="1" t="s">
        <v>45</v>
      </c>
      <c r="W484" s="1" t="s">
        <v>45</v>
      </c>
      <c r="X484" s="1" t="s">
        <v>45</v>
      </c>
      <c r="Y484" s="6">
        <f t="shared" si="170"/>
        <v>4.1100000000000003</v>
      </c>
    </row>
    <row r="485" spans="1:25" x14ac:dyDescent="0.15">
      <c r="A485" s="3">
        <v>2024</v>
      </c>
      <c r="B485" s="1" t="s">
        <v>55</v>
      </c>
      <c r="C485" s="3">
        <v>11</v>
      </c>
      <c r="D485" s="3">
        <v>5</v>
      </c>
      <c r="E485" s="3" t="s">
        <v>36</v>
      </c>
      <c r="F485" s="3"/>
      <c r="G485" s="3" t="s">
        <v>41</v>
      </c>
      <c r="H485" s="1" t="s">
        <v>76</v>
      </c>
      <c r="I485" s="3">
        <v>3</v>
      </c>
      <c r="J485" s="3" t="s">
        <v>36</v>
      </c>
      <c r="K485" s="1" t="s">
        <v>43</v>
      </c>
      <c r="L485" s="1" t="s">
        <v>45</v>
      </c>
      <c r="M485" s="1" t="s">
        <v>45</v>
      </c>
      <c r="N485" s="7" t="s">
        <v>45</v>
      </c>
      <c r="O485" s="1">
        <v>3.89</v>
      </c>
      <c r="P485" s="1" t="s">
        <v>45</v>
      </c>
      <c r="Q485" s="6" t="s">
        <v>45</v>
      </c>
      <c r="R485" s="6" t="s">
        <v>45</v>
      </c>
      <c r="S485" s="6" t="s">
        <v>45</v>
      </c>
      <c r="T485" s="6" t="s">
        <v>45</v>
      </c>
      <c r="U485" s="6" t="s">
        <v>45</v>
      </c>
      <c r="V485" s="1" t="s">
        <v>45</v>
      </c>
      <c r="W485" s="1" t="s">
        <v>45</v>
      </c>
      <c r="X485" s="1" t="s">
        <v>45</v>
      </c>
      <c r="Y485" s="6">
        <f t="shared" si="170"/>
        <v>3.89</v>
      </c>
    </row>
    <row r="486" spans="1:25" x14ac:dyDescent="0.15">
      <c r="A486" s="3">
        <v>2024</v>
      </c>
      <c r="B486" s="1" t="s">
        <v>55</v>
      </c>
      <c r="C486" s="3">
        <v>11</v>
      </c>
      <c r="D486" s="3">
        <v>6</v>
      </c>
      <c r="E486" s="3" t="s">
        <v>37</v>
      </c>
      <c r="F486" s="3"/>
      <c r="G486" s="3" t="s">
        <v>41</v>
      </c>
      <c r="H486" s="1" t="s">
        <v>77</v>
      </c>
      <c r="I486" s="3">
        <v>3</v>
      </c>
      <c r="J486" s="3" t="s">
        <v>37</v>
      </c>
      <c r="K486" s="1" t="s">
        <v>43</v>
      </c>
      <c r="L486" s="1" t="s">
        <v>45</v>
      </c>
      <c r="M486" s="1" t="s">
        <v>45</v>
      </c>
      <c r="N486" s="7" t="s">
        <v>45</v>
      </c>
      <c r="O486" s="1">
        <v>4.1100000000000003</v>
      </c>
      <c r="P486" s="1" t="s">
        <v>45</v>
      </c>
      <c r="Q486" s="6" t="s">
        <v>45</v>
      </c>
      <c r="R486" s="6" t="s">
        <v>45</v>
      </c>
      <c r="S486" s="6" t="s">
        <v>45</v>
      </c>
      <c r="T486" s="6" t="s">
        <v>45</v>
      </c>
      <c r="U486" s="6" t="s">
        <v>45</v>
      </c>
      <c r="V486" s="1" t="s">
        <v>45</v>
      </c>
      <c r="W486" s="1" t="s">
        <v>45</v>
      </c>
      <c r="X486" s="1" t="s">
        <v>45</v>
      </c>
      <c r="Y486" s="6">
        <f t="shared" si="170"/>
        <v>4.1100000000000003</v>
      </c>
    </row>
    <row r="487" spans="1:25" x14ac:dyDescent="0.15">
      <c r="A487" s="3">
        <v>2024</v>
      </c>
      <c r="B487" s="1" t="s">
        <v>55</v>
      </c>
      <c r="C487" s="3">
        <v>11</v>
      </c>
      <c r="D487" s="3">
        <v>7</v>
      </c>
      <c r="E487" s="3"/>
      <c r="F487" s="3" t="s">
        <v>38</v>
      </c>
      <c r="G487" s="3" t="s">
        <v>41</v>
      </c>
      <c r="H487" s="1"/>
      <c r="I487" s="3">
        <v>3</v>
      </c>
      <c r="J487" s="3" t="s">
        <v>38</v>
      </c>
      <c r="K487" s="1" t="s">
        <v>42</v>
      </c>
      <c r="L487" s="1" t="s">
        <v>45</v>
      </c>
      <c r="M487" s="1" t="s">
        <v>45</v>
      </c>
      <c r="N487" s="7" t="s">
        <v>45</v>
      </c>
      <c r="O487" s="1" t="s">
        <v>45</v>
      </c>
      <c r="P487" s="1">
        <v>0.78</v>
      </c>
      <c r="Q487" s="6" t="s">
        <v>45</v>
      </c>
      <c r="R487" s="6" t="s">
        <v>45</v>
      </c>
      <c r="S487" s="6" t="s">
        <v>45</v>
      </c>
      <c r="T487" s="6" t="s">
        <v>45</v>
      </c>
      <c r="U487" s="6" t="s">
        <v>45</v>
      </c>
      <c r="V487" s="1" t="s">
        <v>45</v>
      </c>
      <c r="W487" s="1" t="s">
        <v>45</v>
      </c>
      <c r="X487" s="1" t="s">
        <v>45</v>
      </c>
      <c r="Y487" s="6">
        <f>P487</f>
        <v>0.78</v>
      </c>
    </row>
    <row r="488" spans="1:25" x14ac:dyDescent="0.15">
      <c r="A488" s="3">
        <v>2024</v>
      </c>
      <c r="B488" s="1" t="s">
        <v>55</v>
      </c>
      <c r="C488" s="3">
        <v>11</v>
      </c>
      <c r="D488" s="3">
        <v>8</v>
      </c>
      <c r="E488" s="3"/>
      <c r="F488" s="3" t="s">
        <v>39</v>
      </c>
      <c r="G488" s="3" t="s">
        <v>41</v>
      </c>
      <c r="H488" s="1"/>
      <c r="I488" s="3">
        <v>3</v>
      </c>
      <c r="J488" s="3" t="s">
        <v>39</v>
      </c>
      <c r="K488" s="1" t="s">
        <v>42</v>
      </c>
      <c r="L488" s="1" t="s">
        <v>45</v>
      </c>
      <c r="M488" s="1" t="s">
        <v>45</v>
      </c>
      <c r="N488" s="7" t="s">
        <v>45</v>
      </c>
      <c r="O488" s="1" t="s">
        <v>45</v>
      </c>
      <c r="P488" s="1">
        <v>1.1100000000000001</v>
      </c>
      <c r="Q488" s="6" t="s">
        <v>45</v>
      </c>
      <c r="R488" s="6" t="s">
        <v>45</v>
      </c>
      <c r="S488" s="6" t="s">
        <v>45</v>
      </c>
      <c r="T488" s="6" t="s">
        <v>45</v>
      </c>
      <c r="U488" s="6" t="s">
        <v>45</v>
      </c>
      <c r="V488" s="1" t="s">
        <v>45</v>
      </c>
      <c r="W488" s="1" t="s">
        <v>45</v>
      </c>
      <c r="X488" s="1" t="s">
        <v>45</v>
      </c>
      <c r="Y488" s="6">
        <f t="shared" ref="Y488:Y489" si="171">P488</f>
        <v>1.1100000000000001</v>
      </c>
    </row>
    <row r="489" spans="1:25" x14ac:dyDescent="0.15">
      <c r="A489" s="3">
        <v>2024</v>
      </c>
      <c r="B489" s="1" t="s">
        <v>55</v>
      </c>
      <c r="C489" s="3">
        <v>11</v>
      </c>
      <c r="D489" s="3">
        <v>9</v>
      </c>
      <c r="E489" s="3"/>
      <c r="F489" s="3" t="s">
        <v>40</v>
      </c>
      <c r="G489" s="3" t="s">
        <v>41</v>
      </c>
      <c r="H489" s="1"/>
      <c r="I489" s="3">
        <v>3</v>
      </c>
      <c r="J489" s="3" t="s">
        <v>40</v>
      </c>
      <c r="K489" s="1" t="s">
        <v>42</v>
      </c>
      <c r="L489" s="1" t="s">
        <v>45</v>
      </c>
      <c r="M489" s="1" t="s">
        <v>45</v>
      </c>
      <c r="N489" s="7" t="s">
        <v>45</v>
      </c>
      <c r="O489" s="1" t="s">
        <v>45</v>
      </c>
      <c r="P489" s="1">
        <v>0.78</v>
      </c>
      <c r="Q489" s="6" t="s">
        <v>45</v>
      </c>
      <c r="R489" s="6" t="s">
        <v>45</v>
      </c>
      <c r="S489" s="6" t="s">
        <v>45</v>
      </c>
      <c r="T489" s="6" t="s">
        <v>45</v>
      </c>
      <c r="U489" s="6" t="s">
        <v>45</v>
      </c>
      <c r="V489" s="1" t="s">
        <v>45</v>
      </c>
      <c r="W489" s="1" t="s">
        <v>45</v>
      </c>
      <c r="X489" s="1" t="s">
        <v>45</v>
      </c>
      <c r="Y489" s="6">
        <f t="shared" si="171"/>
        <v>0.78</v>
      </c>
    </row>
    <row r="490" spans="1:25" x14ac:dyDescent="0.15">
      <c r="A490" s="3">
        <v>2024</v>
      </c>
      <c r="B490" s="1" t="s">
        <v>55</v>
      </c>
      <c r="C490" s="3">
        <v>11</v>
      </c>
      <c r="D490" s="3">
        <v>10</v>
      </c>
      <c r="E490" s="3" t="s">
        <v>35</v>
      </c>
      <c r="F490" s="3" t="s">
        <v>38</v>
      </c>
      <c r="G490" s="3" t="s">
        <v>14</v>
      </c>
      <c r="H490" s="1" t="s">
        <v>35</v>
      </c>
      <c r="I490" s="3">
        <v>3</v>
      </c>
      <c r="J490" s="3" t="s">
        <v>63</v>
      </c>
      <c r="K490" s="1" t="s">
        <v>42</v>
      </c>
      <c r="L490" s="1" t="s">
        <v>45</v>
      </c>
      <c r="M490" s="1" t="s">
        <v>45</v>
      </c>
      <c r="N490" s="7" t="s">
        <v>45</v>
      </c>
      <c r="O490" s="1">
        <v>2</v>
      </c>
      <c r="P490" s="1">
        <v>0.22</v>
      </c>
      <c r="Q490" s="6">
        <f>O490/(0.1*O481)</f>
        <v>4.5045045045045038</v>
      </c>
      <c r="R490" s="6">
        <f>O490/(0.1*O484)</f>
        <v>4.8661800486617999</v>
      </c>
      <c r="S490" s="6">
        <f>P490/(0.9*P487)</f>
        <v>0.31339031339031337</v>
      </c>
      <c r="T490" s="6">
        <f>Q490+S490</f>
        <v>4.8178948178948175</v>
      </c>
      <c r="U490" s="6">
        <f>R490+S490</f>
        <v>5.1795703620521136</v>
      </c>
      <c r="V490" s="1">
        <f>O490/O481+P490/P487</f>
        <v>0.73250173250173245</v>
      </c>
      <c r="W490" s="1">
        <f>O490/O484+P490/P487</f>
        <v>0.76866928691746206</v>
      </c>
      <c r="X490" s="1">
        <f t="shared" ref="X490:X498" si="172">100*ROUND(P490/(P490+O490), 2)</f>
        <v>10</v>
      </c>
      <c r="Y490" s="6">
        <f>O490+P490</f>
        <v>2.2200000000000002</v>
      </c>
    </row>
    <row r="491" spans="1:25" x14ac:dyDescent="0.15">
      <c r="A491" s="3">
        <v>2024</v>
      </c>
      <c r="B491" s="1" t="s">
        <v>55</v>
      </c>
      <c r="C491" s="3">
        <v>11</v>
      </c>
      <c r="D491" s="3">
        <v>11</v>
      </c>
      <c r="E491" s="3" t="s">
        <v>35</v>
      </c>
      <c r="F491" s="3" t="s">
        <v>39</v>
      </c>
      <c r="G491" s="3" t="s">
        <v>14</v>
      </c>
      <c r="H491" s="1" t="s">
        <v>35</v>
      </c>
      <c r="I491" s="3">
        <v>3</v>
      </c>
      <c r="J491" s="3" t="s">
        <v>64</v>
      </c>
      <c r="K491" s="1" t="s">
        <v>42</v>
      </c>
      <c r="L491" s="1" t="s">
        <v>45</v>
      </c>
      <c r="M491" s="1" t="s">
        <v>45</v>
      </c>
      <c r="N491" s="7" t="s">
        <v>45</v>
      </c>
      <c r="O491" s="1">
        <v>2</v>
      </c>
      <c r="P491" s="1">
        <v>0.67</v>
      </c>
      <c r="Q491" s="6">
        <f>O491/(0.1*O481)</f>
        <v>4.5045045045045038</v>
      </c>
      <c r="R491" s="6">
        <f>O491/(0.1*O484)</f>
        <v>4.8661800486617999</v>
      </c>
      <c r="S491" s="6">
        <f>P491/(0.9*P488)</f>
        <v>0.67067067067067065</v>
      </c>
      <c r="T491" s="6">
        <f t="shared" ref="T491:T498" si="173">Q491+S491</f>
        <v>5.1751751751751742</v>
      </c>
      <c r="U491" s="6">
        <f t="shared" ref="U491:U498" si="174">R491+S491</f>
        <v>5.5368507193324703</v>
      </c>
      <c r="V491" s="1">
        <f>O491/O481+P491/P488</f>
        <v>1.0540540540540539</v>
      </c>
      <c r="W491" s="1">
        <f>O491/O484+P491/P488</f>
        <v>1.0902216084697836</v>
      </c>
      <c r="X491" s="1">
        <f t="shared" si="172"/>
        <v>25</v>
      </c>
      <c r="Y491" s="6">
        <f t="shared" ref="Y491:Y498" si="175">O491+P491</f>
        <v>2.67</v>
      </c>
    </row>
    <row r="492" spans="1:25" x14ac:dyDescent="0.15">
      <c r="A492" s="3">
        <v>2024</v>
      </c>
      <c r="B492" s="1" t="s">
        <v>55</v>
      </c>
      <c r="C492" s="3">
        <v>11</v>
      </c>
      <c r="D492" s="3">
        <v>12</v>
      </c>
      <c r="E492" s="3" t="s">
        <v>35</v>
      </c>
      <c r="F492" s="3" t="s">
        <v>40</v>
      </c>
      <c r="G492" s="3" t="s">
        <v>14</v>
      </c>
      <c r="H492" s="1" t="s">
        <v>35</v>
      </c>
      <c r="I492" s="3">
        <v>3</v>
      </c>
      <c r="J492" s="3" t="s">
        <v>65</v>
      </c>
      <c r="K492" s="1" t="s">
        <v>42</v>
      </c>
      <c r="L492" s="1" t="s">
        <v>45</v>
      </c>
      <c r="M492" s="1" t="s">
        <v>45</v>
      </c>
      <c r="N492" s="7" t="s">
        <v>45</v>
      </c>
      <c r="O492" s="1">
        <v>2.11</v>
      </c>
      <c r="P492" s="1">
        <v>0.33</v>
      </c>
      <c r="Q492" s="6">
        <f>O492/(0.1*O481)</f>
        <v>4.7522522522522515</v>
      </c>
      <c r="R492" s="6">
        <f>O492/(0.1*O484)</f>
        <v>5.1338199513381992</v>
      </c>
      <c r="S492" s="6">
        <f>P492/(0.9*P489)</f>
        <v>0.47008547008547008</v>
      </c>
      <c r="T492" s="6">
        <f t="shared" si="173"/>
        <v>5.2223377223377216</v>
      </c>
      <c r="U492" s="6">
        <f t="shared" si="174"/>
        <v>5.6039054214236694</v>
      </c>
      <c r="V492" s="1">
        <f>O492/O481+P492/P489</f>
        <v>0.89830214830214827</v>
      </c>
      <c r="W492" s="1">
        <f>O492/O484+P492/P489</f>
        <v>0.93645891821074301</v>
      </c>
      <c r="X492" s="1">
        <f t="shared" si="172"/>
        <v>14.000000000000002</v>
      </c>
      <c r="Y492" s="6">
        <f t="shared" si="175"/>
        <v>2.44</v>
      </c>
    </row>
    <row r="493" spans="1:25" x14ac:dyDescent="0.15">
      <c r="A493" s="3">
        <v>2024</v>
      </c>
      <c r="B493" s="1" t="s">
        <v>55</v>
      </c>
      <c r="C493" s="3">
        <v>11</v>
      </c>
      <c r="D493" s="3">
        <v>13</v>
      </c>
      <c r="E493" s="3" t="s">
        <v>36</v>
      </c>
      <c r="F493" s="3" t="s">
        <v>38</v>
      </c>
      <c r="G493" s="3" t="s">
        <v>14</v>
      </c>
      <c r="H493" s="1" t="s">
        <v>36</v>
      </c>
      <c r="I493" s="3">
        <v>3</v>
      </c>
      <c r="J493" s="3" t="s">
        <v>66</v>
      </c>
      <c r="K493" s="1" t="s">
        <v>42</v>
      </c>
      <c r="L493" s="1" t="s">
        <v>45</v>
      </c>
      <c r="M493" s="1" t="s">
        <v>45</v>
      </c>
      <c r="N493" s="7" t="s">
        <v>45</v>
      </c>
      <c r="O493" s="1">
        <v>1.67</v>
      </c>
      <c r="P493" s="1">
        <v>0.44</v>
      </c>
      <c r="Q493" s="6">
        <f>O493/(0.1*O482)</f>
        <v>4.4179894179894177</v>
      </c>
      <c r="R493" s="6">
        <f>O493/(0.1*O485)</f>
        <v>4.2930591259640103</v>
      </c>
      <c r="S493" s="6">
        <f>P493/(0.9*P487)</f>
        <v>0.62678062678062674</v>
      </c>
      <c r="T493" s="6">
        <f t="shared" si="173"/>
        <v>5.0447700447700443</v>
      </c>
      <c r="U493" s="6">
        <f t="shared" si="174"/>
        <v>4.9198397527446369</v>
      </c>
      <c r="V493" s="1">
        <f>O493/O482+P493/P487</f>
        <v>1.005901505901506</v>
      </c>
      <c r="W493" s="1">
        <f>O493/O485+P493/P487</f>
        <v>0.99340847669896504</v>
      </c>
      <c r="X493" s="1">
        <f t="shared" si="172"/>
        <v>21</v>
      </c>
      <c r="Y493" s="6">
        <f t="shared" si="175"/>
        <v>2.11</v>
      </c>
    </row>
    <row r="494" spans="1:25" x14ac:dyDescent="0.15">
      <c r="A494" s="3">
        <v>2024</v>
      </c>
      <c r="B494" s="1" t="s">
        <v>55</v>
      </c>
      <c r="C494" s="3">
        <v>11</v>
      </c>
      <c r="D494" s="3">
        <v>14</v>
      </c>
      <c r="E494" s="3" t="s">
        <v>36</v>
      </c>
      <c r="F494" s="3" t="s">
        <v>39</v>
      </c>
      <c r="G494" s="3" t="s">
        <v>14</v>
      </c>
      <c r="H494" s="1" t="s">
        <v>36</v>
      </c>
      <c r="I494" s="3">
        <v>3</v>
      </c>
      <c r="J494" s="3" t="s">
        <v>67</v>
      </c>
      <c r="K494" s="1" t="s">
        <v>42</v>
      </c>
      <c r="L494" s="1" t="s">
        <v>45</v>
      </c>
      <c r="M494" s="1" t="s">
        <v>45</v>
      </c>
      <c r="N494" s="7" t="s">
        <v>45</v>
      </c>
      <c r="O494" s="1">
        <v>1.89</v>
      </c>
      <c r="P494" s="1">
        <v>0.33</v>
      </c>
      <c r="Q494" s="6">
        <f>O494/(0.1*O482)</f>
        <v>5</v>
      </c>
      <c r="R494" s="6">
        <f>O494/(0.1*O485)</f>
        <v>4.8586118251928019</v>
      </c>
      <c r="S494" s="6">
        <f>P494/(0.9*P488)</f>
        <v>0.33033033033033032</v>
      </c>
      <c r="T494" s="6">
        <f t="shared" si="173"/>
        <v>5.3303303303303302</v>
      </c>
      <c r="U494" s="6">
        <f t="shared" si="174"/>
        <v>5.1889421555231321</v>
      </c>
      <c r="V494" s="1">
        <f>O494/O482+P494/P488</f>
        <v>0.79729729729729726</v>
      </c>
      <c r="W494" s="1">
        <f>O494/O485+P494/P488</f>
        <v>0.78315847981657738</v>
      </c>
      <c r="X494" s="1">
        <f t="shared" si="172"/>
        <v>15</v>
      </c>
      <c r="Y494" s="6">
        <f t="shared" si="175"/>
        <v>2.2199999999999998</v>
      </c>
    </row>
    <row r="495" spans="1:25" x14ac:dyDescent="0.15">
      <c r="A495" s="3">
        <v>2024</v>
      </c>
      <c r="B495" s="1" t="s">
        <v>55</v>
      </c>
      <c r="C495" s="3">
        <v>11</v>
      </c>
      <c r="D495" s="3">
        <v>15</v>
      </c>
      <c r="E495" s="3" t="s">
        <v>36</v>
      </c>
      <c r="F495" s="3" t="s">
        <v>40</v>
      </c>
      <c r="G495" s="3" t="s">
        <v>14</v>
      </c>
      <c r="H495" s="1" t="s">
        <v>36</v>
      </c>
      <c r="I495" s="3">
        <v>3</v>
      </c>
      <c r="J495" s="3" t="s">
        <v>68</v>
      </c>
      <c r="K495" s="1" t="s">
        <v>42</v>
      </c>
      <c r="L495" s="1" t="s">
        <v>45</v>
      </c>
      <c r="M495" s="1" t="s">
        <v>45</v>
      </c>
      <c r="N495" s="7" t="s">
        <v>45</v>
      </c>
      <c r="O495" s="1">
        <v>2.33</v>
      </c>
      <c r="P495" s="1">
        <v>0.11</v>
      </c>
      <c r="Q495" s="6">
        <f>O495/(0.1*O482)</f>
        <v>6.1640211640211637</v>
      </c>
      <c r="R495" s="6">
        <f>O495/(0.1*O485)</f>
        <v>5.9897172236503859</v>
      </c>
      <c r="S495" s="6">
        <f>P495/(0.9*P489)</f>
        <v>0.15669515669515668</v>
      </c>
      <c r="T495" s="6">
        <f t="shared" si="173"/>
        <v>6.3207163207163202</v>
      </c>
      <c r="U495" s="6">
        <f t="shared" si="174"/>
        <v>6.1464123803455424</v>
      </c>
      <c r="V495" s="1">
        <f>O495/O482+P495/P489</f>
        <v>0.75742775742775748</v>
      </c>
      <c r="W495" s="1">
        <f>O495/O485+P495/P489</f>
        <v>0.73999736339067956</v>
      </c>
      <c r="X495" s="1">
        <f t="shared" si="172"/>
        <v>5</v>
      </c>
      <c r="Y495" s="6">
        <f t="shared" si="175"/>
        <v>2.44</v>
      </c>
    </row>
    <row r="496" spans="1:25" x14ac:dyDescent="0.15">
      <c r="A496" s="3">
        <v>2024</v>
      </c>
      <c r="B496" s="1" t="s">
        <v>55</v>
      </c>
      <c r="C496" s="3">
        <v>11</v>
      </c>
      <c r="D496" s="3">
        <v>16</v>
      </c>
      <c r="E496" s="3" t="s">
        <v>37</v>
      </c>
      <c r="F496" s="3" t="s">
        <v>38</v>
      </c>
      <c r="G496" s="3" t="s">
        <v>14</v>
      </c>
      <c r="H496" s="1" t="s">
        <v>37</v>
      </c>
      <c r="I496" s="3">
        <v>3</v>
      </c>
      <c r="J496" s="3" t="s">
        <v>69</v>
      </c>
      <c r="K496" s="1" t="s">
        <v>42</v>
      </c>
      <c r="L496" s="1" t="s">
        <v>45</v>
      </c>
      <c r="M496" s="1" t="s">
        <v>45</v>
      </c>
      <c r="N496" s="7" t="s">
        <v>45</v>
      </c>
      <c r="O496" s="1">
        <v>1.67</v>
      </c>
      <c r="P496" s="1">
        <v>0.56000000000000005</v>
      </c>
      <c r="Q496" s="6">
        <f>O496/(0.1*O483)</f>
        <v>4.6910112359550551</v>
      </c>
      <c r="R496" s="6">
        <f>O496/(0.1*O486)</f>
        <v>4.0632603406326027</v>
      </c>
      <c r="S496" s="6">
        <f>P496/(0.9*P487)</f>
        <v>0.79772079772079774</v>
      </c>
      <c r="T496" s="6">
        <f t="shared" si="173"/>
        <v>5.4887320336758529</v>
      </c>
      <c r="U496" s="6">
        <f t="shared" si="174"/>
        <v>4.8609811383534005</v>
      </c>
      <c r="V496" s="1">
        <f>O496/O483+P496/P487</f>
        <v>1.1870498415442237</v>
      </c>
      <c r="W496" s="1">
        <f>O496/O486+P496/P487</f>
        <v>1.1242747520119782</v>
      </c>
      <c r="X496" s="1">
        <f t="shared" si="172"/>
        <v>25</v>
      </c>
      <c r="Y496" s="6">
        <f t="shared" si="175"/>
        <v>2.23</v>
      </c>
    </row>
    <row r="497" spans="1:25" x14ac:dyDescent="0.15">
      <c r="A497" s="3">
        <v>2024</v>
      </c>
      <c r="B497" s="1" t="s">
        <v>55</v>
      </c>
      <c r="C497" s="3">
        <v>11</v>
      </c>
      <c r="D497" s="3">
        <v>17</v>
      </c>
      <c r="E497" s="3" t="s">
        <v>37</v>
      </c>
      <c r="F497" s="3" t="s">
        <v>39</v>
      </c>
      <c r="G497" s="3" t="s">
        <v>14</v>
      </c>
      <c r="H497" s="1" t="s">
        <v>37</v>
      </c>
      <c r="I497" s="3">
        <v>3</v>
      </c>
      <c r="J497" s="3" t="s">
        <v>70</v>
      </c>
      <c r="K497" s="1" t="s">
        <v>42</v>
      </c>
      <c r="L497" s="1" t="s">
        <v>45</v>
      </c>
      <c r="M497" s="1" t="s">
        <v>45</v>
      </c>
      <c r="N497" s="7" t="s">
        <v>45</v>
      </c>
      <c r="O497" s="1">
        <v>1.22</v>
      </c>
      <c r="P497" s="1">
        <v>0.67</v>
      </c>
      <c r="Q497" s="6">
        <f>O497/(0.1*O483)</f>
        <v>3.4269662921348312</v>
      </c>
      <c r="R497" s="6">
        <f>O497/(0.1*O486)</f>
        <v>2.9683698296836978</v>
      </c>
      <c r="S497" s="6">
        <f>P497/(0.9*P488)</f>
        <v>0.67067067067067065</v>
      </c>
      <c r="T497" s="6">
        <f t="shared" si="173"/>
        <v>4.0976369628055016</v>
      </c>
      <c r="U497" s="6">
        <f t="shared" si="174"/>
        <v>3.6390405003543682</v>
      </c>
      <c r="V497" s="1">
        <f>O497/O483+P497/P488</f>
        <v>0.94630023281708664</v>
      </c>
      <c r="W497" s="1">
        <f>O497/O486+P497/P488</f>
        <v>0.90044058657197334</v>
      </c>
      <c r="X497" s="1">
        <f t="shared" si="172"/>
        <v>35</v>
      </c>
      <c r="Y497" s="6">
        <f t="shared" si="175"/>
        <v>1.8900000000000001</v>
      </c>
    </row>
    <row r="498" spans="1:25" x14ac:dyDescent="0.15">
      <c r="A498" s="3">
        <v>2024</v>
      </c>
      <c r="B498" s="1" t="s">
        <v>55</v>
      </c>
      <c r="C498" s="3">
        <v>11</v>
      </c>
      <c r="D498" s="3">
        <v>18</v>
      </c>
      <c r="E498" s="3" t="s">
        <v>37</v>
      </c>
      <c r="F498" s="3" t="s">
        <v>40</v>
      </c>
      <c r="G498" s="3" t="s">
        <v>14</v>
      </c>
      <c r="H498" s="1" t="s">
        <v>37</v>
      </c>
      <c r="I498" s="3">
        <v>3</v>
      </c>
      <c r="J498" s="3" t="s">
        <v>71</v>
      </c>
      <c r="K498" s="1" t="s">
        <v>42</v>
      </c>
      <c r="L498" s="1" t="s">
        <v>45</v>
      </c>
      <c r="M498" s="1" t="s">
        <v>45</v>
      </c>
      <c r="N498" s="7" t="s">
        <v>45</v>
      </c>
      <c r="O498" s="1">
        <v>2.11</v>
      </c>
      <c r="P498" s="1">
        <v>0.33</v>
      </c>
      <c r="Q498" s="6">
        <f>O498/(0.1*O483)</f>
        <v>5.9269662921348303</v>
      </c>
      <c r="R498" s="6">
        <f>O498/(0.1*O486)</f>
        <v>5.1338199513381992</v>
      </c>
      <c r="S498" s="6">
        <f>P498/(0.9*P489)</f>
        <v>0.47008547008547008</v>
      </c>
      <c r="T498" s="6">
        <f t="shared" si="173"/>
        <v>6.3970517622203005</v>
      </c>
      <c r="U498" s="6">
        <f t="shared" si="174"/>
        <v>5.6039054214236694</v>
      </c>
      <c r="V498" s="1">
        <f>O498/O483+P498/P489</f>
        <v>1.0157735522904061</v>
      </c>
      <c r="W498" s="1">
        <f>O498/O486+P498/P489</f>
        <v>0.93645891821074301</v>
      </c>
      <c r="X498" s="1">
        <f t="shared" si="172"/>
        <v>14.000000000000002</v>
      </c>
      <c r="Y498" s="6">
        <f t="shared" si="175"/>
        <v>2.44</v>
      </c>
    </row>
    <row r="499" spans="1:25" x14ac:dyDescent="0.15">
      <c r="A499" s="3">
        <v>2024</v>
      </c>
      <c r="B499" s="1" t="s">
        <v>55</v>
      </c>
      <c r="C499" s="3">
        <v>12</v>
      </c>
      <c r="D499" s="3">
        <v>1</v>
      </c>
      <c r="E499" s="3" t="s">
        <v>35</v>
      </c>
      <c r="F499" s="3"/>
      <c r="G499" s="3" t="s">
        <v>41</v>
      </c>
      <c r="H499" s="1" t="s">
        <v>35</v>
      </c>
      <c r="I499" s="3">
        <v>4</v>
      </c>
      <c r="J499" s="3" t="s">
        <v>35</v>
      </c>
      <c r="K499" s="1" t="s">
        <v>42</v>
      </c>
      <c r="L499" s="1" t="s">
        <v>45</v>
      </c>
      <c r="M499" s="1" t="s">
        <v>45</v>
      </c>
      <c r="N499" s="7" t="s">
        <v>45</v>
      </c>
      <c r="O499" s="1">
        <v>4.4400000000000004</v>
      </c>
      <c r="P499" s="1" t="s">
        <v>45</v>
      </c>
      <c r="Q499" s="6" t="s">
        <v>45</v>
      </c>
      <c r="R499" s="6" t="s">
        <v>45</v>
      </c>
      <c r="S499" s="6" t="s">
        <v>45</v>
      </c>
      <c r="T499" s="6" t="s">
        <v>45</v>
      </c>
      <c r="U499" s="6" t="s">
        <v>45</v>
      </c>
      <c r="V499" s="1" t="s">
        <v>45</v>
      </c>
      <c r="W499" s="1" t="s">
        <v>45</v>
      </c>
      <c r="X499" s="6" t="s">
        <v>45</v>
      </c>
      <c r="Y499" s="6">
        <f>O499</f>
        <v>4.4400000000000004</v>
      </c>
    </row>
    <row r="500" spans="1:25" x14ac:dyDescent="0.15">
      <c r="A500" s="3">
        <v>2024</v>
      </c>
      <c r="B500" s="1" t="s">
        <v>55</v>
      </c>
      <c r="C500" s="3">
        <v>12</v>
      </c>
      <c r="D500" s="3">
        <v>2</v>
      </c>
      <c r="E500" s="3" t="s">
        <v>36</v>
      </c>
      <c r="F500" s="3"/>
      <c r="G500" s="3" t="s">
        <v>41</v>
      </c>
      <c r="H500" s="1" t="s">
        <v>36</v>
      </c>
      <c r="I500" s="3">
        <v>4</v>
      </c>
      <c r="J500" s="3" t="s">
        <v>36</v>
      </c>
      <c r="K500" s="1" t="s">
        <v>42</v>
      </c>
      <c r="L500" s="1" t="s">
        <v>45</v>
      </c>
      <c r="M500" s="1" t="s">
        <v>45</v>
      </c>
      <c r="N500" s="7" t="s">
        <v>45</v>
      </c>
      <c r="O500" s="1">
        <v>4.33</v>
      </c>
      <c r="P500" s="1" t="s">
        <v>45</v>
      </c>
      <c r="Q500" s="6" t="s">
        <v>45</v>
      </c>
      <c r="R500" s="6" t="s">
        <v>45</v>
      </c>
      <c r="S500" s="6" t="s">
        <v>45</v>
      </c>
      <c r="T500" s="6" t="s">
        <v>45</v>
      </c>
      <c r="U500" s="6" t="s">
        <v>45</v>
      </c>
      <c r="V500" s="1" t="s">
        <v>45</v>
      </c>
      <c r="W500" s="1" t="s">
        <v>45</v>
      </c>
      <c r="X500" s="6" t="s">
        <v>45</v>
      </c>
      <c r="Y500" s="6">
        <f t="shared" ref="Y500:Y504" si="176">O500</f>
        <v>4.33</v>
      </c>
    </row>
    <row r="501" spans="1:25" x14ac:dyDescent="0.15">
      <c r="A501" s="3">
        <v>2024</v>
      </c>
      <c r="B501" s="1" t="s">
        <v>55</v>
      </c>
      <c r="C501" s="3">
        <v>12</v>
      </c>
      <c r="D501" s="3">
        <v>3</v>
      </c>
      <c r="E501" s="3" t="s">
        <v>37</v>
      </c>
      <c r="F501" s="3"/>
      <c r="G501" s="3" t="s">
        <v>41</v>
      </c>
      <c r="H501" s="1" t="s">
        <v>37</v>
      </c>
      <c r="I501" s="3">
        <v>4</v>
      </c>
      <c r="J501" s="3" t="s">
        <v>37</v>
      </c>
      <c r="K501" s="1" t="s">
        <v>42</v>
      </c>
      <c r="L501" s="1" t="s">
        <v>45</v>
      </c>
      <c r="M501" s="1" t="s">
        <v>45</v>
      </c>
      <c r="N501" s="7" t="s">
        <v>45</v>
      </c>
      <c r="O501" s="1">
        <v>4.78</v>
      </c>
      <c r="P501" s="1" t="s">
        <v>45</v>
      </c>
      <c r="Q501" s="6" t="s">
        <v>45</v>
      </c>
      <c r="R501" s="6" t="s">
        <v>45</v>
      </c>
      <c r="S501" s="6" t="s">
        <v>45</v>
      </c>
      <c r="T501" s="6" t="s">
        <v>45</v>
      </c>
      <c r="U501" s="6" t="s">
        <v>45</v>
      </c>
      <c r="V501" s="1" t="s">
        <v>45</v>
      </c>
      <c r="W501" s="1" t="s">
        <v>45</v>
      </c>
      <c r="X501" s="6" t="s">
        <v>45</v>
      </c>
      <c r="Y501" s="6">
        <f t="shared" si="176"/>
        <v>4.78</v>
      </c>
    </row>
    <row r="502" spans="1:25" x14ac:dyDescent="0.15">
      <c r="A502" s="3">
        <v>2024</v>
      </c>
      <c r="B502" s="1" t="s">
        <v>55</v>
      </c>
      <c r="C502" s="3">
        <v>12</v>
      </c>
      <c r="D502" s="3">
        <v>4</v>
      </c>
      <c r="E502" s="3" t="s">
        <v>35</v>
      </c>
      <c r="F502" s="3"/>
      <c r="G502" s="3" t="s">
        <v>41</v>
      </c>
      <c r="H502" s="1" t="s">
        <v>75</v>
      </c>
      <c r="I502" s="3">
        <v>4</v>
      </c>
      <c r="J502" s="3" t="s">
        <v>35</v>
      </c>
      <c r="K502" s="1" t="s">
        <v>43</v>
      </c>
      <c r="L502" s="1" t="s">
        <v>45</v>
      </c>
      <c r="M502" s="1" t="s">
        <v>45</v>
      </c>
      <c r="N502" s="7" t="s">
        <v>45</v>
      </c>
      <c r="O502" s="1">
        <v>4.33</v>
      </c>
      <c r="P502" s="1" t="s">
        <v>45</v>
      </c>
      <c r="Q502" s="6" t="s">
        <v>45</v>
      </c>
      <c r="R502" s="6" t="s">
        <v>45</v>
      </c>
      <c r="S502" s="6" t="s">
        <v>45</v>
      </c>
      <c r="T502" s="6" t="s">
        <v>45</v>
      </c>
      <c r="U502" s="6" t="s">
        <v>45</v>
      </c>
      <c r="V502" s="1" t="s">
        <v>45</v>
      </c>
      <c r="W502" s="1" t="s">
        <v>45</v>
      </c>
      <c r="X502" s="1" t="s">
        <v>45</v>
      </c>
      <c r="Y502" s="6">
        <f t="shared" si="176"/>
        <v>4.33</v>
      </c>
    </row>
    <row r="503" spans="1:25" x14ac:dyDescent="0.15">
      <c r="A503" s="3">
        <v>2024</v>
      </c>
      <c r="B503" s="1" t="s">
        <v>55</v>
      </c>
      <c r="C503" s="3">
        <v>12</v>
      </c>
      <c r="D503" s="3">
        <v>5</v>
      </c>
      <c r="E503" s="3" t="s">
        <v>36</v>
      </c>
      <c r="F503" s="3"/>
      <c r="G503" s="3" t="s">
        <v>41</v>
      </c>
      <c r="H503" s="1" t="s">
        <v>76</v>
      </c>
      <c r="I503" s="3">
        <v>4</v>
      </c>
      <c r="J503" s="3" t="s">
        <v>36</v>
      </c>
      <c r="K503" s="1" t="s">
        <v>43</v>
      </c>
      <c r="L503" s="1" t="s">
        <v>45</v>
      </c>
      <c r="M503" s="1" t="s">
        <v>45</v>
      </c>
      <c r="N503" s="7" t="s">
        <v>45</v>
      </c>
      <c r="O503" s="1">
        <v>4.4400000000000004</v>
      </c>
      <c r="P503" s="1" t="s">
        <v>45</v>
      </c>
      <c r="Q503" s="6" t="s">
        <v>45</v>
      </c>
      <c r="R503" s="6" t="s">
        <v>45</v>
      </c>
      <c r="S503" s="6" t="s">
        <v>45</v>
      </c>
      <c r="T503" s="6" t="s">
        <v>45</v>
      </c>
      <c r="U503" s="6" t="s">
        <v>45</v>
      </c>
      <c r="V503" s="1" t="s">
        <v>45</v>
      </c>
      <c r="W503" s="1" t="s">
        <v>45</v>
      </c>
      <c r="X503" s="1" t="s">
        <v>45</v>
      </c>
      <c r="Y503" s="6">
        <f t="shared" si="176"/>
        <v>4.4400000000000004</v>
      </c>
    </row>
    <row r="504" spans="1:25" x14ac:dyDescent="0.15">
      <c r="A504" s="3">
        <v>2024</v>
      </c>
      <c r="B504" s="1" t="s">
        <v>55</v>
      </c>
      <c r="C504" s="3">
        <v>12</v>
      </c>
      <c r="D504" s="3">
        <v>6</v>
      </c>
      <c r="E504" s="3" t="s">
        <v>37</v>
      </c>
      <c r="F504" s="3"/>
      <c r="G504" s="3" t="s">
        <v>41</v>
      </c>
      <c r="H504" s="1" t="s">
        <v>77</v>
      </c>
      <c r="I504" s="3">
        <v>4</v>
      </c>
      <c r="J504" s="3" t="s">
        <v>37</v>
      </c>
      <c r="K504" s="1" t="s">
        <v>43</v>
      </c>
      <c r="L504" s="1" t="s">
        <v>45</v>
      </c>
      <c r="M504" s="1" t="s">
        <v>45</v>
      </c>
      <c r="N504" s="7" t="s">
        <v>45</v>
      </c>
      <c r="O504" s="1">
        <v>4.67</v>
      </c>
      <c r="P504" s="1" t="s">
        <v>45</v>
      </c>
      <c r="Q504" s="6" t="s">
        <v>45</v>
      </c>
      <c r="R504" s="6" t="s">
        <v>45</v>
      </c>
      <c r="S504" s="6" t="s">
        <v>45</v>
      </c>
      <c r="T504" s="6" t="s">
        <v>45</v>
      </c>
      <c r="U504" s="6" t="s">
        <v>45</v>
      </c>
      <c r="V504" s="1" t="s">
        <v>45</v>
      </c>
      <c r="W504" s="1" t="s">
        <v>45</v>
      </c>
      <c r="X504" s="1" t="s">
        <v>45</v>
      </c>
      <c r="Y504" s="6">
        <f t="shared" si="176"/>
        <v>4.67</v>
      </c>
    </row>
    <row r="505" spans="1:25" x14ac:dyDescent="0.15">
      <c r="A505" s="3">
        <v>2024</v>
      </c>
      <c r="B505" s="1" t="s">
        <v>55</v>
      </c>
      <c r="C505" s="3">
        <v>12</v>
      </c>
      <c r="D505" s="3">
        <v>7</v>
      </c>
      <c r="E505" s="3"/>
      <c r="F505" s="3" t="s">
        <v>38</v>
      </c>
      <c r="G505" s="3" t="s">
        <v>41</v>
      </c>
      <c r="H505" s="1"/>
      <c r="I505" s="3">
        <v>4</v>
      </c>
      <c r="J505" s="3" t="s">
        <v>38</v>
      </c>
      <c r="K505" s="1" t="s">
        <v>42</v>
      </c>
      <c r="L505" s="1" t="s">
        <v>45</v>
      </c>
      <c r="M505" s="1" t="s">
        <v>45</v>
      </c>
      <c r="N505" s="7" t="s">
        <v>45</v>
      </c>
      <c r="O505" s="1" t="s">
        <v>45</v>
      </c>
      <c r="P505" s="1">
        <v>0.44</v>
      </c>
      <c r="Q505" s="6" t="s">
        <v>45</v>
      </c>
      <c r="R505" s="6" t="s">
        <v>45</v>
      </c>
      <c r="S505" s="6" t="s">
        <v>45</v>
      </c>
      <c r="T505" s="6" t="s">
        <v>45</v>
      </c>
      <c r="U505" s="6" t="s">
        <v>45</v>
      </c>
      <c r="V505" s="1" t="s">
        <v>45</v>
      </c>
      <c r="W505" s="1" t="s">
        <v>45</v>
      </c>
      <c r="X505" s="1" t="s">
        <v>45</v>
      </c>
      <c r="Y505" s="6">
        <f>P505</f>
        <v>0.44</v>
      </c>
    </row>
    <row r="506" spans="1:25" x14ac:dyDescent="0.15">
      <c r="A506" s="3">
        <v>2024</v>
      </c>
      <c r="B506" s="1" t="s">
        <v>55</v>
      </c>
      <c r="C506" s="3">
        <v>12</v>
      </c>
      <c r="D506" s="3">
        <v>8</v>
      </c>
      <c r="E506" s="3"/>
      <c r="F506" s="3" t="s">
        <v>39</v>
      </c>
      <c r="G506" s="3" t="s">
        <v>41</v>
      </c>
      <c r="H506" s="1"/>
      <c r="I506" s="3">
        <v>4</v>
      </c>
      <c r="J506" s="3" t="s">
        <v>39</v>
      </c>
      <c r="K506" s="1" t="s">
        <v>42</v>
      </c>
      <c r="L506" s="1" t="s">
        <v>45</v>
      </c>
      <c r="M506" s="1" t="s">
        <v>45</v>
      </c>
      <c r="N506" s="7" t="s">
        <v>45</v>
      </c>
      <c r="O506" s="1" t="s">
        <v>45</v>
      </c>
      <c r="P506" s="1">
        <v>0.78</v>
      </c>
      <c r="Q506" s="6" t="s">
        <v>45</v>
      </c>
      <c r="R506" s="6" t="s">
        <v>45</v>
      </c>
      <c r="S506" s="6" t="s">
        <v>45</v>
      </c>
      <c r="T506" s="6" t="s">
        <v>45</v>
      </c>
      <c r="U506" s="6" t="s">
        <v>45</v>
      </c>
      <c r="V506" s="1" t="s">
        <v>45</v>
      </c>
      <c r="W506" s="1" t="s">
        <v>45</v>
      </c>
      <c r="X506" s="1" t="s">
        <v>45</v>
      </c>
      <c r="Y506" s="6">
        <f t="shared" ref="Y506:Y507" si="177">P506</f>
        <v>0.78</v>
      </c>
    </row>
    <row r="507" spans="1:25" x14ac:dyDescent="0.15">
      <c r="A507" s="3">
        <v>2024</v>
      </c>
      <c r="B507" s="1" t="s">
        <v>55</v>
      </c>
      <c r="C507" s="3">
        <v>12</v>
      </c>
      <c r="D507" s="3">
        <v>9</v>
      </c>
      <c r="E507" s="3"/>
      <c r="F507" s="3" t="s">
        <v>40</v>
      </c>
      <c r="G507" s="3" t="s">
        <v>41</v>
      </c>
      <c r="H507" s="1"/>
      <c r="I507" s="3">
        <v>4</v>
      </c>
      <c r="J507" s="3" t="s">
        <v>40</v>
      </c>
      <c r="K507" s="1" t="s">
        <v>42</v>
      </c>
      <c r="L507" s="1" t="s">
        <v>45</v>
      </c>
      <c r="M507" s="1" t="s">
        <v>45</v>
      </c>
      <c r="N507" s="7" t="s">
        <v>45</v>
      </c>
      <c r="O507" s="1" t="s">
        <v>45</v>
      </c>
      <c r="P507" s="1">
        <v>0.56000000000000005</v>
      </c>
      <c r="Q507" s="6" t="s">
        <v>45</v>
      </c>
      <c r="R507" s="6" t="s">
        <v>45</v>
      </c>
      <c r="S507" s="6" t="s">
        <v>45</v>
      </c>
      <c r="T507" s="6" t="s">
        <v>45</v>
      </c>
      <c r="U507" s="6" t="s">
        <v>45</v>
      </c>
      <c r="V507" s="1" t="s">
        <v>45</v>
      </c>
      <c r="W507" s="1" t="s">
        <v>45</v>
      </c>
      <c r="X507" s="1" t="s">
        <v>45</v>
      </c>
      <c r="Y507" s="6">
        <f t="shared" si="177"/>
        <v>0.56000000000000005</v>
      </c>
    </row>
    <row r="508" spans="1:25" x14ac:dyDescent="0.15">
      <c r="A508" s="3">
        <v>2024</v>
      </c>
      <c r="B508" s="1" t="s">
        <v>55</v>
      </c>
      <c r="C508" s="3">
        <v>12</v>
      </c>
      <c r="D508" s="3">
        <v>10</v>
      </c>
      <c r="E508" s="3" t="s">
        <v>35</v>
      </c>
      <c r="F508" s="3" t="s">
        <v>38</v>
      </c>
      <c r="G508" s="3" t="s">
        <v>14</v>
      </c>
      <c r="H508" s="1" t="s">
        <v>35</v>
      </c>
      <c r="I508" s="3">
        <v>4</v>
      </c>
      <c r="J508" s="3" t="s">
        <v>63</v>
      </c>
      <c r="K508" s="1" t="s">
        <v>42</v>
      </c>
      <c r="L508" s="1" t="s">
        <v>45</v>
      </c>
      <c r="M508" s="1" t="s">
        <v>45</v>
      </c>
      <c r="N508" s="7" t="s">
        <v>45</v>
      </c>
      <c r="O508" s="1">
        <v>2.11</v>
      </c>
      <c r="P508" s="1">
        <v>0.11</v>
      </c>
      <c r="Q508" s="6">
        <f>O508/(0.1*O499)</f>
        <v>4.7522522522522515</v>
      </c>
      <c r="R508" s="6">
        <f>O508/(0.1*O502)</f>
        <v>4.8729792147805995</v>
      </c>
      <c r="S508" s="6">
        <f>P508/(0.9*P505)</f>
        <v>0.27777777777777779</v>
      </c>
      <c r="T508" s="6">
        <f>Q508+S508</f>
        <v>5.0300300300300291</v>
      </c>
      <c r="U508" s="6">
        <f>R508+S508</f>
        <v>5.1507569925583772</v>
      </c>
      <c r="V508" s="1">
        <f>O508/O499+P508/P505</f>
        <v>0.72522522522522515</v>
      </c>
      <c r="W508" s="1">
        <f>O508/O502+P508/P505</f>
        <v>0.73729792147805995</v>
      </c>
      <c r="X508" s="1">
        <f t="shared" ref="X508:X516" si="178">100*ROUND(P508/(P508+O508), 2)</f>
        <v>5</v>
      </c>
      <c r="Y508" s="6">
        <f>O508+P508</f>
        <v>2.2199999999999998</v>
      </c>
    </row>
    <row r="509" spans="1:25" x14ac:dyDescent="0.15">
      <c r="A509" s="3">
        <v>2024</v>
      </c>
      <c r="B509" s="1" t="s">
        <v>55</v>
      </c>
      <c r="C509" s="3">
        <v>12</v>
      </c>
      <c r="D509" s="3">
        <v>11</v>
      </c>
      <c r="E509" s="3" t="s">
        <v>35</v>
      </c>
      <c r="F509" s="3" t="s">
        <v>39</v>
      </c>
      <c r="G509" s="3" t="s">
        <v>14</v>
      </c>
      <c r="H509" s="1" t="s">
        <v>35</v>
      </c>
      <c r="I509" s="3">
        <v>4</v>
      </c>
      <c r="J509" s="3" t="s">
        <v>64</v>
      </c>
      <c r="K509" s="1" t="s">
        <v>42</v>
      </c>
      <c r="L509" s="1" t="s">
        <v>45</v>
      </c>
      <c r="M509" s="1" t="s">
        <v>45</v>
      </c>
      <c r="N509" s="7" t="s">
        <v>45</v>
      </c>
      <c r="O509" s="1">
        <v>2.33</v>
      </c>
      <c r="P509" s="1">
        <v>0.44</v>
      </c>
      <c r="Q509" s="6">
        <f>O509/(0.1*O499)</f>
        <v>5.2477477477477468</v>
      </c>
      <c r="R509" s="6">
        <f>O509/(0.1*O502)</f>
        <v>5.381062355658198</v>
      </c>
      <c r="S509" s="6">
        <f>P509/(0.9*P506)</f>
        <v>0.62678062678062674</v>
      </c>
      <c r="T509" s="6">
        <f t="shared" ref="T509:T516" si="179">Q509+S509</f>
        <v>5.8745283745283734</v>
      </c>
      <c r="U509" s="6">
        <f t="shared" ref="U509:U516" si="180">R509+S509</f>
        <v>6.0078429824388246</v>
      </c>
      <c r="V509" s="1">
        <f>O509/O499+P509/P506</f>
        <v>1.0888773388773387</v>
      </c>
      <c r="W509" s="1">
        <f>O509/O502+P509/P506</f>
        <v>1.102208799668384</v>
      </c>
      <c r="X509" s="1">
        <f t="shared" si="178"/>
        <v>16</v>
      </c>
      <c r="Y509" s="6">
        <f t="shared" ref="Y509:Y516" si="181">O509+P509</f>
        <v>2.77</v>
      </c>
    </row>
    <row r="510" spans="1:25" x14ac:dyDescent="0.15">
      <c r="A510" s="3">
        <v>2024</v>
      </c>
      <c r="B510" s="1" t="s">
        <v>55</v>
      </c>
      <c r="C510" s="3">
        <v>12</v>
      </c>
      <c r="D510" s="3">
        <v>12</v>
      </c>
      <c r="E510" s="3" t="s">
        <v>35</v>
      </c>
      <c r="F510" s="3" t="s">
        <v>40</v>
      </c>
      <c r="G510" s="3" t="s">
        <v>14</v>
      </c>
      <c r="H510" s="1" t="s">
        <v>35</v>
      </c>
      <c r="I510" s="3">
        <v>4</v>
      </c>
      <c r="J510" s="3" t="s">
        <v>65</v>
      </c>
      <c r="K510" s="1" t="s">
        <v>42</v>
      </c>
      <c r="L510" s="1" t="s">
        <v>45</v>
      </c>
      <c r="M510" s="1" t="s">
        <v>45</v>
      </c>
      <c r="N510" s="7" t="s">
        <v>45</v>
      </c>
      <c r="O510" s="1">
        <v>2.2200000000000002</v>
      </c>
      <c r="P510" s="1">
        <v>0.11</v>
      </c>
      <c r="Q510" s="6">
        <f>O510/(0.1*O499)</f>
        <v>5</v>
      </c>
      <c r="R510" s="6">
        <f>O510/(0.1*O502)</f>
        <v>5.1270207852193996</v>
      </c>
      <c r="S510" s="6">
        <f>P510/(0.9*P507)</f>
        <v>0.2182539682539682</v>
      </c>
      <c r="T510" s="6">
        <f t="shared" si="179"/>
        <v>5.2182539682539684</v>
      </c>
      <c r="U510" s="6">
        <f t="shared" si="180"/>
        <v>5.345274753473368</v>
      </c>
      <c r="V510" s="1">
        <f>O510/O499+P510/P507</f>
        <v>0.6964285714285714</v>
      </c>
      <c r="W510" s="1">
        <f>O510/O502+P510/P507</f>
        <v>0.70913064995051134</v>
      </c>
      <c r="X510" s="1">
        <f t="shared" si="178"/>
        <v>5</v>
      </c>
      <c r="Y510" s="6">
        <f t="shared" si="181"/>
        <v>2.33</v>
      </c>
    </row>
    <row r="511" spans="1:25" x14ac:dyDescent="0.15">
      <c r="A511" s="3">
        <v>2024</v>
      </c>
      <c r="B511" s="1" t="s">
        <v>55</v>
      </c>
      <c r="C511" s="3">
        <v>12</v>
      </c>
      <c r="D511" s="3">
        <v>13</v>
      </c>
      <c r="E511" s="3" t="s">
        <v>36</v>
      </c>
      <c r="F511" s="3" t="s">
        <v>38</v>
      </c>
      <c r="G511" s="3" t="s">
        <v>14</v>
      </c>
      <c r="H511" s="1" t="s">
        <v>36</v>
      </c>
      <c r="I511" s="3">
        <v>4</v>
      </c>
      <c r="J511" s="3" t="s">
        <v>66</v>
      </c>
      <c r="K511" s="1" t="s">
        <v>42</v>
      </c>
      <c r="L511" s="1" t="s">
        <v>45</v>
      </c>
      <c r="M511" s="1" t="s">
        <v>45</v>
      </c>
      <c r="N511" s="7" t="s">
        <v>45</v>
      </c>
      <c r="O511" s="1">
        <v>2.11</v>
      </c>
      <c r="P511" s="1">
        <v>0.22</v>
      </c>
      <c r="Q511" s="6">
        <f>O511/(0.1*O500)</f>
        <v>4.8729792147805995</v>
      </c>
      <c r="R511" s="6">
        <f>O511/(0.1*O503)</f>
        <v>4.7522522522522515</v>
      </c>
      <c r="S511" s="6">
        <f>P511/(0.9*P505)</f>
        <v>0.55555555555555558</v>
      </c>
      <c r="T511" s="6">
        <f t="shared" si="179"/>
        <v>5.4285347703361548</v>
      </c>
      <c r="U511" s="6">
        <f t="shared" si="180"/>
        <v>5.3078078078078068</v>
      </c>
      <c r="V511" s="1">
        <f>O511/O500+P511/P505</f>
        <v>0.98729792147805995</v>
      </c>
      <c r="W511" s="1">
        <f>O511/O503+P511/P505</f>
        <v>0.97522522522522515</v>
      </c>
      <c r="X511" s="1">
        <f t="shared" si="178"/>
        <v>9</v>
      </c>
      <c r="Y511" s="6">
        <f t="shared" si="181"/>
        <v>2.33</v>
      </c>
    </row>
    <row r="512" spans="1:25" x14ac:dyDescent="0.15">
      <c r="A512" s="3">
        <v>2024</v>
      </c>
      <c r="B512" s="1" t="s">
        <v>55</v>
      </c>
      <c r="C512" s="3">
        <v>12</v>
      </c>
      <c r="D512" s="3">
        <v>14</v>
      </c>
      <c r="E512" s="3" t="s">
        <v>36</v>
      </c>
      <c r="F512" s="3" t="s">
        <v>39</v>
      </c>
      <c r="G512" s="3" t="s">
        <v>14</v>
      </c>
      <c r="H512" s="1" t="s">
        <v>36</v>
      </c>
      <c r="I512" s="3">
        <v>4</v>
      </c>
      <c r="J512" s="3" t="s">
        <v>67</v>
      </c>
      <c r="K512" s="1" t="s">
        <v>42</v>
      </c>
      <c r="L512" s="1" t="s">
        <v>45</v>
      </c>
      <c r="M512" s="1" t="s">
        <v>45</v>
      </c>
      <c r="N512" s="7" t="s">
        <v>45</v>
      </c>
      <c r="O512" s="1">
        <v>2.2200000000000002</v>
      </c>
      <c r="P512" s="1">
        <v>0.33</v>
      </c>
      <c r="Q512" s="6">
        <f>O512/(0.1*O500)</f>
        <v>5.1270207852193996</v>
      </c>
      <c r="R512" s="6">
        <f>O512/(0.1*O503)</f>
        <v>5</v>
      </c>
      <c r="S512" s="6">
        <f>P512/(0.9*P506)</f>
        <v>0.47008547008547008</v>
      </c>
      <c r="T512" s="6">
        <f t="shared" si="179"/>
        <v>5.5971062553048698</v>
      </c>
      <c r="U512" s="6">
        <f t="shared" si="180"/>
        <v>5.4700854700854702</v>
      </c>
      <c r="V512" s="1">
        <f>O512/O500+P512/P506</f>
        <v>0.93577900159886296</v>
      </c>
      <c r="W512" s="1">
        <f>O512/O503+P512/P506</f>
        <v>0.92307692307692313</v>
      </c>
      <c r="X512" s="1">
        <f t="shared" si="178"/>
        <v>13</v>
      </c>
      <c r="Y512" s="6">
        <f t="shared" si="181"/>
        <v>2.5500000000000003</v>
      </c>
    </row>
    <row r="513" spans="1:25" x14ac:dyDescent="0.15">
      <c r="A513" s="3">
        <v>2024</v>
      </c>
      <c r="B513" s="1" t="s">
        <v>55</v>
      </c>
      <c r="C513" s="3">
        <v>12</v>
      </c>
      <c r="D513" s="3">
        <v>15</v>
      </c>
      <c r="E513" s="3" t="s">
        <v>36</v>
      </c>
      <c r="F513" s="3" t="s">
        <v>40</v>
      </c>
      <c r="G513" s="3" t="s">
        <v>14</v>
      </c>
      <c r="H513" s="1" t="s">
        <v>36</v>
      </c>
      <c r="I513" s="3">
        <v>4</v>
      </c>
      <c r="J513" s="3" t="s">
        <v>68</v>
      </c>
      <c r="K513" s="1" t="s">
        <v>42</v>
      </c>
      <c r="L513" s="1" t="s">
        <v>45</v>
      </c>
      <c r="M513" s="1" t="s">
        <v>45</v>
      </c>
      <c r="N513" s="7" t="s">
        <v>45</v>
      </c>
      <c r="O513" s="1">
        <v>2</v>
      </c>
      <c r="P513" s="1">
        <v>0.11</v>
      </c>
      <c r="Q513" s="6">
        <f>O513/(0.1*O500)</f>
        <v>4.6189376443418011</v>
      </c>
      <c r="R513" s="6">
        <f>O513/(0.1*O503)</f>
        <v>4.5045045045045038</v>
      </c>
      <c r="S513" s="6">
        <f>P513/(0.9*P507)</f>
        <v>0.2182539682539682</v>
      </c>
      <c r="T513" s="6">
        <f t="shared" si="179"/>
        <v>4.8371916125957695</v>
      </c>
      <c r="U513" s="6">
        <f t="shared" si="180"/>
        <v>4.7227584727584722</v>
      </c>
      <c r="V513" s="1">
        <f>O513/O500+P513/P507</f>
        <v>0.65832233586275157</v>
      </c>
      <c r="W513" s="1">
        <f>O513/O503+P513/P507</f>
        <v>0.6468790218790218</v>
      </c>
      <c r="X513" s="1">
        <f t="shared" si="178"/>
        <v>5</v>
      </c>
      <c r="Y513" s="6">
        <f t="shared" si="181"/>
        <v>2.11</v>
      </c>
    </row>
    <row r="514" spans="1:25" x14ac:dyDescent="0.15">
      <c r="A514" s="3">
        <v>2024</v>
      </c>
      <c r="B514" s="1" t="s">
        <v>55</v>
      </c>
      <c r="C514" s="3">
        <v>12</v>
      </c>
      <c r="D514" s="3">
        <v>16</v>
      </c>
      <c r="E514" s="3" t="s">
        <v>37</v>
      </c>
      <c r="F514" s="3" t="s">
        <v>38</v>
      </c>
      <c r="G514" s="3" t="s">
        <v>14</v>
      </c>
      <c r="H514" s="1" t="s">
        <v>37</v>
      </c>
      <c r="I514" s="3">
        <v>4</v>
      </c>
      <c r="J514" s="3" t="s">
        <v>69</v>
      </c>
      <c r="K514" s="1" t="s">
        <v>42</v>
      </c>
      <c r="L514" s="1" t="s">
        <v>45</v>
      </c>
      <c r="M514" s="1" t="s">
        <v>45</v>
      </c>
      <c r="N514" s="7" t="s">
        <v>45</v>
      </c>
      <c r="O514" s="1">
        <v>2</v>
      </c>
      <c r="P514" s="1">
        <v>0.22</v>
      </c>
      <c r="Q514" s="6">
        <f>O514/(0.1*O501)</f>
        <v>4.1841004184100417</v>
      </c>
      <c r="R514" s="6">
        <f>O514/(0.1*O504)</f>
        <v>4.2826552462526761</v>
      </c>
      <c r="S514" s="6">
        <f>P514/(0.9*P505)</f>
        <v>0.55555555555555558</v>
      </c>
      <c r="T514" s="6">
        <f t="shared" si="179"/>
        <v>4.739655973965597</v>
      </c>
      <c r="U514" s="6">
        <f t="shared" si="180"/>
        <v>4.8382108018082315</v>
      </c>
      <c r="V514" s="1">
        <f>O514/O501+P514/P505</f>
        <v>0.91841004184100417</v>
      </c>
      <c r="W514" s="1">
        <f>O514/O504+P514/P505</f>
        <v>0.92826552462526768</v>
      </c>
      <c r="X514" s="1">
        <f t="shared" si="178"/>
        <v>10</v>
      </c>
      <c r="Y514" s="6">
        <f t="shared" si="181"/>
        <v>2.2200000000000002</v>
      </c>
    </row>
    <row r="515" spans="1:25" x14ac:dyDescent="0.15">
      <c r="A515" s="3">
        <v>2024</v>
      </c>
      <c r="B515" s="1" t="s">
        <v>55</v>
      </c>
      <c r="C515" s="3">
        <v>12</v>
      </c>
      <c r="D515" s="3">
        <v>17</v>
      </c>
      <c r="E515" s="3" t="s">
        <v>37</v>
      </c>
      <c r="F515" s="3" t="s">
        <v>39</v>
      </c>
      <c r="G515" s="3" t="s">
        <v>14</v>
      </c>
      <c r="H515" s="1" t="s">
        <v>37</v>
      </c>
      <c r="I515" s="3">
        <v>4</v>
      </c>
      <c r="J515" s="3" t="s">
        <v>70</v>
      </c>
      <c r="K515" s="1" t="s">
        <v>42</v>
      </c>
      <c r="L515" s="1" t="s">
        <v>45</v>
      </c>
      <c r="M515" s="1" t="s">
        <v>45</v>
      </c>
      <c r="N515" s="7" t="s">
        <v>45</v>
      </c>
      <c r="O515" s="1">
        <v>2.33</v>
      </c>
      <c r="P515" s="1">
        <v>0.11</v>
      </c>
      <c r="Q515" s="6">
        <f>O515/(0.1*O501)</f>
        <v>4.8744769874476983</v>
      </c>
      <c r="R515" s="6">
        <f>O515/(0.1*O504)</f>
        <v>4.9892933618843678</v>
      </c>
      <c r="S515" s="6">
        <f>P515/(0.9*P506)</f>
        <v>0.15669515669515668</v>
      </c>
      <c r="T515" s="6">
        <f t="shared" si="179"/>
        <v>5.0311721441428547</v>
      </c>
      <c r="U515" s="6">
        <f t="shared" si="180"/>
        <v>5.1459885185795242</v>
      </c>
      <c r="V515" s="1">
        <f>O515/O501+P515/P506</f>
        <v>0.62847333977041087</v>
      </c>
      <c r="W515" s="1">
        <f>O515/O504+P515/P506</f>
        <v>0.6399549772140779</v>
      </c>
      <c r="X515" s="1">
        <f t="shared" si="178"/>
        <v>5</v>
      </c>
      <c r="Y515" s="6">
        <f t="shared" si="181"/>
        <v>2.44</v>
      </c>
    </row>
    <row r="516" spans="1:25" x14ac:dyDescent="0.15">
      <c r="A516" s="3">
        <v>2024</v>
      </c>
      <c r="B516" s="1" t="s">
        <v>55</v>
      </c>
      <c r="C516" s="3">
        <v>12</v>
      </c>
      <c r="D516" s="3">
        <v>18</v>
      </c>
      <c r="E516" s="3" t="s">
        <v>37</v>
      </c>
      <c r="F516" s="3" t="s">
        <v>40</v>
      </c>
      <c r="G516" s="3" t="s">
        <v>14</v>
      </c>
      <c r="H516" s="1" t="s">
        <v>37</v>
      </c>
      <c r="I516" s="3">
        <v>4</v>
      </c>
      <c r="J516" s="3" t="s">
        <v>71</v>
      </c>
      <c r="K516" s="1" t="s">
        <v>42</v>
      </c>
      <c r="L516" s="1" t="s">
        <v>45</v>
      </c>
      <c r="M516" s="1" t="s">
        <v>45</v>
      </c>
      <c r="N516" s="7" t="s">
        <v>45</v>
      </c>
      <c r="O516" s="1">
        <v>2.11</v>
      </c>
      <c r="P516" s="1">
        <v>0.11</v>
      </c>
      <c r="Q516" s="6">
        <f>O516/(0.1*O501)</f>
        <v>4.4142259414225933</v>
      </c>
      <c r="R516" s="6">
        <f>O516/(0.1*O504)</f>
        <v>4.5182012847965733</v>
      </c>
      <c r="S516" s="6">
        <f>P516/(0.9*P507)</f>
        <v>0.2182539682539682</v>
      </c>
      <c r="T516" s="6">
        <f t="shared" si="179"/>
        <v>4.6324799096765616</v>
      </c>
      <c r="U516" s="6">
        <f t="shared" si="180"/>
        <v>4.7364552530505417</v>
      </c>
      <c r="V516" s="1">
        <f>O516/O501+P516/P507</f>
        <v>0.63785116557083077</v>
      </c>
      <c r="W516" s="1">
        <f>O516/O504+P516/P507</f>
        <v>0.64824869990822875</v>
      </c>
      <c r="X516" s="1">
        <f t="shared" si="178"/>
        <v>5</v>
      </c>
      <c r="Y516" s="6">
        <f t="shared" si="181"/>
        <v>2.2199999999999998</v>
      </c>
    </row>
    <row r="517" spans="1:25" x14ac:dyDescent="0.15">
      <c r="A517" s="3">
        <v>2022</v>
      </c>
      <c r="B517" s="1" t="s">
        <v>58</v>
      </c>
      <c r="C517" s="3">
        <v>13</v>
      </c>
      <c r="D517" s="3">
        <v>1</v>
      </c>
      <c r="E517" s="3" t="s">
        <v>35</v>
      </c>
      <c r="F517" s="3"/>
      <c r="G517" s="3" t="s">
        <v>41</v>
      </c>
      <c r="H517" s="1" t="s">
        <v>35</v>
      </c>
      <c r="I517" s="3">
        <v>1</v>
      </c>
      <c r="J517" s="3" t="s">
        <v>35</v>
      </c>
      <c r="K517" s="1" t="s">
        <v>42</v>
      </c>
      <c r="L517" s="6">
        <v>81.5</v>
      </c>
      <c r="M517" s="6" t="s">
        <v>73</v>
      </c>
      <c r="N517" s="7" t="s">
        <v>45</v>
      </c>
      <c r="O517" s="5">
        <v>2.7919999999999998</v>
      </c>
      <c r="P517" s="5" t="s">
        <v>45</v>
      </c>
      <c r="Q517" s="6" t="s">
        <v>45</v>
      </c>
      <c r="R517" s="6" t="s">
        <v>45</v>
      </c>
      <c r="S517" s="6" t="s">
        <v>45</v>
      </c>
      <c r="T517" s="6" t="s">
        <v>45</v>
      </c>
      <c r="U517" s="6" t="s">
        <v>45</v>
      </c>
      <c r="V517" s="1" t="s">
        <v>45</v>
      </c>
      <c r="W517" s="1" t="s">
        <v>45</v>
      </c>
      <c r="X517" s="6" t="s">
        <v>45</v>
      </c>
      <c r="Y517" s="6">
        <f>O517</f>
        <v>2.7919999999999998</v>
      </c>
    </row>
    <row r="518" spans="1:25" x14ac:dyDescent="0.15">
      <c r="A518" s="3">
        <v>2022</v>
      </c>
      <c r="B518" s="1" t="s">
        <v>58</v>
      </c>
      <c r="C518" s="3">
        <v>13</v>
      </c>
      <c r="D518" s="3">
        <v>2</v>
      </c>
      <c r="E518" s="3" t="s">
        <v>36</v>
      </c>
      <c r="F518" s="3"/>
      <c r="G518" s="3" t="s">
        <v>41</v>
      </c>
      <c r="H518" s="1" t="s">
        <v>36</v>
      </c>
      <c r="I518" s="3">
        <v>1</v>
      </c>
      <c r="J518" s="3" t="s">
        <v>36</v>
      </c>
      <c r="K518" s="1" t="s">
        <v>42</v>
      </c>
      <c r="L518" s="6">
        <v>80.5</v>
      </c>
      <c r="M518" s="6" t="s">
        <v>73</v>
      </c>
      <c r="N518" s="7" t="s">
        <v>45</v>
      </c>
      <c r="O518" s="5">
        <v>3.5960000000000001</v>
      </c>
      <c r="P518" s="5" t="s">
        <v>45</v>
      </c>
      <c r="Q518" s="6" t="s">
        <v>45</v>
      </c>
      <c r="R518" s="6" t="s">
        <v>45</v>
      </c>
      <c r="S518" s="6" t="s">
        <v>45</v>
      </c>
      <c r="T518" s="6" t="s">
        <v>45</v>
      </c>
      <c r="U518" s="6" t="s">
        <v>45</v>
      </c>
      <c r="V518" s="1" t="s">
        <v>45</v>
      </c>
      <c r="W518" s="1" t="s">
        <v>45</v>
      </c>
      <c r="X518" s="6" t="s">
        <v>45</v>
      </c>
      <c r="Y518" s="6">
        <f t="shared" ref="Y518:Y522" si="182">O518</f>
        <v>3.5960000000000001</v>
      </c>
    </row>
    <row r="519" spans="1:25" x14ac:dyDescent="0.15">
      <c r="A519" s="3">
        <v>2022</v>
      </c>
      <c r="B519" s="1" t="s">
        <v>58</v>
      </c>
      <c r="C519" s="3">
        <v>13</v>
      </c>
      <c r="D519" s="3">
        <v>3</v>
      </c>
      <c r="E519" s="3" t="s">
        <v>37</v>
      </c>
      <c r="F519" s="3"/>
      <c r="G519" s="3" t="s">
        <v>41</v>
      </c>
      <c r="H519" s="1" t="s">
        <v>37</v>
      </c>
      <c r="I519" s="3">
        <v>1</v>
      </c>
      <c r="J519" s="3" t="s">
        <v>37</v>
      </c>
      <c r="K519" s="1" t="s">
        <v>42</v>
      </c>
      <c r="L519" s="6">
        <v>57</v>
      </c>
      <c r="M519" s="6" t="s">
        <v>73</v>
      </c>
      <c r="N519" s="7" t="s">
        <v>45</v>
      </c>
      <c r="O519" s="5">
        <v>2.1053333333333333</v>
      </c>
      <c r="P519" s="5" t="s">
        <v>45</v>
      </c>
      <c r="Q519" s="6" t="s">
        <v>45</v>
      </c>
      <c r="R519" s="6" t="s">
        <v>45</v>
      </c>
      <c r="S519" s="6" t="s">
        <v>45</v>
      </c>
      <c r="T519" s="6" t="s">
        <v>45</v>
      </c>
      <c r="U519" s="6" t="s">
        <v>45</v>
      </c>
      <c r="V519" s="1" t="s">
        <v>45</v>
      </c>
      <c r="W519" s="1" t="s">
        <v>45</v>
      </c>
      <c r="X519" s="6" t="s">
        <v>45</v>
      </c>
      <c r="Y519" s="6">
        <f t="shared" si="182"/>
        <v>2.1053333333333333</v>
      </c>
    </row>
    <row r="520" spans="1:25" x14ac:dyDescent="0.15">
      <c r="A520" s="3">
        <v>2022</v>
      </c>
      <c r="B520" s="1" t="s">
        <v>58</v>
      </c>
      <c r="C520" s="3">
        <v>13</v>
      </c>
      <c r="D520" s="3">
        <v>4</v>
      </c>
      <c r="E520" s="3" t="s">
        <v>35</v>
      </c>
      <c r="F520" s="3"/>
      <c r="G520" s="3" t="s">
        <v>41</v>
      </c>
      <c r="H520" s="1" t="s">
        <v>75</v>
      </c>
      <c r="I520" s="3">
        <v>1</v>
      </c>
      <c r="J520" s="3" t="s">
        <v>35</v>
      </c>
      <c r="K520" s="1" t="s">
        <v>43</v>
      </c>
      <c r="L520" s="6">
        <v>86</v>
      </c>
      <c r="M520" s="6" t="s">
        <v>73</v>
      </c>
      <c r="N520" s="7" t="s">
        <v>45</v>
      </c>
      <c r="O520" s="5">
        <v>2.8533333333333331</v>
      </c>
      <c r="P520" s="5" t="s">
        <v>45</v>
      </c>
      <c r="Q520" s="6" t="s">
        <v>45</v>
      </c>
      <c r="R520" s="6" t="s">
        <v>45</v>
      </c>
      <c r="S520" s="6" t="s">
        <v>45</v>
      </c>
      <c r="T520" s="6" t="s">
        <v>45</v>
      </c>
      <c r="U520" s="6" t="s">
        <v>45</v>
      </c>
      <c r="V520" s="1" t="s">
        <v>45</v>
      </c>
      <c r="W520" s="1" t="s">
        <v>45</v>
      </c>
      <c r="X520" s="1" t="s">
        <v>45</v>
      </c>
      <c r="Y520" s="6">
        <f t="shared" si="182"/>
        <v>2.8533333333333331</v>
      </c>
    </row>
    <row r="521" spans="1:25" x14ac:dyDescent="0.15">
      <c r="A521" s="3">
        <v>2022</v>
      </c>
      <c r="B521" s="1" t="s">
        <v>58</v>
      </c>
      <c r="C521" s="3">
        <v>13</v>
      </c>
      <c r="D521" s="3">
        <v>5</v>
      </c>
      <c r="E521" s="3" t="s">
        <v>36</v>
      </c>
      <c r="F521" s="3"/>
      <c r="G521" s="3" t="s">
        <v>41</v>
      </c>
      <c r="H521" s="1" t="s">
        <v>76</v>
      </c>
      <c r="I521" s="3">
        <v>1</v>
      </c>
      <c r="J521" s="3" t="s">
        <v>36</v>
      </c>
      <c r="K521" s="1" t="s">
        <v>43</v>
      </c>
      <c r="L521" s="6">
        <v>78.5</v>
      </c>
      <c r="M521" s="6" t="s">
        <v>73</v>
      </c>
      <c r="N521" s="7" t="s">
        <v>45</v>
      </c>
      <c r="O521" s="5">
        <v>2.6093333333333333</v>
      </c>
      <c r="P521" s="5" t="s">
        <v>45</v>
      </c>
      <c r="Q521" s="6" t="s">
        <v>45</v>
      </c>
      <c r="R521" s="6" t="s">
        <v>45</v>
      </c>
      <c r="S521" s="6" t="s">
        <v>45</v>
      </c>
      <c r="T521" s="6" t="s">
        <v>45</v>
      </c>
      <c r="U521" s="6" t="s">
        <v>45</v>
      </c>
      <c r="V521" s="1" t="s">
        <v>45</v>
      </c>
      <c r="W521" s="1" t="s">
        <v>45</v>
      </c>
      <c r="X521" s="1" t="s">
        <v>45</v>
      </c>
      <c r="Y521" s="6">
        <f t="shared" si="182"/>
        <v>2.6093333333333333</v>
      </c>
    </row>
    <row r="522" spans="1:25" x14ac:dyDescent="0.15">
      <c r="A522" s="3">
        <v>2022</v>
      </c>
      <c r="B522" s="1" t="s">
        <v>58</v>
      </c>
      <c r="C522" s="3">
        <v>13</v>
      </c>
      <c r="D522" s="3">
        <v>6</v>
      </c>
      <c r="E522" s="3" t="s">
        <v>37</v>
      </c>
      <c r="F522" s="3"/>
      <c r="G522" s="3" t="s">
        <v>41</v>
      </c>
      <c r="H522" s="1" t="s">
        <v>77</v>
      </c>
      <c r="I522" s="3">
        <v>1</v>
      </c>
      <c r="J522" s="3" t="s">
        <v>37</v>
      </c>
      <c r="K522" s="1" t="s">
        <v>43</v>
      </c>
      <c r="L522" s="6">
        <v>59</v>
      </c>
      <c r="M522" s="6" t="s">
        <v>73</v>
      </c>
      <c r="N522" s="7" t="s">
        <v>45</v>
      </c>
      <c r="O522" s="5">
        <v>2.6106666666666665</v>
      </c>
      <c r="P522" s="5" t="s">
        <v>45</v>
      </c>
      <c r="Q522" s="6" t="s">
        <v>45</v>
      </c>
      <c r="R522" s="6" t="s">
        <v>45</v>
      </c>
      <c r="S522" s="6" t="s">
        <v>45</v>
      </c>
      <c r="T522" s="6" t="s">
        <v>45</v>
      </c>
      <c r="U522" s="6" t="s">
        <v>45</v>
      </c>
      <c r="V522" s="1" t="s">
        <v>45</v>
      </c>
      <c r="W522" s="1" t="s">
        <v>45</v>
      </c>
      <c r="X522" s="1" t="s">
        <v>45</v>
      </c>
      <c r="Y522" s="6">
        <f t="shared" si="182"/>
        <v>2.6106666666666665</v>
      </c>
    </row>
    <row r="523" spans="1:25" x14ac:dyDescent="0.15">
      <c r="A523" s="3">
        <v>2022</v>
      </c>
      <c r="B523" s="1" t="s">
        <v>58</v>
      </c>
      <c r="C523" s="3">
        <v>13</v>
      </c>
      <c r="D523" s="3">
        <v>7</v>
      </c>
      <c r="E523" s="3"/>
      <c r="F523" s="3" t="s">
        <v>38</v>
      </c>
      <c r="G523" s="3" t="s">
        <v>41</v>
      </c>
      <c r="H523" s="1"/>
      <c r="I523" s="3">
        <v>1</v>
      </c>
      <c r="J523" s="3" t="s">
        <v>38</v>
      </c>
      <c r="K523" s="1" t="s">
        <v>42</v>
      </c>
      <c r="L523" s="6" t="s">
        <v>73</v>
      </c>
      <c r="M523" s="6">
        <v>54.5</v>
      </c>
      <c r="N523" s="7" t="s">
        <v>45</v>
      </c>
      <c r="O523" s="5" t="s">
        <v>45</v>
      </c>
      <c r="P523" s="5">
        <v>2.2919999999999998</v>
      </c>
      <c r="Q523" s="6" t="s">
        <v>45</v>
      </c>
      <c r="R523" s="6" t="s">
        <v>45</v>
      </c>
      <c r="S523" s="6" t="s">
        <v>45</v>
      </c>
      <c r="T523" s="6" t="s">
        <v>45</v>
      </c>
      <c r="U523" s="6" t="s">
        <v>45</v>
      </c>
      <c r="V523" s="1" t="s">
        <v>45</v>
      </c>
      <c r="W523" s="1" t="s">
        <v>45</v>
      </c>
      <c r="X523" s="1" t="s">
        <v>45</v>
      </c>
      <c r="Y523" s="6">
        <f>P523</f>
        <v>2.2919999999999998</v>
      </c>
    </row>
    <row r="524" spans="1:25" x14ac:dyDescent="0.15">
      <c r="A524" s="3">
        <v>2022</v>
      </c>
      <c r="B524" s="1" t="s">
        <v>58</v>
      </c>
      <c r="C524" s="3">
        <v>13</v>
      </c>
      <c r="D524" s="3">
        <v>8</v>
      </c>
      <c r="E524" s="3"/>
      <c r="F524" s="3" t="s">
        <v>39</v>
      </c>
      <c r="G524" s="3" t="s">
        <v>41</v>
      </c>
      <c r="H524" s="1"/>
      <c r="I524" s="3">
        <v>1</v>
      </c>
      <c r="J524" s="3" t="s">
        <v>39</v>
      </c>
      <c r="K524" s="1" t="s">
        <v>42</v>
      </c>
      <c r="L524" s="6" t="s">
        <v>73</v>
      </c>
      <c r="M524" s="6">
        <v>52.5</v>
      </c>
      <c r="N524" s="7" t="s">
        <v>45</v>
      </c>
      <c r="O524" s="5" t="s">
        <v>45</v>
      </c>
      <c r="P524" s="5">
        <v>2.0973333333333333</v>
      </c>
      <c r="Q524" s="6" t="s">
        <v>45</v>
      </c>
      <c r="R524" s="6" t="s">
        <v>45</v>
      </c>
      <c r="S524" s="6" t="s">
        <v>45</v>
      </c>
      <c r="T524" s="6" t="s">
        <v>45</v>
      </c>
      <c r="U524" s="6" t="s">
        <v>45</v>
      </c>
      <c r="V524" s="1" t="s">
        <v>45</v>
      </c>
      <c r="W524" s="1" t="s">
        <v>45</v>
      </c>
      <c r="X524" s="1" t="s">
        <v>45</v>
      </c>
      <c r="Y524" s="6">
        <f t="shared" ref="Y524:Y525" si="183">P524</f>
        <v>2.0973333333333333</v>
      </c>
    </row>
    <row r="525" spans="1:25" x14ac:dyDescent="0.15">
      <c r="A525" s="3">
        <v>2022</v>
      </c>
      <c r="B525" s="1" t="s">
        <v>58</v>
      </c>
      <c r="C525" s="3">
        <v>13</v>
      </c>
      <c r="D525" s="3">
        <v>9</v>
      </c>
      <c r="E525" s="3"/>
      <c r="F525" s="3" t="s">
        <v>40</v>
      </c>
      <c r="G525" s="3" t="s">
        <v>41</v>
      </c>
      <c r="H525" s="1"/>
      <c r="I525" s="3">
        <v>1</v>
      </c>
      <c r="J525" s="3" t="s">
        <v>40</v>
      </c>
      <c r="K525" s="1" t="s">
        <v>42</v>
      </c>
      <c r="L525" s="6" t="s">
        <v>73</v>
      </c>
      <c r="M525" s="6">
        <v>58</v>
      </c>
      <c r="N525" s="7" t="s">
        <v>45</v>
      </c>
      <c r="O525" s="5" t="s">
        <v>45</v>
      </c>
      <c r="P525" s="5">
        <v>2.2080000000000002</v>
      </c>
      <c r="Q525" s="6" t="s">
        <v>45</v>
      </c>
      <c r="R525" s="6" t="s">
        <v>45</v>
      </c>
      <c r="S525" s="6" t="s">
        <v>45</v>
      </c>
      <c r="T525" s="6" t="s">
        <v>45</v>
      </c>
      <c r="U525" s="6" t="s">
        <v>45</v>
      </c>
      <c r="V525" s="1" t="s">
        <v>45</v>
      </c>
      <c r="W525" s="1" t="s">
        <v>45</v>
      </c>
      <c r="X525" s="1" t="s">
        <v>45</v>
      </c>
      <c r="Y525" s="6">
        <f t="shared" si="183"/>
        <v>2.2080000000000002</v>
      </c>
    </row>
    <row r="526" spans="1:25" x14ac:dyDescent="0.15">
      <c r="A526" s="3">
        <v>2022</v>
      </c>
      <c r="B526" s="1" t="s">
        <v>58</v>
      </c>
      <c r="C526" s="3">
        <v>13</v>
      </c>
      <c r="D526" s="3">
        <v>10</v>
      </c>
      <c r="E526" s="3" t="s">
        <v>35</v>
      </c>
      <c r="F526" s="3" t="s">
        <v>38</v>
      </c>
      <c r="G526" s="3" t="s">
        <v>14</v>
      </c>
      <c r="H526" s="1" t="s">
        <v>35</v>
      </c>
      <c r="I526" s="3">
        <v>1</v>
      </c>
      <c r="J526" s="3" t="s">
        <v>63</v>
      </c>
      <c r="K526" s="1" t="s">
        <v>42</v>
      </c>
      <c r="L526" s="6">
        <v>83.5</v>
      </c>
      <c r="M526" s="6">
        <v>54.5</v>
      </c>
      <c r="N526" s="7">
        <f>L526-M526</f>
        <v>29</v>
      </c>
      <c r="O526" s="5">
        <v>0.51600000000000001</v>
      </c>
      <c r="P526" s="5">
        <v>2.2680000000000002</v>
      </c>
      <c r="Q526" s="6">
        <f>O526/(0.1*O517)</f>
        <v>1.848137535816619</v>
      </c>
      <c r="R526" s="6">
        <f>O526/(0.1*O520)</f>
        <v>1.8084112149532712</v>
      </c>
      <c r="S526" s="6">
        <f>P526/(0.9*P523)</f>
        <v>1.0994764397905761</v>
      </c>
      <c r="T526" s="6">
        <f>Q526+S526</f>
        <v>2.9476139756071951</v>
      </c>
      <c r="U526" s="6">
        <f>R526+S526</f>
        <v>2.9078876547438472</v>
      </c>
      <c r="V526" s="1">
        <f>O526/O517+P526/P523</f>
        <v>1.1743425493931805</v>
      </c>
      <c r="W526" s="1">
        <f>O526/O520+P526/P523</f>
        <v>1.1703699173068456</v>
      </c>
      <c r="X526" s="1">
        <f t="shared" ref="X526:X534" si="184">100*ROUND(P526/(P526+O526), 2)</f>
        <v>81</v>
      </c>
      <c r="Y526" s="6">
        <f>O526+P526</f>
        <v>2.7840000000000003</v>
      </c>
    </row>
    <row r="527" spans="1:25" x14ac:dyDescent="0.15">
      <c r="A527" s="3">
        <v>2022</v>
      </c>
      <c r="B527" s="1" t="s">
        <v>58</v>
      </c>
      <c r="C527" s="3">
        <v>13</v>
      </c>
      <c r="D527" s="3">
        <v>11</v>
      </c>
      <c r="E527" s="3" t="s">
        <v>35</v>
      </c>
      <c r="F527" s="3" t="s">
        <v>39</v>
      </c>
      <c r="G527" s="3" t="s">
        <v>14</v>
      </c>
      <c r="H527" s="1" t="s">
        <v>35</v>
      </c>
      <c r="I527" s="3">
        <v>1</v>
      </c>
      <c r="J527" s="3" t="s">
        <v>64</v>
      </c>
      <c r="K527" s="1" t="s">
        <v>42</v>
      </c>
      <c r="L527" s="6">
        <v>84.5</v>
      </c>
      <c r="M527" s="6">
        <v>53.5</v>
      </c>
      <c r="N527" s="7">
        <f t="shared" ref="N527:N534" si="185">L527-M527</f>
        <v>31</v>
      </c>
      <c r="O527" s="5">
        <v>0.70133333333333336</v>
      </c>
      <c r="P527" s="5">
        <v>2.2106666666666666</v>
      </c>
      <c r="Q527" s="6">
        <f>O527/(0.1*O517)</f>
        <v>2.5119388729703918</v>
      </c>
      <c r="R527" s="6">
        <f>O527/(0.1*O520)</f>
        <v>2.457943925233645</v>
      </c>
      <c r="S527" s="6">
        <f>P527/(0.9*P524)</f>
        <v>1.1711520802429893</v>
      </c>
      <c r="T527" s="6">
        <f t="shared" ref="T527:T534" si="186">Q527+S527</f>
        <v>3.6830909532133811</v>
      </c>
      <c r="U527" s="6">
        <f t="shared" ref="U527:U534" si="187">R527+S527</f>
        <v>3.6290960054766344</v>
      </c>
      <c r="V527" s="1">
        <f>O527/O517+P527/P524</f>
        <v>1.3052307595157295</v>
      </c>
      <c r="W527" s="1">
        <f>O527/O520+P527/P524</f>
        <v>1.2998312647420549</v>
      </c>
      <c r="X527" s="1">
        <f t="shared" si="184"/>
        <v>76</v>
      </c>
      <c r="Y527" s="6">
        <f t="shared" ref="Y527:Y534" si="188">O527+P527</f>
        <v>2.9119999999999999</v>
      </c>
    </row>
    <row r="528" spans="1:25" x14ac:dyDescent="0.15">
      <c r="A528" s="3">
        <v>2022</v>
      </c>
      <c r="B528" s="1" t="s">
        <v>58</v>
      </c>
      <c r="C528" s="3">
        <v>13</v>
      </c>
      <c r="D528" s="3">
        <v>12</v>
      </c>
      <c r="E528" s="3" t="s">
        <v>35</v>
      </c>
      <c r="F528" s="3" t="s">
        <v>40</v>
      </c>
      <c r="G528" s="3" t="s">
        <v>14</v>
      </c>
      <c r="H528" s="1" t="s">
        <v>35</v>
      </c>
      <c r="I528" s="3">
        <v>1</v>
      </c>
      <c r="J528" s="3" t="s">
        <v>65</v>
      </c>
      <c r="K528" s="1" t="s">
        <v>42</v>
      </c>
      <c r="L528" s="6">
        <v>88.5</v>
      </c>
      <c r="M528" s="6">
        <v>56.5</v>
      </c>
      <c r="N528" s="7">
        <f t="shared" si="185"/>
        <v>32</v>
      </c>
      <c r="O528" s="5">
        <v>0.8613333333333334</v>
      </c>
      <c r="P528" s="5">
        <v>1.9506666666666665</v>
      </c>
      <c r="Q528" s="6">
        <f>O528/(0.1*O517)</f>
        <v>3.0850047755491885</v>
      </c>
      <c r="R528" s="6">
        <f>O528/(0.1*O520)</f>
        <v>3.018691588785047</v>
      </c>
      <c r="S528" s="6">
        <f>P528/(0.9*P525)</f>
        <v>0.98161567364465896</v>
      </c>
      <c r="T528" s="6">
        <f t="shared" si="186"/>
        <v>4.0666204491938478</v>
      </c>
      <c r="U528" s="6">
        <f t="shared" si="187"/>
        <v>4.0003072624297058</v>
      </c>
      <c r="V528" s="1">
        <f>O528/O517+P528/P525</f>
        <v>1.191954583835112</v>
      </c>
      <c r="W528" s="1">
        <f>O528/O520+P528/P525</f>
        <v>1.185323265158698</v>
      </c>
      <c r="X528" s="1">
        <f t="shared" si="184"/>
        <v>69</v>
      </c>
      <c r="Y528" s="6">
        <f t="shared" si="188"/>
        <v>2.8119999999999998</v>
      </c>
    </row>
    <row r="529" spans="1:25" x14ac:dyDescent="0.15">
      <c r="A529" s="3">
        <v>2022</v>
      </c>
      <c r="B529" s="1" t="s">
        <v>58</v>
      </c>
      <c r="C529" s="3">
        <v>13</v>
      </c>
      <c r="D529" s="3">
        <v>13</v>
      </c>
      <c r="E529" s="3" t="s">
        <v>36</v>
      </c>
      <c r="F529" s="3" t="s">
        <v>38</v>
      </c>
      <c r="G529" s="3" t="s">
        <v>14</v>
      </c>
      <c r="H529" s="1" t="s">
        <v>36</v>
      </c>
      <c r="I529" s="3">
        <v>1</v>
      </c>
      <c r="J529" s="3" t="s">
        <v>66</v>
      </c>
      <c r="K529" s="1" t="s">
        <v>42</v>
      </c>
      <c r="L529" s="6">
        <v>77</v>
      </c>
      <c r="M529" s="6">
        <v>53.5</v>
      </c>
      <c r="N529" s="7">
        <f t="shared" si="185"/>
        <v>23.5</v>
      </c>
      <c r="O529" s="5">
        <v>0.89066666666666661</v>
      </c>
      <c r="P529" s="5">
        <v>2.3480000000000003</v>
      </c>
      <c r="Q529" s="6">
        <f>O529/(0.1*O518)</f>
        <v>2.4768261030774932</v>
      </c>
      <c r="R529" s="6">
        <f>O529/(0.1*O521)</f>
        <v>3.4133878385283594</v>
      </c>
      <c r="S529" s="6">
        <f>P529/(0.9*P523)</f>
        <v>1.1382586775256935</v>
      </c>
      <c r="T529" s="6">
        <f t="shared" si="186"/>
        <v>3.6150847806031869</v>
      </c>
      <c r="U529" s="6">
        <f t="shared" si="187"/>
        <v>4.5516465160540527</v>
      </c>
      <c r="V529" s="1">
        <f>O529/O518+P529/P523</f>
        <v>1.2721154200808735</v>
      </c>
      <c r="W529" s="1">
        <f>O529/O521+P529/P523</f>
        <v>1.36577159362596</v>
      </c>
      <c r="X529" s="1">
        <f t="shared" si="184"/>
        <v>72</v>
      </c>
      <c r="Y529" s="6">
        <f t="shared" si="188"/>
        <v>3.238666666666667</v>
      </c>
    </row>
    <row r="530" spans="1:25" x14ac:dyDescent="0.15">
      <c r="A530" s="3">
        <v>2022</v>
      </c>
      <c r="B530" s="1" t="s">
        <v>58</v>
      </c>
      <c r="C530" s="3">
        <v>13</v>
      </c>
      <c r="D530" s="3">
        <v>14</v>
      </c>
      <c r="E530" s="3" t="s">
        <v>36</v>
      </c>
      <c r="F530" s="3" t="s">
        <v>39</v>
      </c>
      <c r="G530" s="3" t="s">
        <v>14</v>
      </c>
      <c r="H530" s="1" t="s">
        <v>36</v>
      </c>
      <c r="I530" s="3">
        <v>1</v>
      </c>
      <c r="J530" s="3" t="s">
        <v>67</v>
      </c>
      <c r="K530" s="1" t="s">
        <v>42</v>
      </c>
      <c r="L530" s="6">
        <v>74</v>
      </c>
      <c r="M530" s="6">
        <v>49.5</v>
      </c>
      <c r="N530" s="7">
        <f t="shared" si="185"/>
        <v>24.5</v>
      </c>
      <c r="O530" s="5">
        <v>0.81599999999999995</v>
      </c>
      <c r="P530" s="5">
        <v>1.9426666666666668</v>
      </c>
      <c r="Q530" s="6">
        <f>O530/(0.1*O518)</f>
        <v>2.269187986651835</v>
      </c>
      <c r="R530" s="6">
        <f>O530/(0.1*O521)</f>
        <v>3.1272355646397543</v>
      </c>
      <c r="S530" s="6">
        <f>P530/(0.9*P524)</f>
        <v>1.0291728473546655</v>
      </c>
      <c r="T530" s="6">
        <f t="shared" si="186"/>
        <v>3.2983608340065005</v>
      </c>
      <c r="U530" s="6">
        <f t="shared" si="187"/>
        <v>4.1564084119944198</v>
      </c>
      <c r="V530" s="1">
        <f>O530/O518+P530/P524</f>
        <v>1.1531743612843826</v>
      </c>
      <c r="W530" s="1">
        <f>O530/O521+P530/P524</f>
        <v>1.2389791190831745</v>
      </c>
      <c r="X530" s="1">
        <f t="shared" si="184"/>
        <v>70</v>
      </c>
      <c r="Y530" s="6">
        <f t="shared" si="188"/>
        <v>2.7586666666666666</v>
      </c>
    </row>
    <row r="531" spans="1:25" x14ac:dyDescent="0.15">
      <c r="A531" s="3">
        <v>2022</v>
      </c>
      <c r="B531" s="1" t="s">
        <v>58</v>
      </c>
      <c r="C531" s="3">
        <v>13</v>
      </c>
      <c r="D531" s="3">
        <v>15</v>
      </c>
      <c r="E531" s="3" t="s">
        <v>36</v>
      </c>
      <c r="F531" s="3" t="s">
        <v>40</v>
      </c>
      <c r="G531" s="3" t="s">
        <v>14</v>
      </c>
      <c r="H531" s="1" t="s">
        <v>36</v>
      </c>
      <c r="I531" s="3">
        <v>1</v>
      </c>
      <c r="J531" s="3" t="s">
        <v>68</v>
      </c>
      <c r="K531" s="1" t="s">
        <v>42</v>
      </c>
      <c r="L531" s="6">
        <v>83.5</v>
      </c>
      <c r="M531" s="6">
        <v>54.5</v>
      </c>
      <c r="N531" s="7">
        <f t="shared" si="185"/>
        <v>29</v>
      </c>
      <c r="O531" s="5">
        <v>0.72266666666666668</v>
      </c>
      <c r="P531" s="5">
        <v>1.7146666666666668</v>
      </c>
      <c r="Q531" s="6">
        <f>O531/(0.1*O518)</f>
        <v>2.0096403411197628</v>
      </c>
      <c r="R531" s="6">
        <f>O531/(0.1*O521)</f>
        <v>2.7695452222789982</v>
      </c>
      <c r="S531" s="6">
        <f>P531/(0.9*P525)</f>
        <v>0.86285560923242077</v>
      </c>
      <c r="T531" s="6">
        <f t="shared" si="186"/>
        <v>2.8724959503521834</v>
      </c>
      <c r="U531" s="6">
        <f t="shared" si="187"/>
        <v>3.6324008315114189</v>
      </c>
      <c r="V531" s="1">
        <f>O531/O518+P531/P525</f>
        <v>0.97753408242115503</v>
      </c>
      <c r="W531" s="1">
        <f>O531/O521+P531/P525</f>
        <v>1.0535245705370786</v>
      </c>
      <c r="X531" s="1">
        <f t="shared" si="184"/>
        <v>70</v>
      </c>
      <c r="Y531" s="6">
        <f t="shared" si="188"/>
        <v>2.4373333333333336</v>
      </c>
    </row>
    <row r="532" spans="1:25" x14ac:dyDescent="0.15">
      <c r="A532" s="3">
        <v>2022</v>
      </c>
      <c r="B532" s="1" t="s">
        <v>58</v>
      </c>
      <c r="C532" s="3">
        <v>13</v>
      </c>
      <c r="D532" s="3">
        <v>16</v>
      </c>
      <c r="E532" s="3" t="s">
        <v>37</v>
      </c>
      <c r="F532" s="3" t="s">
        <v>38</v>
      </c>
      <c r="G532" s="3" t="s">
        <v>14</v>
      </c>
      <c r="H532" s="1" t="s">
        <v>37</v>
      </c>
      <c r="I532" s="3">
        <v>1</v>
      </c>
      <c r="J532" s="3" t="s">
        <v>69</v>
      </c>
      <c r="K532" s="1" t="s">
        <v>42</v>
      </c>
      <c r="L532" s="6">
        <v>54.5</v>
      </c>
      <c r="M532" s="6">
        <v>51</v>
      </c>
      <c r="N532" s="7">
        <f t="shared" si="185"/>
        <v>3.5</v>
      </c>
      <c r="O532" s="5">
        <v>0.51333333333333331</v>
      </c>
      <c r="P532" s="5">
        <v>2.1440000000000001</v>
      </c>
      <c r="Q532" s="6">
        <f>O532/(0.1*O519)</f>
        <v>2.438252058264724</v>
      </c>
      <c r="R532" s="6">
        <f>O532/(0.1*O522)</f>
        <v>1.9662921348314606</v>
      </c>
      <c r="S532" s="6">
        <f>P532/(0.9*P523)</f>
        <v>1.0393639713011442</v>
      </c>
      <c r="T532" s="6">
        <f t="shared" si="186"/>
        <v>3.4776160295658682</v>
      </c>
      <c r="U532" s="6">
        <f t="shared" si="187"/>
        <v>3.005656106132605</v>
      </c>
      <c r="V532" s="1">
        <f>O532/O519+P532/P523</f>
        <v>1.1792527799975023</v>
      </c>
      <c r="W532" s="1">
        <f>O532/O522+P532/P523</f>
        <v>1.1320567876541758</v>
      </c>
      <c r="X532" s="1">
        <f t="shared" si="184"/>
        <v>81</v>
      </c>
      <c r="Y532" s="6">
        <f t="shared" si="188"/>
        <v>2.6573333333333333</v>
      </c>
    </row>
    <row r="533" spans="1:25" x14ac:dyDescent="0.15">
      <c r="A533" s="3">
        <v>2022</v>
      </c>
      <c r="B533" s="1" t="s">
        <v>58</v>
      </c>
      <c r="C533" s="3">
        <v>13</v>
      </c>
      <c r="D533" s="3">
        <v>17</v>
      </c>
      <c r="E533" s="3" t="s">
        <v>37</v>
      </c>
      <c r="F533" s="3" t="s">
        <v>39</v>
      </c>
      <c r="G533" s="3" t="s">
        <v>14</v>
      </c>
      <c r="H533" s="1" t="s">
        <v>37</v>
      </c>
      <c r="I533" s="3">
        <v>1</v>
      </c>
      <c r="J533" s="3" t="s">
        <v>70</v>
      </c>
      <c r="K533" s="1" t="s">
        <v>42</v>
      </c>
      <c r="L533" s="6">
        <v>60</v>
      </c>
      <c r="M533" s="6">
        <v>49</v>
      </c>
      <c r="N533" s="7">
        <f t="shared" si="185"/>
        <v>11</v>
      </c>
      <c r="O533" s="5">
        <v>0.4346666666666667</v>
      </c>
      <c r="P533" s="5">
        <v>2.0946666666666669</v>
      </c>
      <c r="Q533" s="6">
        <f>O533/(0.1*O519)</f>
        <v>2.064597846738442</v>
      </c>
      <c r="R533" s="6">
        <f>O533/(0.1*O522)</f>
        <v>1.6649642492339123</v>
      </c>
      <c r="S533" s="6">
        <f>P533/(0.9*P524)</f>
        <v>1.1096983824256552</v>
      </c>
      <c r="T533" s="6">
        <f t="shared" si="186"/>
        <v>3.1742962291640975</v>
      </c>
      <c r="U533" s="6">
        <f t="shared" si="187"/>
        <v>2.7746626316595675</v>
      </c>
      <c r="V533" s="1">
        <f>O533/O519+P533/P524</f>
        <v>1.2051883288569341</v>
      </c>
      <c r="W533" s="1">
        <f>O533/O522+P533/P524</f>
        <v>1.1652249691064811</v>
      </c>
      <c r="X533" s="1">
        <f t="shared" si="184"/>
        <v>83</v>
      </c>
      <c r="Y533" s="6">
        <f t="shared" si="188"/>
        <v>2.5293333333333337</v>
      </c>
    </row>
    <row r="534" spans="1:25" x14ac:dyDescent="0.15">
      <c r="A534" s="3">
        <v>2022</v>
      </c>
      <c r="B534" s="1" t="s">
        <v>58</v>
      </c>
      <c r="C534" s="3">
        <v>13</v>
      </c>
      <c r="D534" s="3">
        <v>18</v>
      </c>
      <c r="E534" s="3" t="s">
        <v>37</v>
      </c>
      <c r="F534" s="3" t="s">
        <v>40</v>
      </c>
      <c r="G534" s="3" t="s">
        <v>14</v>
      </c>
      <c r="H534" s="1" t="s">
        <v>37</v>
      </c>
      <c r="I534" s="3">
        <v>1</v>
      </c>
      <c r="J534" s="3" t="s">
        <v>71</v>
      </c>
      <c r="K534" s="1" t="s">
        <v>42</v>
      </c>
      <c r="L534" s="6">
        <v>61</v>
      </c>
      <c r="M534" s="6">
        <v>53.5</v>
      </c>
      <c r="N534" s="7">
        <f t="shared" si="185"/>
        <v>7.5</v>
      </c>
      <c r="O534" s="5">
        <v>0.63200000000000001</v>
      </c>
      <c r="P534" s="5">
        <v>2.1173333333333333</v>
      </c>
      <c r="Q534" s="6">
        <f>O534/(0.1*O519)</f>
        <v>3.0018999366687775</v>
      </c>
      <c r="R534" s="6">
        <f>O534/(0.1*O522)</f>
        <v>2.4208375893769154</v>
      </c>
      <c r="S534" s="6">
        <f>P534/(0.9*P525)</f>
        <v>1.065485775630703</v>
      </c>
      <c r="T534" s="6">
        <f t="shared" si="186"/>
        <v>4.0673857122994805</v>
      </c>
      <c r="U534" s="6">
        <f t="shared" si="187"/>
        <v>3.4863233650076184</v>
      </c>
      <c r="V534" s="1">
        <f>O534/O519+P534/P525</f>
        <v>1.2591271917345106</v>
      </c>
      <c r="W534" s="1">
        <f>O534/O522+P534/P525</f>
        <v>1.2010209570053243</v>
      </c>
      <c r="X534" s="1">
        <f t="shared" si="184"/>
        <v>77</v>
      </c>
      <c r="Y534" s="6">
        <f t="shared" si="188"/>
        <v>2.7493333333333334</v>
      </c>
    </row>
    <row r="535" spans="1:25" x14ac:dyDescent="0.15">
      <c r="A535" s="3">
        <v>2022</v>
      </c>
      <c r="B535" s="1" t="s">
        <v>58</v>
      </c>
      <c r="C535" s="3">
        <v>14</v>
      </c>
      <c r="D535" s="3">
        <v>1</v>
      </c>
      <c r="E535" s="3" t="s">
        <v>35</v>
      </c>
      <c r="F535" s="3"/>
      <c r="G535" s="3" t="s">
        <v>41</v>
      </c>
      <c r="H535" s="1" t="s">
        <v>35</v>
      </c>
      <c r="I535" s="3">
        <v>2</v>
      </c>
      <c r="J535" s="3" t="s">
        <v>35</v>
      </c>
      <c r="K535" s="1" t="s">
        <v>42</v>
      </c>
      <c r="L535" s="6">
        <v>86.5</v>
      </c>
      <c r="M535" s="6" t="s">
        <v>73</v>
      </c>
      <c r="N535" s="7" t="s">
        <v>45</v>
      </c>
      <c r="O535" s="5">
        <v>2.82</v>
      </c>
      <c r="P535" s="5" t="s">
        <v>45</v>
      </c>
      <c r="Q535" s="6" t="s">
        <v>45</v>
      </c>
      <c r="R535" s="6" t="s">
        <v>45</v>
      </c>
      <c r="S535" s="6" t="s">
        <v>45</v>
      </c>
      <c r="T535" s="6" t="s">
        <v>45</v>
      </c>
      <c r="U535" s="6" t="s">
        <v>45</v>
      </c>
      <c r="V535" s="1" t="s">
        <v>45</v>
      </c>
      <c r="W535" s="1" t="s">
        <v>45</v>
      </c>
      <c r="X535" s="6" t="s">
        <v>45</v>
      </c>
      <c r="Y535" s="6">
        <f>O535</f>
        <v>2.82</v>
      </c>
    </row>
    <row r="536" spans="1:25" x14ac:dyDescent="0.15">
      <c r="A536" s="3">
        <v>2022</v>
      </c>
      <c r="B536" s="1" t="s">
        <v>58</v>
      </c>
      <c r="C536" s="3">
        <v>14</v>
      </c>
      <c r="D536" s="3">
        <v>2</v>
      </c>
      <c r="E536" s="3" t="s">
        <v>36</v>
      </c>
      <c r="F536" s="3"/>
      <c r="G536" s="3" t="s">
        <v>41</v>
      </c>
      <c r="H536" s="1" t="s">
        <v>36</v>
      </c>
      <c r="I536" s="3">
        <v>2</v>
      </c>
      <c r="J536" s="3" t="s">
        <v>36</v>
      </c>
      <c r="K536" s="1" t="s">
        <v>42</v>
      </c>
      <c r="L536" s="6">
        <v>84</v>
      </c>
      <c r="M536" s="6" t="s">
        <v>73</v>
      </c>
      <c r="N536" s="7" t="s">
        <v>45</v>
      </c>
      <c r="O536" s="5">
        <v>4.0653333333333332</v>
      </c>
      <c r="P536" s="5" t="s">
        <v>45</v>
      </c>
      <c r="Q536" s="6" t="s">
        <v>45</v>
      </c>
      <c r="R536" s="6" t="s">
        <v>45</v>
      </c>
      <c r="S536" s="6" t="s">
        <v>45</v>
      </c>
      <c r="T536" s="6" t="s">
        <v>45</v>
      </c>
      <c r="U536" s="6" t="s">
        <v>45</v>
      </c>
      <c r="V536" s="1" t="s">
        <v>45</v>
      </c>
      <c r="W536" s="1" t="s">
        <v>45</v>
      </c>
      <c r="X536" s="6" t="s">
        <v>45</v>
      </c>
      <c r="Y536" s="6">
        <f t="shared" ref="Y536:Y540" si="189">O536</f>
        <v>4.0653333333333332</v>
      </c>
    </row>
    <row r="537" spans="1:25" x14ac:dyDescent="0.15">
      <c r="A537" s="3">
        <v>2022</v>
      </c>
      <c r="B537" s="1" t="s">
        <v>58</v>
      </c>
      <c r="C537" s="3">
        <v>14</v>
      </c>
      <c r="D537" s="3">
        <v>3</v>
      </c>
      <c r="E537" s="3" t="s">
        <v>37</v>
      </c>
      <c r="F537" s="3"/>
      <c r="G537" s="3" t="s">
        <v>41</v>
      </c>
      <c r="H537" s="1" t="s">
        <v>37</v>
      </c>
      <c r="I537" s="3">
        <v>2</v>
      </c>
      <c r="J537" s="3" t="s">
        <v>37</v>
      </c>
      <c r="K537" s="1" t="s">
        <v>42</v>
      </c>
      <c r="L537" s="6">
        <v>63</v>
      </c>
      <c r="M537" s="6" t="s">
        <v>73</v>
      </c>
      <c r="N537" s="7" t="s">
        <v>45</v>
      </c>
      <c r="O537" s="5">
        <v>2.7839999999999998</v>
      </c>
      <c r="P537" s="5" t="s">
        <v>45</v>
      </c>
      <c r="Q537" s="6" t="s">
        <v>45</v>
      </c>
      <c r="R537" s="6" t="s">
        <v>45</v>
      </c>
      <c r="S537" s="6" t="s">
        <v>45</v>
      </c>
      <c r="T537" s="6" t="s">
        <v>45</v>
      </c>
      <c r="U537" s="6" t="s">
        <v>45</v>
      </c>
      <c r="V537" s="1" t="s">
        <v>45</v>
      </c>
      <c r="W537" s="1" t="s">
        <v>45</v>
      </c>
      <c r="X537" s="6" t="s">
        <v>45</v>
      </c>
      <c r="Y537" s="6">
        <f t="shared" si="189"/>
        <v>2.7839999999999998</v>
      </c>
    </row>
    <row r="538" spans="1:25" x14ac:dyDescent="0.15">
      <c r="A538" s="3">
        <v>2022</v>
      </c>
      <c r="B538" s="1" t="s">
        <v>58</v>
      </c>
      <c r="C538" s="3">
        <v>14</v>
      </c>
      <c r="D538" s="3">
        <v>4</v>
      </c>
      <c r="E538" s="3" t="s">
        <v>35</v>
      </c>
      <c r="F538" s="3"/>
      <c r="G538" s="3" t="s">
        <v>41</v>
      </c>
      <c r="H538" s="1" t="s">
        <v>75</v>
      </c>
      <c r="I538" s="3">
        <v>2</v>
      </c>
      <c r="J538" s="3" t="s">
        <v>35</v>
      </c>
      <c r="K538" s="1" t="s">
        <v>43</v>
      </c>
      <c r="L538" s="6">
        <v>96.5</v>
      </c>
      <c r="M538" s="6" t="s">
        <v>73</v>
      </c>
      <c r="N538" s="7" t="s">
        <v>45</v>
      </c>
      <c r="O538" s="5">
        <v>3.4760000000000004</v>
      </c>
      <c r="P538" s="5" t="s">
        <v>45</v>
      </c>
      <c r="Q538" s="6" t="s">
        <v>45</v>
      </c>
      <c r="R538" s="6" t="s">
        <v>45</v>
      </c>
      <c r="S538" s="6" t="s">
        <v>45</v>
      </c>
      <c r="T538" s="6" t="s">
        <v>45</v>
      </c>
      <c r="U538" s="6" t="s">
        <v>45</v>
      </c>
      <c r="V538" s="1" t="s">
        <v>45</v>
      </c>
      <c r="W538" s="1" t="s">
        <v>45</v>
      </c>
      <c r="X538" s="1" t="s">
        <v>45</v>
      </c>
      <c r="Y538" s="6">
        <f t="shared" si="189"/>
        <v>3.4760000000000004</v>
      </c>
    </row>
    <row r="539" spans="1:25" x14ac:dyDescent="0.15">
      <c r="A539" s="3">
        <v>2022</v>
      </c>
      <c r="B539" s="1" t="s">
        <v>58</v>
      </c>
      <c r="C539" s="3">
        <v>14</v>
      </c>
      <c r="D539" s="3">
        <v>5</v>
      </c>
      <c r="E539" s="3" t="s">
        <v>36</v>
      </c>
      <c r="F539" s="3"/>
      <c r="G539" s="3" t="s">
        <v>41</v>
      </c>
      <c r="H539" s="1" t="s">
        <v>76</v>
      </c>
      <c r="I539" s="3">
        <v>2</v>
      </c>
      <c r="J539" s="3" t="s">
        <v>36</v>
      </c>
      <c r="K539" s="1" t="s">
        <v>43</v>
      </c>
      <c r="L539" s="6">
        <v>80</v>
      </c>
      <c r="M539" s="6" t="s">
        <v>73</v>
      </c>
      <c r="N539" s="7" t="s">
        <v>45</v>
      </c>
      <c r="O539" s="5">
        <v>2.9786666666666668</v>
      </c>
      <c r="P539" s="5" t="s">
        <v>45</v>
      </c>
      <c r="Q539" s="6" t="s">
        <v>45</v>
      </c>
      <c r="R539" s="6" t="s">
        <v>45</v>
      </c>
      <c r="S539" s="6" t="s">
        <v>45</v>
      </c>
      <c r="T539" s="6" t="s">
        <v>45</v>
      </c>
      <c r="U539" s="6" t="s">
        <v>45</v>
      </c>
      <c r="V539" s="1" t="s">
        <v>45</v>
      </c>
      <c r="W539" s="1" t="s">
        <v>45</v>
      </c>
      <c r="X539" s="1" t="s">
        <v>45</v>
      </c>
      <c r="Y539" s="6">
        <f t="shared" si="189"/>
        <v>2.9786666666666668</v>
      </c>
    </row>
    <row r="540" spans="1:25" x14ac:dyDescent="0.15">
      <c r="A540" s="3">
        <v>2022</v>
      </c>
      <c r="B540" s="1" t="s">
        <v>58</v>
      </c>
      <c r="C540" s="3">
        <v>14</v>
      </c>
      <c r="D540" s="3">
        <v>6</v>
      </c>
      <c r="E540" s="3" t="s">
        <v>37</v>
      </c>
      <c r="F540" s="3"/>
      <c r="G540" s="3" t="s">
        <v>41</v>
      </c>
      <c r="H540" s="1" t="s">
        <v>77</v>
      </c>
      <c r="I540" s="3">
        <v>2</v>
      </c>
      <c r="J540" s="3" t="s">
        <v>37</v>
      </c>
      <c r="K540" s="1" t="s">
        <v>43</v>
      </c>
      <c r="L540" s="6">
        <v>63</v>
      </c>
      <c r="M540" s="6" t="s">
        <v>73</v>
      </c>
      <c r="N540" s="7" t="s">
        <v>45</v>
      </c>
      <c r="O540" s="5">
        <v>1.7506666666666666</v>
      </c>
      <c r="P540" s="5" t="s">
        <v>45</v>
      </c>
      <c r="Q540" s="6" t="s">
        <v>45</v>
      </c>
      <c r="R540" s="6" t="s">
        <v>45</v>
      </c>
      <c r="S540" s="6" t="s">
        <v>45</v>
      </c>
      <c r="T540" s="6" t="s">
        <v>45</v>
      </c>
      <c r="U540" s="6" t="s">
        <v>45</v>
      </c>
      <c r="V540" s="1" t="s">
        <v>45</v>
      </c>
      <c r="W540" s="1" t="s">
        <v>45</v>
      </c>
      <c r="X540" s="1" t="s">
        <v>45</v>
      </c>
      <c r="Y540" s="6">
        <f t="shared" si="189"/>
        <v>1.7506666666666666</v>
      </c>
    </row>
    <row r="541" spans="1:25" x14ac:dyDescent="0.15">
      <c r="A541" s="3">
        <v>2022</v>
      </c>
      <c r="B541" s="1" t="s">
        <v>58</v>
      </c>
      <c r="C541" s="3">
        <v>14</v>
      </c>
      <c r="D541" s="3">
        <v>7</v>
      </c>
      <c r="E541" s="3"/>
      <c r="F541" s="3" t="s">
        <v>38</v>
      </c>
      <c r="G541" s="3" t="s">
        <v>41</v>
      </c>
      <c r="H541" s="1"/>
      <c r="I541" s="3">
        <v>2</v>
      </c>
      <c r="J541" s="3" t="s">
        <v>38</v>
      </c>
      <c r="K541" s="1" t="s">
        <v>42</v>
      </c>
      <c r="L541" s="6" t="s">
        <v>73</v>
      </c>
      <c r="M541" s="6">
        <v>57.5</v>
      </c>
      <c r="N541" s="7" t="s">
        <v>45</v>
      </c>
      <c r="O541" s="5" t="s">
        <v>45</v>
      </c>
      <c r="P541" s="5">
        <v>2.5880000000000001</v>
      </c>
      <c r="Q541" s="6" t="s">
        <v>45</v>
      </c>
      <c r="R541" s="6" t="s">
        <v>45</v>
      </c>
      <c r="S541" s="6" t="s">
        <v>45</v>
      </c>
      <c r="T541" s="6" t="s">
        <v>45</v>
      </c>
      <c r="U541" s="6" t="s">
        <v>45</v>
      </c>
      <c r="V541" s="1" t="s">
        <v>45</v>
      </c>
      <c r="W541" s="1" t="s">
        <v>45</v>
      </c>
      <c r="X541" s="1" t="s">
        <v>45</v>
      </c>
      <c r="Y541" s="6">
        <f>P541</f>
        <v>2.5880000000000001</v>
      </c>
    </row>
    <row r="542" spans="1:25" x14ac:dyDescent="0.15">
      <c r="A542" s="3">
        <v>2022</v>
      </c>
      <c r="B542" s="1" t="s">
        <v>58</v>
      </c>
      <c r="C542" s="3">
        <v>14</v>
      </c>
      <c r="D542" s="3">
        <v>8</v>
      </c>
      <c r="E542" s="3"/>
      <c r="F542" s="3" t="s">
        <v>39</v>
      </c>
      <c r="G542" s="3" t="s">
        <v>41</v>
      </c>
      <c r="H542" s="1"/>
      <c r="I542" s="3">
        <v>2</v>
      </c>
      <c r="J542" s="3" t="s">
        <v>39</v>
      </c>
      <c r="K542" s="1" t="s">
        <v>42</v>
      </c>
      <c r="L542" s="6" t="s">
        <v>73</v>
      </c>
      <c r="M542" s="6">
        <v>58</v>
      </c>
      <c r="N542" s="7" t="s">
        <v>45</v>
      </c>
      <c r="O542" s="5" t="s">
        <v>45</v>
      </c>
      <c r="P542" s="5">
        <v>2.2893333333333334</v>
      </c>
      <c r="Q542" s="6" t="s">
        <v>45</v>
      </c>
      <c r="R542" s="6" t="s">
        <v>45</v>
      </c>
      <c r="S542" s="6" t="s">
        <v>45</v>
      </c>
      <c r="T542" s="6" t="s">
        <v>45</v>
      </c>
      <c r="U542" s="6" t="s">
        <v>45</v>
      </c>
      <c r="V542" s="1" t="s">
        <v>45</v>
      </c>
      <c r="W542" s="1" t="s">
        <v>45</v>
      </c>
      <c r="X542" s="1" t="s">
        <v>45</v>
      </c>
      <c r="Y542" s="6">
        <f t="shared" ref="Y542:Y543" si="190">P542</f>
        <v>2.2893333333333334</v>
      </c>
    </row>
    <row r="543" spans="1:25" x14ac:dyDescent="0.15">
      <c r="A543" s="3">
        <v>2022</v>
      </c>
      <c r="B543" s="1" t="s">
        <v>58</v>
      </c>
      <c r="C543" s="3">
        <v>14</v>
      </c>
      <c r="D543" s="3">
        <v>9</v>
      </c>
      <c r="E543" s="3"/>
      <c r="F543" s="3" t="s">
        <v>40</v>
      </c>
      <c r="G543" s="3" t="s">
        <v>41</v>
      </c>
      <c r="H543" s="1"/>
      <c r="I543" s="3">
        <v>2</v>
      </c>
      <c r="J543" s="3" t="s">
        <v>40</v>
      </c>
      <c r="K543" s="1" t="s">
        <v>42</v>
      </c>
      <c r="L543" s="6" t="s">
        <v>73</v>
      </c>
      <c r="M543" s="6">
        <v>61</v>
      </c>
      <c r="N543" s="7" t="s">
        <v>45</v>
      </c>
      <c r="O543" s="5" t="s">
        <v>45</v>
      </c>
      <c r="P543" s="5">
        <v>2.0106666666666668</v>
      </c>
      <c r="Q543" s="6" t="s">
        <v>45</v>
      </c>
      <c r="R543" s="6" t="s">
        <v>45</v>
      </c>
      <c r="S543" s="6" t="s">
        <v>45</v>
      </c>
      <c r="T543" s="6" t="s">
        <v>45</v>
      </c>
      <c r="U543" s="6" t="s">
        <v>45</v>
      </c>
      <c r="V543" s="1" t="s">
        <v>45</v>
      </c>
      <c r="W543" s="1" t="s">
        <v>45</v>
      </c>
      <c r="X543" s="1" t="s">
        <v>45</v>
      </c>
      <c r="Y543" s="6">
        <f t="shared" si="190"/>
        <v>2.0106666666666668</v>
      </c>
    </row>
    <row r="544" spans="1:25" x14ac:dyDescent="0.15">
      <c r="A544" s="3">
        <v>2022</v>
      </c>
      <c r="B544" s="1" t="s">
        <v>58</v>
      </c>
      <c r="C544" s="3">
        <v>14</v>
      </c>
      <c r="D544" s="3">
        <v>10</v>
      </c>
      <c r="E544" s="3" t="s">
        <v>35</v>
      </c>
      <c r="F544" s="3" t="s">
        <v>38</v>
      </c>
      <c r="G544" s="3" t="s">
        <v>14</v>
      </c>
      <c r="H544" s="1" t="s">
        <v>35</v>
      </c>
      <c r="I544" s="3">
        <v>2</v>
      </c>
      <c r="J544" s="3" t="s">
        <v>63</v>
      </c>
      <c r="K544" s="1" t="s">
        <v>42</v>
      </c>
      <c r="L544" s="6">
        <v>80.5</v>
      </c>
      <c r="M544" s="6">
        <v>51.5</v>
      </c>
      <c r="N544" s="7">
        <f>L544-M544</f>
        <v>29</v>
      </c>
      <c r="O544" s="5">
        <v>0.46666666666666662</v>
      </c>
      <c r="P544" s="5">
        <v>2.182666666666667</v>
      </c>
      <c r="Q544" s="6">
        <f>O544/(0.1*O535)</f>
        <v>1.6548463356973995</v>
      </c>
      <c r="R544" s="6">
        <f>O544/(0.1*O538)</f>
        <v>1.342539317222861</v>
      </c>
      <c r="S544" s="6">
        <f>P544/(0.9*P541)</f>
        <v>0.93708855687217363</v>
      </c>
      <c r="T544" s="6">
        <f>Q544+S544</f>
        <v>2.5919348925695731</v>
      </c>
      <c r="U544" s="6">
        <f>R544+S544</f>
        <v>2.2796278740950346</v>
      </c>
      <c r="V544" s="1">
        <f>O544/O535+P544/P541</f>
        <v>1.0088643347546962</v>
      </c>
      <c r="W544" s="1">
        <f>O544/O538+P544/P541</f>
        <v>0.97763363290724237</v>
      </c>
      <c r="X544" s="1">
        <f t="shared" ref="X544:X552" si="191">100*ROUND(P544/(P544+O544), 2)</f>
        <v>82</v>
      </c>
      <c r="Y544" s="6">
        <f>O544+P544</f>
        <v>2.6493333333333338</v>
      </c>
    </row>
    <row r="545" spans="1:25" x14ac:dyDescent="0.15">
      <c r="A545" s="3">
        <v>2022</v>
      </c>
      <c r="B545" s="1" t="s">
        <v>58</v>
      </c>
      <c r="C545" s="3">
        <v>14</v>
      </c>
      <c r="D545" s="3">
        <v>11</v>
      </c>
      <c r="E545" s="3" t="s">
        <v>35</v>
      </c>
      <c r="F545" s="3" t="s">
        <v>39</v>
      </c>
      <c r="G545" s="3" t="s">
        <v>14</v>
      </c>
      <c r="H545" s="1" t="s">
        <v>35</v>
      </c>
      <c r="I545" s="3">
        <v>2</v>
      </c>
      <c r="J545" s="3" t="s">
        <v>64</v>
      </c>
      <c r="K545" s="1" t="s">
        <v>42</v>
      </c>
      <c r="L545" s="6">
        <v>82.5</v>
      </c>
      <c r="M545" s="6">
        <v>54</v>
      </c>
      <c r="N545" s="7">
        <f t="shared" ref="N545:N552" si="192">L545-M545</f>
        <v>28.5</v>
      </c>
      <c r="O545" s="5">
        <v>0.78266666666666662</v>
      </c>
      <c r="P545" s="5">
        <v>1.9613333333333332</v>
      </c>
      <c r="Q545" s="6">
        <f>O545/(0.1*O535)</f>
        <v>2.7754137115839246</v>
      </c>
      <c r="R545" s="6">
        <f>O545/(0.1*O538)</f>
        <v>2.25163022631377</v>
      </c>
      <c r="S545" s="6">
        <f>P545/(0.9*P542)</f>
        <v>0.95191872128389299</v>
      </c>
      <c r="T545" s="6">
        <f t="shared" ref="T545:T552" si="193">Q545+S545</f>
        <v>3.7273324328678177</v>
      </c>
      <c r="U545" s="6">
        <f t="shared" ref="U545:U552" si="194">R545+S545</f>
        <v>3.2035489475976631</v>
      </c>
      <c r="V545" s="1">
        <f>O545/O535+P545/P542</f>
        <v>1.1342682203138961</v>
      </c>
      <c r="W545" s="1">
        <f>O545/O538+P545/P542</f>
        <v>1.0818898717868808</v>
      </c>
      <c r="X545" s="1">
        <f t="shared" si="191"/>
        <v>71</v>
      </c>
      <c r="Y545" s="6">
        <f t="shared" ref="Y545:Y552" si="195">O545+P545</f>
        <v>2.7439999999999998</v>
      </c>
    </row>
    <row r="546" spans="1:25" x14ac:dyDescent="0.15">
      <c r="A546" s="3">
        <v>2022</v>
      </c>
      <c r="B546" s="1" t="s">
        <v>58</v>
      </c>
      <c r="C546" s="3">
        <v>14</v>
      </c>
      <c r="D546" s="3">
        <v>12</v>
      </c>
      <c r="E546" s="3" t="s">
        <v>35</v>
      </c>
      <c r="F546" s="3" t="s">
        <v>40</v>
      </c>
      <c r="G546" s="3" t="s">
        <v>14</v>
      </c>
      <c r="H546" s="1" t="s">
        <v>35</v>
      </c>
      <c r="I546" s="3">
        <v>2</v>
      </c>
      <c r="J546" s="3" t="s">
        <v>65</v>
      </c>
      <c r="K546" s="1" t="s">
        <v>42</v>
      </c>
      <c r="L546" s="6">
        <v>82.5</v>
      </c>
      <c r="M546" s="6">
        <v>57.5</v>
      </c>
      <c r="N546" s="7">
        <f t="shared" si="192"/>
        <v>25</v>
      </c>
      <c r="O546" s="5">
        <v>0.79333333333333333</v>
      </c>
      <c r="P546" s="5">
        <v>1.8426666666666669</v>
      </c>
      <c r="Q546" s="6">
        <f>O546/(0.1*O535)</f>
        <v>2.8132387706855795</v>
      </c>
      <c r="R546" s="6">
        <f>O546/(0.1*O538)</f>
        <v>2.282316839278864</v>
      </c>
      <c r="S546" s="6">
        <f>P546/(0.9*P543)</f>
        <v>1.018272914824639</v>
      </c>
      <c r="T546" s="6">
        <f t="shared" si="193"/>
        <v>3.8315116855102183</v>
      </c>
      <c r="U546" s="6">
        <f t="shared" si="194"/>
        <v>3.3005897541035027</v>
      </c>
      <c r="V546" s="1">
        <f>O546/O535+P546/P543</f>
        <v>1.1977695004107332</v>
      </c>
      <c r="W546" s="1">
        <f>O546/O538+P546/P543</f>
        <v>1.1446773072700616</v>
      </c>
      <c r="X546" s="1">
        <f t="shared" si="191"/>
        <v>70</v>
      </c>
      <c r="Y546" s="6">
        <f t="shared" si="195"/>
        <v>2.6360000000000001</v>
      </c>
    </row>
    <row r="547" spans="1:25" x14ac:dyDescent="0.15">
      <c r="A547" s="3">
        <v>2022</v>
      </c>
      <c r="B547" s="1" t="s">
        <v>58</v>
      </c>
      <c r="C547" s="3">
        <v>14</v>
      </c>
      <c r="D547" s="3">
        <v>13</v>
      </c>
      <c r="E547" s="3" t="s">
        <v>36</v>
      </c>
      <c r="F547" s="3" t="s">
        <v>38</v>
      </c>
      <c r="G547" s="3" t="s">
        <v>14</v>
      </c>
      <c r="H547" s="1" t="s">
        <v>36</v>
      </c>
      <c r="I547" s="3">
        <v>2</v>
      </c>
      <c r="J547" s="3" t="s">
        <v>66</v>
      </c>
      <c r="K547" s="1" t="s">
        <v>42</v>
      </c>
      <c r="L547" s="6">
        <v>74.5</v>
      </c>
      <c r="M547" s="6">
        <v>54</v>
      </c>
      <c r="N547" s="7">
        <f t="shared" si="192"/>
        <v>20.5</v>
      </c>
      <c r="O547" s="5">
        <v>0.56399999999999995</v>
      </c>
      <c r="P547" s="5">
        <v>2.2040000000000002</v>
      </c>
      <c r="Q547" s="6">
        <f>O547/(0.1*O536)</f>
        <v>1.387340111511971</v>
      </c>
      <c r="R547" s="6">
        <f>O547/(0.1*O539)</f>
        <v>1.893464637421665</v>
      </c>
      <c r="S547" s="6">
        <f>P547/(0.9*P541)</f>
        <v>0.9462476386742229</v>
      </c>
      <c r="T547" s="6">
        <f t="shared" si="193"/>
        <v>2.3335877501861937</v>
      </c>
      <c r="U547" s="6">
        <f t="shared" si="194"/>
        <v>2.8397122760958879</v>
      </c>
      <c r="V547" s="1">
        <f>O547/O536+P547/P541</f>
        <v>0.99035688595799776</v>
      </c>
      <c r="W547" s="1">
        <f>O547/O539+P547/P541</f>
        <v>1.0409693385489671</v>
      </c>
      <c r="X547" s="1">
        <f t="shared" si="191"/>
        <v>80</v>
      </c>
      <c r="Y547" s="6">
        <f t="shared" si="195"/>
        <v>2.7680000000000002</v>
      </c>
    </row>
    <row r="548" spans="1:25" x14ac:dyDescent="0.15">
      <c r="A548" s="3">
        <v>2022</v>
      </c>
      <c r="B548" s="1" t="s">
        <v>58</v>
      </c>
      <c r="C548" s="3">
        <v>14</v>
      </c>
      <c r="D548" s="3">
        <v>14</v>
      </c>
      <c r="E548" s="3" t="s">
        <v>36</v>
      </c>
      <c r="F548" s="3" t="s">
        <v>39</v>
      </c>
      <c r="G548" s="3" t="s">
        <v>14</v>
      </c>
      <c r="H548" s="1" t="s">
        <v>36</v>
      </c>
      <c r="I548" s="3">
        <v>2</v>
      </c>
      <c r="J548" s="3" t="s">
        <v>67</v>
      </c>
      <c r="K548" s="1" t="s">
        <v>42</v>
      </c>
      <c r="L548" s="6">
        <v>76</v>
      </c>
      <c r="M548" s="6">
        <v>50.5</v>
      </c>
      <c r="N548" s="7">
        <f t="shared" si="192"/>
        <v>25.5</v>
      </c>
      <c r="O548" s="5">
        <v>0.66799999999999993</v>
      </c>
      <c r="P548" s="5">
        <v>1.9573333333333331</v>
      </c>
      <c r="Q548" s="6">
        <f>O548/(0.1*O536)</f>
        <v>1.64316169235815</v>
      </c>
      <c r="R548" s="6">
        <f>O548/(0.1*O539)</f>
        <v>2.2426141450313337</v>
      </c>
      <c r="S548" s="6">
        <f>P548/(0.9*P542)</f>
        <v>0.949977350676244</v>
      </c>
      <c r="T548" s="6">
        <f t="shared" si="193"/>
        <v>2.5931390430343941</v>
      </c>
      <c r="U548" s="6">
        <f t="shared" si="194"/>
        <v>3.1925914957075778</v>
      </c>
      <c r="V548" s="1">
        <f>O548/O536+P548/P542</f>
        <v>1.0192957848444346</v>
      </c>
      <c r="W548" s="1">
        <f>O548/O539+P548/P542</f>
        <v>1.079241030111753</v>
      </c>
      <c r="X548" s="1">
        <f t="shared" si="191"/>
        <v>75</v>
      </c>
      <c r="Y548" s="6">
        <f t="shared" si="195"/>
        <v>2.6253333333333329</v>
      </c>
    </row>
    <row r="549" spans="1:25" x14ac:dyDescent="0.15">
      <c r="A549" s="3">
        <v>2022</v>
      </c>
      <c r="B549" s="1" t="s">
        <v>58</v>
      </c>
      <c r="C549" s="3">
        <v>14</v>
      </c>
      <c r="D549" s="3">
        <v>15</v>
      </c>
      <c r="E549" s="3" t="s">
        <v>36</v>
      </c>
      <c r="F549" s="3" t="s">
        <v>40</v>
      </c>
      <c r="G549" s="3" t="s">
        <v>14</v>
      </c>
      <c r="H549" s="1" t="s">
        <v>36</v>
      </c>
      <c r="I549" s="3">
        <v>2</v>
      </c>
      <c r="J549" s="3" t="s">
        <v>68</v>
      </c>
      <c r="K549" s="1" t="s">
        <v>42</v>
      </c>
      <c r="L549" s="6">
        <v>80</v>
      </c>
      <c r="M549" s="6">
        <v>62</v>
      </c>
      <c r="N549" s="7">
        <f t="shared" si="192"/>
        <v>18</v>
      </c>
      <c r="O549" s="5">
        <v>0.9</v>
      </c>
      <c r="P549" s="5">
        <v>1.86</v>
      </c>
      <c r="Q549" s="6">
        <f>O549/(0.1*O536)</f>
        <v>2.2138406034765494</v>
      </c>
      <c r="R549" s="6">
        <f>O549/(0.1*O539)</f>
        <v>3.0214861235452104</v>
      </c>
      <c r="S549" s="6">
        <f>P549/(0.9*P543)</f>
        <v>1.0278514588859415</v>
      </c>
      <c r="T549" s="6">
        <f t="shared" si="193"/>
        <v>3.2416920623624907</v>
      </c>
      <c r="U549" s="6">
        <f t="shared" si="194"/>
        <v>4.0493375824311517</v>
      </c>
      <c r="V549" s="1">
        <f>O549/O536+P549/P543</f>
        <v>1.1464503733450024</v>
      </c>
      <c r="W549" s="1">
        <f>O549/O539+P549/P543</f>
        <v>1.2272149253518685</v>
      </c>
      <c r="X549" s="1">
        <f t="shared" si="191"/>
        <v>67</v>
      </c>
      <c r="Y549" s="6">
        <f t="shared" si="195"/>
        <v>2.7600000000000002</v>
      </c>
    </row>
    <row r="550" spans="1:25" x14ac:dyDescent="0.15">
      <c r="A550" s="3">
        <v>2022</v>
      </c>
      <c r="B550" s="1" t="s">
        <v>58</v>
      </c>
      <c r="C550" s="3">
        <v>14</v>
      </c>
      <c r="D550" s="3">
        <v>16</v>
      </c>
      <c r="E550" s="3" t="s">
        <v>37</v>
      </c>
      <c r="F550" s="3" t="s">
        <v>38</v>
      </c>
      <c r="G550" s="3" t="s">
        <v>14</v>
      </c>
      <c r="H550" s="1" t="s">
        <v>37</v>
      </c>
      <c r="I550" s="3">
        <v>2</v>
      </c>
      <c r="J550" s="3" t="s">
        <v>69</v>
      </c>
      <c r="K550" s="1" t="s">
        <v>42</v>
      </c>
      <c r="L550" s="6">
        <v>65</v>
      </c>
      <c r="M550" s="6">
        <v>56.5</v>
      </c>
      <c r="N550" s="7">
        <f t="shared" si="192"/>
        <v>8.5</v>
      </c>
      <c r="O550" s="5">
        <v>0.59066666666666667</v>
      </c>
      <c r="P550" s="5">
        <v>1.9533333333333334</v>
      </c>
      <c r="Q550" s="6">
        <f>O550/(0.1*O537)</f>
        <v>2.1216475095785441</v>
      </c>
      <c r="R550" s="6">
        <f>O550/(0.1*O540)</f>
        <v>3.3739527798933739</v>
      </c>
      <c r="S550" s="6">
        <f>P550/(0.9*P541)</f>
        <v>0.8386284275001431</v>
      </c>
      <c r="T550" s="6">
        <f t="shared" si="193"/>
        <v>2.9602759370786873</v>
      </c>
      <c r="U550" s="6">
        <f t="shared" si="194"/>
        <v>4.2125812073935167</v>
      </c>
      <c r="V550" s="1">
        <f>O550/O537+P550/P541</f>
        <v>0.96693033570798326</v>
      </c>
      <c r="W550" s="1">
        <f>O550/O540+P550/P541</f>
        <v>1.0921608627394663</v>
      </c>
      <c r="X550" s="1">
        <f t="shared" si="191"/>
        <v>77</v>
      </c>
      <c r="Y550" s="6">
        <f t="shared" si="195"/>
        <v>2.544</v>
      </c>
    </row>
    <row r="551" spans="1:25" x14ac:dyDescent="0.15">
      <c r="A551" s="3">
        <v>2022</v>
      </c>
      <c r="B551" s="1" t="s">
        <v>58</v>
      </c>
      <c r="C551" s="3">
        <v>14</v>
      </c>
      <c r="D551" s="3">
        <v>17</v>
      </c>
      <c r="E551" s="3" t="s">
        <v>37</v>
      </c>
      <c r="F551" s="3" t="s">
        <v>39</v>
      </c>
      <c r="G551" s="3" t="s">
        <v>14</v>
      </c>
      <c r="H551" s="1" t="s">
        <v>37</v>
      </c>
      <c r="I551" s="3">
        <v>2</v>
      </c>
      <c r="J551" s="3" t="s">
        <v>70</v>
      </c>
      <c r="K551" s="1" t="s">
        <v>42</v>
      </c>
      <c r="L551" s="6">
        <v>61.5</v>
      </c>
      <c r="M551" s="6">
        <v>58</v>
      </c>
      <c r="N551" s="7">
        <f t="shared" si="192"/>
        <v>3.5</v>
      </c>
      <c r="O551" s="5">
        <v>0.56000000000000005</v>
      </c>
      <c r="P551" s="5">
        <v>2.2480000000000002</v>
      </c>
      <c r="Q551" s="6">
        <f>O551/(0.1*O537)</f>
        <v>2.0114942528735638</v>
      </c>
      <c r="R551" s="6">
        <f>O551/(0.1*O540)</f>
        <v>3.1987814166031989</v>
      </c>
      <c r="S551" s="6">
        <f>P551/(0.9*P542)</f>
        <v>1.0910502814987382</v>
      </c>
      <c r="T551" s="6">
        <f t="shared" si="193"/>
        <v>3.1025445343723019</v>
      </c>
      <c r="U551" s="6">
        <f t="shared" si="194"/>
        <v>4.2898316981019367</v>
      </c>
      <c r="V551" s="1">
        <f>O551/O537+P551/P542</f>
        <v>1.1830946786362206</v>
      </c>
      <c r="W551" s="1">
        <f>O551/O540+P551/P542</f>
        <v>1.3018233950091842</v>
      </c>
      <c r="X551" s="1">
        <f t="shared" si="191"/>
        <v>80</v>
      </c>
      <c r="Y551" s="6">
        <f t="shared" si="195"/>
        <v>2.8080000000000003</v>
      </c>
    </row>
    <row r="552" spans="1:25" x14ac:dyDescent="0.15">
      <c r="A552" s="3">
        <v>2022</v>
      </c>
      <c r="B552" s="1" t="s">
        <v>58</v>
      </c>
      <c r="C552" s="3">
        <v>14</v>
      </c>
      <c r="D552" s="3">
        <v>18</v>
      </c>
      <c r="E552" s="3" t="s">
        <v>37</v>
      </c>
      <c r="F552" s="3" t="s">
        <v>40</v>
      </c>
      <c r="G552" s="3" t="s">
        <v>14</v>
      </c>
      <c r="H552" s="1" t="s">
        <v>37</v>
      </c>
      <c r="I552" s="3">
        <v>2</v>
      </c>
      <c r="J552" s="3" t="s">
        <v>71</v>
      </c>
      <c r="K552" s="1" t="s">
        <v>42</v>
      </c>
      <c r="L552" s="6">
        <v>65.5</v>
      </c>
      <c r="M552" s="6">
        <v>55</v>
      </c>
      <c r="N552" s="7">
        <f t="shared" si="192"/>
        <v>10.5</v>
      </c>
      <c r="O552" s="5">
        <v>0.67333333333333334</v>
      </c>
      <c r="P552" s="5">
        <v>1.7013333333333334</v>
      </c>
      <c r="Q552" s="6">
        <f>O552/(0.1*O537)</f>
        <v>2.4185823754789273</v>
      </c>
      <c r="R552" s="6">
        <f>O552/(0.1*O540)</f>
        <v>3.8461538461538458</v>
      </c>
      <c r="S552" s="6">
        <f>P552/(0.9*P543)</f>
        <v>0.94017094017094016</v>
      </c>
      <c r="T552" s="6">
        <f t="shared" si="193"/>
        <v>3.3587533156498672</v>
      </c>
      <c r="U552" s="6">
        <f t="shared" si="194"/>
        <v>4.7863247863247862</v>
      </c>
      <c r="V552" s="1">
        <f>O552/O537+P552/P543</f>
        <v>1.0880120837017389</v>
      </c>
      <c r="W552" s="1">
        <f>O552/O540+P552/P543</f>
        <v>1.2307692307692308</v>
      </c>
      <c r="X552" s="1">
        <f t="shared" si="191"/>
        <v>72</v>
      </c>
      <c r="Y552" s="6">
        <f t="shared" si="195"/>
        <v>2.3746666666666667</v>
      </c>
    </row>
    <row r="553" spans="1:25" x14ac:dyDescent="0.15">
      <c r="A553" s="3">
        <v>2022</v>
      </c>
      <c r="B553" s="1" t="s">
        <v>58</v>
      </c>
      <c r="C553" s="3">
        <v>15</v>
      </c>
      <c r="D553" s="3">
        <v>1</v>
      </c>
      <c r="E553" s="3" t="s">
        <v>35</v>
      </c>
      <c r="F553" s="3"/>
      <c r="G553" s="3" t="s">
        <v>41</v>
      </c>
      <c r="H553" s="1" t="s">
        <v>35</v>
      </c>
      <c r="I553" s="3">
        <v>3</v>
      </c>
      <c r="J553" s="3" t="s">
        <v>35</v>
      </c>
      <c r="K553" s="1" t="s">
        <v>42</v>
      </c>
      <c r="L553" s="6">
        <v>85</v>
      </c>
      <c r="M553" s="6" t="s">
        <v>73</v>
      </c>
      <c r="N553" s="7" t="s">
        <v>45</v>
      </c>
      <c r="O553" s="5">
        <v>3.1706666666666665</v>
      </c>
      <c r="P553" s="5" t="s">
        <v>45</v>
      </c>
      <c r="Q553" s="6" t="s">
        <v>45</v>
      </c>
      <c r="R553" s="6" t="s">
        <v>45</v>
      </c>
      <c r="S553" s="6" t="s">
        <v>45</v>
      </c>
      <c r="T553" s="6" t="s">
        <v>45</v>
      </c>
      <c r="U553" s="6" t="s">
        <v>45</v>
      </c>
      <c r="V553" s="1" t="s">
        <v>45</v>
      </c>
      <c r="W553" s="1" t="s">
        <v>45</v>
      </c>
      <c r="X553" s="6" t="s">
        <v>45</v>
      </c>
      <c r="Y553" s="6">
        <f>O553</f>
        <v>3.1706666666666665</v>
      </c>
    </row>
    <row r="554" spans="1:25" x14ac:dyDescent="0.15">
      <c r="A554" s="3">
        <v>2022</v>
      </c>
      <c r="B554" s="1" t="s">
        <v>58</v>
      </c>
      <c r="C554" s="3">
        <v>15</v>
      </c>
      <c r="D554" s="3">
        <v>2</v>
      </c>
      <c r="E554" s="3" t="s">
        <v>36</v>
      </c>
      <c r="F554" s="3"/>
      <c r="G554" s="3" t="s">
        <v>41</v>
      </c>
      <c r="H554" s="1" t="s">
        <v>36</v>
      </c>
      <c r="I554" s="3">
        <v>3</v>
      </c>
      <c r="J554" s="3" t="s">
        <v>36</v>
      </c>
      <c r="K554" s="1" t="s">
        <v>42</v>
      </c>
      <c r="L554" s="6">
        <v>75</v>
      </c>
      <c r="M554" s="6" t="s">
        <v>73</v>
      </c>
      <c r="N554" s="7" t="s">
        <v>45</v>
      </c>
      <c r="O554" s="5">
        <v>2.88</v>
      </c>
      <c r="P554" s="5" t="s">
        <v>45</v>
      </c>
      <c r="Q554" s="6" t="s">
        <v>45</v>
      </c>
      <c r="R554" s="6" t="s">
        <v>45</v>
      </c>
      <c r="S554" s="6" t="s">
        <v>45</v>
      </c>
      <c r="T554" s="6" t="s">
        <v>45</v>
      </c>
      <c r="U554" s="6" t="s">
        <v>45</v>
      </c>
      <c r="V554" s="1" t="s">
        <v>45</v>
      </c>
      <c r="W554" s="1" t="s">
        <v>45</v>
      </c>
      <c r="X554" s="6" t="s">
        <v>45</v>
      </c>
      <c r="Y554" s="6">
        <f t="shared" ref="Y554:Y558" si="196">O554</f>
        <v>2.88</v>
      </c>
    </row>
    <row r="555" spans="1:25" x14ac:dyDescent="0.15">
      <c r="A555" s="3">
        <v>2022</v>
      </c>
      <c r="B555" s="1" t="s">
        <v>58</v>
      </c>
      <c r="C555" s="3">
        <v>15</v>
      </c>
      <c r="D555" s="3">
        <v>3</v>
      </c>
      <c r="E555" s="3" t="s">
        <v>37</v>
      </c>
      <c r="F555" s="3"/>
      <c r="G555" s="3" t="s">
        <v>41</v>
      </c>
      <c r="H555" s="1" t="s">
        <v>37</v>
      </c>
      <c r="I555" s="3">
        <v>3</v>
      </c>
      <c r="J555" s="3" t="s">
        <v>37</v>
      </c>
      <c r="K555" s="1" t="s">
        <v>42</v>
      </c>
      <c r="L555" s="6">
        <v>62</v>
      </c>
      <c r="M555" s="6" t="s">
        <v>73</v>
      </c>
      <c r="N555" s="7" t="s">
        <v>45</v>
      </c>
      <c r="O555" s="5">
        <v>2.1413333333333333</v>
      </c>
      <c r="P555" s="5" t="s">
        <v>45</v>
      </c>
      <c r="Q555" s="6" t="s">
        <v>45</v>
      </c>
      <c r="R555" s="6" t="s">
        <v>45</v>
      </c>
      <c r="S555" s="6" t="s">
        <v>45</v>
      </c>
      <c r="T555" s="6" t="s">
        <v>45</v>
      </c>
      <c r="U555" s="6" t="s">
        <v>45</v>
      </c>
      <c r="V555" s="1" t="s">
        <v>45</v>
      </c>
      <c r="W555" s="1" t="s">
        <v>45</v>
      </c>
      <c r="X555" s="6" t="s">
        <v>45</v>
      </c>
      <c r="Y555" s="6">
        <f t="shared" si="196"/>
        <v>2.1413333333333333</v>
      </c>
    </row>
    <row r="556" spans="1:25" x14ac:dyDescent="0.15">
      <c r="A556" s="3">
        <v>2022</v>
      </c>
      <c r="B556" s="1" t="s">
        <v>58</v>
      </c>
      <c r="C556" s="3">
        <v>15</v>
      </c>
      <c r="D556" s="3">
        <v>4</v>
      </c>
      <c r="E556" s="3" t="s">
        <v>35</v>
      </c>
      <c r="F556" s="3"/>
      <c r="G556" s="3" t="s">
        <v>41</v>
      </c>
      <c r="H556" s="1" t="s">
        <v>75</v>
      </c>
      <c r="I556" s="3">
        <v>3</v>
      </c>
      <c r="J556" s="3" t="s">
        <v>35</v>
      </c>
      <c r="K556" s="1" t="s">
        <v>43</v>
      </c>
      <c r="L556" s="6">
        <v>93.5</v>
      </c>
      <c r="M556" s="6" t="s">
        <v>73</v>
      </c>
      <c r="N556" s="7" t="s">
        <v>45</v>
      </c>
      <c r="O556" s="5">
        <v>3.4106666666666667</v>
      </c>
      <c r="P556" s="5" t="s">
        <v>45</v>
      </c>
      <c r="Q556" s="6" t="s">
        <v>45</v>
      </c>
      <c r="R556" s="6" t="s">
        <v>45</v>
      </c>
      <c r="S556" s="6" t="s">
        <v>45</v>
      </c>
      <c r="T556" s="6" t="s">
        <v>45</v>
      </c>
      <c r="U556" s="6" t="s">
        <v>45</v>
      </c>
      <c r="V556" s="1" t="s">
        <v>45</v>
      </c>
      <c r="W556" s="1" t="s">
        <v>45</v>
      </c>
      <c r="X556" s="1" t="s">
        <v>45</v>
      </c>
      <c r="Y556" s="6">
        <f t="shared" si="196"/>
        <v>3.4106666666666667</v>
      </c>
    </row>
    <row r="557" spans="1:25" x14ac:dyDescent="0.15">
      <c r="A557" s="3">
        <v>2022</v>
      </c>
      <c r="B557" s="1" t="s">
        <v>58</v>
      </c>
      <c r="C557" s="3">
        <v>15</v>
      </c>
      <c r="D557" s="3">
        <v>5</v>
      </c>
      <c r="E557" s="3" t="s">
        <v>36</v>
      </c>
      <c r="F557" s="3"/>
      <c r="G557" s="3" t="s">
        <v>41</v>
      </c>
      <c r="H557" s="1" t="s">
        <v>76</v>
      </c>
      <c r="I557" s="3">
        <v>3</v>
      </c>
      <c r="J557" s="3" t="s">
        <v>36</v>
      </c>
      <c r="K557" s="1" t="s">
        <v>43</v>
      </c>
      <c r="L557" s="6">
        <v>82.5</v>
      </c>
      <c r="M557" s="6" t="s">
        <v>73</v>
      </c>
      <c r="N557" s="7" t="s">
        <v>45</v>
      </c>
      <c r="O557" s="5">
        <v>3.06</v>
      </c>
      <c r="P557" s="5" t="s">
        <v>45</v>
      </c>
      <c r="Q557" s="6" t="s">
        <v>45</v>
      </c>
      <c r="R557" s="6" t="s">
        <v>45</v>
      </c>
      <c r="S557" s="6" t="s">
        <v>45</v>
      </c>
      <c r="T557" s="6" t="s">
        <v>45</v>
      </c>
      <c r="U557" s="6" t="s">
        <v>45</v>
      </c>
      <c r="V557" s="1" t="s">
        <v>45</v>
      </c>
      <c r="W557" s="1" t="s">
        <v>45</v>
      </c>
      <c r="X557" s="1" t="s">
        <v>45</v>
      </c>
      <c r="Y557" s="6">
        <f t="shared" si="196"/>
        <v>3.06</v>
      </c>
    </row>
    <row r="558" spans="1:25" x14ac:dyDescent="0.15">
      <c r="A558" s="3">
        <v>2022</v>
      </c>
      <c r="B558" s="1" t="s">
        <v>58</v>
      </c>
      <c r="C558" s="3">
        <v>15</v>
      </c>
      <c r="D558" s="3">
        <v>6</v>
      </c>
      <c r="E558" s="3" t="s">
        <v>37</v>
      </c>
      <c r="F558" s="3"/>
      <c r="G558" s="3" t="s">
        <v>41</v>
      </c>
      <c r="H558" s="1" t="s">
        <v>77</v>
      </c>
      <c r="I558" s="3">
        <v>3</v>
      </c>
      <c r="J558" s="3" t="s">
        <v>37</v>
      </c>
      <c r="K558" s="1" t="s">
        <v>43</v>
      </c>
      <c r="L558" s="6">
        <v>63.5</v>
      </c>
      <c r="M558" s="6" t="s">
        <v>73</v>
      </c>
      <c r="N558" s="7" t="s">
        <v>45</v>
      </c>
      <c r="O558" s="5">
        <v>2.6560000000000001</v>
      </c>
      <c r="P558" s="5" t="s">
        <v>45</v>
      </c>
      <c r="Q558" s="6" t="s">
        <v>45</v>
      </c>
      <c r="R558" s="6" t="s">
        <v>45</v>
      </c>
      <c r="S558" s="6" t="s">
        <v>45</v>
      </c>
      <c r="T558" s="6" t="s">
        <v>45</v>
      </c>
      <c r="U558" s="6" t="s">
        <v>45</v>
      </c>
      <c r="V558" s="1" t="s">
        <v>45</v>
      </c>
      <c r="W558" s="1" t="s">
        <v>45</v>
      </c>
      <c r="X558" s="1" t="s">
        <v>45</v>
      </c>
      <c r="Y558" s="6">
        <f t="shared" si="196"/>
        <v>2.6560000000000001</v>
      </c>
    </row>
    <row r="559" spans="1:25" x14ac:dyDescent="0.15">
      <c r="A559" s="3">
        <v>2022</v>
      </c>
      <c r="B559" s="1" t="s">
        <v>58</v>
      </c>
      <c r="C559" s="3">
        <v>15</v>
      </c>
      <c r="D559" s="3">
        <v>7</v>
      </c>
      <c r="E559" s="3"/>
      <c r="F559" s="3" t="s">
        <v>38</v>
      </c>
      <c r="G559" s="3" t="s">
        <v>41</v>
      </c>
      <c r="H559" s="1"/>
      <c r="I559" s="3">
        <v>3</v>
      </c>
      <c r="J559" s="3" t="s">
        <v>38</v>
      </c>
      <c r="K559" s="1" t="s">
        <v>42</v>
      </c>
      <c r="L559" s="6" t="s">
        <v>73</v>
      </c>
      <c r="M559" s="6">
        <v>59.5</v>
      </c>
      <c r="N559" s="7" t="s">
        <v>45</v>
      </c>
      <c r="O559" s="5" t="s">
        <v>45</v>
      </c>
      <c r="P559" s="5">
        <v>2.7413333333333334</v>
      </c>
      <c r="Q559" s="6" t="s">
        <v>45</v>
      </c>
      <c r="R559" s="6" t="s">
        <v>45</v>
      </c>
      <c r="S559" s="6" t="s">
        <v>45</v>
      </c>
      <c r="T559" s="6" t="s">
        <v>45</v>
      </c>
      <c r="U559" s="6" t="s">
        <v>45</v>
      </c>
      <c r="V559" s="1" t="s">
        <v>45</v>
      </c>
      <c r="W559" s="1" t="s">
        <v>45</v>
      </c>
      <c r="X559" s="1" t="s">
        <v>45</v>
      </c>
      <c r="Y559" s="6">
        <f>P559</f>
        <v>2.7413333333333334</v>
      </c>
    </row>
    <row r="560" spans="1:25" x14ac:dyDescent="0.15">
      <c r="A560" s="3">
        <v>2022</v>
      </c>
      <c r="B560" s="1" t="s">
        <v>58</v>
      </c>
      <c r="C560" s="3">
        <v>15</v>
      </c>
      <c r="D560" s="3">
        <v>8</v>
      </c>
      <c r="E560" s="3"/>
      <c r="F560" s="3" t="s">
        <v>39</v>
      </c>
      <c r="G560" s="3" t="s">
        <v>41</v>
      </c>
      <c r="H560" s="1"/>
      <c r="I560" s="3">
        <v>3</v>
      </c>
      <c r="J560" s="3" t="s">
        <v>39</v>
      </c>
      <c r="K560" s="1" t="s">
        <v>42</v>
      </c>
      <c r="L560" s="6" t="s">
        <v>73</v>
      </c>
      <c r="M560" s="6">
        <v>56</v>
      </c>
      <c r="N560" s="7" t="s">
        <v>45</v>
      </c>
      <c r="O560" s="5" t="s">
        <v>45</v>
      </c>
      <c r="P560" s="5">
        <v>2.524</v>
      </c>
      <c r="Q560" s="6" t="s">
        <v>45</v>
      </c>
      <c r="R560" s="6" t="s">
        <v>45</v>
      </c>
      <c r="S560" s="6" t="s">
        <v>45</v>
      </c>
      <c r="T560" s="6" t="s">
        <v>45</v>
      </c>
      <c r="U560" s="6" t="s">
        <v>45</v>
      </c>
      <c r="V560" s="1" t="s">
        <v>45</v>
      </c>
      <c r="W560" s="1" t="s">
        <v>45</v>
      </c>
      <c r="X560" s="1" t="s">
        <v>45</v>
      </c>
      <c r="Y560" s="6">
        <f t="shared" ref="Y560:Y561" si="197">P560</f>
        <v>2.524</v>
      </c>
    </row>
    <row r="561" spans="1:25" x14ac:dyDescent="0.15">
      <c r="A561" s="3">
        <v>2022</v>
      </c>
      <c r="B561" s="1" t="s">
        <v>58</v>
      </c>
      <c r="C561" s="3">
        <v>15</v>
      </c>
      <c r="D561" s="3">
        <v>9</v>
      </c>
      <c r="E561" s="3"/>
      <c r="F561" s="3" t="s">
        <v>40</v>
      </c>
      <c r="G561" s="3" t="s">
        <v>41</v>
      </c>
      <c r="H561" s="1"/>
      <c r="I561" s="3">
        <v>3</v>
      </c>
      <c r="J561" s="3" t="s">
        <v>40</v>
      </c>
      <c r="K561" s="1" t="s">
        <v>42</v>
      </c>
      <c r="L561" s="6" t="s">
        <v>73</v>
      </c>
      <c r="M561" s="6">
        <v>53.5</v>
      </c>
      <c r="N561" s="7" t="s">
        <v>45</v>
      </c>
      <c r="O561" s="5" t="s">
        <v>45</v>
      </c>
      <c r="P561" s="5">
        <v>1.7</v>
      </c>
      <c r="Q561" s="6" t="s">
        <v>45</v>
      </c>
      <c r="R561" s="6" t="s">
        <v>45</v>
      </c>
      <c r="S561" s="6" t="s">
        <v>45</v>
      </c>
      <c r="T561" s="6" t="s">
        <v>45</v>
      </c>
      <c r="U561" s="6" t="s">
        <v>45</v>
      </c>
      <c r="V561" s="1" t="s">
        <v>45</v>
      </c>
      <c r="W561" s="1" t="s">
        <v>45</v>
      </c>
      <c r="X561" s="1" t="s">
        <v>45</v>
      </c>
      <c r="Y561" s="6">
        <f t="shared" si="197"/>
        <v>1.7</v>
      </c>
    </row>
    <row r="562" spans="1:25" x14ac:dyDescent="0.15">
      <c r="A562" s="3">
        <v>2022</v>
      </c>
      <c r="B562" s="1" t="s">
        <v>58</v>
      </c>
      <c r="C562" s="3">
        <v>15</v>
      </c>
      <c r="D562" s="3">
        <v>10</v>
      </c>
      <c r="E562" s="3" t="s">
        <v>35</v>
      </c>
      <c r="F562" s="3" t="s">
        <v>38</v>
      </c>
      <c r="G562" s="3" t="s">
        <v>14</v>
      </c>
      <c r="H562" s="1" t="s">
        <v>35</v>
      </c>
      <c r="I562" s="3">
        <v>3</v>
      </c>
      <c r="J562" s="3" t="s">
        <v>63</v>
      </c>
      <c r="K562" s="1" t="s">
        <v>42</v>
      </c>
      <c r="L562" s="6">
        <v>81.5</v>
      </c>
      <c r="M562" s="6">
        <v>59.5</v>
      </c>
      <c r="N562" s="7">
        <f>L562-M562</f>
        <v>22</v>
      </c>
      <c r="O562" s="5">
        <v>0.52400000000000002</v>
      </c>
      <c r="P562" s="5">
        <v>2.1573333333333333</v>
      </c>
      <c r="Q562" s="6">
        <f>O562/(0.1*O553)</f>
        <v>1.6526492851135408</v>
      </c>
      <c r="R562" s="6">
        <f>O562/(0.1*O556)</f>
        <v>1.5363565285379202</v>
      </c>
      <c r="S562" s="6">
        <f>P562/(0.9*P559)</f>
        <v>0.87440553393860787</v>
      </c>
      <c r="T562" s="6">
        <f>Q562+S562</f>
        <v>2.5270548190521485</v>
      </c>
      <c r="U562" s="6">
        <f>R562+S562</f>
        <v>2.410762062476528</v>
      </c>
      <c r="V562" s="1">
        <f>O562/O553+P562/P559</f>
        <v>0.95222990905610116</v>
      </c>
      <c r="W562" s="1">
        <f>O562/O556+P562/P559</f>
        <v>0.94060063339853905</v>
      </c>
      <c r="X562" s="1">
        <f t="shared" ref="X562:X570" si="198">100*ROUND(P562/(P562+O562), 2)</f>
        <v>80</v>
      </c>
      <c r="Y562" s="6">
        <f>O562+P562</f>
        <v>2.6813333333333333</v>
      </c>
    </row>
    <row r="563" spans="1:25" x14ac:dyDescent="0.15">
      <c r="A563" s="3">
        <v>2022</v>
      </c>
      <c r="B563" s="1" t="s">
        <v>58</v>
      </c>
      <c r="C563" s="3">
        <v>15</v>
      </c>
      <c r="D563" s="3">
        <v>11</v>
      </c>
      <c r="E563" s="3" t="s">
        <v>35</v>
      </c>
      <c r="F563" s="3" t="s">
        <v>39</v>
      </c>
      <c r="G563" s="3" t="s">
        <v>14</v>
      </c>
      <c r="H563" s="1" t="s">
        <v>35</v>
      </c>
      <c r="I563" s="3">
        <v>3</v>
      </c>
      <c r="J563" s="3" t="s">
        <v>64</v>
      </c>
      <c r="K563" s="1" t="s">
        <v>42</v>
      </c>
      <c r="L563" s="6">
        <v>82</v>
      </c>
      <c r="M563" s="6">
        <v>57.5</v>
      </c>
      <c r="N563" s="7">
        <f t="shared" ref="N563:N570" si="199">L563-M563</f>
        <v>24.5</v>
      </c>
      <c r="O563" s="5">
        <v>0.55066666666666675</v>
      </c>
      <c r="P563" s="5">
        <v>2.1480000000000001</v>
      </c>
      <c r="Q563" s="6">
        <f>O563/(0.1*O553)</f>
        <v>1.7367535744322964</v>
      </c>
      <c r="R563" s="6">
        <f>O563/(0.1*O556)</f>
        <v>1.6145426114151682</v>
      </c>
      <c r="S563" s="6">
        <f>P563/(0.9*P560)</f>
        <v>0.94558901215002633</v>
      </c>
      <c r="T563" s="6">
        <f t="shared" ref="T563:T570" si="200">Q563+S563</f>
        <v>2.6823425865823225</v>
      </c>
      <c r="U563" s="6">
        <f t="shared" ref="U563:U570" si="201">R563+S563</f>
        <v>2.5601316235651943</v>
      </c>
      <c r="V563" s="1">
        <f>O563/O553+P563/P560</f>
        <v>1.0247054683782535</v>
      </c>
      <c r="W563" s="1">
        <f>O563/O556+P563/P560</f>
        <v>1.0124843720765406</v>
      </c>
      <c r="X563" s="1">
        <f t="shared" si="198"/>
        <v>80</v>
      </c>
      <c r="Y563" s="6">
        <f t="shared" ref="Y563:Y570" si="202">O563+P563</f>
        <v>2.698666666666667</v>
      </c>
    </row>
    <row r="564" spans="1:25" x14ac:dyDescent="0.15">
      <c r="A564" s="3">
        <v>2022</v>
      </c>
      <c r="B564" s="1" t="s">
        <v>58</v>
      </c>
      <c r="C564" s="3">
        <v>15</v>
      </c>
      <c r="D564" s="3">
        <v>12</v>
      </c>
      <c r="E564" s="3" t="s">
        <v>35</v>
      </c>
      <c r="F564" s="3" t="s">
        <v>40</v>
      </c>
      <c r="G564" s="3" t="s">
        <v>14</v>
      </c>
      <c r="H564" s="1" t="s">
        <v>35</v>
      </c>
      <c r="I564" s="3">
        <v>3</v>
      </c>
      <c r="J564" s="3" t="s">
        <v>65</v>
      </c>
      <c r="K564" s="1" t="s">
        <v>42</v>
      </c>
      <c r="L564" s="6">
        <v>79.5</v>
      </c>
      <c r="M564" s="6">
        <v>56.5</v>
      </c>
      <c r="N564" s="7">
        <f t="shared" si="199"/>
        <v>23</v>
      </c>
      <c r="O564" s="5">
        <v>0.93066666666666664</v>
      </c>
      <c r="P564" s="5">
        <v>1.8133333333333335</v>
      </c>
      <c r="Q564" s="6">
        <f>O564/(0.1*O553)</f>
        <v>2.9352396972245582</v>
      </c>
      <c r="R564" s="6">
        <f>O564/(0.1*O556)</f>
        <v>2.7286942924159496</v>
      </c>
      <c r="S564" s="6">
        <f>P564/(0.9*P561)</f>
        <v>1.1851851851851853</v>
      </c>
      <c r="T564" s="6">
        <f t="shared" si="200"/>
        <v>4.1204248824097434</v>
      </c>
      <c r="U564" s="6">
        <f t="shared" si="201"/>
        <v>3.9138794776011352</v>
      </c>
      <c r="V564" s="1">
        <f>O564/O553+P564/P561</f>
        <v>1.3601906363891227</v>
      </c>
      <c r="W564" s="1">
        <f>O564/O556+P564/P561</f>
        <v>1.3395360959082618</v>
      </c>
      <c r="X564" s="1">
        <f t="shared" si="198"/>
        <v>66</v>
      </c>
      <c r="Y564" s="6">
        <f t="shared" si="202"/>
        <v>2.7440000000000002</v>
      </c>
    </row>
    <row r="565" spans="1:25" x14ac:dyDescent="0.15">
      <c r="A565" s="3">
        <v>2022</v>
      </c>
      <c r="B565" s="1" t="s">
        <v>58</v>
      </c>
      <c r="C565" s="3">
        <v>15</v>
      </c>
      <c r="D565" s="3">
        <v>13</v>
      </c>
      <c r="E565" s="3" t="s">
        <v>36</v>
      </c>
      <c r="F565" s="3" t="s">
        <v>38</v>
      </c>
      <c r="G565" s="3" t="s">
        <v>14</v>
      </c>
      <c r="H565" s="1" t="s">
        <v>36</v>
      </c>
      <c r="I565" s="3">
        <v>3</v>
      </c>
      <c r="J565" s="3" t="s">
        <v>66</v>
      </c>
      <c r="K565" s="1" t="s">
        <v>42</v>
      </c>
      <c r="L565" s="6">
        <v>92</v>
      </c>
      <c r="M565" s="6">
        <v>71.5</v>
      </c>
      <c r="N565" s="7">
        <f t="shared" si="199"/>
        <v>20.5</v>
      </c>
      <c r="O565" s="5">
        <v>0.75066666666666659</v>
      </c>
      <c r="P565" s="5">
        <v>2.9613333333333332</v>
      </c>
      <c r="Q565" s="6">
        <f>O565/(0.1*O554)</f>
        <v>2.6064814814814814</v>
      </c>
      <c r="R565" s="6">
        <f>O565/(0.1*O557)</f>
        <v>2.4531590413943349</v>
      </c>
      <c r="S565" s="6">
        <f>P565/(0.9*P559)</f>
        <v>1.2002810203199308</v>
      </c>
      <c r="T565" s="6">
        <f t="shared" si="200"/>
        <v>3.806762501801412</v>
      </c>
      <c r="U565" s="6">
        <f t="shared" si="201"/>
        <v>3.6534400617142655</v>
      </c>
      <c r="V565" s="1">
        <f>O565/O554+P565/P559</f>
        <v>1.3409010664360859</v>
      </c>
      <c r="W565" s="1">
        <f>O565/O557+P565/P559</f>
        <v>1.3255688224273712</v>
      </c>
      <c r="X565" s="1">
        <f t="shared" si="198"/>
        <v>80</v>
      </c>
      <c r="Y565" s="6">
        <f t="shared" si="202"/>
        <v>3.7119999999999997</v>
      </c>
    </row>
    <row r="566" spans="1:25" x14ac:dyDescent="0.15">
      <c r="A566" s="3">
        <v>2022</v>
      </c>
      <c r="B566" s="1" t="s">
        <v>58</v>
      </c>
      <c r="C566" s="3">
        <v>15</v>
      </c>
      <c r="D566" s="3">
        <v>14</v>
      </c>
      <c r="E566" s="3" t="s">
        <v>36</v>
      </c>
      <c r="F566" s="3" t="s">
        <v>39</v>
      </c>
      <c r="G566" s="3" t="s">
        <v>14</v>
      </c>
      <c r="H566" s="1" t="s">
        <v>36</v>
      </c>
      <c r="I566" s="3">
        <v>3</v>
      </c>
      <c r="J566" s="3" t="s">
        <v>67</v>
      </c>
      <c r="K566" s="1" t="s">
        <v>42</v>
      </c>
      <c r="L566" s="6">
        <v>79.5</v>
      </c>
      <c r="M566" s="6">
        <v>53</v>
      </c>
      <c r="N566" s="7">
        <f t="shared" si="199"/>
        <v>26.5</v>
      </c>
      <c r="O566" s="5">
        <v>0.72400000000000009</v>
      </c>
      <c r="P566" s="5">
        <v>1.7893333333333334</v>
      </c>
      <c r="Q566" s="6">
        <f>O566/(0.1*O554)</f>
        <v>2.5138888888888893</v>
      </c>
      <c r="R566" s="6">
        <f>O566/(0.1*O557)</f>
        <v>2.3660130718954249</v>
      </c>
      <c r="S566" s="6">
        <f>P566/(0.9*P560)</f>
        <v>0.78769736455948813</v>
      </c>
      <c r="T566" s="6">
        <f t="shared" si="200"/>
        <v>3.3015862534483773</v>
      </c>
      <c r="U566" s="6">
        <f t="shared" si="201"/>
        <v>3.1537104364549129</v>
      </c>
      <c r="V566" s="1">
        <f>O566/O554+P566/P560</f>
        <v>0.96031651699242837</v>
      </c>
      <c r="W566" s="1">
        <f>O566/O557+P566/P560</f>
        <v>0.94552893529308191</v>
      </c>
      <c r="X566" s="1">
        <f t="shared" si="198"/>
        <v>71</v>
      </c>
      <c r="Y566" s="6">
        <f t="shared" si="202"/>
        <v>2.5133333333333336</v>
      </c>
    </row>
    <row r="567" spans="1:25" x14ac:dyDescent="0.15">
      <c r="A567" s="3">
        <v>2022</v>
      </c>
      <c r="B567" s="1" t="s">
        <v>58</v>
      </c>
      <c r="C567" s="3">
        <v>15</v>
      </c>
      <c r="D567" s="3">
        <v>15</v>
      </c>
      <c r="E567" s="3" t="s">
        <v>36</v>
      </c>
      <c r="F567" s="3" t="s">
        <v>40</v>
      </c>
      <c r="G567" s="3" t="s">
        <v>14</v>
      </c>
      <c r="H567" s="1" t="s">
        <v>36</v>
      </c>
      <c r="I567" s="3">
        <v>3</v>
      </c>
      <c r="J567" s="3" t="s">
        <v>68</v>
      </c>
      <c r="K567" s="1" t="s">
        <v>42</v>
      </c>
      <c r="L567" s="6">
        <v>80</v>
      </c>
      <c r="M567" s="6">
        <v>58.5</v>
      </c>
      <c r="N567" s="7">
        <f t="shared" si="199"/>
        <v>21.5</v>
      </c>
      <c r="O567" s="5">
        <v>0.85733333333333339</v>
      </c>
      <c r="P567" s="5">
        <v>1.8986666666666667</v>
      </c>
      <c r="Q567" s="6">
        <f>O567/(0.1*O554)</f>
        <v>2.9768518518518521</v>
      </c>
      <c r="R567" s="6">
        <f>O567/(0.1*O557)</f>
        <v>2.8017429193899779</v>
      </c>
      <c r="S567" s="6">
        <f>P567/(0.9*P561)</f>
        <v>1.2409586056644881</v>
      </c>
      <c r="T567" s="6">
        <f t="shared" si="200"/>
        <v>4.2178104575163404</v>
      </c>
      <c r="U567" s="6">
        <f t="shared" si="201"/>
        <v>4.0427015250544658</v>
      </c>
      <c r="V567" s="1">
        <f>O567/O554+P567/P561</f>
        <v>1.4145479302832245</v>
      </c>
      <c r="W567" s="1">
        <f>O567/O557+P567/P561</f>
        <v>1.3970370370370371</v>
      </c>
      <c r="X567" s="1">
        <f t="shared" si="198"/>
        <v>69</v>
      </c>
      <c r="Y567" s="6">
        <f t="shared" si="202"/>
        <v>2.7560000000000002</v>
      </c>
    </row>
    <row r="568" spans="1:25" x14ac:dyDescent="0.15">
      <c r="A568" s="3">
        <v>2022</v>
      </c>
      <c r="B568" s="1" t="s">
        <v>58</v>
      </c>
      <c r="C568" s="3">
        <v>15</v>
      </c>
      <c r="D568" s="3">
        <v>16</v>
      </c>
      <c r="E568" s="3" t="s">
        <v>37</v>
      </c>
      <c r="F568" s="3" t="s">
        <v>38</v>
      </c>
      <c r="G568" s="3" t="s">
        <v>14</v>
      </c>
      <c r="H568" s="1" t="s">
        <v>37</v>
      </c>
      <c r="I568" s="3">
        <v>3</v>
      </c>
      <c r="J568" s="3" t="s">
        <v>69</v>
      </c>
      <c r="K568" s="1" t="s">
        <v>42</v>
      </c>
      <c r="L568" s="6">
        <v>59.5</v>
      </c>
      <c r="M568" s="6">
        <v>55</v>
      </c>
      <c r="N568" s="7">
        <f t="shared" si="199"/>
        <v>4.5</v>
      </c>
      <c r="O568" s="5">
        <v>0.27733333333333332</v>
      </c>
      <c r="P568" s="5">
        <v>2.3013333333333335</v>
      </c>
      <c r="Q568" s="6">
        <f>O568/(0.1*O555)</f>
        <v>1.295143212951432</v>
      </c>
      <c r="R568" s="6">
        <f>O568/(0.1*O558)</f>
        <v>1.0441767068273091</v>
      </c>
      <c r="S568" s="6">
        <f>P568/(0.9*P559)</f>
        <v>0.9327712926934717</v>
      </c>
      <c r="T568" s="6">
        <f t="shared" si="200"/>
        <v>2.2279145056449039</v>
      </c>
      <c r="U568" s="6">
        <f t="shared" si="201"/>
        <v>1.9769479995207808</v>
      </c>
      <c r="V568" s="1">
        <f>O568/O555+P568/P559</f>
        <v>0.9690084847192677</v>
      </c>
      <c r="W568" s="1">
        <f>O568/O558+P568/P559</f>
        <v>0.94391183410685542</v>
      </c>
      <c r="X568" s="1">
        <f t="shared" si="198"/>
        <v>89</v>
      </c>
      <c r="Y568" s="6">
        <f t="shared" si="202"/>
        <v>2.5786666666666669</v>
      </c>
    </row>
    <row r="569" spans="1:25" x14ac:dyDescent="0.15">
      <c r="A569" s="3">
        <v>2022</v>
      </c>
      <c r="B569" s="1" t="s">
        <v>58</v>
      </c>
      <c r="C569" s="3">
        <v>15</v>
      </c>
      <c r="D569" s="3">
        <v>17</v>
      </c>
      <c r="E569" s="3" t="s">
        <v>37</v>
      </c>
      <c r="F569" s="3" t="s">
        <v>39</v>
      </c>
      <c r="G569" s="3" t="s">
        <v>14</v>
      </c>
      <c r="H569" s="1" t="s">
        <v>37</v>
      </c>
      <c r="I569" s="3">
        <v>3</v>
      </c>
      <c r="J569" s="3" t="s">
        <v>70</v>
      </c>
      <c r="K569" s="1" t="s">
        <v>42</v>
      </c>
      <c r="L569" s="6">
        <v>63</v>
      </c>
      <c r="M569" s="6">
        <v>52</v>
      </c>
      <c r="N569" s="7">
        <f t="shared" si="199"/>
        <v>11</v>
      </c>
      <c r="O569" s="5">
        <v>0.64800000000000002</v>
      </c>
      <c r="P569" s="5">
        <v>1.8253333333333333</v>
      </c>
      <c r="Q569" s="6">
        <f>O569/(0.1*O555)</f>
        <v>3.0261519302615194</v>
      </c>
      <c r="R569" s="6">
        <f>O569/(0.1*O558)</f>
        <v>2.4397590361445785</v>
      </c>
      <c r="S569" s="6">
        <f>P569/(0.9*P560)</f>
        <v>0.80354522509831527</v>
      </c>
      <c r="T569" s="6">
        <f t="shared" si="200"/>
        <v>3.8296971553598347</v>
      </c>
      <c r="U569" s="6">
        <f t="shared" si="201"/>
        <v>3.2433042612428937</v>
      </c>
      <c r="V569" s="1">
        <f>O569/O555+P569/P560</f>
        <v>1.0258058956146359</v>
      </c>
      <c r="W569" s="1">
        <f>O569/O558+P569/P560</f>
        <v>0.9671666062029417</v>
      </c>
      <c r="X569" s="1">
        <f t="shared" si="198"/>
        <v>74</v>
      </c>
      <c r="Y569" s="6">
        <f t="shared" si="202"/>
        <v>2.4733333333333332</v>
      </c>
    </row>
    <row r="570" spans="1:25" x14ac:dyDescent="0.15">
      <c r="A570" s="3">
        <v>2022</v>
      </c>
      <c r="B570" s="1" t="s">
        <v>58</v>
      </c>
      <c r="C570" s="3">
        <v>15</v>
      </c>
      <c r="D570" s="3">
        <v>18</v>
      </c>
      <c r="E570" s="3" t="s">
        <v>37</v>
      </c>
      <c r="F570" s="3" t="s">
        <v>40</v>
      </c>
      <c r="G570" s="3" t="s">
        <v>14</v>
      </c>
      <c r="H570" s="1" t="s">
        <v>37</v>
      </c>
      <c r="I570" s="3">
        <v>3</v>
      </c>
      <c r="J570" s="3" t="s">
        <v>71</v>
      </c>
      <c r="K570" s="1" t="s">
        <v>42</v>
      </c>
      <c r="L570" s="6">
        <v>59.5</v>
      </c>
      <c r="M570" s="6">
        <v>57.5</v>
      </c>
      <c r="N570" s="7">
        <f t="shared" si="199"/>
        <v>2</v>
      </c>
      <c r="O570" s="5">
        <v>0.69866666666666655</v>
      </c>
      <c r="P570" s="5">
        <v>1.8319999999999999</v>
      </c>
      <c r="Q570" s="6">
        <f>O570/(0.1*O555)</f>
        <v>3.2627646326276456</v>
      </c>
      <c r="R570" s="6">
        <f>O570/(0.1*O558)</f>
        <v>2.6305220883534131</v>
      </c>
      <c r="S570" s="6">
        <f>P570/(0.9*P561)</f>
        <v>1.1973856209150326</v>
      </c>
      <c r="T570" s="6">
        <f t="shared" si="200"/>
        <v>4.460150253542678</v>
      </c>
      <c r="U570" s="6">
        <f t="shared" si="201"/>
        <v>3.8279077092684455</v>
      </c>
      <c r="V570" s="1">
        <f>O570/O555+P570/P561</f>
        <v>1.403923522086294</v>
      </c>
      <c r="W570" s="1">
        <f>O570/O558+P570/P561</f>
        <v>1.3406992676588707</v>
      </c>
      <c r="X570" s="1">
        <f t="shared" si="198"/>
        <v>72</v>
      </c>
      <c r="Y570" s="6">
        <f t="shared" si="202"/>
        <v>2.5306666666666664</v>
      </c>
    </row>
    <row r="571" spans="1:25" x14ac:dyDescent="0.15">
      <c r="A571" s="3">
        <v>2022</v>
      </c>
      <c r="B571" s="1" t="s">
        <v>58</v>
      </c>
      <c r="C571" s="3">
        <v>16</v>
      </c>
      <c r="D571" s="3">
        <v>1</v>
      </c>
      <c r="E571" s="3" t="s">
        <v>35</v>
      </c>
      <c r="F571" s="3"/>
      <c r="G571" s="3" t="s">
        <v>41</v>
      </c>
      <c r="H571" s="1" t="s">
        <v>35</v>
      </c>
      <c r="I571" s="3">
        <v>4</v>
      </c>
      <c r="J571" s="3" t="s">
        <v>35</v>
      </c>
      <c r="K571" s="1" t="s">
        <v>42</v>
      </c>
      <c r="L571" s="6">
        <v>84.5</v>
      </c>
      <c r="M571" s="6" t="s">
        <v>73</v>
      </c>
      <c r="N571" s="7" t="s">
        <v>45</v>
      </c>
      <c r="O571" s="5">
        <v>2.5733333333333333</v>
      </c>
      <c r="P571" s="5" t="s">
        <v>45</v>
      </c>
      <c r="Q571" s="6" t="s">
        <v>45</v>
      </c>
      <c r="R571" s="6" t="s">
        <v>45</v>
      </c>
      <c r="S571" s="6" t="s">
        <v>45</v>
      </c>
      <c r="T571" s="6" t="s">
        <v>45</v>
      </c>
      <c r="U571" s="6" t="s">
        <v>45</v>
      </c>
      <c r="V571" s="1" t="s">
        <v>45</v>
      </c>
      <c r="W571" s="1" t="s">
        <v>45</v>
      </c>
      <c r="X571" s="6" t="s">
        <v>45</v>
      </c>
      <c r="Y571" s="6">
        <f>O571</f>
        <v>2.5733333333333333</v>
      </c>
    </row>
    <row r="572" spans="1:25" x14ac:dyDescent="0.15">
      <c r="A572" s="3">
        <v>2022</v>
      </c>
      <c r="B572" s="1" t="s">
        <v>58</v>
      </c>
      <c r="C572" s="3">
        <v>16</v>
      </c>
      <c r="D572" s="3">
        <v>2</v>
      </c>
      <c r="E572" s="3" t="s">
        <v>36</v>
      </c>
      <c r="F572" s="3"/>
      <c r="G572" s="3" t="s">
        <v>41</v>
      </c>
      <c r="H572" s="1" t="s">
        <v>36</v>
      </c>
      <c r="I572" s="3">
        <v>4</v>
      </c>
      <c r="J572" s="3" t="s">
        <v>36</v>
      </c>
      <c r="K572" s="1" t="s">
        <v>42</v>
      </c>
      <c r="L572" s="6">
        <v>80.5</v>
      </c>
      <c r="M572" s="6" t="s">
        <v>73</v>
      </c>
      <c r="N572" s="7" t="s">
        <v>45</v>
      </c>
      <c r="O572" s="5">
        <v>2.5613333333333332</v>
      </c>
      <c r="P572" s="5" t="s">
        <v>45</v>
      </c>
      <c r="Q572" s="6" t="s">
        <v>45</v>
      </c>
      <c r="R572" s="6" t="s">
        <v>45</v>
      </c>
      <c r="S572" s="6" t="s">
        <v>45</v>
      </c>
      <c r="T572" s="6" t="s">
        <v>45</v>
      </c>
      <c r="U572" s="6" t="s">
        <v>45</v>
      </c>
      <c r="V572" s="1" t="s">
        <v>45</v>
      </c>
      <c r="W572" s="1" t="s">
        <v>45</v>
      </c>
      <c r="X572" s="6" t="s">
        <v>45</v>
      </c>
      <c r="Y572" s="6">
        <f t="shared" ref="Y572:Y576" si="203">O572</f>
        <v>2.5613333333333332</v>
      </c>
    </row>
    <row r="573" spans="1:25" x14ac:dyDescent="0.15">
      <c r="A573" s="3">
        <v>2022</v>
      </c>
      <c r="B573" s="1" t="s">
        <v>58</v>
      </c>
      <c r="C573" s="3">
        <v>16</v>
      </c>
      <c r="D573" s="3">
        <v>3</v>
      </c>
      <c r="E573" s="3" t="s">
        <v>37</v>
      </c>
      <c r="F573" s="3"/>
      <c r="G573" s="3" t="s">
        <v>41</v>
      </c>
      <c r="H573" s="1" t="s">
        <v>37</v>
      </c>
      <c r="I573" s="3">
        <v>4</v>
      </c>
      <c r="J573" s="3" t="s">
        <v>37</v>
      </c>
      <c r="K573" s="1" t="s">
        <v>42</v>
      </c>
      <c r="L573" s="6">
        <v>58</v>
      </c>
      <c r="M573" s="6" t="s">
        <v>73</v>
      </c>
      <c r="N573" s="7" t="s">
        <v>45</v>
      </c>
      <c r="O573" s="5">
        <v>2.9213333333333331</v>
      </c>
      <c r="P573" s="5" t="s">
        <v>45</v>
      </c>
      <c r="Q573" s="6" t="s">
        <v>45</v>
      </c>
      <c r="R573" s="6" t="s">
        <v>45</v>
      </c>
      <c r="S573" s="6" t="s">
        <v>45</v>
      </c>
      <c r="T573" s="6" t="s">
        <v>45</v>
      </c>
      <c r="U573" s="6" t="s">
        <v>45</v>
      </c>
      <c r="V573" s="1" t="s">
        <v>45</v>
      </c>
      <c r="W573" s="1" t="s">
        <v>45</v>
      </c>
      <c r="X573" s="6" t="s">
        <v>45</v>
      </c>
      <c r="Y573" s="6">
        <f t="shared" si="203"/>
        <v>2.9213333333333331</v>
      </c>
    </row>
    <row r="574" spans="1:25" x14ac:dyDescent="0.15">
      <c r="A574" s="3">
        <v>2022</v>
      </c>
      <c r="B574" s="1" t="s">
        <v>58</v>
      </c>
      <c r="C574" s="3">
        <v>16</v>
      </c>
      <c r="D574" s="3">
        <v>4</v>
      </c>
      <c r="E574" s="3" t="s">
        <v>35</v>
      </c>
      <c r="F574" s="3"/>
      <c r="G574" s="3" t="s">
        <v>41</v>
      </c>
      <c r="H574" s="1" t="s">
        <v>75</v>
      </c>
      <c r="I574" s="3">
        <v>4</v>
      </c>
      <c r="J574" s="3" t="s">
        <v>35</v>
      </c>
      <c r="K574" s="1" t="s">
        <v>43</v>
      </c>
      <c r="L574" s="6">
        <v>85</v>
      </c>
      <c r="M574" s="6" t="s">
        <v>73</v>
      </c>
      <c r="N574" s="7" t="s">
        <v>45</v>
      </c>
      <c r="O574" s="5">
        <v>3.2133333333333329</v>
      </c>
      <c r="P574" s="5" t="s">
        <v>45</v>
      </c>
      <c r="Q574" s="6" t="s">
        <v>45</v>
      </c>
      <c r="R574" s="6" t="s">
        <v>45</v>
      </c>
      <c r="S574" s="6" t="s">
        <v>45</v>
      </c>
      <c r="T574" s="6" t="s">
        <v>45</v>
      </c>
      <c r="U574" s="6" t="s">
        <v>45</v>
      </c>
      <c r="V574" s="1" t="s">
        <v>45</v>
      </c>
      <c r="W574" s="1" t="s">
        <v>45</v>
      </c>
      <c r="X574" s="1" t="s">
        <v>45</v>
      </c>
      <c r="Y574" s="6">
        <f t="shared" si="203"/>
        <v>3.2133333333333329</v>
      </c>
    </row>
    <row r="575" spans="1:25" x14ac:dyDescent="0.15">
      <c r="A575" s="3">
        <v>2022</v>
      </c>
      <c r="B575" s="1" t="s">
        <v>58</v>
      </c>
      <c r="C575" s="3">
        <v>16</v>
      </c>
      <c r="D575" s="3">
        <v>5</v>
      </c>
      <c r="E575" s="3" t="s">
        <v>36</v>
      </c>
      <c r="F575" s="3"/>
      <c r="G575" s="3" t="s">
        <v>41</v>
      </c>
      <c r="H575" s="1" t="s">
        <v>76</v>
      </c>
      <c r="I575" s="3">
        <v>4</v>
      </c>
      <c r="J575" s="3" t="s">
        <v>36</v>
      </c>
      <c r="K575" s="1" t="s">
        <v>43</v>
      </c>
      <c r="L575" s="6">
        <v>78.5</v>
      </c>
      <c r="M575" s="6" t="s">
        <v>73</v>
      </c>
      <c r="N575" s="7" t="s">
        <v>45</v>
      </c>
      <c r="O575" s="5">
        <v>3.4826666666666664</v>
      </c>
      <c r="P575" s="5" t="s">
        <v>45</v>
      </c>
      <c r="Q575" s="6" t="s">
        <v>45</v>
      </c>
      <c r="R575" s="6" t="s">
        <v>45</v>
      </c>
      <c r="S575" s="6" t="s">
        <v>45</v>
      </c>
      <c r="T575" s="6" t="s">
        <v>45</v>
      </c>
      <c r="U575" s="6" t="s">
        <v>45</v>
      </c>
      <c r="V575" s="1" t="s">
        <v>45</v>
      </c>
      <c r="W575" s="1" t="s">
        <v>45</v>
      </c>
      <c r="X575" s="1" t="s">
        <v>45</v>
      </c>
      <c r="Y575" s="6">
        <f t="shared" si="203"/>
        <v>3.4826666666666664</v>
      </c>
    </row>
    <row r="576" spans="1:25" x14ac:dyDescent="0.15">
      <c r="A576" s="3">
        <v>2022</v>
      </c>
      <c r="B576" s="1" t="s">
        <v>58</v>
      </c>
      <c r="C576" s="3">
        <v>16</v>
      </c>
      <c r="D576" s="3">
        <v>6</v>
      </c>
      <c r="E576" s="3" t="s">
        <v>37</v>
      </c>
      <c r="F576" s="3"/>
      <c r="G576" s="3" t="s">
        <v>41</v>
      </c>
      <c r="H576" s="1" t="s">
        <v>77</v>
      </c>
      <c r="I576" s="3">
        <v>4</v>
      </c>
      <c r="J576" s="3" t="s">
        <v>37</v>
      </c>
      <c r="K576" s="1" t="s">
        <v>43</v>
      </c>
      <c r="L576" s="6">
        <v>64</v>
      </c>
      <c r="M576" s="6" t="s">
        <v>73</v>
      </c>
      <c r="N576" s="7" t="s">
        <v>45</v>
      </c>
      <c r="O576" s="5">
        <v>2.3879999999999999</v>
      </c>
      <c r="P576" s="5" t="s">
        <v>45</v>
      </c>
      <c r="Q576" s="6" t="s">
        <v>45</v>
      </c>
      <c r="R576" s="6" t="s">
        <v>45</v>
      </c>
      <c r="S576" s="6" t="s">
        <v>45</v>
      </c>
      <c r="T576" s="6" t="s">
        <v>45</v>
      </c>
      <c r="U576" s="6" t="s">
        <v>45</v>
      </c>
      <c r="V576" s="1" t="s">
        <v>45</v>
      </c>
      <c r="W576" s="1" t="s">
        <v>45</v>
      </c>
      <c r="X576" s="1" t="s">
        <v>45</v>
      </c>
      <c r="Y576" s="6">
        <f t="shared" si="203"/>
        <v>2.3879999999999999</v>
      </c>
    </row>
    <row r="577" spans="1:25" x14ac:dyDescent="0.15">
      <c r="A577" s="3">
        <v>2022</v>
      </c>
      <c r="B577" s="1" t="s">
        <v>58</v>
      </c>
      <c r="C577" s="3">
        <v>16</v>
      </c>
      <c r="D577" s="3">
        <v>7</v>
      </c>
      <c r="E577" s="3"/>
      <c r="F577" s="3" t="s">
        <v>38</v>
      </c>
      <c r="G577" s="3" t="s">
        <v>41</v>
      </c>
      <c r="H577" s="1"/>
      <c r="I577" s="3">
        <v>4</v>
      </c>
      <c r="J577" s="3" t="s">
        <v>38</v>
      </c>
      <c r="K577" s="1" t="s">
        <v>42</v>
      </c>
      <c r="L577" s="6" t="s">
        <v>73</v>
      </c>
      <c r="M577" s="6">
        <v>55</v>
      </c>
      <c r="N577" s="7" t="s">
        <v>45</v>
      </c>
      <c r="O577" s="5" t="s">
        <v>45</v>
      </c>
      <c r="P577" s="5">
        <v>2.1959999999999997</v>
      </c>
      <c r="Q577" s="6" t="s">
        <v>45</v>
      </c>
      <c r="R577" s="6" t="s">
        <v>45</v>
      </c>
      <c r="S577" s="6" t="s">
        <v>45</v>
      </c>
      <c r="T577" s="6" t="s">
        <v>45</v>
      </c>
      <c r="U577" s="6" t="s">
        <v>45</v>
      </c>
      <c r="V577" s="1" t="s">
        <v>45</v>
      </c>
      <c r="W577" s="1" t="s">
        <v>45</v>
      </c>
      <c r="X577" s="1" t="s">
        <v>45</v>
      </c>
      <c r="Y577" s="6">
        <f>P577</f>
        <v>2.1959999999999997</v>
      </c>
    </row>
    <row r="578" spans="1:25" x14ac:dyDescent="0.15">
      <c r="A578" s="3">
        <v>2022</v>
      </c>
      <c r="B578" s="1" t="s">
        <v>58</v>
      </c>
      <c r="C578" s="3">
        <v>16</v>
      </c>
      <c r="D578" s="3">
        <v>8</v>
      </c>
      <c r="E578" s="3"/>
      <c r="F578" s="3" t="s">
        <v>39</v>
      </c>
      <c r="G578" s="3" t="s">
        <v>41</v>
      </c>
      <c r="H578" s="1"/>
      <c r="I578" s="3">
        <v>4</v>
      </c>
      <c r="J578" s="3" t="s">
        <v>39</v>
      </c>
      <c r="K578" s="1" t="s">
        <v>42</v>
      </c>
      <c r="L578" s="6" t="s">
        <v>73</v>
      </c>
      <c r="M578" s="6">
        <v>54.5</v>
      </c>
      <c r="N578" s="7" t="s">
        <v>45</v>
      </c>
      <c r="O578" s="5" t="s">
        <v>45</v>
      </c>
      <c r="P578" s="5">
        <v>2.2280000000000002</v>
      </c>
      <c r="Q578" s="6" t="s">
        <v>45</v>
      </c>
      <c r="R578" s="6" t="s">
        <v>45</v>
      </c>
      <c r="S578" s="6" t="s">
        <v>45</v>
      </c>
      <c r="T578" s="6" t="s">
        <v>45</v>
      </c>
      <c r="U578" s="6" t="s">
        <v>45</v>
      </c>
      <c r="V578" s="1" t="s">
        <v>45</v>
      </c>
      <c r="W578" s="1" t="s">
        <v>45</v>
      </c>
      <c r="X578" s="1" t="s">
        <v>45</v>
      </c>
      <c r="Y578" s="6">
        <f t="shared" ref="Y578:Y579" si="204">P578</f>
        <v>2.2280000000000002</v>
      </c>
    </row>
    <row r="579" spans="1:25" x14ac:dyDescent="0.15">
      <c r="A579" s="3">
        <v>2022</v>
      </c>
      <c r="B579" s="1" t="s">
        <v>58</v>
      </c>
      <c r="C579" s="3">
        <v>16</v>
      </c>
      <c r="D579" s="3">
        <v>9</v>
      </c>
      <c r="E579" s="3"/>
      <c r="F579" s="3" t="s">
        <v>40</v>
      </c>
      <c r="G579" s="3" t="s">
        <v>41</v>
      </c>
      <c r="H579" s="1"/>
      <c r="I579" s="3">
        <v>4</v>
      </c>
      <c r="J579" s="3" t="s">
        <v>40</v>
      </c>
      <c r="K579" s="1" t="s">
        <v>42</v>
      </c>
      <c r="L579" s="6" t="s">
        <v>73</v>
      </c>
      <c r="M579" s="6">
        <v>58</v>
      </c>
      <c r="N579" s="7" t="s">
        <v>45</v>
      </c>
      <c r="O579" s="5" t="s">
        <v>45</v>
      </c>
      <c r="P579" s="5">
        <v>2.1080000000000001</v>
      </c>
      <c r="Q579" s="6" t="s">
        <v>45</v>
      </c>
      <c r="R579" s="6" t="s">
        <v>45</v>
      </c>
      <c r="S579" s="6" t="s">
        <v>45</v>
      </c>
      <c r="T579" s="6" t="s">
        <v>45</v>
      </c>
      <c r="U579" s="6" t="s">
        <v>45</v>
      </c>
      <c r="V579" s="1" t="s">
        <v>45</v>
      </c>
      <c r="W579" s="1" t="s">
        <v>45</v>
      </c>
      <c r="X579" s="1" t="s">
        <v>45</v>
      </c>
      <c r="Y579" s="6">
        <f t="shared" si="204"/>
        <v>2.1080000000000001</v>
      </c>
    </row>
    <row r="580" spans="1:25" x14ac:dyDescent="0.15">
      <c r="A580" s="3">
        <v>2022</v>
      </c>
      <c r="B580" s="1" t="s">
        <v>58</v>
      </c>
      <c r="C580" s="3">
        <v>16</v>
      </c>
      <c r="D580" s="3">
        <v>10</v>
      </c>
      <c r="E580" s="3" t="s">
        <v>35</v>
      </c>
      <c r="F580" s="3" t="s">
        <v>38</v>
      </c>
      <c r="G580" s="3" t="s">
        <v>14</v>
      </c>
      <c r="H580" s="1" t="s">
        <v>35</v>
      </c>
      <c r="I580" s="3">
        <v>4</v>
      </c>
      <c r="J580" s="3" t="s">
        <v>63</v>
      </c>
      <c r="K580" s="1" t="s">
        <v>42</v>
      </c>
      <c r="L580" s="6">
        <v>87.5</v>
      </c>
      <c r="M580" s="6">
        <v>52</v>
      </c>
      <c r="N580" s="7">
        <f>L580-M580</f>
        <v>35.5</v>
      </c>
      <c r="O580" s="5">
        <v>0.54933333333333334</v>
      </c>
      <c r="P580" s="5">
        <v>2.277333333333333</v>
      </c>
      <c r="Q580" s="6">
        <f>O580/(0.1*O571)</f>
        <v>2.1347150259067358</v>
      </c>
      <c r="R580" s="6">
        <f>O580/(0.1*O574)</f>
        <v>1.7095435684647304</v>
      </c>
      <c r="S580" s="6">
        <f>P580/(0.9*P577)</f>
        <v>1.1522633744855968</v>
      </c>
      <c r="T580" s="6">
        <f>Q580+S580</f>
        <v>3.2869784003923326</v>
      </c>
      <c r="U580" s="6">
        <f>R580+S580</f>
        <v>2.8618069429503272</v>
      </c>
      <c r="V580" s="1">
        <f>O580/O571+P580/P577</f>
        <v>1.2505085396277105</v>
      </c>
      <c r="W580" s="1">
        <f>O580/O574+P580/P577</f>
        <v>1.2079913938835101</v>
      </c>
      <c r="X580" s="1">
        <f t="shared" ref="X580:X588" si="205">100*ROUND(P580/(P580+O580), 2)</f>
        <v>81</v>
      </c>
      <c r="Y580" s="6">
        <f>O580+P580</f>
        <v>2.8266666666666662</v>
      </c>
    </row>
    <row r="581" spans="1:25" x14ac:dyDescent="0.15">
      <c r="A581" s="3">
        <v>2022</v>
      </c>
      <c r="B581" s="1" t="s">
        <v>58</v>
      </c>
      <c r="C581" s="3">
        <v>16</v>
      </c>
      <c r="D581" s="3">
        <v>11</v>
      </c>
      <c r="E581" s="3" t="s">
        <v>35</v>
      </c>
      <c r="F581" s="3" t="s">
        <v>39</v>
      </c>
      <c r="G581" s="3" t="s">
        <v>14</v>
      </c>
      <c r="H581" s="1" t="s">
        <v>35</v>
      </c>
      <c r="I581" s="3">
        <v>4</v>
      </c>
      <c r="J581" s="3" t="s">
        <v>64</v>
      </c>
      <c r="K581" s="1" t="s">
        <v>42</v>
      </c>
      <c r="L581" s="6">
        <v>74</v>
      </c>
      <c r="M581" s="6">
        <v>54</v>
      </c>
      <c r="N581" s="7">
        <f t="shared" ref="N581:N588" si="206">L581-M581</f>
        <v>20</v>
      </c>
      <c r="O581" s="5">
        <v>0.66133333333333344</v>
      </c>
      <c r="P581" s="5">
        <v>1.9226666666666667</v>
      </c>
      <c r="Q581" s="6">
        <f>O581/(0.1*O571)</f>
        <v>2.5699481865284977</v>
      </c>
      <c r="R581" s="6">
        <f>O581/(0.1*O574)</f>
        <v>2.0580912863070546</v>
      </c>
      <c r="S581" s="6">
        <f>P581/(0.9*P578)</f>
        <v>0.95884034842742194</v>
      </c>
      <c r="T581" s="6">
        <f t="shared" ref="T581:T588" si="207">Q581+S581</f>
        <v>3.5287885349559196</v>
      </c>
      <c r="U581" s="6">
        <f t="shared" ref="U581:U588" si="208">R581+S581</f>
        <v>3.0169316347344766</v>
      </c>
      <c r="V581" s="1">
        <f>O581/O571+P581/P578</f>
        <v>1.1199511322375297</v>
      </c>
      <c r="W581" s="1">
        <f>O581/O574+P581/P578</f>
        <v>1.0687654422153852</v>
      </c>
      <c r="X581" s="1">
        <f t="shared" si="205"/>
        <v>74</v>
      </c>
      <c r="Y581" s="6">
        <f t="shared" ref="Y581:Y588" si="209">O581+P581</f>
        <v>2.5840000000000001</v>
      </c>
    </row>
    <row r="582" spans="1:25" x14ac:dyDescent="0.15">
      <c r="A582" s="3">
        <v>2022</v>
      </c>
      <c r="B582" s="1" t="s">
        <v>58</v>
      </c>
      <c r="C582" s="3">
        <v>16</v>
      </c>
      <c r="D582" s="3">
        <v>12</v>
      </c>
      <c r="E582" s="3" t="s">
        <v>35</v>
      </c>
      <c r="F582" s="3" t="s">
        <v>40</v>
      </c>
      <c r="G582" s="3" t="s">
        <v>14</v>
      </c>
      <c r="H582" s="1" t="s">
        <v>35</v>
      </c>
      <c r="I582" s="3">
        <v>4</v>
      </c>
      <c r="J582" s="3" t="s">
        <v>65</v>
      </c>
      <c r="K582" s="1" t="s">
        <v>42</v>
      </c>
      <c r="L582" s="6">
        <v>80.5</v>
      </c>
      <c r="M582" s="6">
        <v>53.5</v>
      </c>
      <c r="N582" s="7">
        <f t="shared" si="206"/>
        <v>27</v>
      </c>
      <c r="O582" s="5">
        <v>0.61733333333333329</v>
      </c>
      <c r="P582" s="5">
        <v>1.8093333333333335</v>
      </c>
      <c r="Q582" s="6">
        <f>O582/(0.1*O571)</f>
        <v>2.3989637305699478</v>
      </c>
      <c r="R582" s="6">
        <f>O582/(0.1*O574)</f>
        <v>1.9211618257261411</v>
      </c>
      <c r="S582" s="6">
        <f>P582/(0.9*P579)</f>
        <v>0.95368613395178858</v>
      </c>
      <c r="T582" s="6">
        <f t="shared" si="207"/>
        <v>3.3526498645217364</v>
      </c>
      <c r="U582" s="6">
        <f t="shared" si="208"/>
        <v>2.8748479596779299</v>
      </c>
      <c r="V582" s="1">
        <f>O582/O571+P582/P579</f>
        <v>1.0982138936136046</v>
      </c>
      <c r="W582" s="1">
        <f>O582/O574+P582/P579</f>
        <v>1.0504337031292239</v>
      </c>
      <c r="X582" s="1">
        <f t="shared" si="205"/>
        <v>75</v>
      </c>
      <c r="Y582" s="6">
        <f t="shared" si="209"/>
        <v>2.4266666666666667</v>
      </c>
    </row>
    <row r="583" spans="1:25" x14ac:dyDescent="0.15">
      <c r="A583" s="3">
        <v>2022</v>
      </c>
      <c r="B583" s="1" t="s">
        <v>58</v>
      </c>
      <c r="C583" s="3">
        <v>16</v>
      </c>
      <c r="D583" s="3">
        <v>13</v>
      </c>
      <c r="E583" s="3" t="s">
        <v>36</v>
      </c>
      <c r="F583" s="3" t="s">
        <v>38</v>
      </c>
      <c r="G583" s="3" t="s">
        <v>14</v>
      </c>
      <c r="H583" s="1" t="s">
        <v>36</v>
      </c>
      <c r="I583" s="3">
        <v>4</v>
      </c>
      <c r="J583" s="3" t="s">
        <v>66</v>
      </c>
      <c r="K583" s="1" t="s">
        <v>42</v>
      </c>
      <c r="L583" s="6">
        <v>74.5</v>
      </c>
      <c r="M583" s="6">
        <v>55.5</v>
      </c>
      <c r="N583" s="7">
        <f t="shared" si="206"/>
        <v>19</v>
      </c>
      <c r="O583" s="5">
        <v>0.69200000000000006</v>
      </c>
      <c r="P583" s="5">
        <v>2.2919999999999998</v>
      </c>
      <c r="Q583" s="6">
        <f>O583/(0.1*O572)</f>
        <v>2.7017178552837069</v>
      </c>
      <c r="R583" s="6">
        <f>O583/(0.1*O575)</f>
        <v>1.9869831546707506</v>
      </c>
      <c r="S583" s="6">
        <f>P583/(0.9*P577)</f>
        <v>1.1596842744383729</v>
      </c>
      <c r="T583" s="6">
        <f t="shared" si="207"/>
        <v>3.8614021297220797</v>
      </c>
      <c r="U583" s="6">
        <f t="shared" si="208"/>
        <v>3.1466674291091232</v>
      </c>
      <c r="V583" s="1">
        <f>O583/O572+P583/P577</f>
        <v>1.3138876325229063</v>
      </c>
      <c r="W583" s="1">
        <f>O583/O575+P583/P577</f>
        <v>1.2424141624616105</v>
      </c>
      <c r="X583" s="1">
        <f t="shared" si="205"/>
        <v>77</v>
      </c>
      <c r="Y583" s="6">
        <f t="shared" si="209"/>
        <v>2.984</v>
      </c>
    </row>
    <row r="584" spans="1:25" x14ac:dyDescent="0.15">
      <c r="A584" s="3">
        <v>2022</v>
      </c>
      <c r="B584" s="1" t="s">
        <v>58</v>
      </c>
      <c r="C584" s="3">
        <v>16</v>
      </c>
      <c r="D584" s="3">
        <v>14</v>
      </c>
      <c r="E584" s="3" t="s">
        <v>36</v>
      </c>
      <c r="F584" s="3" t="s">
        <v>39</v>
      </c>
      <c r="G584" s="3" t="s">
        <v>14</v>
      </c>
      <c r="H584" s="1" t="s">
        <v>36</v>
      </c>
      <c r="I584" s="3">
        <v>4</v>
      </c>
      <c r="J584" s="3" t="s">
        <v>67</v>
      </c>
      <c r="K584" s="1" t="s">
        <v>42</v>
      </c>
      <c r="L584" s="6">
        <v>69.5</v>
      </c>
      <c r="M584" s="6">
        <v>48</v>
      </c>
      <c r="N584" s="7">
        <f t="shared" si="206"/>
        <v>21.5</v>
      </c>
      <c r="O584" s="5">
        <v>1.008</v>
      </c>
      <c r="P584" s="5">
        <v>1.9480000000000002</v>
      </c>
      <c r="Q584" s="6">
        <f>O584/(0.1*O572)</f>
        <v>3.935450286309214</v>
      </c>
      <c r="R584" s="6">
        <f>O584/(0.1*O575)</f>
        <v>2.8943338437978561</v>
      </c>
      <c r="S584" s="6">
        <f>P584/(0.9*P578)</f>
        <v>0.97147416716536994</v>
      </c>
      <c r="T584" s="6">
        <f t="shared" si="207"/>
        <v>4.9069244534745842</v>
      </c>
      <c r="U584" s="6">
        <f t="shared" si="208"/>
        <v>3.8658080109632262</v>
      </c>
      <c r="V584" s="1">
        <f>O584/O572+P584/P578</f>
        <v>1.2678717790797545</v>
      </c>
      <c r="W584" s="1">
        <f>O584/O575+P584/P578</f>
        <v>1.1637601348286186</v>
      </c>
      <c r="X584" s="1">
        <f t="shared" si="205"/>
        <v>66</v>
      </c>
      <c r="Y584" s="6">
        <f t="shared" si="209"/>
        <v>2.9560000000000004</v>
      </c>
    </row>
    <row r="585" spans="1:25" x14ac:dyDescent="0.15">
      <c r="A585" s="3">
        <v>2022</v>
      </c>
      <c r="B585" s="1" t="s">
        <v>58</v>
      </c>
      <c r="C585" s="3">
        <v>16</v>
      </c>
      <c r="D585" s="3">
        <v>15</v>
      </c>
      <c r="E585" s="3" t="s">
        <v>36</v>
      </c>
      <c r="F585" s="3" t="s">
        <v>40</v>
      </c>
      <c r="G585" s="3" t="s">
        <v>14</v>
      </c>
      <c r="H585" s="1" t="s">
        <v>36</v>
      </c>
      <c r="I585" s="3">
        <v>4</v>
      </c>
      <c r="J585" s="3" t="s">
        <v>68</v>
      </c>
      <c r="K585" s="1" t="s">
        <v>42</v>
      </c>
      <c r="L585" s="6">
        <v>78</v>
      </c>
      <c r="M585" s="6">
        <v>59.5</v>
      </c>
      <c r="N585" s="7">
        <f t="shared" si="206"/>
        <v>18.5</v>
      </c>
      <c r="O585" s="5">
        <v>0.63866666666666672</v>
      </c>
      <c r="P585" s="5">
        <v>2.0706666666666664</v>
      </c>
      <c r="Q585" s="6">
        <f>O585/(0.1*O572)</f>
        <v>2.4934929724102033</v>
      </c>
      <c r="R585" s="6">
        <f>O585/(0.1*O575)</f>
        <v>1.8338437978560491</v>
      </c>
      <c r="S585" s="6">
        <f>P585/(0.9*P579)</f>
        <v>1.0914329889661956</v>
      </c>
      <c r="T585" s="6">
        <f t="shared" si="207"/>
        <v>3.5849259613763991</v>
      </c>
      <c r="U585" s="6">
        <f t="shared" si="208"/>
        <v>2.9252767868222449</v>
      </c>
      <c r="V585" s="1">
        <f>O585/O572+P585/P579</f>
        <v>1.2316389873105964</v>
      </c>
      <c r="W585" s="1">
        <f>O585/O575+P585/P579</f>
        <v>1.1656740698551811</v>
      </c>
      <c r="X585" s="1">
        <f t="shared" si="205"/>
        <v>76</v>
      </c>
      <c r="Y585" s="6">
        <f t="shared" si="209"/>
        <v>2.7093333333333334</v>
      </c>
    </row>
    <row r="586" spans="1:25" x14ac:dyDescent="0.15">
      <c r="A586" s="3">
        <v>2022</v>
      </c>
      <c r="B586" s="1" t="s">
        <v>58</v>
      </c>
      <c r="C586" s="3">
        <v>16</v>
      </c>
      <c r="D586" s="3">
        <v>16</v>
      </c>
      <c r="E586" s="3" t="s">
        <v>37</v>
      </c>
      <c r="F586" s="3" t="s">
        <v>38</v>
      </c>
      <c r="G586" s="3" t="s">
        <v>14</v>
      </c>
      <c r="H586" s="1" t="s">
        <v>37</v>
      </c>
      <c r="I586" s="3">
        <v>4</v>
      </c>
      <c r="J586" s="3" t="s">
        <v>69</v>
      </c>
      <c r="K586" s="1" t="s">
        <v>42</v>
      </c>
      <c r="L586" s="6">
        <v>56.5</v>
      </c>
      <c r="M586" s="6">
        <v>54</v>
      </c>
      <c r="N586" s="7">
        <f t="shared" si="206"/>
        <v>2.5</v>
      </c>
      <c r="O586" s="5">
        <v>0.32266666666666666</v>
      </c>
      <c r="P586" s="5">
        <v>2.1226666666666669</v>
      </c>
      <c r="Q586" s="6">
        <f>O586/(0.1*O573)</f>
        <v>1.1045184847101781</v>
      </c>
      <c r="R586" s="6">
        <f>O586/(0.1*O576)</f>
        <v>1.3512004466778336</v>
      </c>
      <c r="S586" s="6">
        <f>P586/(0.9*P577)</f>
        <v>1.0740066113472309</v>
      </c>
      <c r="T586" s="6">
        <f t="shared" si="207"/>
        <v>2.1785250960574087</v>
      </c>
      <c r="U586" s="6">
        <f t="shared" si="208"/>
        <v>2.4252070580250642</v>
      </c>
      <c r="V586" s="1">
        <f>O586/O573+P586/P577</f>
        <v>1.0770577986835257</v>
      </c>
      <c r="W586" s="1">
        <f>O586/O576+P586/P577</f>
        <v>1.1017259948802911</v>
      </c>
      <c r="X586" s="1">
        <f t="shared" si="205"/>
        <v>87</v>
      </c>
      <c r="Y586" s="6">
        <f t="shared" si="209"/>
        <v>2.4453333333333336</v>
      </c>
    </row>
    <row r="587" spans="1:25" x14ac:dyDescent="0.15">
      <c r="A587" s="3">
        <v>2022</v>
      </c>
      <c r="B587" s="1" t="s">
        <v>58</v>
      </c>
      <c r="C587" s="3">
        <v>16</v>
      </c>
      <c r="D587" s="3">
        <v>17</v>
      </c>
      <c r="E587" s="3" t="s">
        <v>37</v>
      </c>
      <c r="F587" s="3" t="s">
        <v>39</v>
      </c>
      <c r="G587" s="3" t="s">
        <v>14</v>
      </c>
      <c r="H587" s="1" t="s">
        <v>37</v>
      </c>
      <c r="I587" s="3">
        <v>4</v>
      </c>
      <c r="J587" s="3" t="s">
        <v>70</v>
      </c>
      <c r="K587" s="1" t="s">
        <v>42</v>
      </c>
      <c r="L587" s="6">
        <v>59.5</v>
      </c>
      <c r="M587" s="6">
        <v>51</v>
      </c>
      <c r="N587" s="7">
        <f t="shared" si="206"/>
        <v>8.5</v>
      </c>
      <c r="O587" s="5">
        <v>0.51600000000000001</v>
      </c>
      <c r="P587" s="5">
        <v>1.8159999999999998</v>
      </c>
      <c r="Q587" s="6">
        <f>O587/(0.1*O573)</f>
        <v>1.7663167503423096</v>
      </c>
      <c r="R587" s="6">
        <f>O587/(0.1*O576)</f>
        <v>2.1608040201005023</v>
      </c>
      <c r="S587" s="6">
        <f>P587/(0.9*P578)</f>
        <v>0.90564532216237759</v>
      </c>
      <c r="T587" s="6">
        <f t="shared" si="207"/>
        <v>2.6719620725046873</v>
      </c>
      <c r="U587" s="6">
        <f t="shared" si="208"/>
        <v>3.0664493422628798</v>
      </c>
      <c r="V587" s="1">
        <f>O587/O573+P587/P578</f>
        <v>0.9917124649803708</v>
      </c>
      <c r="W587" s="1">
        <f>O587/O576+P587/P578</f>
        <v>1.03116119195619</v>
      </c>
      <c r="X587" s="1">
        <f t="shared" si="205"/>
        <v>78</v>
      </c>
      <c r="Y587" s="6">
        <f t="shared" si="209"/>
        <v>2.3319999999999999</v>
      </c>
    </row>
    <row r="588" spans="1:25" x14ac:dyDescent="0.15">
      <c r="A588" s="3">
        <v>2022</v>
      </c>
      <c r="B588" s="1" t="s">
        <v>58</v>
      </c>
      <c r="C588" s="3">
        <v>16</v>
      </c>
      <c r="D588" s="3">
        <v>18</v>
      </c>
      <c r="E588" s="3" t="s">
        <v>37</v>
      </c>
      <c r="F588" s="3" t="s">
        <v>40</v>
      </c>
      <c r="G588" s="3" t="s">
        <v>14</v>
      </c>
      <c r="H588" s="1" t="s">
        <v>37</v>
      </c>
      <c r="I588" s="3">
        <v>4</v>
      </c>
      <c r="J588" s="3" t="s">
        <v>71</v>
      </c>
      <c r="K588" s="1" t="s">
        <v>42</v>
      </c>
      <c r="L588" s="6">
        <v>62.5</v>
      </c>
      <c r="M588" s="6">
        <v>51</v>
      </c>
      <c r="N588" s="7">
        <f t="shared" si="206"/>
        <v>11.5</v>
      </c>
      <c r="O588" s="5">
        <v>0.59733333333333338</v>
      </c>
      <c r="P588" s="5">
        <v>1.9546666666666668</v>
      </c>
      <c r="Q588" s="6">
        <f>O588/(0.1*O573)</f>
        <v>2.0447284345047927</v>
      </c>
      <c r="R588" s="6">
        <f>O588/(0.1*O576)</f>
        <v>2.501395868230039</v>
      </c>
      <c r="S588" s="6">
        <f>P588/(0.9*P579)</f>
        <v>1.0302902523016375</v>
      </c>
      <c r="T588" s="6">
        <f t="shared" si="207"/>
        <v>3.0750186868064304</v>
      </c>
      <c r="U588" s="6">
        <f t="shared" si="208"/>
        <v>3.5316861205316767</v>
      </c>
      <c r="V588" s="1">
        <f>O588/O573+P588/P579</f>
        <v>1.131734070521953</v>
      </c>
      <c r="W588" s="1">
        <f>O588/O576+P588/P579</f>
        <v>1.1774008138944776</v>
      </c>
      <c r="X588" s="1">
        <f t="shared" si="205"/>
        <v>77</v>
      </c>
      <c r="Y588" s="6">
        <f t="shared" si="209"/>
        <v>2.552</v>
      </c>
    </row>
    <row r="589" spans="1:25" x14ac:dyDescent="0.15">
      <c r="A589" s="1">
        <v>2023</v>
      </c>
      <c r="B589" s="3" t="s">
        <v>58</v>
      </c>
      <c r="C589" s="1">
        <v>41</v>
      </c>
      <c r="D589" s="3">
        <v>1</v>
      </c>
      <c r="E589" s="3" t="s">
        <v>35</v>
      </c>
      <c r="F589" s="3"/>
      <c r="G589" s="3" t="s">
        <v>41</v>
      </c>
      <c r="H589" s="1" t="s">
        <v>35</v>
      </c>
      <c r="I589" s="3">
        <v>4</v>
      </c>
      <c r="J589" s="3" t="s">
        <v>35</v>
      </c>
      <c r="K589" s="1" t="s">
        <v>42</v>
      </c>
      <c r="L589" s="6">
        <v>80</v>
      </c>
      <c r="M589" s="6" t="s">
        <v>73</v>
      </c>
      <c r="N589" s="7" t="s">
        <v>45</v>
      </c>
      <c r="O589" s="6">
        <v>0.76701261261261255</v>
      </c>
      <c r="P589" s="6" t="s">
        <v>45</v>
      </c>
      <c r="Q589" s="6" t="s">
        <v>45</v>
      </c>
      <c r="R589" s="6" t="s">
        <v>45</v>
      </c>
      <c r="S589" s="6" t="s">
        <v>45</v>
      </c>
      <c r="T589" s="6" t="s">
        <v>45</v>
      </c>
      <c r="U589" s="6" t="s">
        <v>45</v>
      </c>
      <c r="V589" s="1" t="s">
        <v>45</v>
      </c>
      <c r="W589" s="1" t="s">
        <v>45</v>
      </c>
      <c r="X589" s="6" t="s">
        <v>45</v>
      </c>
      <c r="Y589" s="6">
        <f>O589</f>
        <v>0.76701261261261255</v>
      </c>
    </row>
    <row r="590" spans="1:25" x14ac:dyDescent="0.15">
      <c r="A590" s="1">
        <v>2023</v>
      </c>
      <c r="B590" s="3" t="s">
        <v>58</v>
      </c>
      <c r="C590" s="1">
        <v>41</v>
      </c>
      <c r="D590" s="3">
        <v>2</v>
      </c>
      <c r="E590" s="3" t="s">
        <v>36</v>
      </c>
      <c r="F590" s="3"/>
      <c r="G590" s="3" t="s">
        <v>41</v>
      </c>
      <c r="H590" s="1" t="s">
        <v>36</v>
      </c>
      <c r="I590" s="3">
        <v>4</v>
      </c>
      <c r="J590" s="3" t="s">
        <v>36</v>
      </c>
      <c r="K590" s="1" t="s">
        <v>42</v>
      </c>
      <c r="L590" s="6">
        <v>75</v>
      </c>
      <c r="M590" s="6" t="s">
        <v>73</v>
      </c>
      <c r="N590" s="7" t="s">
        <v>45</v>
      </c>
      <c r="O590" s="6">
        <v>1.595708532061473</v>
      </c>
      <c r="P590" s="6" t="s">
        <v>45</v>
      </c>
      <c r="Q590" s="6" t="s">
        <v>45</v>
      </c>
      <c r="R590" s="6" t="s">
        <v>45</v>
      </c>
      <c r="S590" s="6" t="s">
        <v>45</v>
      </c>
      <c r="T590" s="6" t="s">
        <v>45</v>
      </c>
      <c r="U590" s="6" t="s">
        <v>45</v>
      </c>
      <c r="V590" s="1" t="s">
        <v>45</v>
      </c>
      <c r="W590" s="1" t="s">
        <v>45</v>
      </c>
      <c r="X590" s="6" t="s">
        <v>45</v>
      </c>
      <c r="Y590" s="6">
        <f t="shared" ref="Y590:Y594" si="210">O590</f>
        <v>1.595708532061473</v>
      </c>
    </row>
    <row r="591" spans="1:25" x14ac:dyDescent="0.15">
      <c r="A591" s="1">
        <v>2023</v>
      </c>
      <c r="B591" s="3" t="s">
        <v>58</v>
      </c>
      <c r="C591" s="1">
        <v>41</v>
      </c>
      <c r="D591" s="3">
        <v>3</v>
      </c>
      <c r="E591" s="3" t="s">
        <v>37</v>
      </c>
      <c r="F591" s="3"/>
      <c r="G591" s="3" t="s">
        <v>41</v>
      </c>
      <c r="H591" s="1" t="s">
        <v>37</v>
      </c>
      <c r="I591" s="3">
        <v>4</v>
      </c>
      <c r="J591" s="3" t="s">
        <v>37</v>
      </c>
      <c r="K591" s="1" t="s">
        <v>42</v>
      </c>
      <c r="L591" s="6">
        <v>55</v>
      </c>
      <c r="M591" s="6" t="s">
        <v>73</v>
      </c>
      <c r="N591" s="7" t="s">
        <v>45</v>
      </c>
      <c r="O591" s="6">
        <v>0.90827049549549543</v>
      </c>
      <c r="P591" s="6" t="s">
        <v>45</v>
      </c>
      <c r="Q591" s="6" t="s">
        <v>45</v>
      </c>
      <c r="R591" s="6" t="s">
        <v>45</v>
      </c>
      <c r="S591" s="6" t="s">
        <v>45</v>
      </c>
      <c r="T591" s="6" t="s">
        <v>45</v>
      </c>
      <c r="U591" s="6" t="s">
        <v>45</v>
      </c>
      <c r="V591" s="1" t="s">
        <v>45</v>
      </c>
      <c r="W591" s="1" t="s">
        <v>45</v>
      </c>
      <c r="X591" s="6" t="s">
        <v>45</v>
      </c>
      <c r="Y591" s="6">
        <f t="shared" si="210"/>
        <v>0.90827049549549543</v>
      </c>
    </row>
    <row r="592" spans="1:25" x14ac:dyDescent="0.15">
      <c r="A592" s="1">
        <v>2023</v>
      </c>
      <c r="B592" s="3" t="s">
        <v>58</v>
      </c>
      <c r="C592" s="1">
        <v>41</v>
      </c>
      <c r="D592" s="3">
        <v>4</v>
      </c>
      <c r="E592" s="3" t="s">
        <v>35</v>
      </c>
      <c r="F592" s="3"/>
      <c r="G592" s="3" t="s">
        <v>41</v>
      </c>
      <c r="H592" s="1" t="s">
        <v>75</v>
      </c>
      <c r="I592" s="3">
        <v>4</v>
      </c>
      <c r="J592" s="3" t="s">
        <v>35</v>
      </c>
      <c r="K592" s="1" t="s">
        <v>43</v>
      </c>
      <c r="L592" s="6">
        <v>80</v>
      </c>
      <c r="M592" s="6" t="s">
        <v>73</v>
      </c>
      <c r="N592" s="7" t="s">
        <v>45</v>
      </c>
      <c r="O592" s="6">
        <v>0.74089689689689675</v>
      </c>
      <c r="P592" s="6" t="s">
        <v>45</v>
      </c>
      <c r="Q592" s="6" t="s">
        <v>45</v>
      </c>
      <c r="R592" s="6" t="s">
        <v>45</v>
      </c>
      <c r="S592" s="6" t="s">
        <v>45</v>
      </c>
      <c r="T592" s="6" t="s">
        <v>45</v>
      </c>
      <c r="U592" s="6" t="s">
        <v>45</v>
      </c>
      <c r="V592" s="1" t="s">
        <v>45</v>
      </c>
      <c r="W592" s="1" t="s">
        <v>45</v>
      </c>
      <c r="X592" s="1" t="s">
        <v>45</v>
      </c>
      <c r="Y592" s="6">
        <f t="shared" si="210"/>
        <v>0.74089689689689675</v>
      </c>
    </row>
    <row r="593" spans="1:25" x14ac:dyDescent="0.15">
      <c r="A593" s="1">
        <v>2023</v>
      </c>
      <c r="B593" s="3" t="s">
        <v>58</v>
      </c>
      <c r="C593" s="1">
        <v>41</v>
      </c>
      <c r="D593" s="3">
        <v>5</v>
      </c>
      <c r="E593" s="3" t="s">
        <v>36</v>
      </c>
      <c r="F593" s="3"/>
      <c r="G593" s="3" t="s">
        <v>41</v>
      </c>
      <c r="H593" s="1" t="s">
        <v>76</v>
      </c>
      <c r="I593" s="3">
        <v>4</v>
      </c>
      <c r="J593" s="3" t="s">
        <v>36</v>
      </c>
      <c r="K593" s="1" t="s">
        <v>43</v>
      </c>
      <c r="L593" s="6">
        <v>75</v>
      </c>
      <c r="M593" s="6" t="s">
        <v>73</v>
      </c>
      <c r="N593" s="7" t="s">
        <v>45</v>
      </c>
      <c r="O593" s="6">
        <v>2.2242362162162159</v>
      </c>
      <c r="P593" s="6" t="s">
        <v>45</v>
      </c>
      <c r="Q593" s="6" t="s">
        <v>45</v>
      </c>
      <c r="R593" s="6" t="s">
        <v>45</v>
      </c>
      <c r="S593" s="6" t="s">
        <v>45</v>
      </c>
      <c r="T593" s="6" t="s">
        <v>45</v>
      </c>
      <c r="U593" s="6" t="s">
        <v>45</v>
      </c>
      <c r="V593" s="1" t="s">
        <v>45</v>
      </c>
      <c r="W593" s="1" t="s">
        <v>45</v>
      </c>
      <c r="X593" s="1" t="s">
        <v>45</v>
      </c>
      <c r="Y593" s="6">
        <f t="shared" si="210"/>
        <v>2.2242362162162159</v>
      </c>
    </row>
    <row r="594" spans="1:25" x14ac:dyDescent="0.15">
      <c r="A594" s="1">
        <v>2023</v>
      </c>
      <c r="B594" s="3" t="s">
        <v>58</v>
      </c>
      <c r="C594" s="1">
        <v>41</v>
      </c>
      <c r="D594" s="3">
        <v>6</v>
      </c>
      <c r="E594" s="3" t="s">
        <v>37</v>
      </c>
      <c r="F594" s="3"/>
      <c r="G594" s="3" t="s">
        <v>41</v>
      </c>
      <c r="H594" s="1" t="s">
        <v>77</v>
      </c>
      <c r="I594" s="3">
        <v>4</v>
      </c>
      <c r="J594" s="3" t="s">
        <v>37</v>
      </c>
      <c r="K594" s="1" t="s">
        <v>43</v>
      </c>
      <c r="L594" s="6">
        <v>60</v>
      </c>
      <c r="M594" s="6" t="s">
        <v>73</v>
      </c>
      <c r="N594" s="7" t="s">
        <v>45</v>
      </c>
      <c r="O594" s="6">
        <v>1.6038012151686567</v>
      </c>
      <c r="P594" s="6" t="s">
        <v>45</v>
      </c>
      <c r="Q594" s="6" t="s">
        <v>45</v>
      </c>
      <c r="R594" s="6" t="s">
        <v>45</v>
      </c>
      <c r="S594" s="6" t="s">
        <v>45</v>
      </c>
      <c r="T594" s="6" t="s">
        <v>45</v>
      </c>
      <c r="U594" s="6" t="s">
        <v>45</v>
      </c>
      <c r="V594" s="1" t="s">
        <v>45</v>
      </c>
      <c r="W594" s="1" t="s">
        <v>45</v>
      </c>
      <c r="X594" s="1" t="s">
        <v>45</v>
      </c>
      <c r="Y594" s="6">
        <f t="shared" si="210"/>
        <v>1.6038012151686567</v>
      </c>
    </row>
    <row r="595" spans="1:25" x14ac:dyDescent="0.15">
      <c r="A595" s="1">
        <v>2023</v>
      </c>
      <c r="B595" s="3" t="s">
        <v>58</v>
      </c>
      <c r="C595" s="1">
        <v>41</v>
      </c>
      <c r="D595" s="3">
        <v>7</v>
      </c>
      <c r="E595" s="3"/>
      <c r="F595" s="3" t="s">
        <v>38</v>
      </c>
      <c r="G595" s="3" t="s">
        <v>41</v>
      </c>
      <c r="H595" s="1"/>
      <c r="I595" s="3">
        <v>4</v>
      </c>
      <c r="J595" s="3" t="s">
        <v>38</v>
      </c>
      <c r="K595" s="1" t="s">
        <v>42</v>
      </c>
      <c r="L595" s="6" t="s">
        <v>73</v>
      </c>
      <c r="M595" s="6">
        <v>45</v>
      </c>
      <c r="N595" s="7" t="s">
        <v>45</v>
      </c>
      <c r="O595" s="6" t="s">
        <v>45</v>
      </c>
      <c r="P595" s="6">
        <v>1.3949611834056277</v>
      </c>
      <c r="Q595" s="6" t="s">
        <v>45</v>
      </c>
      <c r="R595" s="6" t="s">
        <v>45</v>
      </c>
      <c r="S595" s="6" t="s">
        <v>45</v>
      </c>
      <c r="T595" s="6" t="s">
        <v>45</v>
      </c>
      <c r="U595" s="6" t="s">
        <v>45</v>
      </c>
      <c r="V595" s="1" t="s">
        <v>45</v>
      </c>
      <c r="W595" s="1" t="s">
        <v>45</v>
      </c>
      <c r="X595" s="1" t="s">
        <v>45</v>
      </c>
      <c r="Y595" s="6">
        <f>P595</f>
        <v>1.3949611834056277</v>
      </c>
    </row>
    <row r="596" spans="1:25" x14ac:dyDescent="0.15">
      <c r="A596" s="1">
        <v>2023</v>
      </c>
      <c r="B596" s="3" t="s">
        <v>58</v>
      </c>
      <c r="C596" s="1">
        <v>42</v>
      </c>
      <c r="D596" s="3">
        <v>8</v>
      </c>
      <c r="E596" s="3"/>
      <c r="F596" s="3" t="s">
        <v>39</v>
      </c>
      <c r="G596" s="3" t="s">
        <v>41</v>
      </c>
      <c r="H596" s="1"/>
      <c r="I596" s="3">
        <v>4</v>
      </c>
      <c r="J596" s="3" t="s">
        <v>39</v>
      </c>
      <c r="K596" s="1" t="s">
        <v>42</v>
      </c>
      <c r="L596" s="6" t="s">
        <v>73</v>
      </c>
      <c r="M596" s="6">
        <v>35</v>
      </c>
      <c r="N596" s="7" t="s">
        <v>45</v>
      </c>
      <c r="O596" s="6" t="s">
        <v>45</v>
      </c>
      <c r="P596" s="6">
        <v>0.87645652881797442</v>
      </c>
      <c r="Q596" s="6" t="s">
        <v>45</v>
      </c>
      <c r="R596" s="6" t="s">
        <v>45</v>
      </c>
      <c r="S596" s="6" t="s">
        <v>45</v>
      </c>
      <c r="T596" s="6" t="s">
        <v>45</v>
      </c>
      <c r="U596" s="6" t="s">
        <v>45</v>
      </c>
      <c r="V596" s="1" t="s">
        <v>45</v>
      </c>
      <c r="W596" s="1" t="s">
        <v>45</v>
      </c>
      <c r="X596" s="1" t="s">
        <v>45</v>
      </c>
      <c r="Y596" s="6">
        <f t="shared" ref="Y596:Y597" si="211">P596</f>
        <v>0.87645652881797442</v>
      </c>
    </row>
    <row r="597" spans="1:25" x14ac:dyDescent="0.15">
      <c r="A597" s="1">
        <v>2023</v>
      </c>
      <c r="B597" s="3" t="s">
        <v>58</v>
      </c>
      <c r="C597" s="1">
        <v>42</v>
      </c>
      <c r="D597" s="3">
        <v>9</v>
      </c>
      <c r="E597" s="3"/>
      <c r="F597" s="3" t="s">
        <v>40</v>
      </c>
      <c r="G597" s="3" t="s">
        <v>41</v>
      </c>
      <c r="H597" s="1"/>
      <c r="I597" s="3">
        <v>4</v>
      </c>
      <c r="J597" s="3" t="s">
        <v>40</v>
      </c>
      <c r="K597" s="1" t="s">
        <v>42</v>
      </c>
      <c r="L597" s="6" t="s">
        <v>73</v>
      </c>
      <c r="M597" s="6">
        <v>40</v>
      </c>
      <c r="N597" s="7" t="s">
        <v>45</v>
      </c>
      <c r="O597" s="6" t="s">
        <v>45</v>
      </c>
      <c r="P597" s="6">
        <v>1.0177991324657991</v>
      </c>
      <c r="Q597" s="6" t="s">
        <v>45</v>
      </c>
      <c r="R597" s="6" t="s">
        <v>45</v>
      </c>
      <c r="S597" s="6" t="s">
        <v>45</v>
      </c>
      <c r="T597" s="6" t="s">
        <v>45</v>
      </c>
      <c r="U597" s="6" t="s">
        <v>45</v>
      </c>
      <c r="V597" s="1" t="s">
        <v>45</v>
      </c>
      <c r="W597" s="1" t="s">
        <v>45</v>
      </c>
      <c r="X597" s="1" t="s">
        <v>45</v>
      </c>
      <c r="Y597" s="6">
        <f t="shared" si="211"/>
        <v>1.0177991324657991</v>
      </c>
    </row>
    <row r="598" spans="1:25" x14ac:dyDescent="0.15">
      <c r="A598" s="1">
        <v>2023</v>
      </c>
      <c r="B598" s="3" t="s">
        <v>58</v>
      </c>
      <c r="C598" s="1">
        <v>42</v>
      </c>
      <c r="D598" s="3">
        <v>10</v>
      </c>
      <c r="E598" s="3" t="s">
        <v>35</v>
      </c>
      <c r="F598" s="3" t="s">
        <v>38</v>
      </c>
      <c r="G598" s="3" t="s">
        <v>14</v>
      </c>
      <c r="H598" s="1" t="s">
        <v>35</v>
      </c>
      <c r="I598" s="3">
        <v>4</v>
      </c>
      <c r="J598" s="3" t="s">
        <v>63</v>
      </c>
      <c r="K598" s="1" t="s">
        <v>42</v>
      </c>
      <c r="L598" s="6">
        <v>80</v>
      </c>
      <c r="M598" s="6">
        <v>45</v>
      </c>
      <c r="N598" s="7">
        <f>L598-M598</f>
        <v>35</v>
      </c>
      <c r="O598" s="6">
        <v>0.15076376376376374</v>
      </c>
      <c r="P598" s="6">
        <v>1.3214183256427159</v>
      </c>
      <c r="Q598" s="6">
        <f>O598/(0.1*O589)</f>
        <v>1.965596931323325</v>
      </c>
      <c r="R598" s="6">
        <f>O598/(0.1*O592)</f>
        <v>2.034881835721118</v>
      </c>
      <c r="S598" s="6">
        <f>P598/(0.9*P595)</f>
        <v>1.0525329317500627</v>
      </c>
      <c r="T598" s="6">
        <f>Q598+S598</f>
        <v>3.0181298630733879</v>
      </c>
      <c r="U598" s="6">
        <f>R598+S598</f>
        <v>3.0874147674711807</v>
      </c>
      <c r="V598" s="1">
        <f>O598/O589+P598/P595</f>
        <v>1.1438393317073889</v>
      </c>
      <c r="W598" s="1">
        <f>O598/O592+P598/P595</f>
        <v>1.1507678221471682</v>
      </c>
      <c r="X598" s="1">
        <f t="shared" ref="X598:X606" si="212">100*ROUND(P598/(P598+O598), 2)</f>
        <v>90</v>
      </c>
      <c r="Y598" s="6">
        <f>O598+P598</f>
        <v>1.4721820894064797</v>
      </c>
    </row>
    <row r="599" spans="1:25" x14ac:dyDescent="0.15">
      <c r="A599" s="1">
        <v>2023</v>
      </c>
      <c r="B599" s="3" t="s">
        <v>58</v>
      </c>
      <c r="C599" s="1">
        <v>42</v>
      </c>
      <c r="D599" s="3">
        <v>11</v>
      </c>
      <c r="E599" s="3" t="s">
        <v>35</v>
      </c>
      <c r="F599" s="3" t="s">
        <v>39</v>
      </c>
      <c r="G599" s="3" t="s">
        <v>14</v>
      </c>
      <c r="H599" s="1" t="s">
        <v>35</v>
      </c>
      <c r="I599" s="3">
        <v>4</v>
      </c>
      <c r="J599" s="3" t="s">
        <v>64</v>
      </c>
      <c r="K599" s="1" t="s">
        <v>42</v>
      </c>
      <c r="L599" s="6">
        <v>85</v>
      </c>
      <c r="M599" s="6">
        <v>50</v>
      </c>
      <c r="N599" s="7">
        <f t="shared" ref="N599:N606" si="213">L599-M599</f>
        <v>35</v>
      </c>
      <c r="O599" s="6">
        <v>0.36840827854881908</v>
      </c>
      <c r="P599" s="6">
        <v>0.80329252042740407</v>
      </c>
      <c r="Q599" s="6">
        <f>O599/(0.1*O589)</f>
        <v>4.8031580249239969</v>
      </c>
      <c r="R599" s="6">
        <f>O599/(0.1*O592)</f>
        <v>4.9724635113445048</v>
      </c>
      <c r="S599" s="6">
        <f>P599/(0.9*P596)</f>
        <v>1.0183588296422001</v>
      </c>
      <c r="T599" s="6">
        <f t="shared" ref="T599:T606" si="214">Q599+S599</f>
        <v>5.8215168545661973</v>
      </c>
      <c r="U599" s="6">
        <f t="shared" ref="U599:U606" si="215">R599+S599</f>
        <v>5.9908223409867052</v>
      </c>
      <c r="V599" s="1">
        <f>O599/O589+P599/P596</f>
        <v>1.39683874917038</v>
      </c>
      <c r="W599" s="1">
        <f>O599/O592+P599/P596</f>
        <v>1.4137692978124308</v>
      </c>
      <c r="X599" s="1">
        <f t="shared" si="212"/>
        <v>69</v>
      </c>
      <c r="Y599" s="6">
        <f t="shared" ref="Y599:Y606" si="216">O599+P599</f>
        <v>1.1717007989762231</v>
      </c>
    </row>
    <row r="600" spans="1:25" x14ac:dyDescent="0.15">
      <c r="A600" s="1">
        <v>2023</v>
      </c>
      <c r="B600" s="3" t="s">
        <v>58</v>
      </c>
      <c r="C600" s="1">
        <v>42</v>
      </c>
      <c r="D600" s="3">
        <v>12</v>
      </c>
      <c r="E600" s="3" t="s">
        <v>35</v>
      </c>
      <c r="F600" s="3" t="s">
        <v>40</v>
      </c>
      <c r="G600" s="3" t="s">
        <v>14</v>
      </c>
      <c r="H600" s="1" t="s">
        <v>35</v>
      </c>
      <c r="I600" s="3">
        <v>4</v>
      </c>
      <c r="J600" s="3" t="s">
        <v>65</v>
      </c>
      <c r="K600" s="1" t="s">
        <v>42</v>
      </c>
      <c r="L600" s="6">
        <v>75</v>
      </c>
      <c r="M600" s="6">
        <v>45</v>
      </c>
      <c r="N600" s="7">
        <f t="shared" si="213"/>
        <v>30</v>
      </c>
      <c r="O600" s="6">
        <v>0.25882948402948402</v>
      </c>
      <c r="P600" s="6">
        <v>0.28074218146718144</v>
      </c>
      <c r="Q600" s="6">
        <f>O600/(0.1*O589)</f>
        <v>3.3745140532677063</v>
      </c>
      <c r="R600" s="6">
        <f>O600/(0.1*O592)</f>
        <v>3.4934615749308873</v>
      </c>
      <c r="S600" s="6">
        <f>P600/(0.9*P597)</f>
        <v>0.30648066719219674</v>
      </c>
      <c r="T600" s="6">
        <f t="shared" si="214"/>
        <v>3.6809947204599029</v>
      </c>
      <c r="U600" s="6">
        <f t="shared" si="215"/>
        <v>3.799942242123084</v>
      </c>
      <c r="V600" s="1">
        <f>O600/O589+P600/P597</f>
        <v>0.61328400579974773</v>
      </c>
      <c r="W600" s="1">
        <f>O600/O592+P600/P597</f>
        <v>0.62517875796606581</v>
      </c>
      <c r="X600" s="1">
        <f t="shared" si="212"/>
        <v>52</v>
      </c>
      <c r="Y600" s="6">
        <f t="shared" si="216"/>
        <v>0.53957166549666546</v>
      </c>
    </row>
    <row r="601" spans="1:25" x14ac:dyDescent="0.15">
      <c r="A601" s="1">
        <v>2023</v>
      </c>
      <c r="B601" s="3" t="s">
        <v>58</v>
      </c>
      <c r="C601" s="1">
        <v>42</v>
      </c>
      <c r="D601" s="3">
        <v>13</v>
      </c>
      <c r="E601" s="3" t="s">
        <v>36</v>
      </c>
      <c r="F601" s="3" t="s">
        <v>38</v>
      </c>
      <c r="G601" s="3" t="s">
        <v>14</v>
      </c>
      <c r="H601" s="1" t="s">
        <v>36</v>
      </c>
      <c r="I601" s="3">
        <v>4</v>
      </c>
      <c r="J601" s="3" t="s">
        <v>66</v>
      </c>
      <c r="K601" s="1" t="s">
        <v>42</v>
      </c>
      <c r="L601" s="6">
        <v>70</v>
      </c>
      <c r="M601" s="6">
        <v>45</v>
      </c>
      <c r="N601" s="7">
        <f t="shared" si="213"/>
        <v>25</v>
      </c>
      <c r="O601" s="6">
        <v>0.37426208026208024</v>
      </c>
      <c r="P601" s="6">
        <v>1.198355855855856</v>
      </c>
      <c r="Q601" s="6">
        <f>O601/(0.1*O590)</f>
        <v>2.3454288345414587</v>
      </c>
      <c r="R601" s="6">
        <f>O601/(0.1*O593)</f>
        <v>1.6826543760660471</v>
      </c>
      <c r="S601" s="6">
        <f>P601/(0.9*P595)</f>
        <v>0.95451151067572781</v>
      </c>
      <c r="T601" s="6">
        <f t="shared" si="214"/>
        <v>3.2999403452171867</v>
      </c>
      <c r="U601" s="6">
        <f t="shared" si="215"/>
        <v>2.6371658867417747</v>
      </c>
      <c r="V601" s="1">
        <f>O601/O590+P601/P595</f>
        <v>1.0936032430623008</v>
      </c>
      <c r="W601" s="1">
        <f>O601/O593+P601/P595</f>
        <v>1.0273257972147598</v>
      </c>
      <c r="X601" s="1">
        <f t="shared" si="212"/>
        <v>76</v>
      </c>
      <c r="Y601" s="6">
        <f t="shared" si="216"/>
        <v>1.5726179361179362</v>
      </c>
    </row>
    <row r="602" spans="1:25" x14ac:dyDescent="0.15">
      <c r="A602" s="1">
        <v>2023</v>
      </c>
      <c r="B602" s="3" t="s">
        <v>58</v>
      </c>
      <c r="C602" s="1">
        <v>42</v>
      </c>
      <c r="D602" s="3">
        <v>14</v>
      </c>
      <c r="E602" s="3" t="s">
        <v>36</v>
      </c>
      <c r="F602" s="3" t="s">
        <v>39</v>
      </c>
      <c r="G602" s="3" t="s">
        <v>14</v>
      </c>
      <c r="H602" s="1" t="s">
        <v>36</v>
      </c>
      <c r="I602" s="3">
        <v>4</v>
      </c>
      <c r="J602" s="3" t="s">
        <v>67</v>
      </c>
      <c r="K602" s="1" t="s">
        <v>42</v>
      </c>
      <c r="L602" s="6">
        <v>80</v>
      </c>
      <c r="M602" s="6">
        <v>45</v>
      </c>
      <c r="N602" s="7">
        <f t="shared" si="213"/>
        <v>35</v>
      </c>
      <c r="O602" s="6">
        <v>0.62991838071838058</v>
      </c>
      <c r="P602" s="6">
        <v>1.0365123744434088</v>
      </c>
      <c r="Q602" s="6">
        <f>O602/(0.1*O590)</f>
        <v>3.9475779446049462</v>
      </c>
      <c r="R602" s="6">
        <f>O602/(0.1*O593)</f>
        <v>2.8320660194535145</v>
      </c>
      <c r="S602" s="6">
        <f>P602/(0.9*P596)</f>
        <v>1.3140188682277669</v>
      </c>
      <c r="T602" s="6">
        <f t="shared" si="214"/>
        <v>5.2615968128327131</v>
      </c>
      <c r="U602" s="6">
        <f t="shared" si="215"/>
        <v>4.1460848876812815</v>
      </c>
      <c r="V602" s="1">
        <f>O602/O590+P602/P596</f>
        <v>1.577374775865485</v>
      </c>
      <c r="W602" s="1">
        <f>O602/O593+P602/P596</f>
        <v>1.4658235833503417</v>
      </c>
      <c r="X602" s="1">
        <f t="shared" si="212"/>
        <v>62</v>
      </c>
      <c r="Y602" s="6">
        <f t="shared" si="216"/>
        <v>1.6664307551617894</v>
      </c>
    </row>
    <row r="603" spans="1:25" x14ac:dyDescent="0.15">
      <c r="A603" s="1">
        <v>2023</v>
      </c>
      <c r="B603" s="3" t="s">
        <v>58</v>
      </c>
      <c r="C603" s="1">
        <v>42</v>
      </c>
      <c r="D603" s="3">
        <v>15</v>
      </c>
      <c r="E603" s="3" t="s">
        <v>36</v>
      </c>
      <c r="F603" s="3" t="s">
        <v>40</v>
      </c>
      <c r="G603" s="3" t="s">
        <v>14</v>
      </c>
      <c r="H603" s="1" t="s">
        <v>36</v>
      </c>
      <c r="I603" s="3">
        <v>4</v>
      </c>
      <c r="J603" s="3" t="s">
        <v>68</v>
      </c>
      <c r="K603" s="1" t="s">
        <v>42</v>
      </c>
      <c r="L603" s="6">
        <v>70</v>
      </c>
      <c r="M603" s="6">
        <v>45</v>
      </c>
      <c r="N603" s="7">
        <f t="shared" si="213"/>
        <v>25</v>
      </c>
      <c r="O603" s="6">
        <v>0.47883863148863148</v>
      </c>
      <c r="P603" s="6">
        <v>0.44799966216216214</v>
      </c>
      <c r="Q603" s="6">
        <f>O603/(0.1*O590)</f>
        <v>3.0007900682841289</v>
      </c>
      <c r="R603" s="6">
        <f>O603/(0.1*O593)</f>
        <v>2.1528227442641552</v>
      </c>
      <c r="S603" s="6">
        <f>P603/(0.9*P597)</f>
        <v>0.4890723390542181</v>
      </c>
      <c r="T603" s="6">
        <f t="shared" si="214"/>
        <v>3.4898624073383471</v>
      </c>
      <c r="U603" s="6">
        <f t="shared" si="215"/>
        <v>2.6418950833183734</v>
      </c>
      <c r="V603" s="1">
        <f>O603/O590+P603/P597</f>
        <v>0.74024411197720918</v>
      </c>
      <c r="W603" s="1">
        <f>O603/O593+P603/P597</f>
        <v>0.65544737957521182</v>
      </c>
      <c r="X603" s="1">
        <f t="shared" si="212"/>
        <v>48</v>
      </c>
      <c r="Y603" s="6">
        <f t="shared" si="216"/>
        <v>0.92683829365079362</v>
      </c>
    </row>
    <row r="604" spans="1:25" x14ac:dyDescent="0.15">
      <c r="A604" s="1">
        <v>2023</v>
      </c>
      <c r="B604" s="3" t="s">
        <v>58</v>
      </c>
      <c r="C604" s="1">
        <v>42</v>
      </c>
      <c r="D604" s="3">
        <v>16</v>
      </c>
      <c r="E604" s="3" t="s">
        <v>37</v>
      </c>
      <c r="F604" s="3" t="s">
        <v>38</v>
      </c>
      <c r="G604" s="3" t="s">
        <v>14</v>
      </c>
      <c r="H604" s="1" t="s">
        <v>37</v>
      </c>
      <c r="I604" s="3">
        <v>4</v>
      </c>
      <c r="J604" s="3" t="s">
        <v>69</v>
      </c>
      <c r="K604" s="1" t="s">
        <v>42</v>
      </c>
      <c r="L604" s="6">
        <v>60</v>
      </c>
      <c r="M604" s="6">
        <v>50</v>
      </c>
      <c r="N604" s="7">
        <f t="shared" si="213"/>
        <v>10</v>
      </c>
      <c r="O604" s="6">
        <v>0.46475138968755986</v>
      </c>
      <c r="P604" s="6">
        <v>1.2804140670791271</v>
      </c>
      <c r="Q604" s="6">
        <f>O604/(0.1*O591)</f>
        <v>5.1168830430192562</v>
      </c>
      <c r="R604" s="6">
        <f>O604/(0.1*O594)</f>
        <v>2.8978116819713615</v>
      </c>
      <c r="S604" s="6">
        <f>P604/(0.9*P595)</f>
        <v>1.0198723187990653</v>
      </c>
      <c r="T604" s="6">
        <f t="shared" si="214"/>
        <v>6.1367553618183219</v>
      </c>
      <c r="U604" s="6">
        <f t="shared" si="215"/>
        <v>3.9176840007704268</v>
      </c>
      <c r="V604" s="1">
        <f>O604/O591+P604/P595</f>
        <v>1.4295733912210844</v>
      </c>
      <c r="W604" s="1">
        <f>O604/O594+P604/P595</f>
        <v>1.2076662551162949</v>
      </c>
      <c r="X604" s="1">
        <f t="shared" si="212"/>
        <v>73</v>
      </c>
      <c r="Y604" s="6">
        <f t="shared" si="216"/>
        <v>1.745165456766687</v>
      </c>
    </row>
    <row r="605" spans="1:25" x14ac:dyDescent="0.15">
      <c r="A605" s="1">
        <v>2023</v>
      </c>
      <c r="B605" s="3" t="s">
        <v>58</v>
      </c>
      <c r="C605" s="1">
        <v>42</v>
      </c>
      <c r="D605" s="3">
        <v>17</v>
      </c>
      <c r="E605" s="3" t="s">
        <v>37</v>
      </c>
      <c r="F605" s="3" t="s">
        <v>39</v>
      </c>
      <c r="G605" s="3" t="s">
        <v>14</v>
      </c>
      <c r="H605" s="1" t="s">
        <v>37</v>
      </c>
      <c r="I605" s="3">
        <v>4</v>
      </c>
      <c r="J605" s="3" t="s">
        <v>70</v>
      </c>
      <c r="K605" s="1" t="s">
        <v>42</v>
      </c>
      <c r="L605" s="6">
        <v>65</v>
      </c>
      <c r="M605" s="6">
        <v>40</v>
      </c>
      <c r="N605" s="7">
        <f t="shared" si="213"/>
        <v>25</v>
      </c>
      <c r="O605" s="6">
        <v>0.50335480269001387</v>
      </c>
      <c r="P605" s="6">
        <v>0.66651222651222641</v>
      </c>
      <c r="Q605" s="6">
        <f>O605/(0.1*O591)</f>
        <v>5.5419041484488059</v>
      </c>
      <c r="R605" s="6">
        <f>O605/(0.1*O594)</f>
        <v>3.1385111691481091</v>
      </c>
      <c r="S605" s="6">
        <f>P605/(0.9*P596)</f>
        <v>0.84495821095417323</v>
      </c>
      <c r="T605" s="6">
        <f t="shared" si="214"/>
        <v>6.3868623594029792</v>
      </c>
      <c r="U605" s="6">
        <f t="shared" si="215"/>
        <v>3.9834693801022825</v>
      </c>
      <c r="V605" s="1">
        <f>O605/O591+P605/P596</f>
        <v>1.3146528047036365</v>
      </c>
      <c r="W605" s="1">
        <f>O605/O594+P605/P596</f>
        <v>1.0743135067735667</v>
      </c>
      <c r="X605" s="1">
        <f t="shared" si="212"/>
        <v>56.999999999999993</v>
      </c>
      <c r="Y605" s="6">
        <f t="shared" si="216"/>
        <v>1.1698670292022402</v>
      </c>
    </row>
    <row r="606" spans="1:25" x14ac:dyDescent="0.15">
      <c r="A606" s="1">
        <v>2023</v>
      </c>
      <c r="B606" s="3" t="s">
        <v>58</v>
      </c>
      <c r="C606" s="1">
        <v>42</v>
      </c>
      <c r="D606" s="3">
        <v>18</v>
      </c>
      <c r="E606" s="3" t="s">
        <v>37</v>
      </c>
      <c r="F606" s="3" t="s">
        <v>40</v>
      </c>
      <c r="G606" s="3" t="s">
        <v>14</v>
      </c>
      <c r="H606" s="1" t="s">
        <v>37</v>
      </c>
      <c r="I606" s="3">
        <v>4</v>
      </c>
      <c r="J606" s="3" t="s">
        <v>71</v>
      </c>
      <c r="K606" s="1" t="s">
        <v>42</v>
      </c>
      <c r="L606" s="6">
        <v>60</v>
      </c>
      <c r="M606" s="6">
        <v>40</v>
      </c>
      <c r="N606" s="7">
        <f t="shared" si="213"/>
        <v>20</v>
      </c>
      <c r="O606" s="6">
        <v>0.27169234997709574</v>
      </c>
      <c r="P606" s="6">
        <v>0.57884891891891888</v>
      </c>
      <c r="Q606" s="6">
        <f>O606/(0.1*O591)</f>
        <v>2.9913153771319787</v>
      </c>
      <c r="R606" s="6">
        <f>O606/(0.1*O594)</f>
        <v>1.6940525260078718</v>
      </c>
      <c r="S606" s="6">
        <f>P606/(0.9*P597)</f>
        <v>0.63191787549207556</v>
      </c>
      <c r="T606" s="6">
        <f t="shared" si="214"/>
        <v>3.623233252624054</v>
      </c>
      <c r="U606" s="6">
        <f t="shared" si="215"/>
        <v>2.3259704014999474</v>
      </c>
      <c r="V606" s="1">
        <f>O606/O591+P606/P597</f>
        <v>0.86785762565606595</v>
      </c>
      <c r="W606" s="1">
        <f>O606/O594+P606/P597</f>
        <v>0.73813134054365526</v>
      </c>
      <c r="X606" s="1">
        <f t="shared" si="212"/>
        <v>68</v>
      </c>
      <c r="Y606" s="6">
        <f t="shared" si="216"/>
        <v>0.85054126889601456</v>
      </c>
    </row>
    <row r="607" spans="1:25" x14ac:dyDescent="0.15">
      <c r="A607" s="1">
        <v>2023</v>
      </c>
      <c r="B607" s="3" t="s">
        <v>58</v>
      </c>
      <c r="C607" s="1">
        <v>42</v>
      </c>
      <c r="D607" s="3">
        <v>1</v>
      </c>
      <c r="E607" s="3" t="s">
        <v>35</v>
      </c>
      <c r="F607" s="3"/>
      <c r="G607" s="3" t="s">
        <v>41</v>
      </c>
      <c r="H607" s="1" t="s">
        <v>35</v>
      </c>
      <c r="I607" s="3">
        <v>4</v>
      </c>
      <c r="J607" s="3" t="s">
        <v>35</v>
      </c>
      <c r="K607" s="1" t="s">
        <v>42</v>
      </c>
      <c r="L607" s="6">
        <v>75</v>
      </c>
      <c r="M607" s="6" t="s">
        <v>73</v>
      </c>
      <c r="N607" s="7" t="s">
        <v>45</v>
      </c>
      <c r="O607" s="6">
        <v>0.62437308997308993</v>
      </c>
      <c r="P607" s="6" t="s">
        <v>45</v>
      </c>
      <c r="Q607" s="6" t="s">
        <v>45</v>
      </c>
      <c r="R607" s="6" t="s">
        <v>45</v>
      </c>
      <c r="S607" s="6" t="s">
        <v>45</v>
      </c>
      <c r="T607" s="6" t="s">
        <v>45</v>
      </c>
      <c r="U607" s="6" t="s">
        <v>45</v>
      </c>
      <c r="V607" s="1" t="s">
        <v>45</v>
      </c>
      <c r="W607" s="1" t="s">
        <v>45</v>
      </c>
      <c r="X607" s="6" t="s">
        <v>45</v>
      </c>
      <c r="Y607" s="6">
        <f>O607</f>
        <v>0.62437308997308993</v>
      </c>
    </row>
    <row r="608" spans="1:25" x14ac:dyDescent="0.15">
      <c r="A608" s="1">
        <v>2023</v>
      </c>
      <c r="B608" s="3" t="s">
        <v>58</v>
      </c>
      <c r="C608" s="1">
        <v>42</v>
      </c>
      <c r="D608" s="3">
        <v>2</v>
      </c>
      <c r="E608" s="3" t="s">
        <v>36</v>
      </c>
      <c r="F608" s="3"/>
      <c r="G608" s="3" t="s">
        <v>41</v>
      </c>
      <c r="H608" s="1" t="s">
        <v>36</v>
      </c>
      <c r="I608" s="3">
        <v>4</v>
      </c>
      <c r="J608" s="3" t="s">
        <v>36</v>
      </c>
      <c r="K608" s="1" t="s">
        <v>42</v>
      </c>
      <c r="L608" s="6">
        <v>70</v>
      </c>
      <c r="M608" s="6" t="s">
        <v>73</v>
      </c>
      <c r="N608" s="7" t="s">
        <v>45</v>
      </c>
      <c r="O608" s="6">
        <v>1.4323582546401823</v>
      </c>
      <c r="P608" s="6" t="s">
        <v>45</v>
      </c>
      <c r="Q608" s="6" t="s">
        <v>45</v>
      </c>
      <c r="R608" s="6" t="s">
        <v>45</v>
      </c>
      <c r="S608" s="6" t="s">
        <v>45</v>
      </c>
      <c r="T608" s="6" t="s">
        <v>45</v>
      </c>
      <c r="U608" s="6" t="s">
        <v>45</v>
      </c>
      <c r="V608" s="1" t="s">
        <v>45</v>
      </c>
      <c r="W608" s="1" t="s">
        <v>45</v>
      </c>
      <c r="X608" s="6" t="s">
        <v>45</v>
      </c>
      <c r="Y608" s="6">
        <f t="shared" ref="Y608:Y612" si="217">O608</f>
        <v>1.4323582546401823</v>
      </c>
    </row>
    <row r="609" spans="1:25" x14ac:dyDescent="0.15">
      <c r="A609" s="1">
        <v>2023</v>
      </c>
      <c r="B609" s="3" t="s">
        <v>58</v>
      </c>
      <c r="C609" s="1">
        <v>42</v>
      </c>
      <c r="D609" s="3">
        <v>3</v>
      </c>
      <c r="E609" s="3" t="s">
        <v>37</v>
      </c>
      <c r="F609" s="3"/>
      <c r="G609" s="3" t="s">
        <v>41</v>
      </c>
      <c r="H609" s="1" t="s">
        <v>37</v>
      </c>
      <c r="I609" s="3">
        <v>4</v>
      </c>
      <c r="J609" s="3" t="s">
        <v>37</v>
      </c>
      <c r="K609" s="1" t="s">
        <v>42</v>
      </c>
      <c r="L609" s="6">
        <v>55</v>
      </c>
      <c r="M609" s="6" t="s">
        <v>73</v>
      </c>
      <c r="N609" s="7" t="s">
        <v>45</v>
      </c>
      <c r="O609" s="6">
        <v>1.5007114543114541</v>
      </c>
      <c r="P609" s="6" t="s">
        <v>45</v>
      </c>
      <c r="Q609" s="6" t="s">
        <v>45</v>
      </c>
      <c r="R609" s="6" t="s">
        <v>45</v>
      </c>
      <c r="S609" s="6" t="s">
        <v>45</v>
      </c>
      <c r="T609" s="6" t="s">
        <v>45</v>
      </c>
      <c r="U609" s="6" t="s">
        <v>45</v>
      </c>
      <c r="V609" s="1" t="s">
        <v>45</v>
      </c>
      <c r="W609" s="1" t="s">
        <v>45</v>
      </c>
      <c r="X609" s="6" t="s">
        <v>45</v>
      </c>
      <c r="Y609" s="6">
        <f t="shared" si="217"/>
        <v>1.5007114543114541</v>
      </c>
    </row>
    <row r="610" spans="1:25" x14ac:dyDescent="0.15">
      <c r="A610" s="1">
        <v>2023</v>
      </c>
      <c r="B610" s="3" t="s">
        <v>58</v>
      </c>
      <c r="C610" s="1">
        <v>42</v>
      </c>
      <c r="D610" s="3">
        <v>4</v>
      </c>
      <c r="E610" s="3" t="s">
        <v>35</v>
      </c>
      <c r="F610" s="3"/>
      <c r="G610" s="3" t="s">
        <v>41</v>
      </c>
      <c r="H610" s="1" t="s">
        <v>75</v>
      </c>
      <c r="I610" s="3">
        <v>4</v>
      </c>
      <c r="J610" s="3" t="s">
        <v>35</v>
      </c>
      <c r="K610" s="1" t="s">
        <v>43</v>
      </c>
      <c r="L610" s="6">
        <v>75</v>
      </c>
      <c r="M610" s="6" t="s">
        <v>73</v>
      </c>
      <c r="N610" s="7" t="s">
        <v>45</v>
      </c>
      <c r="O610" s="6">
        <v>1.3346064908281774</v>
      </c>
      <c r="P610" s="6" t="s">
        <v>45</v>
      </c>
      <c r="Q610" s="6" t="s">
        <v>45</v>
      </c>
      <c r="R610" s="6" t="s">
        <v>45</v>
      </c>
      <c r="S610" s="6" t="s">
        <v>45</v>
      </c>
      <c r="T610" s="6" t="s">
        <v>45</v>
      </c>
      <c r="U610" s="6" t="s">
        <v>45</v>
      </c>
      <c r="V610" s="1" t="s">
        <v>45</v>
      </c>
      <c r="W610" s="1" t="s">
        <v>45</v>
      </c>
      <c r="X610" s="1" t="s">
        <v>45</v>
      </c>
      <c r="Y610" s="6">
        <f t="shared" si="217"/>
        <v>1.3346064908281774</v>
      </c>
    </row>
    <row r="611" spans="1:25" x14ac:dyDescent="0.15">
      <c r="A611" s="1">
        <v>2023</v>
      </c>
      <c r="B611" s="3" t="s">
        <v>58</v>
      </c>
      <c r="C611" s="1">
        <v>43</v>
      </c>
      <c r="D611" s="3">
        <v>5</v>
      </c>
      <c r="E611" s="3" t="s">
        <v>36</v>
      </c>
      <c r="F611" s="3"/>
      <c r="G611" s="3" t="s">
        <v>41</v>
      </c>
      <c r="H611" s="1" t="s">
        <v>76</v>
      </c>
      <c r="I611" s="3">
        <v>4</v>
      </c>
      <c r="J611" s="3" t="s">
        <v>36</v>
      </c>
      <c r="K611" s="1" t="s">
        <v>43</v>
      </c>
      <c r="L611" s="6">
        <v>70</v>
      </c>
      <c r="M611" s="6" t="s">
        <v>73</v>
      </c>
      <c r="N611" s="7" t="s">
        <v>45</v>
      </c>
      <c r="O611" s="6">
        <v>1.4190512734957177</v>
      </c>
      <c r="P611" s="6" t="s">
        <v>45</v>
      </c>
      <c r="Q611" s="6" t="s">
        <v>45</v>
      </c>
      <c r="R611" s="6" t="s">
        <v>45</v>
      </c>
      <c r="S611" s="6" t="s">
        <v>45</v>
      </c>
      <c r="T611" s="6" t="s">
        <v>45</v>
      </c>
      <c r="U611" s="6" t="s">
        <v>45</v>
      </c>
      <c r="V611" s="1" t="s">
        <v>45</v>
      </c>
      <c r="W611" s="1" t="s">
        <v>45</v>
      </c>
      <c r="X611" s="1" t="s">
        <v>45</v>
      </c>
      <c r="Y611" s="6">
        <f t="shared" si="217"/>
        <v>1.4190512734957177</v>
      </c>
    </row>
    <row r="612" spans="1:25" x14ac:dyDescent="0.15">
      <c r="A612" s="1">
        <v>2023</v>
      </c>
      <c r="B612" s="3" t="s">
        <v>58</v>
      </c>
      <c r="C612" s="1">
        <v>43</v>
      </c>
      <c r="D612" s="3">
        <v>6</v>
      </c>
      <c r="E612" s="3" t="s">
        <v>37</v>
      </c>
      <c r="F612" s="3"/>
      <c r="G612" s="3" t="s">
        <v>41</v>
      </c>
      <c r="H612" s="1" t="s">
        <v>77</v>
      </c>
      <c r="I612" s="3">
        <v>4</v>
      </c>
      <c r="J612" s="3" t="s">
        <v>37</v>
      </c>
      <c r="K612" s="1" t="s">
        <v>43</v>
      </c>
      <c r="L612" s="6">
        <v>60</v>
      </c>
      <c r="M612" s="6" t="s">
        <v>73</v>
      </c>
      <c r="N612" s="7" t="s">
        <v>45</v>
      </c>
      <c r="O612" s="6">
        <v>1.8332455598455595</v>
      </c>
      <c r="P612" s="6" t="s">
        <v>45</v>
      </c>
      <c r="Q612" s="6" t="s">
        <v>45</v>
      </c>
      <c r="R612" s="6" t="s">
        <v>45</v>
      </c>
      <c r="S612" s="6" t="s">
        <v>45</v>
      </c>
      <c r="T612" s="6" t="s">
        <v>45</v>
      </c>
      <c r="U612" s="6" t="s">
        <v>45</v>
      </c>
      <c r="V612" s="1" t="s">
        <v>45</v>
      </c>
      <c r="W612" s="1" t="s">
        <v>45</v>
      </c>
      <c r="X612" s="1" t="s">
        <v>45</v>
      </c>
      <c r="Y612" s="6">
        <f t="shared" si="217"/>
        <v>1.8332455598455595</v>
      </c>
    </row>
    <row r="613" spans="1:25" x14ac:dyDescent="0.15">
      <c r="A613" s="1">
        <v>2023</v>
      </c>
      <c r="B613" s="3" t="s">
        <v>58</v>
      </c>
      <c r="C613" s="1">
        <v>43</v>
      </c>
      <c r="D613" s="3">
        <v>7</v>
      </c>
      <c r="E613" s="3"/>
      <c r="F613" s="3" t="s">
        <v>38</v>
      </c>
      <c r="G613" s="3" t="s">
        <v>41</v>
      </c>
      <c r="H613" s="1"/>
      <c r="I613" s="3">
        <v>4</v>
      </c>
      <c r="J613" s="3" t="s">
        <v>38</v>
      </c>
      <c r="K613" s="1" t="s">
        <v>42</v>
      </c>
      <c r="L613" s="6" t="s">
        <v>73</v>
      </c>
      <c r="M613" s="6">
        <v>40</v>
      </c>
      <c r="N613" s="7" t="s">
        <v>45</v>
      </c>
      <c r="O613" s="6" t="s">
        <v>45</v>
      </c>
      <c r="P613" s="6">
        <v>1.901074649332877</v>
      </c>
      <c r="Q613" s="6" t="s">
        <v>45</v>
      </c>
      <c r="R613" s="6" t="s">
        <v>45</v>
      </c>
      <c r="S613" s="6" t="s">
        <v>45</v>
      </c>
      <c r="T613" s="6" t="s">
        <v>45</v>
      </c>
      <c r="U613" s="6" t="s">
        <v>45</v>
      </c>
      <c r="V613" s="1" t="s">
        <v>45</v>
      </c>
      <c r="W613" s="1" t="s">
        <v>45</v>
      </c>
      <c r="X613" s="1" t="s">
        <v>45</v>
      </c>
      <c r="Y613" s="6">
        <f>P613</f>
        <v>1.901074649332877</v>
      </c>
    </row>
    <row r="614" spans="1:25" x14ac:dyDescent="0.15">
      <c r="A614" s="1">
        <v>2023</v>
      </c>
      <c r="B614" s="3" t="s">
        <v>58</v>
      </c>
      <c r="C614" s="1">
        <v>43</v>
      </c>
      <c r="D614" s="3">
        <v>8</v>
      </c>
      <c r="E614" s="3"/>
      <c r="F614" s="3" t="s">
        <v>39</v>
      </c>
      <c r="G614" s="3" t="s">
        <v>41</v>
      </c>
      <c r="H614" s="1"/>
      <c r="I614" s="3">
        <v>4</v>
      </c>
      <c r="J614" s="3" t="s">
        <v>39</v>
      </c>
      <c r="K614" s="1" t="s">
        <v>42</v>
      </c>
      <c r="L614" s="6" t="s">
        <v>73</v>
      </c>
      <c r="M614" s="6">
        <v>30</v>
      </c>
      <c r="N614" s="7" t="s">
        <v>45</v>
      </c>
      <c r="O614" s="6" t="s">
        <v>45</v>
      </c>
      <c r="P614" s="6">
        <v>0.75963530619226827</v>
      </c>
      <c r="Q614" s="6" t="s">
        <v>45</v>
      </c>
      <c r="R614" s="6" t="s">
        <v>45</v>
      </c>
      <c r="S614" s="6" t="s">
        <v>45</v>
      </c>
      <c r="T614" s="6" t="s">
        <v>45</v>
      </c>
      <c r="U614" s="6" t="s">
        <v>45</v>
      </c>
      <c r="V614" s="1" t="s">
        <v>45</v>
      </c>
      <c r="W614" s="1" t="s">
        <v>45</v>
      </c>
      <c r="X614" s="1" t="s">
        <v>45</v>
      </c>
      <c r="Y614" s="6">
        <f t="shared" ref="Y614:Y615" si="218">P614</f>
        <v>0.75963530619226827</v>
      </c>
    </row>
    <row r="615" spans="1:25" x14ac:dyDescent="0.15">
      <c r="A615" s="1">
        <v>2023</v>
      </c>
      <c r="B615" s="3" t="s">
        <v>58</v>
      </c>
      <c r="C615" s="1">
        <v>43</v>
      </c>
      <c r="D615" s="3">
        <v>9</v>
      </c>
      <c r="E615" s="3"/>
      <c r="F615" s="3" t="s">
        <v>40</v>
      </c>
      <c r="G615" s="3" t="s">
        <v>41</v>
      </c>
      <c r="H615" s="1"/>
      <c r="I615" s="3">
        <v>4</v>
      </c>
      <c r="J615" s="3" t="s">
        <v>40</v>
      </c>
      <c r="K615" s="1" t="s">
        <v>42</v>
      </c>
      <c r="L615" s="6" t="s">
        <v>73</v>
      </c>
      <c r="M615" s="6">
        <v>45</v>
      </c>
      <c r="N615" s="7" t="s">
        <v>45</v>
      </c>
      <c r="O615" s="6" t="s">
        <v>45</v>
      </c>
      <c r="P615" s="6">
        <v>1.0906377891404917</v>
      </c>
      <c r="Q615" s="6" t="s">
        <v>45</v>
      </c>
      <c r="R615" s="6" t="s">
        <v>45</v>
      </c>
      <c r="S615" s="6" t="s">
        <v>45</v>
      </c>
      <c r="T615" s="6" t="s">
        <v>45</v>
      </c>
      <c r="U615" s="6" t="s">
        <v>45</v>
      </c>
      <c r="V615" s="1" t="s">
        <v>45</v>
      </c>
      <c r="W615" s="1" t="s">
        <v>45</v>
      </c>
      <c r="X615" s="1" t="s">
        <v>45</v>
      </c>
      <c r="Y615" s="6">
        <f t="shared" si="218"/>
        <v>1.0906377891404917</v>
      </c>
    </row>
    <row r="616" spans="1:25" x14ac:dyDescent="0.15">
      <c r="A616" s="1">
        <v>2023</v>
      </c>
      <c r="B616" s="3" t="s">
        <v>58</v>
      </c>
      <c r="C616" s="1">
        <v>43</v>
      </c>
      <c r="D616" s="3">
        <v>10</v>
      </c>
      <c r="E616" s="3" t="s">
        <v>35</v>
      </c>
      <c r="F616" s="3" t="s">
        <v>38</v>
      </c>
      <c r="G616" s="3" t="s">
        <v>14</v>
      </c>
      <c r="H616" s="1" t="s">
        <v>35</v>
      </c>
      <c r="I616" s="3">
        <v>4</v>
      </c>
      <c r="J616" s="3" t="s">
        <v>63</v>
      </c>
      <c r="K616" s="1" t="s">
        <v>42</v>
      </c>
      <c r="L616" s="6">
        <v>75</v>
      </c>
      <c r="M616" s="6">
        <v>50</v>
      </c>
      <c r="N616" s="7">
        <f>L616-M616</f>
        <v>25</v>
      </c>
      <c r="O616" s="6">
        <v>0.39490101351351342</v>
      </c>
      <c r="P616" s="6">
        <v>1.4721148473148471</v>
      </c>
      <c r="Q616" s="6">
        <f>O616/(0.1*O607)</f>
        <v>6.3247603052612877</v>
      </c>
      <c r="R616" s="6">
        <f>O616/(0.1*O610)</f>
        <v>2.9589322113101768</v>
      </c>
      <c r="S616" s="6">
        <f>P616/(0.9*P613)</f>
        <v>0.86039922959214443</v>
      </c>
      <c r="T616" s="6">
        <f>Q616+S616</f>
        <v>7.1851595348534323</v>
      </c>
      <c r="U616" s="6">
        <f>R616+S616</f>
        <v>3.8193314409023214</v>
      </c>
      <c r="V616" s="1">
        <f>O616/O607+P616/P613</f>
        <v>1.406835337159059</v>
      </c>
      <c r="W616" s="1">
        <f>O616/O610+P616/P613</f>
        <v>1.0702525277639476</v>
      </c>
      <c r="X616" s="1">
        <f t="shared" ref="X616:X624" si="219">100*ROUND(P616/(P616+O616), 2)</f>
        <v>79</v>
      </c>
      <c r="Y616" s="6">
        <f>O616+P616</f>
        <v>1.8670158608283605</v>
      </c>
    </row>
    <row r="617" spans="1:25" x14ac:dyDescent="0.15">
      <c r="A617" s="1">
        <v>2023</v>
      </c>
      <c r="B617" s="3" t="s">
        <v>58</v>
      </c>
      <c r="C617" s="1">
        <v>43</v>
      </c>
      <c r="D617" s="3">
        <v>11</v>
      </c>
      <c r="E617" s="3" t="s">
        <v>35</v>
      </c>
      <c r="F617" s="3" t="s">
        <v>39</v>
      </c>
      <c r="G617" s="3" t="s">
        <v>14</v>
      </c>
      <c r="H617" s="1" t="s">
        <v>35</v>
      </c>
      <c r="I617" s="3">
        <v>4</v>
      </c>
      <c r="J617" s="3" t="s">
        <v>64</v>
      </c>
      <c r="K617" s="1" t="s">
        <v>42</v>
      </c>
      <c r="L617" s="6">
        <v>80</v>
      </c>
      <c r="M617" s="6">
        <v>40</v>
      </c>
      <c r="N617" s="7">
        <f t="shared" ref="N617:N624" si="220">L617-M617</f>
        <v>40</v>
      </c>
      <c r="O617" s="6">
        <v>0.29255521235521237</v>
      </c>
      <c r="P617" s="6">
        <v>0.96044835164835163</v>
      </c>
      <c r="Q617" s="6">
        <f>O617/(0.1*O607)</f>
        <v>4.6855833003280347</v>
      </c>
      <c r="R617" s="6">
        <f>O617/(0.1*O610)</f>
        <v>2.1920709539908652</v>
      </c>
      <c r="S617" s="6">
        <f>P617/(0.9*P614)</f>
        <v>1.4048383829262527</v>
      </c>
      <c r="T617" s="6">
        <f t="shared" ref="T617:T624" si="221">Q617+S617</f>
        <v>6.0904216832542879</v>
      </c>
      <c r="U617" s="6">
        <f t="shared" ref="U617:U624" si="222">R617+S617</f>
        <v>3.5969093369171179</v>
      </c>
      <c r="V617" s="1">
        <f>O617/O607+P617/P614</f>
        <v>1.7329128746664311</v>
      </c>
      <c r="W617" s="1">
        <f>O617/O610+P617/P614</f>
        <v>1.4835616400327141</v>
      </c>
      <c r="X617" s="1">
        <f t="shared" si="219"/>
        <v>77</v>
      </c>
      <c r="Y617" s="6">
        <f t="shared" ref="Y617:Y624" si="223">O617+P617</f>
        <v>1.2530035640035639</v>
      </c>
    </row>
    <row r="618" spans="1:25" x14ac:dyDescent="0.15">
      <c r="A618" s="1">
        <v>2023</v>
      </c>
      <c r="B618" s="3" t="s">
        <v>58</v>
      </c>
      <c r="C618" s="1">
        <v>43</v>
      </c>
      <c r="D618" s="3">
        <v>12</v>
      </c>
      <c r="E618" s="3" t="s">
        <v>35</v>
      </c>
      <c r="F618" s="3" t="s">
        <v>40</v>
      </c>
      <c r="G618" s="3" t="s">
        <v>14</v>
      </c>
      <c r="H618" s="1" t="s">
        <v>35</v>
      </c>
      <c r="I618" s="3">
        <v>4</v>
      </c>
      <c r="J618" s="3" t="s">
        <v>65</v>
      </c>
      <c r="K618" s="1" t="s">
        <v>42</v>
      </c>
      <c r="L618" s="6">
        <v>70</v>
      </c>
      <c r="M618" s="6">
        <v>40</v>
      </c>
      <c r="N618" s="7">
        <f t="shared" si="220"/>
        <v>30</v>
      </c>
      <c r="O618" s="6">
        <v>0.13608435101768432</v>
      </c>
      <c r="P618" s="6">
        <v>0.74792415272415269</v>
      </c>
      <c r="Q618" s="6">
        <f>O618/(0.1*O607)</f>
        <v>2.1795358128510864</v>
      </c>
      <c r="R618" s="6">
        <f>O618/(0.1*O610)</f>
        <v>1.0196589927660136</v>
      </c>
      <c r="S618" s="6">
        <f>P618/(0.9*P615)</f>
        <v>0.76196409535294396</v>
      </c>
      <c r="T618" s="6">
        <f t="shared" si="221"/>
        <v>2.9414999082040305</v>
      </c>
      <c r="U618" s="6">
        <f t="shared" si="222"/>
        <v>1.7816230881189576</v>
      </c>
      <c r="V618" s="1">
        <f>O618/O607+P618/P615</f>
        <v>0.90372126710275824</v>
      </c>
      <c r="W618" s="1">
        <f>O618/O610+P618/P615</f>
        <v>0.78773358509425095</v>
      </c>
      <c r="X618" s="1">
        <f t="shared" si="219"/>
        <v>85</v>
      </c>
      <c r="Y618" s="6">
        <f t="shared" si="223"/>
        <v>0.88400850374183704</v>
      </c>
    </row>
    <row r="619" spans="1:25" x14ac:dyDescent="0.15">
      <c r="A619" s="1">
        <v>2023</v>
      </c>
      <c r="B619" s="3" t="s">
        <v>58</v>
      </c>
      <c r="C619" s="1">
        <v>43</v>
      </c>
      <c r="D619" s="3">
        <v>13</v>
      </c>
      <c r="E619" s="3" t="s">
        <v>36</v>
      </c>
      <c r="F619" s="3" t="s">
        <v>38</v>
      </c>
      <c r="G619" s="3" t="s">
        <v>14</v>
      </c>
      <c r="H619" s="1" t="s">
        <v>36</v>
      </c>
      <c r="I619" s="3">
        <v>4</v>
      </c>
      <c r="J619" s="3" t="s">
        <v>66</v>
      </c>
      <c r="K619" s="1" t="s">
        <v>42</v>
      </c>
      <c r="L619" s="6">
        <v>70</v>
      </c>
      <c r="M619" s="6">
        <v>45</v>
      </c>
      <c r="N619" s="7">
        <f t="shared" si="220"/>
        <v>25</v>
      </c>
      <c r="O619" s="6">
        <v>0.53368906633906632</v>
      </c>
      <c r="P619" s="6">
        <v>1.1192752941176471</v>
      </c>
      <c r="Q619" s="6">
        <f>O619/(0.1*O608)</f>
        <v>3.7259468056274265</v>
      </c>
      <c r="R619" s="6">
        <f>O619/(0.1*O611)</f>
        <v>3.7608864197300393</v>
      </c>
      <c r="S619" s="6">
        <f>P619/(0.9*P613)</f>
        <v>0.65417694992813202</v>
      </c>
      <c r="T619" s="6">
        <f t="shared" si="221"/>
        <v>4.3801237555555588</v>
      </c>
      <c r="U619" s="6">
        <f t="shared" si="222"/>
        <v>4.4150633696581716</v>
      </c>
      <c r="V619" s="1">
        <f>O619/O608+P619/P613</f>
        <v>0.96135393549806136</v>
      </c>
      <c r="W619" s="1">
        <f>O619/O611+P619/P613</f>
        <v>0.96484789690832273</v>
      </c>
      <c r="X619" s="1">
        <f t="shared" si="219"/>
        <v>68</v>
      </c>
      <c r="Y619" s="6">
        <f t="shared" si="223"/>
        <v>1.6529643604567135</v>
      </c>
    </row>
    <row r="620" spans="1:25" x14ac:dyDescent="0.15">
      <c r="A620" s="1">
        <v>2023</v>
      </c>
      <c r="B620" s="3" t="s">
        <v>58</v>
      </c>
      <c r="C620" s="1">
        <v>43</v>
      </c>
      <c r="D620" s="3">
        <v>14</v>
      </c>
      <c r="E620" s="3" t="s">
        <v>36</v>
      </c>
      <c r="F620" s="3" t="s">
        <v>39</v>
      </c>
      <c r="G620" s="3" t="s">
        <v>14</v>
      </c>
      <c r="H620" s="1" t="s">
        <v>36</v>
      </c>
      <c r="I620" s="3">
        <v>4</v>
      </c>
      <c r="J620" s="3" t="s">
        <v>67</v>
      </c>
      <c r="K620" s="1" t="s">
        <v>42</v>
      </c>
      <c r="L620" s="6">
        <v>75</v>
      </c>
      <c r="M620" s="6">
        <v>40</v>
      </c>
      <c r="N620" s="7">
        <f t="shared" si="220"/>
        <v>35</v>
      </c>
      <c r="O620" s="6">
        <v>0.280429029029029</v>
      </c>
      <c r="P620" s="6">
        <v>0.49590000000000001</v>
      </c>
      <c r="Q620" s="6">
        <f>O620/(0.1*O608)</f>
        <v>1.9578134738328756</v>
      </c>
      <c r="R620" s="6">
        <f>O620/(0.1*O611)</f>
        <v>1.9761726321432687</v>
      </c>
      <c r="S620" s="6">
        <f>P620/(0.9*P614)</f>
        <v>0.72534806572107713</v>
      </c>
      <c r="T620" s="6">
        <f t="shared" si="221"/>
        <v>2.6831615395539528</v>
      </c>
      <c r="U620" s="6">
        <f t="shared" si="222"/>
        <v>2.7015206978643458</v>
      </c>
      <c r="V620" s="1">
        <f>O620/O608+P620/P614</f>
        <v>0.84859460653225705</v>
      </c>
      <c r="W620" s="1">
        <f>O620/O611+P620/P614</f>
        <v>0.85043052236329642</v>
      </c>
      <c r="X620" s="1">
        <f t="shared" si="219"/>
        <v>64</v>
      </c>
      <c r="Y620" s="6">
        <f t="shared" si="223"/>
        <v>0.77632902902902901</v>
      </c>
    </row>
    <row r="621" spans="1:25" x14ac:dyDescent="0.15">
      <c r="A621" s="1">
        <v>2023</v>
      </c>
      <c r="B621" s="3" t="s">
        <v>58</v>
      </c>
      <c r="C621" s="1">
        <v>43</v>
      </c>
      <c r="D621" s="3">
        <v>15</v>
      </c>
      <c r="E621" s="3" t="s">
        <v>36</v>
      </c>
      <c r="F621" s="3" t="s">
        <v>40</v>
      </c>
      <c r="G621" s="3" t="s">
        <v>14</v>
      </c>
      <c r="H621" s="1" t="s">
        <v>36</v>
      </c>
      <c r="I621" s="3">
        <v>4</v>
      </c>
      <c r="J621" s="3" t="s">
        <v>68</v>
      </c>
      <c r="K621" s="1" t="s">
        <v>42</v>
      </c>
      <c r="L621" s="6">
        <v>75</v>
      </c>
      <c r="M621" s="6">
        <v>45</v>
      </c>
      <c r="N621" s="7">
        <f t="shared" si="220"/>
        <v>30</v>
      </c>
      <c r="O621" s="6">
        <v>0.36757418918918916</v>
      </c>
      <c r="P621" s="6">
        <v>0.5852100031065548</v>
      </c>
      <c r="Q621" s="6">
        <f>O621/(0.1*O608)</f>
        <v>2.5662168525117077</v>
      </c>
      <c r="R621" s="6">
        <f>O621/(0.1*O611)</f>
        <v>2.5902812396884007</v>
      </c>
      <c r="S621" s="6">
        <f>P621/(0.9*P615)</f>
        <v>0.59619549520422899</v>
      </c>
      <c r="T621" s="6">
        <f t="shared" si="221"/>
        <v>3.1624123477159367</v>
      </c>
      <c r="U621" s="6">
        <f t="shared" si="222"/>
        <v>3.1864767348926297</v>
      </c>
      <c r="V621" s="1">
        <f>O621/O608+P621/P615</f>
        <v>0.79319763093497686</v>
      </c>
      <c r="W621" s="1">
        <f>O621/O611+P621/P615</f>
        <v>0.79560406965264607</v>
      </c>
      <c r="X621" s="1">
        <f t="shared" si="219"/>
        <v>61</v>
      </c>
      <c r="Y621" s="6">
        <f t="shared" si="223"/>
        <v>0.95278419229574396</v>
      </c>
    </row>
    <row r="622" spans="1:25" x14ac:dyDescent="0.15">
      <c r="A622" s="1">
        <v>2023</v>
      </c>
      <c r="B622" s="3" t="s">
        <v>58</v>
      </c>
      <c r="C622" s="1">
        <v>43</v>
      </c>
      <c r="D622" s="3">
        <v>16</v>
      </c>
      <c r="E622" s="3" t="s">
        <v>37</v>
      </c>
      <c r="F622" s="3" t="s">
        <v>38</v>
      </c>
      <c r="G622" s="3" t="s">
        <v>14</v>
      </c>
      <c r="H622" s="1" t="s">
        <v>37</v>
      </c>
      <c r="I622" s="3">
        <v>4</v>
      </c>
      <c r="J622" s="3" t="s">
        <v>69</v>
      </c>
      <c r="K622" s="1" t="s">
        <v>42</v>
      </c>
      <c r="L622" s="6">
        <v>60</v>
      </c>
      <c r="M622" s="6">
        <v>50</v>
      </c>
      <c r="N622" s="7">
        <f t="shared" si="220"/>
        <v>10</v>
      </c>
      <c r="O622" s="6">
        <v>0.36372882882882879</v>
      </c>
      <c r="P622" s="6">
        <v>1.3620865665665665</v>
      </c>
      <c r="Q622" s="6">
        <f>O622/(0.1*O609)</f>
        <v>2.4237092865777603</v>
      </c>
      <c r="R622" s="6">
        <f>O622/(0.1*O612)</f>
        <v>1.9840704202194868</v>
      </c>
      <c r="S622" s="6">
        <f>P622/(0.9*P613)</f>
        <v>0.79609157848608791</v>
      </c>
      <c r="T622" s="6">
        <f t="shared" si="221"/>
        <v>3.2198008650638483</v>
      </c>
      <c r="U622" s="6">
        <f t="shared" si="222"/>
        <v>2.7801619987055748</v>
      </c>
      <c r="V622" s="1">
        <f>O622/O609+P622/P613</f>
        <v>0.95885334929525512</v>
      </c>
      <c r="W622" s="1">
        <f>O622/O612+P622/P613</f>
        <v>0.91488946265942783</v>
      </c>
      <c r="X622" s="1">
        <f t="shared" si="219"/>
        <v>79</v>
      </c>
      <c r="Y622" s="6">
        <f t="shared" si="223"/>
        <v>1.7258153953953952</v>
      </c>
    </row>
    <row r="623" spans="1:25" x14ac:dyDescent="0.15">
      <c r="A623" s="1">
        <v>2023</v>
      </c>
      <c r="B623" s="3" t="s">
        <v>58</v>
      </c>
      <c r="C623" s="1">
        <v>43</v>
      </c>
      <c r="D623" s="3">
        <v>17</v>
      </c>
      <c r="E623" s="3" t="s">
        <v>37</v>
      </c>
      <c r="F623" s="3" t="s">
        <v>39</v>
      </c>
      <c r="G623" s="3" t="s">
        <v>14</v>
      </c>
      <c r="H623" s="1" t="s">
        <v>37</v>
      </c>
      <c r="I623" s="3">
        <v>4</v>
      </c>
      <c r="J623" s="3" t="s">
        <v>70</v>
      </c>
      <c r="K623" s="1" t="s">
        <v>42</v>
      </c>
      <c r="L623" s="6">
        <v>60</v>
      </c>
      <c r="M623" s="6">
        <v>45</v>
      </c>
      <c r="N623" s="7">
        <f t="shared" si="220"/>
        <v>15</v>
      </c>
      <c r="O623" s="6">
        <v>0.45383894496906535</v>
      </c>
      <c r="P623" s="6">
        <v>1.0697032728931462</v>
      </c>
      <c r="Q623" s="6">
        <f>O623/(0.1*O609)</f>
        <v>3.0241585993444193</v>
      </c>
      <c r="R623" s="6">
        <f>O623/(0.1*O612)</f>
        <v>2.4756036774871482</v>
      </c>
      <c r="S623" s="6">
        <f>P623/(0.9*P614)</f>
        <v>1.5646444845504115</v>
      </c>
      <c r="T623" s="6">
        <f t="shared" si="221"/>
        <v>4.588803083894831</v>
      </c>
      <c r="U623" s="6">
        <f t="shared" si="222"/>
        <v>4.0402481620375594</v>
      </c>
      <c r="V623" s="1">
        <f>O623/O609+P623/P614</f>
        <v>1.7105958960298124</v>
      </c>
      <c r="W623" s="1">
        <f>O623/O612+P623/P614</f>
        <v>1.6557404038440853</v>
      </c>
      <c r="X623" s="1">
        <f t="shared" si="219"/>
        <v>70</v>
      </c>
      <c r="Y623" s="6">
        <f t="shared" si="223"/>
        <v>1.5235422178622116</v>
      </c>
    </row>
    <row r="624" spans="1:25" x14ac:dyDescent="0.15">
      <c r="A624" s="1">
        <v>2023</v>
      </c>
      <c r="B624" s="3" t="s">
        <v>58</v>
      </c>
      <c r="C624" s="1">
        <v>43</v>
      </c>
      <c r="D624" s="3">
        <v>18</v>
      </c>
      <c r="E624" s="3" t="s">
        <v>37</v>
      </c>
      <c r="F624" s="3" t="s">
        <v>40</v>
      </c>
      <c r="G624" s="3" t="s">
        <v>14</v>
      </c>
      <c r="H624" s="1" t="s">
        <v>37</v>
      </c>
      <c r="I624" s="3">
        <v>4</v>
      </c>
      <c r="J624" s="3" t="s">
        <v>71</v>
      </c>
      <c r="K624" s="1" t="s">
        <v>42</v>
      </c>
      <c r="L624" s="6">
        <v>65</v>
      </c>
      <c r="M624" s="6">
        <v>50</v>
      </c>
      <c r="N624" s="7">
        <f t="shared" si="220"/>
        <v>15</v>
      </c>
      <c r="O624" s="6">
        <v>0.33370273130273126</v>
      </c>
      <c r="P624" s="6">
        <v>0.86892192192192197</v>
      </c>
      <c r="Q624" s="6">
        <f>O624/(0.1*O609)</f>
        <v>2.2236302011557472</v>
      </c>
      <c r="R624" s="6">
        <f>O624/(0.1*O612)</f>
        <v>1.8202838649222954</v>
      </c>
      <c r="S624" s="6">
        <f>P624/(0.9*P615)</f>
        <v>0.88523322018425032</v>
      </c>
      <c r="T624" s="6">
        <f t="shared" si="221"/>
        <v>3.1088634213399975</v>
      </c>
      <c r="U624" s="6">
        <f t="shared" si="222"/>
        <v>2.7055170851065458</v>
      </c>
      <c r="V624" s="1">
        <f>O624/O609+P624/P615</f>
        <v>1.0190729182814</v>
      </c>
      <c r="W624" s="1">
        <f>O624/O612+P624/P615</f>
        <v>0.97873828465805479</v>
      </c>
      <c r="X624" s="1">
        <f t="shared" si="219"/>
        <v>72</v>
      </c>
      <c r="Y624" s="6">
        <f t="shared" si="223"/>
        <v>1.2026246532246532</v>
      </c>
    </row>
    <row r="625" spans="1:25" x14ac:dyDescent="0.15">
      <c r="A625" s="1">
        <v>2023</v>
      </c>
      <c r="B625" s="3" t="s">
        <v>58</v>
      </c>
      <c r="C625" s="1">
        <v>43</v>
      </c>
      <c r="D625" s="3">
        <v>1</v>
      </c>
      <c r="E625" s="3" t="s">
        <v>35</v>
      </c>
      <c r="F625" s="3"/>
      <c r="G625" s="3" t="s">
        <v>41</v>
      </c>
      <c r="H625" s="1" t="s">
        <v>35</v>
      </c>
      <c r="I625" s="3">
        <v>4</v>
      </c>
      <c r="J625" s="3" t="s">
        <v>35</v>
      </c>
      <c r="K625" s="1" t="s">
        <v>42</v>
      </c>
      <c r="L625" s="6">
        <v>80</v>
      </c>
      <c r="M625" s="6" t="s">
        <v>73</v>
      </c>
      <c r="N625" s="7" t="s">
        <v>45</v>
      </c>
      <c r="O625" s="6">
        <v>1.5093640699523052</v>
      </c>
      <c r="P625" s="6" t="s">
        <v>45</v>
      </c>
      <c r="Q625" s="6" t="s">
        <v>45</v>
      </c>
      <c r="R625" s="6" t="s">
        <v>45</v>
      </c>
      <c r="S625" s="6" t="s">
        <v>45</v>
      </c>
      <c r="T625" s="6" t="s">
        <v>45</v>
      </c>
      <c r="U625" s="6" t="s">
        <v>45</v>
      </c>
      <c r="V625" s="1" t="s">
        <v>45</v>
      </c>
      <c r="W625" s="1" t="s">
        <v>45</v>
      </c>
      <c r="X625" s="6" t="s">
        <v>45</v>
      </c>
      <c r="Y625" s="6">
        <f>O625</f>
        <v>1.5093640699523052</v>
      </c>
    </row>
    <row r="626" spans="1:25" x14ac:dyDescent="0.15">
      <c r="A626" s="1">
        <v>2023</v>
      </c>
      <c r="B626" s="3" t="s">
        <v>58</v>
      </c>
      <c r="C626" s="1">
        <v>44</v>
      </c>
      <c r="D626" s="3">
        <v>2</v>
      </c>
      <c r="E626" s="3" t="s">
        <v>36</v>
      </c>
      <c r="F626" s="3"/>
      <c r="G626" s="3" t="s">
        <v>41</v>
      </c>
      <c r="H626" s="1" t="s">
        <v>36</v>
      </c>
      <c r="I626" s="3">
        <v>4</v>
      </c>
      <c r="J626" s="3" t="s">
        <v>36</v>
      </c>
      <c r="K626" s="1" t="s">
        <v>42</v>
      </c>
      <c r="L626" s="6">
        <v>75</v>
      </c>
      <c r="M626" s="6" t="s">
        <v>73</v>
      </c>
      <c r="N626" s="7" t="s">
        <v>45</v>
      </c>
      <c r="O626" s="6">
        <v>1.60043889406648</v>
      </c>
      <c r="P626" s="6" t="s">
        <v>45</v>
      </c>
      <c r="Q626" s="6" t="s">
        <v>45</v>
      </c>
      <c r="R626" s="6" t="s">
        <v>45</v>
      </c>
      <c r="S626" s="6" t="s">
        <v>45</v>
      </c>
      <c r="T626" s="6" t="s">
        <v>45</v>
      </c>
      <c r="U626" s="6" t="s">
        <v>45</v>
      </c>
      <c r="V626" s="1" t="s">
        <v>45</v>
      </c>
      <c r="W626" s="1" t="s">
        <v>45</v>
      </c>
      <c r="X626" s="6" t="s">
        <v>45</v>
      </c>
      <c r="Y626" s="6">
        <f t="shared" ref="Y626:Y630" si="224">O626</f>
        <v>1.60043889406648</v>
      </c>
    </row>
    <row r="627" spans="1:25" x14ac:dyDescent="0.15">
      <c r="A627" s="1">
        <v>2023</v>
      </c>
      <c r="B627" s="3" t="s">
        <v>58</v>
      </c>
      <c r="C627" s="1">
        <v>44</v>
      </c>
      <c r="D627" s="3">
        <v>3</v>
      </c>
      <c r="E627" s="3" t="s">
        <v>37</v>
      </c>
      <c r="F627" s="3"/>
      <c r="G627" s="3" t="s">
        <v>41</v>
      </c>
      <c r="H627" s="1" t="s">
        <v>37</v>
      </c>
      <c r="I627" s="3">
        <v>4</v>
      </c>
      <c r="J627" s="3" t="s">
        <v>37</v>
      </c>
      <c r="K627" s="1" t="s">
        <v>42</v>
      </c>
      <c r="L627" s="6">
        <v>60</v>
      </c>
      <c r="M627" s="6" t="s">
        <v>73</v>
      </c>
      <c r="N627" s="7" t="s">
        <v>45</v>
      </c>
      <c r="O627" s="6">
        <v>1.2197380512091038</v>
      </c>
      <c r="P627" s="6" t="s">
        <v>45</v>
      </c>
      <c r="Q627" s="6" t="s">
        <v>45</v>
      </c>
      <c r="R627" s="6" t="s">
        <v>45</v>
      </c>
      <c r="S627" s="6" t="s">
        <v>45</v>
      </c>
      <c r="T627" s="6" t="s">
        <v>45</v>
      </c>
      <c r="U627" s="6" t="s">
        <v>45</v>
      </c>
      <c r="V627" s="1" t="s">
        <v>45</v>
      </c>
      <c r="W627" s="1" t="s">
        <v>45</v>
      </c>
      <c r="X627" s="6" t="s">
        <v>45</v>
      </c>
      <c r="Y627" s="6">
        <f t="shared" si="224"/>
        <v>1.2197380512091038</v>
      </c>
    </row>
    <row r="628" spans="1:25" x14ac:dyDescent="0.15">
      <c r="A628" s="1">
        <v>2023</v>
      </c>
      <c r="B628" s="3" t="s">
        <v>58</v>
      </c>
      <c r="C628" s="1">
        <v>44</v>
      </c>
      <c r="D628" s="3">
        <v>4</v>
      </c>
      <c r="E628" s="3" t="s">
        <v>35</v>
      </c>
      <c r="F628" s="3"/>
      <c r="G628" s="3" t="s">
        <v>41</v>
      </c>
      <c r="H628" s="1" t="s">
        <v>75</v>
      </c>
      <c r="I628" s="3">
        <v>4</v>
      </c>
      <c r="J628" s="3" t="s">
        <v>35</v>
      </c>
      <c r="K628" s="1" t="s">
        <v>43</v>
      </c>
      <c r="L628" s="6">
        <v>80</v>
      </c>
      <c r="M628" s="6" t="s">
        <v>73</v>
      </c>
      <c r="N628" s="7" t="s">
        <v>45</v>
      </c>
      <c r="O628" s="6">
        <v>1.8567529911934404</v>
      </c>
      <c r="P628" s="6" t="s">
        <v>45</v>
      </c>
      <c r="Q628" s="6" t="s">
        <v>45</v>
      </c>
      <c r="R628" s="6" t="s">
        <v>45</v>
      </c>
      <c r="S628" s="6" t="s">
        <v>45</v>
      </c>
      <c r="T628" s="6" t="s">
        <v>45</v>
      </c>
      <c r="U628" s="6" t="s">
        <v>45</v>
      </c>
      <c r="V628" s="1" t="s">
        <v>45</v>
      </c>
      <c r="W628" s="1" t="s">
        <v>45</v>
      </c>
      <c r="X628" s="1" t="s">
        <v>45</v>
      </c>
      <c r="Y628" s="6">
        <f t="shared" si="224"/>
        <v>1.8567529911934404</v>
      </c>
    </row>
    <row r="629" spans="1:25" x14ac:dyDescent="0.15">
      <c r="A629" s="1">
        <v>2023</v>
      </c>
      <c r="B629" s="3" t="s">
        <v>58</v>
      </c>
      <c r="C629" s="1">
        <v>44</v>
      </c>
      <c r="D629" s="3">
        <v>5</v>
      </c>
      <c r="E629" s="3" t="s">
        <v>36</v>
      </c>
      <c r="F629" s="3"/>
      <c r="G629" s="3" t="s">
        <v>41</v>
      </c>
      <c r="H629" s="1" t="s">
        <v>76</v>
      </c>
      <c r="I629" s="3">
        <v>4</v>
      </c>
      <c r="J629" s="3" t="s">
        <v>36</v>
      </c>
      <c r="K629" s="1" t="s">
        <v>43</v>
      </c>
      <c r="L629" s="6">
        <v>65</v>
      </c>
      <c r="M629" s="6" t="s">
        <v>73</v>
      </c>
      <c r="N629" s="7" t="s">
        <v>45</v>
      </c>
      <c r="O629" s="6">
        <v>1.6151094859565445</v>
      </c>
      <c r="P629" s="6" t="s">
        <v>45</v>
      </c>
      <c r="Q629" s="6" t="s">
        <v>45</v>
      </c>
      <c r="R629" s="6" t="s">
        <v>45</v>
      </c>
      <c r="S629" s="6" t="s">
        <v>45</v>
      </c>
      <c r="T629" s="6" t="s">
        <v>45</v>
      </c>
      <c r="U629" s="6" t="s">
        <v>45</v>
      </c>
      <c r="V629" s="1" t="s">
        <v>45</v>
      </c>
      <c r="W629" s="1" t="s">
        <v>45</v>
      </c>
      <c r="X629" s="1" t="s">
        <v>45</v>
      </c>
      <c r="Y629" s="6">
        <f t="shared" si="224"/>
        <v>1.6151094859565445</v>
      </c>
    </row>
    <row r="630" spans="1:25" x14ac:dyDescent="0.15">
      <c r="A630" s="1">
        <v>2023</v>
      </c>
      <c r="B630" s="3" t="s">
        <v>58</v>
      </c>
      <c r="C630" s="1">
        <v>44</v>
      </c>
      <c r="D630" s="3">
        <v>6</v>
      </c>
      <c r="E630" s="3" t="s">
        <v>37</v>
      </c>
      <c r="F630" s="3"/>
      <c r="G630" s="3" t="s">
        <v>41</v>
      </c>
      <c r="H630" s="1" t="s">
        <v>77</v>
      </c>
      <c r="I630" s="3">
        <v>4</v>
      </c>
      <c r="J630" s="3" t="s">
        <v>37</v>
      </c>
      <c r="K630" s="1" t="s">
        <v>43</v>
      </c>
      <c r="L630" s="6">
        <v>65</v>
      </c>
      <c r="M630" s="6" t="s">
        <v>73</v>
      </c>
      <c r="N630" s="7" t="s">
        <v>45</v>
      </c>
      <c r="O630" s="6">
        <v>1.8045586423632931</v>
      </c>
      <c r="P630" s="6" t="s">
        <v>45</v>
      </c>
      <c r="Q630" s="6" t="s">
        <v>45</v>
      </c>
      <c r="R630" s="6" t="s">
        <v>45</v>
      </c>
      <c r="S630" s="6" t="s">
        <v>45</v>
      </c>
      <c r="T630" s="6" t="s">
        <v>45</v>
      </c>
      <c r="U630" s="6" t="s">
        <v>45</v>
      </c>
      <c r="V630" s="1" t="s">
        <v>45</v>
      </c>
      <c r="W630" s="1" t="s">
        <v>45</v>
      </c>
      <c r="X630" s="1" t="s">
        <v>45</v>
      </c>
      <c r="Y630" s="6">
        <f t="shared" si="224"/>
        <v>1.8045586423632931</v>
      </c>
    </row>
    <row r="631" spans="1:25" x14ac:dyDescent="0.15">
      <c r="A631" s="1">
        <v>2023</v>
      </c>
      <c r="B631" s="3" t="s">
        <v>58</v>
      </c>
      <c r="C631" s="1">
        <v>44</v>
      </c>
      <c r="D631" s="3">
        <v>7</v>
      </c>
      <c r="E631" s="3"/>
      <c r="F631" s="3" t="s">
        <v>38</v>
      </c>
      <c r="G631" s="3" t="s">
        <v>41</v>
      </c>
      <c r="H631" s="1"/>
      <c r="I631" s="3">
        <v>4</v>
      </c>
      <c r="J631" s="3" t="s">
        <v>38</v>
      </c>
      <c r="K631" s="1" t="s">
        <v>42</v>
      </c>
      <c r="L631" s="6" t="s">
        <v>73</v>
      </c>
      <c r="M631" s="6">
        <v>50</v>
      </c>
      <c r="N631" s="7" t="s">
        <v>45</v>
      </c>
      <c r="O631" s="5" t="s">
        <v>45</v>
      </c>
      <c r="P631" s="6">
        <v>1.3152170837504169</v>
      </c>
      <c r="Q631" s="6" t="s">
        <v>45</v>
      </c>
      <c r="R631" s="6" t="s">
        <v>45</v>
      </c>
      <c r="S631" s="6" t="s">
        <v>45</v>
      </c>
      <c r="T631" s="6" t="s">
        <v>45</v>
      </c>
      <c r="U631" s="6" t="s">
        <v>45</v>
      </c>
      <c r="V631" s="1" t="s">
        <v>45</v>
      </c>
      <c r="W631" s="1" t="s">
        <v>45</v>
      </c>
      <c r="X631" s="1" t="s">
        <v>45</v>
      </c>
      <c r="Y631" s="6">
        <f>P631</f>
        <v>1.3152170837504169</v>
      </c>
    </row>
    <row r="632" spans="1:25" x14ac:dyDescent="0.15">
      <c r="A632" s="1">
        <v>2023</v>
      </c>
      <c r="B632" s="3" t="s">
        <v>58</v>
      </c>
      <c r="C632" s="1">
        <v>44</v>
      </c>
      <c r="D632" s="3">
        <v>8</v>
      </c>
      <c r="E632" s="3"/>
      <c r="F632" s="3" t="s">
        <v>39</v>
      </c>
      <c r="G632" s="3" t="s">
        <v>41</v>
      </c>
      <c r="H632" s="1"/>
      <c r="I632" s="3">
        <v>4</v>
      </c>
      <c r="J632" s="3" t="s">
        <v>39</v>
      </c>
      <c r="K632" s="1" t="s">
        <v>42</v>
      </c>
      <c r="L632" s="6" t="s">
        <v>73</v>
      </c>
      <c r="M632" s="6">
        <v>40</v>
      </c>
      <c r="N632" s="7" t="s">
        <v>45</v>
      </c>
      <c r="O632" s="5" t="s">
        <v>45</v>
      </c>
      <c r="P632" s="6">
        <v>1.0460421940928268</v>
      </c>
      <c r="Q632" s="6" t="s">
        <v>45</v>
      </c>
      <c r="R632" s="6" t="s">
        <v>45</v>
      </c>
      <c r="S632" s="6" t="s">
        <v>45</v>
      </c>
      <c r="T632" s="6" t="s">
        <v>45</v>
      </c>
      <c r="U632" s="6" t="s">
        <v>45</v>
      </c>
      <c r="V632" s="1" t="s">
        <v>45</v>
      </c>
      <c r="W632" s="1" t="s">
        <v>45</v>
      </c>
      <c r="X632" s="1" t="s">
        <v>45</v>
      </c>
      <c r="Y632" s="6">
        <f t="shared" ref="Y632:Y633" si="225">P632</f>
        <v>1.0460421940928268</v>
      </c>
    </row>
    <row r="633" spans="1:25" x14ac:dyDescent="0.15">
      <c r="A633" s="1">
        <v>2023</v>
      </c>
      <c r="B633" s="3" t="s">
        <v>58</v>
      </c>
      <c r="C633" s="1">
        <v>44</v>
      </c>
      <c r="D633" s="3">
        <v>9</v>
      </c>
      <c r="E633" s="3"/>
      <c r="F633" s="3" t="s">
        <v>40</v>
      </c>
      <c r="G633" s="3" t="s">
        <v>41</v>
      </c>
      <c r="H633" s="1"/>
      <c r="I633" s="3">
        <v>4</v>
      </c>
      <c r="J633" s="3" t="s">
        <v>40</v>
      </c>
      <c r="K633" s="1" t="s">
        <v>42</v>
      </c>
      <c r="L633" s="6" t="s">
        <v>73</v>
      </c>
      <c r="M633" s="6">
        <v>50</v>
      </c>
      <c r="N633" s="7" t="s">
        <v>45</v>
      </c>
      <c r="O633" s="5" t="s">
        <v>45</v>
      </c>
      <c r="P633" s="6">
        <v>0.43495790020790009</v>
      </c>
      <c r="Q633" s="6" t="s">
        <v>45</v>
      </c>
      <c r="R633" s="6" t="s">
        <v>45</v>
      </c>
      <c r="S633" s="6" t="s">
        <v>45</v>
      </c>
      <c r="T633" s="6" t="s">
        <v>45</v>
      </c>
      <c r="U633" s="6" t="s">
        <v>45</v>
      </c>
      <c r="V633" s="1" t="s">
        <v>45</v>
      </c>
      <c r="W633" s="1" t="s">
        <v>45</v>
      </c>
      <c r="X633" s="1" t="s">
        <v>45</v>
      </c>
      <c r="Y633" s="6">
        <f t="shared" si="225"/>
        <v>0.43495790020790009</v>
      </c>
    </row>
    <row r="634" spans="1:25" x14ac:dyDescent="0.15">
      <c r="A634" s="1">
        <v>2023</v>
      </c>
      <c r="B634" s="3" t="s">
        <v>58</v>
      </c>
      <c r="C634" s="1">
        <v>44</v>
      </c>
      <c r="D634" s="3">
        <v>10</v>
      </c>
      <c r="E634" s="3" t="s">
        <v>35</v>
      </c>
      <c r="F634" s="3" t="s">
        <v>38</v>
      </c>
      <c r="G634" s="3" t="s">
        <v>14</v>
      </c>
      <c r="H634" s="1" t="s">
        <v>35</v>
      </c>
      <c r="I634" s="3">
        <v>4</v>
      </c>
      <c r="J634" s="3" t="s">
        <v>63</v>
      </c>
      <c r="K634" s="1" t="s">
        <v>42</v>
      </c>
      <c r="L634" s="6">
        <v>75</v>
      </c>
      <c r="M634" s="6">
        <v>50</v>
      </c>
      <c r="N634" s="7">
        <f>L634-M634</f>
        <v>25</v>
      </c>
      <c r="O634" s="6">
        <v>0.48092769084874343</v>
      </c>
      <c r="P634" s="6">
        <v>0.72020311220311206</v>
      </c>
      <c r="Q634" s="6">
        <f>O634/(0.1*O625)</f>
        <v>3.1862934889124555</v>
      </c>
      <c r="R634" s="6">
        <f>O634/(0.1*O628)</f>
        <v>2.5901543884931293</v>
      </c>
      <c r="S634" s="6">
        <f>P634/(0.9*P631)</f>
        <v>0.60843619666480508</v>
      </c>
      <c r="T634" s="6">
        <f>Q634+S634</f>
        <v>3.7947296855772605</v>
      </c>
      <c r="U634" s="6">
        <f>R634+S634</f>
        <v>3.1985905851579344</v>
      </c>
      <c r="V634" s="1">
        <f>O634/O625+P634/P631</f>
        <v>0.86622192588957003</v>
      </c>
      <c r="W634" s="1">
        <f>O634/O628+P634/P631</f>
        <v>0.80660801584763742</v>
      </c>
      <c r="X634" s="1">
        <f t="shared" ref="X634:X642" si="226">100*ROUND(P634/(P634+O634), 2)</f>
        <v>60</v>
      </c>
      <c r="Y634" s="6">
        <f>O634+P634</f>
        <v>1.2011308030518555</v>
      </c>
    </row>
    <row r="635" spans="1:25" x14ac:dyDescent="0.15">
      <c r="A635" s="1">
        <v>2023</v>
      </c>
      <c r="B635" s="3" t="s">
        <v>58</v>
      </c>
      <c r="C635" s="1">
        <v>44</v>
      </c>
      <c r="D635" s="3">
        <v>11</v>
      </c>
      <c r="E635" s="3" t="s">
        <v>35</v>
      </c>
      <c r="F635" s="3" t="s">
        <v>39</v>
      </c>
      <c r="G635" s="3" t="s">
        <v>14</v>
      </c>
      <c r="H635" s="1" t="s">
        <v>35</v>
      </c>
      <c r="I635" s="3">
        <v>4</v>
      </c>
      <c r="J635" s="3" t="s">
        <v>64</v>
      </c>
      <c r="K635" s="1" t="s">
        <v>42</v>
      </c>
      <c r="L635" s="6">
        <v>65</v>
      </c>
      <c r="M635" s="6">
        <v>40</v>
      </c>
      <c r="N635" s="7">
        <f t="shared" ref="N635:N642" si="227">L635-M635</f>
        <v>25</v>
      </c>
      <c r="O635" s="6">
        <v>0.47124564564564553</v>
      </c>
      <c r="P635" s="6">
        <v>0.56844248094248073</v>
      </c>
      <c r="Q635" s="6">
        <f>O635/(0.1*O625)</f>
        <v>3.122146969223512</v>
      </c>
      <c r="R635" s="6">
        <f>O635/(0.1*O628)</f>
        <v>2.5380093522442597</v>
      </c>
      <c r="S635" s="6">
        <f>P635/(0.9*P632)</f>
        <v>0.60380237065915843</v>
      </c>
      <c r="T635" s="6">
        <f t="shared" ref="T635:T642" si="228">Q635+S635</f>
        <v>3.7259493398826704</v>
      </c>
      <c r="U635" s="6">
        <f t="shared" ref="U635:U642" si="229">R635+S635</f>
        <v>3.1418117229034181</v>
      </c>
      <c r="V635" s="1">
        <f>O635/O625+P635/P632</f>
        <v>0.8556368305155938</v>
      </c>
      <c r="W635" s="1">
        <f>O635/O628+P635/P632</f>
        <v>0.79722306881766847</v>
      </c>
      <c r="X635" s="1">
        <f t="shared" si="226"/>
        <v>55.000000000000007</v>
      </c>
      <c r="Y635" s="6">
        <f t="shared" ref="Y635:Y642" si="230">O635+P635</f>
        <v>1.0396881265881261</v>
      </c>
    </row>
    <row r="636" spans="1:25" x14ac:dyDescent="0.15">
      <c r="A636" s="1">
        <v>2023</v>
      </c>
      <c r="B636" s="3" t="s">
        <v>58</v>
      </c>
      <c r="C636" s="1">
        <v>44</v>
      </c>
      <c r="D636" s="3">
        <v>12</v>
      </c>
      <c r="E636" s="3" t="s">
        <v>35</v>
      </c>
      <c r="F636" s="3" t="s">
        <v>40</v>
      </c>
      <c r="G636" s="3" t="s">
        <v>14</v>
      </c>
      <c r="H636" s="1" t="s">
        <v>35</v>
      </c>
      <c r="I636" s="3">
        <v>4</v>
      </c>
      <c r="J636" s="3" t="s">
        <v>65</v>
      </c>
      <c r="K636" s="1" t="s">
        <v>42</v>
      </c>
      <c r="L636" s="6">
        <v>80</v>
      </c>
      <c r="M636" s="6">
        <v>50</v>
      </c>
      <c r="N636" s="7">
        <f t="shared" si="227"/>
        <v>30</v>
      </c>
      <c r="O636" s="6">
        <v>0.33732649891270577</v>
      </c>
      <c r="P636" s="6">
        <v>0.79568362997143494</v>
      </c>
      <c r="Q636" s="6">
        <f>O636/(0.1*O625)</f>
        <v>2.2348915389470285</v>
      </c>
      <c r="R636" s="6">
        <f>O636/(0.1*O628)</f>
        <v>1.8167548430655114</v>
      </c>
      <c r="S636" s="6">
        <f>P636/(0.9*P633)</f>
        <v>2.032594239046829</v>
      </c>
      <c r="T636" s="6">
        <f t="shared" si="228"/>
        <v>4.2674857779938575</v>
      </c>
      <c r="U636" s="6">
        <f t="shared" si="229"/>
        <v>3.8493490821123402</v>
      </c>
      <c r="V636" s="1">
        <f>O636/O625+P636/P633</f>
        <v>2.052823969036849</v>
      </c>
      <c r="W636" s="1">
        <f>O636/O628+P636/P633</f>
        <v>2.0110102994486971</v>
      </c>
      <c r="X636" s="1">
        <f t="shared" si="226"/>
        <v>70</v>
      </c>
      <c r="Y636" s="6">
        <f t="shared" si="230"/>
        <v>1.1330101288841408</v>
      </c>
    </row>
    <row r="637" spans="1:25" x14ac:dyDescent="0.15">
      <c r="A637" s="1">
        <v>2023</v>
      </c>
      <c r="B637" s="3" t="s">
        <v>58</v>
      </c>
      <c r="C637" s="1">
        <v>44</v>
      </c>
      <c r="D637" s="3">
        <v>13</v>
      </c>
      <c r="E637" s="3" t="s">
        <v>36</v>
      </c>
      <c r="F637" s="3" t="s">
        <v>38</v>
      </c>
      <c r="G637" s="3" t="s">
        <v>14</v>
      </c>
      <c r="H637" s="1" t="s">
        <v>36</v>
      </c>
      <c r="I637" s="3">
        <v>4</v>
      </c>
      <c r="J637" s="3" t="s">
        <v>66</v>
      </c>
      <c r="K637" s="1" t="s">
        <v>42</v>
      </c>
      <c r="L637" s="6">
        <v>65</v>
      </c>
      <c r="M637" s="6">
        <v>45</v>
      </c>
      <c r="N637" s="7">
        <f t="shared" si="227"/>
        <v>20</v>
      </c>
      <c r="O637" s="6">
        <v>0.53962024882024873</v>
      </c>
      <c r="P637" s="6">
        <v>1.170668396396396</v>
      </c>
      <c r="Q637" s="6">
        <f>O637/(0.1*O626)</f>
        <v>3.3717016677166156</v>
      </c>
      <c r="R637" s="6">
        <f>O637/(0.1*O629)</f>
        <v>3.3410753482180184</v>
      </c>
      <c r="S637" s="6">
        <f>P637/(0.9*P631)</f>
        <v>0.98899465246719576</v>
      </c>
      <c r="T637" s="6">
        <f t="shared" si="228"/>
        <v>4.3606963201838109</v>
      </c>
      <c r="U637" s="6">
        <f t="shared" si="229"/>
        <v>4.3300700006852146</v>
      </c>
      <c r="V637" s="1">
        <f>O637/O626+P637/P631</f>
        <v>1.2272653539921377</v>
      </c>
      <c r="W637" s="1">
        <f>O637/O629+P637/P631</f>
        <v>1.224202722042278</v>
      </c>
      <c r="X637" s="1">
        <f t="shared" si="226"/>
        <v>68</v>
      </c>
      <c r="Y637" s="6">
        <f t="shared" si="230"/>
        <v>1.7102886452166448</v>
      </c>
    </row>
    <row r="638" spans="1:25" x14ac:dyDescent="0.15">
      <c r="A638" s="1">
        <v>2023</v>
      </c>
      <c r="B638" s="3" t="s">
        <v>58</v>
      </c>
      <c r="C638" s="1">
        <v>44</v>
      </c>
      <c r="D638" s="3">
        <v>14</v>
      </c>
      <c r="E638" s="3" t="s">
        <v>36</v>
      </c>
      <c r="F638" s="3" t="s">
        <v>39</v>
      </c>
      <c r="G638" s="3" t="s">
        <v>14</v>
      </c>
      <c r="H638" s="1" t="s">
        <v>36</v>
      </c>
      <c r="I638" s="3">
        <v>4</v>
      </c>
      <c r="J638" s="3" t="s">
        <v>67</v>
      </c>
      <c r="K638" s="1" t="s">
        <v>42</v>
      </c>
      <c r="L638" s="6">
        <v>75</v>
      </c>
      <c r="M638" s="6">
        <v>50</v>
      </c>
      <c r="N638" s="7">
        <f t="shared" si="227"/>
        <v>25</v>
      </c>
      <c r="O638" s="6">
        <v>0.50077845757845751</v>
      </c>
      <c r="P638" s="6">
        <v>0.9670748724628242</v>
      </c>
      <c r="Q638" s="6">
        <f>O638/(0.1*O626)</f>
        <v>3.129007045723895</v>
      </c>
      <c r="R638" s="6">
        <f>O638/(0.1*O629)</f>
        <v>3.1005852044876865</v>
      </c>
      <c r="S638" s="6">
        <f>P638/(0.9*P632)</f>
        <v>1.0272316376316748</v>
      </c>
      <c r="T638" s="6">
        <f t="shared" si="228"/>
        <v>4.1562386833555696</v>
      </c>
      <c r="U638" s="6">
        <f t="shared" si="229"/>
        <v>4.1278168421193611</v>
      </c>
      <c r="V638" s="1">
        <f>O638/O626+P638/P632</f>
        <v>1.2374091784408967</v>
      </c>
      <c r="W638" s="1">
        <f>O638/O629+P638/P632</f>
        <v>1.2345669943172759</v>
      </c>
      <c r="X638" s="1">
        <f t="shared" si="226"/>
        <v>66</v>
      </c>
      <c r="Y638" s="6">
        <f t="shared" si="230"/>
        <v>1.4678533300412817</v>
      </c>
    </row>
    <row r="639" spans="1:25" x14ac:dyDescent="0.15">
      <c r="A639" s="1">
        <v>2023</v>
      </c>
      <c r="B639" s="3" t="s">
        <v>58</v>
      </c>
      <c r="C639" s="1">
        <v>44</v>
      </c>
      <c r="D639" s="3">
        <v>15</v>
      </c>
      <c r="E639" s="3" t="s">
        <v>36</v>
      </c>
      <c r="F639" s="3" t="s">
        <v>40</v>
      </c>
      <c r="G639" s="3" t="s">
        <v>14</v>
      </c>
      <c r="H639" s="1" t="s">
        <v>36</v>
      </c>
      <c r="I639" s="3">
        <v>4</v>
      </c>
      <c r="J639" s="3" t="s">
        <v>68</v>
      </c>
      <c r="K639" s="1" t="s">
        <v>42</v>
      </c>
      <c r="L639" s="6">
        <v>70</v>
      </c>
      <c r="M639" s="6">
        <v>45</v>
      </c>
      <c r="N639" s="7">
        <f t="shared" si="227"/>
        <v>25</v>
      </c>
      <c r="O639" s="6">
        <v>0.40863593004769472</v>
      </c>
      <c r="P639" s="6">
        <v>0.19661459459459457</v>
      </c>
      <c r="Q639" s="6">
        <f>O639/(0.1*O626)</f>
        <v>2.5532741772440359</v>
      </c>
      <c r="R639" s="6">
        <f>O639/(0.1*O629)</f>
        <v>2.5300819145748568</v>
      </c>
      <c r="S639" s="6">
        <f>P639/(0.9*P633)</f>
        <v>0.50225702431486208</v>
      </c>
      <c r="T639" s="6">
        <f t="shared" si="228"/>
        <v>3.0555312015588978</v>
      </c>
      <c r="U639" s="6">
        <f t="shared" si="229"/>
        <v>3.0323389388897191</v>
      </c>
      <c r="V639" s="1">
        <f>O639/O626+P639/P633</f>
        <v>0.70735873960777951</v>
      </c>
      <c r="W639" s="1">
        <f>O639/O629+P639/P633</f>
        <v>0.70503951334086157</v>
      </c>
      <c r="X639" s="1">
        <f t="shared" si="226"/>
        <v>32</v>
      </c>
      <c r="Y639" s="6">
        <f t="shared" si="230"/>
        <v>0.60525052464228923</v>
      </c>
    </row>
    <row r="640" spans="1:25" x14ac:dyDescent="0.15">
      <c r="A640" s="1">
        <v>2023</v>
      </c>
      <c r="B640" s="3" t="s">
        <v>58</v>
      </c>
      <c r="C640" s="1">
        <v>44</v>
      </c>
      <c r="D640" s="3">
        <v>16</v>
      </c>
      <c r="E640" s="3" t="s">
        <v>37</v>
      </c>
      <c r="F640" s="3" t="s">
        <v>38</v>
      </c>
      <c r="G640" s="3" t="s">
        <v>14</v>
      </c>
      <c r="H640" s="1" t="s">
        <v>37</v>
      </c>
      <c r="I640" s="3">
        <v>4</v>
      </c>
      <c r="J640" s="3" t="s">
        <v>69</v>
      </c>
      <c r="K640" s="1" t="s">
        <v>42</v>
      </c>
      <c r="L640" s="6">
        <v>60</v>
      </c>
      <c r="M640" s="6">
        <v>45</v>
      </c>
      <c r="N640" s="7">
        <f t="shared" si="227"/>
        <v>15</v>
      </c>
      <c r="O640" s="6">
        <v>0.50072511992511981</v>
      </c>
      <c r="P640" s="6">
        <v>1.1525617877617877</v>
      </c>
      <c r="Q640" s="6">
        <f>O640/(0.1*O627)</f>
        <v>4.1051856948199674</v>
      </c>
      <c r="R640" s="6">
        <f>O640/(0.1*O630)</f>
        <v>2.7747788748464179</v>
      </c>
      <c r="S640" s="6">
        <f>P640/(0.9*P631)</f>
        <v>0.97369797309234707</v>
      </c>
      <c r="T640" s="6">
        <f t="shared" si="228"/>
        <v>5.0788836679123142</v>
      </c>
      <c r="U640" s="6">
        <f t="shared" si="229"/>
        <v>3.7484768479387651</v>
      </c>
      <c r="V640" s="1">
        <f>O640/O627+P640/P631</f>
        <v>1.2868467452651091</v>
      </c>
      <c r="W640" s="1">
        <f>O640/O630+P640/P631</f>
        <v>1.1538060632677543</v>
      </c>
      <c r="X640" s="1">
        <f t="shared" si="226"/>
        <v>70</v>
      </c>
      <c r="Y640" s="6">
        <f t="shared" si="230"/>
        <v>1.6532869076869074</v>
      </c>
    </row>
    <row r="641" spans="1:25" x14ac:dyDescent="0.15">
      <c r="A641" s="1">
        <v>2024</v>
      </c>
      <c r="B641" s="3" t="s">
        <v>58</v>
      </c>
      <c r="C641" s="1">
        <v>45</v>
      </c>
      <c r="D641" s="3">
        <v>17</v>
      </c>
      <c r="E641" s="3" t="s">
        <v>37</v>
      </c>
      <c r="F641" s="3" t="s">
        <v>39</v>
      </c>
      <c r="G641" s="3" t="s">
        <v>14</v>
      </c>
      <c r="H641" s="1" t="s">
        <v>37</v>
      </c>
      <c r="I641" s="3">
        <v>4</v>
      </c>
      <c r="J641" s="3" t="s">
        <v>70</v>
      </c>
      <c r="K641" s="1" t="s">
        <v>42</v>
      </c>
      <c r="L641" s="6">
        <v>60</v>
      </c>
      <c r="M641" s="6">
        <v>40</v>
      </c>
      <c r="N641" s="7">
        <f t="shared" si="227"/>
        <v>20</v>
      </c>
      <c r="O641" s="6">
        <v>0.39588450704225348</v>
      </c>
      <c r="P641" s="6">
        <v>0.8611687615326169</v>
      </c>
      <c r="Q641" s="6">
        <f>O641/(0.1*O627)</f>
        <v>3.2456518565590411</v>
      </c>
      <c r="R641" s="6">
        <f>O641/(0.1*O630)</f>
        <v>2.1938023943837797</v>
      </c>
      <c r="S641" s="6">
        <f>P641/(0.9*P632)</f>
        <v>0.91473765100891635</v>
      </c>
      <c r="T641" s="6">
        <f t="shared" si="228"/>
        <v>4.1603895075679578</v>
      </c>
      <c r="U641" s="6">
        <f t="shared" si="229"/>
        <v>3.1085400453926959</v>
      </c>
      <c r="V641" s="1">
        <f>O641/O627+P641/P632</f>
        <v>1.147829071563929</v>
      </c>
      <c r="W641" s="1">
        <f>O641/O630+P641/P632</f>
        <v>1.0426441253464027</v>
      </c>
      <c r="X641" s="1">
        <f t="shared" si="226"/>
        <v>69</v>
      </c>
      <c r="Y641" s="6">
        <f t="shared" si="230"/>
        <v>1.2570532685748703</v>
      </c>
    </row>
    <row r="642" spans="1:25" x14ac:dyDescent="0.15">
      <c r="A642" s="1">
        <v>2024</v>
      </c>
      <c r="B642" s="3" t="s">
        <v>58</v>
      </c>
      <c r="C642" s="1">
        <v>45</v>
      </c>
      <c r="D642" s="3">
        <v>18</v>
      </c>
      <c r="E642" s="3" t="s">
        <v>37</v>
      </c>
      <c r="F642" s="3" t="s">
        <v>40</v>
      </c>
      <c r="G642" s="3" t="s">
        <v>14</v>
      </c>
      <c r="H642" s="1" t="s">
        <v>37</v>
      </c>
      <c r="I642" s="3">
        <v>4</v>
      </c>
      <c r="J642" s="3" t="s">
        <v>71</v>
      </c>
      <c r="K642" s="1" t="s">
        <v>42</v>
      </c>
      <c r="L642" s="6">
        <v>65</v>
      </c>
      <c r="M642" s="6">
        <v>55</v>
      </c>
      <c r="N642" s="7">
        <f t="shared" si="227"/>
        <v>10</v>
      </c>
      <c r="O642" s="6">
        <v>0.4742972972972973</v>
      </c>
      <c r="P642" s="6">
        <v>0.91891358193636652</v>
      </c>
      <c r="Q642" s="6">
        <f>O642/(0.1*O627)</f>
        <v>3.8885176766202805</v>
      </c>
      <c r="R642" s="6">
        <f>O642/(0.1*O630)</f>
        <v>2.6283285350934689</v>
      </c>
      <c r="S642" s="6">
        <f>P642/(0.9*P633)</f>
        <v>2.3473883117248473</v>
      </c>
      <c r="T642" s="6">
        <f t="shared" si="228"/>
        <v>6.2359059883451273</v>
      </c>
      <c r="U642" s="6">
        <f t="shared" si="229"/>
        <v>4.9757168468183162</v>
      </c>
      <c r="V642" s="1">
        <f>O642/O627+P642/P633</f>
        <v>2.5015012482143906</v>
      </c>
      <c r="W642" s="1">
        <f>O642/O630+P642/P633</f>
        <v>2.3754823340617093</v>
      </c>
      <c r="X642" s="1">
        <f t="shared" si="226"/>
        <v>66</v>
      </c>
      <c r="Y642" s="6">
        <f t="shared" si="230"/>
        <v>1.3932108792336639</v>
      </c>
    </row>
    <row r="643" spans="1:25" x14ac:dyDescent="0.15">
      <c r="A643" s="1">
        <v>2024</v>
      </c>
      <c r="B643" s="3" t="s">
        <v>58</v>
      </c>
      <c r="C643" s="1">
        <v>45</v>
      </c>
      <c r="D643" s="3">
        <v>1</v>
      </c>
      <c r="E643" s="3" t="s">
        <v>35</v>
      </c>
      <c r="F643" s="3"/>
      <c r="G643" s="3" t="s">
        <v>41</v>
      </c>
      <c r="H643" s="1" t="s">
        <v>35</v>
      </c>
      <c r="I643" s="3">
        <v>4</v>
      </c>
      <c r="J643" s="3" t="s">
        <v>35</v>
      </c>
      <c r="K643" s="1" t="s">
        <v>42</v>
      </c>
      <c r="L643" s="6">
        <v>75</v>
      </c>
      <c r="M643" s="6" t="s">
        <v>73</v>
      </c>
      <c r="N643" s="7" t="s">
        <v>45</v>
      </c>
      <c r="O643" s="6">
        <v>1.7475772590772587</v>
      </c>
      <c r="P643" s="5" t="s">
        <v>45</v>
      </c>
      <c r="Q643" s="6" t="s">
        <v>45</v>
      </c>
      <c r="R643" s="6" t="s">
        <v>45</v>
      </c>
      <c r="S643" s="6" t="s">
        <v>45</v>
      </c>
      <c r="T643" s="6" t="s">
        <v>45</v>
      </c>
      <c r="U643" s="6" t="s">
        <v>45</v>
      </c>
      <c r="V643" s="1" t="s">
        <v>45</v>
      </c>
      <c r="W643" s="1" t="s">
        <v>45</v>
      </c>
      <c r="X643" s="6" t="s">
        <v>45</v>
      </c>
      <c r="Y643" s="6">
        <f>O643</f>
        <v>1.7475772590772587</v>
      </c>
    </row>
    <row r="644" spans="1:25" x14ac:dyDescent="0.15">
      <c r="A644" s="1">
        <v>2024</v>
      </c>
      <c r="B644" s="3" t="s">
        <v>58</v>
      </c>
      <c r="C644" s="1">
        <v>45</v>
      </c>
      <c r="D644" s="3">
        <v>2</v>
      </c>
      <c r="E644" s="3" t="s">
        <v>36</v>
      </c>
      <c r="F644" s="3"/>
      <c r="G644" s="3" t="s">
        <v>41</v>
      </c>
      <c r="H644" s="1" t="s">
        <v>36</v>
      </c>
      <c r="I644" s="3">
        <v>4</v>
      </c>
      <c r="J644" s="3" t="s">
        <v>36</v>
      </c>
      <c r="K644" s="1" t="s">
        <v>42</v>
      </c>
      <c r="L644" s="6">
        <v>70</v>
      </c>
      <c r="M644" s="6" t="s">
        <v>73</v>
      </c>
      <c r="N644" s="7" t="s">
        <v>45</v>
      </c>
      <c r="O644" s="6">
        <v>2.0258281081081075</v>
      </c>
      <c r="P644" s="5" t="s">
        <v>45</v>
      </c>
      <c r="Q644" s="6" t="s">
        <v>45</v>
      </c>
      <c r="R644" s="6" t="s">
        <v>45</v>
      </c>
      <c r="S644" s="6" t="s">
        <v>45</v>
      </c>
      <c r="T644" s="6" t="s">
        <v>45</v>
      </c>
      <c r="U644" s="6" t="s">
        <v>45</v>
      </c>
      <c r="V644" s="1" t="s">
        <v>45</v>
      </c>
      <c r="W644" s="1" t="s">
        <v>45</v>
      </c>
      <c r="X644" s="6" t="s">
        <v>45</v>
      </c>
      <c r="Y644" s="6">
        <f t="shared" ref="Y644:Y648" si="231">O644</f>
        <v>2.0258281081081075</v>
      </c>
    </row>
    <row r="645" spans="1:25" x14ac:dyDescent="0.15">
      <c r="A645" s="1">
        <v>2024</v>
      </c>
      <c r="B645" s="3" t="s">
        <v>58</v>
      </c>
      <c r="C645" s="1">
        <v>45</v>
      </c>
      <c r="D645" s="3">
        <v>3</v>
      </c>
      <c r="E645" s="3" t="s">
        <v>37</v>
      </c>
      <c r="F645" s="3"/>
      <c r="G645" s="3" t="s">
        <v>41</v>
      </c>
      <c r="H645" s="1" t="s">
        <v>37</v>
      </c>
      <c r="I645" s="3">
        <v>4</v>
      </c>
      <c r="J645" s="3" t="s">
        <v>37</v>
      </c>
      <c r="K645" s="1" t="s">
        <v>42</v>
      </c>
      <c r="L645" s="6">
        <v>50</v>
      </c>
      <c r="M645" s="6" t="s">
        <v>73</v>
      </c>
      <c r="N645" s="7" t="s">
        <v>45</v>
      </c>
      <c r="O645" s="6">
        <v>1.6966074074074071</v>
      </c>
      <c r="P645" s="5" t="s">
        <v>45</v>
      </c>
      <c r="Q645" s="6" t="s">
        <v>45</v>
      </c>
      <c r="R645" s="6" t="s">
        <v>45</v>
      </c>
      <c r="S645" s="6" t="s">
        <v>45</v>
      </c>
      <c r="T645" s="6" t="s">
        <v>45</v>
      </c>
      <c r="U645" s="6" t="s">
        <v>45</v>
      </c>
      <c r="V645" s="1" t="s">
        <v>45</v>
      </c>
      <c r="W645" s="1" t="s">
        <v>45</v>
      </c>
      <c r="X645" s="6" t="s">
        <v>45</v>
      </c>
      <c r="Y645" s="6">
        <f t="shared" si="231"/>
        <v>1.6966074074074071</v>
      </c>
    </row>
    <row r="646" spans="1:25" x14ac:dyDescent="0.15">
      <c r="A646" s="1">
        <v>2024</v>
      </c>
      <c r="B646" s="3" t="s">
        <v>58</v>
      </c>
      <c r="C646" s="1">
        <v>45</v>
      </c>
      <c r="D646" s="3">
        <v>4</v>
      </c>
      <c r="E646" s="3" t="s">
        <v>35</v>
      </c>
      <c r="F646" s="3"/>
      <c r="G646" s="3" t="s">
        <v>41</v>
      </c>
      <c r="H646" s="1" t="s">
        <v>75</v>
      </c>
      <c r="I646" s="3">
        <v>4</v>
      </c>
      <c r="J646" s="3" t="s">
        <v>35</v>
      </c>
      <c r="K646" s="1" t="s">
        <v>43</v>
      </c>
      <c r="L646" s="6">
        <v>70</v>
      </c>
      <c r="M646" s="6" t="s">
        <v>73</v>
      </c>
      <c r="N646" s="7" t="s">
        <v>45</v>
      </c>
      <c r="O646" s="6">
        <v>1.567211291291291</v>
      </c>
      <c r="P646" s="5" t="s">
        <v>45</v>
      </c>
      <c r="Q646" s="6" t="s">
        <v>45</v>
      </c>
      <c r="R646" s="6" t="s">
        <v>45</v>
      </c>
      <c r="S646" s="6" t="s">
        <v>45</v>
      </c>
      <c r="T646" s="6" t="s">
        <v>45</v>
      </c>
      <c r="U646" s="6" t="s">
        <v>45</v>
      </c>
      <c r="V646" s="1" t="s">
        <v>45</v>
      </c>
      <c r="W646" s="1" t="s">
        <v>45</v>
      </c>
      <c r="X646" s="1" t="s">
        <v>45</v>
      </c>
      <c r="Y646" s="6">
        <f t="shared" si="231"/>
        <v>1.567211291291291</v>
      </c>
    </row>
    <row r="647" spans="1:25" x14ac:dyDescent="0.15">
      <c r="A647" s="1">
        <v>2024</v>
      </c>
      <c r="B647" s="3" t="s">
        <v>58</v>
      </c>
      <c r="C647" s="1">
        <v>45</v>
      </c>
      <c r="D647" s="3">
        <v>5</v>
      </c>
      <c r="E647" s="3" t="s">
        <v>36</v>
      </c>
      <c r="F647" s="3"/>
      <c r="G647" s="3" t="s">
        <v>41</v>
      </c>
      <c r="H647" s="1" t="s">
        <v>76</v>
      </c>
      <c r="I647" s="3">
        <v>4</v>
      </c>
      <c r="J647" s="3" t="s">
        <v>36</v>
      </c>
      <c r="K647" s="1" t="s">
        <v>43</v>
      </c>
      <c r="L647" s="6">
        <v>70</v>
      </c>
      <c r="M647" s="6" t="s">
        <v>73</v>
      </c>
      <c r="N647" s="7" t="s">
        <v>45</v>
      </c>
      <c r="O647" s="6">
        <v>1.8245201415701415</v>
      </c>
      <c r="P647" s="5" t="s">
        <v>45</v>
      </c>
      <c r="Q647" s="6" t="s">
        <v>45</v>
      </c>
      <c r="R647" s="6" t="s">
        <v>45</v>
      </c>
      <c r="S647" s="6" t="s">
        <v>45</v>
      </c>
      <c r="T647" s="6" t="s">
        <v>45</v>
      </c>
      <c r="U647" s="6" t="s">
        <v>45</v>
      </c>
      <c r="V647" s="1" t="s">
        <v>45</v>
      </c>
      <c r="W647" s="1" t="s">
        <v>45</v>
      </c>
      <c r="X647" s="1" t="s">
        <v>45</v>
      </c>
      <c r="Y647" s="6">
        <f t="shared" si="231"/>
        <v>1.8245201415701415</v>
      </c>
    </row>
    <row r="648" spans="1:25" x14ac:dyDescent="0.15">
      <c r="A648" s="1">
        <v>2024</v>
      </c>
      <c r="B648" s="3" t="s">
        <v>58</v>
      </c>
      <c r="C648" s="1">
        <v>45</v>
      </c>
      <c r="D648" s="3">
        <v>6</v>
      </c>
      <c r="E648" s="3" t="s">
        <v>37</v>
      </c>
      <c r="F648" s="3"/>
      <c r="G648" s="3" t="s">
        <v>41</v>
      </c>
      <c r="H648" s="1" t="s">
        <v>77</v>
      </c>
      <c r="I648" s="3">
        <v>4</v>
      </c>
      <c r="J648" s="3" t="s">
        <v>37</v>
      </c>
      <c r="K648" s="1" t="s">
        <v>43</v>
      </c>
      <c r="L648" s="6">
        <v>45</v>
      </c>
      <c r="M648" s="6" t="s">
        <v>73</v>
      </c>
      <c r="N648" s="7" t="s">
        <v>45</v>
      </c>
      <c r="O648" s="6">
        <v>1.2304594594594593</v>
      </c>
      <c r="P648" s="5" t="s">
        <v>45</v>
      </c>
      <c r="Q648" s="6" t="s">
        <v>45</v>
      </c>
      <c r="R648" s="6" t="s">
        <v>45</v>
      </c>
      <c r="S648" s="6" t="s">
        <v>45</v>
      </c>
      <c r="T648" s="6" t="s">
        <v>45</v>
      </c>
      <c r="U648" s="6" t="s">
        <v>45</v>
      </c>
      <c r="V648" s="1" t="s">
        <v>45</v>
      </c>
      <c r="W648" s="1" t="s">
        <v>45</v>
      </c>
      <c r="X648" s="1" t="s">
        <v>45</v>
      </c>
      <c r="Y648" s="6">
        <f t="shared" si="231"/>
        <v>1.2304594594594593</v>
      </c>
    </row>
    <row r="649" spans="1:25" x14ac:dyDescent="0.15">
      <c r="A649" s="1">
        <v>2024</v>
      </c>
      <c r="B649" s="3" t="s">
        <v>58</v>
      </c>
      <c r="C649" s="1">
        <v>45</v>
      </c>
      <c r="D649" s="3">
        <v>7</v>
      </c>
      <c r="E649" s="3"/>
      <c r="F649" s="3" t="s">
        <v>38</v>
      </c>
      <c r="G649" s="3" t="s">
        <v>41</v>
      </c>
      <c r="H649" s="1"/>
      <c r="I649" s="3">
        <v>4</v>
      </c>
      <c r="J649" s="3" t="s">
        <v>38</v>
      </c>
      <c r="K649" s="1" t="s">
        <v>42</v>
      </c>
      <c r="L649" s="6" t="s">
        <v>73</v>
      </c>
      <c r="M649" s="6">
        <v>50</v>
      </c>
      <c r="N649" s="7" t="s">
        <v>45</v>
      </c>
      <c r="O649" s="5" t="s">
        <v>45</v>
      </c>
      <c r="P649" s="6">
        <v>1.4934203003002999</v>
      </c>
      <c r="Q649" s="6" t="s">
        <v>45</v>
      </c>
      <c r="R649" s="6" t="s">
        <v>45</v>
      </c>
      <c r="S649" s="6" t="s">
        <v>45</v>
      </c>
      <c r="T649" s="6" t="s">
        <v>45</v>
      </c>
      <c r="U649" s="6" t="s">
        <v>45</v>
      </c>
      <c r="V649" s="1" t="s">
        <v>45</v>
      </c>
      <c r="W649" s="1" t="s">
        <v>45</v>
      </c>
      <c r="X649" s="1" t="s">
        <v>45</v>
      </c>
      <c r="Y649" s="6">
        <f>P649</f>
        <v>1.4934203003002999</v>
      </c>
    </row>
    <row r="650" spans="1:25" x14ac:dyDescent="0.15">
      <c r="A650" s="1">
        <v>2024</v>
      </c>
      <c r="B650" s="3" t="s">
        <v>58</v>
      </c>
      <c r="C650" s="1">
        <v>45</v>
      </c>
      <c r="D650" s="3">
        <v>8</v>
      </c>
      <c r="E650" s="3"/>
      <c r="F650" s="3" t="s">
        <v>39</v>
      </c>
      <c r="G650" s="3" t="s">
        <v>41</v>
      </c>
      <c r="H650" s="1"/>
      <c r="I650" s="3">
        <v>4</v>
      </c>
      <c r="J650" s="3" t="s">
        <v>39</v>
      </c>
      <c r="K650" s="1" t="s">
        <v>42</v>
      </c>
      <c r="L650" s="6" t="s">
        <v>73</v>
      </c>
      <c r="M650" s="6">
        <v>40</v>
      </c>
      <c r="N650" s="7" t="s">
        <v>45</v>
      </c>
      <c r="O650" s="5" t="s">
        <v>45</v>
      </c>
      <c r="P650" s="6">
        <v>0.90853438032627221</v>
      </c>
      <c r="Q650" s="6" t="s">
        <v>45</v>
      </c>
      <c r="R650" s="6" t="s">
        <v>45</v>
      </c>
      <c r="S650" s="6" t="s">
        <v>45</v>
      </c>
      <c r="T650" s="6" t="s">
        <v>45</v>
      </c>
      <c r="U650" s="6" t="s">
        <v>45</v>
      </c>
      <c r="V650" s="1" t="s">
        <v>45</v>
      </c>
      <c r="W650" s="1" t="s">
        <v>45</v>
      </c>
      <c r="X650" s="1" t="s">
        <v>45</v>
      </c>
      <c r="Y650" s="6">
        <f t="shared" ref="Y650:Y651" si="232">P650</f>
        <v>0.90853438032627221</v>
      </c>
    </row>
    <row r="651" spans="1:25" x14ac:dyDescent="0.15">
      <c r="A651" s="1">
        <v>2024</v>
      </c>
      <c r="B651" s="3" t="s">
        <v>58</v>
      </c>
      <c r="C651" s="1">
        <v>45</v>
      </c>
      <c r="D651" s="3">
        <v>9</v>
      </c>
      <c r="E651" s="3"/>
      <c r="F651" s="3" t="s">
        <v>40</v>
      </c>
      <c r="G651" s="3" t="s">
        <v>41</v>
      </c>
      <c r="H651" s="1"/>
      <c r="I651" s="3">
        <v>4</v>
      </c>
      <c r="J651" s="3" t="s">
        <v>40</v>
      </c>
      <c r="K651" s="1" t="s">
        <v>42</v>
      </c>
      <c r="L651" s="6" t="s">
        <v>73</v>
      </c>
      <c r="M651" s="6">
        <v>60</v>
      </c>
      <c r="N651" s="7" t="s">
        <v>45</v>
      </c>
      <c r="O651" s="5" t="s">
        <v>45</v>
      </c>
      <c r="P651" s="6">
        <v>0.42507906976744175</v>
      </c>
      <c r="Q651" s="6" t="s">
        <v>45</v>
      </c>
      <c r="R651" s="6" t="s">
        <v>45</v>
      </c>
      <c r="S651" s="6" t="s">
        <v>45</v>
      </c>
      <c r="T651" s="6" t="s">
        <v>45</v>
      </c>
      <c r="U651" s="6" t="s">
        <v>45</v>
      </c>
      <c r="V651" s="1" t="s">
        <v>45</v>
      </c>
      <c r="W651" s="1" t="s">
        <v>45</v>
      </c>
      <c r="X651" s="1" t="s">
        <v>45</v>
      </c>
      <c r="Y651" s="6">
        <f t="shared" si="232"/>
        <v>0.42507906976744175</v>
      </c>
    </row>
    <row r="652" spans="1:25" x14ac:dyDescent="0.15">
      <c r="A652" s="1">
        <v>2024</v>
      </c>
      <c r="B652" s="3" t="s">
        <v>58</v>
      </c>
      <c r="C652" s="1">
        <v>45</v>
      </c>
      <c r="D652" s="3">
        <v>10</v>
      </c>
      <c r="E652" s="3" t="s">
        <v>35</v>
      </c>
      <c r="F652" s="3" t="s">
        <v>38</v>
      </c>
      <c r="G652" s="3" t="s">
        <v>14</v>
      </c>
      <c r="H652" s="1" t="s">
        <v>35</v>
      </c>
      <c r="I652" s="3">
        <v>4</v>
      </c>
      <c r="J652" s="3" t="s">
        <v>63</v>
      </c>
      <c r="K652" s="1" t="s">
        <v>42</v>
      </c>
      <c r="L652" s="6">
        <v>80</v>
      </c>
      <c r="M652" s="6">
        <v>45</v>
      </c>
      <c r="N652" s="7">
        <f>L652-M652</f>
        <v>35</v>
      </c>
      <c r="O652" s="6">
        <v>0.59718792792792785</v>
      </c>
      <c r="P652" s="6">
        <v>0.81560056441984163</v>
      </c>
      <c r="Q652" s="6">
        <f>O652/(0.1*O643)</f>
        <v>3.4172333430525987</v>
      </c>
      <c r="R652" s="6">
        <f>O652/(0.1*O646)</f>
        <v>3.8105131787040643</v>
      </c>
      <c r="S652" s="6">
        <f>P652/(0.9*P649)</f>
        <v>0.60681031935427321</v>
      </c>
      <c r="T652" s="6">
        <f>Q652+S652</f>
        <v>4.0240436624068723</v>
      </c>
      <c r="U652" s="6">
        <f>R652+S652</f>
        <v>4.4173234980583373</v>
      </c>
      <c r="V652" s="1">
        <f>O652/O643+P652/P649</f>
        <v>0.88785262172410584</v>
      </c>
      <c r="W652" s="1">
        <f>O652/O646+P652/P649</f>
        <v>0.92718060528925239</v>
      </c>
      <c r="X652" s="1">
        <f t="shared" ref="X652:X660" si="233">100*ROUND(P652/(P652+O652), 2)</f>
        <v>57.999999999999993</v>
      </c>
      <c r="Y652" s="6">
        <f>O652+P652</f>
        <v>1.4127884923477696</v>
      </c>
    </row>
    <row r="653" spans="1:25" x14ac:dyDescent="0.15">
      <c r="A653" s="1">
        <v>2024</v>
      </c>
      <c r="B653" s="3" t="s">
        <v>58</v>
      </c>
      <c r="C653" s="1">
        <v>45</v>
      </c>
      <c r="D653" s="3">
        <v>11</v>
      </c>
      <c r="E653" s="3" t="s">
        <v>35</v>
      </c>
      <c r="F653" s="3" t="s">
        <v>39</v>
      </c>
      <c r="G653" s="3" t="s">
        <v>14</v>
      </c>
      <c r="H653" s="1" t="s">
        <v>35</v>
      </c>
      <c r="I653" s="3">
        <v>4</v>
      </c>
      <c r="J653" s="3" t="s">
        <v>64</v>
      </c>
      <c r="K653" s="1" t="s">
        <v>42</v>
      </c>
      <c r="L653" s="6">
        <v>80</v>
      </c>
      <c r="M653" s="6">
        <v>45</v>
      </c>
      <c r="N653" s="7">
        <f t="shared" ref="N653:N660" si="234">L653-M653</f>
        <v>35</v>
      </c>
      <c r="O653" s="6">
        <v>0.55945079256471653</v>
      </c>
      <c r="P653" s="6">
        <v>0.92358030030030014</v>
      </c>
      <c r="Q653" s="6">
        <f>O653/(0.1*O643)</f>
        <v>3.2012936175429125</v>
      </c>
      <c r="R653" s="6">
        <f>O653/(0.1*O646)</f>
        <v>3.5697215536506346</v>
      </c>
      <c r="S653" s="6">
        <f>P653/(0.9*P650)</f>
        <v>1.129511833441539</v>
      </c>
      <c r="T653" s="6">
        <f t="shared" ref="T653:T660" si="235">Q653+S653</f>
        <v>4.3308054509844514</v>
      </c>
      <c r="U653" s="6">
        <f t="shared" ref="U653:U660" si="236">R653+S653</f>
        <v>4.6992333870921739</v>
      </c>
      <c r="V653" s="1">
        <f>O653/O643+P653/P650</f>
        <v>1.3366900118516762</v>
      </c>
      <c r="W653" s="1">
        <f>O653/O646+P653/P650</f>
        <v>1.3735328054624485</v>
      </c>
      <c r="X653" s="1">
        <f t="shared" si="233"/>
        <v>62</v>
      </c>
      <c r="Y653" s="6">
        <f t="shared" ref="Y653:Y660" si="237">O653+P653</f>
        <v>1.4830310928650166</v>
      </c>
    </row>
    <row r="654" spans="1:25" x14ac:dyDescent="0.15">
      <c r="A654" s="1">
        <v>2024</v>
      </c>
      <c r="B654" s="3" t="s">
        <v>58</v>
      </c>
      <c r="C654" s="1">
        <v>45</v>
      </c>
      <c r="D654" s="3">
        <v>12</v>
      </c>
      <c r="E654" s="3" t="s">
        <v>35</v>
      </c>
      <c r="F654" s="3" t="s">
        <v>40</v>
      </c>
      <c r="G654" s="3" t="s">
        <v>14</v>
      </c>
      <c r="H654" s="1" t="s">
        <v>35</v>
      </c>
      <c r="I654" s="3">
        <v>4</v>
      </c>
      <c r="J654" s="3" t="s">
        <v>65</v>
      </c>
      <c r="K654" s="1" t="s">
        <v>42</v>
      </c>
      <c r="L654" s="6">
        <v>75</v>
      </c>
      <c r="M654" s="6">
        <v>50</v>
      </c>
      <c r="N654" s="7">
        <f t="shared" si="234"/>
        <v>25</v>
      </c>
      <c r="O654" s="6">
        <v>0.39064712404712398</v>
      </c>
      <c r="P654" s="6">
        <v>0.32235343035343034</v>
      </c>
      <c r="Q654" s="6">
        <f>O654/(0.1*O643)</f>
        <v>2.2353639704226311</v>
      </c>
      <c r="R654" s="6">
        <f>O654/(0.1*O646)</f>
        <v>2.4926257628303166</v>
      </c>
      <c r="S654" s="6">
        <f>P654/(0.9*P651)</f>
        <v>0.84259730399436295</v>
      </c>
      <c r="T654" s="6">
        <f t="shared" si="235"/>
        <v>3.0779612744169942</v>
      </c>
      <c r="U654" s="6">
        <f t="shared" si="236"/>
        <v>3.3352230668246796</v>
      </c>
      <c r="V654" s="1">
        <f>O654/O643+P654/P651</f>
        <v>0.98187397063718984</v>
      </c>
      <c r="W654" s="1">
        <f>O654/O646+P654/P651</f>
        <v>1.0076001498779583</v>
      </c>
      <c r="X654" s="1">
        <f t="shared" si="233"/>
        <v>45</v>
      </c>
      <c r="Y654" s="6">
        <f t="shared" si="237"/>
        <v>0.71300055440055432</v>
      </c>
    </row>
    <row r="655" spans="1:25" x14ac:dyDescent="0.15">
      <c r="A655" s="1">
        <v>2024</v>
      </c>
      <c r="B655" s="3" t="s">
        <v>58</v>
      </c>
      <c r="C655" s="1">
        <v>45</v>
      </c>
      <c r="D655" s="3">
        <v>13</v>
      </c>
      <c r="E655" s="3" t="s">
        <v>36</v>
      </c>
      <c r="F655" s="3" t="s">
        <v>38</v>
      </c>
      <c r="G655" s="3" t="s">
        <v>14</v>
      </c>
      <c r="H655" s="1" t="s">
        <v>36</v>
      </c>
      <c r="I655" s="3">
        <v>4</v>
      </c>
      <c r="J655" s="3" t="s">
        <v>66</v>
      </c>
      <c r="K655" s="1" t="s">
        <v>42</v>
      </c>
      <c r="L655" s="6">
        <v>70</v>
      </c>
      <c r="M655" s="6">
        <v>50</v>
      </c>
      <c r="N655" s="7">
        <f t="shared" si="234"/>
        <v>20</v>
      </c>
      <c r="O655" s="6">
        <v>0.54621861861861853</v>
      </c>
      <c r="P655" s="6">
        <v>0.40681501501501505</v>
      </c>
      <c r="Q655" s="6">
        <f>O655/(0.1*O644)</f>
        <v>2.6962732742844824</v>
      </c>
      <c r="R655" s="6">
        <f>O655/(0.1*O647)</f>
        <v>2.9937659013649194</v>
      </c>
      <c r="S655" s="6">
        <f>P655/(0.9*P649)</f>
        <v>0.302672116656727</v>
      </c>
      <c r="T655" s="6">
        <f t="shared" si="235"/>
        <v>2.9989453909412092</v>
      </c>
      <c r="U655" s="6">
        <f t="shared" si="236"/>
        <v>3.2964380180216466</v>
      </c>
      <c r="V655" s="1">
        <f>O655/O644+P655/P649</f>
        <v>0.5420322324195026</v>
      </c>
      <c r="W655" s="1">
        <f>O655/O647+P655/P649</f>
        <v>0.57178149512754628</v>
      </c>
      <c r="X655" s="1">
        <f t="shared" si="233"/>
        <v>43</v>
      </c>
      <c r="Y655" s="6">
        <f t="shared" si="237"/>
        <v>0.95303363363363358</v>
      </c>
    </row>
    <row r="656" spans="1:25" x14ac:dyDescent="0.15">
      <c r="A656" s="1">
        <v>2024</v>
      </c>
      <c r="B656" s="3" t="s">
        <v>58</v>
      </c>
      <c r="C656" s="1">
        <v>46</v>
      </c>
      <c r="D656" s="3">
        <v>14</v>
      </c>
      <c r="E656" s="3" t="s">
        <v>36</v>
      </c>
      <c r="F656" s="3" t="s">
        <v>39</v>
      </c>
      <c r="G656" s="3" t="s">
        <v>14</v>
      </c>
      <c r="H656" s="1" t="s">
        <v>36</v>
      </c>
      <c r="I656" s="3">
        <v>4</v>
      </c>
      <c r="J656" s="3" t="s">
        <v>67</v>
      </c>
      <c r="K656" s="1" t="s">
        <v>42</v>
      </c>
      <c r="L656" s="6">
        <v>75</v>
      </c>
      <c r="M656" s="6">
        <v>40</v>
      </c>
      <c r="N656" s="7">
        <f t="shared" si="234"/>
        <v>35</v>
      </c>
      <c r="O656" s="6">
        <v>0.57605062411809393</v>
      </c>
      <c r="P656" s="6">
        <v>0.42004105371193967</v>
      </c>
      <c r="Q656" s="6">
        <f>O656/(0.1*O644)</f>
        <v>2.843531599806163</v>
      </c>
      <c r="R656" s="6">
        <f>O656/(0.1*O647)</f>
        <v>3.1572719368411986</v>
      </c>
      <c r="S656" s="6">
        <f>P656/(0.9*P650)</f>
        <v>0.51369798656881849</v>
      </c>
      <c r="T656" s="6">
        <f t="shared" si="235"/>
        <v>3.3572295863749817</v>
      </c>
      <c r="U656" s="6">
        <f t="shared" si="236"/>
        <v>3.6709699234100173</v>
      </c>
      <c r="V656" s="1">
        <f>O656/O644+P656/P650</f>
        <v>0.74668134789255292</v>
      </c>
      <c r="W656" s="1">
        <f>O656/O647+P656/P650</f>
        <v>0.77805538159605647</v>
      </c>
      <c r="X656" s="1">
        <f t="shared" si="233"/>
        <v>42</v>
      </c>
      <c r="Y656" s="6">
        <f t="shared" si="237"/>
        <v>0.99609167783003361</v>
      </c>
    </row>
    <row r="657" spans="1:25" x14ac:dyDescent="0.15">
      <c r="A657" s="1">
        <v>2024</v>
      </c>
      <c r="B657" s="3" t="s">
        <v>58</v>
      </c>
      <c r="C657" s="1">
        <v>46</v>
      </c>
      <c r="D657" s="3">
        <v>15</v>
      </c>
      <c r="E657" s="3" t="s">
        <v>36</v>
      </c>
      <c r="F657" s="3" t="s">
        <v>40</v>
      </c>
      <c r="G657" s="3" t="s">
        <v>14</v>
      </c>
      <c r="H657" s="1" t="s">
        <v>36</v>
      </c>
      <c r="I657" s="3">
        <v>4</v>
      </c>
      <c r="J657" s="3" t="s">
        <v>68</v>
      </c>
      <c r="K657" s="1" t="s">
        <v>42</v>
      </c>
      <c r="L657" s="6">
        <v>65</v>
      </c>
      <c r="M657" s="6">
        <v>40</v>
      </c>
      <c r="N657" s="7">
        <f t="shared" si="234"/>
        <v>25</v>
      </c>
      <c r="O657" s="6">
        <v>0.50771685971685965</v>
      </c>
      <c r="P657" s="6">
        <v>0.22845110327719023</v>
      </c>
      <c r="Q657" s="6">
        <f>O657/(0.1*O644)</f>
        <v>2.506218852847339</v>
      </c>
      <c r="R657" s="6">
        <f>O657/(0.1*O647)</f>
        <v>2.7827418735971294</v>
      </c>
      <c r="S657" s="6">
        <f>P657/(0.9*P651)</f>
        <v>0.59714668928712344</v>
      </c>
      <c r="T657" s="6">
        <f t="shared" si="235"/>
        <v>3.1033655421344624</v>
      </c>
      <c r="U657" s="6">
        <f t="shared" si="236"/>
        <v>3.3798885628842528</v>
      </c>
      <c r="V657" s="1">
        <f>O657/O644+P657/P651</f>
        <v>0.78805390564314504</v>
      </c>
      <c r="W657" s="1">
        <f>O657/O647+P657/P651</f>
        <v>0.81570620771812419</v>
      </c>
      <c r="X657" s="1">
        <f t="shared" si="233"/>
        <v>31</v>
      </c>
      <c r="Y657" s="6">
        <f t="shared" si="237"/>
        <v>0.73616796299404985</v>
      </c>
    </row>
    <row r="658" spans="1:25" x14ac:dyDescent="0.15">
      <c r="A658" s="1">
        <v>2024</v>
      </c>
      <c r="B658" s="3" t="s">
        <v>58</v>
      </c>
      <c r="C658" s="1">
        <v>46</v>
      </c>
      <c r="D658" s="3">
        <v>16</v>
      </c>
      <c r="E658" s="3" t="s">
        <v>37</v>
      </c>
      <c r="F658" s="3" t="s">
        <v>38</v>
      </c>
      <c r="G658" s="3" t="s">
        <v>14</v>
      </c>
      <c r="H658" s="1" t="s">
        <v>37</v>
      </c>
      <c r="I658" s="3">
        <v>4</v>
      </c>
      <c r="J658" s="3" t="s">
        <v>69</v>
      </c>
      <c r="K658" s="1" t="s">
        <v>42</v>
      </c>
      <c r="L658" s="6">
        <v>60</v>
      </c>
      <c r="M658" s="6">
        <v>55</v>
      </c>
      <c r="N658" s="7">
        <f t="shared" si="234"/>
        <v>5</v>
      </c>
      <c r="O658" s="6">
        <v>0.47210760527969814</v>
      </c>
      <c r="P658" s="6">
        <v>0.47653293293293275</v>
      </c>
      <c r="Q658" s="6">
        <f>O658/(0.1*O645)</f>
        <v>2.7826567491010059</v>
      </c>
      <c r="R658" s="6">
        <f>O658/(0.1*O648)</f>
        <v>3.8368399840421801</v>
      </c>
      <c r="S658" s="6">
        <f>P658/(0.9*P649)</f>
        <v>0.35454254672022228</v>
      </c>
      <c r="T658" s="6">
        <f t="shared" si="235"/>
        <v>3.1371992958212283</v>
      </c>
      <c r="U658" s="6">
        <f t="shared" si="236"/>
        <v>4.191382530762402</v>
      </c>
      <c r="V658" s="1">
        <f>O658/O645+P658/P649</f>
        <v>0.59735396695830056</v>
      </c>
      <c r="W658" s="1">
        <f>O658/O648+P658/P649</f>
        <v>0.70277229045241807</v>
      </c>
      <c r="X658" s="1">
        <f t="shared" si="233"/>
        <v>50</v>
      </c>
      <c r="Y658" s="6">
        <f t="shared" si="237"/>
        <v>0.94864053821263083</v>
      </c>
    </row>
    <row r="659" spans="1:25" x14ac:dyDescent="0.15">
      <c r="A659" s="1">
        <v>2024</v>
      </c>
      <c r="B659" s="3" t="s">
        <v>58</v>
      </c>
      <c r="C659" s="1">
        <v>46</v>
      </c>
      <c r="D659" s="3">
        <v>17</v>
      </c>
      <c r="E659" s="3" t="s">
        <v>37</v>
      </c>
      <c r="F659" s="3" t="s">
        <v>39</v>
      </c>
      <c r="G659" s="3" t="s">
        <v>14</v>
      </c>
      <c r="H659" s="1" t="s">
        <v>37</v>
      </c>
      <c r="I659" s="3">
        <v>4</v>
      </c>
      <c r="J659" s="3" t="s">
        <v>70</v>
      </c>
      <c r="K659" s="1" t="s">
        <v>42</v>
      </c>
      <c r="L659" s="6">
        <v>50</v>
      </c>
      <c r="M659" s="6">
        <v>40</v>
      </c>
      <c r="N659" s="7">
        <f t="shared" si="234"/>
        <v>10</v>
      </c>
      <c r="O659" s="6">
        <v>0.54127431779605684</v>
      </c>
      <c r="P659" s="6">
        <v>0.25600221273905488</v>
      </c>
      <c r="Q659" s="6">
        <f>O659/(0.1*O645)</f>
        <v>3.1903333407177583</v>
      </c>
      <c r="R659" s="6">
        <f>O659/(0.1*O648)</f>
        <v>4.3989610030210873</v>
      </c>
      <c r="S659" s="6">
        <f>P659/(0.9*P650)</f>
        <v>0.31308325716990915</v>
      </c>
      <c r="T659" s="6">
        <f t="shared" si="235"/>
        <v>3.5034165978876675</v>
      </c>
      <c r="U659" s="6">
        <f t="shared" si="236"/>
        <v>4.7120442601909964</v>
      </c>
      <c r="V659" s="1">
        <f>O659/O645+P659/P650</f>
        <v>0.60080826552469402</v>
      </c>
      <c r="W659" s="1">
        <f>O659/O648+P659/P650</f>
        <v>0.721671031755027</v>
      </c>
      <c r="X659" s="1">
        <f t="shared" si="233"/>
        <v>32</v>
      </c>
      <c r="Y659" s="6">
        <f t="shared" si="237"/>
        <v>0.79727653053511172</v>
      </c>
    </row>
    <row r="660" spans="1:25" x14ac:dyDescent="0.15">
      <c r="A660" s="1">
        <v>2024</v>
      </c>
      <c r="B660" s="3" t="s">
        <v>58</v>
      </c>
      <c r="C660" s="1">
        <v>46</v>
      </c>
      <c r="D660" s="3">
        <v>18</v>
      </c>
      <c r="E660" s="3" t="s">
        <v>37</v>
      </c>
      <c r="F660" s="3" t="s">
        <v>40</v>
      </c>
      <c r="G660" s="3" t="s">
        <v>14</v>
      </c>
      <c r="H660" s="1" t="s">
        <v>37</v>
      </c>
      <c r="I660" s="3">
        <v>4</v>
      </c>
      <c r="J660" s="3" t="s">
        <v>71</v>
      </c>
      <c r="K660" s="1" t="s">
        <v>42</v>
      </c>
      <c r="L660" s="6">
        <v>60</v>
      </c>
      <c r="M660" s="6">
        <v>50</v>
      </c>
      <c r="N660" s="7">
        <f t="shared" si="234"/>
        <v>10</v>
      </c>
      <c r="O660" s="6">
        <v>0.57995300119396509</v>
      </c>
      <c r="P660" s="6">
        <v>0.22059819819819815</v>
      </c>
      <c r="Q660" s="6">
        <f>O660/(0.1*O645)</f>
        <v>3.418309967655945</v>
      </c>
      <c r="R660" s="6">
        <f>O660/(0.1*O648)</f>
        <v>4.7133044224694602</v>
      </c>
      <c r="S660" s="6">
        <f>P660/(0.9*P651)</f>
        <v>0.57662003740435108</v>
      </c>
      <c r="T660" s="6">
        <f t="shared" si="235"/>
        <v>3.9949300050602963</v>
      </c>
      <c r="U660" s="6">
        <f t="shared" si="236"/>
        <v>5.2899244598738111</v>
      </c>
      <c r="V660" s="1">
        <f>O660/O645+P660/P651</f>
        <v>0.86078903042951049</v>
      </c>
      <c r="W660" s="1">
        <f>O660/O648+P660/P651</f>
        <v>0.990288475910862</v>
      </c>
      <c r="X660" s="1">
        <f t="shared" si="233"/>
        <v>28.000000000000004</v>
      </c>
      <c r="Y660" s="6">
        <f t="shared" si="237"/>
        <v>0.80055119939216324</v>
      </c>
    </row>
    <row r="661" spans="1:25" x14ac:dyDescent="0.15">
      <c r="A661" s="1">
        <v>2024</v>
      </c>
      <c r="B661" s="3" t="s">
        <v>58</v>
      </c>
      <c r="C661" s="1">
        <v>46</v>
      </c>
      <c r="D661" s="3">
        <v>1</v>
      </c>
      <c r="E661" s="3" t="s">
        <v>35</v>
      </c>
      <c r="F661" s="3"/>
      <c r="G661" s="3" t="s">
        <v>41</v>
      </c>
      <c r="H661" s="1" t="s">
        <v>35</v>
      </c>
      <c r="I661" s="3">
        <v>4</v>
      </c>
      <c r="J661" s="3" t="s">
        <v>35</v>
      </c>
      <c r="K661" s="1" t="s">
        <v>42</v>
      </c>
      <c r="L661" s="6">
        <v>110</v>
      </c>
      <c r="M661" s="6" t="s">
        <v>73</v>
      </c>
      <c r="N661" s="7" t="s">
        <v>45</v>
      </c>
      <c r="O661" s="6">
        <v>2.1493333333333333</v>
      </c>
      <c r="P661" s="5" t="s">
        <v>45</v>
      </c>
      <c r="Q661" s="6" t="s">
        <v>45</v>
      </c>
      <c r="R661" s="6" t="s">
        <v>45</v>
      </c>
      <c r="S661" s="6" t="s">
        <v>45</v>
      </c>
      <c r="T661" s="6" t="s">
        <v>45</v>
      </c>
      <c r="U661" s="6" t="s">
        <v>45</v>
      </c>
      <c r="V661" s="1" t="s">
        <v>45</v>
      </c>
      <c r="W661" s="1" t="s">
        <v>45</v>
      </c>
      <c r="X661" s="6" t="s">
        <v>45</v>
      </c>
      <c r="Y661" s="6">
        <f>O661</f>
        <v>2.1493333333333333</v>
      </c>
    </row>
    <row r="662" spans="1:25" x14ac:dyDescent="0.15">
      <c r="A662" s="1">
        <v>2024</v>
      </c>
      <c r="B662" s="3" t="s">
        <v>58</v>
      </c>
      <c r="C662" s="1">
        <v>46</v>
      </c>
      <c r="D662" s="3">
        <v>2</v>
      </c>
      <c r="E662" s="3" t="s">
        <v>36</v>
      </c>
      <c r="F662" s="3"/>
      <c r="G662" s="3" t="s">
        <v>41</v>
      </c>
      <c r="H662" s="1" t="s">
        <v>36</v>
      </c>
      <c r="I662" s="3">
        <v>4</v>
      </c>
      <c r="J662" s="3" t="s">
        <v>36</v>
      </c>
      <c r="K662" s="1" t="s">
        <v>42</v>
      </c>
      <c r="L662" s="6">
        <v>105</v>
      </c>
      <c r="M662" s="6" t="s">
        <v>73</v>
      </c>
      <c r="N662" s="7" t="s">
        <v>45</v>
      </c>
      <c r="O662" s="6">
        <v>3.0266666666666668</v>
      </c>
      <c r="P662" s="5" t="s">
        <v>45</v>
      </c>
      <c r="Q662" s="6" t="s">
        <v>45</v>
      </c>
      <c r="R662" s="6" t="s">
        <v>45</v>
      </c>
      <c r="S662" s="6" t="s">
        <v>45</v>
      </c>
      <c r="T662" s="6" t="s">
        <v>45</v>
      </c>
      <c r="U662" s="6" t="s">
        <v>45</v>
      </c>
      <c r="V662" s="1" t="s">
        <v>45</v>
      </c>
      <c r="W662" s="1" t="s">
        <v>45</v>
      </c>
      <c r="X662" s="6" t="s">
        <v>45</v>
      </c>
      <c r="Y662" s="6">
        <f t="shared" ref="Y662:Y666" si="238">O662</f>
        <v>3.0266666666666668</v>
      </c>
    </row>
    <row r="663" spans="1:25" x14ac:dyDescent="0.15">
      <c r="A663" s="1">
        <v>2024</v>
      </c>
      <c r="B663" s="3" t="s">
        <v>58</v>
      </c>
      <c r="C663" s="1">
        <v>46</v>
      </c>
      <c r="D663" s="3">
        <v>3</v>
      </c>
      <c r="E663" s="3" t="s">
        <v>37</v>
      </c>
      <c r="F663" s="3"/>
      <c r="G663" s="3" t="s">
        <v>41</v>
      </c>
      <c r="H663" s="1" t="s">
        <v>37</v>
      </c>
      <c r="I663" s="3">
        <v>4</v>
      </c>
      <c r="J663" s="3" t="s">
        <v>37</v>
      </c>
      <c r="K663" s="1" t="s">
        <v>42</v>
      </c>
      <c r="L663" s="6">
        <v>85</v>
      </c>
      <c r="M663" s="6" t="s">
        <v>73</v>
      </c>
      <c r="N663" s="7" t="s">
        <v>45</v>
      </c>
      <c r="O663" s="6">
        <v>2.8359999999999994</v>
      </c>
      <c r="P663" s="5" t="s">
        <v>45</v>
      </c>
      <c r="Q663" s="6" t="s">
        <v>45</v>
      </c>
      <c r="R663" s="6" t="s">
        <v>45</v>
      </c>
      <c r="S663" s="6" t="s">
        <v>45</v>
      </c>
      <c r="T663" s="6" t="s">
        <v>45</v>
      </c>
      <c r="U663" s="6" t="s">
        <v>45</v>
      </c>
      <c r="V663" s="1" t="s">
        <v>45</v>
      </c>
      <c r="W663" s="1" t="s">
        <v>45</v>
      </c>
      <c r="X663" s="6" t="s">
        <v>45</v>
      </c>
      <c r="Y663" s="6">
        <f t="shared" si="238"/>
        <v>2.8359999999999994</v>
      </c>
    </row>
    <row r="664" spans="1:25" x14ac:dyDescent="0.15">
      <c r="A664" s="1">
        <v>2024</v>
      </c>
      <c r="B664" s="3" t="s">
        <v>58</v>
      </c>
      <c r="C664" s="1">
        <v>46</v>
      </c>
      <c r="D664" s="3">
        <v>4</v>
      </c>
      <c r="E664" s="3" t="s">
        <v>35</v>
      </c>
      <c r="F664" s="3"/>
      <c r="G664" s="3" t="s">
        <v>41</v>
      </c>
      <c r="H664" s="1" t="s">
        <v>75</v>
      </c>
      <c r="I664" s="3">
        <v>4</v>
      </c>
      <c r="J664" s="3" t="s">
        <v>35</v>
      </c>
      <c r="K664" s="1" t="s">
        <v>43</v>
      </c>
      <c r="L664" s="6">
        <v>115</v>
      </c>
      <c r="M664" s="6" t="s">
        <v>73</v>
      </c>
      <c r="N664" s="7" t="s">
        <v>45</v>
      </c>
      <c r="O664" s="6">
        <v>2.317333333333333</v>
      </c>
      <c r="P664" s="5" t="s">
        <v>45</v>
      </c>
      <c r="Q664" s="6" t="s">
        <v>45</v>
      </c>
      <c r="R664" s="6" t="s">
        <v>45</v>
      </c>
      <c r="S664" s="6" t="s">
        <v>45</v>
      </c>
      <c r="T664" s="6" t="s">
        <v>45</v>
      </c>
      <c r="U664" s="6" t="s">
        <v>45</v>
      </c>
      <c r="V664" s="1" t="s">
        <v>45</v>
      </c>
      <c r="W664" s="1" t="s">
        <v>45</v>
      </c>
      <c r="X664" s="1" t="s">
        <v>45</v>
      </c>
      <c r="Y664" s="6">
        <f t="shared" si="238"/>
        <v>2.317333333333333</v>
      </c>
    </row>
    <row r="665" spans="1:25" x14ac:dyDescent="0.15">
      <c r="A665" s="1">
        <v>2024</v>
      </c>
      <c r="B665" s="3" t="s">
        <v>58</v>
      </c>
      <c r="C665" s="1">
        <v>46</v>
      </c>
      <c r="D665" s="3">
        <v>5</v>
      </c>
      <c r="E665" s="3" t="s">
        <v>36</v>
      </c>
      <c r="F665" s="3"/>
      <c r="G665" s="3" t="s">
        <v>41</v>
      </c>
      <c r="H665" s="1" t="s">
        <v>76</v>
      </c>
      <c r="I665" s="3">
        <v>4</v>
      </c>
      <c r="J665" s="3" t="s">
        <v>36</v>
      </c>
      <c r="K665" s="1" t="s">
        <v>43</v>
      </c>
      <c r="L665" s="6">
        <v>115</v>
      </c>
      <c r="M665" s="6" t="s">
        <v>73</v>
      </c>
      <c r="N665" s="7" t="s">
        <v>45</v>
      </c>
      <c r="O665" s="6">
        <v>3.8546666666666667</v>
      </c>
      <c r="P665" s="5" t="s">
        <v>45</v>
      </c>
      <c r="Q665" s="6" t="s">
        <v>45</v>
      </c>
      <c r="R665" s="6" t="s">
        <v>45</v>
      </c>
      <c r="S665" s="6" t="s">
        <v>45</v>
      </c>
      <c r="T665" s="6" t="s">
        <v>45</v>
      </c>
      <c r="U665" s="6" t="s">
        <v>45</v>
      </c>
      <c r="V665" s="1" t="s">
        <v>45</v>
      </c>
      <c r="W665" s="1" t="s">
        <v>45</v>
      </c>
      <c r="X665" s="1" t="s">
        <v>45</v>
      </c>
      <c r="Y665" s="6">
        <f t="shared" si="238"/>
        <v>3.8546666666666667</v>
      </c>
    </row>
    <row r="666" spans="1:25" x14ac:dyDescent="0.15">
      <c r="A666" s="1">
        <v>2024</v>
      </c>
      <c r="B666" s="3" t="s">
        <v>58</v>
      </c>
      <c r="C666" s="1">
        <v>46</v>
      </c>
      <c r="D666" s="3">
        <v>6</v>
      </c>
      <c r="E666" s="3" t="s">
        <v>37</v>
      </c>
      <c r="F666" s="3"/>
      <c r="G666" s="3" t="s">
        <v>41</v>
      </c>
      <c r="H666" s="1" t="s">
        <v>77</v>
      </c>
      <c r="I666" s="3">
        <v>4</v>
      </c>
      <c r="J666" s="3" t="s">
        <v>37</v>
      </c>
      <c r="K666" s="1" t="s">
        <v>43</v>
      </c>
      <c r="L666" s="6">
        <v>75</v>
      </c>
      <c r="M666" s="6" t="s">
        <v>73</v>
      </c>
      <c r="N666" s="7" t="s">
        <v>45</v>
      </c>
      <c r="O666" s="6">
        <v>2.5453333333333332</v>
      </c>
      <c r="P666" s="5" t="s">
        <v>45</v>
      </c>
      <c r="Q666" s="6" t="s">
        <v>45</v>
      </c>
      <c r="R666" s="6" t="s">
        <v>45</v>
      </c>
      <c r="S666" s="6" t="s">
        <v>45</v>
      </c>
      <c r="T666" s="6" t="s">
        <v>45</v>
      </c>
      <c r="U666" s="6" t="s">
        <v>45</v>
      </c>
      <c r="V666" s="1" t="s">
        <v>45</v>
      </c>
      <c r="W666" s="1" t="s">
        <v>45</v>
      </c>
      <c r="X666" s="1" t="s">
        <v>45</v>
      </c>
      <c r="Y666" s="6">
        <f t="shared" si="238"/>
        <v>2.5453333333333332</v>
      </c>
    </row>
    <row r="667" spans="1:25" x14ac:dyDescent="0.15">
      <c r="A667" s="1">
        <v>2024</v>
      </c>
      <c r="B667" s="3" t="s">
        <v>58</v>
      </c>
      <c r="C667" s="1">
        <v>46</v>
      </c>
      <c r="D667" s="3">
        <v>7</v>
      </c>
      <c r="E667" s="3"/>
      <c r="F667" s="3" t="s">
        <v>38</v>
      </c>
      <c r="G667" s="3" t="s">
        <v>41</v>
      </c>
      <c r="H667" s="1"/>
      <c r="I667" s="3">
        <v>4</v>
      </c>
      <c r="J667" s="3" t="s">
        <v>38</v>
      </c>
      <c r="K667" s="1" t="s">
        <v>42</v>
      </c>
      <c r="L667" s="6" t="s">
        <v>73</v>
      </c>
      <c r="M667" s="6">
        <v>60</v>
      </c>
      <c r="N667" s="7" t="s">
        <v>45</v>
      </c>
      <c r="O667" s="5" t="s">
        <v>45</v>
      </c>
      <c r="P667" s="6">
        <v>0.31599999999999995</v>
      </c>
      <c r="Q667" s="6" t="s">
        <v>45</v>
      </c>
      <c r="R667" s="6" t="s">
        <v>45</v>
      </c>
      <c r="S667" s="6" t="s">
        <v>45</v>
      </c>
      <c r="T667" s="6" t="s">
        <v>45</v>
      </c>
      <c r="U667" s="6" t="s">
        <v>45</v>
      </c>
      <c r="V667" s="1" t="s">
        <v>45</v>
      </c>
      <c r="W667" s="1" t="s">
        <v>45</v>
      </c>
      <c r="X667" s="1" t="s">
        <v>45</v>
      </c>
      <c r="Y667" s="6">
        <f>P667</f>
        <v>0.31599999999999995</v>
      </c>
    </row>
    <row r="668" spans="1:25" x14ac:dyDescent="0.15">
      <c r="A668" s="1">
        <v>2024</v>
      </c>
      <c r="B668" s="3" t="s">
        <v>58</v>
      </c>
      <c r="C668" s="1">
        <v>46</v>
      </c>
      <c r="D668" s="3">
        <v>8</v>
      </c>
      <c r="E668" s="3"/>
      <c r="F668" s="3" t="s">
        <v>39</v>
      </c>
      <c r="G668" s="3" t="s">
        <v>41</v>
      </c>
      <c r="H668" s="1"/>
      <c r="I668" s="3">
        <v>4</v>
      </c>
      <c r="J668" s="3" t="s">
        <v>39</v>
      </c>
      <c r="K668" s="1" t="s">
        <v>42</v>
      </c>
      <c r="L668" s="6" t="s">
        <v>73</v>
      </c>
      <c r="M668" s="6">
        <v>50</v>
      </c>
      <c r="N668" s="7" t="s">
        <v>45</v>
      </c>
      <c r="O668" s="5" t="s">
        <v>45</v>
      </c>
      <c r="P668" s="6">
        <v>0.104</v>
      </c>
      <c r="Q668" s="6" t="s">
        <v>45</v>
      </c>
      <c r="R668" s="6" t="s">
        <v>45</v>
      </c>
      <c r="S668" s="6" t="s">
        <v>45</v>
      </c>
      <c r="T668" s="6" t="s">
        <v>45</v>
      </c>
      <c r="U668" s="6" t="s">
        <v>45</v>
      </c>
      <c r="V668" s="1" t="s">
        <v>45</v>
      </c>
      <c r="W668" s="1" t="s">
        <v>45</v>
      </c>
      <c r="X668" s="1" t="s">
        <v>45</v>
      </c>
      <c r="Y668" s="6">
        <f t="shared" ref="Y668:Y669" si="239">P668</f>
        <v>0.104</v>
      </c>
    </row>
    <row r="669" spans="1:25" x14ac:dyDescent="0.15">
      <c r="A669" s="1">
        <v>2024</v>
      </c>
      <c r="B669" s="3" t="s">
        <v>58</v>
      </c>
      <c r="C669" s="1">
        <v>46</v>
      </c>
      <c r="D669" s="3">
        <v>9</v>
      </c>
      <c r="E669" s="3"/>
      <c r="F669" s="3" t="s">
        <v>40</v>
      </c>
      <c r="G669" s="3" t="s">
        <v>41</v>
      </c>
      <c r="H669" s="1"/>
      <c r="I669" s="3">
        <v>4</v>
      </c>
      <c r="J669" s="3" t="s">
        <v>40</v>
      </c>
      <c r="K669" s="1" t="s">
        <v>42</v>
      </c>
      <c r="L669" s="6" t="s">
        <v>73</v>
      </c>
      <c r="M669" s="6">
        <v>50</v>
      </c>
      <c r="N669" s="7" t="s">
        <v>45</v>
      </c>
      <c r="O669" s="5" t="s">
        <v>45</v>
      </c>
      <c r="P669" s="6">
        <v>0.26</v>
      </c>
      <c r="Q669" s="6" t="s">
        <v>45</v>
      </c>
      <c r="R669" s="6" t="s">
        <v>45</v>
      </c>
      <c r="S669" s="6" t="s">
        <v>45</v>
      </c>
      <c r="T669" s="6" t="s">
        <v>45</v>
      </c>
      <c r="U669" s="6" t="s">
        <v>45</v>
      </c>
      <c r="V669" s="1" t="s">
        <v>45</v>
      </c>
      <c r="W669" s="1" t="s">
        <v>45</v>
      </c>
      <c r="X669" s="1" t="s">
        <v>45</v>
      </c>
      <c r="Y669" s="6">
        <f t="shared" si="239"/>
        <v>0.26</v>
      </c>
    </row>
    <row r="670" spans="1:25" x14ac:dyDescent="0.15">
      <c r="A670" s="1">
        <v>2024</v>
      </c>
      <c r="B670" s="3" t="s">
        <v>58</v>
      </c>
      <c r="C670" s="1">
        <v>46</v>
      </c>
      <c r="D670" s="3">
        <v>10</v>
      </c>
      <c r="E670" s="3" t="s">
        <v>35</v>
      </c>
      <c r="F670" s="3" t="s">
        <v>38</v>
      </c>
      <c r="G670" s="3" t="s">
        <v>14</v>
      </c>
      <c r="H670" s="1" t="s">
        <v>35</v>
      </c>
      <c r="I670" s="3">
        <v>4</v>
      </c>
      <c r="J670" s="3" t="s">
        <v>63</v>
      </c>
      <c r="K670" s="1" t="s">
        <v>42</v>
      </c>
      <c r="L670" s="6">
        <v>110</v>
      </c>
      <c r="M670" s="6">
        <v>60</v>
      </c>
      <c r="N670" s="7">
        <f>L670-M670</f>
        <v>50</v>
      </c>
      <c r="O670" s="6">
        <v>0.70133333333333336</v>
      </c>
      <c r="P670" s="6">
        <v>0.4906666666666667</v>
      </c>
      <c r="Q670" s="6">
        <f>O670/(0.1*O661)</f>
        <v>3.2630272952853598</v>
      </c>
      <c r="R670" s="6">
        <f>O670/(0.1*O664)</f>
        <v>3.0264672036823939</v>
      </c>
      <c r="S670" s="6">
        <f>P670/(0.9*P667)</f>
        <v>1.7252695733708394</v>
      </c>
      <c r="T670" s="6">
        <f>Q670+S670</f>
        <v>4.9882968686561995</v>
      </c>
      <c r="U670" s="6">
        <f>R670+S670</f>
        <v>4.7517367770532335</v>
      </c>
      <c r="V670" s="1">
        <f>O670/O661+P670/P667</f>
        <v>1.8790453455622917</v>
      </c>
      <c r="W670" s="1">
        <f>O670/O664+P670/P667</f>
        <v>1.8553893364019951</v>
      </c>
      <c r="X670" s="1">
        <f t="shared" ref="X670:X678" si="240">100*ROUND(P670/(P670+O670), 2)</f>
        <v>41</v>
      </c>
      <c r="Y670" s="6">
        <f>O670+P670</f>
        <v>1.1920000000000002</v>
      </c>
    </row>
    <row r="671" spans="1:25" x14ac:dyDescent="0.15">
      <c r="A671" s="1">
        <v>2024</v>
      </c>
      <c r="B671" s="3" t="s">
        <v>58</v>
      </c>
      <c r="C671" s="1">
        <v>47</v>
      </c>
      <c r="D671" s="3">
        <v>11</v>
      </c>
      <c r="E671" s="3" t="s">
        <v>35</v>
      </c>
      <c r="F671" s="3" t="s">
        <v>39</v>
      </c>
      <c r="G671" s="3" t="s">
        <v>14</v>
      </c>
      <c r="H671" s="1" t="s">
        <v>35</v>
      </c>
      <c r="I671" s="3">
        <v>4</v>
      </c>
      <c r="J671" s="3" t="s">
        <v>64</v>
      </c>
      <c r="K671" s="1" t="s">
        <v>42</v>
      </c>
      <c r="L671" s="6">
        <v>100</v>
      </c>
      <c r="M671" s="6">
        <v>65</v>
      </c>
      <c r="N671" s="7">
        <f t="shared" ref="N671:N678" si="241">L671-M671</f>
        <v>35</v>
      </c>
      <c r="O671" s="6">
        <v>0.3666666666666667</v>
      </c>
      <c r="P671" s="6">
        <v>0.16799999999999998</v>
      </c>
      <c r="Q671" s="6">
        <f>O671/(0.1*O661)</f>
        <v>1.7059553349875931</v>
      </c>
      <c r="R671" s="6">
        <f>O671/(0.1*O664)</f>
        <v>1.5822784810126584</v>
      </c>
      <c r="S671" s="6">
        <f>P671/(0.9*P668)</f>
        <v>1.7948717948717947</v>
      </c>
      <c r="T671" s="6">
        <f t="shared" ref="T671:T678" si="242">Q671+S671</f>
        <v>3.5008271298593878</v>
      </c>
      <c r="U671" s="6">
        <f t="shared" ref="U671:U678" si="243">R671+S671</f>
        <v>3.3771502758844534</v>
      </c>
      <c r="V671" s="1">
        <f>O671/O661+P671/P668</f>
        <v>1.7859801488833744</v>
      </c>
      <c r="W671" s="1">
        <f>O671/O664+P671/P668</f>
        <v>1.773612463485881</v>
      </c>
      <c r="X671" s="1">
        <f t="shared" si="240"/>
        <v>31</v>
      </c>
      <c r="Y671" s="6">
        <f t="shared" ref="Y671:Y678" si="244">O671+P671</f>
        <v>0.53466666666666662</v>
      </c>
    </row>
    <row r="672" spans="1:25" x14ac:dyDescent="0.15">
      <c r="A672" s="1">
        <v>2024</v>
      </c>
      <c r="B672" s="3" t="s">
        <v>58</v>
      </c>
      <c r="C672" s="1">
        <v>47</v>
      </c>
      <c r="D672" s="3">
        <v>12</v>
      </c>
      <c r="E672" s="3" t="s">
        <v>35</v>
      </c>
      <c r="F672" s="3" t="s">
        <v>40</v>
      </c>
      <c r="G672" s="3" t="s">
        <v>14</v>
      </c>
      <c r="H672" s="1" t="s">
        <v>35</v>
      </c>
      <c r="I672" s="3">
        <v>4</v>
      </c>
      <c r="J672" s="3" t="s">
        <v>65</v>
      </c>
      <c r="K672" s="1" t="s">
        <v>42</v>
      </c>
      <c r="L672" s="6">
        <v>95</v>
      </c>
      <c r="M672" s="6">
        <v>55</v>
      </c>
      <c r="N672" s="7">
        <f t="shared" si="241"/>
        <v>40</v>
      </c>
      <c r="O672" s="6">
        <v>0.56666666666666665</v>
      </c>
      <c r="P672" s="6">
        <v>0.79199999999999993</v>
      </c>
      <c r="Q672" s="6">
        <f>O672/(0.1*O661)</f>
        <v>2.6364764267990073</v>
      </c>
      <c r="R672" s="6">
        <f>O672/(0.1*O664)</f>
        <v>2.4453394706559264</v>
      </c>
      <c r="S672" s="6">
        <f>P672/(0.9*P669)</f>
        <v>3.3846153846153841</v>
      </c>
      <c r="T672" s="6">
        <f t="shared" si="242"/>
        <v>6.0210918114143919</v>
      </c>
      <c r="U672" s="6">
        <f t="shared" si="243"/>
        <v>5.8299548552713105</v>
      </c>
      <c r="V672" s="1">
        <f>O672/O661+P672/P669</f>
        <v>3.3098014888337461</v>
      </c>
      <c r="W672" s="1">
        <f>O672/O664+P672/P669</f>
        <v>3.2906877932194383</v>
      </c>
      <c r="X672" s="1">
        <f t="shared" si="240"/>
        <v>57.999999999999993</v>
      </c>
      <c r="Y672" s="6">
        <f t="shared" si="244"/>
        <v>1.3586666666666667</v>
      </c>
    </row>
    <row r="673" spans="1:25" x14ac:dyDescent="0.15">
      <c r="A673" s="1">
        <v>2024</v>
      </c>
      <c r="B673" s="3" t="s">
        <v>58</v>
      </c>
      <c r="C673" s="1">
        <v>47</v>
      </c>
      <c r="D673" s="3">
        <v>13</v>
      </c>
      <c r="E673" s="3" t="s">
        <v>36</v>
      </c>
      <c r="F673" s="3" t="s">
        <v>38</v>
      </c>
      <c r="G673" s="3" t="s">
        <v>14</v>
      </c>
      <c r="H673" s="1" t="s">
        <v>36</v>
      </c>
      <c r="I673" s="3">
        <v>4</v>
      </c>
      <c r="J673" s="3" t="s">
        <v>66</v>
      </c>
      <c r="K673" s="1" t="s">
        <v>42</v>
      </c>
      <c r="L673" s="6">
        <v>105</v>
      </c>
      <c r="M673" s="6">
        <v>60</v>
      </c>
      <c r="N673" s="7">
        <f t="shared" si="241"/>
        <v>45</v>
      </c>
      <c r="O673" s="6">
        <v>1.048</v>
      </c>
      <c r="P673" s="6">
        <v>0.48666666666666664</v>
      </c>
      <c r="Q673" s="6">
        <f>O673/(0.1*O662)</f>
        <v>3.462555066079295</v>
      </c>
      <c r="R673" s="6">
        <f>O673/(0.1*O665)</f>
        <v>2.7187824282255275</v>
      </c>
      <c r="S673" s="6">
        <f>P673/(0.9*P667)</f>
        <v>1.7112048757618377</v>
      </c>
      <c r="T673" s="6">
        <f t="shared" si="242"/>
        <v>5.1737599418411326</v>
      </c>
      <c r="U673" s="6">
        <f t="shared" si="243"/>
        <v>4.4299873039873656</v>
      </c>
      <c r="V673" s="1">
        <f>O673/O662+P673/P667</f>
        <v>1.8863398947935837</v>
      </c>
      <c r="W673" s="1">
        <f>O673/O665+P673/P667</f>
        <v>1.8119626310082069</v>
      </c>
      <c r="X673" s="1">
        <f t="shared" si="240"/>
        <v>32</v>
      </c>
      <c r="Y673" s="6">
        <f t="shared" si="244"/>
        <v>1.5346666666666666</v>
      </c>
    </row>
    <row r="674" spans="1:25" x14ac:dyDescent="0.15">
      <c r="A674" s="1">
        <v>2024</v>
      </c>
      <c r="B674" s="3" t="s">
        <v>58</v>
      </c>
      <c r="C674" s="1">
        <v>47</v>
      </c>
      <c r="D674" s="3">
        <v>14</v>
      </c>
      <c r="E674" s="3" t="s">
        <v>36</v>
      </c>
      <c r="F674" s="3" t="s">
        <v>39</v>
      </c>
      <c r="G674" s="3" t="s">
        <v>14</v>
      </c>
      <c r="H674" s="1" t="s">
        <v>36</v>
      </c>
      <c r="I674" s="3">
        <v>4</v>
      </c>
      <c r="J674" s="3" t="s">
        <v>67</v>
      </c>
      <c r="K674" s="1" t="s">
        <v>42</v>
      </c>
      <c r="L674" s="6">
        <v>105</v>
      </c>
      <c r="M674" s="6">
        <v>55</v>
      </c>
      <c r="N674" s="7">
        <f t="shared" si="241"/>
        <v>50</v>
      </c>
      <c r="O674" s="6">
        <v>1.3893333333333333</v>
      </c>
      <c r="P674" s="6">
        <v>0.46399999999999997</v>
      </c>
      <c r="Q674" s="6">
        <f>O674/(0.1*O662)</f>
        <v>4.5903083700440526</v>
      </c>
      <c r="R674" s="6">
        <f>O674/(0.1*O665)</f>
        <v>3.6042891732964368</v>
      </c>
      <c r="S674" s="6">
        <f>P674/(0.9*P668)</f>
        <v>4.9572649572649565</v>
      </c>
      <c r="T674" s="6">
        <f t="shared" si="242"/>
        <v>9.54757332730901</v>
      </c>
      <c r="U674" s="6">
        <f t="shared" si="243"/>
        <v>8.5615541305613938</v>
      </c>
      <c r="V674" s="1">
        <f>O674/O662+P674/P668</f>
        <v>4.9205692985428673</v>
      </c>
      <c r="W674" s="1">
        <f>O674/O665+P674/P668</f>
        <v>4.8219673788681057</v>
      </c>
      <c r="X674" s="1">
        <f t="shared" si="240"/>
        <v>25</v>
      </c>
      <c r="Y674" s="6">
        <f t="shared" si="244"/>
        <v>1.8533333333333333</v>
      </c>
    </row>
    <row r="675" spans="1:25" x14ac:dyDescent="0.15">
      <c r="A675" s="1">
        <v>2024</v>
      </c>
      <c r="B675" s="3" t="s">
        <v>58</v>
      </c>
      <c r="C675" s="1">
        <v>47</v>
      </c>
      <c r="D675" s="3">
        <v>15</v>
      </c>
      <c r="E675" s="3" t="s">
        <v>36</v>
      </c>
      <c r="F675" s="3" t="s">
        <v>40</v>
      </c>
      <c r="G675" s="3" t="s">
        <v>14</v>
      </c>
      <c r="H675" s="1" t="s">
        <v>36</v>
      </c>
      <c r="I675" s="3">
        <v>4</v>
      </c>
      <c r="J675" s="3" t="s">
        <v>68</v>
      </c>
      <c r="K675" s="1" t="s">
        <v>42</v>
      </c>
      <c r="L675" s="6">
        <v>110</v>
      </c>
      <c r="M675" s="6">
        <v>70</v>
      </c>
      <c r="N675" s="7">
        <f t="shared" si="241"/>
        <v>40</v>
      </c>
      <c r="O675" s="6">
        <v>1.1119999999999999</v>
      </c>
      <c r="P675" s="6">
        <v>0.57733333333333325</v>
      </c>
      <c r="Q675" s="6">
        <f>O675/(0.1*O662)</f>
        <v>3.6740088105726865</v>
      </c>
      <c r="R675" s="6">
        <f>O675/(0.1*O665)</f>
        <v>2.8848149429263228</v>
      </c>
      <c r="S675" s="6">
        <f>P675/(0.9*P669)</f>
        <v>2.4672364672364666</v>
      </c>
      <c r="T675" s="6">
        <f t="shared" si="242"/>
        <v>6.1412452778091531</v>
      </c>
      <c r="U675" s="6">
        <f t="shared" si="243"/>
        <v>5.3520514101627894</v>
      </c>
      <c r="V675" s="1">
        <f>O675/O662+P675/P669</f>
        <v>2.5879137015700886</v>
      </c>
      <c r="W675" s="1">
        <f>O675/O665+P675/P669</f>
        <v>2.5089943148054523</v>
      </c>
      <c r="X675" s="1">
        <f t="shared" si="240"/>
        <v>34</v>
      </c>
      <c r="Y675" s="6">
        <f t="shared" si="244"/>
        <v>1.6893333333333331</v>
      </c>
    </row>
    <row r="676" spans="1:25" x14ac:dyDescent="0.15">
      <c r="A676" s="1">
        <v>2024</v>
      </c>
      <c r="B676" s="3" t="s">
        <v>58</v>
      </c>
      <c r="C676" s="1">
        <v>47</v>
      </c>
      <c r="D676" s="3">
        <v>16</v>
      </c>
      <c r="E676" s="3" t="s">
        <v>37</v>
      </c>
      <c r="F676" s="3" t="s">
        <v>38</v>
      </c>
      <c r="G676" s="3" t="s">
        <v>14</v>
      </c>
      <c r="H676" s="1" t="s">
        <v>37</v>
      </c>
      <c r="I676" s="3">
        <v>4</v>
      </c>
      <c r="J676" s="3" t="s">
        <v>69</v>
      </c>
      <c r="K676" s="1" t="s">
        <v>42</v>
      </c>
      <c r="L676" s="6">
        <v>70</v>
      </c>
      <c r="M676" s="6">
        <v>60</v>
      </c>
      <c r="N676" s="7">
        <f t="shared" si="241"/>
        <v>10</v>
      </c>
      <c r="O676" s="6">
        <v>0.42933333333333334</v>
      </c>
      <c r="P676" s="6">
        <v>0.87866666666666671</v>
      </c>
      <c r="Q676" s="6">
        <f>O676/(0.1*O663)</f>
        <v>1.51386929948284</v>
      </c>
      <c r="R676" s="6">
        <f>O676/(0.1*O666)</f>
        <v>1.6867469879518073</v>
      </c>
      <c r="S676" s="6">
        <f>P676/(0.9*P667)</f>
        <v>3.0895452414439761</v>
      </c>
      <c r="T676" s="6">
        <f t="shared" si="242"/>
        <v>4.6034145409268161</v>
      </c>
      <c r="U676" s="6">
        <f t="shared" si="243"/>
        <v>4.7762922293957839</v>
      </c>
      <c r="V676" s="1">
        <f>O676/O663+P676/P667</f>
        <v>2.9319776472478627</v>
      </c>
      <c r="W676" s="1">
        <f>O676/O666+P676/P667</f>
        <v>2.9492654160947591</v>
      </c>
      <c r="X676" s="1">
        <f t="shared" si="240"/>
        <v>67</v>
      </c>
      <c r="Y676" s="6">
        <f t="shared" si="244"/>
        <v>1.3080000000000001</v>
      </c>
    </row>
    <row r="677" spans="1:25" x14ac:dyDescent="0.15">
      <c r="A677" s="1">
        <v>2024</v>
      </c>
      <c r="B677" s="3" t="s">
        <v>58</v>
      </c>
      <c r="C677" s="1">
        <v>47</v>
      </c>
      <c r="D677" s="3">
        <v>17</v>
      </c>
      <c r="E677" s="3" t="s">
        <v>37</v>
      </c>
      <c r="F677" s="3" t="s">
        <v>39</v>
      </c>
      <c r="G677" s="3" t="s">
        <v>14</v>
      </c>
      <c r="H677" s="1" t="s">
        <v>37</v>
      </c>
      <c r="I677" s="3">
        <v>4</v>
      </c>
      <c r="J677" s="3" t="s">
        <v>70</v>
      </c>
      <c r="K677" s="1" t="s">
        <v>42</v>
      </c>
      <c r="L677" s="6">
        <v>65</v>
      </c>
      <c r="M677" s="6">
        <v>55</v>
      </c>
      <c r="N677" s="7">
        <f t="shared" si="241"/>
        <v>10</v>
      </c>
      <c r="O677" s="6">
        <v>0.27733333333333332</v>
      </c>
      <c r="P677" s="6">
        <v>0.35066666666666668</v>
      </c>
      <c r="Q677" s="6">
        <f>O677/(0.1*O663)</f>
        <v>0.97790314997649275</v>
      </c>
      <c r="R677" s="6">
        <f>O677/(0.1*O666)</f>
        <v>1.0895756940806705</v>
      </c>
      <c r="S677" s="6">
        <f>P677/(0.9*P668)</f>
        <v>3.7464387464387463</v>
      </c>
      <c r="T677" s="6">
        <f t="shared" si="242"/>
        <v>4.7243418964152388</v>
      </c>
      <c r="U677" s="6">
        <f t="shared" si="243"/>
        <v>4.836014440519417</v>
      </c>
      <c r="V677" s="1">
        <f>O677/O663+P677/P668</f>
        <v>3.4695851867925214</v>
      </c>
      <c r="W677" s="1">
        <f>O677/O666+P677/P668</f>
        <v>3.4807524412029394</v>
      </c>
      <c r="X677" s="1">
        <f t="shared" si="240"/>
        <v>56.000000000000007</v>
      </c>
      <c r="Y677" s="6">
        <f t="shared" si="244"/>
        <v>0.628</v>
      </c>
    </row>
    <row r="678" spans="1:25" x14ac:dyDescent="0.15">
      <c r="A678" s="1">
        <v>2024</v>
      </c>
      <c r="B678" s="3" t="s">
        <v>58</v>
      </c>
      <c r="C678" s="1">
        <v>47</v>
      </c>
      <c r="D678" s="3">
        <v>18</v>
      </c>
      <c r="E678" s="3" t="s">
        <v>37</v>
      </c>
      <c r="F678" s="3" t="s">
        <v>40</v>
      </c>
      <c r="G678" s="3" t="s">
        <v>14</v>
      </c>
      <c r="H678" s="1" t="s">
        <v>37</v>
      </c>
      <c r="I678" s="3">
        <v>4</v>
      </c>
      <c r="J678" s="3" t="s">
        <v>71</v>
      </c>
      <c r="K678" s="1" t="s">
        <v>42</v>
      </c>
      <c r="L678" s="6">
        <v>65</v>
      </c>
      <c r="M678" s="6">
        <v>60</v>
      </c>
      <c r="N678" s="7">
        <f t="shared" si="241"/>
        <v>5</v>
      </c>
      <c r="O678" s="6">
        <v>0.42933333333333334</v>
      </c>
      <c r="P678" s="6">
        <v>0.42533333333333334</v>
      </c>
      <c r="Q678" s="6">
        <f>O678/(0.1*O663)</f>
        <v>1.51386929948284</v>
      </c>
      <c r="R678" s="6">
        <f>O678/(0.1*O666)</f>
        <v>1.6867469879518073</v>
      </c>
      <c r="S678" s="6">
        <f>P678/(0.9*P669)</f>
        <v>1.8176638176638176</v>
      </c>
      <c r="T678" s="6">
        <f t="shared" si="242"/>
        <v>3.3315331171466576</v>
      </c>
      <c r="U678" s="6">
        <f t="shared" si="243"/>
        <v>3.5044108056156249</v>
      </c>
      <c r="V678" s="1">
        <f>O678/O663+P678/P669</f>
        <v>1.7872843658457198</v>
      </c>
      <c r="W678" s="1">
        <f>O678/O666+P678/P669</f>
        <v>1.8045721346926167</v>
      </c>
      <c r="X678" s="1">
        <f t="shared" si="240"/>
        <v>50</v>
      </c>
      <c r="Y678" s="6">
        <f t="shared" si="244"/>
        <v>0.85466666666666669</v>
      </c>
    </row>
    <row r="679" spans="1:25" x14ac:dyDescent="0.15">
      <c r="A679" s="1">
        <v>2024</v>
      </c>
      <c r="B679" s="3" t="s">
        <v>58</v>
      </c>
      <c r="C679" s="1">
        <v>47</v>
      </c>
      <c r="D679" s="3">
        <v>1</v>
      </c>
      <c r="E679" s="3" t="s">
        <v>35</v>
      </c>
      <c r="F679" s="3"/>
      <c r="G679" s="3" t="s">
        <v>41</v>
      </c>
      <c r="H679" s="1" t="s">
        <v>35</v>
      </c>
      <c r="I679" s="3">
        <v>4</v>
      </c>
      <c r="J679" s="3" t="s">
        <v>35</v>
      </c>
      <c r="K679" s="1" t="s">
        <v>42</v>
      </c>
      <c r="L679" s="6">
        <v>110</v>
      </c>
      <c r="M679" s="6" t="s">
        <v>73</v>
      </c>
      <c r="N679" s="7" t="s">
        <v>45</v>
      </c>
      <c r="O679" s="6">
        <v>1.9626666666666668</v>
      </c>
      <c r="P679" s="5" t="s">
        <v>45</v>
      </c>
      <c r="Q679" s="6" t="s">
        <v>45</v>
      </c>
      <c r="R679" s="6" t="s">
        <v>45</v>
      </c>
      <c r="S679" s="6" t="s">
        <v>45</v>
      </c>
      <c r="T679" s="6" t="s">
        <v>45</v>
      </c>
      <c r="U679" s="6" t="s">
        <v>45</v>
      </c>
      <c r="V679" s="1" t="s">
        <v>45</v>
      </c>
      <c r="W679" s="1" t="s">
        <v>45</v>
      </c>
      <c r="X679" s="6" t="s">
        <v>45</v>
      </c>
      <c r="Y679" s="6">
        <f>O679</f>
        <v>1.9626666666666668</v>
      </c>
    </row>
    <row r="680" spans="1:25" x14ac:dyDescent="0.15">
      <c r="A680" s="1">
        <v>2024</v>
      </c>
      <c r="B680" s="3" t="s">
        <v>58</v>
      </c>
      <c r="C680" s="1">
        <v>47</v>
      </c>
      <c r="D680" s="3">
        <v>2</v>
      </c>
      <c r="E680" s="3" t="s">
        <v>36</v>
      </c>
      <c r="F680" s="3"/>
      <c r="G680" s="3" t="s">
        <v>41</v>
      </c>
      <c r="H680" s="1" t="s">
        <v>36</v>
      </c>
      <c r="I680" s="3">
        <v>4</v>
      </c>
      <c r="J680" s="3" t="s">
        <v>36</v>
      </c>
      <c r="K680" s="1" t="s">
        <v>42</v>
      </c>
      <c r="L680" s="6">
        <v>105</v>
      </c>
      <c r="M680" s="6" t="s">
        <v>73</v>
      </c>
      <c r="N680" s="7" t="s">
        <v>45</v>
      </c>
      <c r="O680" s="6">
        <v>1.5133333333333334</v>
      </c>
      <c r="P680" s="5" t="s">
        <v>45</v>
      </c>
      <c r="Q680" s="6" t="s">
        <v>45</v>
      </c>
      <c r="R680" s="6" t="s">
        <v>45</v>
      </c>
      <c r="S680" s="6" t="s">
        <v>45</v>
      </c>
      <c r="T680" s="6" t="s">
        <v>45</v>
      </c>
      <c r="U680" s="6" t="s">
        <v>45</v>
      </c>
      <c r="V680" s="1" t="s">
        <v>45</v>
      </c>
      <c r="W680" s="1" t="s">
        <v>45</v>
      </c>
      <c r="X680" s="6" t="s">
        <v>45</v>
      </c>
      <c r="Y680" s="6">
        <f t="shared" ref="Y680:Y684" si="245">O680</f>
        <v>1.5133333333333334</v>
      </c>
    </row>
    <row r="681" spans="1:25" x14ac:dyDescent="0.15">
      <c r="A681" s="1">
        <v>2024</v>
      </c>
      <c r="B681" s="3" t="s">
        <v>58</v>
      </c>
      <c r="C681" s="1">
        <v>47</v>
      </c>
      <c r="D681" s="3">
        <v>3</v>
      </c>
      <c r="E681" s="3" t="s">
        <v>37</v>
      </c>
      <c r="F681" s="3"/>
      <c r="G681" s="3" t="s">
        <v>41</v>
      </c>
      <c r="H681" s="1" t="s">
        <v>37</v>
      </c>
      <c r="I681" s="3">
        <v>4</v>
      </c>
      <c r="J681" s="3" t="s">
        <v>37</v>
      </c>
      <c r="K681" s="1" t="s">
        <v>42</v>
      </c>
      <c r="L681" s="6">
        <v>80</v>
      </c>
      <c r="M681" s="6" t="s">
        <v>73</v>
      </c>
      <c r="N681" s="7" t="s">
        <v>45</v>
      </c>
      <c r="O681" s="6">
        <v>1.716</v>
      </c>
      <c r="P681" s="5" t="s">
        <v>45</v>
      </c>
      <c r="Q681" s="6" t="s">
        <v>45</v>
      </c>
      <c r="R681" s="6" t="s">
        <v>45</v>
      </c>
      <c r="S681" s="6" t="s">
        <v>45</v>
      </c>
      <c r="T681" s="6" t="s">
        <v>45</v>
      </c>
      <c r="U681" s="6" t="s">
        <v>45</v>
      </c>
      <c r="V681" s="1" t="s">
        <v>45</v>
      </c>
      <c r="W681" s="1" t="s">
        <v>45</v>
      </c>
      <c r="X681" s="6" t="s">
        <v>45</v>
      </c>
      <c r="Y681" s="6">
        <f t="shared" si="245"/>
        <v>1.716</v>
      </c>
    </row>
    <row r="682" spans="1:25" x14ac:dyDescent="0.15">
      <c r="A682" s="1">
        <v>2024</v>
      </c>
      <c r="B682" s="3" t="s">
        <v>58</v>
      </c>
      <c r="C682" s="1">
        <v>47</v>
      </c>
      <c r="D682" s="3">
        <v>4</v>
      </c>
      <c r="E682" s="3" t="s">
        <v>35</v>
      </c>
      <c r="F682" s="3"/>
      <c r="G682" s="3" t="s">
        <v>41</v>
      </c>
      <c r="H682" s="1" t="s">
        <v>75</v>
      </c>
      <c r="I682" s="3">
        <v>4</v>
      </c>
      <c r="J682" s="3" t="s">
        <v>35</v>
      </c>
      <c r="K682" s="1" t="s">
        <v>43</v>
      </c>
      <c r="L682" s="6">
        <v>110</v>
      </c>
      <c r="M682" s="6" t="s">
        <v>73</v>
      </c>
      <c r="N682" s="7" t="s">
        <v>45</v>
      </c>
      <c r="O682" s="6">
        <v>1.5666666666666669</v>
      </c>
      <c r="P682" s="5" t="s">
        <v>45</v>
      </c>
      <c r="Q682" s="6" t="s">
        <v>45</v>
      </c>
      <c r="R682" s="6" t="s">
        <v>45</v>
      </c>
      <c r="S682" s="6" t="s">
        <v>45</v>
      </c>
      <c r="T682" s="6" t="s">
        <v>45</v>
      </c>
      <c r="U682" s="6" t="s">
        <v>45</v>
      </c>
      <c r="V682" s="1" t="s">
        <v>45</v>
      </c>
      <c r="W682" s="1" t="s">
        <v>45</v>
      </c>
      <c r="X682" s="1" t="s">
        <v>45</v>
      </c>
      <c r="Y682" s="6">
        <f t="shared" si="245"/>
        <v>1.5666666666666669</v>
      </c>
    </row>
    <row r="683" spans="1:25" x14ac:dyDescent="0.15">
      <c r="A683" s="1">
        <v>2024</v>
      </c>
      <c r="B683" s="3" t="s">
        <v>58</v>
      </c>
      <c r="C683" s="1">
        <v>47</v>
      </c>
      <c r="D683" s="3">
        <v>5</v>
      </c>
      <c r="E683" s="3" t="s">
        <v>36</v>
      </c>
      <c r="F683" s="3"/>
      <c r="G683" s="3" t="s">
        <v>41</v>
      </c>
      <c r="H683" s="1" t="s">
        <v>76</v>
      </c>
      <c r="I683" s="3">
        <v>4</v>
      </c>
      <c r="J683" s="3" t="s">
        <v>36</v>
      </c>
      <c r="K683" s="1" t="s">
        <v>43</v>
      </c>
      <c r="L683" s="6">
        <v>100</v>
      </c>
      <c r="M683" s="6" t="s">
        <v>73</v>
      </c>
      <c r="N683" s="7" t="s">
        <v>45</v>
      </c>
      <c r="O683" s="6">
        <v>2.2213333333333334</v>
      </c>
      <c r="P683" s="5" t="s">
        <v>45</v>
      </c>
      <c r="Q683" s="6" t="s">
        <v>45</v>
      </c>
      <c r="R683" s="6" t="s">
        <v>45</v>
      </c>
      <c r="S683" s="6" t="s">
        <v>45</v>
      </c>
      <c r="T683" s="6" t="s">
        <v>45</v>
      </c>
      <c r="U683" s="6" t="s">
        <v>45</v>
      </c>
      <c r="V683" s="1" t="s">
        <v>45</v>
      </c>
      <c r="W683" s="1" t="s">
        <v>45</v>
      </c>
      <c r="X683" s="1" t="s">
        <v>45</v>
      </c>
      <c r="Y683" s="6">
        <f t="shared" si="245"/>
        <v>2.2213333333333334</v>
      </c>
    </row>
    <row r="684" spans="1:25" x14ac:dyDescent="0.15">
      <c r="A684" s="1">
        <v>2024</v>
      </c>
      <c r="B684" s="3" t="s">
        <v>58</v>
      </c>
      <c r="C684" s="1">
        <v>47</v>
      </c>
      <c r="D684" s="3">
        <v>6</v>
      </c>
      <c r="E684" s="3" t="s">
        <v>37</v>
      </c>
      <c r="F684" s="3"/>
      <c r="G684" s="3" t="s">
        <v>41</v>
      </c>
      <c r="H684" s="1" t="s">
        <v>77</v>
      </c>
      <c r="I684" s="3">
        <v>4</v>
      </c>
      <c r="J684" s="3" t="s">
        <v>37</v>
      </c>
      <c r="K684" s="1" t="s">
        <v>43</v>
      </c>
      <c r="L684" s="6">
        <v>80</v>
      </c>
      <c r="M684" s="6" t="s">
        <v>73</v>
      </c>
      <c r="N684" s="7" t="s">
        <v>45</v>
      </c>
      <c r="O684" s="6">
        <v>1.988</v>
      </c>
      <c r="P684" s="5" t="s">
        <v>45</v>
      </c>
      <c r="Q684" s="6" t="s">
        <v>45</v>
      </c>
      <c r="R684" s="6" t="s">
        <v>45</v>
      </c>
      <c r="S684" s="6" t="s">
        <v>45</v>
      </c>
      <c r="T684" s="6" t="s">
        <v>45</v>
      </c>
      <c r="U684" s="6" t="s">
        <v>45</v>
      </c>
      <c r="V684" s="1" t="s">
        <v>45</v>
      </c>
      <c r="W684" s="1" t="s">
        <v>45</v>
      </c>
      <c r="X684" s="1" t="s">
        <v>45</v>
      </c>
      <c r="Y684" s="6">
        <f t="shared" si="245"/>
        <v>1.988</v>
      </c>
    </row>
    <row r="685" spans="1:25" x14ac:dyDescent="0.15">
      <c r="A685" s="1">
        <v>2024</v>
      </c>
      <c r="B685" s="3" t="s">
        <v>58</v>
      </c>
      <c r="C685" s="1">
        <v>47</v>
      </c>
      <c r="D685" s="3">
        <v>7</v>
      </c>
      <c r="E685" s="3"/>
      <c r="F685" s="3" t="s">
        <v>38</v>
      </c>
      <c r="G685" s="3" t="s">
        <v>41</v>
      </c>
      <c r="H685" s="1"/>
      <c r="I685" s="3">
        <v>4</v>
      </c>
      <c r="J685" s="3" t="s">
        <v>38</v>
      </c>
      <c r="K685" s="1" t="s">
        <v>42</v>
      </c>
      <c r="L685" s="6" t="s">
        <v>73</v>
      </c>
      <c r="M685" s="6">
        <v>55</v>
      </c>
      <c r="N685" s="7" t="s">
        <v>45</v>
      </c>
      <c r="O685" s="5" t="s">
        <v>45</v>
      </c>
      <c r="P685" s="6">
        <v>0.17333333333333334</v>
      </c>
      <c r="Q685" s="6" t="s">
        <v>45</v>
      </c>
      <c r="R685" s="6" t="s">
        <v>45</v>
      </c>
      <c r="S685" s="6" t="s">
        <v>45</v>
      </c>
      <c r="T685" s="6" t="s">
        <v>45</v>
      </c>
      <c r="U685" s="6" t="s">
        <v>45</v>
      </c>
      <c r="V685" s="1" t="s">
        <v>45</v>
      </c>
      <c r="W685" s="1" t="s">
        <v>45</v>
      </c>
      <c r="X685" s="1" t="s">
        <v>45</v>
      </c>
      <c r="Y685" s="6">
        <f>P685</f>
        <v>0.17333333333333334</v>
      </c>
    </row>
    <row r="686" spans="1:25" x14ac:dyDescent="0.15">
      <c r="A686" s="1">
        <v>2024</v>
      </c>
      <c r="B686" s="3" t="s">
        <v>58</v>
      </c>
      <c r="C686" s="1">
        <v>48</v>
      </c>
      <c r="D686" s="3">
        <v>8</v>
      </c>
      <c r="E686" s="3"/>
      <c r="F686" s="3" t="s">
        <v>39</v>
      </c>
      <c r="G686" s="3" t="s">
        <v>41</v>
      </c>
      <c r="H686" s="1"/>
      <c r="I686" s="3">
        <v>4</v>
      </c>
      <c r="J686" s="3" t="s">
        <v>39</v>
      </c>
      <c r="K686" s="1" t="s">
        <v>42</v>
      </c>
      <c r="L686" s="6" t="s">
        <v>73</v>
      </c>
      <c r="M686" s="6">
        <v>55</v>
      </c>
      <c r="N686" s="7" t="s">
        <v>45</v>
      </c>
      <c r="O686" s="5" t="s">
        <v>45</v>
      </c>
      <c r="P686" s="6">
        <v>0.42533333333333334</v>
      </c>
      <c r="Q686" s="6" t="s">
        <v>45</v>
      </c>
      <c r="R686" s="6" t="s">
        <v>45</v>
      </c>
      <c r="S686" s="6" t="s">
        <v>45</v>
      </c>
      <c r="T686" s="6" t="s">
        <v>45</v>
      </c>
      <c r="U686" s="6" t="s">
        <v>45</v>
      </c>
      <c r="V686" s="1" t="s">
        <v>45</v>
      </c>
      <c r="W686" s="1" t="s">
        <v>45</v>
      </c>
      <c r="X686" s="1" t="s">
        <v>45</v>
      </c>
      <c r="Y686" s="6">
        <f t="shared" ref="Y686:Y687" si="246">P686</f>
        <v>0.42533333333333334</v>
      </c>
    </row>
    <row r="687" spans="1:25" x14ac:dyDescent="0.15">
      <c r="A687" s="1">
        <v>2024</v>
      </c>
      <c r="B687" s="3" t="s">
        <v>58</v>
      </c>
      <c r="C687" s="1">
        <v>48</v>
      </c>
      <c r="D687" s="3">
        <v>9</v>
      </c>
      <c r="E687" s="3"/>
      <c r="F687" s="3" t="s">
        <v>40</v>
      </c>
      <c r="G687" s="3" t="s">
        <v>41</v>
      </c>
      <c r="H687" s="1"/>
      <c r="I687" s="3">
        <v>4</v>
      </c>
      <c r="J687" s="3" t="s">
        <v>40</v>
      </c>
      <c r="K687" s="1" t="s">
        <v>42</v>
      </c>
      <c r="L687" s="6" t="s">
        <v>73</v>
      </c>
      <c r="M687" s="6">
        <v>55</v>
      </c>
      <c r="N687" s="7" t="s">
        <v>45</v>
      </c>
      <c r="O687" s="5" t="s">
        <v>45</v>
      </c>
      <c r="P687" s="6">
        <v>0.52666666666666662</v>
      </c>
      <c r="Q687" s="6" t="s">
        <v>45</v>
      </c>
      <c r="R687" s="6" t="s">
        <v>45</v>
      </c>
      <c r="S687" s="6" t="s">
        <v>45</v>
      </c>
      <c r="T687" s="6" t="s">
        <v>45</v>
      </c>
      <c r="U687" s="6" t="s">
        <v>45</v>
      </c>
      <c r="V687" s="1" t="s">
        <v>45</v>
      </c>
      <c r="W687" s="1" t="s">
        <v>45</v>
      </c>
      <c r="X687" s="1" t="s">
        <v>45</v>
      </c>
      <c r="Y687" s="6">
        <f t="shared" si="246"/>
        <v>0.52666666666666662</v>
      </c>
    </row>
    <row r="688" spans="1:25" x14ac:dyDescent="0.15">
      <c r="A688" s="1">
        <v>2024</v>
      </c>
      <c r="B688" s="3" t="s">
        <v>58</v>
      </c>
      <c r="C688" s="1">
        <v>48</v>
      </c>
      <c r="D688" s="3">
        <v>10</v>
      </c>
      <c r="E688" s="3" t="s">
        <v>35</v>
      </c>
      <c r="F688" s="3" t="s">
        <v>38</v>
      </c>
      <c r="G688" s="3" t="s">
        <v>14</v>
      </c>
      <c r="H688" s="1" t="s">
        <v>35</v>
      </c>
      <c r="I688" s="3">
        <v>4</v>
      </c>
      <c r="J688" s="3" t="s">
        <v>63</v>
      </c>
      <c r="K688" s="1" t="s">
        <v>42</v>
      </c>
      <c r="L688" s="6">
        <v>105</v>
      </c>
      <c r="M688" s="6">
        <v>65</v>
      </c>
      <c r="N688" s="7">
        <f>L688-M688</f>
        <v>40</v>
      </c>
      <c r="O688" s="6">
        <v>0.50266666666666671</v>
      </c>
      <c r="P688" s="6">
        <v>0.48399999999999999</v>
      </c>
      <c r="Q688" s="6">
        <f>O688/(0.1*O679)</f>
        <v>2.5611413043478257</v>
      </c>
      <c r="R688" s="6">
        <f>O688/(0.1*O682)</f>
        <v>3.2085106382978719</v>
      </c>
      <c r="S688" s="6">
        <f>P688/(0.9*P685)</f>
        <v>3.1025641025641026</v>
      </c>
      <c r="T688" s="6">
        <f>Q688+S688</f>
        <v>5.6637054069119284</v>
      </c>
      <c r="U688" s="6">
        <f>R688+S688</f>
        <v>6.3110747408619741</v>
      </c>
      <c r="V688" s="1">
        <f>O688/O679+P688/P685</f>
        <v>3.0484218227424749</v>
      </c>
      <c r="W688" s="1">
        <f>O688/O682+P688/P685</f>
        <v>3.1131587561374792</v>
      </c>
      <c r="X688" s="1">
        <f t="shared" ref="X688:X696" si="247">100*ROUND(P688/(P688+O688), 2)</f>
        <v>49</v>
      </c>
      <c r="Y688" s="6">
        <f>O688+P688</f>
        <v>0.98666666666666669</v>
      </c>
    </row>
    <row r="689" spans="1:25" x14ac:dyDescent="0.15">
      <c r="A689" s="1">
        <v>2024</v>
      </c>
      <c r="B689" s="3" t="s">
        <v>58</v>
      </c>
      <c r="C689" s="1">
        <v>48</v>
      </c>
      <c r="D689" s="3">
        <v>11</v>
      </c>
      <c r="E689" s="3" t="s">
        <v>35</v>
      </c>
      <c r="F689" s="3" t="s">
        <v>39</v>
      </c>
      <c r="G689" s="3" t="s">
        <v>14</v>
      </c>
      <c r="H689" s="1" t="s">
        <v>35</v>
      </c>
      <c r="I689" s="3">
        <v>4</v>
      </c>
      <c r="J689" s="3" t="s">
        <v>64</v>
      </c>
      <c r="K689" s="1" t="s">
        <v>42</v>
      </c>
      <c r="L689" s="6">
        <v>110</v>
      </c>
      <c r="M689" s="6">
        <v>60</v>
      </c>
      <c r="N689" s="7">
        <f t="shared" ref="N689:N696" si="248">L689-M689</f>
        <v>50</v>
      </c>
      <c r="O689" s="6">
        <v>0.32133333333333336</v>
      </c>
      <c r="P689" s="6">
        <v>0.3773333333333333</v>
      </c>
      <c r="Q689" s="6">
        <f>O689/(0.1*O679)</f>
        <v>1.637228260869565</v>
      </c>
      <c r="R689" s="6">
        <f>O689/(0.1*O682)</f>
        <v>2.0510638297872337</v>
      </c>
      <c r="S689" s="6">
        <f>P689/(0.9*P686)</f>
        <v>0.98571926158133039</v>
      </c>
      <c r="T689" s="6">
        <f t="shared" ref="T689:T696" si="249">Q689+S689</f>
        <v>2.6229475224508954</v>
      </c>
      <c r="U689" s="6">
        <f t="shared" ref="U689:U696" si="250">R689+S689</f>
        <v>3.0367830913685641</v>
      </c>
      <c r="V689" s="1">
        <f>O689/O679+P689/P686</f>
        <v>1.0508701615101539</v>
      </c>
      <c r="W689" s="1">
        <f>O689/O682+P689/P686</f>
        <v>1.0922537184019208</v>
      </c>
      <c r="X689" s="1">
        <f t="shared" si="247"/>
        <v>54</v>
      </c>
      <c r="Y689" s="6">
        <f t="shared" ref="Y689:Y696" si="251">O689+P689</f>
        <v>0.69866666666666666</v>
      </c>
    </row>
    <row r="690" spans="1:25" x14ac:dyDescent="0.15">
      <c r="A690" s="1">
        <v>2024</v>
      </c>
      <c r="B690" s="3" t="s">
        <v>58</v>
      </c>
      <c r="C690" s="1">
        <v>48</v>
      </c>
      <c r="D690" s="3">
        <v>12</v>
      </c>
      <c r="E690" s="3" t="s">
        <v>35</v>
      </c>
      <c r="F690" s="3" t="s">
        <v>40</v>
      </c>
      <c r="G690" s="3" t="s">
        <v>14</v>
      </c>
      <c r="H690" s="1" t="s">
        <v>35</v>
      </c>
      <c r="I690" s="3">
        <v>4</v>
      </c>
      <c r="J690" s="3" t="s">
        <v>65</v>
      </c>
      <c r="K690" s="1" t="s">
        <v>42</v>
      </c>
      <c r="L690" s="6">
        <v>105</v>
      </c>
      <c r="M690" s="6">
        <v>65</v>
      </c>
      <c r="N690" s="7">
        <f t="shared" si="248"/>
        <v>40</v>
      </c>
      <c r="O690" s="6">
        <v>0.40399999999999997</v>
      </c>
      <c r="P690" s="6">
        <v>0.20799999999999999</v>
      </c>
      <c r="Q690" s="6">
        <f>O690/(0.1*O679)</f>
        <v>2.0584239130434776</v>
      </c>
      <c r="R690" s="6">
        <f>O690/(0.1*O682)</f>
        <v>2.5787234042553182</v>
      </c>
      <c r="S690" s="6">
        <f>P690/(0.9*P687)</f>
        <v>0.43881856540084391</v>
      </c>
      <c r="T690" s="6">
        <f t="shared" si="249"/>
        <v>2.4972424784443215</v>
      </c>
      <c r="U690" s="6">
        <f t="shared" si="250"/>
        <v>3.0175419696561621</v>
      </c>
      <c r="V690" s="1">
        <f>O690/O679+P690/P687</f>
        <v>0.60077910016510727</v>
      </c>
      <c r="W690" s="1">
        <f>O690/O682+P690/P687</f>
        <v>0.65280904928629135</v>
      </c>
      <c r="X690" s="1">
        <f t="shared" si="247"/>
        <v>34</v>
      </c>
      <c r="Y690" s="6">
        <f t="shared" si="251"/>
        <v>0.61199999999999999</v>
      </c>
    </row>
    <row r="691" spans="1:25" x14ac:dyDescent="0.15">
      <c r="A691" s="1">
        <v>2024</v>
      </c>
      <c r="B691" s="3" t="s">
        <v>58</v>
      </c>
      <c r="C691" s="1">
        <v>48</v>
      </c>
      <c r="D691" s="3">
        <v>13</v>
      </c>
      <c r="E691" s="3" t="s">
        <v>36</v>
      </c>
      <c r="F691" s="3" t="s">
        <v>38</v>
      </c>
      <c r="G691" s="3" t="s">
        <v>14</v>
      </c>
      <c r="H691" s="1" t="s">
        <v>36</v>
      </c>
      <c r="I691" s="3">
        <v>4</v>
      </c>
      <c r="J691" s="3" t="s">
        <v>66</v>
      </c>
      <c r="K691" s="1" t="s">
        <v>42</v>
      </c>
      <c r="L691" s="6">
        <v>105</v>
      </c>
      <c r="M691" s="6">
        <v>60</v>
      </c>
      <c r="N691" s="7">
        <f t="shared" si="248"/>
        <v>45</v>
      </c>
      <c r="O691" s="6">
        <v>0.44533333333333336</v>
      </c>
      <c r="P691" s="6">
        <v>0.23066666666666666</v>
      </c>
      <c r="Q691" s="6">
        <f>O691/(0.1*O680)</f>
        <v>2.9427312775330394</v>
      </c>
      <c r="R691" s="6">
        <f>O691/(0.1*O683)</f>
        <v>2.0048019207683074</v>
      </c>
      <c r="S691" s="6">
        <f>P691/(0.9*P685)</f>
        <v>1.4786324786324785</v>
      </c>
      <c r="T691" s="6">
        <f t="shared" si="249"/>
        <v>4.4213637561655181</v>
      </c>
      <c r="U691" s="6">
        <f t="shared" si="250"/>
        <v>3.4834343994007861</v>
      </c>
      <c r="V691" s="1">
        <f>O691/O680+P691/P685</f>
        <v>1.6250423585225346</v>
      </c>
      <c r="W691" s="1">
        <f>O691/O683+P691/P685</f>
        <v>1.5312494228460614</v>
      </c>
      <c r="X691" s="1">
        <f t="shared" si="247"/>
        <v>34</v>
      </c>
      <c r="Y691" s="6">
        <f t="shared" si="251"/>
        <v>0.67600000000000005</v>
      </c>
    </row>
    <row r="692" spans="1:25" x14ac:dyDescent="0.15">
      <c r="A692" s="1">
        <v>2024</v>
      </c>
      <c r="B692" s="3" t="s">
        <v>58</v>
      </c>
      <c r="C692" s="1">
        <v>48</v>
      </c>
      <c r="D692" s="3">
        <v>14</v>
      </c>
      <c r="E692" s="3" t="s">
        <v>36</v>
      </c>
      <c r="F692" s="3" t="s">
        <v>39</v>
      </c>
      <c r="G692" s="3" t="s">
        <v>14</v>
      </c>
      <c r="H692" s="1" t="s">
        <v>36</v>
      </c>
      <c r="I692" s="3">
        <v>4</v>
      </c>
      <c r="J692" s="3" t="s">
        <v>67</v>
      </c>
      <c r="K692" s="1" t="s">
        <v>42</v>
      </c>
      <c r="L692" s="6">
        <v>110</v>
      </c>
      <c r="M692" s="6">
        <v>65</v>
      </c>
      <c r="N692" s="7">
        <f t="shared" si="248"/>
        <v>45</v>
      </c>
      <c r="O692" s="6">
        <v>0.54666666666666663</v>
      </c>
      <c r="P692" s="6">
        <v>0.124</v>
      </c>
      <c r="Q692" s="6">
        <f>O692/(0.1*O680)</f>
        <v>3.6123348017621142</v>
      </c>
      <c r="R692" s="6">
        <f>O692/(0.1*O683)</f>
        <v>2.4609843937575029</v>
      </c>
      <c r="S692" s="6">
        <f>P692/(0.9*P686)</f>
        <v>0.32392894461859978</v>
      </c>
      <c r="T692" s="6">
        <f t="shared" si="249"/>
        <v>3.936263746380714</v>
      </c>
      <c r="U692" s="6">
        <f t="shared" si="250"/>
        <v>2.7849133383761027</v>
      </c>
      <c r="V692" s="1">
        <f>O692/O680+P692/P686</f>
        <v>0.65276953033295126</v>
      </c>
      <c r="W692" s="1">
        <f>O692/O683+P692/P686</f>
        <v>0.53763448953249005</v>
      </c>
      <c r="X692" s="1">
        <f t="shared" si="247"/>
        <v>18</v>
      </c>
      <c r="Y692" s="6">
        <f t="shared" si="251"/>
        <v>0.67066666666666663</v>
      </c>
    </row>
    <row r="693" spans="1:25" x14ac:dyDescent="0.15">
      <c r="A693" s="1">
        <v>2024</v>
      </c>
      <c r="B693" s="3" t="s">
        <v>58</v>
      </c>
      <c r="C693" s="1">
        <v>48</v>
      </c>
      <c r="D693" s="3">
        <v>15</v>
      </c>
      <c r="E693" s="3" t="s">
        <v>36</v>
      </c>
      <c r="F693" s="3" t="s">
        <v>40</v>
      </c>
      <c r="G693" s="3" t="s">
        <v>14</v>
      </c>
      <c r="H693" s="1" t="s">
        <v>36</v>
      </c>
      <c r="I693" s="3">
        <v>4</v>
      </c>
      <c r="J693" s="3" t="s">
        <v>68</v>
      </c>
      <c r="K693" s="1" t="s">
        <v>42</v>
      </c>
      <c r="L693" s="6">
        <v>115</v>
      </c>
      <c r="M693" s="6">
        <v>65</v>
      </c>
      <c r="N693" s="7">
        <f t="shared" si="248"/>
        <v>50</v>
      </c>
      <c r="O693" s="6">
        <v>0.70400000000000007</v>
      </c>
      <c r="P693" s="6">
        <v>0.40133333333333332</v>
      </c>
      <c r="Q693" s="6">
        <f>O693/(0.1*O680)</f>
        <v>4.6519823788546253</v>
      </c>
      <c r="R693" s="6">
        <f>O693/(0.1*O683)</f>
        <v>3.1692677070828332</v>
      </c>
      <c r="S693" s="6">
        <f>P693/(0.9*P687)</f>
        <v>0.84669479606188469</v>
      </c>
      <c r="T693" s="6">
        <f t="shared" si="249"/>
        <v>5.4986771749165104</v>
      </c>
      <c r="U693" s="6">
        <f t="shared" si="250"/>
        <v>4.0159625031447179</v>
      </c>
      <c r="V693" s="1">
        <f>O693/O680+P693/P687</f>
        <v>1.2272235543411587</v>
      </c>
      <c r="W693" s="1">
        <f>O693/O683+P693/P687</f>
        <v>1.0789520871639797</v>
      </c>
      <c r="X693" s="1">
        <f t="shared" si="247"/>
        <v>36</v>
      </c>
      <c r="Y693" s="6">
        <f t="shared" si="251"/>
        <v>1.1053333333333333</v>
      </c>
    </row>
    <row r="694" spans="1:25" x14ac:dyDescent="0.15">
      <c r="A694" s="1">
        <v>2024</v>
      </c>
      <c r="B694" s="3" t="s">
        <v>58</v>
      </c>
      <c r="C694" s="1">
        <v>48</v>
      </c>
      <c r="D694" s="3">
        <v>16</v>
      </c>
      <c r="E694" s="3" t="s">
        <v>37</v>
      </c>
      <c r="F694" s="3" t="s">
        <v>38</v>
      </c>
      <c r="G694" s="3" t="s">
        <v>14</v>
      </c>
      <c r="H694" s="1" t="s">
        <v>37</v>
      </c>
      <c r="I694" s="3">
        <v>4</v>
      </c>
      <c r="J694" s="3" t="s">
        <v>69</v>
      </c>
      <c r="K694" s="1" t="s">
        <v>42</v>
      </c>
      <c r="L694" s="6">
        <v>60</v>
      </c>
      <c r="M694" s="6">
        <v>60</v>
      </c>
      <c r="N694" s="7">
        <f t="shared" si="248"/>
        <v>0</v>
      </c>
      <c r="O694" s="6">
        <v>0.17600000000000002</v>
      </c>
      <c r="P694" s="6">
        <v>0.37599999999999995</v>
      </c>
      <c r="Q694" s="6">
        <f>O694/(0.1*O681)</f>
        <v>1.0256410256410258</v>
      </c>
      <c r="R694" s="6">
        <f>O694/(0.1*O684)</f>
        <v>0.88531187122736421</v>
      </c>
      <c r="S694" s="6">
        <f>P694/(0.9*P685)</f>
        <v>2.4102564102564101</v>
      </c>
      <c r="T694" s="6">
        <f t="shared" si="249"/>
        <v>3.4358974358974361</v>
      </c>
      <c r="U694" s="6">
        <f t="shared" si="250"/>
        <v>3.2955682814837743</v>
      </c>
      <c r="V694" s="1">
        <f>O694/O681+P694/P685</f>
        <v>2.2717948717948713</v>
      </c>
      <c r="W694" s="1">
        <f>O694/O684+P694/P685</f>
        <v>2.2577619563535052</v>
      </c>
      <c r="X694" s="1">
        <f t="shared" si="247"/>
        <v>68</v>
      </c>
      <c r="Y694" s="6">
        <f t="shared" si="251"/>
        <v>0.55199999999999994</v>
      </c>
    </row>
    <row r="695" spans="1:25" x14ac:dyDescent="0.15">
      <c r="A695" s="1">
        <v>2024</v>
      </c>
      <c r="B695" s="3" t="s">
        <v>58</v>
      </c>
      <c r="C695" s="1">
        <v>48</v>
      </c>
      <c r="D695" s="3">
        <v>17</v>
      </c>
      <c r="E695" s="3" t="s">
        <v>37</v>
      </c>
      <c r="F695" s="3" t="s">
        <v>39</v>
      </c>
      <c r="G695" s="3" t="s">
        <v>14</v>
      </c>
      <c r="H695" s="1" t="s">
        <v>37</v>
      </c>
      <c r="I695" s="3">
        <v>4</v>
      </c>
      <c r="J695" s="3" t="s">
        <v>70</v>
      </c>
      <c r="K695" s="1" t="s">
        <v>42</v>
      </c>
      <c r="L695" s="6">
        <v>65</v>
      </c>
      <c r="M695" s="6">
        <v>60</v>
      </c>
      <c r="N695" s="7">
        <f t="shared" si="248"/>
        <v>5</v>
      </c>
      <c r="O695" s="6">
        <v>0.20533333333333334</v>
      </c>
      <c r="P695" s="6">
        <v>0.26266666666666666</v>
      </c>
      <c r="Q695" s="6">
        <f>O695/(0.1*O681)</f>
        <v>1.1965811965811965</v>
      </c>
      <c r="R695" s="6">
        <f>O695/(0.1*O684)</f>
        <v>1.0328638497652582</v>
      </c>
      <c r="S695" s="6">
        <f>P695/(0.9*P686)</f>
        <v>0.68617206548241028</v>
      </c>
      <c r="T695" s="6">
        <f t="shared" si="249"/>
        <v>1.8827532620636069</v>
      </c>
      <c r="U695" s="6">
        <f t="shared" si="250"/>
        <v>1.7190359152476686</v>
      </c>
      <c r="V695" s="1">
        <f>O695/O681+P695/P686</f>
        <v>0.73721297859228896</v>
      </c>
      <c r="W695" s="1">
        <f>O695/O684+P695/P686</f>
        <v>0.72084124391069515</v>
      </c>
      <c r="X695" s="1">
        <f t="shared" si="247"/>
        <v>56.000000000000007</v>
      </c>
      <c r="Y695" s="6">
        <f t="shared" si="251"/>
        <v>0.46799999999999997</v>
      </c>
    </row>
    <row r="696" spans="1:25" x14ac:dyDescent="0.15">
      <c r="A696" s="1">
        <v>2024</v>
      </c>
      <c r="B696" s="3" t="s">
        <v>58</v>
      </c>
      <c r="C696" s="1">
        <v>48</v>
      </c>
      <c r="D696" s="3">
        <v>18</v>
      </c>
      <c r="E696" s="3" t="s">
        <v>37</v>
      </c>
      <c r="F696" s="3" t="s">
        <v>40</v>
      </c>
      <c r="G696" s="3" t="s">
        <v>14</v>
      </c>
      <c r="H696" s="1" t="s">
        <v>37</v>
      </c>
      <c r="I696" s="3">
        <v>4</v>
      </c>
      <c r="J696" s="3" t="s">
        <v>71</v>
      </c>
      <c r="K696" s="1" t="s">
        <v>42</v>
      </c>
      <c r="L696" s="6">
        <v>75</v>
      </c>
      <c r="M696" s="6">
        <v>60</v>
      </c>
      <c r="N696" s="7">
        <f t="shared" si="248"/>
        <v>15</v>
      </c>
      <c r="O696" s="6">
        <v>0.3773333333333333</v>
      </c>
      <c r="P696" s="6">
        <v>0.42933333333333334</v>
      </c>
      <c r="Q696" s="6">
        <f>O696/(0.1*O681)</f>
        <v>2.1989121989121987</v>
      </c>
      <c r="R696" s="6">
        <f>O696/(0.1*O684)</f>
        <v>1.8980549966465456</v>
      </c>
      <c r="S696" s="6">
        <f>P696/(0.9*P687)</f>
        <v>0.90576652601969065</v>
      </c>
      <c r="T696" s="6">
        <f t="shared" si="249"/>
        <v>3.1046787249318895</v>
      </c>
      <c r="U696" s="6">
        <f t="shared" si="250"/>
        <v>2.8038215226662362</v>
      </c>
      <c r="V696" s="1">
        <f>O696/O681+P696/P687</f>
        <v>1.0350810933089416</v>
      </c>
      <c r="W696" s="1">
        <f>O696/O684+P696/P687</f>
        <v>1.0049953730823762</v>
      </c>
      <c r="X696" s="1">
        <f t="shared" si="247"/>
        <v>53</v>
      </c>
      <c r="Y696" s="6">
        <f t="shared" si="251"/>
        <v>0.80666666666666664</v>
      </c>
    </row>
    <row r="697" spans="1:25" x14ac:dyDescent="0.15">
      <c r="A697" s="1">
        <v>2024</v>
      </c>
      <c r="B697" s="3" t="s">
        <v>58</v>
      </c>
      <c r="C697" s="1">
        <v>48</v>
      </c>
      <c r="D697" s="3">
        <v>1</v>
      </c>
      <c r="E697" s="3" t="s">
        <v>35</v>
      </c>
      <c r="F697" s="3"/>
      <c r="G697" s="3" t="s">
        <v>41</v>
      </c>
      <c r="H697" s="1" t="s">
        <v>35</v>
      </c>
      <c r="I697" s="3">
        <v>4</v>
      </c>
      <c r="J697" s="3" t="s">
        <v>35</v>
      </c>
      <c r="K697" s="1" t="s">
        <v>42</v>
      </c>
      <c r="L697" s="6">
        <v>110</v>
      </c>
      <c r="M697" s="6" t="s">
        <v>73</v>
      </c>
      <c r="N697" s="7" t="s">
        <v>45</v>
      </c>
      <c r="O697" s="6">
        <v>1.784</v>
      </c>
      <c r="P697" s="5" t="s">
        <v>45</v>
      </c>
      <c r="Q697" s="6" t="s">
        <v>45</v>
      </c>
      <c r="R697" s="6" t="s">
        <v>45</v>
      </c>
      <c r="S697" s="6" t="s">
        <v>45</v>
      </c>
      <c r="T697" s="6" t="s">
        <v>45</v>
      </c>
      <c r="U697" s="6" t="s">
        <v>45</v>
      </c>
      <c r="V697" s="1" t="s">
        <v>45</v>
      </c>
      <c r="W697" s="1" t="s">
        <v>45</v>
      </c>
      <c r="X697" s="6" t="s">
        <v>45</v>
      </c>
      <c r="Y697" s="6">
        <f>O697</f>
        <v>1.784</v>
      </c>
    </row>
    <row r="698" spans="1:25" x14ac:dyDescent="0.15">
      <c r="A698" s="1">
        <v>2024</v>
      </c>
      <c r="B698" s="3" t="s">
        <v>58</v>
      </c>
      <c r="C698" s="1">
        <v>48</v>
      </c>
      <c r="D698" s="3">
        <v>2</v>
      </c>
      <c r="E698" s="3" t="s">
        <v>36</v>
      </c>
      <c r="F698" s="3"/>
      <c r="G698" s="3" t="s">
        <v>41</v>
      </c>
      <c r="H698" s="1" t="s">
        <v>36</v>
      </c>
      <c r="I698" s="3">
        <v>4</v>
      </c>
      <c r="J698" s="3" t="s">
        <v>36</v>
      </c>
      <c r="K698" s="1" t="s">
        <v>42</v>
      </c>
      <c r="L698" s="6">
        <v>105</v>
      </c>
      <c r="M698" s="6" t="s">
        <v>73</v>
      </c>
      <c r="N698" s="7" t="s">
        <v>45</v>
      </c>
      <c r="O698" s="6">
        <v>2.7013333333333329</v>
      </c>
      <c r="P698" s="5" t="s">
        <v>45</v>
      </c>
      <c r="Q698" s="6" t="s">
        <v>45</v>
      </c>
      <c r="R698" s="6" t="s">
        <v>45</v>
      </c>
      <c r="S698" s="6" t="s">
        <v>45</v>
      </c>
      <c r="T698" s="6" t="s">
        <v>45</v>
      </c>
      <c r="U698" s="6" t="s">
        <v>45</v>
      </c>
      <c r="V698" s="1" t="s">
        <v>45</v>
      </c>
      <c r="W698" s="1" t="s">
        <v>45</v>
      </c>
      <c r="X698" s="6" t="s">
        <v>45</v>
      </c>
      <c r="Y698" s="6">
        <f t="shared" ref="Y698:Y702" si="252">O698</f>
        <v>2.7013333333333329</v>
      </c>
    </row>
    <row r="699" spans="1:25" x14ac:dyDescent="0.15">
      <c r="A699" s="1">
        <v>2024</v>
      </c>
      <c r="B699" s="3" t="s">
        <v>58</v>
      </c>
      <c r="C699" s="1">
        <v>48</v>
      </c>
      <c r="D699" s="3">
        <v>3</v>
      </c>
      <c r="E699" s="3" t="s">
        <v>37</v>
      </c>
      <c r="F699" s="3"/>
      <c r="G699" s="3" t="s">
        <v>41</v>
      </c>
      <c r="H699" s="1" t="s">
        <v>37</v>
      </c>
      <c r="I699" s="3">
        <v>4</v>
      </c>
      <c r="J699" s="3" t="s">
        <v>37</v>
      </c>
      <c r="K699" s="1" t="s">
        <v>42</v>
      </c>
      <c r="L699" s="6">
        <v>70</v>
      </c>
      <c r="M699" s="6" t="s">
        <v>73</v>
      </c>
      <c r="N699" s="7" t="s">
        <v>45</v>
      </c>
      <c r="O699" s="6">
        <v>2.1053333333333333</v>
      </c>
      <c r="P699" s="5" t="s">
        <v>45</v>
      </c>
      <c r="Q699" s="6" t="s">
        <v>45</v>
      </c>
      <c r="R699" s="6" t="s">
        <v>45</v>
      </c>
      <c r="S699" s="6" t="s">
        <v>45</v>
      </c>
      <c r="T699" s="6" t="s">
        <v>45</v>
      </c>
      <c r="U699" s="6" t="s">
        <v>45</v>
      </c>
      <c r="V699" s="1" t="s">
        <v>45</v>
      </c>
      <c r="W699" s="1" t="s">
        <v>45</v>
      </c>
      <c r="X699" s="6" t="s">
        <v>45</v>
      </c>
      <c r="Y699" s="6">
        <f t="shared" si="252"/>
        <v>2.1053333333333333</v>
      </c>
    </row>
    <row r="700" spans="1:25" x14ac:dyDescent="0.15">
      <c r="A700" s="1">
        <v>2024</v>
      </c>
      <c r="B700" s="3" t="s">
        <v>58</v>
      </c>
      <c r="C700" s="1">
        <v>48</v>
      </c>
      <c r="D700" s="3">
        <v>4</v>
      </c>
      <c r="E700" s="3" t="s">
        <v>35</v>
      </c>
      <c r="F700" s="3"/>
      <c r="G700" s="3" t="s">
        <v>41</v>
      </c>
      <c r="H700" s="1" t="s">
        <v>75</v>
      </c>
      <c r="I700" s="3">
        <v>4</v>
      </c>
      <c r="J700" s="3" t="s">
        <v>35</v>
      </c>
      <c r="K700" s="1" t="s">
        <v>43</v>
      </c>
      <c r="L700" s="6">
        <v>110</v>
      </c>
      <c r="M700" s="6" t="s">
        <v>73</v>
      </c>
      <c r="N700" s="7" t="s">
        <v>45</v>
      </c>
      <c r="O700" s="6">
        <v>2.0346666666666664</v>
      </c>
      <c r="P700" s="5" t="s">
        <v>45</v>
      </c>
      <c r="Q700" s="6" t="s">
        <v>45</v>
      </c>
      <c r="R700" s="6" t="s">
        <v>45</v>
      </c>
      <c r="S700" s="6" t="s">
        <v>45</v>
      </c>
      <c r="T700" s="6" t="s">
        <v>45</v>
      </c>
      <c r="U700" s="6" t="s">
        <v>45</v>
      </c>
      <c r="V700" s="1" t="s">
        <v>45</v>
      </c>
      <c r="W700" s="1" t="s">
        <v>45</v>
      </c>
      <c r="X700" s="1" t="s">
        <v>45</v>
      </c>
      <c r="Y700" s="6">
        <f t="shared" si="252"/>
        <v>2.0346666666666664</v>
      </c>
    </row>
    <row r="701" spans="1:25" x14ac:dyDescent="0.15">
      <c r="A701" s="1">
        <v>2024</v>
      </c>
      <c r="B701" s="3" t="s">
        <v>58</v>
      </c>
      <c r="C701" s="1">
        <v>49</v>
      </c>
      <c r="D701" s="3">
        <v>5</v>
      </c>
      <c r="E701" s="3" t="s">
        <v>36</v>
      </c>
      <c r="F701" s="3"/>
      <c r="G701" s="3" t="s">
        <v>41</v>
      </c>
      <c r="H701" s="1" t="s">
        <v>76</v>
      </c>
      <c r="I701" s="3">
        <v>4</v>
      </c>
      <c r="J701" s="3" t="s">
        <v>36</v>
      </c>
      <c r="K701" s="1" t="s">
        <v>43</v>
      </c>
      <c r="L701" s="6">
        <v>115</v>
      </c>
      <c r="M701" s="6" t="s">
        <v>73</v>
      </c>
      <c r="N701" s="7" t="s">
        <v>45</v>
      </c>
      <c r="O701" s="6">
        <v>2.8946666666666667</v>
      </c>
      <c r="P701" s="5" t="s">
        <v>45</v>
      </c>
      <c r="Q701" s="6" t="s">
        <v>45</v>
      </c>
      <c r="R701" s="6" t="s">
        <v>45</v>
      </c>
      <c r="S701" s="6" t="s">
        <v>45</v>
      </c>
      <c r="T701" s="6" t="s">
        <v>45</v>
      </c>
      <c r="U701" s="6" t="s">
        <v>45</v>
      </c>
      <c r="V701" s="1" t="s">
        <v>45</v>
      </c>
      <c r="W701" s="1" t="s">
        <v>45</v>
      </c>
      <c r="X701" s="1" t="s">
        <v>45</v>
      </c>
      <c r="Y701" s="6">
        <f t="shared" si="252"/>
        <v>2.8946666666666667</v>
      </c>
    </row>
    <row r="702" spans="1:25" x14ac:dyDescent="0.15">
      <c r="A702" s="1">
        <v>2024</v>
      </c>
      <c r="B702" s="3" t="s">
        <v>58</v>
      </c>
      <c r="C702" s="1">
        <v>49</v>
      </c>
      <c r="D702" s="3">
        <v>6</v>
      </c>
      <c r="E702" s="3" t="s">
        <v>37</v>
      </c>
      <c r="F702" s="3"/>
      <c r="G702" s="3" t="s">
        <v>41</v>
      </c>
      <c r="H702" s="1" t="s">
        <v>77</v>
      </c>
      <c r="I702" s="3">
        <v>4</v>
      </c>
      <c r="J702" s="3" t="s">
        <v>37</v>
      </c>
      <c r="K702" s="1" t="s">
        <v>43</v>
      </c>
      <c r="L702" s="6">
        <v>75</v>
      </c>
      <c r="M702" s="6" t="s">
        <v>73</v>
      </c>
      <c r="N702" s="7" t="s">
        <v>45</v>
      </c>
      <c r="O702" s="6">
        <v>2.5493333333333332</v>
      </c>
      <c r="P702" s="5" t="s">
        <v>45</v>
      </c>
      <c r="Q702" s="6" t="s">
        <v>45</v>
      </c>
      <c r="R702" s="6" t="s">
        <v>45</v>
      </c>
      <c r="S702" s="6" t="s">
        <v>45</v>
      </c>
      <c r="T702" s="6" t="s">
        <v>45</v>
      </c>
      <c r="U702" s="6" t="s">
        <v>45</v>
      </c>
      <c r="V702" s="1" t="s">
        <v>45</v>
      </c>
      <c r="W702" s="1" t="s">
        <v>45</v>
      </c>
      <c r="X702" s="1" t="s">
        <v>45</v>
      </c>
      <c r="Y702" s="6">
        <f t="shared" si="252"/>
        <v>2.5493333333333332</v>
      </c>
    </row>
    <row r="703" spans="1:25" x14ac:dyDescent="0.15">
      <c r="A703" s="1">
        <v>2024</v>
      </c>
      <c r="B703" s="3" t="s">
        <v>58</v>
      </c>
      <c r="C703" s="1">
        <v>49</v>
      </c>
      <c r="D703" s="3">
        <v>7</v>
      </c>
      <c r="E703" s="3"/>
      <c r="F703" s="3" t="s">
        <v>38</v>
      </c>
      <c r="G703" s="3" t="s">
        <v>41</v>
      </c>
      <c r="H703" s="1"/>
      <c r="I703" s="3">
        <v>4</v>
      </c>
      <c r="J703" s="3" t="s">
        <v>38</v>
      </c>
      <c r="K703" s="1" t="s">
        <v>42</v>
      </c>
      <c r="L703" s="6" t="s">
        <v>73</v>
      </c>
      <c r="M703" s="6">
        <v>60</v>
      </c>
      <c r="N703" s="7" t="s">
        <v>45</v>
      </c>
      <c r="O703" s="5" t="s">
        <v>45</v>
      </c>
      <c r="P703" s="6">
        <v>0.32800000000000001</v>
      </c>
      <c r="Q703" s="6" t="s">
        <v>45</v>
      </c>
      <c r="R703" s="6" t="s">
        <v>45</v>
      </c>
      <c r="S703" s="6" t="s">
        <v>45</v>
      </c>
      <c r="T703" s="6" t="s">
        <v>45</v>
      </c>
      <c r="U703" s="6" t="s">
        <v>45</v>
      </c>
      <c r="V703" s="1" t="s">
        <v>45</v>
      </c>
      <c r="W703" s="1" t="s">
        <v>45</v>
      </c>
      <c r="X703" s="1" t="s">
        <v>45</v>
      </c>
      <c r="Y703" s="6">
        <f>P703</f>
        <v>0.32800000000000001</v>
      </c>
    </row>
    <row r="704" spans="1:25" x14ac:dyDescent="0.15">
      <c r="A704" s="1">
        <v>2024</v>
      </c>
      <c r="B704" s="3" t="s">
        <v>58</v>
      </c>
      <c r="C704" s="1">
        <v>49</v>
      </c>
      <c r="D704" s="3">
        <v>8</v>
      </c>
      <c r="E704" s="3"/>
      <c r="F704" s="3" t="s">
        <v>39</v>
      </c>
      <c r="G704" s="3" t="s">
        <v>41</v>
      </c>
      <c r="H704" s="1"/>
      <c r="I704" s="3">
        <v>4</v>
      </c>
      <c r="J704" s="3" t="s">
        <v>39</v>
      </c>
      <c r="K704" s="1" t="s">
        <v>42</v>
      </c>
      <c r="L704" s="6" t="s">
        <v>73</v>
      </c>
      <c r="M704" s="6">
        <v>55</v>
      </c>
      <c r="N704" s="7" t="s">
        <v>45</v>
      </c>
      <c r="O704" s="5" t="s">
        <v>45</v>
      </c>
      <c r="P704" s="6">
        <v>0.30266666666666669</v>
      </c>
      <c r="Q704" s="6" t="s">
        <v>45</v>
      </c>
      <c r="R704" s="6" t="s">
        <v>45</v>
      </c>
      <c r="S704" s="6" t="s">
        <v>45</v>
      </c>
      <c r="T704" s="6" t="s">
        <v>45</v>
      </c>
      <c r="U704" s="6" t="s">
        <v>45</v>
      </c>
      <c r="V704" s="1" t="s">
        <v>45</v>
      </c>
      <c r="W704" s="1" t="s">
        <v>45</v>
      </c>
      <c r="X704" s="1" t="s">
        <v>45</v>
      </c>
      <c r="Y704" s="6">
        <f t="shared" ref="Y704:Y705" si="253">P704</f>
        <v>0.30266666666666669</v>
      </c>
    </row>
    <row r="705" spans="1:25" x14ac:dyDescent="0.15">
      <c r="A705" s="1">
        <v>2024</v>
      </c>
      <c r="B705" s="3" t="s">
        <v>58</v>
      </c>
      <c r="C705" s="1">
        <v>49</v>
      </c>
      <c r="D705" s="3">
        <v>9</v>
      </c>
      <c r="E705" s="3"/>
      <c r="F705" s="3" t="s">
        <v>40</v>
      </c>
      <c r="G705" s="3" t="s">
        <v>41</v>
      </c>
      <c r="H705" s="1"/>
      <c r="I705" s="3">
        <v>4</v>
      </c>
      <c r="J705" s="3" t="s">
        <v>40</v>
      </c>
      <c r="K705" s="1" t="s">
        <v>42</v>
      </c>
      <c r="L705" s="6" t="s">
        <v>73</v>
      </c>
      <c r="M705" s="6">
        <v>55</v>
      </c>
      <c r="N705" s="7" t="s">
        <v>45</v>
      </c>
      <c r="O705" s="5" t="s">
        <v>45</v>
      </c>
      <c r="P705" s="6">
        <v>0.3773333333333333</v>
      </c>
      <c r="Q705" s="6" t="s">
        <v>45</v>
      </c>
      <c r="R705" s="6" t="s">
        <v>45</v>
      </c>
      <c r="S705" s="6" t="s">
        <v>45</v>
      </c>
      <c r="T705" s="6" t="s">
        <v>45</v>
      </c>
      <c r="U705" s="6" t="s">
        <v>45</v>
      </c>
      <c r="V705" s="1" t="s">
        <v>45</v>
      </c>
      <c r="W705" s="1" t="s">
        <v>45</v>
      </c>
      <c r="X705" s="1" t="s">
        <v>45</v>
      </c>
      <c r="Y705" s="6">
        <f t="shared" si="253"/>
        <v>0.3773333333333333</v>
      </c>
    </row>
    <row r="706" spans="1:25" x14ac:dyDescent="0.15">
      <c r="A706" s="1">
        <v>2024</v>
      </c>
      <c r="B706" s="3" t="s">
        <v>58</v>
      </c>
      <c r="C706" s="1">
        <v>49</v>
      </c>
      <c r="D706" s="3">
        <v>10</v>
      </c>
      <c r="E706" s="3" t="s">
        <v>35</v>
      </c>
      <c r="F706" s="3" t="s">
        <v>38</v>
      </c>
      <c r="G706" s="3" t="s">
        <v>14</v>
      </c>
      <c r="H706" s="1" t="s">
        <v>35</v>
      </c>
      <c r="I706" s="3">
        <v>4</v>
      </c>
      <c r="J706" s="3" t="s">
        <v>63</v>
      </c>
      <c r="K706" s="1" t="s">
        <v>42</v>
      </c>
      <c r="L706" s="6">
        <v>110</v>
      </c>
      <c r="M706" s="6">
        <v>60</v>
      </c>
      <c r="N706" s="7">
        <f>L706-M706</f>
        <v>50</v>
      </c>
      <c r="O706" s="6">
        <v>0.39599999999999996</v>
      </c>
      <c r="P706" s="6">
        <v>0.48933333333333334</v>
      </c>
      <c r="Q706" s="6">
        <f>O706/(0.1*O697)</f>
        <v>2.2197309417040358</v>
      </c>
      <c r="R706" s="6">
        <f>O706/(0.1*O700)</f>
        <v>1.946264744429882</v>
      </c>
      <c r="S706" s="6">
        <f>P706/(0.9*P703)</f>
        <v>1.6576332429990965</v>
      </c>
      <c r="T706" s="6">
        <f>Q706+S706</f>
        <v>3.8773641847031324</v>
      </c>
      <c r="U706" s="6">
        <f>R706+S706</f>
        <v>3.6038979874289785</v>
      </c>
      <c r="V706" s="1">
        <f>O706/O697+P706/P703</f>
        <v>1.7138430128695905</v>
      </c>
      <c r="W706" s="1">
        <f>O706/O700+P706/P703</f>
        <v>1.6864963931421753</v>
      </c>
      <c r="X706" s="1">
        <f t="shared" ref="X706:X714" si="254">100*ROUND(P706/(P706+O706), 2)</f>
        <v>55.000000000000007</v>
      </c>
      <c r="Y706" s="6">
        <f>O706+P706</f>
        <v>0.88533333333333331</v>
      </c>
    </row>
    <row r="707" spans="1:25" x14ac:dyDescent="0.15">
      <c r="A707" s="1">
        <v>2024</v>
      </c>
      <c r="B707" s="3" t="s">
        <v>58</v>
      </c>
      <c r="C707" s="1">
        <v>49</v>
      </c>
      <c r="D707" s="3">
        <v>11</v>
      </c>
      <c r="E707" s="3" t="s">
        <v>35</v>
      </c>
      <c r="F707" s="3" t="s">
        <v>39</v>
      </c>
      <c r="G707" s="3" t="s">
        <v>14</v>
      </c>
      <c r="H707" s="1" t="s">
        <v>35</v>
      </c>
      <c r="I707" s="3">
        <v>4</v>
      </c>
      <c r="J707" s="3" t="s">
        <v>64</v>
      </c>
      <c r="K707" s="1" t="s">
        <v>42</v>
      </c>
      <c r="L707" s="6">
        <v>90</v>
      </c>
      <c r="M707" s="6">
        <v>65</v>
      </c>
      <c r="N707" s="7">
        <f t="shared" ref="N707:N714" si="255">L707-M707</f>
        <v>25</v>
      </c>
      <c r="O707" s="6">
        <v>0.20666666666666667</v>
      </c>
      <c r="P707" s="6">
        <v>0.21466666666666667</v>
      </c>
      <c r="Q707" s="6">
        <f>O707/(0.1*O697)</f>
        <v>1.1584454409566516</v>
      </c>
      <c r="R707" s="6">
        <f>O707/(0.1*O700)</f>
        <v>1.0157273918741809</v>
      </c>
      <c r="S707" s="6">
        <f>P707/(0.9*P704)</f>
        <v>0.78805677924620654</v>
      </c>
      <c r="T707" s="6">
        <f t="shared" ref="T707:T714" si="256">Q707+S707</f>
        <v>1.9465022202028581</v>
      </c>
      <c r="U707" s="6">
        <f t="shared" ref="U707:U714" si="257">R707+S707</f>
        <v>1.8037841711203875</v>
      </c>
      <c r="V707" s="1">
        <f>O707/O697+P707/P704</f>
        <v>0.825095645417251</v>
      </c>
      <c r="W707" s="1">
        <f>O707/O700+P707/P704</f>
        <v>0.81082384050900402</v>
      </c>
      <c r="X707" s="1">
        <f t="shared" si="254"/>
        <v>51</v>
      </c>
      <c r="Y707" s="6">
        <f t="shared" ref="Y707:Y714" si="258">O707+P707</f>
        <v>0.42133333333333334</v>
      </c>
    </row>
    <row r="708" spans="1:25" x14ac:dyDescent="0.15">
      <c r="A708" s="3">
        <v>2024</v>
      </c>
      <c r="B708" s="3" t="s">
        <v>58</v>
      </c>
      <c r="C708" s="1">
        <v>49</v>
      </c>
      <c r="D708" s="3">
        <v>12</v>
      </c>
      <c r="E708" s="3" t="s">
        <v>35</v>
      </c>
      <c r="F708" s="3" t="s">
        <v>40</v>
      </c>
      <c r="G708" s="3" t="s">
        <v>14</v>
      </c>
      <c r="H708" s="1" t="s">
        <v>35</v>
      </c>
      <c r="I708" s="3">
        <v>4</v>
      </c>
      <c r="J708" s="3" t="s">
        <v>65</v>
      </c>
      <c r="K708" s="1" t="s">
        <v>42</v>
      </c>
      <c r="L708" s="6">
        <v>95</v>
      </c>
      <c r="M708" s="6">
        <v>60</v>
      </c>
      <c r="N708" s="7">
        <f t="shared" si="255"/>
        <v>35</v>
      </c>
      <c r="O708" s="6">
        <v>0.27066666666666672</v>
      </c>
      <c r="P708" s="6">
        <v>0.55466666666666664</v>
      </c>
      <c r="Q708" s="6">
        <f>O708/(0.1*O697)</f>
        <v>1.517189835575486</v>
      </c>
      <c r="R708" s="6">
        <f>O708/(0.1*O700)</f>
        <v>1.3302752293577984</v>
      </c>
      <c r="S708" s="6">
        <f>P708/(0.9*P705)</f>
        <v>1.6332940714566158</v>
      </c>
      <c r="T708" s="6">
        <f t="shared" si="256"/>
        <v>3.1504839070321018</v>
      </c>
      <c r="U708" s="6">
        <f t="shared" si="257"/>
        <v>2.9635693008144139</v>
      </c>
      <c r="V708" s="1">
        <f>O708/O697+P708/P705</f>
        <v>1.6216836478685026</v>
      </c>
      <c r="W708" s="1">
        <f>O708/O700+P708/P705</f>
        <v>1.6029921872467339</v>
      </c>
      <c r="X708" s="1">
        <f t="shared" si="254"/>
        <v>67</v>
      </c>
      <c r="Y708" s="6">
        <f t="shared" si="258"/>
        <v>0.82533333333333336</v>
      </c>
    </row>
    <row r="709" spans="1:25" x14ac:dyDescent="0.15">
      <c r="A709" s="3">
        <v>2024</v>
      </c>
      <c r="B709" s="3" t="s">
        <v>58</v>
      </c>
      <c r="C709" s="1">
        <v>49</v>
      </c>
      <c r="D709" s="3">
        <v>13</v>
      </c>
      <c r="E709" s="3" t="s">
        <v>36</v>
      </c>
      <c r="F709" s="3" t="s">
        <v>38</v>
      </c>
      <c r="G709" s="3" t="s">
        <v>14</v>
      </c>
      <c r="H709" s="1" t="s">
        <v>36</v>
      </c>
      <c r="I709" s="3">
        <v>4</v>
      </c>
      <c r="J709" s="3" t="s">
        <v>66</v>
      </c>
      <c r="K709" s="1" t="s">
        <v>42</v>
      </c>
      <c r="L709" s="6">
        <v>105</v>
      </c>
      <c r="M709" s="6">
        <v>65</v>
      </c>
      <c r="N709" s="7">
        <f t="shared" si="255"/>
        <v>40</v>
      </c>
      <c r="O709" s="6">
        <v>0.52266666666666672</v>
      </c>
      <c r="P709" s="6">
        <v>0.64799999999999991</v>
      </c>
      <c r="Q709" s="6">
        <f>O709/(0.1*O698)</f>
        <v>1.9348469891411655</v>
      </c>
      <c r="R709" s="6">
        <f>O709/(0.1*O701)</f>
        <v>1.8056195301704283</v>
      </c>
      <c r="S709" s="6">
        <f>P709/(0.9*P703)</f>
        <v>2.1951219512195119</v>
      </c>
      <c r="T709" s="6">
        <f t="shared" si="256"/>
        <v>4.1299689403606772</v>
      </c>
      <c r="U709" s="6">
        <f t="shared" si="257"/>
        <v>4.00074148138994</v>
      </c>
      <c r="V709" s="1">
        <f>O709/O698+P709/P703</f>
        <v>2.1690944550116771</v>
      </c>
      <c r="W709" s="1">
        <f>O709/O701+P709/P703</f>
        <v>2.1561717091146035</v>
      </c>
      <c r="X709" s="1">
        <f t="shared" si="254"/>
        <v>55.000000000000007</v>
      </c>
      <c r="Y709" s="6">
        <f t="shared" si="258"/>
        <v>1.1706666666666665</v>
      </c>
    </row>
    <row r="710" spans="1:25" x14ac:dyDescent="0.15">
      <c r="A710" s="3">
        <v>2024</v>
      </c>
      <c r="B710" s="3" t="s">
        <v>58</v>
      </c>
      <c r="C710" s="1">
        <v>49</v>
      </c>
      <c r="D710" s="3">
        <v>14</v>
      </c>
      <c r="E710" s="3" t="s">
        <v>36</v>
      </c>
      <c r="F710" s="3" t="s">
        <v>39</v>
      </c>
      <c r="G710" s="3" t="s">
        <v>14</v>
      </c>
      <c r="H710" s="1" t="s">
        <v>36</v>
      </c>
      <c r="I710" s="3">
        <v>4</v>
      </c>
      <c r="J710" s="3" t="s">
        <v>67</v>
      </c>
      <c r="K710" s="1" t="s">
        <v>42</v>
      </c>
      <c r="L710" s="6">
        <v>100</v>
      </c>
      <c r="M710" s="6">
        <v>60</v>
      </c>
      <c r="N710" s="7">
        <f t="shared" si="255"/>
        <v>40</v>
      </c>
      <c r="O710" s="6">
        <v>0.68</v>
      </c>
      <c r="P710" s="6">
        <v>0.65333333333333332</v>
      </c>
      <c r="Q710" s="6">
        <f>O710/(0.1*O698)</f>
        <v>2.5172754195459039</v>
      </c>
      <c r="R710" s="6">
        <f>O710/(0.1*O701)</f>
        <v>2.3491478581298941</v>
      </c>
      <c r="S710" s="6">
        <f>P710/(0.9*P704)</f>
        <v>2.3984336759667153</v>
      </c>
      <c r="T710" s="6">
        <f t="shared" si="256"/>
        <v>4.9157090955126197</v>
      </c>
      <c r="U710" s="6">
        <f t="shared" si="257"/>
        <v>4.747581534096609</v>
      </c>
      <c r="V710" s="1">
        <f>O710/O698+P710/P704</f>
        <v>2.4103178503246343</v>
      </c>
      <c r="W710" s="1">
        <f>O710/O701+P710/P704</f>
        <v>2.3935050941830331</v>
      </c>
      <c r="X710" s="1">
        <f t="shared" si="254"/>
        <v>49</v>
      </c>
      <c r="Y710" s="6">
        <f t="shared" si="258"/>
        <v>1.3333333333333335</v>
      </c>
    </row>
    <row r="711" spans="1:25" x14ac:dyDescent="0.15">
      <c r="A711" s="3">
        <v>2024</v>
      </c>
      <c r="B711" s="3" t="s">
        <v>58</v>
      </c>
      <c r="C711" s="1">
        <v>49</v>
      </c>
      <c r="D711" s="3">
        <v>15</v>
      </c>
      <c r="E711" s="3" t="s">
        <v>36</v>
      </c>
      <c r="F711" s="3" t="s">
        <v>40</v>
      </c>
      <c r="G711" s="3" t="s">
        <v>14</v>
      </c>
      <c r="H711" s="1" t="s">
        <v>36</v>
      </c>
      <c r="I711" s="3">
        <v>4</v>
      </c>
      <c r="J711" s="3" t="s">
        <v>68</v>
      </c>
      <c r="K711" s="1" t="s">
        <v>42</v>
      </c>
      <c r="L711" s="6">
        <v>105</v>
      </c>
      <c r="M711" s="6">
        <v>65</v>
      </c>
      <c r="N711" s="7">
        <f t="shared" si="255"/>
        <v>40</v>
      </c>
      <c r="O711" s="6">
        <v>0.64400000000000002</v>
      </c>
      <c r="P711" s="6">
        <v>0.42266666666666669</v>
      </c>
      <c r="Q711" s="6">
        <f>O711/(0.1*O698)</f>
        <v>2.3840078973346501</v>
      </c>
      <c r="R711" s="6">
        <f>O711/(0.1*O701)</f>
        <v>2.2247812068171346</v>
      </c>
      <c r="S711" s="6">
        <f>P711/(0.9*P705)</f>
        <v>1.2446014919513155</v>
      </c>
      <c r="T711" s="6">
        <f t="shared" si="256"/>
        <v>3.6286093892859657</v>
      </c>
      <c r="U711" s="6">
        <f t="shared" si="257"/>
        <v>3.4693826987684502</v>
      </c>
      <c r="V711" s="1">
        <f>O711/O698+P711/P705</f>
        <v>1.3585421324896489</v>
      </c>
      <c r="W711" s="1">
        <f>O711/O701+P711/P705</f>
        <v>1.3426194634378974</v>
      </c>
      <c r="X711" s="1">
        <f t="shared" si="254"/>
        <v>40</v>
      </c>
      <c r="Y711" s="6">
        <f t="shared" si="258"/>
        <v>1.0666666666666667</v>
      </c>
    </row>
    <row r="712" spans="1:25" x14ac:dyDescent="0.15">
      <c r="A712" s="3">
        <v>2024</v>
      </c>
      <c r="B712" s="3" t="s">
        <v>58</v>
      </c>
      <c r="C712" s="1">
        <v>49</v>
      </c>
      <c r="D712" s="3">
        <v>16</v>
      </c>
      <c r="E712" s="3" t="s">
        <v>37</v>
      </c>
      <c r="F712" s="3" t="s">
        <v>38</v>
      </c>
      <c r="G712" s="3" t="s">
        <v>14</v>
      </c>
      <c r="H712" s="1" t="s">
        <v>37</v>
      </c>
      <c r="I712" s="3">
        <v>4</v>
      </c>
      <c r="J712" s="3" t="s">
        <v>69</v>
      </c>
      <c r="K712" s="1" t="s">
        <v>42</v>
      </c>
      <c r="L712" s="6">
        <v>70</v>
      </c>
      <c r="M712" s="6">
        <v>65</v>
      </c>
      <c r="N712" s="7">
        <f t="shared" si="255"/>
        <v>5</v>
      </c>
      <c r="O712" s="6">
        <v>3.5999999999999997E-2</v>
      </c>
      <c r="P712" s="6">
        <v>0.2533333333333333</v>
      </c>
      <c r="Q712" s="6">
        <f>O712/(0.1*O699)</f>
        <v>0.17099430018999365</v>
      </c>
      <c r="R712" s="6">
        <f>O712/(0.1*O702)</f>
        <v>0.14121338912133891</v>
      </c>
      <c r="S712" s="6">
        <f>P712/(0.9*P703)</f>
        <v>0.85817524841915072</v>
      </c>
      <c r="T712" s="6">
        <f t="shared" si="256"/>
        <v>1.0291695486091443</v>
      </c>
      <c r="U712" s="6">
        <f t="shared" si="257"/>
        <v>0.99938863754048968</v>
      </c>
      <c r="V712" s="1">
        <f>O712/O699+P712/P703</f>
        <v>0.78945715359623503</v>
      </c>
      <c r="W712" s="1">
        <f>O712/O702+P712/P703</f>
        <v>0.7864790624893695</v>
      </c>
      <c r="X712" s="1">
        <f t="shared" si="254"/>
        <v>88</v>
      </c>
      <c r="Y712" s="6">
        <f t="shared" si="258"/>
        <v>0.28933333333333328</v>
      </c>
    </row>
    <row r="713" spans="1:25" x14ac:dyDescent="0.15">
      <c r="A713" s="3">
        <v>2024</v>
      </c>
      <c r="B713" s="3" t="s">
        <v>58</v>
      </c>
      <c r="C713" s="1">
        <v>49</v>
      </c>
      <c r="D713" s="3">
        <v>17</v>
      </c>
      <c r="E713" s="3" t="s">
        <v>37</v>
      </c>
      <c r="F713" s="3" t="s">
        <v>39</v>
      </c>
      <c r="G713" s="3" t="s">
        <v>14</v>
      </c>
      <c r="H713" s="1" t="s">
        <v>37</v>
      </c>
      <c r="I713" s="3">
        <v>4</v>
      </c>
      <c r="J713" s="3" t="s">
        <v>70</v>
      </c>
      <c r="K713" s="1" t="s">
        <v>42</v>
      </c>
      <c r="L713" s="6">
        <v>65</v>
      </c>
      <c r="M713" s="6">
        <v>55</v>
      </c>
      <c r="N713" s="7">
        <f t="shared" si="255"/>
        <v>10</v>
      </c>
      <c r="O713" s="6">
        <v>0.16</v>
      </c>
      <c r="P713" s="6">
        <v>0.40933333333333333</v>
      </c>
      <c r="Q713" s="6">
        <f>O713/(0.1*O699)</f>
        <v>0.75997466751108289</v>
      </c>
      <c r="R713" s="6">
        <f>O713/(0.1*O702)</f>
        <v>0.62761506276150625</v>
      </c>
      <c r="S713" s="6">
        <f>P713/(0.9*P704)</f>
        <v>1.5026921194322074</v>
      </c>
      <c r="T713" s="6">
        <f t="shared" si="256"/>
        <v>2.2626667869432904</v>
      </c>
      <c r="U713" s="6">
        <f t="shared" si="257"/>
        <v>2.1303071821937136</v>
      </c>
      <c r="V713" s="1">
        <f>O713/O699+P713/P704</f>
        <v>1.4284203742400949</v>
      </c>
      <c r="W713" s="1">
        <f>O713/O702+P713/P704</f>
        <v>1.4151844137651373</v>
      </c>
      <c r="X713" s="1">
        <f t="shared" si="254"/>
        <v>72</v>
      </c>
      <c r="Y713" s="6">
        <f t="shared" si="258"/>
        <v>0.56933333333333336</v>
      </c>
    </row>
    <row r="714" spans="1:25" x14ac:dyDescent="0.15">
      <c r="A714" s="3">
        <v>2024</v>
      </c>
      <c r="B714" s="3" t="s">
        <v>58</v>
      </c>
      <c r="C714" s="1">
        <v>49</v>
      </c>
      <c r="D714" s="3">
        <v>18</v>
      </c>
      <c r="E714" s="3" t="s">
        <v>37</v>
      </c>
      <c r="F714" s="3" t="s">
        <v>40</v>
      </c>
      <c r="G714" s="3" t="s">
        <v>14</v>
      </c>
      <c r="H714" s="1" t="s">
        <v>37</v>
      </c>
      <c r="I714" s="3">
        <v>4</v>
      </c>
      <c r="J714" s="3" t="s">
        <v>71</v>
      </c>
      <c r="K714" s="1" t="s">
        <v>42</v>
      </c>
      <c r="L714" s="6">
        <v>75</v>
      </c>
      <c r="M714" s="6">
        <v>60</v>
      </c>
      <c r="N714" s="7">
        <f t="shared" si="255"/>
        <v>15</v>
      </c>
      <c r="O714" s="6">
        <v>0.3133333333333333</v>
      </c>
      <c r="P714" s="6">
        <v>0.58000000000000007</v>
      </c>
      <c r="Q714" s="6">
        <f>O714/(0.1*O699)</f>
        <v>1.4882837238758706</v>
      </c>
      <c r="R714" s="6">
        <f>O714/(0.1*O702)</f>
        <v>1.2290794979079496</v>
      </c>
      <c r="S714" s="6">
        <f>P714/(0.9*P705)</f>
        <v>1.7078916372202595</v>
      </c>
      <c r="T714" s="6">
        <f t="shared" si="256"/>
        <v>3.1961753610961301</v>
      </c>
      <c r="U714" s="6">
        <f t="shared" si="257"/>
        <v>2.9369711351282088</v>
      </c>
      <c r="V714" s="1">
        <f>O714/O699+P714/P705</f>
        <v>1.6859308458858204</v>
      </c>
      <c r="W714" s="1">
        <f>O714/O702+P714/P705</f>
        <v>1.6600104232890285</v>
      </c>
      <c r="X714" s="1">
        <f t="shared" si="254"/>
        <v>65</v>
      </c>
      <c r="Y714" s="6">
        <f t="shared" si="258"/>
        <v>0.89333333333333331</v>
      </c>
    </row>
    <row r="715" spans="1:25" x14ac:dyDescent="0.15">
      <c r="A715" s="3">
        <v>2024</v>
      </c>
      <c r="B715" s="3" t="s">
        <v>58</v>
      </c>
      <c r="C715" s="1">
        <v>49</v>
      </c>
      <c r="D715" s="3">
        <v>1</v>
      </c>
      <c r="E715" s="3" t="s">
        <v>35</v>
      </c>
      <c r="F715" s="3"/>
      <c r="G715" s="3" t="s">
        <v>41</v>
      </c>
      <c r="H715" s="1" t="s">
        <v>35</v>
      </c>
      <c r="I715" s="3">
        <v>4</v>
      </c>
      <c r="J715" s="3" t="s">
        <v>35</v>
      </c>
      <c r="K715" s="1" t="s">
        <v>42</v>
      </c>
      <c r="L715" s="6">
        <v>110</v>
      </c>
      <c r="M715" s="6" t="s">
        <v>73</v>
      </c>
      <c r="N715" s="7" t="s">
        <v>45</v>
      </c>
      <c r="O715" s="6">
        <v>2.6866666666666665</v>
      </c>
      <c r="P715" s="5" t="s">
        <v>45</v>
      </c>
      <c r="Q715" s="6" t="s">
        <v>45</v>
      </c>
      <c r="R715" s="6" t="s">
        <v>45</v>
      </c>
      <c r="S715" s="6" t="s">
        <v>45</v>
      </c>
      <c r="T715" s="6" t="s">
        <v>45</v>
      </c>
      <c r="U715" s="6" t="s">
        <v>45</v>
      </c>
      <c r="V715" s="1" t="s">
        <v>45</v>
      </c>
      <c r="W715" s="1" t="s">
        <v>45</v>
      </c>
      <c r="X715" s="6" t="s">
        <v>45</v>
      </c>
      <c r="Y715" s="6">
        <f>O715</f>
        <v>2.6866666666666665</v>
      </c>
    </row>
    <row r="716" spans="1:25" x14ac:dyDescent="0.15">
      <c r="A716" s="3">
        <v>2024</v>
      </c>
      <c r="B716" s="3" t="s">
        <v>58</v>
      </c>
      <c r="C716" s="1">
        <v>50</v>
      </c>
      <c r="D716" s="3">
        <v>2</v>
      </c>
      <c r="E716" s="3" t="s">
        <v>36</v>
      </c>
      <c r="F716" s="3"/>
      <c r="G716" s="3" t="s">
        <v>41</v>
      </c>
      <c r="H716" s="1" t="s">
        <v>36</v>
      </c>
      <c r="I716" s="3">
        <v>4</v>
      </c>
      <c r="J716" s="3" t="s">
        <v>36</v>
      </c>
      <c r="K716" s="1" t="s">
        <v>42</v>
      </c>
      <c r="L716" s="6">
        <v>115</v>
      </c>
      <c r="M716" s="6" t="s">
        <v>73</v>
      </c>
      <c r="N716" s="7" t="s">
        <v>45</v>
      </c>
      <c r="O716" s="6">
        <v>2.9426666666666663</v>
      </c>
      <c r="P716" s="5" t="s">
        <v>45</v>
      </c>
      <c r="Q716" s="6" t="s">
        <v>45</v>
      </c>
      <c r="R716" s="6" t="s">
        <v>45</v>
      </c>
      <c r="S716" s="6" t="s">
        <v>45</v>
      </c>
      <c r="T716" s="6" t="s">
        <v>45</v>
      </c>
      <c r="U716" s="6" t="s">
        <v>45</v>
      </c>
      <c r="V716" s="1" t="s">
        <v>45</v>
      </c>
      <c r="W716" s="1" t="s">
        <v>45</v>
      </c>
      <c r="X716" s="6" t="s">
        <v>45</v>
      </c>
      <c r="Y716" s="6">
        <f t="shared" ref="Y716:Y720" si="259">O716</f>
        <v>2.9426666666666663</v>
      </c>
    </row>
    <row r="717" spans="1:25" x14ac:dyDescent="0.15">
      <c r="A717" s="3">
        <v>2024</v>
      </c>
      <c r="B717" s="3" t="s">
        <v>58</v>
      </c>
      <c r="C717" s="1">
        <v>50</v>
      </c>
      <c r="D717" s="3">
        <v>3</v>
      </c>
      <c r="E717" s="3" t="s">
        <v>37</v>
      </c>
      <c r="F717" s="3"/>
      <c r="G717" s="3" t="s">
        <v>41</v>
      </c>
      <c r="H717" s="1" t="s">
        <v>37</v>
      </c>
      <c r="I717" s="3">
        <v>4</v>
      </c>
      <c r="J717" s="3" t="s">
        <v>37</v>
      </c>
      <c r="K717" s="1" t="s">
        <v>42</v>
      </c>
      <c r="L717" s="6">
        <v>75</v>
      </c>
      <c r="M717" s="6" t="s">
        <v>73</v>
      </c>
      <c r="N717" s="7" t="s">
        <v>45</v>
      </c>
      <c r="O717" s="6">
        <v>2.1253333333333337</v>
      </c>
      <c r="P717" s="5" t="s">
        <v>45</v>
      </c>
      <c r="Q717" s="6" t="s">
        <v>45</v>
      </c>
      <c r="R717" s="6" t="s">
        <v>45</v>
      </c>
      <c r="S717" s="6" t="s">
        <v>45</v>
      </c>
      <c r="T717" s="6" t="s">
        <v>45</v>
      </c>
      <c r="U717" s="6" t="s">
        <v>45</v>
      </c>
      <c r="V717" s="1" t="s">
        <v>45</v>
      </c>
      <c r="W717" s="1" t="s">
        <v>45</v>
      </c>
      <c r="X717" s="6" t="s">
        <v>45</v>
      </c>
      <c r="Y717" s="6">
        <f t="shared" si="259"/>
        <v>2.1253333333333337</v>
      </c>
    </row>
    <row r="718" spans="1:25" x14ac:dyDescent="0.15">
      <c r="A718" s="3">
        <v>2024</v>
      </c>
      <c r="B718" s="3" t="s">
        <v>58</v>
      </c>
      <c r="C718" s="1">
        <v>50</v>
      </c>
      <c r="D718" s="3">
        <v>4</v>
      </c>
      <c r="E718" s="3" t="s">
        <v>35</v>
      </c>
      <c r="F718" s="3"/>
      <c r="G718" s="3" t="s">
        <v>41</v>
      </c>
      <c r="H718" s="1" t="s">
        <v>75</v>
      </c>
      <c r="I718" s="3">
        <v>4</v>
      </c>
      <c r="J718" s="3" t="s">
        <v>35</v>
      </c>
      <c r="K718" s="1" t="s">
        <v>43</v>
      </c>
      <c r="L718" s="6">
        <v>110</v>
      </c>
      <c r="M718" s="6" t="s">
        <v>73</v>
      </c>
      <c r="N718" s="7" t="s">
        <v>45</v>
      </c>
      <c r="O718" s="6">
        <v>2.7546666666666662</v>
      </c>
      <c r="P718" s="5" t="s">
        <v>45</v>
      </c>
      <c r="Q718" s="6" t="s">
        <v>45</v>
      </c>
      <c r="R718" s="6" t="s">
        <v>45</v>
      </c>
      <c r="S718" s="6" t="s">
        <v>45</v>
      </c>
      <c r="T718" s="6" t="s">
        <v>45</v>
      </c>
      <c r="U718" s="6" t="s">
        <v>45</v>
      </c>
      <c r="V718" s="1" t="s">
        <v>45</v>
      </c>
      <c r="W718" s="1" t="s">
        <v>45</v>
      </c>
      <c r="X718" s="1" t="s">
        <v>45</v>
      </c>
      <c r="Y718" s="6">
        <f t="shared" si="259"/>
        <v>2.7546666666666662</v>
      </c>
    </row>
    <row r="719" spans="1:25" x14ac:dyDescent="0.15">
      <c r="A719" s="3">
        <v>2024</v>
      </c>
      <c r="B719" s="3" t="s">
        <v>58</v>
      </c>
      <c r="C719" s="1">
        <v>50</v>
      </c>
      <c r="D719" s="3">
        <v>5</v>
      </c>
      <c r="E719" s="3" t="s">
        <v>36</v>
      </c>
      <c r="F719" s="3"/>
      <c r="G719" s="3" t="s">
        <v>41</v>
      </c>
      <c r="H719" s="1" t="s">
        <v>76</v>
      </c>
      <c r="I719" s="3">
        <v>4</v>
      </c>
      <c r="J719" s="3" t="s">
        <v>36</v>
      </c>
      <c r="K719" s="1" t="s">
        <v>43</v>
      </c>
      <c r="L719" s="6">
        <v>120</v>
      </c>
      <c r="M719" s="6" t="s">
        <v>73</v>
      </c>
      <c r="N719" s="7" t="s">
        <v>45</v>
      </c>
      <c r="O719" s="6">
        <v>3.3026666666666666</v>
      </c>
      <c r="P719" s="5" t="s">
        <v>45</v>
      </c>
      <c r="Q719" s="6" t="s">
        <v>45</v>
      </c>
      <c r="R719" s="6" t="s">
        <v>45</v>
      </c>
      <c r="S719" s="6" t="s">
        <v>45</v>
      </c>
      <c r="T719" s="6" t="s">
        <v>45</v>
      </c>
      <c r="U719" s="6" t="s">
        <v>45</v>
      </c>
      <c r="V719" s="1" t="s">
        <v>45</v>
      </c>
      <c r="W719" s="1" t="s">
        <v>45</v>
      </c>
      <c r="X719" s="1" t="s">
        <v>45</v>
      </c>
      <c r="Y719" s="6">
        <f t="shared" si="259"/>
        <v>3.3026666666666666</v>
      </c>
    </row>
    <row r="720" spans="1:25" x14ac:dyDescent="0.15">
      <c r="A720" s="3">
        <v>2024</v>
      </c>
      <c r="B720" s="3" t="s">
        <v>58</v>
      </c>
      <c r="C720" s="1">
        <v>50</v>
      </c>
      <c r="D720" s="3">
        <v>6</v>
      </c>
      <c r="E720" s="3" t="s">
        <v>37</v>
      </c>
      <c r="F720" s="3"/>
      <c r="G720" s="3" t="s">
        <v>41</v>
      </c>
      <c r="H720" s="1" t="s">
        <v>77</v>
      </c>
      <c r="I720" s="3">
        <v>4</v>
      </c>
      <c r="J720" s="3" t="s">
        <v>37</v>
      </c>
      <c r="K720" s="1" t="s">
        <v>43</v>
      </c>
      <c r="L720" s="6">
        <v>75</v>
      </c>
      <c r="M720" s="6" t="s">
        <v>73</v>
      </c>
      <c r="N720" s="7" t="s">
        <v>45</v>
      </c>
      <c r="O720" s="6">
        <v>2.5093333333333332</v>
      </c>
      <c r="P720" s="5" t="s">
        <v>45</v>
      </c>
      <c r="Q720" s="6" t="s">
        <v>45</v>
      </c>
      <c r="R720" s="6" t="s">
        <v>45</v>
      </c>
      <c r="S720" s="6" t="s">
        <v>45</v>
      </c>
      <c r="T720" s="6" t="s">
        <v>45</v>
      </c>
      <c r="U720" s="6" t="s">
        <v>45</v>
      </c>
      <c r="V720" s="1" t="s">
        <v>45</v>
      </c>
      <c r="W720" s="1" t="s">
        <v>45</v>
      </c>
      <c r="X720" s="1" t="s">
        <v>45</v>
      </c>
      <c r="Y720" s="6">
        <f t="shared" si="259"/>
        <v>2.5093333333333332</v>
      </c>
    </row>
    <row r="721" spans="1:25" x14ac:dyDescent="0.15">
      <c r="A721" s="3">
        <v>2024</v>
      </c>
      <c r="B721" s="3" t="s">
        <v>58</v>
      </c>
      <c r="C721" s="1">
        <v>50</v>
      </c>
      <c r="D721" s="3">
        <v>7</v>
      </c>
      <c r="E721" s="3"/>
      <c r="F721" s="3" t="s">
        <v>38</v>
      </c>
      <c r="G721" s="3" t="s">
        <v>41</v>
      </c>
      <c r="H721" s="1"/>
      <c r="I721" s="3">
        <v>4</v>
      </c>
      <c r="J721" s="3" t="s">
        <v>38</v>
      </c>
      <c r="K721" s="1" t="s">
        <v>42</v>
      </c>
      <c r="L721" s="6" t="s">
        <v>73</v>
      </c>
      <c r="M721" s="6">
        <v>60</v>
      </c>
      <c r="N721" s="7" t="s">
        <v>45</v>
      </c>
      <c r="O721" s="5" t="s">
        <v>45</v>
      </c>
      <c r="P721" s="6">
        <v>1.2146666666666666</v>
      </c>
      <c r="Q721" s="6" t="s">
        <v>45</v>
      </c>
      <c r="R721" s="6" t="s">
        <v>45</v>
      </c>
      <c r="S721" s="6" t="s">
        <v>45</v>
      </c>
      <c r="T721" s="6" t="s">
        <v>45</v>
      </c>
      <c r="U721" s="6" t="s">
        <v>45</v>
      </c>
      <c r="V721" s="1" t="s">
        <v>45</v>
      </c>
      <c r="W721" s="1" t="s">
        <v>45</v>
      </c>
      <c r="X721" s="1" t="s">
        <v>45</v>
      </c>
      <c r="Y721" s="6">
        <f>P721</f>
        <v>1.2146666666666666</v>
      </c>
    </row>
    <row r="722" spans="1:25" x14ac:dyDescent="0.15">
      <c r="A722" s="3">
        <v>2024</v>
      </c>
      <c r="B722" s="3" t="s">
        <v>58</v>
      </c>
      <c r="C722" s="1">
        <v>50</v>
      </c>
      <c r="D722" s="3">
        <v>8</v>
      </c>
      <c r="E722" s="3"/>
      <c r="F722" s="3" t="s">
        <v>39</v>
      </c>
      <c r="G722" s="3" t="s">
        <v>41</v>
      </c>
      <c r="H722" s="1"/>
      <c r="I722" s="3">
        <v>4</v>
      </c>
      <c r="J722" s="3" t="s">
        <v>39</v>
      </c>
      <c r="K722" s="1" t="s">
        <v>42</v>
      </c>
      <c r="L722" s="6" t="s">
        <v>73</v>
      </c>
      <c r="M722" s="6">
        <v>50</v>
      </c>
      <c r="N722" s="7" t="s">
        <v>45</v>
      </c>
      <c r="O722" s="5" t="s">
        <v>45</v>
      </c>
      <c r="P722" s="6">
        <v>0.58000000000000007</v>
      </c>
      <c r="Q722" s="6" t="s">
        <v>45</v>
      </c>
      <c r="R722" s="6" t="s">
        <v>45</v>
      </c>
      <c r="S722" s="6" t="s">
        <v>45</v>
      </c>
      <c r="T722" s="6" t="s">
        <v>45</v>
      </c>
      <c r="U722" s="6" t="s">
        <v>45</v>
      </c>
      <c r="V722" s="1" t="s">
        <v>45</v>
      </c>
      <c r="W722" s="1" t="s">
        <v>45</v>
      </c>
      <c r="X722" s="1" t="s">
        <v>45</v>
      </c>
      <c r="Y722" s="6">
        <f t="shared" ref="Y722:Y723" si="260">P722</f>
        <v>0.58000000000000007</v>
      </c>
    </row>
    <row r="723" spans="1:25" x14ac:dyDescent="0.15">
      <c r="A723" s="3">
        <v>2024</v>
      </c>
      <c r="B723" s="3" t="s">
        <v>58</v>
      </c>
      <c r="C723" s="1">
        <v>50</v>
      </c>
      <c r="D723" s="3">
        <v>9</v>
      </c>
      <c r="E723" s="3"/>
      <c r="F723" s="3" t="s">
        <v>40</v>
      </c>
      <c r="G723" s="3" t="s">
        <v>41</v>
      </c>
      <c r="H723" s="1"/>
      <c r="I723" s="3">
        <v>4</v>
      </c>
      <c r="J723" s="3" t="s">
        <v>40</v>
      </c>
      <c r="K723" s="1" t="s">
        <v>42</v>
      </c>
      <c r="L723" s="6" t="s">
        <v>73</v>
      </c>
      <c r="M723" s="6">
        <v>60</v>
      </c>
      <c r="N723" s="7" t="s">
        <v>45</v>
      </c>
      <c r="O723" s="5" t="s">
        <v>45</v>
      </c>
      <c r="P723" s="6">
        <v>0.18000000000000002</v>
      </c>
      <c r="Q723" s="6" t="s">
        <v>45</v>
      </c>
      <c r="R723" s="6" t="s">
        <v>45</v>
      </c>
      <c r="S723" s="6" t="s">
        <v>45</v>
      </c>
      <c r="T723" s="6" t="s">
        <v>45</v>
      </c>
      <c r="U723" s="6" t="s">
        <v>45</v>
      </c>
      <c r="V723" s="1" t="s">
        <v>45</v>
      </c>
      <c r="W723" s="1" t="s">
        <v>45</v>
      </c>
      <c r="X723" s="1" t="s">
        <v>45</v>
      </c>
      <c r="Y723" s="6">
        <f t="shared" si="260"/>
        <v>0.18000000000000002</v>
      </c>
    </row>
    <row r="724" spans="1:25" x14ac:dyDescent="0.15">
      <c r="A724" s="3">
        <v>2024</v>
      </c>
      <c r="B724" s="3" t="s">
        <v>58</v>
      </c>
      <c r="C724" s="1">
        <v>50</v>
      </c>
      <c r="D724" s="3">
        <v>10</v>
      </c>
      <c r="E724" s="3" t="s">
        <v>35</v>
      </c>
      <c r="F724" s="3" t="s">
        <v>38</v>
      </c>
      <c r="G724" s="3" t="s">
        <v>14</v>
      </c>
      <c r="H724" s="1" t="s">
        <v>35</v>
      </c>
      <c r="I724" s="3">
        <v>4</v>
      </c>
      <c r="J724" s="3" t="s">
        <v>63</v>
      </c>
      <c r="K724" s="1" t="s">
        <v>42</v>
      </c>
      <c r="L724" s="6">
        <v>105</v>
      </c>
      <c r="M724" s="6">
        <v>60</v>
      </c>
      <c r="N724" s="7">
        <f>L724-M724</f>
        <v>45</v>
      </c>
      <c r="O724" s="6">
        <v>0.29066666666666668</v>
      </c>
      <c r="P724" s="6">
        <v>0.97599999999999998</v>
      </c>
      <c r="Q724" s="6">
        <f>O724/(0.1*O715)</f>
        <v>1.0818858560794045</v>
      </c>
      <c r="R724" s="6">
        <f>O724/(0.1*O718)</f>
        <v>1.0551790900290419</v>
      </c>
      <c r="S724" s="6">
        <f>P724/(0.9*P721)</f>
        <v>0.89279180387852175</v>
      </c>
      <c r="T724" s="6">
        <f>Q724+S724</f>
        <v>1.9746776599579263</v>
      </c>
      <c r="U724" s="6">
        <f>R724+S724</f>
        <v>1.9479708939075637</v>
      </c>
      <c r="V724" s="1">
        <f>O724/O715+P724/P721</f>
        <v>0.91170120909861008</v>
      </c>
      <c r="W724" s="1">
        <f>O724/O718+P724/P721</f>
        <v>0.9090305324935738</v>
      </c>
      <c r="X724" s="1">
        <f t="shared" ref="X724:X732" si="261">100*ROUND(P724/(P724+O724), 2)</f>
        <v>77</v>
      </c>
      <c r="Y724" s="6">
        <f>O724+P724</f>
        <v>1.2666666666666666</v>
      </c>
    </row>
    <row r="725" spans="1:25" x14ac:dyDescent="0.15">
      <c r="A725" s="3">
        <v>2024</v>
      </c>
      <c r="B725" s="3" t="s">
        <v>58</v>
      </c>
      <c r="C725" s="1">
        <v>50</v>
      </c>
      <c r="D725" s="3">
        <v>11</v>
      </c>
      <c r="E725" s="3" t="s">
        <v>35</v>
      </c>
      <c r="F725" s="3" t="s">
        <v>39</v>
      </c>
      <c r="G725" s="3" t="s">
        <v>14</v>
      </c>
      <c r="H725" s="1" t="s">
        <v>35</v>
      </c>
      <c r="I725" s="3">
        <v>4</v>
      </c>
      <c r="J725" s="3" t="s">
        <v>64</v>
      </c>
      <c r="K725" s="1" t="s">
        <v>42</v>
      </c>
      <c r="L725" s="6">
        <v>110</v>
      </c>
      <c r="M725" s="6">
        <v>60</v>
      </c>
      <c r="N725" s="7">
        <f t="shared" ref="N725:N732" si="262">L725-M725</f>
        <v>50</v>
      </c>
      <c r="O725" s="6">
        <v>0.45333333333333337</v>
      </c>
      <c r="P725" s="6">
        <v>0.78666666666666663</v>
      </c>
      <c r="Q725" s="6">
        <f>O725/(0.1*O715)</f>
        <v>1.6873449131513649</v>
      </c>
      <c r="R725" s="6">
        <f>O725/(0.1*O718)</f>
        <v>1.6456921587608908</v>
      </c>
      <c r="S725" s="6">
        <f>P725/(0.9*P722)</f>
        <v>1.5070242656449548</v>
      </c>
      <c r="T725" s="6">
        <f t="shared" ref="T725:T732" si="263">Q725+S725</f>
        <v>3.19436917879632</v>
      </c>
      <c r="U725" s="6">
        <f t="shared" ref="U725:U732" si="264">R725+S725</f>
        <v>3.1527164244058454</v>
      </c>
      <c r="V725" s="1">
        <f>O725/O715+P725/P722</f>
        <v>1.525056330395596</v>
      </c>
      <c r="W725" s="1">
        <f>O725/O718+P725/P722</f>
        <v>1.5208910549565486</v>
      </c>
      <c r="X725" s="1">
        <f t="shared" si="261"/>
        <v>63</v>
      </c>
      <c r="Y725" s="6">
        <f t="shared" ref="Y725:Y732" si="265">O725+P725</f>
        <v>1.24</v>
      </c>
    </row>
    <row r="726" spans="1:25" x14ac:dyDescent="0.15">
      <c r="A726" s="3">
        <v>2024</v>
      </c>
      <c r="B726" s="3" t="s">
        <v>58</v>
      </c>
      <c r="C726" s="1">
        <v>50</v>
      </c>
      <c r="D726" s="3">
        <v>12</v>
      </c>
      <c r="E726" s="3" t="s">
        <v>35</v>
      </c>
      <c r="F726" s="3" t="s">
        <v>40</v>
      </c>
      <c r="G726" s="3" t="s">
        <v>14</v>
      </c>
      <c r="H726" s="1" t="s">
        <v>35</v>
      </c>
      <c r="I726" s="3">
        <v>4</v>
      </c>
      <c r="J726" s="3" t="s">
        <v>65</v>
      </c>
      <c r="K726" s="1" t="s">
        <v>42</v>
      </c>
      <c r="L726" s="6">
        <v>110</v>
      </c>
      <c r="M726" s="6">
        <v>65</v>
      </c>
      <c r="N726" s="7">
        <f t="shared" si="262"/>
        <v>45</v>
      </c>
      <c r="O726" s="6">
        <v>0.81733333333333336</v>
      </c>
      <c r="P726" s="6">
        <v>0.7573333333333333</v>
      </c>
      <c r="Q726" s="6">
        <f>O726/(0.1*O715)</f>
        <v>3.0421836228287842</v>
      </c>
      <c r="R726" s="6">
        <f>O726/(0.1*O718)</f>
        <v>2.9670861568247826</v>
      </c>
      <c r="S726" s="6">
        <f>P726/(0.9*P723)</f>
        <v>4.6748971193415629</v>
      </c>
      <c r="T726" s="6">
        <f t="shared" si="263"/>
        <v>7.7170807421703476</v>
      </c>
      <c r="U726" s="6">
        <f t="shared" si="264"/>
        <v>7.6419832761663455</v>
      </c>
      <c r="V726" s="1">
        <f>O726/O715+P726/P723</f>
        <v>4.5116257696902853</v>
      </c>
      <c r="W726" s="1">
        <f>O726/O718+P726/P723</f>
        <v>4.5041160230898845</v>
      </c>
      <c r="X726" s="1">
        <f t="shared" si="261"/>
        <v>48</v>
      </c>
      <c r="Y726" s="6">
        <f t="shared" si="265"/>
        <v>1.5746666666666667</v>
      </c>
    </row>
    <row r="727" spans="1:25" x14ac:dyDescent="0.15">
      <c r="A727" s="3">
        <v>2024</v>
      </c>
      <c r="B727" s="3" t="s">
        <v>58</v>
      </c>
      <c r="C727" s="1">
        <v>50</v>
      </c>
      <c r="D727" s="3">
        <v>13</v>
      </c>
      <c r="E727" s="3" t="s">
        <v>36</v>
      </c>
      <c r="F727" s="3" t="s">
        <v>38</v>
      </c>
      <c r="G727" s="3" t="s">
        <v>14</v>
      </c>
      <c r="H727" s="1" t="s">
        <v>36</v>
      </c>
      <c r="I727" s="3">
        <v>4</v>
      </c>
      <c r="J727" s="3" t="s">
        <v>66</v>
      </c>
      <c r="K727" s="1" t="s">
        <v>42</v>
      </c>
      <c r="L727" s="6">
        <v>105</v>
      </c>
      <c r="M727" s="6">
        <v>70</v>
      </c>
      <c r="N727" s="7">
        <f t="shared" si="262"/>
        <v>35</v>
      </c>
      <c r="O727" s="6">
        <v>0.92266666666666663</v>
      </c>
      <c r="P727" s="6">
        <v>0.76533333333333331</v>
      </c>
      <c r="Q727" s="6">
        <f>O727/(0.1*O716)</f>
        <v>3.1354780244676035</v>
      </c>
      <c r="R727" s="6">
        <f>O727/(0.1*O719)</f>
        <v>2.7937020589422685</v>
      </c>
      <c r="S727" s="6">
        <f>P727/(0.9*P721)</f>
        <v>0.70008537626539824</v>
      </c>
      <c r="T727" s="6">
        <f t="shared" si="263"/>
        <v>3.8355634007330019</v>
      </c>
      <c r="U727" s="6">
        <f t="shared" si="264"/>
        <v>3.4937874352076665</v>
      </c>
      <c r="V727" s="1">
        <f>O727/O716+P727/P721</f>
        <v>0.94362464108561883</v>
      </c>
      <c r="W727" s="1">
        <f>O727/O719+P727/P721</f>
        <v>0.90944704453308534</v>
      </c>
      <c r="X727" s="1">
        <f t="shared" si="261"/>
        <v>45</v>
      </c>
      <c r="Y727" s="6">
        <f t="shared" si="265"/>
        <v>1.6879999999999999</v>
      </c>
    </row>
    <row r="728" spans="1:25" x14ac:dyDescent="0.15">
      <c r="A728" s="3">
        <v>2024</v>
      </c>
      <c r="B728" s="3" t="s">
        <v>58</v>
      </c>
      <c r="C728" s="1">
        <v>50</v>
      </c>
      <c r="D728" s="3">
        <v>14</v>
      </c>
      <c r="E728" s="3" t="s">
        <v>36</v>
      </c>
      <c r="F728" s="3" t="s">
        <v>39</v>
      </c>
      <c r="G728" s="3" t="s">
        <v>14</v>
      </c>
      <c r="H728" s="1" t="s">
        <v>36</v>
      </c>
      <c r="I728" s="3">
        <v>4</v>
      </c>
      <c r="J728" s="3" t="s">
        <v>67</v>
      </c>
      <c r="K728" s="1" t="s">
        <v>42</v>
      </c>
      <c r="L728" s="6">
        <v>100</v>
      </c>
      <c r="M728" s="6">
        <v>60</v>
      </c>
      <c r="N728" s="7">
        <f t="shared" si="262"/>
        <v>40</v>
      </c>
      <c r="O728" s="6">
        <v>0.7360000000000001</v>
      </c>
      <c r="P728" s="6">
        <v>0.54133333333333344</v>
      </c>
      <c r="Q728" s="6">
        <f>O728/(0.1*O716)</f>
        <v>2.5011327594019037</v>
      </c>
      <c r="R728" s="6">
        <f>O728/(0.1*O719)</f>
        <v>2.228502220427937</v>
      </c>
      <c r="S728" s="6">
        <f>P728/(0.9*P722)</f>
        <v>1.037037037037037</v>
      </c>
      <c r="T728" s="6">
        <f t="shared" si="263"/>
        <v>3.5381697964389405</v>
      </c>
      <c r="U728" s="6">
        <f t="shared" si="264"/>
        <v>3.2655392574649742</v>
      </c>
      <c r="V728" s="1">
        <f>O728/O716+P728/P722</f>
        <v>1.1834466092735239</v>
      </c>
      <c r="W728" s="1">
        <f>O728/O719+P728/P722</f>
        <v>1.1561835553761273</v>
      </c>
      <c r="X728" s="1">
        <f t="shared" si="261"/>
        <v>42</v>
      </c>
      <c r="Y728" s="6">
        <f t="shared" si="265"/>
        <v>1.2773333333333334</v>
      </c>
    </row>
    <row r="729" spans="1:25" x14ac:dyDescent="0.15">
      <c r="A729" s="3">
        <v>2024</v>
      </c>
      <c r="B729" s="3" t="s">
        <v>58</v>
      </c>
      <c r="C729" s="1">
        <v>50</v>
      </c>
      <c r="D729" s="3">
        <v>15</v>
      </c>
      <c r="E729" s="3" t="s">
        <v>36</v>
      </c>
      <c r="F729" s="3" t="s">
        <v>40</v>
      </c>
      <c r="G729" s="3" t="s">
        <v>14</v>
      </c>
      <c r="H729" s="1" t="s">
        <v>36</v>
      </c>
      <c r="I729" s="3">
        <v>4</v>
      </c>
      <c r="J729" s="3" t="s">
        <v>68</v>
      </c>
      <c r="K729" s="1" t="s">
        <v>42</v>
      </c>
      <c r="L729" s="6">
        <v>105</v>
      </c>
      <c r="M729" s="6">
        <v>65</v>
      </c>
      <c r="N729" s="7">
        <f t="shared" si="262"/>
        <v>40</v>
      </c>
      <c r="O729" s="6">
        <v>0.8746666666666667</v>
      </c>
      <c r="P729" s="6">
        <v>0.78666666666666663</v>
      </c>
      <c r="Q729" s="6">
        <f>O729/(0.1*O716)</f>
        <v>2.9723606705935666</v>
      </c>
      <c r="R729" s="6">
        <f>O729/(0.1*O719)</f>
        <v>2.6483649576100117</v>
      </c>
      <c r="S729" s="6">
        <f>P729/(0.9*P723)</f>
        <v>4.8559670781892992</v>
      </c>
      <c r="T729" s="6">
        <f t="shared" si="263"/>
        <v>7.8283277487828657</v>
      </c>
      <c r="U729" s="6">
        <f t="shared" si="264"/>
        <v>7.5043320357993109</v>
      </c>
      <c r="V729" s="1">
        <f>O729/O716+P729/P723</f>
        <v>4.6676064374297264</v>
      </c>
      <c r="W729" s="1">
        <f>O729/O719+P729/P723</f>
        <v>4.6352068661313703</v>
      </c>
      <c r="X729" s="1">
        <f t="shared" si="261"/>
        <v>47</v>
      </c>
      <c r="Y729" s="6">
        <f t="shared" si="265"/>
        <v>1.6613333333333333</v>
      </c>
    </row>
    <row r="730" spans="1:25" x14ac:dyDescent="0.15">
      <c r="A730" s="3">
        <v>2024</v>
      </c>
      <c r="B730" s="3" t="s">
        <v>58</v>
      </c>
      <c r="C730" s="1">
        <v>50</v>
      </c>
      <c r="D730" s="3">
        <v>16</v>
      </c>
      <c r="E730" s="3" t="s">
        <v>37</v>
      </c>
      <c r="F730" s="3" t="s">
        <v>38</v>
      </c>
      <c r="G730" s="3" t="s">
        <v>14</v>
      </c>
      <c r="H730" s="1" t="s">
        <v>37</v>
      </c>
      <c r="I730" s="3">
        <v>4</v>
      </c>
      <c r="J730" s="3" t="s">
        <v>69</v>
      </c>
      <c r="K730" s="1" t="s">
        <v>42</v>
      </c>
      <c r="L730" s="6">
        <v>70</v>
      </c>
      <c r="M730" s="6">
        <v>65</v>
      </c>
      <c r="N730" s="7">
        <f t="shared" si="262"/>
        <v>5</v>
      </c>
      <c r="O730" s="6">
        <v>0.35200000000000004</v>
      </c>
      <c r="P730" s="6">
        <v>0.77466666666666661</v>
      </c>
      <c r="Q730" s="6">
        <f>O730/(0.1*O717)</f>
        <v>1.6562107904642407</v>
      </c>
      <c r="R730" s="6">
        <f>O730/(0.1*O720)</f>
        <v>1.4027630180658874</v>
      </c>
      <c r="S730" s="6">
        <f>P730/(0.9*P721)</f>
        <v>0.70862300280522017</v>
      </c>
      <c r="T730" s="6">
        <f t="shared" si="263"/>
        <v>2.3648337932694607</v>
      </c>
      <c r="U730" s="6">
        <f t="shared" si="264"/>
        <v>2.1113860208711075</v>
      </c>
      <c r="V730" s="1">
        <f>O730/O717+P730/P721</f>
        <v>0.80338178157112228</v>
      </c>
      <c r="W730" s="1">
        <f>O730/O720+P730/P721</f>
        <v>0.77803700433128697</v>
      </c>
      <c r="X730" s="1">
        <f t="shared" si="261"/>
        <v>69</v>
      </c>
      <c r="Y730" s="6">
        <f t="shared" si="265"/>
        <v>1.1266666666666667</v>
      </c>
    </row>
    <row r="731" spans="1:25" x14ac:dyDescent="0.15">
      <c r="A731" s="3">
        <v>2024</v>
      </c>
      <c r="B731" s="3" t="s">
        <v>58</v>
      </c>
      <c r="C731" s="1">
        <v>51</v>
      </c>
      <c r="D731" s="3">
        <v>17</v>
      </c>
      <c r="E731" s="3" t="s">
        <v>37</v>
      </c>
      <c r="F731" s="3" t="s">
        <v>39</v>
      </c>
      <c r="G731" s="3" t="s">
        <v>14</v>
      </c>
      <c r="H731" s="1" t="s">
        <v>37</v>
      </c>
      <c r="I731" s="3">
        <v>4</v>
      </c>
      <c r="J731" s="3" t="s">
        <v>70</v>
      </c>
      <c r="K731" s="1" t="s">
        <v>42</v>
      </c>
      <c r="L731" s="6">
        <v>65</v>
      </c>
      <c r="M731" s="6">
        <v>55</v>
      </c>
      <c r="N731" s="7">
        <f t="shared" si="262"/>
        <v>10</v>
      </c>
      <c r="O731" s="6">
        <v>0.24666666666666667</v>
      </c>
      <c r="P731" s="6">
        <v>0.46266666666666667</v>
      </c>
      <c r="Q731" s="6">
        <f>O731/(0.1*O717)</f>
        <v>1.1606022584692595</v>
      </c>
      <c r="R731" s="6">
        <f>O731/(0.1*O720)</f>
        <v>0.98299681190223165</v>
      </c>
      <c r="S731" s="6">
        <f>P731/(0.9*P722)</f>
        <v>0.88633461047254125</v>
      </c>
      <c r="T731" s="6">
        <f t="shared" si="263"/>
        <v>2.0469368689418008</v>
      </c>
      <c r="U731" s="6">
        <f t="shared" si="264"/>
        <v>1.8693314223747728</v>
      </c>
      <c r="V731" s="1">
        <f>O731/O717+P731/P722</f>
        <v>0.91376137527221324</v>
      </c>
      <c r="W731" s="1">
        <f>O731/O720+P731/P722</f>
        <v>0.89600083061551039</v>
      </c>
      <c r="X731" s="1">
        <f t="shared" si="261"/>
        <v>65</v>
      </c>
      <c r="Y731" s="6">
        <f t="shared" si="265"/>
        <v>0.70933333333333337</v>
      </c>
    </row>
    <row r="732" spans="1:25" x14ac:dyDescent="0.15">
      <c r="A732" s="3">
        <v>2024</v>
      </c>
      <c r="B732" s="3" t="s">
        <v>58</v>
      </c>
      <c r="C732" s="1">
        <v>51</v>
      </c>
      <c r="D732" s="3">
        <v>18</v>
      </c>
      <c r="E732" s="3" t="s">
        <v>37</v>
      </c>
      <c r="F732" s="3" t="s">
        <v>40</v>
      </c>
      <c r="G732" s="3" t="s">
        <v>14</v>
      </c>
      <c r="H732" s="1" t="s">
        <v>37</v>
      </c>
      <c r="I732" s="3">
        <v>4</v>
      </c>
      <c r="J732" s="3" t="s">
        <v>71</v>
      </c>
      <c r="K732" s="1" t="s">
        <v>42</v>
      </c>
      <c r="L732" s="6">
        <v>70</v>
      </c>
      <c r="M732" s="6">
        <v>65</v>
      </c>
      <c r="N732" s="7">
        <f t="shared" si="262"/>
        <v>5</v>
      </c>
      <c r="O732" s="6">
        <v>0.52533333333333332</v>
      </c>
      <c r="P732" s="6">
        <v>0.83199999999999996</v>
      </c>
      <c r="Q732" s="6">
        <f>O732/(0.1*O717)</f>
        <v>2.4717691342534498</v>
      </c>
      <c r="R732" s="6">
        <f>O732/(0.1*O720)</f>
        <v>2.0935175345377255</v>
      </c>
      <c r="S732" s="6">
        <f>P732/(0.9*P723)</f>
        <v>5.1358024691358013</v>
      </c>
      <c r="T732" s="6">
        <f t="shared" si="263"/>
        <v>7.6075716033892515</v>
      </c>
      <c r="U732" s="6">
        <f t="shared" si="264"/>
        <v>7.2293200036735268</v>
      </c>
      <c r="V732" s="1">
        <f>O732/O717+P732/P723</f>
        <v>4.8693991356475665</v>
      </c>
      <c r="W732" s="1">
        <f>O732/O720+P732/P723</f>
        <v>4.8315739756759948</v>
      </c>
      <c r="X732" s="1">
        <f t="shared" si="261"/>
        <v>61</v>
      </c>
      <c r="Y732" s="6">
        <f t="shared" si="265"/>
        <v>1.3573333333333333</v>
      </c>
    </row>
    <row r="733" spans="1:25" x14ac:dyDescent="0.15">
      <c r="A733" s="3">
        <v>2022</v>
      </c>
      <c r="B733" s="1" t="s">
        <v>56</v>
      </c>
      <c r="C733" s="3">
        <v>13</v>
      </c>
      <c r="D733" s="3">
        <v>1</v>
      </c>
      <c r="E733" s="3" t="s">
        <v>35</v>
      </c>
      <c r="F733" s="3"/>
      <c r="G733" s="3" t="s">
        <v>41</v>
      </c>
      <c r="H733" s="1" t="s">
        <v>35</v>
      </c>
      <c r="I733" s="3">
        <v>1</v>
      </c>
      <c r="J733" s="3" t="s">
        <v>35</v>
      </c>
      <c r="K733" s="1" t="s">
        <v>42</v>
      </c>
      <c r="L733">
        <v>85</v>
      </c>
      <c r="M733" s="7" t="s">
        <v>45</v>
      </c>
      <c r="N733" s="7" t="s">
        <v>45</v>
      </c>
      <c r="O733">
        <v>3.843</v>
      </c>
      <c r="P733" s="5" t="s">
        <v>45</v>
      </c>
      <c r="Q733" s="6" t="s">
        <v>45</v>
      </c>
      <c r="R733" s="6" t="s">
        <v>45</v>
      </c>
      <c r="S733" s="6" t="s">
        <v>45</v>
      </c>
      <c r="T733" s="6" t="s">
        <v>45</v>
      </c>
      <c r="U733" s="6" t="s">
        <v>45</v>
      </c>
      <c r="V733" s="1" t="s">
        <v>45</v>
      </c>
      <c r="W733" s="1" t="s">
        <v>45</v>
      </c>
      <c r="X733" s="6" t="s">
        <v>45</v>
      </c>
      <c r="Y733" s="6">
        <f>O733</f>
        <v>3.843</v>
      </c>
    </row>
    <row r="734" spans="1:25" x14ac:dyDescent="0.15">
      <c r="A734" s="3">
        <v>2022</v>
      </c>
      <c r="B734" s="1" t="s">
        <v>56</v>
      </c>
      <c r="C734" s="3">
        <v>13</v>
      </c>
      <c r="D734" s="3">
        <v>2</v>
      </c>
      <c r="E734" s="3" t="s">
        <v>36</v>
      </c>
      <c r="F734" s="3"/>
      <c r="G734" s="3" t="s">
        <v>41</v>
      </c>
      <c r="H734" s="1" t="s">
        <v>36</v>
      </c>
      <c r="I734" s="3">
        <v>1</v>
      </c>
      <c r="J734" s="3" t="s">
        <v>36</v>
      </c>
      <c r="K734" s="1" t="s">
        <v>42</v>
      </c>
      <c r="L734">
        <v>80</v>
      </c>
      <c r="M734" s="7" t="s">
        <v>45</v>
      </c>
      <c r="N734" s="7" t="s">
        <v>45</v>
      </c>
      <c r="O734">
        <v>3.4062888888888891</v>
      </c>
      <c r="P734" s="5" t="s">
        <v>45</v>
      </c>
      <c r="Q734" s="6" t="s">
        <v>45</v>
      </c>
      <c r="R734" s="6" t="s">
        <v>45</v>
      </c>
      <c r="S734" s="6" t="s">
        <v>45</v>
      </c>
      <c r="T734" s="6" t="s">
        <v>45</v>
      </c>
      <c r="U734" s="6" t="s">
        <v>45</v>
      </c>
      <c r="V734" s="1" t="s">
        <v>45</v>
      </c>
      <c r="W734" s="1" t="s">
        <v>45</v>
      </c>
      <c r="X734" s="6" t="s">
        <v>45</v>
      </c>
      <c r="Y734" s="6">
        <f t="shared" ref="Y734:Y738" si="266">O734</f>
        <v>3.4062888888888891</v>
      </c>
    </row>
    <row r="735" spans="1:25" x14ac:dyDescent="0.15">
      <c r="A735" s="3">
        <v>2022</v>
      </c>
      <c r="B735" s="1" t="s">
        <v>56</v>
      </c>
      <c r="C735" s="3">
        <v>13</v>
      </c>
      <c r="D735" s="3">
        <v>3</v>
      </c>
      <c r="E735" s="3" t="s">
        <v>37</v>
      </c>
      <c r="F735" s="3"/>
      <c r="G735" s="3" t="s">
        <v>41</v>
      </c>
      <c r="H735" s="1" t="s">
        <v>37</v>
      </c>
      <c r="I735" s="3">
        <v>1</v>
      </c>
      <c r="J735" s="3" t="s">
        <v>37</v>
      </c>
      <c r="K735" s="1" t="s">
        <v>42</v>
      </c>
      <c r="L735">
        <v>60</v>
      </c>
      <c r="M735" s="7" t="s">
        <v>45</v>
      </c>
      <c r="N735" s="7" t="s">
        <v>45</v>
      </c>
      <c r="O735">
        <v>3.2623000000000002</v>
      </c>
      <c r="P735" s="5" t="s">
        <v>45</v>
      </c>
      <c r="Q735" s="6" t="s">
        <v>45</v>
      </c>
      <c r="R735" s="6" t="s">
        <v>45</v>
      </c>
      <c r="S735" s="6" t="s">
        <v>45</v>
      </c>
      <c r="T735" s="6" t="s">
        <v>45</v>
      </c>
      <c r="U735" s="6" t="s">
        <v>45</v>
      </c>
      <c r="V735" s="1" t="s">
        <v>45</v>
      </c>
      <c r="W735" s="1" t="s">
        <v>45</v>
      </c>
      <c r="X735" s="6" t="s">
        <v>45</v>
      </c>
      <c r="Y735" s="6">
        <f t="shared" si="266"/>
        <v>3.2623000000000002</v>
      </c>
    </row>
    <row r="736" spans="1:25" x14ac:dyDescent="0.15">
      <c r="A736" s="3">
        <v>2022</v>
      </c>
      <c r="B736" s="1" t="s">
        <v>56</v>
      </c>
      <c r="C736" s="3">
        <v>13</v>
      </c>
      <c r="D736" s="3">
        <v>4</v>
      </c>
      <c r="E736" s="3" t="s">
        <v>35</v>
      </c>
      <c r="F736" s="3"/>
      <c r="G736" s="3" t="s">
        <v>41</v>
      </c>
      <c r="H736" s="1" t="s">
        <v>75</v>
      </c>
      <c r="I736" s="3">
        <v>1</v>
      </c>
      <c r="J736" s="3" t="s">
        <v>35</v>
      </c>
      <c r="K736" s="1" t="s">
        <v>43</v>
      </c>
      <c r="L736">
        <v>90</v>
      </c>
      <c r="M736" s="7" t="s">
        <v>45</v>
      </c>
      <c r="N736" s="7" t="s">
        <v>45</v>
      </c>
      <c r="O736">
        <v>4.9518000000000013</v>
      </c>
      <c r="P736" s="5" t="s">
        <v>45</v>
      </c>
      <c r="Q736" s="6" t="s">
        <v>45</v>
      </c>
      <c r="R736" s="6" t="s">
        <v>45</v>
      </c>
      <c r="S736" s="6" t="s">
        <v>45</v>
      </c>
      <c r="T736" s="6" t="s">
        <v>45</v>
      </c>
      <c r="U736" s="6" t="s">
        <v>45</v>
      </c>
      <c r="V736" s="1" t="s">
        <v>45</v>
      </c>
      <c r="W736" s="1" t="s">
        <v>45</v>
      </c>
      <c r="X736" s="1" t="s">
        <v>45</v>
      </c>
      <c r="Y736" s="6">
        <f t="shared" si="266"/>
        <v>4.9518000000000013</v>
      </c>
    </row>
    <row r="737" spans="1:25" x14ac:dyDescent="0.15">
      <c r="A737" s="3">
        <v>2022</v>
      </c>
      <c r="B737" s="1" t="s">
        <v>56</v>
      </c>
      <c r="C737" s="3">
        <v>13</v>
      </c>
      <c r="D737" s="3">
        <v>5</v>
      </c>
      <c r="E737" s="3" t="s">
        <v>36</v>
      </c>
      <c r="F737" s="3"/>
      <c r="G737" s="3" t="s">
        <v>41</v>
      </c>
      <c r="H737" s="1" t="s">
        <v>76</v>
      </c>
      <c r="I737" s="3">
        <v>1</v>
      </c>
      <c r="J737" s="3" t="s">
        <v>36</v>
      </c>
      <c r="K737" s="1" t="s">
        <v>43</v>
      </c>
      <c r="L737">
        <v>90</v>
      </c>
      <c r="M737" s="7" t="s">
        <v>45</v>
      </c>
      <c r="N737" s="7" t="s">
        <v>45</v>
      </c>
      <c r="O737">
        <v>4.3583999999999996</v>
      </c>
      <c r="P737" s="5" t="s">
        <v>45</v>
      </c>
      <c r="Q737" s="6" t="s">
        <v>45</v>
      </c>
      <c r="R737" s="6" t="s">
        <v>45</v>
      </c>
      <c r="S737" s="6" t="s">
        <v>45</v>
      </c>
      <c r="T737" s="6" t="s">
        <v>45</v>
      </c>
      <c r="U737" s="6" t="s">
        <v>45</v>
      </c>
      <c r="V737" s="1" t="s">
        <v>45</v>
      </c>
      <c r="W737" s="1" t="s">
        <v>45</v>
      </c>
      <c r="X737" s="1" t="s">
        <v>45</v>
      </c>
      <c r="Y737" s="6">
        <f t="shared" si="266"/>
        <v>4.3583999999999996</v>
      </c>
    </row>
    <row r="738" spans="1:25" x14ac:dyDescent="0.15">
      <c r="A738" s="3">
        <v>2022</v>
      </c>
      <c r="B738" s="1" t="s">
        <v>56</v>
      </c>
      <c r="C738" s="3">
        <v>13</v>
      </c>
      <c r="D738" s="3">
        <v>6</v>
      </c>
      <c r="E738" s="3" t="s">
        <v>37</v>
      </c>
      <c r="F738" s="3"/>
      <c r="G738" s="3" t="s">
        <v>41</v>
      </c>
      <c r="H738" s="1" t="s">
        <v>77</v>
      </c>
      <c r="I738" s="3">
        <v>1</v>
      </c>
      <c r="J738" s="3" t="s">
        <v>37</v>
      </c>
      <c r="K738" s="1" t="s">
        <v>43</v>
      </c>
      <c r="L738">
        <v>65</v>
      </c>
      <c r="M738" s="7" t="s">
        <v>45</v>
      </c>
      <c r="N738" s="7" t="s">
        <v>45</v>
      </c>
      <c r="O738">
        <v>4.3519666666666668</v>
      </c>
      <c r="P738" s="5" t="s">
        <v>45</v>
      </c>
      <c r="Q738" s="6" t="s">
        <v>45</v>
      </c>
      <c r="R738" s="6" t="s">
        <v>45</v>
      </c>
      <c r="S738" s="6" t="s">
        <v>45</v>
      </c>
      <c r="T738" s="6" t="s">
        <v>45</v>
      </c>
      <c r="U738" s="6" t="s">
        <v>45</v>
      </c>
      <c r="V738" s="1" t="s">
        <v>45</v>
      </c>
      <c r="W738" s="1" t="s">
        <v>45</v>
      </c>
      <c r="X738" s="1" t="s">
        <v>45</v>
      </c>
      <c r="Y738" s="6">
        <f t="shared" si="266"/>
        <v>4.3519666666666668</v>
      </c>
    </row>
    <row r="739" spans="1:25" x14ac:dyDescent="0.15">
      <c r="A739" s="3">
        <v>2022</v>
      </c>
      <c r="B739" s="1" t="s">
        <v>56</v>
      </c>
      <c r="C739" s="3">
        <v>13</v>
      </c>
      <c r="D739" s="3">
        <v>7</v>
      </c>
      <c r="E739" s="3"/>
      <c r="F739" s="3" t="s">
        <v>38</v>
      </c>
      <c r="G739" s="3" t="s">
        <v>41</v>
      </c>
      <c r="H739" s="1"/>
      <c r="I739" s="3">
        <v>1</v>
      </c>
      <c r="J739" s="3" t="s">
        <v>38</v>
      </c>
      <c r="K739" s="1" t="s">
        <v>42</v>
      </c>
      <c r="L739" s="7" t="s">
        <v>45</v>
      </c>
      <c r="M739">
        <v>75</v>
      </c>
      <c r="N739" s="7" t="s">
        <v>45</v>
      </c>
      <c r="O739" s="5" t="s">
        <v>45</v>
      </c>
      <c r="P739">
        <v>2.9881333333333329</v>
      </c>
      <c r="Q739" s="6" t="s">
        <v>45</v>
      </c>
      <c r="R739" s="6" t="s">
        <v>45</v>
      </c>
      <c r="S739" s="6" t="s">
        <v>45</v>
      </c>
      <c r="T739" s="6" t="s">
        <v>45</v>
      </c>
      <c r="U739" s="6" t="s">
        <v>45</v>
      </c>
      <c r="V739" s="1" t="s">
        <v>45</v>
      </c>
      <c r="W739" s="1" t="s">
        <v>45</v>
      </c>
      <c r="X739" s="1" t="s">
        <v>45</v>
      </c>
      <c r="Y739" s="6">
        <f>P739</f>
        <v>2.9881333333333329</v>
      </c>
    </row>
    <row r="740" spans="1:25" x14ac:dyDescent="0.15">
      <c r="A740" s="3">
        <v>2022</v>
      </c>
      <c r="B740" s="1" t="s">
        <v>56</v>
      </c>
      <c r="C740" s="3">
        <v>13</v>
      </c>
      <c r="D740" s="3">
        <v>8</v>
      </c>
      <c r="E740" s="3"/>
      <c r="F740" s="3" t="s">
        <v>39</v>
      </c>
      <c r="G740" s="3" t="s">
        <v>41</v>
      </c>
      <c r="H740" s="1"/>
      <c r="I740" s="3">
        <v>1</v>
      </c>
      <c r="J740" s="3" t="s">
        <v>39</v>
      </c>
      <c r="K740" s="1" t="s">
        <v>42</v>
      </c>
      <c r="L740" s="7" t="s">
        <v>45</v>
      </c>
      <c r="M740">
        <v>75</v>
      </c>
      <c r="N740" s="7" t="s">
        <v>45</v>
      </c>
      <c r="O740" s="5" t="s">
        <v>45</v>
      </c>
      <c r="P740">
        <v>2.2069444444444439</v>
      </c>
      <c r="Q740" s="6" t="s">
        <v>45</v>
      </c>
      <c r="R740" s="6" t="s">
        <v>45</v>
      </c>
      <c r="S740" s="6" t="s">
        <v>45</v>
      </c>
      <c r="T740" s="6" t="s">
        <v>45</v>
      </c>
      <c r="U740" s="6" t="s">
        <v>45</v>
      </c>
      <c r="V740" s="1" t="s">
        <v>45</v>
      </c>
      <c r="W740" s="1" t="s">
        <v>45</v>
      </c>
      <c r="X740" s="1" t="s">
        <v>45</v>
      </c>
      <c r="Y740" s="6">
        <f t="shared" ref="Y740:Y741" si="267">P740</f>
        <v>2.2069444444444439</v>
      </c>
    </row>
    <row r="741" spans="1:25" x14ac:dyDescent="0.15">
      <c r="A741" s="3">
        <v>2022</v>
      </c>
      <c r="B741" s="1" t="s">
        <v>56</v>
      </c>
      <c r="C741" s="3">
        <v>13</v>
      </c>
      <c r="D741" s="3">
        <v>9</v>
      </c>
      <c r="E741" s="3"/>
      <c r="F741" s="3" t="s">
        <v>40</v>
      </c>
      <c r="G741" s="3" t="s">
        <v>41</v>
      </c>
      <c r="H741" s="1"/>
      <c r="I741" s="3">
        <v>1</v>
      </c>
      <c r="J741" s="3" t="s">
        <v>40</v>
      </c>
      <c r="K741" s="1" t="s">
        <v>42</v>
      </c>
      <c r="L741" s="7" t="s">
        <v>45</v>
      </c>
      <c r="M741">
        <v>75</v>
      </c>
      <c r="N741" s="7" t="s">
        <v>45</v>
      </c>
      <c r="O741" s="5" t="s">
        <v>45</v>
      </c>
      <c r="P741">
        <v>2.4584000000000001</v>
      </c>
      <c r="Q741" s="6" t="s">
        <v>45</v>
      </c>
      <c r="R741" s="6" t="s">
        <v>45</v>
      </c>
      <c r="S741" s="6" t="s">
        <v>45</v>
      </c>
      <c r="T741" s="6" t="s">
        <v>45</v>
      </c>
      <c r="U741" s="6" t="s">
        <v>45</v>
      </c>
      <c r="V741" s="1" t="s">
        <v>45</v>
      </c>
      <c r="W741" s="1" t="s">
        <v>45</v>
      </c>
      <c r="X741" s="1" t="s">
        <v>45</v>
      </c>
      <c r="Y741" s="6">
        <f t="shared" si="267"/>
        <v>2.4584000000000001</v>
      </c>
    </row>
    <row r="742" spans="1:25" x14ac:dyDescent="0.15">
      <c r="A742" s="3">
        <v>2022</v>
      </c>
      <c r="B742" s="1" t="s">
        <v>56</v>
      </c>
      <c r="C742" s="3">
        <v>13</v>
      </c>
      <c r="D742" s="3">
        <v>10</v>
      </c>
      <c r="E742" s="3" t="s">
        <v>35</v>
      </c>
      <c r="F742" s="3" t="s">
        <v>38</v>
      </c>
      <c r="G742" s="3" t="s">
        <v>14</v>
      </c>
      <c r="H742" s="1" t="s">
        <v>35</v>
      </c>
      <c r="I742" s="3">
        <v>1</v>
      </c>
      <c r="J742" s="3" t="s">
        <v>63</v>
      </c>
      <c r="K742" s="1" t="s">
        <v>42</v>
      </c>
      <c r="L742">
        <v>100</v>
      </c>
      <c r="M742">
        <v>75</v>
      </c>
      <c r="N742" s="7">
        <f>L742-M742</f>
        <v>25</v>
      </c>
      <c r="O742">
        <v>0.79175555555555566</v>
      </c>
      <c r="P742">
        <v>2.316533333333334</v>
      </c>
      <c r="Q742" s="6">
        <f>O742/(0.1*O733)</f>
        <v>2.0602538526035796</v>
      </c>
      <c r="R742" s="6">
        <f>O742/(0.1*O736)</f>
        <v>1.5989247456592661</v>
      </c>
      <c r="S742" s="6">
        <f>P742/(0.9*P739)</f>
        <v>0.86138255519363049</v>
      </c>
      <c r="T742" s="6">
        <f>Q742+S742</f>
        <v>2.9216364077972101</v>
      </c>
      <c r="U742" s="6">
        <f>R742+S742</f>
        <v>2.4603073008528966</v>
      </c>
      <c r="V742" s="1">
        <f>O742/O733+P742/P739</f>
        <v>0.98126968493462541</v>
      </c>
      <c r="W742" s="1">
        <f>O742/O736+P742/P739</f>
        <v>0.93513677424019404</v>
      </c>
      <c r="X742" s="1">
        <f t="shared" ref="X742:X750" si="268">100*ROUND(P742/(P742+O742), 2)</f>
        <v>75</v>
      </c>
      <c r="Y742" s="6">
        <f>O742+P742</f>
        <v>3.1082888888888895</v>
      </c>
    </row>
    <row r="743" spans="1:25" x14ac:dyDescent="0.15">
      <c r="A743" s="3">
        <v>2022</v>
      </c>
      <c r="B743" s="1" t="s">
        <v>56</v>
      </c>
      <c r="C743" s="3">
        <v>13</v>
      </c>
      <c r="D743" s="3">
        <v>11</v>
      </c>
      <c r="E743" s="3" t="s">
        <v>35</v>
      </c>
      <c r="F743" s="3" t="s">
        <v>39</v>
      </c>
      <c r="G743" s="3" t="s">
        <v>14</v>
      </c>
      <c r="H743" s="1" t="s">
        <v>35</v>
      </c>
      <c r="I743" s="3">
        <v>1</v>
      </c>
      <c r="J743" s="3" t="s">
        <v>64</v>
      </c>
      <c r="K743" s="1" t="s">
        <v>42</v>
      </c>
      <c r="L743">
        <v>100</v>
      </c>
      <c r="M743">
        <v>75</v>
      </c>
      <c r="N743" s="7">
        <f t="shared" ref="N743:N750" si="269">L743-M743</f>
        <v>25</v>
      </c>
      <c r="O743">
        <v>0.9473111111111111</v>
      </c>
      <c r="P743">
        <v>2.207266666666666</v>
      </c>
      <c r="Q743" s="6">
        <f>O743/(0.1*O733)</f>
        <v>2.4650302136640931</v>
      </c>
      <c r="R743" s="6">
        <f>O743/(0.1*O736)</f>
        <v>1.913064160731675</v>
      </c>
      <c r="S743" s="6">
        <f>P743/(0.9*P740)</f>
        <v>1.1112733375288439</v>
      </c>
      <c r="T743" s="6">
        <f t="shared" ref="T743:T750" si="270">Q743+S743</f>
        <v>3.5763035511929369</v>
      </c>
      <c r="U743" s="6">
        <f t="shared" ref="U743:U750" si="271">R743+S743</f>
        <v>3.0243374982605191</v>
      </c>
      <c r="V743" s="1">
        <f>O743/O733+P743/P740</f>
        <v>1.2466490251423692</v>
      </c>
      <c r="W743" s="1">
        <f>O743/O736+P743/P740</f>
        <v>1.1914524198491272</v>
      </c>
      <c r="X743" s="1">
        <f t="shared" si="268"/>
        <v>70</v>
      </c>
      <c r="Y743" s="6">
        <f t="shared" ref="Y743:Y750" si="272">O743+P743</f>
        <v>3.154577777777777</v>
      </c>
    </row>
    <row r="744" spans="1:25" x14ac:dyDescent="0.15">
      <c r="A744" s="3">
        <v>2022</v>
      </c>
      <c r="B744" s="1" t="s">
        <v>56</v>
      </c>
      <c r="C744" s="3">
        <v>13</v>
      </c>
      <c r="D744" s="3">
        <v>12</v>
      </c>
      <c r="E744" s="3" t="s">
        <v>35</v>
      </c>
      <c r="F744" s="3" t="s">
        <v>40</v>
      </c>
      <c r="G744" s="3" t="s">
        <v>14</v>
      </c>
      <c r="H744" s="1" t="s">
        <v>35</v>
      </c>
      <c r="I744" s="3">
        <v>1</v>
      </c>
      <c r="J744" s="3" t="s">
        <v>65</v>
      </c>
      <c r="K744" s="1" t="s">
        <v>42</v>
      </c>
      <c r="L744">
        <v>100</v>
      </c>
      <c r="M744">
        <v>75</v>
      </c>
      <c r="N744" s="7">
        <f t="shared" si="269"/>
        <v>25</v>
      </c>
      <c r="O744">
        <v>0.80177777777777781</v>
      </c>
      <c r="P744">
        <v>1.9563999999999999</v>
      </c>
      <c r="Q744" s="6">
        <f>O744/(0.1*O733)</f>
        <v>2.0863330152947639</v>
      </c>
      <c r="R744" s="6">
        <f>O744/(0.1*O736)</f>
        <v>1.6191642994017883</v>
      </c>
      <c r="S744" s="6">
        <f>P744/(0.9*P741)</f>
        <v>0.88422460859818475</v>
      </c>
      <c r="T744" s="6">
        <f t="shared" si="270"/>
        <v>2.9705576238929488</v>
      </c>
      <c r="U744" s="6">
        <f t="shared" si="271"/>
        <v>2.5033889079999732</v>
      </c>
      <c r="V744" s="1">
        <f>O744/O733+P744/P741</f>
        <v>1.0044354492678427</v>
      </c>
      <c r="W744" s="1">
        <f>O744/O736+P744/P741</f>
        <v>0.95771857767854518</v>
      </c>
      <c r="X744" s="1">
        <f t="shared" si="268"/>
        <v>71</v>
      </c>
      <c r="Y744" s="6">
        <f t="shared" si="272"/>
        <v>2.7581777777777776</v>
      </c>
    </row>
    <row r="745" spans="1:25" x14ac:dyDescent="0.15">
      <c r="A745" s="3">
        <v>2022</v>
      </c>
      <c r="B745" s="1" t="s">
        <v>56</v>
      </c>
      <c r="C745" s="3">
        <v>13</v>
      </c>
      <c r="D745" s="3">
        <v>13</v>
      </c>
      <c r="E745" s="3" t="s">
        <v>36</v>
      </c>
      <c r="F745" s="3" t="s">
        <v>38</v>
      </c>
      <c r="G745" s="3" t="s">
        <v>14</v>
      </c>
      <c r="H745" s="1" t="s">
        <v>36</v>
      </c>
      <c r="I745" s="3">
        <v>1</v>
      </c>
      <c r="J745" s="3" t="s">
        <v>66</v>
      </c>
      <c r="K745" s="1" t="s">
        <v>42</v>
      </c>
      <c r="L745">
        <v>100</v>
      </c>
      <c r="M745">
        <v>75</v>
      </c>
      <c r="N745" s="7">
        <f>L745-M745</f>
        <v>25</v>
      </c>
      <c r="O745">
        <v>0.84560000000000013</v>
      </c>
      <c r="P745">
        <v>2.4904999999999999</v>
      </c>
      <c r="Q745" s="6">
        <f>O745/(0.1*O734)</f>
        <v>2.4824670707123428</v>
      </c>
      <c r="R745" s="6">
        <f>O745/(0.1*O737)</f>
        <v>1.9401615271659327</v>
      </c>
      <c r="S745" s="6">
        <f>P745/(0.9*P739)</f>
        <v>0.92607053084051005</v>
      </c>
      <c r="T745" s="6">
        <f t="shared" si="270"/>
        <v>3.4085376015528528</v>
      </c>
      <c r="U745" s="6">
        <f t="shared" si="271"/>
        <v>2.8662320580064429</v>
      </c>
      <c r="V745" s="1">
        <f>O745/O734+P745/P739</f>
        <v>1.0817101848276933</v>
      </c>
      <c r="W745" s="1">
        <f>O745/O737+P745/P739</f>
        <v>1.0274796304730522</v>
      </c>
      <c r="X745" s="1">
        <f t="shared" si="268"/>
        <v>75</v>
      </c>
      <c r="Y745" s="6">
        <f t="shared" si="272"/>
        <v>3.3361000000000001</v>
      </c>
    </row>
    <row r="746" spans="1:25" x14ac:dyDescent="0.15">
      <c r="A746" s="3">
        <v>2022</v>
      </c>
      <c r="B746" s="1" t="s">
        <v>56</v>
      </c>
      <c r="C746" s="3">
        <v>13</v>
      </c>
      <c r="D746" s="3">
        <v>14</v>
      </c>
      <c r="E746" s="3" t="s">
        <v>36</v>
      </c>
      <c r="F746" s="3" t="s">
        <v>39</v>
      </c>
      <c r="G746" s="3" t="s">
        <v>14</v>
      </c>
      <c r="H746" s="1" t="s">
        <v>36</v>
      </c>
      <c r="I746" s="3">
        <v>1</v>
      </c>
      <c r="J746" s="3" t="s">
        <v>67</v>
      </c>
      <c r="K746" s="1" t="s">
        <v>42</v>
      </c>
      <c r="L746">
        <v>100</v>
      </c>
      <c r="M746">
        <v>75</v>
      </c>
      <c r="N746" s="7">
        <f t="shared" si="269"/>
        <v>25</v>
      </c>
      <c r="O746">
        <v>1.011122222222222</v>
      </c>
      <c r="P746">
        <v>1.8124666666666669</v>
      </c>
      <c r="Q746" s="6">
        <f>O746/(0.1*O734)</f>
        <v>2.968398322057892</v>
      </c>
      <c r="R746" s="6">
        <f>O746/(0.1*O737)</f>
        <v>2.3199390194158913</v>
      </c>
      <c r="S746" s="6">
        <f>P746/(0.9*P740)</f>
        <v>0.91250681770505593</v>
      </c>
      <c r="T746" s="6">
        <f t="shared" si="270"/>
        <v>3.8809051397629482</v>
      </c>
      <c r="U746" s="6">
        <f t="shared" si="271"/>
        <v>3.232445837120947</v>
      </c>
      <c r="V746" s="1">
        <f>O746/O734+P746/P740</f>
        <v>1.1180959681403395</v>
      </c>
      <c r="W746" s="1">
        <f>O746/O737+P746/P740</f>
        <v>1.0532500378761396</v>
      </c>
      <c r="X746" s="1">
        <f t="shared" si="268"/>
        <v>64</v>
      </c>
      <c r="Y746" s="6">
        <f t="shared" si="272"/>
        <v>2.8235888888888887</v>
      </c>
    </row>
    <row r="747" spans="1:25" x14ac:dyDescent="0.15">
      <c r="A747" s="3">
        <v>2022</v>
      </c>
      <c r="B747" s="1" t="s">
        <v>56</v>
      </c>
      <c r="C747" s="3">
        <v>13</v>
      </c>
      <c r="D747" s="3">
        <v>15</v>
      </c>
      <c r="E747" s="3" t="s">
        <v>36</v>
      </c>
      <c r="F747" s="3" t="s">
        <v>40</v>
      </c>
      <c r="G747" s="3" t="s">
        <v>14</v>
      </c>
      <c r="H747" s="1" t="s">
        <v>36</v>
      </c>
      <c r="I747" s="3">
        <v>1</v>
      </c>
      <c r="J747" s="3" t="s">
        <v>68</v>
      </c>
      <c r="K747" s="1" t="s">
        <v>42</v>
      </c>
      <c r="L747">
        <v>100</v>
      </c>
      <c r="M747">
        <v>70</v>
      </c>
      <c r="N747" s="7">
        <f t="shared" si="269"/>
        <v>30</v>
      </c>
      <c r="O747">
        <v>0.8136000000000001</v>
      </c>
      <c r="P747">
        <v>2.2217333333333329</v>
      </c>
      <c r="Q747" s="6">
        <f>O747/(0.1*O734)</f>
        <v>2.3885231891338243</v>
      </c>
      <c r="R747" s="6">
        <f>O747/(0.1*O737)</f>
        <v>1.866740088105727</v>
      </c>
      <c r="S747" s="6">
        <f>P747/(0.9*P741)</f>
        <v>1.0041460269250699</v>
      </c>
      <c r="T747" s="6">
        <f t="shared" si="270"/>
        <v>3.392669216058894</v>
      </c>
      <c r="U747" s="6">
        <f t="shared" si="271"/>
        <v>2.8708861150307969</v>
      </c>
      <c r="V747" s="1">
        <f>O747/O734+P747/P741</f>
        <v>1.1425837431459454</v>
      </c>
      <c r="W747" s="1">
        <f>O747/O737+P747/P741</f>
        <v>1.0904054330431356</v>
      </c>
      <c r="X747" s="1">
        <f t="shared" si="268"/>
        <v>73</v>
      </c>
      <c r="Y747" s="6">
        <f t="shared" si="272"/>
        <v>3.035333333333333</v>
      </c>
    </row>
    <row r="748" spans="1:25" x14ac:dyDescent="0.15">
      <c r="A748" s="3">
        <v>2022</v>
      </c>
      <c r="B748" s="1" t="s">
        <v>56</v>
      </c>
      <c r="C748" s="3">
        <v>13</v>
      </c>
      <c r="D748" s="3">
        <v>16</v>
      </c>
      <c r="E748" s="3" t="s">
        <v>37</v>
      </c>
      <c r="F748" s="3" t="s">
        <v>38</v>
      </c>
      <c r="G748" s="3" t="s">
        <v>14</v>
      </c>
      <c r="H748" s="1" t="s">
        <v>37</v>
      </c>
      <c r="I748" s="3">
        <v>1</v>
      </c>
      <c r="J748" s="3" t="s">
        <v>69</v>
      </c>
      <c r="K748" s="1" t="s">
        <v>42</v>
      </c>
      <c r="L748">
        <v>75</v>
      </c>
      <c r="M748">
        <v>75</v>
      </c>
      <c r="N748" s="7">
        <f t="shared" si="269"/>
        <v>0</v>
      </c>
      <c r="O748">
        <v>0.43095555555555548</v>
      </c>
      <c r="P748">
        <v>2.618266666666667</v>
      </c>
      <c r="Q748" s="6">
        <f>O748/(0.1*O735)</f>
        <v>1.3210175506714754</v>
      </c>
      <c r="R748" s="6">
        <f>O748/(0.1*O738)</f>
        <v>0.99025472519448399</v>
      </c>
      <c r="S748" s="6">
        <f>P748/(0.9*P739)</f>
        <v>0.97357944263481755</v>
      </c>
      <c r="T748" s="6">
        <f t="shared" si="270"/>
        <v>2.2945969933062931</v>
      </c>
      <c r="U748" s="6">
        <f t="shared" si="271"/>
        <v>1.9638341678293014</v>
      </c>
      <c r="V748" s="1">
        <f>O748/O735+P748/P739</f>
        <v>1.0083232534384834</v>
      </c>
      <c r="W748" s="1">
        <f>O748/O738+P748/P739</f>
        <v>0.97524697089078416</v>
      </c>
      <c r="X748" s="1">
        <f t="shared" si="268"/>
        <v>86</v>
      </c>
      <c r="Y748" s="6">
        <f t="shared" si="272"/>
        <v>3.0492222222222223</v>
      </c>
    </row>
    <row r="749" spans="1:25" x14ac:dyDescent="0.15">
      <c r="A749" s="3">
        <v>2022</v>
      </c>
      <c r="B749" s="1" t="s">
        <v>56</v>
      </c>
      <c r="C749" s="3">
        <v>13</v>
      </c>
      <c r="D749" s="3">
        <v>17</v>
      </c>
      <c r="E749" s="3" t="s">
        <v>37</v>
      </c>
      <c r="F749" s="3" t="s">
        <v>39</v>
      </c>
      <c r="G749" s="3" t="s">
        <v>14</v>
      </c>
      <c r="H749" s="1" t="s">
        <v>37</v>
      </c>
      <c r="I749" s="3">
        <v>1</v>
      </c>
      <c r="J749" s="3" t="s">
        <v>70</v>
      </c>
      <c r="K749" s="1" t="s">
        <v>42</v>
      </c>
      <c r="L749">
        <v>75</v>
      </c>
      <c r="M749">
        <v>70</v>
      </c>
      <c r="N749" s="7">
        <f t="shared" si="269"/>
        <v>5</v>
      </c>
      <c r="O749">
        <v>0.86710000000000009</v>
      </c>
      <c r="P749">
        <v>2.4041333333333328</v>
      </c>
      <c r="Q749" s="6">
        <f>O749/(0.1*O735)</f>
        <v>2.6579407166722864</v>
      </c>
      <c r="R749" s="6">
        <f>O749/(0.1*O738)</f>
        <v>1.9924325400776661</v>
      </c>
      <c r="S749" s="6">
        <f>P749/(0.9*P740)</f>
        <v>1.2103880847493182</v>
      </c>
      <c r="T749" s="6">
        <f t="shared" si="270"/>
        <v>3.8683288014216046</v>
      </c>
      <c r="U749" s="6">
        <f t="shared" si="271"/>
        <v>3.2028206248269844</v>
      </c>
      <c r="V749" s="1">
        <f>O749/O735+P749/P740</f>
        <v>1.3551433479416151</v>
      </c>
      <c r="W749" s="1">
        <f>O749/O738+P749/P740</f>
        <v>1.288592530282153</v>
      </c>
      <c r="X749" s="1">
        <f t="shared" si="268"/>
        <v>73</v>
      </c>
      <c r="Y749" s="6">
        <f t="shared" si="272"/>
        <v>3.271233333333333</v>
      </c>
    </row>
    <row r="750" spans="1:25" x14ac:dyDescent="0.15">
      <c r="A750" s="3">
        <v>2022</v>
      </c>
      <c r="B750" s="1" t="s">
        <v>56</v>
      </c>
      <c r="C750" s="3">
        <v>13</v>
      </c>
      <c r="D750" s="3">
        <v>18</v>
      </c>
      <c r="E750" s="3" t="s">
        <v>37</v>
      </c>
      <c r="F750" s="3" t="s">
        <v>40</v>
      </c>
      <c r="G750" s="3" t="s">
        <v>14</v>
      </c>
      <c r="H750" s="1" t="s">
        <v>37</v>
      </c>
      <c r="I750" s="3">
        <v>1</v>
      </c>
      <c r="J750" s="3" t="s">
        <v>71</v>
      </c>
      <c r="K750" s="1" t="s">
        <v>42</v>
      </c>
      <c r="L750">
        <v>80</v>
      </c>
      <c r="M750">
        <v>75</v>
      </c>
      <c r="N750" s="7">
        <f t="shared" si="269"/>
        <v>5</v>
      </c>
      <c r="O750">
        <v>0.51226666666666665</v>
      </c>
      <c r="P750">
        <v>2.1023999999999998</v>
      </c>
      <c r="Q750" s="6">
        <f>O750/(0.1*O735)</f>
        <v>1.5702622893868332</v>
      </c>
      <c r="R750" s="6">
        <f>O750/(0.1*O738)</f>
        <v>1.1770923490529186</v>
      </c>
      <c r="S750" s="6">
        <f>P750/(0.9*P741)</f>
        <v>0.95021151968760154</v>
      </c>
      <c r="T750" s="6">
        <f t="shared" si="270"/>
        <v>2.520473809074435</v>
      </c>
      <c r="U750" s="6">
        <f t="shared" si="271"/>
        <v>2.1273038687405199</v>
      </c>
      <c r="V750" s="1">
        <f>O750/O735+P750/P741</f>
        <v>1.0122165966575247</v>
      </c>
      <c r="W750" s="1">
        <f>O750/O738+P750/P741</f>
        <v>0.97289960262413322</v>
      </c>
      <c r="X750" s="1">
        <f t="shared" si="268"/>
        <v>80</v>
      </c>
      <c r="Y750" s="6">
        <f t="shared" si="272"/>
        <v>2.6146666666666665</v>
      </c>
    </row>
    <row r="751" spans="1:25" x14ac:dyDescent="0.15">
      <c r="A751" s="3">
        <v>2022</v>
      </c>
      <c r="B751" s="1" t="s">
        <v>56</v>
      </c>
      <c r="C751" s="3">
        <v>14</v>
      </c>
      <c r="D751" s="3">
        <v>1</v>
      </c>
      <c r="E751" s="3" t="s">
        <v>35</v>
      </c>
      <c r="F751" s="3"/>
      <c r="G751" s="3" t="s">
        <v>41</v>
      </c>
      <c r="H751" s="1" t="s">
        <v>35</v>
      </c>
      <c r="I751" s="3">
        <v>2</v>
      </c>
      <c r="J751" s="3" t="s">
        <v>35</v>
      </c>
      <c r="K751" s="1" t="s">
        <v>42</v>
      </c>
      <c r="L751">
        <v>90</v>
      </c>
      <c r="M751" s="7" t="s">
        <v>45</v>
      </c>
      <c r="N751" s="7" t="s">
        <v>45</v>
      </c>
      <c r="O751">
        <v>3.8244555555555562</v>
      </c>
      <c r="P751" s="5" t="s">
        <v>45</v>
      </c>
      <c r="Q751" s="6" t="s">
        <v>45</v>
      </c>
      <c r="R751" s="6" t="s">
        <v>45</v>
      </c>
      <c r="S751" s="6" t="s">
        <v>45</v>
      </c>
      <c r="T751" s="6" t="s">
        <v>45</v>
      </c>
      <c r="U751" s="6" t="s">
        <v>45</v>
      </c>
      <c r="V751" s="1" t="s">
        <v>45</v>
      </c>
      <c r="W751" s="1" t="s">
        <v>45</v>
      </c>
      <c r="X751" s="6" t="s">
        <v>45</v>
      </c>
      <c r="Y751" s="6">
        <f>O751</f>
        <v>3.8244555555555562</v>
      </c>
    </row>
    <row r="752" spans="1:25" x14ac:dyDescent="0.15">
      <c r="A752" s="3">
        <v>2022</v>
      </c>
      <c r="B752" s="1" t="s">
        <v>56</v>
      </c>
      <c r="C752" s="3">
        <v>14</v>
      </c>
      <c r="D752" s="3">
        <v>2</v>
      </c>
      <c r="E752" s="3" t="s">
        <v>36</v>
      </c>
      <c r="F752" s="3"/>
      <c r="G752" s="3" t="s">
        <v>41</v>
      </c>
      <c r="H752" s="1" t="s">
        <v>36</v>
      </c>
      <c r="I752" s="3">
        <v>2</v>
      </c>
      <c r="J752" s="3" t="s">
        <v>36</v>
      </c>
      <c r="K752" s="1" t="s">
        <v>42</v>
      </c>
      <c r="L752">
        <v>80</v>
      </c>
      <c r="M752" s="7" t="s">
        <v>45</v>
      </c>
      <c r="N752" s="7" t="s">
        <v>45</v>
      </c>
      <c r="O752">
        <v>3.3659777777777782</v>
      </c>
      <c r="P752" s="5" t="s">
        <v>45</v>
      </c>
      <c r="Q752" s="6" t="s">
        <v>45</v>
      </c>
      <c r="R752" s="6" t="s">
        <v>45</v>
      </c>
      <c r="S752" s="6" t="s">
        <v>45</v>
      </c>
      <c r="T752" s="6" t="s">
        <v>45</v>
      </c>
      <c r="U752" s="6" t="s">
        <v>45</v>
      </c>
      <c r="V752" s="1" t="s">
        <v>45</v>
      </c>
      <c r="W752" s="1" t="s">
        <v>45</v>
      </c>
      <c r="X752" s="6" t="s">
        <v>45</v>
      </c>
      <c r="Y752" s="6">
        <f t="shared" ref="Y752:Y756" si="273">O752</f>
        <v>3.3659777777777782</v>
      </c>
    </row>
    <row r="753" spans="1:25" x14ac:dyDescent="0.15">
      <c r="A753" s="3">
        <v>2022</v>
      </c>
      <c r="B753" s="1" t="s">
        <v>56</v>
      </c>
      <c r="C753" s="3">
        <v>14</v>
      </c>
      <c r="D753" s="3">
        <v>3</v>
      </c>
      <c r="E753" s="3" t="s">
        <v>37</v>
      </c>
      <c r="F753" s="3"/>
      <c r="G753" s="3" t="s">
        <v>41</v>
      </c>
      <c r="H753" s="1" t="s">
        <v>37</v>
      </c>
      <c r="I753" s="3">
        <v>2</v>
      </c>
      <c r="J753" s="3" t="s">
        <v>37</v>
      </c>
      <c r="K753" s="1" t="s">
        <v>42</v>
      </c>
      <c r="L753">
        <v>70</v>
      </c>
      <c r="M753" s="7" t="s">
        <v>45</v>
      </c>
      <c r="N753" s="7" t="s">
        <v>45</v>
      </c>
      <c r="O753">
        <v>4.2521000000000004</v>
      </c>
      <c r="P753" s="5" t="s">
        <v>45</v>
      </c>
      <c r="Q753" s="6" t="s">
        <v>45</v>
      </c>
      <c r="R753" s="6" t="s">
        <v>45</v>
      </c>
      <c r="S753" s="6" t="s">
        <v>45</v>
      </c>
      <c r="T753" s="6" t="s">
        <v>45</v>
      </c>
      <c r="U753" s="6" t="s">
        <v>45</v>
      </c>
      <c r="V753" s="1" t="s">
        <v>45</v>
      </c>
      <c r="W753" s="1" t="s">
        <v>45</v>
      </c>
      <c r="X753" s="6" t="s">
        <v>45</v>
      </c>
      <c r="Y753" s="6">
        <f t="shared" si="273"/>
        <v>4.2521000000000004</v>
      </c>
    </row>
    <row r="754" spans="1:25" x14ac:dyDescent="0.15">
      <c r="A754" s="3">
        <v>2022</v>
      </c>
      <c r="B754" s="1" t="s">
        <v>56</v>
      </c>
      <c r="C754" s="3">
        <v>14</v>
      </c>
      <c r="D754" s="3">
        <v>4</v>
      </c>
      <c r="E754" s="3" t="s">
        <v>35</v>
      </c>
      <c r="F754" s="3"/>
      <c r="G754" s="3" t="s">
        <v>41</v>
      </c>
      <c r="H754" s="1" t="s">
        <v>75</v>
      </c>
      <c r="I754" s="3">
        <v>2</v>
      </c>
      <c r="J754" s="3" t="s">
        <v>35</v>
      </c>
      <c r="K754" s="1" t="s">
        <v>43</v>
      </c>
      <c r="L754">
        <v>85</v>
      </c>
      <c r="M754" s="7" t="s">
        <v>45</v>
      </c>
      <c r="N754" s="7" t="s">
        <v>45</v>
      </c>
      <c r="O754">
        <v>4.8171777777777782</v>
      </c>
      <c r="P754" s="5" t="s">
        <v>45</v>
      </c>
      <c r="Q754" s="6" t="s">
        <v>45</v>
      </c>
      <c r="R754" s="6" t="s">
        <v>45</v>
      </c>
      <c r="S754" s="6" t="s">
        <v>45</v>
      </c>
      <c r="T754" s="6" t="s">
        <v>45</v>
      </c>
      <c r="U754" s="6" t="s">
        <v>45</v>
      </c>
      <c r="V754" s="1" t="s">
        <v>45</v>
      </c>
      <c r="W754" s="1" t="s">
        <v>45</v>
      </c>
      <c r="X754" s="1" t="s">
        <v>45</v>
      </c>
      <c r="Y754" s="6">
        <f t="shared" si="273"/>
        <v>4.8171777777777782</v>
      </c>
    </row>
    <row r="755" spans="1:25" x14ac:dyDescent="0.15">
      <c r="A755" s="3">
        <v>2022</v>
      </c>
      <c r="B755" s="1" t="s">
        <v>56</v>
      </c>
      <c r="C755" s="3">
        <v>14</v>
      </c>
      <c r="D755" s="3">
        <v>5</v>
      </c>
      <c r="E755" s="3" t="s">
        <v>36</v>
      </c>
      <c r="F755" s="3"/>
      <c r="G755" s="3" t="s">
        <v>41</v>
      </c>
      <c r="H755" s="1" t="s">
        <v>76</v>
      </c>
      <c r="I755" s="3">
        <v>2</v>
      </c>
      <c r="J755" s="3" t="s">
        <v>36</v>
      </c>
      <c r="K755" s="1" t="s">
        <v>43</v>
      </c>
      <c r="L755">
        <v>85</v>
      </c>
      <c r="M755" s="7" t="s">
        <v>45</v>
      </c>
      <c r="N755" s="7" t="s">
        <v>45</v>
      </c>
      <c r="O755">
        <v>4.2233333333333336</v>
      </c>
      <c r="P755" s="5" t="s">
        <v>45</v>
      </c>
      <c r="Q755" s="6" t="s">
        <v>45</v>
      </c>
      <c r="R755" s="6" t="s">
        <v>45</v>
      </c>
      <c r="S755" s="6" t="s">
        <v>45</v>
      </c>
      <c r="T755" s="6" t="s">
        <v>45</v>
      </c>
      <c r="U755" s="6" t="s">
        <v>45</v>
      </c>
      <c r="V755" s="1" t="s">
        <v>45</v>
      </c>
      <c r="W755" s="1" t="s">
        <v>45</v>
      </c>
      <c r="X755" s="1" t="s">
        <v>45</v>
      </c>
      <c r="Y755" s="6">
        <f t="shared" si="273"/>
        <v>4.2233333333333336</v>
      </c>
    </row>
    <row r="756" spans="1:25" x14ac:dyDescent="0.15">
      <c r="A756" s="3">
        <v>2022</v>
      </c>
      <c r="B756" s="1" t="s">
        <v>56</v>
      </c>
      <c r="C756" s="3">
        <v>14</v>
      </c>
      <c r="D756" s="3">
        <v>6</v>
      </c>
      <c r="E756" s="3" t="s">
        <v>37</v>
      </c>
      <c r="F756" s="3"/>
      <c r="G756" s="3" t="s">
        <v>41</v>
      </c>
      <c r="H756" s="1" t="s">
        <v>77</v>
      </c>
      <c r="I756" s="3">
        <v>2</v>
      </c>
      <c r="J756" s="3" t="s">
        <v>37</v>
      </c>
      <c r="K756" s="1" t="s">
        <v>43</v>
      </c>
      <c r="L756">
        <v>70</v>
      </c>
      <c r="M756" s="7" t="s">
        <v>45</v>
      </c>
      <c r="N756" s="7" t="s">
        <v>45</v>
      </c>
      <c r="O756">
        <v>4.1931666666666656</v>
      </c>
      <c r="P756" s="5" t="s">
        <v>45</v>
      </c>
      <c r="Q756" s="6" t="s">
        <v>45</v>
      </c>
      <c r="R756" s="6" t="s">
        <v>45</v>
      </c>
      <c r="S756" s="6" t="s">
        <v>45</v>
      </c>
      <c r="T756" s="6" t="s">
        <v>45</v>
      </c>
      <c r="U756" s="6" t="s">
        <v>45</v>
      </c>
      <c r="V756" s="1" t="s">
        <v>45</v>
      </c>
      <c r="W756" s="1" t="s">
        <v>45</v>
      </c>
      <c r="X756" s="1" t="s">
        <v>45</v>
      </c>
      <c r="Y756" s="6">
        <f t="shared" si="273"/>
        <v>4.1931666666666656</v>
      </c>
    </row>
    <row r="757" spans="1:25" x14ac:dyDescent="0.15">
      <c r="A757" s="3">
        <v>2022</v>
      </c>
      <c r="B757" s="1" t="s">
        <v>56</v>
      </c>
      <c r="C757" s="3">
        <v>14</v>
      </c>
      <c r="D757" s="3">
        <v>7</v>
      </c>
      <c r="E757" s="3"/>
      <c r="F757" s="3" t="s">
        <v>38</v>
      </c>
      <c r="G757" s="3" t="s">
        <v>41</v>
      </c>
      <c r="H757" s="1"/>
      <c r="I757" s="3">
        <v>2</v>
      </c>
      <c r="J757" s="3" t="s">
        <v>38</v>
      </c>
      <c r="K757" s="1" t="s">
        <v>42</v>
      </c>
      <c r="L757" s="7" t="s">
        <v>45</v>
      </c>
      <c r="M757">
        <v>80</v>
      </c>
      <c r="N757" s="7" t="s">
        <v>45</v>
      </c>
      <c r="O757" s="5" t="s">
        <v>45</v>
      </c>
      <c r="P757">
        <v>2.666933333333334</v>
      </c>
      <c r="Q757" s="6" t="s">
        <v>45</v>
      </c>
      <c r="R757" s="6" t="s">
        <v>45</v>
      </c>
      <c r="S757" s="6" t="s">
        <v>45</v>
      </c>
      <c r="T757" s="6" t="s">
        <v>45</v>
      </c>
      <c r="U757" s="6" t="s">
        <v>45</v>
      </c>
      <c r="V757" s="1" t="s">
        <v>45</v>
      </c>
      <c r="W757" s="1" t="s">
        <v>45</v>
      </c>
      <c r="X757" s="1" t="s">
        <v>45</v>
      </c>
      <c r="Y757" s="6">
        <f>P757</f>
        <v>2.666933333333334</v>
      </c>
    </row>
    <row r="758" spans="1:25" x14ac:dyDescent="0.15">
      <c r="A758" s="3">
        <v>2022</v>
      </c>
      <c r="B758" s="1" t="s">
        <v>56</v>
      </c>
      <c r="C758" s="3">
        <v>14</v>
      </c>
      <c r="D758" s="3">
        <v>8</v>
      </c>
      <c r="E758" s="3"/>
      <c r="F758" s="3" t="s">
        <v>39</v>
      </c>
      <c r="G758" s="3" t="s">
        <v>41</v>
      </c>
      <c r="H758" s="1"/>
      <c r="I758" s="3">
        <v>2</v>
      </c>
      <c r="J758" s="3" t="s">
        <v>39</v>
      </c>
      <c r="K758" s="1" t="s">
        <v>42</v>
      </c>
      <c r="L758" s="7" t="s">
        <v>45</v>
      </c>
      <c r="M758">
        <v>80</v>
      </c>
      <c r="N758" s="7" t="s">
        <v>45</v>
      </c>
      <c r="O758" s="5" t="s">
        <v>45</v>
      </c>
      <c r="P758">
        <v>1.990133333333334</v>
      </c>
      <c r="Q758" s="6" t="s">
        <v>45</v>
      </c>
      <c r="R758" s="6" t="s">
        <v>45</v>
      </c>
      <c r="S758" s="6" t="s">
        <v>45</v>
      </c>
      <c r="T758" s="6" t="s">
        <v>45</v>
      </c>
      <c r="U758" s="6" t="s">
        <v>45</v>
      </c>
      <c r="V758" s="1" t="s">
        <v>45</v>
      </c>
      <c r="W758" s="1" t="s">
        <v>45</v>
      </c>
      <c r="X758" s="1" t="s">
        <v>45</v>
      </c>
      <c r="Y758" s="6">
        <f t="shared" ref="Y758:Y759" si="274">P758</f>
        <v>1.990133333333334</v>
      </c>
    </row>
    <row r="759" spans="1:25" x14ac:dyDescent="0.15">
      <c r="A759" s="3">
        <v>2022</v>
      </c>
      <c r="B759" s="1" t="s">
        <v>56</v>
      </c>
      <c r="C759" s="3">
        <v>14</v>
      </c>
      <c r="D759" s="3">
        <v>9</v>
      </c>
      <c r="E759" s="3"/>
      <c r="F759" s="3" t="s">
        <v>40</v>
      </c>
      <c r="G759" s="3" t="s">
        <v>41</v>
      </c>
      <c r="H759" s="1"/>
      <c r="I759" s="3">
        <v>2</v>
      </c>
      <c r="J759" s="3" t="s">
        <v>40</v>
      </c>
      <c r="K759" s="1" t="s">
        <v>42</v>
      </c>
      <c r="L759" s="7" t="s">
        <v>45</v>
      </c>
      <c r="M759">
        <v>80</v>
      </c>
      <c r="N759" s="7" t="s">
        <v>45</v>
      </c>
      <c r="O759" s="5" t="s">
        <v>45</v>
      </c>
      <c r="P759">
        <v>2.712044444444444</v>
      </c>
      <c r="Q759" s="6" t="s">
        <v>45</v>
      </c>
      <c r="R759" s="6" t="s">
        <v>45</v>
      </c>
      <c r="S759" s="6" t="s">
        <v>45</v>
      </c>
      <c r="T759" s="6" t="s">
        <v>45</v>
      </c>
      <c r="U759" s="6" t="s">
        <v>45</v>
      </c>
      <c r="V759" s="1" t="s">
        <v>45</v>
      </c>
      <c r="W759" s="1" t="s">
        <v>45</v>
      </c>
      <c r="X759" s="1" t="s">
        <v>45</v>
      </c>
      <c r="Y759" s="6">
        <f t="shared" si="274"/>
        <v>2.712044444444444</v>
      </c>
    </row>
    <row r="760" spans="1:25" x14ac:dyDescent="0.15">
      <c r="A760" s="3">
        <v>2022</v>
      </c>
      <c r="B760" s="1" t="s">
        <v>56</v>
      </c>
      <c r="C760" s="3">
        <v>14</v>
      </c>
      <c r="D760" s="3">
        <v>10</v>
      </c>
      <c r="E760" s="3" t="s">
        <v>35</v>
      </c>
      <c r="F760" s="3" t="s">
        <v>38</v>
      </c>
      <c r="G760" s="3" t="s">
        <v>14</v>
      </c>
      <c r="H760" s="1" t="s">
        <v>35</v>
      </c>
      <c r="I760" s="3">
        <v>2</v>
      </c>
      <c r="J760" s="3" t="s">
        <v>63</v>
      </c>
      <c r="K760" s="1" t="s">
        <v>42</v>
      </c>
      <c r="L760">
        <v>105</v>
      </c>
      <c r="M760">
        <v>80</v>
      </c>
      <c r="N760" s="7">
        <f>L760-M760</f>
        <v>25</v>
      </c>
      <c r="O760">
        <v>0.90200000000000002</v>
      </c>
      <c r="P760">
        <v>2.5112000000000001</v>
      </c>
      <c r="Q760" s="6">
        <f>O760/(0.1*O751)</f>
        <v>2.358505640599533</v>
      </c>
      <c r="R760" s="6">
        <f>O760/(0.1*O754)</f>
        <v>1.8724656668496535</v>
      </c>
      <c r="S760" s="6">
        <f>P760/(0.9*P757)</f>
        <v>1.0462287104622869</v>
      </c>
      <c r="T760" s="6">
        <f>Q760+S760</f>
        <v>3.40473435106182</v>
      </c>
      <c r="U760" s="6">
        <f>R760+S760</f>
        <v>2.9186943773119403</v>
      </c>
      <c r="V760" s="1">
        <f>O760/O751+P760/P757</f>
        <v>1.1774564034760115</v>
      </c>
      <c r="W760" s="1">
        <f>O760/O754+P760/P757</f>
        <v>1.1288524061010234</v>
      </c>
      <c r="X760" s="1">
        <f t="shared" ref="X760:X768" si="275">100*ROUND(P760/(P760+O760), 2)</f>
        <v>74</v>
      </c>
      <c r="Y760" s="6">
        <f>O760+P760</f>
        <v>3.4132000000000002</v>
      </c>
    </row>
    <row r="761" spans="1:25" x14ac:dyDescent="0.15">
      <c r="A761" s="3">
        <v>2022</v>
      </c>
      <c r="B761" s="1" t="s">
        <v>56</v>
      </c>
      <c r="C761" s="3">
        <v>14</v>
      </c>
      <c r="D761" s="3">
        <v>11</v>
      </c>
      <c r="E761" s="3" t="s">
        <v>35</v>
      </c>
      <c r="F761" s="3" t="s">
        <v>39</v>
      </c>
      <c r="G761" s="3" t="s">
        <v>14</v>
      </c>
      <c r="H761" s="1" t="s">
        <v>35</v>
      </c>
      <c r="I761" s="3">
        <v>2</v>
      </c>
      <c r="J761" s="3" t="s">
        <v>64</v>
      </c>
      <c r="K761" s="1" t="s">
        <v>42</v>
      </c>
      <c r="L761">
        <v>95</v>
      </c>
      <c r="M761">
        <v>70</v>
      </c>
      <c r="N761" s="7">
        <f t="shared" ref="N761:N768" si="276">L761-M761</f>
        <v>25</v>
      </c>
      <c r="O761">
        <v>1.256944444444444</v>
      </c>
      <c r="P761">
        <v>2.2220777777777778</v>
      </c>
      <c r="Q761" s="6">
        <f>O761/(0.1*O751)</f>
        <v>3.2865970755459726</v>
      </c>
      <c r="R761" s="6">
        <f>O761/(0.1*O754)</f>
        <v>2.6092963607091275</v>
      </c>
      <c r="S761" s="6">
        <f>P761/(0.9*P758)</f>
        <v>1.2406079870571358</v>
      </c>
      <c r="T761" s="6">
        <f t="shared" ref="T761:T768" si="277">Q761+S761</f>
        <v>4.5272050626031088</v>
      </c>
      <c r="U761" s="6">
        <f t="shared" ref="U761:U768" si="278">R761+S761</f>
        <v>3.8499043477662633</v>
      </c>
      <c r="V761" s="1">
        <f>O761/O751+P761/P758</f>
        <v>1.4452068959060194</v>
      </c>
      <c r="W761" s="1">
        <f>O761/O754+P761/P758</f>
        <v>1.377476824422335</v>
      </c>
      <c r="X761" s="1">
        <f t="shared" si="275"/>
        <v>64</v>
      </c>
      <c r="Y761" s="6">
        <f t="shared" ref="Y761:Y768" si="279">O761+P761</f>
        <v>3.4790222222222216</v>
      </c>
    </row>
    <row r="762" spans="1:25" x14ac:dyDescent="0.15">
      <c r="A762" s="3">
        <v>2022</v>
      </c>
      <c r="B762" s="1" t="s">
        <v>56</v>
      </c>
      <c r="C762" s="3">
        <v>14</v>
      </c>
      <c r="D762" s="3">
        <v>12</v>
      </c>
      <c r="E762" s="3" t="s">
        <v>35</v>
      </c>
      <c r="F762" s="3" t="s">
        <v>40</v>
      </c>
      <c r="G762" s="3" t="s">
        <v>14</v>
      </c>
      <c r="H762" s="1" t="s">
        <v>35</v>
      </c>
      <c r="I762" s="3">
        <v>2</v>
      </c>
      <c r="J762" s="3" t="s">
        <v>65</v>
      </c>
      <c r="K762" s="1" t="s">
        <v>42</v>
      </c>
      <c r="L762">
        <v>105</v>
      </c>
      <c r="M762">
        <v>80</v>
      </c>
      <c r="N762" s="7">
        <f t="shared" si="276"/>
        <v>25</v>
      </c>
      <c r="O762">
        <v>1.07</v>
      </c>
      <c r="P762">
        <v>2.0148000000000001</v>
      </c>
      <c r="Q762" s="6">
        <f>O762/(0.1*O751)</f>
        <v>2.7977838530393573</v>
      </c>
      <c r="R762" s="6">
        <f>O762/(0.1*O754)</f>
        <v>2.221217587061119</v>
      </c>
      <c r="S762" s="6">
        <f>P762/(0.9*P759)</f>
        <v>0.82545353239048869</v>
      </c>
      <c r="T762" s="6">
        <f t="shared" si="277"/>
        <v>3.6232373854298459</v>
      </c>
      <c r="U762" s="6">
        <f t="shared" si="278"/>
        <v>3.0466711194516076</v>
      </c>
      <c r="V762" s="1">
        <f>O762/O751+P762/P759</f>
        <v>1.0226865644553755</v>
      </c>
      <c r="W762" s="1">
        <f>O762/O754+P762/P759</f>
        <v>0.96502993785755176</v>
      </c>
      <c r="X762" s="1">
        <f t="shared" si="275"/>
        <v>65</v>
      </c>
      <c r="Y762" s="6">
        <f t="shared" si="279"/>
        <v>3.0848000000000004</v>
      </c>
    </row>
    <row r="763" spans="1:25" x14ac:dyDescent="0.15">
      <c r="A763" s="3">
        <v>2022</v>
      </c>
      <c r="B763" s="1" t="s">
        <v>56</v>
      </c>
      <c r="C763" s="3">
        <v>14</v>
      </c>
      <c r="D763" s="3">
        <v>13</v>
      </c>
      <c r="E763" s="3" t="s">
        <v>36</v>
      </c>
      <c r="F763" s="3" t="s">
        <v>38</v>
      </c>
      <c r="G763" s="3" t="s">
        <v>14</v>
      </c>
      <c r="H763" s="1" t="s">
        <v>36</v>
      </c>
      <c r="I763" s="3">
        <v>2</v>
      </c>
      <c r="J763" s="3" t="s">
        <v>66</v>
      </c>
      <c r="K763" s="1" t="s">
        <v>42</v>
      </c>
      <c r="L763">
        <v>105</v>
      </c>
      <c r="M763">
        <v>85</v>
      </c>
      <c r="N763" s="7">
        <f t="shared" si="276"/>
        <v>20</v>
      </c>
      <c r="O763">
        <v>0.79000000000000015</v>
      </c>
      <c r="P763">
        <v>2.345733333333333</v>
      </c>
      <c r="Q763" s="6">
        <f>O763/(0.1*O752)</f>
        <v>2.3470149007387651</v>
      </c>
      <c r="R763" s="6">
        <f>O763/(0.1*O755)</f>
        <v>1.8705603788476717</v>
      </c>
      <c r="S763" s="6">
        <f>P763/(0.9*P757)</f>
        <v>0.97729115977291126</v>
      </c>
      <c r="T763" s="6">
        <f t="shared" si="277"/>
        <v>3.3243060605116765</v>
      </c>
      <c r="U763" s="6">
        <f t="shared" si="278"/>
        <v>2.8478515386205832</v>
      </c>
      <c r="V763" s="1">
        <f>O763/O752+P763/P757</f>
        <v>1.1142635338694966</v>
      </c>
      <c r="W763" s="1">
        <f>O763/O755+P763/P757</f>
        <v>1.0666180816803872</v>
      </c>
      <c r="X763" s="1">
        <f t="shared" si="275"/>
        <v>75</v>
      </c>
      <c r="Y763" s="6">
        <f t="shared" si="279"/>
        <v>3.135733333333333</v>
      </c>
    </row>
    <row r="764" spans="1:25" x14ac:dyDescent="0.15">
      <c r="A764" s="3">
        <v>2022</v>
      </c>
      <c r="B764" s="1" t="s">
        <v>56</v>
      </c>
      <c r="C764" s="3">
        <v>14</v>
      </c>
      <c r="D764" s="3">
        <v>14</v>
      </c>
      <c r="E764" s="3" t="s">
        <v>36</v>
      </c>
      <c r="F764" s="3" t="s">
        <v>39</v>
      </c>
      <c r="G764" s="3" t="s">
        <v>14</v>
      </c>
      <c r="H764" s="1" t="s">
        <v>36</v>
      </c>
      <c r="I764" s="3">
        <v>2</v>
      </c>
      <c r="J764" s="3" t="s">
        <v>67</v>
      </c>
      <c r="K764" s="1" t="s">
        <v>42</v>
      </c>
      <c r="L764">
        <v>105</v>
      </c>
      <c r="M764">
        <v>75</v>
      </c>
      <c r="N764" s="7">
        <f t="shared" si="276"/>
        <v>30</v>
      </c>
      <c r="O764">
        <v>1.208655555555556</v>
      </c>
      <c r="P764">
        <v>1.6779555555555561</v>
      </c>
      <c r="Q764" s="6">
        <f>O764/(0.1*O752)</f>
        <v>3.5908007579108605</v>
      </c>
      <c r="R764" s="6">
        <f>O764/(0.1*O755)</f>
        <v>2.861852144172587</v>
      </c>
      <c r="S764" s="6">
        <f>P764/(0.9*P758)</f>
        <v>0.93681917211328969</v>
      </c>
      <c r="T764" s="6">
        <f t="shared" si="277"/>
        <v>4.5276199300241498</v>
      </c>
      <c r="U764" s="6">
        <f t="shared" si="278"/>
        <v>3.7986713162858767</v>
      </c>
      <c r="V764" s="1">
        <f>O764/O752+P764/P758</f>
        <v>1.2022173306930468</v>
      </c>
      <c r="W764" s="1">
        <f>O764/O755+P764/P758</f>
        <v>1.1293224693192194</v>
      </c>
      <c r="X764" s="1">
        <f t="shared" si="275"/>
        <v>57.999999999999993</v>
      </c>
      <c r="Y764" s="6">
        <f t="shared" si="279"/>
        <v>2.8866111111111121</v>
      </c>
    </row>
    <row r="765" spans="1:25" x14ac:dyDescent="0.15">
      <c r="A765" s="3">
        <v>2022</v>
      </c>
      <c r="B765" s="1" t="s">
        <v>56</v>
      </c>
      <c r="C765" s="3">
        <v>14</v>
      </c>
      <c r="D765" s="3">
        <v>15</v>
      </c>
      <c r="E765" s="3" t="s">
        <v>36</v>
      </c>
      <c r="F765" s="3" t="s">
        <v>40</v>
      </c>
      <c r="G765" s="3" t="s">
        <v>14</v>
      </c>
      <c r="H765" s="1" t="s">
        <v>36</v>
      </c>
      <c r="I765" s="3">
        <v>2</v>
      </c>
      <c r="J765" s="3" t="s">
        <v>68</v>
      </c>
      <c r="K765" s="1" t="s">
        <v>42</v>
      </c>
      <c r="L765">
        <v>95</v>
      </c>
      <c r="M765">
        <v>70</v>
      </c>
      <c r="N765" s="7">
        <f t="shared" si="276"/>
        <v>25</v>
      </c>
      <c r="O765">
        <v>1.034577777777778</v>
      </c>
      <c r="P765">
        <v>1.8166</v>
      </c>
      <c r="Q765" s="6">
        <f>O765/(0.1*O752)</f>
        <v>3.0736322283767641</v>
      </c>
      <c r="R765" s="6">
        <f>O765/(0.1*O755)</f>
        <v>2.4496711391739017</v>
      </c>
      <c r="S765" s="6">
        <f>P765/(0.9*P759)</f>
        <v>0.74425197882696126</v>
      </c>
      <c r="T765" s="6">
        <f t="shared" si="277"/>
        <v>3.8178842072037256</v>
      </c>
      <c r="U765" s="6">
        <f t="shared" si="278"/>
        <v>3.1939231180008631</v>
      </c>
      <c r="V765" s="1">
        <f>O765/O752+P765/P759</f>
        <v>0.97719000378194165</v>
      </c>
      <c r="W765" s="1">
        <f>O765/O755+P765/P759</f>
        <v>0.91479389486165541</v>
      </c>
      <c r="X765" s="1">
        <f t="shared" si="275"/>
        <v>64</v>
      </c>
      <c r="Y765" s="6">
        <f t="shared" si="279"/>
        <v>2.851177777777778</v>
      </c>
    </row>
    <row r="766" spans="1:25" x14ac:dyDescent="0.15">
      <c r="A766" s="3">
        <v>2022</v>
      </c>
      <c r="B766" s="1" t="s">
        <v>56</v>
      </c>
      <c r="C766" s="3">
        <v>14</v>
      </c>
      <c r="D766" s="3">
        <v>16</v>
      </c>
      <c r="E766" s="3" t="s">
        <v>37</v>
      </c>
      <c r="F766" s="3" t="s">
        <v>38</v>
      </c>
      <c r="G766" s="3" t="s">
        <v>14</v>
      </c>
      <c r="H766" s="1" t="s">
        <v>37</v>
      </c>
      <c r="I766" s="3">
        <v>2</v>
      </c>
      <c r="J766" s="3" t="s">
        <v>69</v>
      </c>
      <c r="K766" s="1" t="s">
        <v>42</v>
      </c>
      <c r="L766">
        <v>75</v>
      </c>
      <c r="M766">
        <v>70</v>
      </c>
      <c r="N766" s="7">
        <f t="shared" si="276"/>
        <v>5</v>
      </c>
      <c r="O766">
        <v>0.55937777777777786</v>
      </c>
      <c r="P766">
        <v>2.5725333333333329</v>
      </c>
      <c r="Q766" s="6">
        <f>O766/(0.1*O753)</f>
        <v>1.3155329784759948</v>
      </c>
      <c r="R766" s="6">
        <f>O766/(0.1*O756)</f>
        <v>1.3340222849344838</v>
      </c>
      <c r="S766" s="6">
        <f>P766/(0.9*P757)</f>
        <v>1.0717817107178167</v>
      </c>
      <c r="T766" s="6">
        <f t="shared" si="277"/>
        <v>2.3873146891938113</v>
      </c>
      <c r="U766" s="6">
        <f t="shared" si="278"/>
        <v>2.4058039956523007</v>
      </c>
      <c r="V766" s="1">
        <f>O766/O753+P766/P757</f>
        <v>1.0961568374936346</v>
      </c>
      <c r="W766" s="1">
        <f>O766/O756+P766/P757</f>
        <v>1.0980057681394833</v>
      </c>
      <c r="X766" s="1">
        <f t="shared" si="275"/>
        <v>82</v>
      </c>
      <c r="Y766" s="6">
        <f t="shared" si="279"/>
        <v>3.1319111111111106</v>
      </c>
    </row>
    <row r="767" spans="1:25" x14ac:dyDescent="0.15">
      <c r="A767" s="3">
        <v>2022</v>
      </c>
      <c r="B767" s="1" t="s">
        <v>56</v>
      </c>
      <c r="C767" s="3">
        <v>14</v>
      </c>
      <c r="D767" s="3">
        <v>17</v>
      </c>
      <c r="E767" s="3" t="s">
        <v>37</v>
      </c>
      <c r="F767" s="3" t="s">
        <v>39</v>
      </c>
      <c r="G767" s="3" t="s">
        <v>14</v>
      </c>
      <c r="H767" s="1" t="s">
        <v>37</v>
      </c>
      <c r="I767" s="3">
        <v>2</v>
      </c>
      <c r="J767" s="3" t="s">
        <v>70</v>
      </c>
      <c r="K767" s="1" t="s">
        <v>42</v>
      </c>
      <c r="L767">
        <v>80</v>
      </c>
      <c r="M767">
        <v>80</v>
      </c>
      <c r="N767" s="7">
        <f t="shared" si="276"/>
        <v>0</v>
      </c>
      <c r="O767">
        <v>0.71394444444444438</v>
      </c>
      <c r="P767">
        <v>2.251444444444445</v>
      </c>
      <c r="Q767" s="6">
        <f>O767/(0.1*O753)</f>
        <v>1.6790396379305383</v>
      </c>
      <c r="R767" s="6">
        <f>O767/(0.1*O756)</f>
        <v>1.7026378896882497</v>
      </c>
      <c r="S767" s="6">
        <f>P767/(0.9*P758)</f>
        <v>1.2570036873266135</v>
      </c>
      <c r="T767" s="6">
        <f t="shared" si="277"/>
        <v>2.9360433252571516</v>
      </c>
      <c r="U767" s="6">
        <f t="shared" si="278"/>
        <v>2.959641577014863</v>
      </c>
      <c r="V767" s="1">
        <f>O767/O753+P767/P758</f>
        <v>1.2992072823870062</v>
      </c>
      <c r="W767" s="1">
        <f>O767/O756+P767/P758</f>
        <v>1.3015671075627773</v>
      </c>
      <c r="X767" s="1">
        <f t="shared" si="275"/>
        <v>76</v>
      </c>
      <c r="Y767" s="6">
        <f t="shared" si="279"/>
        <v>2.9653888888888895</v>
      </c>
    </row>
    <row r="768" spans="1:25" x14ac:dyDescent="0.15">
      <c r="A768" s="3">
        <v>2022</v>
      </c>
      <c r="B768" s="1" t="s">
        <v>56</v>
      </c>
      <c r="C768" s="3">
        <v>14</v>
      </c>
      <c r="D768" s="3">
        <v>18</v>
      </c>
      <c r="E768" s="3" t="s">
        <v>37</v>
      </c>
      <c r="F768" s="3" t="s">
        <v>40</v>
      </c>
      <c r="G768" s="3" t="s">
        <v>14</v>
      </c>
      <c r="H768" s="1" t="s">
        <v>37</v>
      </c>
      <c r="I768" s="3">
        <v>2</v>
      </c>
      <c r="J768" s="3" t="s">
        <v>71</v>
      </c>
      <c r="K768" s="1" t="s">
        <v>42</v>
      </c>
      <c r="L768">
        <v>80</v>
      </c>
      <c r="M768">
        <v>80</v>
      </c>
      <c r="N768" s="7">
        <f t="shared" si="276"/>
        <v>0</v>
      </c>
      <c r="O768">
        <v>0.51826666666666665</v>
      </c>
      <c r="P768">
        <v>2.355466666666667</v>
      </c>
      <c r="Q768" s="6">
        <f>O768/(0.1*O753)</f>
        <v>1.2188487257276794</v>
      </c>
      <c r="R768" s="6">
        <f>O768/(0.1*O756)</f>
        <v>1.2359791724631348</v>
      </c>
      <c r="S768" s="6">
        <f>P768/(0.9*P759)</f>
        <v>0.96502297023429118</v>
      </c>
      <c r="T768" s="6">
        <f t="shared" si="277"/>
        <v>2.1838716959619706</v>
      </c>
      <c r="U768" s="6">
        <f t="shared" si="278"/>
        <v>2.2010021426974262</v>
      </c>
      <c r="V768" s="1">
        <f>O768/O753+P768/P759</f>
        <v>0.99040554578363005</v>
      </c>
      <c r="W768" s="1">
        <f>O768/O756+P768/P759</f>
        <v>0.99211859045717565</v>
      </c>
      <c r="X768" s="1">
        <f t="shared" si="275"/>
        <v>82</v>
      </c>
      <c r="Y768" s="6">
        <f t="shared" si="279"/>
        <v>2.8737333333333339</v>
      </c>
    </row>
    <row r="769" spans="1:25" x14ac:dyDescent="0.15">
      <c r="A769" s="3">
        <v>2022</v>
      </c>
      <c r="B769" s="1" t="s">
        <v>56</v>
      </c>
      <c r="C769" s="3">
        <v>15</v>
      </c>
      <c r="D769" s="3">
        <v>1</v>
      </c>
      <c r="E769" s="3" t="s">
        <v>35</v>
      </c>
      <c r="F769" s="3"/>
      <c r="G769" s="3" t="s">
        <v>41</v>
      </c>
      <c r="H769" s="1" t="s">
        <v>35</v>
      </c>
      <c r="I769" s="3">
        <v>3</v>
      </c>
      <c r="J769" s="3" t="s">
        <v>35</v>
      </c>
      <c r="K769" s="1" t="s">
        <v>42</v>
      </c>
      <c r="L769">
        <v>80</v>
      </c>
      <c r="M769" s="7" t="s">
        <v>45</v>
      </c>
      <c r="N769" s="7" t="s">
        <v>45</v>
      </c>
      <c r="O769">
        <v>3.8244555555555562</v>
      </c>
      <c r="P769" s="5" t="s">
        <v>45</v>
      </c>
      <c r="Q769" s="6" t="s">
        <v>45</v>
      </c>
      <c r="R769" s="6" t="s">
        <v>45</v>
      </c>
      <c r="S769" s="6" t="s">
        <v>45</v>
      </c>
      <c r="T769" s="6" t="s">
        <v>45</v>
      </c>
      <c r="U769" s="6" t="s">
        <v>45</v>
      </c>
      <c r="V769" s="1" t="s">
        <v>45</v>
      </c>
      <c r="W769" s="1" t="s">
        <v>45</v>
      </c>
      <c r="X769" s="6" t="s">
        <v>45</v>
      </c>
      <c r="Y769" s="6">
        <f>O769</f>
        <v>3.8244555555555562</v>
      </c>
    </row>
    <row r="770" spans="1:25" x14ac:dyDescent="0.15">
      <c r="A770" s="3">
        <v>2022</v>
      </c>
      <c r="B770" s="1" t="s">
        <v>56</v>
      </c>
      <c r="C770" s="3">
        <v>15</v>
      </c>
      <c r="D770" s="3">
        <v>2</v>
      </c>
      <c r="E770" s="3" t="s">
        <v>36</v>
      </c>
      <c r="F770" s="3"/>
      <c r="G770" s="3" t="s">
        <v>41</v>
      </c>
      <c r="H770" s="1" t="s">
        <v>36</v>
      </c>
      <c r="I770" s="3">
        <v>3</v>
      </c>
      <c r="J770" s="3" t="s">
        <v>36</v>
      </c>
      <c r="K770" s="1" t="s">
        <v>42</v>
      </c>
      <c r="L770">
        <v>75</v>
      </c>
      <c r="M770" s="7" t="s">
        <v>45</v>
      </c>
      <c r="N770" s="7" t="s">
        <v>45</v>
      </c>
      <c r="O770">
        <v>3.0636444444444439</v>
      </c>
      <c r="P770" s="5" t="s">
        <v>45</v>
      </c>
      <c r="Q770" s="6" t="s">
        <v>45</v>
      </c>
      <c r="R770" s="6" t="s">
        <v>45</v>
      </c>
      <c r="S770" s="6" t="s">
        <v>45</v>
      </c>
      <c r="T770" s="6" t="s">
        <v>45</v>
      </c>
      <c r="U770" s="6" t="s">
        <v>45</v>
      </c>
      <c r="V770" s="1" t="s">
        <v>45</v>
      </c>
      <c r="W770" s="1" t="s">
        <v>45</v>
      </c>
      <c r="X770" s="6" t="s">
        <v>45</v>
      </c>
      <c r="Y770" s="6">
        <f t="shared" ref="Y770:Y774" si="280">O770</f>
        <v>3.0636444444444439</v>
      </c>
    </row>
    <row r="771" spans="1:25" x14ac:dyDescent="0.15">
      <c r="A771" s="3">
        <v>2022</v>
      </c>
      <c r="B771" s="1" t="s">
        <v>56</v>
      </c>
      <c r="C771" s="3">
        <v>15</v>
      </c>
      <c r="D771" s="3">
        <v>3</v>
      </c>
      <c r="E771" s="3" t="s">
        <v>37</v>
      </c>
      <c r="F771" s="3"/>
      <c r="G771" s="3" t="s">
        <v>41</v>
      </c>
      <c r="H771" s="1" t="s">
        <v>37</v>
      </c>
      <c r="I771" s="3">
        <v>3</v>
      </c>
      <c r="J771" s="3" t="s">
        <v>37</v>
      </c>
      <c r="K771" s="1" t="s">
        <v>42</v>
      </c>
      <c r="L771">
        <v>60</v>
      </c>
      <c r="M771" s="7" t="s">
        <v>45</v>
      </c>
      <c r="N771" s="7" t="s">
        <v>45</v>
      </c>
      <c r="O771">
        <v>3.6520000000000001</v>
      </c>
      <c r="P771" s="5" t="s">
        <v>45</v>
      </c>
      <c r="Q771" s="6" t="s">
        <v>45</v>
      </c>
      <c r="R771" s="6" t="s">
        <v>45</v>
      </c>
      <c r="S771" s="6" t="s">
        <v>45</v>
      </c>
      <c r="T771" s="6" t="s">
        <v>45</v>
      </c>
      <c r="U771" s="6" t="s">
        <v>45</v>
      </c>
      <c r="V771" s="1" t="s">
        <v>45</v>
      </c>
      <c r="W771" s="1" t="s">
        <v>45</v>
      </c>
      <c r="X771" s="6" t="s">
        <v>45</v>
      </c>
      <c r="Y771" s="6">
        <f t="shared" si="280"/>
        <v>3.6520000000000001</v>
      </c>
    </row>
    <row r="772" spans="1:25" x14ac:dyDescent="0.15">
      <c r="A772" s="3">
        <v>2022</v>
      </c>
      <c r="B772" s="1" t="s">
        <v>56</v>
      </c>
      <c r="C772" s="3">
        <v>15</v>
      </c>
      <c r="D772" s="3">
        <v>4</v>
      </c>
      <c r="E772" s="3" t="s">
        <v>35</v>
      </c>
      <c r="F772" s="3"/>
      <c r="G772" s="3" t="s">
        <v>41</v>
      </c>
      <c r="H772" s="1" t="s">
        <v>75</v>
      </c>
      <c r="I772" s="3">
        <v>3</v>
      </c>
      <c r="J772" s="3" t="s">
        <v>35</v>
      </c>
      <c r="K772" s="1" t="s">
        <v>43</v>
      </c>
      <c r="L772">
        <v>90</v>
      </c>
      <c r="M772" s="7" t="s">
        <v>45</v>
      </c>
      <c r="N772" s="7" t="s">
        <v>45</v>
      </c>
      <c r="O772">
        <v>4.3310000000000004</v>
      </c>
      <c r="P772" s="5" t="s">
        <v>45</v>
      </c>
      <c r="Q772" s="6" t="s">
        <v>45</v>
      </c>
      <c r="R772" s="6" t="s">
        <v>45</v>
      </c>
      <c r="S772" s="6" t="s">
        <v>45</v>
      </c>
      <c r="T772" s="6" t="s">
        <v>45</v>
      </c>
      <c r="U772" s="6" t="s">
        <v>45</v>
      </c>
      <c r="V772" s="1" t="s">
        <v>45</v>
      </c>
      <c r="W772" s="1" t="s">
        <v>45</v>
      </c>
      <c r="X772" s="1" t="s">
        <v>45</v>
      </c>
      <c r="Y772" s="6">
        <f t="shared" si="280"/>
        <v>4.3310000000000004</v>
      </c>
    </row>
    <row r="773" spans="1:25" x14ac:dyDescent="0.15">
      <c r="A773" s="3">
        <v>2022</v>
      </c>
      <c r="B773" s="1" t="s">
        <v>56</v>
      </c>
      <c r="C773" s="3">
        <v>15</v>
      </c>
      <c r="D773" s="3">
        <v>5</v>
      </c>
      <c r="E773" s="3" t="s">
        <v>36</v>
      </c>
      <c r="F773" s="3"/>
      <c r="G773" s="3" t="s">
        <v>41</v>
      </c>
      <c r="H773" s="1" t="s">
        <v>76</v>
      </c>
      <c r="I773" s="3">
        <v>3</v>
      </c>
      <c r="J773" s="3" t="s">
        <v>36</v>
      </c>
      <c r="K773" s="1" t="s">
        <v>43</v>
      </c>
      <c r="L773">
        <v>75</v>
      </c>
      <c r="M773" s="7" t="s">
        <v>45</v>
      </c>
      <c r="N773" s="7" t="s">
        <v>45</v>
      </c>
      <c r="O773">
        <v>3.6663000000000001</v>
      </c>
      <c r="P773" s="5" t="s">
        <v>45</v>
      </c>
      <c r="Q773" s="6" t="s">
        <v>45</v>
      </c>
      <c r="R773" s="6" t="s">
        <v>45</v>
      </c>
      <c r="S773" s="6" t="s">
        <v>45</v>
      </c>
      <c r="T773" s="6" t="s">
        <v>45</v>
      </c>
      <c r="U773" s="6" t="s">
        <v>45</v>
      </c>
      <c r="V773" s="1" t="s">
        <v>45</v>
      </c>
      <c r="W773" s="1" t="s">
        <v>45</v>
      </c>
      <c r="X773" s="1" t="s">
        <v>45</v>
      </c>
      <c r="Y773" s="6">
        <f t="shared" si="280"/>
        <v>3.6663000000000001</v>
      </c>
    </row>
    <row r="774" spans="1:25" x14ac:dyDescent="0.15">
      <c r="A774" s="3">
        <v>2022</v>
      </c>
      <c r="B774" s="1" t="s">
        <v>56</v>
      </c>
      <c r="C774" s="3">
        <v>15</v>
      </c>
      <c r="D774" s="3">
        <v>6</v>
      </c>
      <c r="E774" s="3" t="s">
        <v>37</v>
      </c>
      <c r="F774" s="3"/>
      <c r="G774" s="3" t="s">
        <v>41</v>
      </c>
      <c r="H774" s="1" t="s">
        <v>77</v>
      </c>
      <c r="I774" s="3">
        <v>3</v>
      </c>
      <c r="J774" s="3" t="s">
        <v>37</v>
      </c>
      <c r="K774" s="1" t="s">
        <v>43</v>
      </c>
      <c r="L774">
        <v>70</v>
      </c>
      <c r="M774" s="7" t="s">
        <v>45</v>
      </c>
      <c r="N774" s="7" t="s">
        <v>45</v>
      </c>
      <c r="O774">
        <v>3.9853333333333341</v>
      </c>
      <c r="P774" s="5" t="s">
        <v>45</v>
      </c>
      <c r="Q774" s="6" t="s">
        <v>45</v>
      </c>
      <c r="R774" s="6" t="s">
        <v>45</v>
      </c>
      <c r="S774" s="6" t="s">
        <v>45</v>
      </c>
      <c r="T774" s="6" t="s">
        <v>45</v>
      </c>
      <c r="U774" s="6" t="s">
        <v>45</v>
      </c>
      <c r="V774" s="1" t="s">
        <v>45</v>
      </c>
      <c r="W774" s="1" t="s">
        <v>45</v>
      </c>
      <c r="X774" s="1" t="s">
        <v>45</v>
      </c>
      <c r="Y774" s="6">
        <f t="shared" si="280"/>
        <v>3.9853333333333341</v>
      </c>
    </row>
    <row r="775" spans="1:25" x14ac:dyDescent="0.15">
      <c r="A775" s="3">
        <v>2022</v>
      </c>
      <c r="B775" s="1" t="s">
        <v>56</v>
      </c>
      <c r="C775" s="3">
        <v>15</v>
      </c>
      <c r="D775" s="3">
        <v>7</v>
      </c>
      <c r="E775" s="3"/>
      <c r="F775" s="3" t="s">
        <v>38</v>
      </c>
      <c r="G775" s="3" t="s">
        <v>41</v>
      </c>
      <c r="H775" s="1"/>
      <c r="I775" s="3">
        <v>3</v>
      </c>
      <c r="J775" s="3" t="s">
        <v>38</v>
      </c>
      <c r="K775" s="1" t="s">
        <v>42</v>
      </c>
      <c r="L775" s="7" t="s">
        <v>45</v>
      </c>
      <c r="M775">
        <v>70</v>
      </c>
      <c r="N775" s="7" t="s">
        <v>45</v>
      </c>
      <c r="O775" s="5" t="s">
        <v>45</v>
      </c>
      <c r="P775">
        <v>2.7377777777777781</v>
      </c>
      <c r="Q775" s="6" t="s">
        <v>45</v>
      </c>
      <c r="R775" s="6" t="s">
        <v>45</v>
      </c>
      <c r="S775" s="6" t="s">
        <v>45</v>
      </c>
      <c r="T775" s="6" t="s">
        <v>45</v>
      </c>
      <c r="U775" s="6" t="s">
        <v>45</v>
      </c>
      <c r="V775" s="1" t="s">
        <v>45</v>
      </c>
      <c r="W775" s="1" t="s">
        <v>45</v>
      </c>
      <c r="X775" s="1" t="s">
        <v>45</v>
      </c>
      <c r="Y775" s="6">
        <f>P775</f>
        <v>2.7377777777777781</v>
      </c>
    </row>
    <row r="776" spans="1:25" x14ac:dyDescent="0.15">
      <c r="A776" s="3">
        <v>2022</v>
      </c>
      <c r="B776" s="1" t="s">
        <v>56</v>
      </c>
      <c r="C776" s="3">
        <v>15</v>
      </c>
      <c r="D776" s="3">
        <v>8</v>
      </c>
      <c r="E776" s="3"/>
      <c r="F776" s="3" t="s">
        <v>39</v>
      </c>
      <c r="G776" s="3" t="s">
        <v>41</v>
      </c>
      <c r="H776" s="1"/>
      <c r="I776" s="3">
        <v>3</v>
      </c>
      <c r="J776" s="3" t="s">
        <v>39</v>
      </c>
      <c r="K776" s="1" t="s">
        <v>42</v>
      </c>
      <c r="L776" s="7" t="s">
        <v>45</v>
      </c>
      <c r="M776">
        <v>70</v>
      </c>
      <c r="N776" s="7" t="s">
        <v>45</v>
      </c>
      <c r="O776" s="5" t="s">
        <v>45</v>
      </c>
      <c r="P776">
        <v>2.6760666666666668</v>
      </c>
      <c r="Q776" s="6" t="s">
        <v>45</v>
      </c>
      <c r="R776" s="6" t="s">
        <v>45</v>
      </c>
      <c r="S776" s="6" t="s">
        <v>45</v>
      </c>
      <c r="T776" s="6" t="s">
        <v>45</v>
      </c>
      <c r="U776" s="6" t="s">
        <v>45</v>
      </c>
      <c r="V776" s="1" t="s">
        <v>45</v>
      </c>
      <c r="W776" s="1" t="s">
        <v>45</v>
      </c>
      <c r="X776" s="1" t="s">
        <v>45</v>
      </c>
      <c r="Y776" s="6">
        <f t="shared" ref="Y776:Y777" si="281">P776</f>
        <v>2.6760666666666668</v>
      </c>
    </row>
    <row r="777" spans="1:25" x14ac:dyDescent="0.15">
      <c r="A777" s="3">
        <v>2022</v>
      </c>
      <c r="B777" s="1" t="s">
        <v>56</v>
      </c>
      <c r="C777" s="3">
        <v>15</v>
      </c>
      <c r="D777" s="3">
        <v>9</v>
      </c>
      <c r="E777" s="3"/>
      <c r="F777" s="3" t="s">
        <v>40</v>
      </c>
      <c r="G777" s="3" t="s">
        <v>41</v>
      </c>
      <c r="H777" s="1"/>
      <c r="I777" s="3">
        <v>3</v>
      </c>
      <c r="J777" s="3" t="s">
        <v>40</v>
      </c>
      <c r="K777" s="1" t="s">
        <v>42</v>
      </c>
      <c r="L777" s="7" t="s">
        <v>45</v>
      </c>
      <c r="M777">
        <v>75</v>
      </c>
      <c r="N777" s="7" t="s">
        <v>45</v>
      </c>
      <c r="O777" s="5" t="s">
        <v>45</v>
      </c>
      <c r="P777">
        <v>2.4737777777777779</v>
      </c>
      <c r="Q777" s="6" t="s">
        <v>45</v>
      </c>
      <c r="R777" s="6" t="s">
        <v>45</v>
      </c>
      <c r="S777" s="6" t="s">
        <v>45</v>
      </c>
      <c r="T777" s="6" t="s">
        <v>45</v>
      </c>
      <c r="U777" s="6" t="s">
        <v>45</v>
      </c>
      <c r="V777" s="1" t="s">
        <v>45</v>
      </c>
      <c r="W777" s="1" t="s">
        <v>45</v>
      </c>
      <c r="X777" s="1" t="s">
        <v>45</v>
      </c>
      <c r="Y777" s="6">
        <f t="shared" si="281"/>
        <v>2.4737777777777779</v>
      </c>
    </row>
    <row r="778" spans="1:25" x14ac:dyDescent="0.15">
      <c r="A778" s="3">
        <v>2022</v>
      </c>
      <c r="B778" s="1" t="s">
        <v>56</v>
      </c>
      <c r="C778" s="3">
        <v>15</v>
      </c>
      <c r="D778" s="3">
        <v>10</v>
      </c>
      <c r="E778" s="3" t="s">
        <v>35</v>
      </c>
      <c r="F778" s="3" t="s">
        <v>38</v>
      </c>
      <c r="G778" s="3" t="s">
        <v>14</v>
      </c>
      <c r="H778" s="1" t="s">
        <v>35</v>
      </c>
      <c r="I778" s="3">
        <v>3</v>
      </c>
      <c r="J778" s="3" t="s">
        <v>63</v>
      </c>
      <c r="K778" s="1" t="s">
        <v>42</v>
      </c>
      <c r="L778">
        <v>100</v>
      </c>
      <c r="M778">
        <v>80</v>
      </c>
      <c r="N778" s="7">
        <f>L778-M778</f>
        <v>20</v>
      </c>
      <c r="O778">
        <v>0.86764444444444444</v>
      </c>
      <c r="P778">
        <v>2.6956000000000002</v>
      </c>
      <c r="Q778" s="6">
        <f>O778/(0.1*O769)</f>
        <v>2.2686744082672621</v>
      </c>
      <c r="R778" s="6">
        <f>O778/(0.1*O772)</f>
        <v>2.0033351291721182</v>
      </c>
      <c r="S778" s="6">
        <f>P778/(0.9*P775)</f>
        <v>1.0939935064935065</v>
      </c>
      <c r="T778" s="6">
        <f>Q778+S778</f>
        <v>3.3626679147607685</v>
      </c>
      <c r="U778" s="6">
        <f>R778+S778</f>
        <v>3.0973286356656247</v>
      </c>
      <c r="V778" s="1">
        <f>O778/O769+P778/P775</f>
        <v>1.2114615966708819</v>
      </c>
      <c r="W778" s="1">
        <f>O778/O772+P778/P775</f>
        <v>1.1849276687613677</v>
      </c>
      <c r="X778" s="1">
        <f t="shared" ref="X778:X786" si="282">100*ROUND(P778/(P778+O778), 2)</f>
        <v>76</v>
      </c>
      <c r="Y778" s="6">
        <f>O778+P778</f>
        <v>3.5632444444444449</v>
      </c>
    </row>
    <row r="779" spans="1:25" x14ac:dyDescent="0.15">
      <c r="A779" s="3">
        <v>2022</v>
      </c>
      <c r="B779" s="1" t="s">
        <v>56</v>
      </c>
      <c r="C779" s="3">
        <v>15</v>
      </c>
      <c r="D779" s="3">
        <v>11</v>
      </c>
      <c r="E779" s="3" t="s">
        <v>35</v>
      </c>
      <c r="F779" s="3" t="s">
        <v>39</v>
      </c>
      <c r="G779" s="3" t="s">
        <v>14</v>
      </c>
      <c r="H779" s="1" t="s">
        <v>35</v>
      </c>
      <c r="I779" s="3">
        <v>3</v>
      </c>
      <c r="J779" s="3" t="s">
        <v>64</v>
      </c>
      <c r="K779" s="1" t="s">
        <v>42</v>
      </c>
      <c r="L779">
        <v>90</v>
      </c>
      <c r="M779">
        <v>65</v>
      </c>
      <c r="N779" s="7">
        <f t="shared" ref="N779:N786" si="283">L779-M779</f>
        <v>25</v>
      </c>
      <c r="O779">
        <v>0.98762222222222218</v>
      </c>
      <c r="P779">
        <v>1.6700999999999999</v>
      </c>
      <c r="Q779" s="6">
        <f>O779/(0.1*O769)</f>
        <v>2.5823864544263375</v>
      </c>
      <c r="R779" s="6">
        <f>O779/(0.1*O772)</f>
        <v>2.2803560891762227</v>
      </c>
      <c r="S779" s="6">
        <f>P779/(0.9*P776)</f>
        <v>0.6934306569343065</v>
      </c>
      <c r="T779" s="6">
        <f t="shared" ref="T779:T786" si="284">Q779+S779</f>
        <v>3.2758171113606442</v>
      </c>
      <c r="U779" s="6">
        <f t="shared" ref="U779:U786" si="285">R779+S779</f>
        <v>2.9737867461105294</v>
      </c>
      <c r="V779" s="1">
        <f>O779/O769+P779/P776</f>
        <v>0.88232623668350962</v>
      </c>
      <c r="W779" s="1">
        <f>O779/O772+P779/P776</f>
        <v>0.85212320015849818</v>
      </c>
      <c r="X779" s="1">
        <f t="shared" si="282"/>
        <v>63</v>
      </c>
      <c r="Y779" s="6">
        <f t="shared" ref="Y779:Y786" si="286">O779+P779</f>
        <v>2.6577222222222221</v>
      </c>
    </row>
    <row r="780" spans="1:25" x14ac:dyDescent="0.15">
      <c r="A780" s="3">
        <v>2022</v>
      </c>
      <c r="B780" s="1" t="s">
        <v>56</v>
      </c>
      <c r="C780" s="3">
        <v>15</v>
      </c>
      <c r="D780" s="3">
        <v>12</v>
      </c>
      <c r="E780" s="3" t="s">
        <v>35</v>
      </c>
      <c r="F780" s="3" t="s">
        <v>40</v>
      </c>
      <c r="G780" s="3" t="s">
        <v>14</v>
      </c>
      <c r="H780" s="1" t="s">
        <v>35</v>
      </c>
      <c r="I780" s="3">
        <v>3</v>
      </c>
      <c r="J780" s="3" t="s">
        <v>65</v>
      </c>
      <c r="K780" s="1" t="s">
        <v>42</v>
      </c>
      <c r="L780">
        <v>95</v>
      </c>
      <c r="M780">
        <v>70</v>
      </c>
      <c r="N780" s="7">
        <f t="shared" si="283"/>
        <v>25</v>
      </c>
      <c r="O780">
        <v>0.83645555555555551</v>
      </c>
      <c r="P780">
        <v>2.1193666666666671</v>
      </c>
      <c r="Q780" s="6">
        <f>O780/(0.1*O769)</f>
        <v>2.1871232216059795</v>
      </c>
      <c r="R780" s="6">
        <f>O780/(0.1*O772)</f>
        <v>1.9313219938941479</v>
      </c>
      <c r="S780" s="6">
        <f>P780/(0.9*P777)</f>
        <v>0.95192538028506424</v>
      </c>
      <c r="T780" s="6">
        <f t="shared" si="284"/>
        <v>3.1390486018910435</v>
      </c>
      <c r="U780" s="6">
        <f t="shared" si="285"/>
        <v>2.883247374179212</v>
      </c>
      <c r="V780" s="1">
        <f>O780/O769+P780/P777</f>
        <v>1.0754451644171557</v>
      </c>
      <c r="W780" s="1">
        <f>O780/O772+P780/P777</f>
        <v>1.0498650416459725</v>
      </c>
      <c r="X780" s="1">
        <f t="shared" si="282"/>
        <v>72</v>
      </c>
      <c r="Y780" s="6">
        <f t="shared" si="286"/>
        <v>2.9558222222222224</v>
      </c>
    </row>
    <row r="781" spans="1:25" x14ac:dyDescent="0.15">
      <c r="A781" s="3">
        <v>2022</v>
      </c>
      <c r="B781" s="1" t="s">
        <v>56</v>
      </c>
      <c r="C781" s="3">
        <v>15</v>
      </c>
      <c r="D781" s="3">
        <v>13</v>
      </c>
      <c r="E781" s="3" t="s">
        <v>36</v>
      </c>
      <c r="F781" s="3" t="s">
        <v>38</v>
      </c>
      <c r="G781" s="3" t="s">
        <v>14</v>
      </c>
      <c r="H781" s="1" t="s">
        <v>36</v>
      </c>
      <c r="I781" s="3">
        <v>3</v>
      </c>
      <c r="J781" s="3" t="s">
        <v>66</v>
      </c>
      <c r="K781" s="1" t="s">
        <v>42</v>
      </c>
      <c r="L781">
        <v>90</v>
      </c>
      <c r="M781">
        <v>65</v>
      </c>
      <c r="N781" s="7">
        <f t="shared" si="283"/>
        <v>25</v>
      </c>
      <c r="O781">
        <v>0.77256666666666662</v>
      </c>
      <c r="P781">
        <v>2.2047555555555549</v>
      </c>
      <c r="Q781" s="6">
        <f>O781/(0.1*O770)</f>
        <v>2.5217243080136944</v>
      </c>
      <c r="R781" s="6">
        <f>O781/(0.1*O773)</f>
        <v>2.1072107210721072</v>
      </c>
      <c r="S781" s="6">
        <f>P781/(0.9*P775)</f>
        <v>0.89478715728715685</v>
      </c>
      <c r="T781" s="6">
        <f t="shared" si="284"/>
        <v>3.416511465300851</v>
      </c>
      <c r="U781" s="6">
        <f t="shared" si="285"/>
        <v>3.0019978783592638</v>
      </c>
      <c r="V781" s="1">
        <f>O781/O770+P781/P775</f>
        <v>1.0574808723598108</v>
      </c>
      <c r="W781" s="1">
        <f>O781/O773+P781/P775</f>
        <v>1.0160295136656519</v>
      </c>
      <c r="X781" s="1">
        <f t="shared" si="282"/>
        <v>74</v>
      </c>
      <c r="Y781" s="6">
        <f t="shared" si="286"/>
        <v>2.9773222222222215</v>
      </c>
    </row>
    <row r="782" spans="1:25" x14ac:dyDescent="0.15">
      <c r="A782" s="3">
        <v>2022</v>
      </c>
      <c r="B782" s="1" t="s">
        <v>56</v>
      </c>
      <c r="C782" s="3">
        <v>15</v>
      </c>
      <c r="D782" s="3">
        <v>14</v>
      </c>
      <c r="E782" s="3" t="s">
        <v>36</v>
      </c>
      <c r="F782" s="3" t="s">
        <v>39</v>
      </c>
      <c r="G782" s="3" t="s">
        <v>14</v>
      </c>
      <c r="H782" s="1" t="s">
        <v>36</v>
      </c>
      <c r="I782" s="3">
        <v>3</v>
      </c>
      <c r="J782" s="3" t="s">
        <v>67</v>
      </c>
      <c r="K782" s="1" t="s">
        <v>42</v>
      </c>
      <c r="L782">
        <v>90</v>
      </c>
      <c r="M782">
        <v>65</v>
      </c>
      <c r="N782" s="7">
        <f t="shared" si="283"/>
        <v>25</v>
      </c>
      <c r="O782">
        <v>1.0222666666666671</v>
      </c>
      <c r="P782">
        <v>2.258666666666667</v>
      </c>
      <c r="Q782" s="6">
        <f>O782/(0.1*O770)</f>
        <v>3.3367666686009416</v>
      </c>
      <c r="R782" s="6">
        <f>O782/(0.1*O773)</f>
        <v>2.7882788278827895</v>
      </c>
      <c r="S782" s="6">
        <f>P782/(0.9*P776)</f>
        <v>0.93780534726201259</v>
      </c>
      <c r="T782" s="6">
        <f t="shared" si="284"/>
        <v>4.2745720158629545</v>
      </c>
      <c r="U782" s="6">
        <f t="shared" si="285"/>
        <v>3.7260841751448019</v>
      </c>
      <c r="V782" s="1">
        <f>O782/O770+P782/P776</f>
        <v>1.1777014793959055</v>
      </c>
      <c r="W782" s="1">
        <f>O782/O773+P782/P776</f>
        <v>1.1228526953240903</v>
      </c>
      <c r="X782" s="1">
        <f t="shared" si="282"/>
        <v>69</v>
      </c>
      <c r="Y782" s="6">
        <f t="shared" si="286"/>
        <v>3.2809333333333344</v>
      </c>
    </row>
    <row r="783" spans="1:25" x14ac:dyDescent="0.15">
      <c r="A783" s="3">
        <v>2022</v>
      </c>
      <c r="B783" s="1" t="s">
        <v>56</v>
      </c>
      <c r="C783" s="3">
        <v>15</v>
      </c>
      <c r="D783" s="3">
        <v>15</v>
      </c>
      <c r="E783" s="3" t="s">
        <v>36</v>
      </c>
      <c r="F783" s="3" t="s">
        <v>40</v>
      </c>
      <c r="G783" s="3" t="s">
        <v>14</v>
      </c>
      <c r="H783" s="1" t="s">
        <v>36</v>
      </c>
      <c r="I783" s="3">
        <v>3</v>
      </c>
      <c r="J783" s="3" t="s">
        <v>68</v>
      </c>
      <c r="K783" s="1" t="s">
        <v>42</v>
      </c>
      <c r="L783">
        <v>100</v>
      </c>
      <c r="M783">
        <v>75</v>
      </c>
      <c r="N783" s="7">
        <f t="shared" si="283"/>
        <v>25</v>
      </c>
      <c r="O783">
        <v>0.79438888888888892</v>
      </c>
      <c r="P783">
        <v>2.4835555555555549</v>
      </c>
      <c r="Q783" s="6">
        <f>O783/(0.1*O770)</f>
        <v>2.5929539256078455</v>
      </c>
      <c r="R783" s="6">
        <f>O783/(0.1*O773)</f>
        <v>2.1667318246976213</v>
      </c>
      <c r="S783" s="6">
        <f>P783/(0.9*P777)</f>
        <v>1.1155028546332892</v>
      </c>
      <c r="T783" s="6">
        <f t="shared" si="284"/>
        <v>3.7084567802411348</v>
      </c>
      <c r="U783" s="6">
        <f t="shared" si="285"/>
        <v>3.2822346793309105</v>
      </c>
      <c r="V783" s="1">
        <f>O783/O770+P783/P777</f>
        <v>1.2632479617307448</v>
      </c>
      <c r="W783" s="1">
        <f>O783/O773+P783/P777</f>
        <v>1.2206257516397223</v>
      </c>
      <c r="X783" s="1">
        <f t="shared" si="282"/>
        <v>76</v>
      </c>
      <c r="Y783" s="6">
        <f t="shared" si="286"/>
        <v>3.2779444444444437</v>
      </c>
    </row>
    <row r="784" spans="1:25" x14ac:dyDescent="0.15">
      <c r="A784" s="3">
        <v>2022</v>
      </c>
      <c r="B784" s="1" t="s">
        <v>56</v>
      </c>
      <c r="C784" s="3">
        <v>15</v>
      </c>
      <c r="D784" s="3">
        <v>16</v>
      </c>
      <c r="E784" s="3" t="s">
        <v>37</v>
      </c>
      <c r="F784" s="3" t="s">
        <v>38</v>
      </c>
      <c r="G784" s="3" t="s">
        <v>14</v>
      </c>
      <c r="H784" s="1" t="s">
        <v>37</v>
      </c>
      <c r="I784" s="3">
        <v>3</v>
      </c>
      <c r="J784" s="3" t="s">
        <v>69</v>
      </c>
      <c r="K784" s="1" t="s">
        <v>42</v>
      </c>
      <c r="L784">
        <v>80</v>
      </c>
      <c r="M784">
        <v>80</v>
      </c>
      <c r="N784" s="7">
        <f t="shared" si="283"/>
        <v>0</v>
      </c>
      <c r="O784">
        <v>0.49435555555555549</v>
      </c>
      <c r="P784">
        <v>2.8062222222222228</v>
      </c>
      <c r="Q784" s="6">
        <f>O784/(0.1*O771)</f>
        <v>1.3536570524522329</v>
      </c>
      <c r="R784" s="6">
        <f>O784/(0.1*O774)</f>
        <v>1.240437158469945</v>
      </c>
      <c r="S784" s="6">
        <f>P784/(0.9*P775)</f>
        <v>1.1388888888888888</v>
      </c>
      <c r="T784" s="6">
        <f t="shared" si="284"/>
        <v>2.4925459413411217</v>
      </c>
      <c r="U784" s="6">
        <f t="shared" si="285"/>
        <v>2.379326047358834</v>
      </c>
      <c r="V784" s="1">
        <f>O784/O771+P784/P775</f>
        <v>1.1603657052452234</v>
      </c>
      <c r="W784" s="1">
        <f>O784/O774+P784/P775</f>
        <v>1.1490437158469946</v>
      </c>
      <c r="X784" s="1">
        <f t="shared" si="282"/>
        <v>85</v>
      </c>
      <c r="Y784" s="6">
        <f t="shared" si="286"/>
        <v>3.3005777777777783</v>
      </c>
    </row>
    <row r="785" spans="1:25" x14ac:dyDescent="0.15">
      <c r="A785" s="3">
        <v>2022</v>
      </c>
      <c r="B785" s="1" t="s">
        <v>56</v>
      </c>
      <c r="C785" s="3">
        <v>15</v>
      </c>
      <c r="D785" s="3">
        <v>17</v>
      </c>
      <c r="E785" s="3" t="s">
        <v>37</v>
      </c>
      <c r="F785" s="3" t="s">
        <v>39</v>
      </c>
      <c r="G785" s="3" t="s">
        <v>14</v>
      </c>
      <c r="H785" s="1" t="s">
        <v>37</v>
      </c>
      <c r="I785" s="3">
        <v>3</v>
      </c>
      <c r="J785" s="3" t="s">
        <v>70</v>
      </c>
      <c r="K785" s="1" t="s">
        <v>42</v>
      </c>
      <c r="L785">
        <v>70</v>
      </c>
      <c r="M785">
        <v>65</v>
      </c>
      <c r="N785" s="7">
        <f t="shared" si="283"/>
        <v>5</v>
      </c>
      <c r="O785">
        <v>0.78346666666666676</v>
      </c>
      <c r="P785">
        <v>2.070533333333334</v>
      </c>
      <c r="Q785" s="6">
        <f>O785/(0.1*O771)</f>
        <v>2.1453085067542901</v>
      </c>
      <c r="R785" s="6">
        <f>O785/(0.1*O774)</f>
        <v>1.9658748745399799</v>
      </c>
      <c r="S785" s="6">
        <f>P785/(0.9*P776)</f>
        <v>0.85969180859691829</v>
      </c>
      <c r="T785" s="6">
        <f t="shared" si="284"/>
        <v>3.0050003153512082</v>
      </c>
      <c r="U785" s="6">
        <f t="shared" si="285"/>
        <v>2.8255666831368984</v>
      </c>
      <c r="V785" s="1">
        <f>O785/O771+P785/P776</f>
        <v>0.98825347841265543</v>
      </c>
      <c r="W785" s="1">
        <f>O785/O774+P785/P776</f>
        <v>0.97031011519122445</v>
      </c>
      <c r="X785" s="1">
        <f t="shared" si="282"/>
        <v>73</v>
      </c>
      <c r="Y785" s="6">
        <f t="shared" si="286"/>
        <v>2.854000000000001</v>
      </c>
    </row>
    <row r="786" spans="1:25" x14ac:dyDescent="0.15">
      <c r="A786" s="3">
        <v>2022</v>
      </c>
      <c r="B786" s="1" t="s">
        <v>56</v>
      </c>
      <c r="C786" s="3">
        <v>15</v>
      </c>
      <c r="D786" s="3">
        <v>18</v>
      </c>
      <c r="E786" s="3" t="s">
        <v>37</v>
      </c>
      <c r="F786" s="3" t="s">
        <v>40</v>
      </c>
      <c r="G786" s="3" t="s">
        <v>14</v>
      </c>
      <c r="H786" s="1" t="s">
        <v>37</v>
      </c>
      <c r="I786" s="3">
        <v>3</v>
      </c>
      <c r="J786" s="3" t="s">
        <v>71</v>
      </c>
      <c r="K786" s="1" t="s">
        <v>42</v>
      </c>
      <c r="L786">
        <v>75</v>
      </c>
      <c r="M786">
        <v>70</v>
      </c>
      <c r="N786" s="7">
        <f t="shared" si="283"/>
        <v>5</v>
      </c>
      <c r="O786">
        <v>0.72560000000000002</v>
      </c>
      <c r="P786">
        <v>1.7991111111111111</v>
      </c>
      <c r="Q786" s="6">
        <f>O786/(0.1*O771)</f>
        <v>1.9868565169769989</v>
      </c>
      <c r="R786" s="6">
        <f>O786/(0.1*O774)</f>
        <v>1.8206758113081296</v>
      </c>
      <c r="S786" s="6">
        <f>P786/(0.9*P777)</f>
        <v>0.80808080808080807</v>
      </c>
      <c r="T786" s="6">
        <f t="shared" si="284"/>
        <v>2.7949373250578069</v>
      </c>
      <c r="U786" s="6">
        <f t="shared" si="285"/>
        <v>2.6287566193889376</v>
      </c>
      <c r="V786" s="1">
        <f>O786/O771+P786/P777</f>
        <v>0.92595837897042721</v>
      </c>
      <c r="W786" s="1">
        <f>O786/O774+P786/P777</f>
        <v>0.9093403084035403</v>
      </c>
      <c r="X786" s="1">
        <f t="shared" si="282"/>
        <v>71</v>
      </c>
      <c r="Y786" s="6">
        <f t="shared" si="286"/>
        <v>2.5247111111111114</v>
      </c>
    </row>
    <row r="787" spans="1:25" x14ac:dyDescent="0.15">
      <c r="A787" s="3">
        <v>2022</v>
      </c>
      <c r="B787" s="1" t="s">
        <v>56</v>
      </c>
      <c r="C787" s="3">
        <v>16</v>
      </c>
      <c r="D787" s="3">
        <v>1</v>
      </c>
      <c r="E787" s="3" t="s">
        <v>35</v>
      </c>
      <c r="F787" s="3"/>
      <c r="G787" s="3" t="s">
        <v>41</v>
      </c>
      <c r="H787" s="1" t="s">
        <v>35</v>
      </c>
      <c r="I787" s="3">
        <v>4</v>
      </c>
      <c r="J787" s="3" t="s">
        <v>35</v>
      </c>
      <c r="K787" s="1" t="s">
        <v>42</v>
      </c>
      <c r="L787">
        <v>90</v>
      </c>
      <c r="M787" s="7" t="s">
        <v>45</v>
      </c>
      <c r="N787" s="7" t="s">
        <v>45</v>
      </c>
      <c r="O787">
        <v>4.2293333333333338</v>
      </c>
      <c r="P787" s="5" t="s">
        <v>45</v>
      </c>
      <c r="Q787" s="6" t="s">
        <v>45</v>
      </c>
      <c r="R787" s="6" t="s">
        <v>45</v>
      </c>
      <c r="S787" s="6" t="s">
        <v>45</v>
      </c>
      <c r="T787" s="6" t="s">
        <v>45</v>
      </c>
      <c r="U787" s="6" t="s">
        <v>45</v>
      </c>
      <c r="V787" s="1" t="s">
        <v>45</v>
      </c>
      <c r="W787" s="1" t="s">
        <v>45</v>
      </c>
      <c r="X787" s="6" t="s">
        <v>45</v>
      </c>
      <c r="Y787" s="6">
        <f>O787</f>
        <v>4.2293333333333338</v>
      </c>
    </row>
    <row r="788" spans="1:25" x14ac:dyDescent="0.15">
      <c r="A788" s="3">
        <v>2022</v>
      </c>
      <c r="B788" s="1" t="s">
        <v>56</v>
      </c>
      <c r="C788" s="3">
        <v>16</v>
      </c>
      <c r="D788" s="3">
        <v>2</v>
      </c>
      <c r="E788" s="3" t="s">
        <v>36</v>
      </c>
      <c r="F788" s="3"/>
      <c r="G788" s="3" t="s">
        <v>41</v>
      </c>
      <c r="H788" s="1" t="s">
        <v>36</v>
      </c>
      <c r="I788" s="3">
        <v>4</v>
      </c>
      <c r="J788" s="3" t="s">
        <v>36</v>
      </c>
      <c r="K788" s="1" t="s">
        <v>42</v>
      </c>
      <c r="L788">
        <v>90</v>
      </c>
      <c r="M788" s="7" t="s">
        <v>45</v>
      </c>
      <c r="N788" s="7" t="s">
        <v>45</v>
      </c>
      <c r="O788">
        <v>4.1344000000000003</v>
      </c>
      <c r="P788" s="5" t="s">
        <v>45</v>
      </c>
      <c r="Q788" s="6" t="s">
        <v>45</v>
      </c>
      <c r="R788" s="6" t="s">
        <v>45</v>
      </c>
      <c r="S788" s="6" t="s">
        <v>45</v>
      </c>
      <c r="T788" s="6" t="s">
        <v>45</v>
      </c>
      <c r="U788" s="6" t="s">
        <v>45</v>
      </c>
      <c r="V788" s="1" t="s">
        <v>45</v>
      </c>
      <c r="W788" s="1" t="s">
        <v>45</v>
      </c>
      <c r="X788" s="6" t="s">
        <v>45</v>
      </c>
      <c r="Y788" s="6">
        <f t="shared" ref="Y788:Y792" si="287">O788</f>
        <v>4.1344000000000003</v>
      </c>
    </row>
    <row r="789" spans="1:25" x14ac:dyDescent="0.15">
      <c r="A789" s="3">
        <v>2022</v>
      </c>
      <c r="B789" s="1" t="s">
        <v>56</v>
      </c>
      <c r="C789" s="3">
        <v>16</v>
      </c>
      <c r="D789" s="3">
        <v>3</v>
      </c>
      <c r="E789" s="3" t="s">
        <v>37</v>
      </c>
      <c r="F789" s="3"/>
      <c r="G789" s="3" t="s">
        <v>41</v>
      </c>
      <c r="H789" s="1" t="s">
        <v>37</v>
      </c>
      <c r="I789" s="3">
        <v>4</v>
      </c>
      <c r="J789" s="3" t="s">
        <v>37</v>
      </c>
      <c r="K789" s="1" t="s">
        <v>42</v>
      </c>
      <c r="L789">
        <v>70</v>
      </c>
      <c r="M789" s="7" t="s">
        <v>45</v>
      </c>
      <c r="N789" s="7" t="s">
        <v>45</v>
      </c>
      <c r="O789">
        <v>4.4631666666666661</v>
      </c>
      <c r="P789" s="5" t="s">
        <v>45</v>
      </c>
      <c r="Q789" s="6" t="s">
        <v>45</v>
      </c>
      <c r="R789" s="6" t="s">
        <v>45</v>
      </c>
      <c r="S789" s="6" t="s">
        <v>45</v>
      </c>
      <c r="T789" s="6" t="s">
        <v>45</v>
      </c>
      <c r="U789" s="6" t="s">
        <v>45</v>
      </c>
      <c r="V789" s="1" t="s">
        <v>45</v>
      </c>
      <c r="W789" s="1" t="s">
        <v>45</v>
      </c>
      <c r="X789" s="6" t="s">
        <v>45</v>
      </c>
      <c r="Y789" s="6">
        <f t="shared" si="287"/>
        <v>4.4631666666666661</v>
      </c>
    </row>
    <row r="790" spans="1:25" x14ac:dyDescent="0.15">
      <c r="A790" s="3">
        <v>2022</v>
      </c>
      <c r="B790" s="1" t="s">
        <v>56</v>
      </c>
      <c r="C790" s="3">
        <v>16</v>
      </c>
      <c r="D790" s="3">
        <v>4</v>
      </c>
      <c r="E790" s="3" t="s">
        <v>35</v>
      </c>
      <c r="F790" s="3"/>
      <c r="G790" s="3" t="s">
        <v>41</v>
      </c>
      <c r="H790" s="1" t="s">
        <v>75</v>
      </c>
      <c r="I790" s="3">
        <v>4</v>
      </c>
      <c r="J790" s="3" t="s">
        <v>35</v>
      </c>
      <c r="K790" s="1" t="s">
        <v>43</v>
      </c>
      <c r="L790">
        <v>100</v>
      </c>
      <c r="M790" s="7" t="s">
        <v>45</v>
      </c>
      <c r="N790" s="7" t="s">
        <v>45</v>
      </c>
      <c r="O790">
        <v>5.6853999999999996</v>
      </c>
      <c r="P790" s="5" t="s">
        <v>45</v>
      </c>
      <c r="Q790" s="6" t="s">
        <v>45</v>
      </c>
      <c r="R790" s="6" t="s">
        <v>45</v>
      </c>
      <c r="S790" s="6" t="s">
        <v>45</v>
      </c>
      <c r="T790" s="6" t="s">
        <v>45</v>
      </c>
      <c r="U790" s="6" t="s">
        <v>45</v>
      </c>
      <c r="V790" s="1" t="s">
        <v>45</v>
      </c>
      <c r="W790" s="1" t="s">
        <v>45</v>
      </c>
      <c r="X790" s="1" t="s">
        <v>45</v>
      </c>
      <c r="Y790" s="6">
        <f t="shared" si="287"/>
        <v>5.6853999999999996</v>
      </c>
    </row>
    <row r="791" spans="1:25" x14ac:dyDescent="0.15">
      <c r="A791" s="3">
        <v>2022</v>
      </c>
      <c r="B791" s="1" t="s">
        <v>56</v>
      </c>
      <c r="C791" s="3">
        <v>16</v>
      </c>
      <c r="D791" s="3">
        <v>5</v>
      </c>
      <c r="E791" s="3" t="s">
        <v>36</v>
      </c>
      <c r="F791" s="3"/>
      <c r="G791" s="3" t="s">
        <v>41</v>
      </c>
      <c r="H791" s="1" t="s">
        <v>76</v>
      </c>
      <c r="I791" s="3">
        <v>4</v>
      </c>
      <c r="J791" s="3" t="s">
        <v>36</v>
      </c>
      <c r="K791" s="1" t="s">
        <v>43</v>
      </c>
      <c r="L791">
        <v>90</v>
      </c>
      <c r="M791" s="7" t="s">
        <v>45</v>
      </c>
      <c r="N791" s="7" t="s">
        <v>45</v>
      </c>
      <c r="O791">
        <v>4.7221333333333337</v>
      </c>
      <c r="P791" s="5" t="s">
        <v>45</v>
      </c>
      <c r="Q791" s="6" t="s">
        <v>45</v>
      </c>
      <c r="R791" s="6" t="s">
        <v>45</v>
      </c>
      <c r="S791" s="6" t="s">
        <v>45</v>
      </c>
      <c r="T791" s="6" t="s">
        <v>45</v>
      </c>
      <c r="U791" s="6" t="s">
        <v>45</v>
      </c>
      <c r="V791" s="1" t="s">
        <v>45</v>
      </c>
      <c r="W791" s="1" t="s">
        <v>45</v>
      </c>
      <c r="X791" s="1" t="s">
        <v>45</v>
      </c>
      <c r="Y791" s="6">
        <f t="shared" si="287"/>
        <v>4.7221333333333337</v>
      </c>
    </row>
    <row r="792" spans="1:25" x14ac:dyDescent="0.15">
      <c r="A792" s="3">
        <v>2022</v>
      </c>
      <c r="B792" s="1" t="s">
        <v>56</v>
      </c>
      <c r="C792" s="3">
        <v>16</v>
      </c>
      <c r="D792" s="3">
        <v>6</v>
      </c>
      <c r="E792" s="3" t="s">
        <v>37</v>
      </c>
      <c r="F792" s="3"/>
      <c r="G792" s="3" t="s">
        <v>41</v>
      </c>
      <c r="H792" s="1" t="s">
        <v>77</v>
      </c>
      <c r="I792" s="3">
        <v>4</v>
      </c>
      <c r="J792" s="3" t="s">
        <v>37</v>
      </c>
      <c r="K792" s="1" t="s">
        <v>43</v>
      </c>
      <c r="L792">
        <v>70</v>
      </c>
      <c r="M792" s="7" t="s">
        <v>45</v>
      </c>
      <c r="N792" s="7" t="s">
        <v>45</v>
      </c>
      <c r="O792">
        <v>4.4123333333333328</v>
      </c>
      <c r="P792" s="5" t="s">
        <v>45</v>
      </c>
      <c r="Q792" s="6" t="s">
        <v>45</v>
      </c>
      <c r="R792" s="6" t="s">
        <v>45</v>
      </c>
      <c r="S792" s="6" t="s">
        <v>45</v>
      </c>
      <c r="T792" s="6" t="s">
        <v>45</v>
      </c>
      <c r="U792" s="6" t="s">
        <v>45</v>
      </c>
      <c r="V792" s="1" t="s">
        <v>45</v>
      </c>
      <c r="W792" s="1" t="s">
        <v>45</v>
      </c>
      <c r="X792" s="1" t="s">
        <v>45</v>
      </c>
      <c r="Y792" s="6">
        <f t="shared" si="287"/>
        <v>4.4123333333333328</v>
      </c>
    </row>
    <row r="793" spans="1:25" x14ac:dyDescent="0.15">
      <c r="A793" s="3">
        <v>2022</v>
      </c>
      <c r="B793" s="1" t="s">
        <v>56</v>
      </c>
      <c r="C793" s="3">
        <v>16</v>
      </c>
      <c r="D793" s="3">
        <v>7</v>
      </c>
      <c r="E793" s="3"/>
      <c r="F793" s="3" t="s">
        <v>38</v>
      </c>
      <c r="G793" s="3" t="s">
        <v>41</v>
      </c>
      <c r="H793" s="1"/>
      <c r="I793" s="3">
        <v>4</v>
      </c>
      <c r="J793" s="3" t="s">
        <v>38</v>
      </c>
      <c r="K793" s="1" t="s">
        <v>42</v>
      </c>
      <c r="L793" s="7" t="s">
        <v>45</v>
      </c>
      <c r="M793">
        <v>80</v>
      </c>
      <c r="N793" s="7" t="s">
        <v>45</v>
      </c>
      <c r="O793" s="5" t="s">
        <v>45</v>
      </c>
      <c r="P793">
        <v>3.044344444444445</v>
      </c>
      <c r="Q793" s="6" t="s">
        <v>45</v>
      </c>
      <c r="R793" s="6" t="s">
        <v>45</v>
      </c>
      <c r="S793" s="6" t="s">
        <v>45</v>
      </c>
      <c r="T793" s="6" t="s">
        <v>45</v>
      </c>
      <c r="U793" s="6" t="s">
        <v>45</v>
      </c>
      <c r="V793" s="1" t="s">
        <v>45</v>
      </c>
      <c r="W793" s="1" t="s">
        <v>45</v>
      </c>
      <c r="X793" s="1" t="s">
        <v>45</v>
      </c>
      <c r="Y793" s="6">
        <f>P793</f>
        <v>3.044344444444445</v>
      </c>
    </row>
    <row r="794" spans="1:25" x14ac:dyDescent="0.15">
      <c r="A794" s="3">
        <v>2022</v>
      </c>
      <c r="B794" s="1" t="s">
        <v>56</v>
      </c>
      <c r="C794" s="3">
        <v>16</v>
      </c>
      <c r="D794" s="3">
        <v>8</v>
      </c>
      <c r="E794" s="3"/>
      <c r="F794" s="3" t="s">
        <v>39</v>
      </c>
      <c r="G794" s="3" t="s">
        <v>41</v>
      </c>
      <c r="H794" s="1"/>
      <c r="I794" s="3">
        <v>4</v>
      </c>
      <c r="J794" s="3" t="s">
        <v>39</v>
      </c>
      <c r="K794" s="1" t="s">
        <v>42</v>
      </c>
      <c r="L794" s="7" t="s">
        <v>45</v>
      </c>
      <c r="M794">
        <v>70</v>
      </c>
      <c r="N794" s="7" t="s">
        <v>45</v>
      </c>
      <c r="O794" s="5" t="s">
        <v>45</v>
      </c>
      <c r="P794">
        <v>2.2833999999999999</v>
      </c>
      <c r="Q794" s="6" t="s">
        <v>45</v>
      </c>
      <c r="R794" s="6" t="s">
        <v>45</v>
      </c>
      <c r="S794" s="6" t="s">
        <v>45</v>
      </c>
      <c r="T794" s="6" t="s">
        <v>45</v>
      </c>
      <c r="U794" s="6" t="s">
        <v>45</v>
      </c>
      <c r="V794" s="1" t="s">
        <v>45</v>
      </c>
      <c r="W794" s="1" t="s">
        <v>45</v>
      </c>
      <c r="X794" s="1" t="s">
        <v>45</v>
      </c>
      <c r="Y794" s="6">
        <f t="shared" ref="Y794:Y795" si="288">P794</f>
        <v>2.2833999999999999</v>
      </c>
    </row>
    <row r="795" spans="1:25" x14ac:dyDescent="0.15">
      <c r="A795" s="3">
        <v>2022</v>
      </c>
      <c r="B795" s="1" t="s">
        <v>56</v>
      </c>
      <c r="C795" s="3">
        <v>16</v>
      </c>
      <c r="D795" s="3">
        <v>9</v>
      </c>
      <c r="E795" s="3"/>
      <c r="F795" s="3" t="s">
        <v>40</v>
      </c>
      <c r="G795" s="3" t="s">
        <v>41</v>
      </c>
      <c r="H795" s="1"/>
      <c r="I795" s="3">
        <v>4</v>
      </c>
      <c r="J795" s="3" t="s">
        <v>40</v>
      </c>
      <c r="K795" s="1" t="s">
        <v>42</v>
      </c>
      <c r="L795" s="7" t="s">
        <v>45</v>
      </c>
      <c r="M795">
        <v>70</v>
      </c>
      <c r="N795" s="7" t="s">
        <v>45</v>
      </c>
      <c r="O795" s="5" t="s">
        <v>45</v>
      </c>
      <c r="P795">
        <v>1.4406000000000001</v>
      </c>
      <c r="Q795" s="6" t="s">
        <v>45</v>
      </c>
      <c r="R795" s="6" t="s">
        <v>45</v>
      </c>
      <c r="S795" s="6" t="s">
        <v>45</v>
      </c>
      <c r="T795" s="6" t="s">
        <v>45</v>
      </c>
      <c r="U795" s="6" t="s">
        <v>45</v>
      </c>
      <c r="V795" s="1" t="s">
        <v>45</v>
      </c>
      <c r="W795" s="1" t="s">
        <v>45</v>
      </c>
      <c r="X795" s="1" t="s">
        <v>45</v>
      </c>
      <c r="Y795" s="6">
        <f t="shared" si="288"/>
        <v>1.4406000000000001</v>
      </c>
    </row>
    <row r="796" spans="1:25" x14ac:dyDescent="0.15">
      <c r="A796" s="3">
        <v>2022</v>
      </c>
      <c r="B796" s="1" t="s">
        <v>56</v>
      </c>
      <c r="C796" s="3">
        <v>16</v>
      </c>
      <c r="D796" s="3">
        <v>10</v>
      </c>
      <c r="E796" s="3" t="s">
        <v>35</v>
      </c>
      <c r="F796" s="3" t="s">
        <v>38</v>
      </c>
      <c r="G796" s="3" t="s">
        <v>14</v>
      </c>
      <c r="H796" s="1" t="s">
        <v>35</v>
      </c>
      <c r="I796" s="3">
        <v>4</v>
      </c>
      <c r="J796" s="3" t="s">
        <v>63</v>
      </c>
      <c r="K796" s="1" t="s">
        <v>42</v>
      </c>
      <c r="L796">
        <v>110</v>
      </c>
      <c r="M796">
        <v>80</v>
      </c>
      <c r="N796" s="7">
        <f>L796-M796</f>
        <v>30</v>
      </c>
      <c r="O796">
        <v>1.2565333333333339</v>
      </c>
      <c r="P796">
        <v>2.3029999999999999</v>
      </c>
      <c r="Q796" s="6">
        <f>O796/(0.1*O787)</f>
        <v>2.9709962168978574</v>
      </c>
      <c r="R796" s="6">
        <f>O796/(0.1*O790)</f>
        <v>2.2101054162122877</v>
      </c>
      <c r="S796" s="6">
        <f>P796/(0.9*P793)</f>
        <v>0.84053855783584119</v>
      </c>
      <c r="T796" s="6">
        <f>Q796+S796</f>
        <v>3.8115347747336985</v>
      </c>
      <c r="U796" s="6">
        <f>R796+S796</f>
        <v>3.0506439740481288</v>
      </c>
      <c r="V796" s="1">
        <f>O796/O787+P796/P793</f>
        <v>1.0535843237420428</v>
      </c>
      <c r="W796" s="1">
        <f>O796/O790+P796/P793</f>
        <v>0.97749524367348584</v>
      </c>
      <c r="X796" s="1">
        <f t="shared" ref="X796:X804" si="289">100*ROUND(P796/(P796+O796), 2)</f>
        <v>65</v>
      </c>
      <c r="Y796" s="6">
        <f>O796+P796</f>
        <v>3.5595333333333339</v>
      </c>
    </row>
    <row r="797" spans="1:25" x14ac:dyDescent="0.15">
      <c r="A797" s="3">
        <v>2022</v>
      </c>
      <c r="B797" s="1" t="s">
        <v>56</v>
      </c>
      <c r="C797" s="3">
        <v>16</v>
      </c>
      <c r="D797" s="3">
        <v>11</v>
      </c>
      <c r="E797" s="3" t="s">
        <v>35</v>
      </c>
      <c r="F797" s="3" t="s">
        <v>39</v>
      </c>
      <c r="G797" s="3" t="s">
        <v>14</v>
      </c>
      <c r="H797" s="1" t="s">
        <v>35</v>
      </c>
      <c r="I797" s="3">
        <v>4</v>
      </c>
      <c r="J797" s="3" t="s">
        <v>64</v>
      </c>
      <c r="K797" s="1" t="s">
        <v>42</v>
      </c>
      <c r="L797">
        <v>110</v>
      </c>
      <c r="M797">
        <v>85</v>
      </c>
      <c r="N797" s="7">
        <f t="shared" ref="N797:N804" si="290">L797-M797</f>
        <v>25</v>
      </c>
      <c r="O797">
        <v>1.156466666666667</v>
      </c>
      <c r="P797">
        <v>2.0037333333333329</v>
      </c>
      <c r="Q797" s="6">
        <f>O797/(0.1*O787)</f>
        <v>2.7343947036569993</v>
      </c>
      <c r="R797" s="6">
        <f>O797/(0.1*O790)</f>
        <v>2.0340990373002201</v>
      </c>
      <c r="S797" s="6">
        <f>P797/(0.9*P794)</f>
        <v>0.97502424908923968</v>
      </c>
      <c r="T797" s="6">
        <f t="shared" ref="T797:T804" si="291">Q797+S797</f>
        <v>3.7094189527462391</v>
      </c>
      <c r="U797" s="6">
        <f t="shared" ref="U797:U804" si="292">R797+S797</f>
        <v>3.0091232863894599</v>
      </c>
      <c r="V797" s="1">
        <f>O797/O787+P797/P794</f>
        <v>1.1509612945460157</v>
      </c>
      <c r="W797" s="1">
        <f>O797/O790+P797/P794</f>
        <v>1.0809317279103379</v>
      </c>
      <c r="X797" s="1">
        <f t="shared" si="289"/>
        <v>63</v>
      </c>
      <c r="Y797" s="6">
        <f t="shared" ref="Y797:Y804" si="293">O797+P797</f>
        <v>3.1601999999999997</v>
      </c>
    </row>
    <row r="798" spans="1:25" x14ac:dyDescent="0.15">
      <c r="A798" s="3">
        <v>2022</v>
      </c>
      <c r="B798" s="1" t="s">
        <v>56</v>
      </c>
      <c r="C798" s="3">
        <v>16</v>
      </c>
      <c r="D798" s="3">
        <v>12</v>
      </c>
      <c r="E798" s="3" t="s">
        <v>35</v>
      </c>
      <c r="F798" s="3" t="s">
        <v>40</v>
      </c>
      <c r="G798" s="3" t="s">
        <v>14</v>
      </c>
      <c r="H798" s="1" t="s">
        <v>35</v>
      </c>
      <c r="I798" s="3">
        <v>4</v>
      </c>
      <c r="J798" s="3" t="s">
        <v>65</v>
      </c>
      <c r="K798" s="1" t="s">
        <v>42</v>
      </c>
      <c r="L798">
        <v>105</v>
      </c>
      <c r="M798">
        <v>80</v>
      </c>
      <c r="N798" s="7">
        <f t="shared" si="290"/>
        <v>25</v>
      </c>
      <c r="O798">
        <v>1.044877777777778</v>
      </c>
      <c r="P798">
        <v>2.236933333333333</v>
      </c>
      <c r="Q798" s="6">
        <f>O798/(0.1*O787)</f>
        <v>2.4705496006725518</v>
      </c>
      <c r="R798" s="6">
        <f>O798/(0.1*O790)</f>
        <v>1.8378263231747602</v>
      </c>
      <c r="S798" s="6">
        <f>P798/(0.9*P795)</f>
        <v>1.7253099274479251</v>
      </c>
      <c r="T798" s="6">
        <f t="shared" si="291"/>
        <v>4.1958595281204767</v>
      </c>
      <c r="U798" s="6">
        <f t="shared" si="292"/>
        <v>3.5631362506226854</v>
      </c>
      <c r="V798" s="1">
        <f>O798/O787+P798/P795</f>
        <v>1.7998338947703878</v>
      </c>
      <c r="W798" s="1">
        <f>O798/O790+P798/P795</f>
        <v>1.7365615670206087</v>
      </c>
      <c r="X798" s="1">
        <f t="shared" si="289"/>
        <v>68</v>
      </c>
      <c r="Y798" s="6">
        <f t="shared" si="293"/>
        <v>3.2818111111111108</v>
      </c>
    </row>
    <row r="799" spans="1:25" x14ac:dyDescent="0.15">
      <c r="A799" s="3">
        <v>2022</v>
      </c>
      <c r="B799" s="1" t="s">
        <v>56</v>
      </c>
      <c r="C799" s="3">
        <v>16</v>
      </c>
      <c r="D799" s="3">
        <v>13</v>
      </c>
      <c r="E799" s="3" t="s">
        <v>36</v>
      </c>
      <c r="F799" s="3" t="s">
        <v>38</v>
      </c>
      <c r="G799" s="3" t="s">
        <v>14</v>
      </c>
      <c r="H799" s="1" t="s">
        <v>36</v>
      </c>
      <c r="I799" s="3">
        <v>4</v>
      </c>
      <c r="J799" s="3" t="s">
        <v>66</v>
      </c>
      <c r="K799" s="1" t="s">
        <v>42</v>
      </c>
      <c r="L799">
        <v>105</v>
      </c>
      <c r="M799">
        <v>85</v>
      </c>
      <c r="N799" s="7">
        <f t="shared" si="290"/>
        <v>20</v>
      </c>
      <c r="O799">
        <v>0.95738888888888884</v>
      </c>
      <c r="P799">
        <v>2.6225333333333332</v>
      </c>
      <c r="Q799" s="6">
        <f>O799/(0.1*O788)</f>
        <v>2.3156658496732025</v>
      </c>
      <c r="R799" s="6">
        <f>O799/(0.1*O791)</f>
        <v>2.0274499284692413</v>
      </c>
      <c r="S799" s="6">
        <f>P799/(0.9*P793)</f>
        <v>0.95716039334625325</v>
      </c>
      <c r="T799" s="6">
        <f t="shared" si="291"/>
        <v>3.2728262430194559</v>
      </c>
      <c r="U799" s="6">
        <f t="shared" si="292"/>
        <v>2.9846103218154947</v>
      </c>
      <c r="V799" s="1">
        <f>O799/O788+P799/P793</f>
        <v>1.0930109389789482</v>
      </c>
      <c r="W799" s="1">
        <f>O799/O791+P799/P793</f>
        <v>1.0641893468585519</v>
      </c>
      <c r="X799" s="1">
        <f t="shared" si="289"/>
        <v>73</v>
      </c>
      <c r="Y799" s="6">
        <f t="shared" si="293"/>
        <v>3.5799222222222218</v>
      </c>
    </row>
    <row r="800" spans="1:25" x14ac:dyDescent="0.15">
      <c r="A800" s="3">
        <v>2022</v>
      </c>
      <c r="B800" s="1" t="s">
        <v>56</v>
      </c>
      <c r="C800" s="3">
        <v>16</v>
      </c>
      <c r="D800" s="3">
        <v>14</v>
      </c>
      <c r="E800" s="3" t="s">
        <v>36</v>
      </c>
      <c r="F800" s="3" t="s">
        <v>39</v>
      </c>
      <c r="G800" s="3" t="s">
        <v>14</v>
      </c>
      <c r="H800" s="1" t="s">
        <v>36</v>
      </c>
      <c r="I800" s="3">
        <v>4</v>
      </c>
      <c r="J800" s="3" t="s">
        <v>67</v>
      </c>
      <c r="K800" s="1" t="s">
        <v>42</v>
      </c>
      <c r="L800">
        <v>105</v>
      </c>
      <c r="M800">
        <v>75</v>
      </c>
      <c r="N800" s="7">
        <f t="shared" si="290"/>
        <v>30</v>
      </c>
      <c r="O800">
        <v>1.199255555555556</v>
      </c>
      <c r="P800">
        <v>1.7150000000000001</v>
      </c>
      <c r="Q800" s="6">
        <f>O800/(0.1*O788)</f>
        <v>2.900676169590644</v>
      </c>
      <c r="R800" s="6">
        <f>O800/(0.1*O791)</f>
        <v>2.5396478051351563</v>
      </c>
      <c r="S800" s="6">
        <f>P800/(0.9*P794)</f>
        <v>0.83452551263710062</v>
      </c>
      <c r="T800" s="6">
        <f t="shared" si="291"/>
        <v>3.7352016822277445</v>
      </c>
      <c r="U800" s="6">
        <f t="shared" si="292"/>
        <v>3.3741733177722568</v>
      </c>
      <c r="V800" s="1">
        <f>O800/O788+P800/P794</f>
        <v>1.041140578332455</v>
      </c>
      <c r="W800" s="1">
        <f>O800/O791+P800/P794</f>
        <v>1.0050377418869063</v>
      </c>
      <c r="X800" s="1">
        <f t="shared" si="289"/>
        <v>59</v>
      </c>
      <c r="Y800" s="6">
        <f t="shared" si="293"/>
        <v>2.914255555555556</v>
      </c>
    </row>
    <row r="801" spans="1:25" x14ac:dyDescent="0.15">
      <c r="A801" s="3">
        <v>2022</v>
      </c>
      <c r="B801" s="1" t="s">
        <v>56</v>
      </c>
      <c r="C801" s="3">
        <v>16</v>
      </c>
      <c r="D801" s="3">
        <v>15</v>
      </c>
      <c r="E801" s="3" t="s">
        <v>36</v>
      </c>
      <c r="F801" s="3" t="s">
        <v>40</v>
      </c>
      <c r="G801" s="3" t="s">
        <v>14</v>
      </c>
      <c r="H801" s="1" t="s">
        <v>36</v>
      </c>
      <c r="I801" s="3">
        <v>4</v>
      </c>
      <c r="J801" s="3" t="s">
        <v>68</v>
      </c>
      <c r="K801" s="1" t="s">
        <v>42</v>
      </c>
      <c r="L801">
        <v>110</v>
      </c>
      <c r="M801">
        <v>80</v>
      </c>
      <c r="N801" s="7">
        <f t="shared" si="290"/>
        <v>30</v>
      </c>
      <c r="O801">
        <v>1.0391555555555561</v>
      </c>
      <c r="P801">
        <v>2.0850333333333331</v>
      </c>
      <c r="Q801" s="6">
        <f>O801/(0.1*O788)</f>
        <v>2.5134373925008608</v>
      </c>
      <c r="R801" s="6">
        <f>O801/(0.1*O791)</f>
        <v>2.2006061290565477</v>
      </c>
      <c r="S801" s="6">
        <f>P801/(0.9*P795)</f>
        <v>1.6081519531470938</v>
      </c>
      <c r="T801" s="6">
        <f t="shared" si="291"/>
        <v>4.1215893456479549</v>
      </c>
      <c r="U801" s="6">
        <f t="shared" si="292"/>
        <v>3.8087580822036413</v>
      </c>
      <c r="V801" s="1">
        <f>O801/O788+P801/P795</f>
        <v>1.6986804970824705</v>
      </c>
      <c r="W801" s="1">
        <f>O801/O791+P801/P795</f>
        <v>1.6673973707380392</v>
      </c>
      <c r="X801" s="1">
        <f t="shared" si="289"/>
        <v>67</v>
      </c>
      <c r="Y801" s="6">
        <f t="shared" si="293"/>
        <v>3.1241888888888889</v>
      </c>
    </row>
    <row r="802" spans="1:25" x14ac:dyDescent="0.15">
      <c r="A802" s="3">
        <v>2022</v>
      </c>
      <c r="B802" s="1" t="s">
        <v>56</v>
      </c>
      <c r="C802" s="3">
        <v>16</v>
      </c>
      <c r="D802" s="3">
        <v>16</v>
      </c>
      <c r="E802" s="3" t="s">
        <v>37</v>
      </c>
      <c r="F802" s="3" t="s">
        <v>38</v>
      </c>
      <c r="G802" s="3" t="s">
        <v>14</v>
      </c>
      <c r="H802" s="1" t="s">
        <v>37</v>
      </c>
      <c r="I802" s="3">
        <v>4</v>
      </c>
      <c r="J802" s="3" t="s">
        <v>69</v>
      </c>
      <c r="K802" s="1" t="s">
        <v>42</v>
      </c>
      <c r="L802">
        <v>80</v>
      </c>
      <c r="M802">
        <v>80</v>
      </c>
      <c r="N802" s="7">
        <f t="shared" si="290"/>
        <v>0</v>
      </c>
      <c r="O802">
        <v>0.62551111111111113</v>
      </c>
      <c r="P802">
        <v>2.7538</v>
      </c>
      <c r="Q802" s="6">
        <f>O802/(0.1*O789)</f>
        <v>1.4014961972690045</v>
      </c>
      <c r="R802" s="6">
        <f>O802/(0.1*O792)</f>
        <v>1.4176424668227947</v>
      </c>
      <c r="S802" s="6">
        <f>P802/(0.9*P793)</f>
        <v>1.0050695095824314</v>
      </c>
      <c r="T802" s="6">
        <f t="shared" si="291"/>
        <v>2.4065657068514357</v>
      </c>
      <c r="U802" s="6">
        <f t="shared" si="292"/>
        <v>2.4227119764052261</v>
      </c>
      <c r="V802" s="1">
        <f>O802/O789+P802/P793</f>
        <v>1.0447121783510886</v>
      </c>
      <c r="W802" s="1">
        <f>O802/O792+P802/P793</f>
        <v>1.0463268053064678</v>
      </c>
      <c r="X802" s="1">
        <f t="shared" si="289"/>
        <v>81</v>
      </c>
      <c r="Y802" s="6">
        <f t="shared" si="293"/>
        <v>3.3793111111111109</v>
      </c>
    </row>
    <row r="803" spans="1:25" x14ac:dyDescent="0.15">
      <c r="A803" s="3">
        <v>2022</v>
      </c>
      <c r="B803" s="1" t="s">
        <v>56</v>
      </c>
      <c r="C803" s="3">
        <v>16</v>
      </c>
      <c r="D803" s="3">
        <v>17</v>
      </c>
      <c r="E803" s="3" t="s">
        <v>37</v>
      </c>
      <c r="F803" s="3" t="s">
        <v>39</v>
      </c>
      <c r="G803" s="3" t="s">
        <v>14</v>
      </c>
      <c r="H803" s="1" t="s">
        <v>37</v>
      </c>
      <c r="I803" s="3">
        <v>4</v>
      </c>
      <c r="J803" s="3" t="s">
        <v>70</v>
      </c>
      <c r="K803" s="1" t="s">
        <v>42</v>
      </c>
      <c r="L803">
        <v>85</v>
      </c>
      <c r="M803">
        <v>80</v>
      </c>
      <c r="N803" s="7">
        <f t="shared" si="290"/>
        <v>5</v>
      </c>
      <c r="O803">
        <v>1.0021</v>
      </c>
      <c r="P803">
        <v>2.2147999999999999</v>
      </c>
      <c r="Q803" s="6">
        <f>O803/(0.1*O789)</f>
        <v>2.2452668135479295</v>
      </c>
      <c r="R803" s="6">
        <f>O803/(0.1*O792)</f>
        <v>2.2711339427362698</v>
      </c>
      <c r="S803" s="6">
        <f>P803/(0.9*P794)</f>
        <v>1.0777300906056271</v>
      </c>
      <c r="T803" s="6">
        <f t="shared" si="291"/>
        <v>3.3229969041535563</v>
      </c>
      <c r="U803" s="6">
        <f t="shared" si="292"/>
        <v>3.3488640333418971</v>
      </c>
      <c r="V803" s="1">
        <f>O803/O789+P803/P794</f>
        <v>1.1944837628998572</v>
      </c>
      <c r="W803" s="1">
        <f>O803/O792+P803/P794</f>
        <v>1.1970704758186912</v>
      </c>
      <c r="X803" s="1">
        <f t="shared" si="289"/>
        <v>69</v>
      </c>
      <c r="Y803" s="6">
        <f t="shared" si="293"/>
        <v>3.2168999999999999</v>
      </c>
    </row>
    <row r="804" spans="1:25" x14ac:dyDescent="0.15">
      <c r="A804" s="3">
        <v>2022</v>
      </c>
      <c r="B804" s="1" t="s">
        <v>56</v>
      </c>
      <c r="C804" s="3">
        <v>16</v>
      </c>
      <c r="D804" s="3">
        <v>18</v>
      </c>
      <c r="E804" s="3" t="s">
        <v>37</v>
      </c>
      <c r="F804" s="3" t="s">
        <v>40</v>
      </c>
      <c r="G804" s="3" t="s">
        <v>14</v>
      </c>
      <c r="H804" s="1" t="s">
        <v>37</v>
      </c>
      <c r="I804" s="3">
        <v>4</v>
      </c>
      <c r="J804" s="3" t="s">
        <v>71</v>
      </c>
      <c r="K804" s="1" t="s">
        <v>42</v>
      </c>
      <c r="L804">
        <v>70</v>
      </c>
      <c r="M804">
        <v>70</v>
      </c>
      <c r="N804" s="7">
        <f t="shared" si="290"/>
        <v>0</v>
      </c>
      <c r="O804">
        <v>0.66586666666666672</v>
      </c>
      <c r="P804">
        <v>2.2147999999999999</v>
      </c>
      <c r="Q804" s="6">
        <f>O804/(0.1*O789)</f>
        <v>1.4919153067702307</v>
      </c>
      <c r="R804" s="6">
        <f>O804/(0.1*O792)</f>
        <v>1.5091032711339429</v>
      </c>
      <c r="S804" s="6">
        <f>P804/(0.9*P795)</f>
        <v>1.7082388510959938</v>
      </c>
      <c r="T804" s="6">
        <f t="shared" si="291"/>
        <v>3.2001541578662245</v>
      </c>
      <c r="U804" s="6">
        <f t="shared" si="292"/>
        <v>3.2173421222299368</v>
      </c>
      <c r="V804" s="1">
        <f>O804/O789+P804/P795</f>
        <v>1.6866064966634173</v>
      </c>
      <c r="W804" s="1">
        <f>O804/O792+P804/P795</f>
        <v>1.6883252930997885</v>
      </c>
      <c r="X804" s="1">
        <f t="shared" si="289"/>
        <v>77</v>
      </c>
      <c r="Y804" s="6">
        <f t="shared" si="293"/>
        <v>2.8806666666666665</v>
      </c>
    </row>
    <row r="805" spans="1:25" x14ac:dyDescent="0.15">
      <c r="A805" s="1">
        <v>2023</v>
      </c>
      <c r="B805" s="1" t="s">
        <v>56</v>
      </c>
      <c r="C805" s="1">
        <v>41</v>
      </c>
      <c r="D805" s="3">
        <v>1</v>
      </c>
      <c r="E805" s="3" t="s">
        <v>35</v>
      </c>
      <c r="F805" s="3"/>
      <c r="G805" s="3" t="s">
        <v>41</v>
      </c>
      <c r="H805" s="1" t="s">
        <v>35</v>
      </c>
      <c r="I805" s="3">
        <v>4</v>
      </c>
      <c r="J805" s="3" t="s">
        <v>35</v>
      </c>
      <c r="K805" s="1" t="s">
        <v>42</v>
      </c>
      <c r="L805">
        <v>70</v>
      </c>
      <c r="M805" s="7" t="s">
        <v>45</v>
      </c>
      <c r="N805" s="7" t="s">
        <v>45</v>
      </c>
      <c r="O805">
        <v>2.2210978260869569</v>
      </c>
      <c r="P805" s="5" t="s">
        <v>45</v>
      </c>
      <c r="Q805" s="6" t="s">
        <v>45</v>
      </c>
      <c r="R805" s="6" t="s">
        <v>45</v>
      </c>
      <c r="S805" s="6" t="s">
        <v>45</v>
      </c>
      <c r="T805" s="6" t="s">
        <v>45</v>
      </c>
      <c r="U805" s="6" t="s">
        <v>45</v>
      </c>
      <c r="V805" s="1" t="s">
        <v>45</v>
      </c>
      <c r="W805" s="1" t="s">
        <v>45</v>
      </c>
      <c r="X805" s="6" t="s">
        <v>45</v>
      </c>
      <c r="Y805" s="6">
        <f>O805</f>
        <v>2.2210978260869569</v>
      </c>
    </row>
    <row r="806" spans="1:25" x14ac:dyDescent="0.15">
      <c r="A806" s="1">
        <v>2023</v>
      </c>
      <c r="B806" s="1" t="s">
        <v>56</v>
      </c>
      <c r="C806" s="1">
        <v>41</v>
      </c>
      <c r="D806" s="3">
        <v>2</v>
      </c>
      <c r="E806" s="3" t="s">
        <v>36</v>
      </c>
      <c r="F806" s="3"/>
      <c r="G806" s="3" t="s">
        <v>41</v>
      </c>
      <c r="H806" s="1" t="s">
        <v>36</v>
      </c>
      <c r="I806" s="3">
        <v>4</v>
      </c>
      <c r="J806" s="3" t="s">
        <v>36</v>
      </c>
      <c r="K806" s="1" t="s">
        <v>42</v>
      </c>
      <c r="L806">
        <v>60</v>
      </c>
      <c r="M806" s="7" t="s">
        <v>45</v>
      </c>
      <c r="N806" s="7" t="s">
        <v>45</v>
      </c>
      <c r="O806">
        <v>1.8037173913043478</v>
      </c>
      <c r="P806" s="5" t="s">
        <v>45</v>
      </c>
      <c r="Q806" s="6" t="s">
        <v>45</v>
      </c>
      <c r="R806" s="6" t="s">
        <v>45</v>
      </c>
      <c r="S806" s="6" t="s">
        <v>45</v>
      </c>
      <c r="T806" s="6" t="s">
        <v>45</v>
      </c>
      <c r="U806" s="6" t="s">
        <v>45</v>
      </c>
      <c r="V806" s="1" t="s">
        <v>45</v>
      </c>
      <c r="W806" s="1" t="s">
        <v>45</v>
      </c>
      <c r="X806" s="6" t="s">
        <v>45</v>
      </c>
      <c r="Y806" s="6">
        <f t="shared" ref="Y806:Y810" si="294">O806</f>
        <v>1.8037173913043478</v>
      </c>
    </row>
    <row r="807" spans="1:25" x14ac:dyDescent="0.15">
      <c r="A807" s="1">
        <v>2023</v>
      </c>
      <c r="B807" s="1" t="s">
        <v>56</v>
      </c>
      <c r="C807" s="1">
        <v>41</v>
      </c>
      <c r="D807" s="3">
        <v>3</v>
      </c>
      <c r="E807" s="3" t="s">
        <v>37</v>
      </c>
      <c r="F807" s="3"/>
      <c r="G807" s="3" t="s">
        <v>41</v>
      </c>
      <c r="H807" s="1" t="s">
        <v>37</v>
      </c>
      <c r="I807" s="3">
        <v>4</v>
      </c>
      <c r="J807" s="3" t="s">
        <v>37</v>
      </c>
      <c r="K807" s="1" t="s">
        <v>42</v>
      </c>
      <c r="L807">
        <v>50</v>
      </c>
      <c r="M807" s="7" t="s">
        <v>45</v>
      </c>
      <c r="N807" s="7" t="s">
        <v>45</v>
      </c>
      <c r="O807">
        <v>1.9043478260869566</v>
      </c>
      <c r="P807" s="5" t="s">
        <v>45</v>
      </c>
      <c r="Q807" s="6" t="s">
        <v>45</v>
      </c>
      <c r="R807" s="6" t="s">
        <v>45</v>
      </c>
      <c r="S807" s="6" t="s">
        <v>45</v>
      </c>
      <c r="T807" s="6" t="s">
        <v>45</v>
      </c>
      <c r="U807" s="6" t="s">
        <v>45</v>
      </c>
      <c r="V807" s="1" t="s">
        <v>45</v>
      </c>
      <c r="W807" s="1" t="s">
        <v>45</v>
      </c>
      <c r="X807" s="6" t="s">
        <v>45</v>
      </c>
      <c r="Y807" s="6">
        <f t="shared" si="294"/>
        <v>1.9043478260869566</v>
      </c>
    </row>
    <row r="808" spans="1:25" x14ac:dyDescent="0.15">
      <c r="A808" s="1">
        <v>2023</v>
      </c>
      <c r="B808" s="1" t="s">
        <v>56</v>
      </c>
      <c r="C808" s="1">
        <v>41</v>
      </c>
      <c r="D808" s="3">
        <v>4</v>
      </c>
      <c r="E808" s="3" t="s">
        <v>35</v>
      </c>
      <c r="F808" s="3"/>
      <c r="G808" s="3" t="s">
        <v>41</v>
      </c>
      <c r="H808" s="1" t="s">
        <v>75</v>
      </c>
      <c r="I808" s="3">
        <v>4</v>
      </c>
      <c r="J808" s="3" t="s">
        <v>35</v>
      </c>
      <c r="K808" s="1" t="s">
        <v>43</v>
      </c>
      <c r="L808">
        <v>70</v>
      </c>
      <c r="M808" s="7" t="s">
        <v>45</v>
      </c>
      <c r="N808" s="7" t="s">
        <v>45</v>
      </c>
      <c r="O808">
        <v>2.2445652173913047</v>
      </c>
      <c r="P808" s="5" t="s">
        <v>45</v>
      </c>
      <c r="Q808" s="6" t="s">
        <v>45</v>
      </c>
      <c r="R808" s="6" t="s">
        <v>45</v>
      </c>
      <c r="S808" s="6" t="s">
        <v>45</v>
      </c>
      <c r="T808" s="6" t="s">
        <v>45</v>
      </c>
      <c r="U808" s="6" t="s">
        <v>45</v>
      </c>
      <c r="V808" s="1" t="s">
        <v>45</v>
      </c>
      <c r="W808" s="1" t="s">
        <v>45</v>
      </c>
      <c r="X808" s="1" t="s">
        <v>45</v>
      </c>
      <c r="Y808" s="6">
        <f t="shared" si="294"/>
        <v>2.2445652173913047</v>
      </c>
    </row>
    <row r="809" spans="1:25" x14ac:dyDescent="0.15">
      <c r="A809" s="1">
        <v>2023</v>
      </c>
      <c r="B809" s="1" t="s">
        <v>56</v>
      </c>
      <c r="C809" s="1">
        <v>41</v>
      </c>
      <c r="D809" s="3">
        <v>5</v>
      </c>
      <c r="E809" s="3" t="s">
        <v>36</v>
      </c>
      <c r="F809" s="3"/>
      <c r="G809" s="3" t="s">
        <v>41</v>
      </c>
      <c r="H809" s="1" t="s">
        <v>76</v>
      </c>
      <c r="I809" s="3">
        <v>4</v>
      </c>
      <c r="J809" s="3" t="s">
        <v>36</v>
      </c>
      <c r="K809" s="1" t="s">
        <v>43</v>
      </c>
      <c r="L809">
        <v>60</v>
      </c>
      <c r="M809" s="7" t="s">
        <v>45</v>
      </c>
      <c r="N809" s="7" t="s">
        <v>45</v>
      </c>
      <c r="O809">
        <v>1.6758260869565218</v>
      </c>
      <c r="P809" s="5" t="s">
        <v>45</v>
      </c>
      <c r="Q809" s="6" t="s">
        <v>45</v>
      </c>
      <c r="R809" s="6" t="s">
        <v>45</v>
      </c>
      <c r="S809" s="6" t="s">
        <v>45</v>
      </c>
      <c r="T809" s="6" t="s">
        <v>45</v>
      </c>
      <c r="U809" s="6" t="s">
        <v>45</v>
      </c>
      <c r="V809" s="1" t="s">
        <v>45</v>
      </c>
      <c r="W809" s="1" t="s">
        <v>45</v>
      </c>
      <c r="X809" s="1" t="s">
        <v>45</v>
      </c>
      <c r="Y809" s="6">
        <f t="shared" si="294"/>
        <v>1.6758260869565218</v>
      </c>
    </row>
    <row r="810" spans="1:25" x14ac:dyDescent="0.15">
      <c r="A810" s="1">
        <v>2023</v>
      </c>
      <c r="B810" s="1" t="s">
        <v>56</v>
      </c>
      <c r="C810" s="1">
        <v>41</v>
      </c>
      <c r="D810" s="3">
        <v>6</v>
      </c>
      <c r="E810" s="3" t="s">
        <v>37</v>
      </c>
      <c r="F810" s="3"/>
      <c r="G810" s="3" t="s">
        <v>41</v>
      </c>
      <c r="H810" s="1" t="s">
        <v>77</v>
      </c>
      <c r="I810" s="3">
        <v>4</v>
      </c>
      <c r="J810" s="3" t="s">
        <v>37</v>
      </c>
      <c r="K810" s="1" t="s">
        <v>43</v>
      </c>
      <c r="L810">
        <v>50</v>
      </c>
      <c r="M810" s="7" t="s">
        <v>45</v>
      </c>
      <c r="N810" s="7" t="s">
        <v>45</v>
      </c>
      <c r="O810">
        <v>2.075739130434783</v>
      </c>
      <c r="P810" s="5" t="s">
        <v>45</v>
      </c>
      <c r="Q810" s="6" t="s">
        <v>45</v>
      </c>
      <c r="R810" s="6" t="s">
        <v>45</v>
      </c>
      <c r="S810" s="6" t="s">
        <v>45</v>
      </c>
      <c r="T810" s="6" t="s">
        <v>45</v>
      </c>
      <c r="U810" s="6" t="s">
        <v>45</v>
      </c>
      <c r="V810" s="1" t="s">
        <v>45</v>
      </c>
      <c r="W810" s="1" t="s">
        <v>45</v>
      </c>
      <c r="X810" s="1" t="s">
        <v>45</v>
      </c>
      <c r="Y810" s="6">
        <f t="shared" si="294"/>
        <v>2.075739130434783</v>
      </c>
    </row>
    <row r="811" spans="1:25" x14ac:dyDescent="0.15">
      <c r="A811" s="1">
        <v>2023</v>
      </c>
      <c r="B811" s="1" t="s">
        <v>56</v>
      </c>
      <c r="C811" s="1">
        <v>41</v>
      </c>
      <c r="D811" s="3">
        <v>7</v>
      </c>
      <c r="E811" s="3"/>
      <c r="F811" s="3" t="s">
        <v>38</v>
      </c>
      <c r="G811" s="3" t="s">
        <v>41</v>
      </c>
      <c r="H811" s="1"/>
      <c r="I811" s="3">
        <v>4</v>
      </c>
      <c r="J811" s="3" t="s">
        <v>38</v>
      </c>
      <c r="K811" s="1" t="s">
        <v>42</v>
      </c>
      <c r="L811" s="7" t="s">
        <v>45</v>
      </c>
      <c r="M811">
        <v>35</v>
      </c>
      <c r="N811" s="7" t="s">
        <v>45</v>
      </c>
      <c r="O811" s="5" t="s">
        <v>45</v>
      </c>
      <c r="P811">
        <v>0.22252173913043477</v>
      </c>
      <c r="Q811" s="6" t="s">
        <v>45</v>
      </c>
      <c r="R811" s="6" t="s">
        <v>45</v>
      </c>
      <c r="S811" s="6" t="s">
        <v>45</v>
      </c>
      <c r="T811" s="6" t="s">
        <v>45</v>
      </c>
      <c r="U811" s="6" t="s">
        <v>45</v>
      </c>
      <c r="V811" s="1" t="s">
        <v>45</v>
      </c>
      <c r="W811" s="1" t="s">
        <v>45</v>
      </c>
      <c r="X811" s="1" t="s">
        <v>45</v>
      </c>
      <c r="Y811" s="6">
        <f>P811</f>
        <v>0.22252173913043477</v>
      </c>
    </row>
    <row r="812" spans="1:25" x14ac:dyDescent="0.15">
      <c r="A812" s="1">
        <v>2023</v>
      </c>
      <c r="B812" s="1" t="s">
        <v>56</v>
      </c>
      <c r="C812" s="1">
        <v>42</v>
      </c>
      <c r="D812" s="3">
        <v>8</v>
      </c>
      <c r="E812" s="3"/>
      <c r="F812" s="3" t="s">
        <v>39</v>
      </c>
      <c r="G812" s="3" t="s">
        <v>41</v>
      </c>
      <c r="H812" s="1"/>
      <c r="I812" s="3">
        <v>4</v>
      </c>
      <c r="J812" s="3" t="s">
        <v>39</v>
      </c>
      <c r="K812" s="1" t="s">
        <v>42</v>
      </c>
      <c r="L812" s="7" t="s">
        <v>45</v>
      </c>
      <c r="M812">
        <v>25</v>
      </c>
      <c r="N812" s="7" t="s">
        <v>45</v>
      </c>
      <c r="O812" s="5" t="s">
        <v>45</v>
      </c>
      <c r="P812">
        <v>0.10079347826086957</v>
      </c>
      <c r="Q812" s="6" t="s">
        <v>45</v>
      </c>
      <c r="R812" s="6" t="s">
        <v>45</v>
      </c>
      <c r="S812" s="6" t="s">
        <v>45</v>
      </c>
      <c r="T812" s="6" t="s">
        <v>45</v>
      </c>
      <c r="U812" s="6" t="s">
        <v>45</v>
      </c>
      <c r="V812" s="1" t="s">
        <v>45</v>
      </c>
      <c r="W812" s="1" t="s">
        <v>45</v>
      </c>
      <c r="X812" s="1" t="s">
        <v>45</v>
      </c>
      <c r="Y812" s="6">
        <f t="shared" ref="Y812:Y813" si="295">P812</f>
        <v>0.10079347826086957</v>
      </c>
    </row>
    <row r="813" spans="1:25" x14ac:dyDescent="0.15">
      <c r="A813" s="1">
        <v>2023</v>
      </c>
      <c r="B813" s="1" t="s">
        <v>56</v>
      </c>
      <c r="C813" s="1">
        <v>42</v>
      </c>
      <c r="D813" s="3">
        <v>9</v>
      </c>
      <c r="E813" s="3"/>
      <c r="F813" s="3" t="s">
        <v>40</v>
      </c>
      <c r="G813" s="3" t="s">
        <v>41</v>
      </c>
      <c r="H813" s="1"/>
      <c r="I813" s="3">
        <v>4</v>
      </c>
      <c r="J813" s="3" t="s">
        <v>40</v>
      </c>
      <c r="K813" s="1" t="s">
        <v>42</v>
      </c>
      <c r="L813" s="7" t="s">
        <v>45</v>
      </c>
      <c r="M813">
        <v>40</v>
      </c>
      <c r="N813" s="7" t="s">
        <v>45</v>
      </c>
      <c r="O813" s="5" t="s">
        <v>45</v>
      </c>
      <c r="P813">
        <v>0.34654347826086962</v>
      </c>
      <c r="Q813" s="6" t="s">
        <v>45</v>
      </c>
      <c r="R813" s="6" t="s">
        <v>45</v>
      </c>
      <c r="S813" s="6" t="s">
        <v>45</v>
      </c>
      <c r="T813" s="6" t="s">
        <v>45</v>
      </c>
      <c r="U813" s="6" t="s">
        <v>45</v>
      </c>
      <c r="V813" s="1" t="s">
        <v>45</v>
      </c>
      <c r="W813" s="1" t="s">
        <v>45</v>
      </c>
      <c r="X813" s="1" t="s">
        <v>45</v>
      </c>
      <c r="Y813" s="6">
        <f t="shared" si="295"/>
        <v>0.34654347826086962</v>
      </c>
    </row>
    <row r="814" spans="1:25" x14ac:dyDescent="0.15">
      <c r="A814" s="1">
        <v>2023</v>
      </c>
      <c r="B814" s="1" t="s">
        <v>56</v>
      </c>
      <c r="C814" s="1">
        <v>42</v>
      </c>
      <c r="D814" s="3">
        <v>10</v>
      </c>
      <c r="E814" s="3" t="s">
        <v>35</v>
      </c>
      <c r="F814" s="3" t="s">
        <v>38</v>
      </c>
      <c r="G814" s="3" t="s">
        <v>14</v>
      </c>
      <c r="H814" s="1" t="s">
        <v>35</v>
      </c>
      <c r="I814" s="3">
        <v>4</v>
      </c>
      <c r="J814" s="3" t="s">
        <v>63</v>
      </c>
      <c r="K814" s="1" t="s">
        <v>42</v>
      </c>
      <c r="L814">
        <v>55</v>
      </c>
      <c r="M814">
        <v>30</v>
      </c>
      <c r="N814" s="7">
        <f>L814-M814</f>
        <v>25</v>
      </c>
      <c r="O814">
        <v>0.33326086956521744</v>
      </c>
      <c r="P814">
        <v>9.2282608695652191E-2</v>
      </c>
      <c r="Q814" s="6">
        <f>O814/(0.1*O805)</f>
        <v>1.5004330995737516</v>
      </c>
      <c r="R814" s="6">
        <f>O814/(0.1*O808)</f>
        <v>1.4847457627118643</v>
      </c>
      <c r="S814" s="6">
        <f>P814/(0.9*P811)</f>
        <v>0.46079197603230437</v>
      </c>
      <c r="T814" s="6">
        <f>Q814+S814</f>
        <v>1.9612250756060559</v>
      </c>
      <c r="U814" s="6">
        <f>R814+S814</f>
        <v>1.9455377387441688</v>
      </c>
      <c r="V814" s="1">
        <f>O814/O805+P814/P811</f>
        <v>0.56475608838644908</v>
      </c>
      <c r="W814" s="1">
        <f>O814/O808+P814/P811</f>
        <v>0.56318735470026038</v>
      </c>
      <c r="X814" s="1">
        <f t="shared" ref="X814:X822" si="296">100*ROUND(P814/(P814+O814), 2)</f>
        <v>22</v>
      </c>
      <c r="Y814" s="6">
        <f>O814+P814</f>
        <v>0.42554347826086963</v>
      </c>
    </row>
    <row r="815" spans="1:25" x14ac:dyDescent="0.15">
      <c r="A815" s="1">
        <v>2023</v>
      </c>
      <c r="B815" s="1" t="s">
        <v>56</v>
      </c>
      <c r="C815" s="1">
        <v>42</v>
      </c>
      <c r="D815" s="3">
        <v>11</v>
      </c>
      <c r="E815" s="3" t="s">
        <v>35</v>
      </c>
      <c r="F815" s="3" t="s">
        <v>39</v>
      </c>
      <c r="G815" s="3" t="s">
        <v>14</v>
      </c>
      <c r="H815" s="1" t="s">
        <v>35</v>
      </c>
      <c r="I815" s="3">
        <v>4</v>
      </c>
      <c r="J815" s="3" t="s">
        <v>64</v>
      </c>
      <c r="K815" s="1" t="s">
        <v>42</v>
      </c>
      <c r="L815">
        <v>60</v>
      </c>
      <c r="M815">
        <v>30</v>
      </c>
      <c r="N815" s="7">
        <f t="shared" ref="N815:N822" si="297">L815-M815</f>
        <v>30</v>
      </c>
      <c r="O815">
        <v>0.53382608695652178</v>
      </c>
      <c r="P815">
        <v>8.3347826086956525E-2</v>
      </c>
      <c r="Q815" s="6">
        <f>O815/(0.1*O805)</f>
        <v>2.4034334763948495</v>
      </c>
      <c r="R815" s="6">
        <f>O815/(0.1*O808)</f>
        <v>2.3783050847457625</v>
      </c>
      <c r="S815" s="6">
        <f>P815/(0.9*P812)</f>
        <v>0.91879650598511808</v>
      </c>
      <c r="T815" s="6">
        <f t="shared" ref="T815:T822" si="298">Q815+S815</f>
        <v>3.3222299823799677</v>
      </c>
      <c r="U815" s="6">
        <f t="shared" ref="U815:U822" si="299">R815+S815</f>
        <v>3.2971015907308807</v>
      </c>
      <c r="V815" s="1">
        <f>O815/O805+P815/P812</f>
        <v>1.0672602030260911</v>
      </c>
      <c r="W815" s="1">
        <f>O815/O808+P815/P812</f>
        <v>1.0647473638611826</v>
      </c>
      <c r="X815" s="1">
        <f t="shared" si="296"/>
        <v>14.000000000000002</v>
      </c>
      <c r="Y815" s="6">
        <f t="shared" ref="Y815:Y822" si="300">O815+P815</f>
        <v>0.61717391304347835</v>
      </c>
    </row>
    <row r="816" spans="1:25" x14ac:dyDescent="0.15">
      <c r="A816" s="1">
        <v>2023</v>
      </c>
      <c r="B816" s="1" t="s">
        <v>56</v>
      </c>
      <c r="C816" s="1">
        <v>42</v>
      </c>
      <c r="D816" s="3">
        <v>12</v>
      </c>
      <c r="E816" s="3" t="s">
        <v>35</v>
      </c>
      <c r="F816" s="3" t="s">
        <v>40</v>
      </c>
      <c r="G816" s="3" t="s">
        <v>14</v>
      </c>
      <c r="H816" s="1" t="s">
        <v>35</v>
      </c>
      <c r="I816" s="3">
        <v>4</v>
      </c>
      <c r="J816" s="3" t="s">
        <v>65</v>
      </c>
      <c r="K816" s="1" t="s">
        <v>42</v>
      </c>
      <c r="L816">
        <v>60</v>
      </c>
      <c r="M816">
        <v>50</v>
      </c>
      <c r="N816" s="7">
        <f t="shared" si="297"/>
        <v>10</v>
      </c>
      <c r="O816">
        <v>5.7000000000000002E-2</v>
      </c>
      <c r="P816" s="5" t="s">
        <v>45</v>
      </c>
      <c r="Q816" s="6">
        <f>O816/(0.1*O805)</f>
        <v>0.25662984912474729</v>
      </c>
      <c r="R816" s="6">
        <f>O816/(0.1*O808)</f>
        <v>0.25394673123486677</v>
      </c>
      <c r="S816" s="1" t="s">
        <v>45</v>
      </c>
      <c r="T816" s="1" t="s">
        <v>45</v>
      </c>
      <c r="U816" s="1" t="s">
        <v>45</v>
      </c>
      <c r="V816" s="1" t="s">
        <v>45</v>
      </c>
      <c r="W816" s="1" t="s">
        <v>45</v>
      </c>
      <c r="X816" s="5" t="s">
        <v>45</v>
      </c>
      <c r="Y816" s="5" t="s">
        <v>45</v>
      </c>
    </row>
    <row r="817" spans="1:25" x14ac:dyDescent="0.15">
      <c r="A817" s="1">
        <v>2023</v>
      </c>
      <c r="B817" s="1" t="s">
        <v>56</v>
      </c>
      <c r="C817" s="1">
        <v>42</v>
      </c>
      <c r="D817" s="3">
        <v>13</v>
      </c>
      <c r="E817" s="3" t="s">
        <v>36</v>
      </c>
      <c r="F817" s="3" t="s">
        <v>38</v>
      </c>
      <c r="G817" s="3" t="s">
        <v>14</v>
      </c>
      <c r="H817" s="1" t="s">
        <v>36</v>
      </c>
      <c r="I817" s="3">
        <v>4</v>
      </c>
      <c r="J817" s="3" t="s">
        <v>66</v>
      </c>
      <c r="K817" s="1" t="s">
        <v>42</v>
      </c>
      <c r="L817">
        <v>65</v>
      </c>
      <c r="M817">
        <v>35</v>
      </c>
      <c r="N817" s="7">
        <f t="shared" si="297"/>
        <v>30</v>
      </c>
      <c r="O817">
        <v>1.0688695652173914</v>
      </c>
      <c r="P817">
        <v>0.13923913043478262</v>
      </c>
      <c r="Q817" s="6">
        <f>O817/(0.1*O806)</f>
        <v>5.9259259259259256</v>
      </c>
      <c r="R817" s="6">
        <f>O817/(0.1*O809)</f>
        <v>6.378165213781652</v>
      </c>
      <c r="S817" s="6">
        <f>P817/(0.9*P811)</f>
        <v>0.69525856454344148</v>
      </c>
      <c r="T817" s="6">
        <f t="shared" si="298"/>
        <v>6.6211844904693669</v>
      </c>
      <c r="U817" s="6">
        <f t="shared" si="299"/>
        <v>7.0734237783250933</v>
      </c>
      <c r="V817" s="1">
        <f>O817/O806+P817/P811</f>
        <v>1.2183253006816901</v>
      </c>
      <c r="W817" s="1">
        <f>O817/O809+P817/P811</f>
        <v>1.2635492294672628</v>
      </c>
      <c r="X817" s="1">
        <f t="shared" si="296"/>
        <v>12</v>
      </c>
      <c r="Y817" s="6">
        <f t="shared" si="300"/>
        <v>1.208108695652174</v>
      </c>
    </row>
    <row r="818" spans="1:25" x14ac:dyDescent="0.15">
      <c r="A818" s="1">
        <v>2023</v>
      </c>
      <c r="B818" s="1" t="s">
        <v>56</v>
      </c>
      <c r="C818" s="1">
        <v>42</v>
      </c>
      <c r="D818" s="3">
        <v>14</v>
      </c>
      <c r="E818" s="3" t="s">
        <v>36</v>
      </c>
      <c r="F818" s="3" t="s">
        <v>39</v>
      </c>
      <c r="G818" s="3" t="s">
        <v>14</v>
      </c>
      <c r="H818" s="1" t="s">
        <v>36</v>
      </c>
      <c r="I818" s="3">
        <v>4</v>
      </c>
      <c r="J818" s="3" t="s">
        <v>67</v>
      </c>
      <c r="K818" s="1" t="s">
        <v>42</v>
      </c>
      <c r="L818">
        <v>60</v>
      </c>
      <c r="M818">
        <v>35</v>
      </c>
      <c r="N818" s="7">
        <f t="shared" si="297"/>
        <v>25</v>
      </c>
      <c r="O818">
        <v>0.6372282608695653</v>
      </c>
      <c r="P818">
        <v>0.11165217391304347</v>
      </c>
      <c r="Q818" s="6">
        <f>O818/(0.1*O806)</f>
        <v>3.532860879102337</v>
      </c>
      <c r="R818" s="6">
        <f>O818/(0.1*O809)</f>
        <v>3.8024724989622252</v>
      </c>
      <c r="S818" s="6">
        <f>P818/(0.9*P812)</f>
        <v>1.2308134728063551</v>
      </c>
      <c r="T818" s="6">
        <f t="shared" si="298"/>
        <v>4.7636743519086924</v>
      </c>
      <c r="U818" s="6">
        <f t="shared" si="299"/>
        <v>5.0332859717685805</v>
      </c>
      <c r="V818" s="1">
        <f>O818/O806+P818/P812</f>
        <v>1.4610182134359535</v>
      </c>
      <c r="W818" s="1">
        <f>O818/O809+P818/P812</f>
        <v>1.4879793754219424</v>
      </c>
      <c r="X818" s="1">
        <f t="shared" si="296"/>
        <v>15</v>
      </c>
      <c r="Y818" s="6">
        <f t="shared" si="300"/>
        <v>0.74888043478260879</v>
      </c>
    </row>
    <row r="819" spans="1:25" x14ac:dyDescent="0.15">
      <c r="A819" s="1">
        <v>2023</v>
      </c>
      <c r="B819" s="1" t="s">
        <v>56</v>
      </c>
      <c r="C819" s="1">
        <v>42</v>
      </c>
      <c r="D819" s="3">
        <v>15</v>
      </c>
      <c r="E819" s="3" t="s">
        <v>36</v>
      </c>
      <c r="F819" s="3" t="s">
        <v>40</v>
      </c>
      <c r="G819" s="3" t="s">
        <v>14</v>
      </c>
      <c r="H819" s="1" t="s">
        <v>36</v>
      </c>
      <c r="I819" s="3">
        <v>4</v>
      </c>
      <c r="J819" s="3" t="s">
        <v>68</v>
      </c>
      <c r="K819" s="1" t="s">
        <v>42</v>
      </c>
      <c r="L819">
        <v>65</v>
      </c>
      <c r="M819">
        <v>40</v>
      </c>
      <c r="N819" s="7">
        <f t="shared" si="297"/>
        <v>25</v>
      </c>
      <c r="O819">
        <v>0.66728260869565215</v>
      </c>
      <c r="P819">
        <v>0.25991304347826089</v>
      </c>
      <c r="Q819" s="6">
        <f>O819/(0.1*O806)</f>
        <v>3.6994853623555213</v>
      </c>
      <c r="R819" s="6">
        <f>O819/(0.1*O809)</f>
        <v>3.9818129929431292</v>
      </c>
      <c r="S819" s="6">
        <f>P819/(0.9*P813)</f>
        <v>0.83335075870048569</v>
      </c>
      <c r="T819" s="6">
        <f t="shared" si="298"/>
        <v>4.5328361210560066</v>
      </c>
      <c r="U819" s="6">
        <f t="shared" si="299"/>
        <v>4.815163751643615</v>
      </c>
      <c r="V819" s="1">
        <f>O819/O806+P819/P813</f>
        <v>1.1199642190659893</v>
      </c>
      <c r="W819" s="1">
        <f>O819/O809+P819/P813</f>
        <v>1.1481969821247502</v>
      </c>
      <c r="X819" s="1">
        <f t="shared" si="296"/>
        <v>28.000000000000004</v>
      </c>
      <c r="Y819" s="6">
        <f t="shared" si="300"/>
        <v>0.92719565217391309</v>
      </c>
    </row>
    <row r="820" spans="1:25" x14ac:dyDescent="0.15">
      <c r="A820" s="1">
        <v>2023</v>
      </c>
      <c r="B820" s="1" t="s">
        <v>56</v>
      </c>
      <c r="C820" s="1">
        <v>42</v>
      </c>
      <c r="D820" s="3">
        <v>16</v>
      </c>
      <c r="E820" s="3" t="s">
        <v>37</v>
      </c>
      <c r="F820" s="3" t="s">
        <v>38</v>
      </c>
      <c r="G820" s="3" t="s">
        <v>14</v>
      </c>
      <c r="H820" s="1" t="s">
        <v>37</v>
      </c>
      <c r="I820" s="3">
        <v>4</v>
      </c>
      <c r="J820" s="3" t="s">
        <v>69</v>
      </c>
      <c r="K820" s="1" t="s">
        <v>42</v>
      </c>
      <c r="L820">
        <v>50</v>
      </c>
      <c r="M820">
        <v>30</v>
      </c>
      <c r="N820" s="7">
        <f t="shared" si="297"/>
        <v>20</v>
      </c>
      <c r="O820">
        <v>0.4475217391304348</v>
      </c>
      <c r="P820">
        <v>4.6141304347826095E-2</v>
      </c>
      <c r="Q820" s="6">
        <f>O820/(0.1*O807)</f>
        <v>2.3499999999999996</v>
      </c>
      <c r="R820" s="6">
        <f>O820/(0.1*O810)</f>
        <v>2.1559633027522933</v>
      </c>
      <c r="S820" s="6">
        <f>P820/(0.9*P811)</f>
        <v>0.23039598801615219</v>
      </c>
      <c r="T820" s="6">
        <f t="shared" si="298"/>
        <v>2.5803959880161518</v>
      </c>
      <c r="U820" s="6">
        <f t="shared" si="299"/>
        <v>2.3863592907684454</v>
      </c>
      <c r="V820" s="1">
        <f>O820/O807+P820/P811</f>
        <v>0.44235638921453696</v>
      </c>
      <c r="W820" s="1">
        <f>O820/O810+P820/P811</f>
        <v>0.42295271948976632</v>
      </c>
      <c r="X820" s="1">
        <f t="shared" si="296"/>
        <v>9</v>
      </c>
      <c r="Y820" s="6">
        <f t="shared" si="300"/>
        <v>0.4936630434782609</v>
      </c>
    </row>
    <row r="821" spans="1:25" x14ac:dyDescent="0.15">
      <c r="A821" s="1">
        <v>2023</v>
      </c>
      <c r="B821" s="1" t="s">
        <v>56</v>
      </c>
      <c r="C821" s="1">
        <v>42</v>
      </c>
      <c r="D821" s="3">
        <v>17</v>
      </c>
      <c r="E821" s="3" t="s">
        <v>37</v>
      </c>
      <c r="F821" s="3" t="s">
        <v>39</v>
      </c>
      <c r="G821" s="3" t="s">
        <v>14</v>
      </c>
      <c r="H821" s="1" t="s">
        <v>37</v>
      </c>
      <c r="I821" s="3">
        <v>4</v>
      </c>
      <c r="J821" s="3" t="s">
        <v>70</v>
      </c>
      <c r="K821" s="1" t="s">
        <v>42</v>
      </c>
      <c r="L821">
        <v>50</v>
      </c>
      <c r="M821">
        <v>40</v>
      </c>
      <c r="N821" s="7">
        <f t="shared" si="297"/>
        <v>10</v>
      </c>
      <c r="O821">
        <v>0.17158695652173914</v>
      </c>
      <c r="P821">
        <v>4.6358695652173917E-2</v>
      </c>
      <c r="Q821" s="6">
        <f>O821/(0.1*O807)</f>
        <v>0.90102739726027392</v>
      </c>
      <c r="R821" s="6">
        <f>O821/(0.1*O810)</f>
        <v>0.82663063968832462</v>
      </c>
      <c r="S821" s="6">
        <f>P821/(0.9*P812)</f>
        <v>0.51104161424446126</v>
      </c>
      <c r="T821" s="6">
        <f t="shared" si="298"/>
        <v>1.4120690115047352</v>
      </c>
      <c r="U821" s="6">
        <f t="shared" si="299"/>
        <v>1.3376722539327859</v>
      </c>
      <c r="V821" s="1">
        <f>O821/O807+P821/P812</f>
        <v>0.55004019254604253</v>
      </c>
      <c r="W821" s="1">
        <f>O821/O810+P821/P812</f>
        <v>0.54260051678884758</v>
      </c>
      <c r="X821" s="1">
        <f t="shared" si="296"/>
        <v>21</v>
      </c>
      <c r="Y821" s="6">
        <f t="shared" si="300"/>
        <v>0.21794565217391304</v>
      </c>
    </row>
    <row r="822" spans="1:25" x14ac:dyDescent="0.15">
      <c r="A822" s="1">
        <v>2023</v>
      </c>
      <c r="B822" s="1" t="s">
        <v>56</v>
      </c>
      <c r="C822" s="1">
        <v>42</v>
      </c>
      <c r="D822" s="3">
        <v>18</v>
      </c>
      <c r="E822" s="3" t="s">
        <v>37</v>
      </c>
      <c r="F822" s="3" t="s">
        <v>40</v>
      </c>
      <c r="G822" s="3" t="s">
        <v>14</v>
      </c>
      <c r="H822" s="1" t="s">
        <v>37</v>
      </c>
      <c r="I822" s="3">
        <v>4</v>
      </c>
      <c r="J822" s="3" t="s">
        <v>71</v>
      </c>
      <c r="K822" s="1" t="s">
        <v>42</v>
      </c>
      <c r="L822">
        <v>40</v>
      </c>
      <c r="M822">
        <v>35</v>
      </c>
      <c r="N822" s="7">
        <f t="shared" si="297"/>
        <v>5</v>
      </c>
      <c r="O822">
        <v>8.6086956521739144E-2</v>
      </c>
      <c r="P822">
        <v>4.6576086956521746E-2</v>
      </c>
      <c r="Q822" s="6">
        <f>O822/(0.1*O807)</f>
        <v>0.45205479452054798</v>
      </c>
      <c r="R822" s="6">
        <f>O822/(0.1*O810)</f>
        <v>0.41472916928490633</v>
      </c>
      <c r="S822" s="6">
        <f>P822/(0.9*P813)</f>
        <v>0.14933539649680419</v>
      </c>
      <c r="T822" s="6">
        <f t="shared" si="298"/>
        <v>0.60139019101735214</v>
      </c>
      <c r="U822" s="6">
        <f t="shared" si="299"/>
        <v>0.56406456578171049</v>
      </c>
      <c r="V822" s="1">
        <f>O822/O807+P822/P813</f>
        <v>0.17960733629917858</v>
      </c>
      <c r="W822" s="1">
        <f>O822/O810+P822/P813</f>
        <v>0.17587477377561442</v>
      </c>
      <c r="X822" s="1">
        <f t="shared" si="296"/>
        <v>35</v>
      </c>
      <c r="Y822" s="6">
        <f t="shared" si="300"/>
        <v>0.13266304347826088</v>
      </c>
    </row>
    <row r="823" spans="1:25" x14ac:dyDescent="0.15">
      <c r="A823" s="1">
        <v>2023</v>
      </c>
      <c r="B823" s="1" t="s">
        <v>56</v>
      </c>
      <c r="C823" s="1">
        <v>42</v>
      </c>
      <c r="D823" s="3">
        <v>1</v>
      </c>
      <c r="E823" s="3" t="s">
        <v>35</v>
      </c>
      <c r="F823" s="3"/>
      <c r="G823" s="3" t="s">
        <v>41</v>
      </c>
      <c r="H823" s="1" t="s">
        <v>35</v>
      </c>
      <c r="I823" s="3">
        <v>4</v>
      </c>
      <c r="J823" s="3" t="s">
        <v>35</v>
      </c>
      <c r="K823" s="1" t="s">
        <v>42</v>
      </c>
      <c r="L823">
        <v>65</v>
      </c>
      <c r="M823" s="7" t="s">
        <v>45</v>
      </c>
      <c r="N823" s="7" t="s">
        <v>45</v>
      </c>
      <c r="O823">
        <v>2.5232608695652168</v>
      </c>
      <c r="P823" s="5" t="s">
        <v>45</v>
      </c>
      <c r="Q823" s="6" t="s">
        <v>45</v>
      </c>
      <c r="R823" s="6" t="s">
        <v>45</v>
      </c>
      <c r="S823" s="6" t="s">
        <v>45</v>
      </c>
      <c r="T823" s="6" t="s">
        <v>45</v>
      </c>
      <c r="U823" s="6" t="s">
        <v>45</v>
      </c>
      <c r="V823" s="1" t="s">
        <v>45</v>
      </c>
      <c r="W823" s="1" t="s">
        <v>45</v>
      </c>
      <c r="X823" s="6" t="s">
        <v>45</v>
      </c>
      <c r="Y823" s="6">
        <f>O823</f>
        <v>2.5232608695652168</v>
      </c>
    </row>
    <row r="824" spans="1:25" x14ac:dyDescent="0.15">
      <c r="A824" s="1">
        <v>2023</v>
      </c>
      <c r="B824" s="1" t="s">
        <v>56</v>
      </c>
      <c r="C824" s="1">
        <v>42</v>
      </c>
      <c r="D824" s="3">
        <v>2</v>
      </c>
      <c r="E824" s="3" t="s">
        <v>36</v>
      </c>
      <c r="F824" s="3"/>
      <c r="G824" s="3" t="s">
        <v>41</v>
      </c>
      <c r="H824" s="1" t="s">
        <v>36</v>
      </c>
      <c r="I824" s="3">
        <v>4</v>
      </c>
      <c r="J824" s="3" t="s">
        <v>36</v>
      </c>
      <c r="K824" s="1" t="s">
        <v>42</v>
      </c>
      <c r="L824">
        <v>65</v>
      </c>
      <c r="M824" s="7" t="s">
        <v>45</v>
      </c>
      <c r="N824" s="7" t="s">
        <v>45</v>
      </c>
      <c r="O824">
        <v>3.2447826086956524</v>
      </c>
      <c r="P824" s="5" t="s">
        <v>45</v>
      </c>
      <c r="Q824" s="6" t="s">
        <v>45</v>
      </c>
      <c r="R824" s="6" t="s">
        <v>45</v>
      </c>
      <c r="S824" s="6" t="s">
        <v>45</v>
      </c>
      <c r="T824" s="6" t="s">
        <v>45</v>
      </c>
      <c r="U824" s="6" t="s">
        <v>45</v>
      </c>
      <c r="V824" s="1" t="s">
        <v>45</v>
      </c>
      <c r="W824" s="1" t="s">
        <v>45</v>
      </c>
      <c r="X824" s="6" t="s">
        <v>45</v>
      </c>
      <c r="Y824" s="6">
        <f t="shared" ref="Y824:Y828" si="301">O824</f>
        <v>3.2447826086956524</v>
      </c>
    </row>
    <row r="825" spans="1:25" x14ac:dyDescent="0.15">
      <c r="A825" s="1">
        <v>2023</v>
      </c>
      <c r="B825" s="1" t="s">
        <v>56</v>
      </c>
      <c r="C825" s="1">
        <v>42</v>
      </c>
      <c r="D825" s="3">
        <v>3</v>
      </c>
      <c r="E825" s="3" t="s">
        <v>37</v>
      </c>
      <c r="F825" s="3"/>
      <c r="G825" s="3" t="s">
        <v>41</v>
      </c>
      <c r="H825" s="1" t="s">
        <v>37</v>
      </c>
      <c r="I825" s="3">
        <v>4</v>
      </c>
      <c r="J825" s="3" t="s">
        <v>37</v>
      </c>
      <c r="K825" s="1" t="s">
        <v>42</v>
      </c>
      <c r="L825">
        <v>50</v>
      </c>
      <c r="M825" s="7" t="s">
        <v>45</v>
      </c>
      <c r="N825" s="7" t="s">
        <v>45</v>
      </c>
      <c r="O825">
        <v>2.0518478260869562</v>
      </c>
      <c r="P825" s="5" t="s">
        <v>45</v>
      </c>
      <c r="Q825" s="6" t="s">
        <v>45</v>
      </c>
      <c r="R825" s="6" t="s">
        <v>45</v>
      </c>
      <c r="S825" s="6" t="s">
        <v>45</v>
      </c>
      <c r="T825" s="6" t="s">
        <v>45</v>
      </c>
      <c r="U825" s="6" t="s">
        <v>45</v>
      </c>
      <c r="V825" s="1" t="s">
        <v>45</v>
      </c>
      <c r="W825" s="1" t="s">
        <v>45</v>
      </c>
      <c r="X825" s="6" t="s">
        <v>45</v>
      </c>
      <c r="Y825" s="6">
        <f t="shared" si="301"/>
        <v>2.0518478260869562</v>
      </c>
    </row>
    <row r="826" spans="1:25" x14ac:dyDescent="0.15">
      <c r="A826" s="1">
        <v>2023</v>
      </c>
      <c r="B826" s="1" t="s">
        <v>56</v>
      </c>
      <c r="C826" s="1">
        <v>42</v>
      </c>
      <c r="D826" s="3">
        <v>4</v>
      </c>
      <c r="E826" s="3" t="s">
        <v>35</v>
      </c>
      <c r="F826" s="3"/>
      <c r="G826" s="3" t="s">
        <v>41</v>
      </c>
      <c r="H826" s="1" t="s">
        <v>75</v>
      </c>
      <c r="I826" s="3">
        <v>4</v>
      </c>
      <c r="J826" s="3" t="s">
        <v>35</v>
      </c>
      <c r="K826" s="1" t="s">
        <v>43</v>
      </c>
      <c r="L826">
        <v>70</v>
      </c>
      <c r="M826" s="7" t="s">
        <v>45</v>
      </c>
      <c r="N826" s="7" t="s">
        <v>45</v>
      </c>
      <c r="O826">
        <v>2.5232608695652168</v>
      </c>
      <c r="P826" s="5" t="s">
        <v>45</v>
      </c>
      <c r="Q826" s="6" t="s">
        <v>45</v>
      </c>
      <c r="R826" s="6" t="s">
        <v>45</v>
      </c>
      <c r="S826" s="6" t="s">
        <v>45</v>
      </c>
      <c r="T826" s="6" t="s">
        <v>45</v>
      </c>
      <c r="U826" s="6" t="s">
        <v>45</v>
      </c>
      <c r="V826" s="1" t="s">
        <v>45</v>
      </c>
      <c r="W826" s="1" t="s">
        <v>45</v>
      </c>
      <c r="X826" s="1" t="s">
        <v>45</v>
      </c>
      <c r="Y826" s="6">
        <f t="shared" si="301"/>
        <v>2.5232608695652168</v>
      </c>
    </row>
    <row r="827" spans="1:25" x14ac:dyDescent="0.15">
      <c r="A827" s="1">
        <v>2023</v>
      </c>
      <c r="B827" s="1" t="s">
        <v>56</v>
      </c>
      <c r="C827" s="1">
        <v>43</v>
      </c>
      <c r="D827" s="3">
        <v>5</v>
      </c>
      <c r="E827" s="3" t="s">
        <v>36</v>
      </c>
      <c r="F827" s="3"/>
      <c r="G827" s="3" t="s">
        <v>41</v>
      </c>
      <c r="H827" s="1" t="s">
        <v>76</v>
      </c>
      <c r="I827" s="3">
        <v>4</v>
      </c>
      <c r="J827" s="3" t="s">
        <v>36</v>
      </c>
      <c r="K827" s="1" t="s">
        <v>43</v>
      </c>
      <c r="L827">
        <v>70</v>
      </c>
      <c r="M827" s="7" t="s">
        <v>45</v>
      </c>
      <c r="N827" s="7" t="s">
        <v>45</v>
      </c>
      <c r="O827">
        <v>3.1873369565217393</v>
      </c>
      <c r="P827" s="5" t="s">
        <v>45</v>
      </c>
      <c r="Q827" s="6" t="s">
        <v>45</v>
      </c>
      <c r="R827" s="6" t="s">
        <v>45</v>
      </c>
      <c r="S827" s="6" t="s">
        <v>45</v>
      </c>
      <c r="T827" s="6" t="s">
        <v>45</v>
      </c>
      <c r="U827" s="6" t="s">
        <v>45</v>
      </c>
      <c r="V827" s="1" t="s">
        <v>45</v>
      </c>
      <c r="W827" s="1" t="s">
        <v>45</v>
      </c>
      <c r="X827" s="1" t="s">
        <v>45</v>
      </c>
      <c r="Y827" s="6">
        <f t="shared" si="301"/>
        <v>3.1873369565217393</v>
      </c>
    </row>
    <row r="828" spans="1:25" x14ac:dyDescent="0.15">
      <c r="A828" s="1">
        <v>2023</v>
      </c>
      <c r="B828" s="1" t="s">
        <v>56</v>
      </c>
      <c r="C828" s="1">
        <v>43</v>
      </c>
      <c r="D828" s="3">
        <v>6</v>
      </c>
      <c r="E828" s="3" t="s">
        <v>37</v>
      </c>
      <c r="F828" s="3"/>
      <c r="G828" s="3" t="s">
        <v>41</v>
      </c>
      <c r="H828" s="1" t="s">
        <v>77</v>
      </c>
      <c r="I828" s="3">
        <v>4</v>
      </c>
      <c r="J828" s="3" t="s">
        <v>37</v>
      </c>
      <c r="K828" s="1" t="s">
        <v>43</v>
      </c>
      <c r="L828">
        <v>50</v>
      </c>
      <c r="M828" s="7" t="s">
        <v>45</v>
      </c>
      <c r="N828" s="7" t="s">
        <v>45</v>
      </c>
      <c r="O828">
        <v>2.4756521739130433</v>
      </c>
      <c r="P828" s="5" t="s">
        <v>45</v>
      </c>
      <c r="Q828" s="6" t="s">
        <v>45</v>
      </c>
      <c r="R828" s="6" t="s">
        <v>45</v>
      </c>
      <c r="S828" s="6" t="s">
        <v>45</v>
      </c>
      <c r="T828" s="6" t="s">
        <v>45</v>
      </c>
      <c r="U828" s="6" t="s">
        <v>45</v>
      </c>
      <c r="V828" s="1" t="s">
        <v>45</v>
      </c>
      <c r="W828" s="1" t="s">
        <v>45</v>
      </c>
      <c r="X828" s="1" t="s">
        <v>45</v>
      </c>
      <c r="Y828" s="6">
        <f t="shared" si="301"/>
        <v>2.4756521739130433</v>
      </c>
    </row>
    <row r="829" spans="1:25" x14ac:dyDescent="0.15">
      <c r="A829" s="1">
        <v>2023</v>
      </c>
      <c r="B829" s="1" t="s">
        <v>56</v>
      </c>
      <c r="C829" s="1">
        <v>43</v>
      </c>
      <c r="D829" s="3">
        <v>7</v>
      </c>
      <c r="E829" s="3"/>
      <c r="F829" s="3" t="s">
        <v>38</v>
      </c>
      <c r="G829" s="3" t="s">
        <v>41</v>
      </c>
      <c r="H829" s="1"/>
      <c r="I829" s="3">
        <v>4</v>
      </c>
      <c r="J829" s="3" t="s">
        <v>38</v>
      </c>
      <c r="K829" s="1" t="s">
        <v>42</v>
      </c>
      <c r="L829" s="7" t="s">
        <v>45</v>
      </c>
      <c r="M829">
        <v>35</v>
      </c>
      <c r="N829" s="7" t="s">
        <v>45</v>
      </c>
      <c r="O829" s="5" t="s">
        <v>45</v>
      </c>
      <c r="P829">
        <v>0.37835869565217395</v>
      </c>
      <c r="Q829" s="6" t="s">
        <v>45</v>
      </c>
      <c r="R829" s="6" t="s">
        <v>45</v>
      </c>
      <c r="S829" s="6" t="s">
        <v>45</v>
      </c>
      <c r="T829" s="6" t="s">
        <v>45</v>
      </c>
      <c r="U829" s="6" t="s">
        <v>45</v>
      </c>
      <c r="V829" s="1" t="s">
        <v>45</v>
      </c>
      <c r="W829" s="1" t="s">
        <v>45</v>
      </c>
      <c r="X829" s="1" t="s">
        <v>45</v>
      </c>
      <c r="Y829" s="6">
        <f>P829</f>
        <v>0.37835869565217395</v>
      </c>
    </row>
    <row r="830" spans="1:25" x14ac:dyDescent="0.15">
      <c r="A830" s="1">
        <v>2023</v>
      </c>
      <c r="B830" s="1" t="s">
        <v>56</v>
      </c>
      <c r="C830" s="1">
        <v>43</v>
      </c>
      <c r="D830" s="3">
        <v>8</v>
      </c>
      <c r="E830" s="3"/>
      <c r="F830" s="3" t="s">
        <v>39</v>
      </c>
      <c r="G830" s="3" t="s">
        <v>41</v>
      </c>
      <c r="H830" s="1"/>
      <c r="I830" s="3">
        <v>4</v>
      </c>
      <c r="J830" s="3" t="s">
        <v>39</v>
      </c>
      <c r="K830" s="1" t="s">
        <v>42</v>
      </c>
      <c r="L830" s="7" t="s">
        <v>45</v>
      </c>
      <c r="M830">
        <v>25</v>
      </c>
      <c r="N830" s="7" t="s">
        <v>45</v>
      </c>
      <c r="O830" s="5" t="s">
        <v>45</v>
      </c>
      <c r="P830">
        <v>5.4717391304347822E-2</v>
      </c>
      <c r="Q830" s="6" t="s">
        <v>45</v>
      </c>
      <c r="R830" s="6" t="s">
        <v>45</v>
      </c>
      <c r="S830" s="6" t="s">
        <v>45</v>
      </c>
      <c r="T830" s="6" t="s">
        <v>45</v>
      </c>
      <c r="U830" s="6" t="s">
        <v>45</v>
      </c>
      <c r="V830" s="1" t="s">
        <v>45</v>
      </c>
      <c r="W830" s="1" t="s">
        <v>45</v>
      </c>
      <c r="X830" s="1" t="s">
        <v>45</v>
      </c>
      <c r="Y830" s="6">
        <f t="shared" ref="Y830:Y831" si="302">P830</f>
        <v>5.4717391304347822E-2</v>
      </c>
    </row>
    <row r="831" spans="1:25" x14ac:dyDescent="0.15">
      <c r="A831" s="1">
        <v>2023</v>
      </c>
      <c r="B831" s="1" t="s">
        <v>56</v>
      </c>
      <c r="C831" s="1">
        <v>43</v>
      </c>
      <c r="D831" s="3">
        <v>9</v>
      </c>
      <c r="E831" s="3"/>
      <c r="F831" s="3" t="s">
        <v>40</v>
      </c>
      <c r="G831" s="3" t="s">
        <v>41</v>
      </c>
      <c r="H831" s="1"/>
      <c r="I831" s="3">
        <v>4</v>
      </c>
      <c r="J831" s="3" t="s">
        <v>40</v>
      </c>
      <c r="K831" s="1" t="s">
        <v>42</v>
      </c>
      <c r="L831" s="7" t="s">
        <v>45</v>
      </c>
      <c r="M831">
        <v>35</v>
      </c>
      <c r="N831" s="7" t="s">
        <v>45</v>
      </c>
      <c r="O831" s="5" t="s">
        <v>45</v>
      </c>
      <c r="P831">
        <v>0.39681521739130438</v>
      </c>
      <c r="Q831" s="6" t="s">
        <v>45</v>
      </c>
      <c r="R831" s="6" t="s">
        <v>45</v>
      </c>
      <c r="S831" s="6" t="s">
        <v>45</v>
      </c>
      <c r="T831" s="6" t="s">
        <v>45</v>
      </c>
      <c r="U831" s="6" t="s">
        <v>45</v>
      </c>
      <c r="V831" s="1" t="s">
        <v>45</v>
      </c>
      <c r="W831" s="1" t="s">
        <v>45</v>
      </c>
      <c r="X831" s="1" t="s">
        <v>45</v>
      </c>
      <c r="Y831" s="6">
        <f t="shared" si="302"/>
        <v>0.39681521739130438</v>
      </c>
    </row>
    <row r="832" spans="1:25" x14ac:dyDescent="0.15">
      <c r="A832" s="1">
        <v>2023</v>
      </c>
      <c r="B832" s="1" t="s">
        <v>56</v>
      </c>
      <c r="C832" s="1">
        <v>43</v>
      </c>
      <c r="D832" s="3">
        <v>10</v>
      </c>
      <c r="E832" s="3" t="s">
        <v>35</v>
      </c>
      <c r="F832" s="3" t="s">
        <v>38</v>
      </c>
      <c r="G832" s="3" t="s">
        <v>14</v>
      </c>
      <c r="H832" s="1" t="s">
        <v>35</v>
      </c>
      <c r="I832" s="3">
        <v>4</v>
      </c>
      <c r="J832" s="3" t="s">
        <v>63</v>
      </c>
      <c r="K832" s="1" t="s">
        <v>42</v>
      </c>
      <c r="L832">
        <v>65</v>
      </c>
      <c r="M832">
        <v>40</v>
      </c>
      <c r="N832" s="7">
        <f>L832-M832</f>
        <v>25</v>
      </c>
      <c r="O832">
        <v>0.6111413043478261</v>
      </c>
      <c r="P832">
        <v>0.17595652173913046</v>
      </c>
      <c r="Q832" s="6">
        <f>O832/(0.1*O823)</f>
        <v>2.4220298095976571</v>
      </c>
      <c r="R832" s="6">
        <f>O832/(0.1*O826)</f>
        <v>2.4220298095976571</v>
      </c>
      <c r="S832" s="6">
        <f>P832/(0.9*P829)</f>
        <v>0.51672460187499403</v>
      </c>
      <c r="T832" s="6">
        <f>Q832+S832</f>
        <v>2.9387544114726509</v>
      </c>
      <c r="U832" s="6">
        <f>R832+S832</f>
        <v>2.9387544114726509</v>
      </c>
      <c r="V832" s="1">
        <f>O832/O823+P832/P829</f>
        <v>0.70725512264726031</v>
      </c>
      <c r="W832" s="1">
        <f>O832/O826+P832/P829</f>
        <v>0.70725512264726031</v>
      </c>
      <c r="X832" s="1">
        <f t="shared" ref="X832:X840" si="303">100*ROUND(P832/(P832+O832), 2)</f>
        <v>22</v>
      </c>
      <c r="Y832" s="6">
        <f>O832+P832</f>
        <v>0.78709782608695655</v>
      </c>
    </row>
    <row r="833" spans="1:25" x14ac:dyDescent="0.15">
      <c r="A833" s="1">
        <v>2023</v>
      </c>
      <c r="B833" s="1" t="s">
        <v>56</v>
      </c>
      <c r="C833" s="1">
        <v>43</v>
      </c>
      <c r="D833" s="3">
        <v>11</v>
      </c>
      <c r="E833" s="3" t="s">
        <v>35</v>
      </c>
      <c r="F833" s="3" t="s">
        <v>39</v>
      </c>
      <c r="G833" s="3" t="s">
        <v>14</v>
      </c>
      <c r="H833" s="1" t="s">
        <v>35</v>
      </c>
      <c r="I833" s="3">
        <v>4</v>
      </c>
      <c r="J833" s="3" t="s">
        <v>64</v>
      </c>
      <c r="K833" s="1" t="s">
        <v>42</v>
      </c>
      <c r="L833">
        <v>65</v>
      </c>
      <c r="M833">
        <v>35</v>
      </c>
      <c r="N833" s="7">
        <f t="shared" ref="N833:N840" si="304">L833-M833</f>
        <v>30</v>
      </c>
      <c r="O833">
        <v>0.73401086956521755</v>
      </c>
      <c r="P833">
        <v>0.27619565217391306</v>
      </c>
      <c r="Q833" s="6">
        <f>O833/(0.1*O823)</f>
        <v>2.9089773412595856</v>
      </c>
      <c r="R833" s="6">
        <f>O833/(0.1*O826)</f>
        <v>2.9089773412595856</v>
      </c>
      <c r="S833" s="6">
        <f>P833/(0.9*P830)</f>
        <v>5.6085286716991138</v>
      </c>
      <c r="T833" s="6">
        <f t="shared" ref="T833:T840" si="305">Q833+S833</f>
        <v>8.5175060129586999</v>
      </c>
      <c r="U833" s="6">
        <f t="shared" ref="U833:U840" si="306">R833+S833</f>
        <v>8.5175060129586999</v>
      </c>
      <c r="V833" s="1">
        <f>O833/O823+P833/P830</f>
        <v>5.3385735386551607</v>
      </c>
      <c r="W833" s="1">
        <f>O833/O826+P833/P830</f>
        <v>5.3385735386551607</v>
      </c>
      <c r="X833" s="1">
        <f t="shared" si="303"/>
        <v>27</v>
      </c>
      <c r="Y833" s="6">
        <f t="shared" ref="Y833:Y840" si="307">O833+P833</f>
        <v>1.0102065217391307</v>
      </c>
    </row>
    <row r="834" spans="1:25" x14ac:dyDescent="0.15">
      <c r="A834" s="1">
        <v>2023</v>
      </c>
      <c r="B834" s="1" t="s">
        <v>56</v>
      </c>
      <c r="C834" s="1">
        <v>43</v>
      </c>
      <c r="D834" s="3">
        <v>12</v>
      </c>
      <c r="E834" s="3" t="s">
        <v>35</v>
      </c>
      <c r="F834" s="3" t="s">
        <v>40</v>
      </c>
      <c r="G834" s="3" t="s">
        <v>14</v>
      </c>
      <c r="H834" s="1" t="s">
        <v>35</v>
      </c>
      <c r="I834" s="3">
        <v>4</v>
      </c>
      <c r="J834" s="3" t="s">
        <v>65</v>
      </c>
      <c r="K834" s="1" t="s">
        <v>42</v>
      </c>
      <c r="L834">
        <v>65</v>
      </c>
      <c r="M834">
        <v>45</v>
      </c>
      <c r="N834" s="7">
        <f t="shared" si="304"/>
        <v>20</v>
      </c>
      <c r="O834">
        <v>0.37177173913043482</v>
      </c>
      <c r="P834">
        <v>0.26082608695652176</v>
      </c>
      <c r="Q834" s="6">
        <f>O834/(0.1*O823)</f>
        <v>1.4733781338847252</v>
      </c>
      <c r="R834" s="6">
        <f>O834/(0.1*O826)</f>
        <v>1.4733781338847252</v>
      </c>
      <c r="S834" s="6">
        <f>P834/(0.9*P831)</f>
        <v>0.73033177807604632</v>
      </c>
      <c r="T834" s="6">
        <f t="shared" si="305"/>
        <v>2.2037099119607717</v>
      </c>
      <c r="U834" s="6">
        <f t="shared" si="306"/>
        <v>2.2037099119607717</v>
      </c>
      <c r="V834" s="1">
        <f>O834/O823+P834/P831</f>
        <v>0.80463641365691418</v>
      </c>
      <c r="W834" s="1">
        <f>O834/O826+P834/P831</f>
        <v>0.80463641365691418</v>
      </c>
      <c r="X834" s="1">
        <f t="shared" si="303"/>
        <v>41</v>
      </c>
      <c r="Y834" s="6">
        <f t="shared" si="307"/>
        <v>0.63259782608695658</v>
      </c>
    </row>
    <row r="835" spans="1:25" x14ac:dyDescent="0.15">
      <c r="A835" s="1">
        <v>2023</v>
      </c>
      <c r="B835" s="1" t="s">
        <v>56</v>
      </c>
      <c r="C835" s="1">
        <v>43</v>
      </c>
      <c r="D835" s="3">
        <v>13</v>
      </c>
      <c r="E835" s="3" t="s">
        <v>36</v>
      </c>
      <c r="F835" s="3" t="s">
        <v>38</v>
      </c>
      <c r="G835" s="3" t="s">
        <v>14</v>
      </c>
      <c r="H835" s="1" t="s">
        <v>36</v>
      </c>
      <c r="I835" s="3">
        <v>4</v>
      </c>
      <c r="J835" s="3" t="s">
        <v>66</v>
      </c>
      <c r="K835" s="1" t="s">
        <v>42</v>
      </c>
      <c r="L835">
        <v>60</v>
      </c>
      <c r="M835">
        <v>30</v>
      </c>
      <c r="N835" s="7">
        <f t="shared" si="304"/>
        <v>30</v>
      </c>
      <c r="O835">
        <v>0.80952173913043479</v>
      </c>
      <c r="P835">
        <v>5.5369565217391309E-2</v>
      </c>
      <c r="Q835" s="6">
        <f>O835/(0.1*O824)</f>
        <v>2.4948412166688994</v>
      </c>
      <c r="R835" s="6">
        <f>O835/(0.1*O827)</f>
        <v>2.5398059576789942</v>
      </c>
      <c r="S835" s="6">
        <f>P835/(0.9*P829)</f>
        <v>0.16260162601626016</v>
      </c>
      <c r="T835" s="6">
        <f t="shared" si="305"/>
        <v>2.6574428426851595</v>
      </c>
      <c r="U835" s="6">
        <f t="shared" si="306"/>
        <v>2.7024075836952544</v>
      </c>
      <c r="V835" s="1">
        <f>O835/O824+P835/P829</f>
        <v>0.3958255850815241</v>
      </c>
      <c r="W835" s="1">
        <f>O835/O827+P835/P829</f>
        <v>0.40032205918253361</v>
      </c>
      <c r="X835" s="1">
        <f t="shared" si="303"/>
        <v>6</v>
      </c>
      <c r="Y835" s="6">
        <f t="shared" si="307"/>
        <v>0.86489130434782613</v>
      </c>
    </row>
    <row r="836" spans="1:25" x14ac:dyDescent="0.15">
      <c r="A836" s="1">
        <v>2023</v>
      </c>
      <c r="B836" s="1" t="s">
        <v>56</v>
      </c>
      <c r="C836" s="1">
        <v>43</v>
      </c>
      <c r="D836" s="3">
        <v>14</v>
      </c>
      <c r="E836" s="3" t="s">
        <v>36</v>
      </c>
      <c r="F836" s="3" t="s">
        <v>39</v>
      </c>
      <c r="G836" s="3" t="s">
        <v>14</v>
      </c>
      <c r="H836" s="1" t="s">
        <v>36</v>
      </c>
      <c r="I836" s="3">
        <v>4</v>
      </c>
      <c r="J836" s="3" t="s">
        <v>67</v>
      </c>
      <c r="K836" s="1" t="s">
        <v>42</v>
      </c>
      <c r="L836">
        <v>60</v>
      </c>
      <c r="M836">
        <v>35</v>
      </c>
      <c r="N836" s="7">
        <f t="shared" si="304"/>
        <v>25</v>
      </c>
      <c r="O836">
        <v>0.77454347826086978</v>
      </c>
      <c r="P836">
        <v>0.12081521739130435</v>
      </c>
      <c r="Q836" s="6">
        <f>O836/(0.1*O824)</f>
        <v>2.3870427442047437</v>
      </c>
      <c r="R836" s="6">
        <f>O836/(0.1*O827)</f>
        <v>2.4300646239364334</v>
      </c>
      <c r="S836" s="6">
        <f>P836/(0.9*P830)</f>
        <v>2.4533174413984908</v>
      </c>
      <c r="T836" s="6">
        <f t="shared" si="305"/>
        <v>4.8403601856032346</v>
      </c>
      <c r="U836" s="6">
        <f t="shared" si="306"/>
        <v>4.8833820653349242</v>
      </c>
      <c r="V836" s="1">
        <f>O836/O824+P836/P830</f>
        <v>2.4466899716791159</v>
      </c>
      <c r="W836" s="1">
        <f>O836/O827+P836/P830</f>
        <v>2.4509921596522846</v>
      </c>
      <c r="X836" s="1">
        <f t="shared" si="303"/>
        <v>13</v>
      </c>
      <c r="Y836" s="6">
        <f t="shared" si="307"/>
        <v>0.89535869565217419</v>
      </c>
    </row>
    <row r="837" spans="1:25" x14ac:dyDescent="0.15">
      <c r="A837" s="1">
        <v>2023</v>
      </c>
      <c r="B837" s="1" t="s">
        <v>56</v>
      </c>
      <c r="C837" s="1">
        <v>43</v>
      </c>
      <c r="D837" s="3">
        <v>15</v>
      </c>
      <c r="E837" s="3" t="s">
        <v>36</v>
      </c>
      <c r="F837" s="3" t="s">
        <v>40</v>
      </c>
      <c r="G837" s="3" t="s">
        <v>14</v>
      </c>
      <c r="H837" s="1" t="s">
        <v>36</v>
      </c>
      <c r="I837" s="3">
        <v>4</v>
      </c>
      <c r="J837" s="3" t="s">
        <v>68</v>
      </c>
      <c r="K837" s="1" t="s">
        <v>42</v>
      </c>
      <c r="L837">
        <v>60</v>
      </c>
      <c r="M837">
        <v>40</v>
      </c>
      <c r="N837" s="7">
        <f t="shared" si="304"/>
        <v>20</v>
      </c>
      <c r="O837">
        <v>0.79891304347826098</v>
      </c>
      <c r="P837">
        <v>0.295304347826087</v>
      </c>
      <c r="Q837" s="6">
        <f>O837/(0.1*O824)</f>
        <v>2.4621465898432264</v>
      </c>
      <c r="R837" s="6">
        <f>O837/(0.1*O827)</f>
        <v>2.5065220727402937</v>
      </c>
      <c r="S837" s="6">
        <f>P837/(0.9*P831)</f>
        <v>0.82687338501291996</v>
      </c>
      <c r="T837" s="6">
        <f t="shared" si="305"/>
        <v>3.2890199748561466</v>
      </c>
      <c r="U837" s="6">
        <f t="shared" si="306"/>
        <v>3.3333954577532134</v>
      </c>
      <c r="V837" s="1">
        <f>O837/O824+P837/P831</f>
        <v>0.99040070549595072</v>
      </c>
      <c r="W837" s="1">
        <f>O837/O827+P837/P831</f>
        <v>0.99483825378565738</v>
      </c>
      <c r="X837" s="1">
        <f t="shared" si="303"/>
        <v>27</v>
      </c>
      <c r="Y837" s="6">
        <f t="shared" si="307"/>
        <v>1.094217391304348</v>
      </c>
    </row>
    <row r="838" spans="1:25" x14ac:dyDescent="0.15">
      <c r="A838" s="1">
        <v>2023</v>
      </c>
      <c r="B838" s="1" t="s">
        <v>56</v>
      </c>
      <c r="C838" s="1">
        <v>43</v>
      </c>
      <c r="D838" s="3">
        <v>16</v>
      </c>
      <c r="E838" s="3" t="s">
        <v>37</v>
      </c>
      <c r="F838" s="3" t="s">
        <v>38</v>
      </c>
      <c r="G838" s="3" t="s">
        <v>14</v>
      </c>
      <c r="H838" s="1" t="s">
        <v>37</v>
      </c>
      <c r="I838" s="3">
        <v>4</v>
      </c>
      <c r="J838" s="3" t="s">
        <v>69</v>
      </c>
      <c r="K838" s="1" t="s">
        <v>42</v>
      </c>
      <c r="L838">
        <v>55</v>
      </c>
      <c r="M838">
        <v>40</v>
      </c>
      <c r="N838" s="7">
        <f t="shared" si="304"/>
        <v>15</v>
      </c>
      <c r="O838">
        <v>0.67681521739130435</v>
      </c>
      <c r="P838">
        <v>0.29704347826086958</v>
      </c>
      <c r="Q838" s="6">
        <f>O838/(0.1*O825)</f>
        <v>3.2985643905281563</v>
      </c>
      <c r="R838" s="6">
        <f>O838/(0.1*O828)</f>
        <v>2.7338865472427121</v>
      </c>
      <c r="S838" s="6">
        <f>P838/(0.9*P829)</f>
        <v>0.87231590808252013</v>
      </c>
      <c r="T838" s="6">
        <f t="shared" si="305"/>
        <v>4.1708802986106761</v>
      </c>
      <c r="U838" s="6">
        <f t="shared" si="306"/>
        <v>3.6062024553252323</v>
      </c>
      <c r="V838" s="1">
        <f>O838/O825+P838/P829</f>
        <v>1.1149407563270837</v>
      </c>
      <c r="W838" s="1">
        <f>O838/O828+P838/P829</f>
        <v>1.0584729719985393</v>
      </c>
      <c r="X838" s="1">
        <f t="shared" si="303"/>
        <v>31</v>
      </c>
      <c r="Y838" s="6">
        <f t="shared" si="307"/>
        <v>0.97385869565217398</v>
      </c>
    </row>
    <row r="839" spans="1:25" x14ac:dyDescent="0.15">
      <c r="A839" s="1">
        <v>2023</v>
      </c>
      <c r="B839" s="1" t="s">
        <v>56</v>
      </c>
      <c r="C839" s="1">
        <v>43</v>
      </c>
      <c r="D839" s="3">
        <v>17</v>
      </c>
      <c r="E839" s="3" t="s">
        <v>37</v>
      </c>
      <c r="F839" s="3" t="s">
        <v>39</v>
      </c>
      <c r="G839" s="3" t="s">
        <v>14</v>
      </c>
      <c r="H839" s="1" t="s">
        <v>37</v>
      </c>
      <c r="I839" s="3">
        <v>4</v>
      </c>
      <c r="J839" s="3" t="s">
        <v>70</v>
      </c>
      <c r="K839" s="1" t="s">
        <v>42</v>
      </c>
      <c r="L839">
        <v>50</v>
      </c>
      <c r="M839">
        <v>35</v>
      </c>
      <c r="N839" s="7">
        <f t="shared" si="304"/>
        <v>15</v>
      </c>
      <c r="O839">
        <v>0.47608695652173916</v>
      </c>
      <c r="P839">
        <v>0.16728260869565217</v>
      </c>
      <c r="Q839" s="6">
        <f>O839/(0.1*O825)</f>
        <v>2.3202839434232136</v>
      </c>
      <c r="R839" s="6">
        <f>O839/(0.1*O828)</f>
        <v>1.9230769230769234</v>
      </c>
      <c r="S839" s="6">
        <f>P839/(0.9*P830)</f>
        <v>3.3969010727056022</v>
      </c>
      <c r="T839" s="6">
        <f t="shared" si="305"/>
        <v>5.7171850161288162</v>
      </c>
      <c r="U839" s="6">
        <f t="shared" si="306"/>
        <v>5.3199779957825255</v>
      </c>
      <c r="V839" s="1">
        <f>O839/O825+P839/P830</f>
        <v>3.2892393597773637</v>
      </c>
      <c r="W839" s="1">
        <f>O839/O828+P839/P830</f>
        <v>3.2495186577427346</v>
      </c>
      <c r="X839" s="1">
        <f t="shared" si="303"/>
        <v>26</v>
      </c>
      <c r="Y839" s="6">
        <f t="shared" si="307"/>
        <v>0.6433695652173913</v>
      </c>
    </row>
    <row r="840" spans="1:25" x14ac:dyDescent="0.15">
      <c r="A840" s="1">
        <v>2023</v>
      </c>
      <c r="B840" s="1" t="s">
        <v>56</v>
      </c>
      <c r="C840" s="1">
        <v>43</v>
      </c>
      <c r="D840" s="3">
        <v>18</v>
      </c>
      <c r="E840" s="3" t="s">
        <v>37</v>
      </c>
      <c r="F840" s="3" t="s">
        <v>40</v>
      </c>
      <c r="G840" s="3" t="s">
        <v>14</v>
      </c>
      <c r="H840" s="1" t="s">
        <v>37</v>
      </c>
      <c r="I840" s="3">
        <v>4</v>
      </c>
      <c r="J840" s="3" t="s">
        <v>71</v>
      </c>
      <c r="K840" s="1" t="s">
        <v>42</v>
      </c>
      <c r="L840">
        <v>55</v>
      </c>
      <c r="M840">
        <v>40</v>
      </c>
      <c r="N840" s="7">
        <f t="shared" si="304"/>
        <v>15</v>
      </c>
      <c r="O840">
        <v>0.59781521739130439</v>
      </c>
      <c r="P840">
        <v>0.36956521739130438</v>
      </c>
      <c r="Q840" s="6">
        <f>O840/(0.1*O825)</f>
        <v>2.9135455845738205</v>
      </c>
      <c r="R840" s="6">
        <f>O840/(0.1*O828)</f>
        <v>2.4147787144362489</v>
      </c>
      <c r="S840" s="6">
        <f>P840/(0.9*P831)</f>
        <v>1.0348091538000321</v>
      </c>
      <c r="T840" s="6">
        <f t="shared" si="305"/>
        <v>3.9483547383738529</v>
      </c>
      <c r="U840" s="6">
        <f t="shared" si="306"/>
        <v>3.4495878682362813</v>
      </c>
      <c r="V840" s="1">
        <f>O840/O825+P840/P831</f>
        <v>1.2226827968774112</v>
      </c>
      <c r="W840" s="1">
        <f>O840/O828+P840/P831</f>
        <v>1.172806109863654</v>
      </c>
      <c r="X840" s="1">
        <f t="shared" si="303"/>
        <v>38</v>
      </c>
      <c r="Y840" s="6">
        <f t="shared" si="307"/>
        <v>0.96738043478260871</v>
      </c>
    </row>
    <row r="841" spans="1:25" x14ac:dyDescent="0.15">
      <c r="A841" s="1">
        <v>2023</v>
      </c>
      <c r="B841" s="1" t="s">
        <v>56</v>
      </c>
      <c r="C841" s="1">
        <v>43</v>
      </c>
      <c r="D841" s="3">
        <v>1</v>
      </c>
      <c r="E841" s="3" t="s">
        <v>35</v>
      </c>
      <c r="F841" s="3"/>
      <c r="G841" s="3" t="s">
        <v>41</v>
      </c>
      <c r="H841" s="1" t="s">
        <v>35</v>
      </c>
      <c r="I841" s="3">
        <v>4</v>
      </c>
      <c r="J841" s="3" t="s">
        <v>35</v>
      </c>
      <c r="K841" s="1" t="s">
        <v>42</v>
      </c>
      <c r="L841">
        <v>70</v>
      </c>
      <c r="M841" s="7" t="s">
        <v>45</v>
      </c>
      <c r="N841" s="7" t="s">
        <v>45</v>
      </c>
      <c r="O841">
        <v>2.3025978260869575</v>
      </c>
      <c r="P841" s="5" t="s">
        <v>45</v>
      </c>
      <c r="Q841" s="6" t="s">
        <v>45</v>
      </c>
      <c r="R841" s="6" t="s">
        <v>45</v>
      </c>
      <c r="S841" s="6" t="s">
        <v>45</v>
      </c>
      <c r="T841" s="6" t="s">
        <v>45</v>
      </c>
      <c r="U841" s="6" t="s">
        <v>45</v>
      </c>
      <c r="V841" s="1" t="s">
        <v>45</v>
      </c>
      <c r="W841" s="1" t="s">
        <v>45</v>
      </c>
      <c r="X841" s="6" t="s">
        <v>45</v>
      </c>
      <c r="Y841" s="6">
        <f>O841</f>
        <v>2.3025978260869575</v>
      </c>
    </row>
    <row r="842" spans="1:25" x14ac:dyDescent="0.15">
      <c r="A842" s="1">
        <v>2023</v>
      </c>
      <c r="B842" s="1" t="s">
        <v>56</v>
      </c>
      <c r="C842" s="1">
        <v>44</v>
      </c>
      <c r="D842" s="3">
        <v>2</v>
      </c>
      <c r="E842" s="3" t="s">
        <v>36</v>
      </c>
      <c r="F842" s="3"/>
      <c r="G842" s="3" t="s">
        <v>41</v>
      </c>
      <c r="H842" s="1" t="s">
        <v>36</v>
      </c>
      <c r="I842" s="3">
        <v>4</v>
      </c>
      <c r="J842" s="3" t="s">
        <v>36</v>
      </c>
      <c r="K842" s="1" t="s">
        <v>42</v>
      </c>
      <c r="L842">
        <v>65</v>
      </c>
      <c r="M842" s="7" t="s">
        <v>45</v>
      </c>
      <c r="N842" s="7" t="s">
        <v>45</v>
      </c>
      <c r="O842">
        <v>3.2696847826086963</v>
      </c>
      <c r="P842" s="5" t="s">
        <v>45</v>
      </c>
      <c r="Q842" s="6" t="s">
        <v>45</v>
      </c>
      <c r="R842" s="6" t="s">
        <v>45</v>
      </c>
      <c r="S842" s="6" t="s">
        <v>45</v>
      </c>
      <c r="T842" s="6" t="s">
        <v>45</v>
      </c>
      <c r="U842" s="6" t="s">
        <v>45</v>
      </c>
      <c r="V842" s="1" t="s">
        <v>45</v>
      </c>
      <c r="W842" s="1" t="s">
        <v>45</v>
      </c>
      <c r="X842" s="6" t="s">
        <v>45</v>
      </c>
      <c r="Y842" s="6">
        <f t="shared" ref="Y842:Y846" si="308">O842</f>
        <v>3.2696847826086963</v>
      </c>
    </row>
    <row r="843" spans="1:25" x14ac:dyDescent="0.15">
      <c r="A843" s="1">
        <v>2023</v>
      </c>
      <c r="B843" s="1" t="s">
        <v>56</v>
      </c>
      <c r="C843" s="1">
        <v>44</v>
      </c>
      <c r="D843" s="3">
        <v>3</v>
      </c>
      <c r="E843" s="3" t="s">
        <v>37</v>
      </c>
      <c r="F843" s="3"/>
      <c r="G843" s="3" t="s">
        <v>41</v>
      </c>
      <c r="H843" s="1" t="s">
        <v>37</v>
      </c>
      <c r="I843" s="3">
        <v>4</v>
      </c>
      <c r="J843" s="3" t="s">
        <v>37</v>
      </c>
      <c r="K843" s="1" t="s">
        <v>42</v>
      </c>
      <c r="L843">
        <v>50</v>
      </c>
      <c r="M843" s="7" t="s">
        <v>45</v>
      </c>
      <c r="N843" s="7" t="s">
        <v>45</v>
      </c>
      <c r="O843">
        <v>2.3640869565217391</v>
      </c>
      <c r="P843" s="5" t="s">
        <v>45</v>
      </c>
      <c r="Q843" s="6" t="s">
        <v>45</v>
      </c>
      <c r="R843" s="6" t="s">
        <v>45</v>
      </c>
      <c r="S843" s="6" t="s">
        <v>45</v>
      </c>
      <c r="T843" s="6" t="s">
        <v>45</v>
      </c>
      <c r="U843" s="6" t="s">
        <v>45</v>
      </c>
      <c r="V843" s="1" t="s">
        <v>45</v>
      </c>
      <c r="W843" s="1" t="s">
        <v>45</v>
      </c>
      <c r="X843" s="6" t="s">
        <v>45</v>
      </c>
      <c r="Y843" s="6">
        <f t="shared" si="308"/>
        <v>2.3640869565217391</v>
      </c>
    </row>
    <row r="844" spans="1:25" x14ac:dyDescent="0.15">
      <c r="A844" s="1">
        <v>2023</v>
      </c>
      <c r="B844" s="1" t="s">
        <v>56</v>
      </c>
      <c r="C844" s="1">
        <v>44</v>
      </c>
      <c r="D844" s="3">
        <v>4</v>
      </c>
      <c r="E844" s="3" t="s">
        <v>35</v>
      </c>
      <c r="F844" s="3"/>
      <c r="G844" s="3" t="s">
        <v>41</v>
      </c>
      <c r="H844" s="1" t="s">
        <v>75</v>
      </c>
      <c r="I844" s="3">
        <v>4</v>
      </c>
      <c r="J844" s="3" t="s">
        <v>35</v>
      </c>
      <c r="K844" s="1" t="s">
        <v>43</v>
      </c>
      <c r="L844">
        <v>75</v>
      </c>
      <c r="M844" s="7" t="s">
        <v>45</v>
      </c>
      <c r="N844" s="7" t="s">
        <v>45</v>
      </c>
      <c r="O844">
        <v>2.5987826086956529</v>
      </c>
      <c r="P844" s="5" t="s">
        <v>45</v>
      </c>
      <c r="Q844" s="6" t="s">
        <v>45</v>
      </c>
      <c r="R844" s="6" t="s">
        <v>45</v>
      </c>
      <c r="S844" s="6" t="s">
        <v>45</v>
      </c>
      <c r="T844" s="6" t="s">
        <v>45</v>
      </c>
      <c r="U844" s="6" t="s">
        <v>45</v>
      </c>
      <c r="V844" s="1" t="s">
        <v>45</v>
      </c>
      <c r="W844" s="1" t="s">
        <v>45</v>
      </c>
      <c r="X844" s="1" t="s">
        <v>45</v>
      </c>
      <c r="Y844" s="6">
        <f t="shared" si="308"/>
        <v>2.5987826086956529</v>
      </c>
    </row>
    <row r="845" spans="1:25" x14ac:dyDescent="0.15">
      <c r="A845" s="1">
        <v>2023</v>
      </c>
      <c r="B845" s="1" t="s">
        <v>56</v>
      </c>
      <c r="C845" s="1">
        <v>44</v>
      </c>
      <c r="D845" s="3">
        <v>5</v>
      </c>
      <c r="E845" s="3" t="s">
        <v>36</v>
      </c>
      <c r="F845" s="3"/>
      <c r="G845" s="3" t="s">
        <v>41</v>
      </c>
      <c r="H845" s="1" t="s">
        <v>76</v>
      </c>
      <c r="I845" s="3">
        <v>4</v>
      </c>
      <c r="J845" s="3" t="s">
        <v>36</v>
      </c>
      <c r="K845" s="1" t="s">
        <v>43</v>
      </c>
      <c r="L845">
        <v>65</v>
      </c>
      <c r="M845" s="7" t="s">
        <v>45</v>
      </c>
      <c r="N845" s="7" t="s">
        <v>45</v>
      </c>
      <c r="O845">
        <v>2.5964673913043481</v>
      </c>
      <c r="P845" s="5" t="s">
        <v>45</v>
      </c>
      <c r="Q845" s="6" t="s">
        <v>45</v>
      </c>
      <c r="R845" s="6" t="s">
        <v>45</v>
      </c>
      <c r="S845" s="6" t="s">
        <v>45</v>
      </c>
      <c r="T845" s="6" t="s">
        <v>45</v>
      </c>
      <c r="U845" s="6" t="s">
        <v>45</v>
      </c>
      <c r="V845" s="1" t="s">
        <v>45</v>
      </c>
      <c r="W845" s="1" t="s">
        <v>45</v>
      </c>
      <c r="X845" s="1" t="s">
        <v>45</v>
      </c>
      <c r="Y845" s="6">
        <f t="shared" si="308"/>
        <v>2.5964673913043481</v>
      </c>
    </row>
    <row r="846" spans="1:25" x14ac:dyDescent="0.15">
      <c r="A846" s="1">
        <v>2023</v>
      </c>
      <c r="B846" s="1" t="s">
        <v>56</v>
      </c>
      <c r="C846" s="1">
        <v>44</v>
      </c>
      <c r="D846" s="3">
        <v>6</v>
      </c>
      <c r="E846" s="3" t="s">
        <v>37</v>
      </c>
      <c r="F846" s="3"/>
      <c r="G846" s="3" t="s">
        <v>41</v>
      </c>
      <c r="H846" s="1" t="s">
        <v>77</v>
      </c>
      <c r="I846" s="3">
        <v>4</v>
      </c>
      <c r="J846" s="3" t="s">
        <v>37</v>
      </c>
      <c r="K846" s="1" t="s">
        <v>43</v>
      </c>
      <c r="L846">
        <v>55</v>
      </c>
      <c r="M846" s="7" t="s">
        <v>45</v>
      </c>
      <c r="N846" s="7" t="s">
        <v>45</v>
      </c>
      <c r="O846">
        <v>2.3312608695652175</v>
      </c>
      <c r="P846" s="5" t="s">
        <v>45</v>
      </c>
      <c r="Q846" s="6" t="s">
        <v>45</v>
      </c>
      <c r="R846" s="6" t="s">
        <v>45</v>
      </c>
      <c r="S846" s="6" t="s">
        <v>45</v>
      </c>
      <c r="T846" s="6" t="s">
        <v>45</v>
      </c>
      <c r="U846" s="6" t="s">
        <v>45</v>
      </c>
      <c r="V846" s="1" t="s">
        <v>45</v>
      </c>
      <c r="W846" s="1" t="s">
        <v>45</v>
      </c>
      <c r="X846" s="1" t="s">
        <v>45</v>
      </c>
      <c r="Y846" s="6">
        <f t="shared" si="308"/>
        <v>2.3312608695652175</v>
      </c>
    </row>
    <row r="847" spans="1:25" x14ac:dyDescent="0.15">
      <c r="A847" s="1">
        <v>2023</v>
      </c>
      <c r="B847" s="1" t="s">
        <v>56</v>
      </c>
      <c r="C847" s="1">
        <v>44</v>
      </c>
      <c r="D847" s="3">
        <v>7</v>
      </c>
      <c r="E847" s="3"/>
      <c r="F847" s="3" t="s">
        <v>38</v>
      </c>
      <c r="G847" s="3" t="s">
        <v>41</v>
      </c>
      <c r="H847" s="1"/>
      <c r="I847" s="3">
        <v>4</v>
      </c>
      <c r="J847" s="3" t="s">
        <v>38</v>
      </c>
      <c r="K847" s="1" t="s">
        <v>42</v>
      </c>
      <c r="L847" s="7" t="s">
        <v>45</v>
      </c>
      <c r="M847">
        <v>30</v>
      </c>
      <c r="N847" s="7" t="s">
        <v>45</v>
      </c>
      <c r="O847" s="5" t="s">
        <v>45</v>
      </c>
      <c r="P847">
        <v>0.1474782608695652</v>
      </c>
      <c r="Q847" s="6" t="s">
        <v>45</v>
      </c>
      <c r="R847" s="6" t="s">
        <v>45</v>
      </c>
      <c r="S847" s="6" t="s">
        <v>45</v>
      </c>
      <c r="T847" s="6" t="s">
        <v>45</v>
      </c>
      <c r="U847" s="6" t="s">
        <v>45</v>
      </c>
      <c r="V847" s="1" t="s">
        <v>45</v>
      </c>
      <c r="W847" s="1" t="s">
        <v>45</v>
      </c>
      <c r="X847" s="1" t="s">
        <v>45</v>
      </c>
      <c r="Y847" s="6">
        <f>P847</f>
        <v>0.1474782608695652</v>
      </c>
    </row>
    <row r="848" spans="1:25" x14ac:dyDescent="0.15">
      <c r="A848" s="1">
        <v>2023</v>
      </c>
      <c r="B848" s="1" t="s">
        <v>56</v>
      </c>
      <c r="C848" s="1">
        <v>44</v>
      </c>
      <c r="D848" s="3">
        <v>8</v>
      </c>
      <c r="E848" s="3"/>
      <c r="F848" s="3" t="s">
        <v>39</v>
      </c>
      <c r="G848" s="3" t="s">
        <v>41</v>
      </c>
      <c r="H848" s="1"/>
      <c r="I848" s="3">
        <v>4</v>
      </c>
      <c r="J848" s="3" t="s">
        <v>39</v>
      </c>
      <c r="K848" s="1" t="s">
        <v>42</v>
      </c>
      <c r="L848" s="7" t="s">
        <v>45</v>
      </c>
      <c r="M848">
        <v>30</v>
      </c>
      <c r="N848" s="7" t="s">
        <v>45</v>
      </c>
      <c r="O848" s="5" t="s">
        <v>45</v>
      </c>
      <c r="P848">
        <v>0.25747826086956521</v>
      </c>
      <c r="Q848" s="6" t="s">
        <v>45</v>
      </c>
      <c r="R848" s="6" t="s">
        <v>45</v>
      </c>
      <c r="S848" s="6" t="s">
        <v>45</v>
      </c>
      <c r="T848" s="6" t="s">
        <v>45</v>
      </c>
      <c r="U848" s="6" t="s">
        <v>45</v>
      </c>
      <c r="V848" s="1" t="s">
        <v>45</v>
      </c>
      <c r="W848" s="1" t="s">
        <v>45</v>
      </c>
      <c r="X848" s="1" t="s">
        <v>45</v>
      </c>
      <c r="Y848" s="6">
        <f t="shared" ref="Y848:Y849" si="309">P848</f>
        <v>0.25747826086956521</v>
      </c>
    </row>
    <row r="849" spans="1:25" x14ac:dyDescent="0.15">
      <c r="A849" s="1">
        <v>2023</v>
      </c>
      <c r="B849" s="1" t="s">
        <v>56</v>
      </c>
      <c r="C849" s="1">
        <v>44</v>
      </c>
      <c r="D849" s="3">
        <v>9</v>
      </c>
      <c r="E849" s="3"/>
      <c r="F849" s="3" t="s">
        <v>40</v>
      </c>
      <c r="G849" s="3" t="s">
        <v>41</v>
      </c>
      <c r="H849" s="1"/>
      <c r="I849" s="3">
        <v>4</v>
      </c>
      <c r="J849" s="3" t="s">
        <v>40</v>
      </c>
      <c r="K849" s="1" t="s">
        <v>42</v>
      </c>
      <c r="L849" s="7" t="s">
        <v>45</v>
      </c>
      <c r="M849">
        <v>35</v>
      </c>
      <c r="N849" s="7" t="s">
        <v>45</v>
      </c>
      <c r="O849" s="5" t="s">
        <v>45</v>
      </c>
      <c r="P849">
        <v>0.46032608695652177</v>
      </c>
      <c r="Q849" s="6" t="s">
        <v>45</v>
      </c>
      <c r="R849" s="6" t="s">
        <v>45</v>
      </c>
      <c r="S849" s="6" t="s">
        <v>45</v>
      </c>
      <c r="T849" s="6" t="s">
        <v>45</v>
      </c>
      <c r="U849" s="6" t="s">
        <v>45</v>
      </c>
      <c r="V849" s="1" t="s">
        <v>45</v>
      </c>
      <c r="W849" s="1" t="s">
        <v>45</v>
      </c>
      <c r="X849" s="1" t="s">
        <v>45</v>
      </c>
      <c r="Y849" s="6">
        <f t="shared" si="309"/>
        <v>0.46032608695652177</v>
      </c>
    </row>
    <row r="850" spans="1:25" x14ac:dyDescent="0.15">
      <c r="A850" s="1">
        <v>2023</v>
      </c>
      <c r="B850" s="1" t="s">
        <v>56</v>
      </c>
      <c r="C850" s="1">
        <v>44</v>
      </c>
      <c r="D850" s="3">
        <v>10</v>
      </c>
      <c r="E850" s="3" t="s">
        <v>35</v>
      </c>
      <c r="F850" s="3" t="s">
        <v>38</v>
      </c>
      <c r="G850" s="3" t="s">
        <v>14</v>
      </c>
      <c r="H850" s="1" t="s">
        <v>35</v>
      </c>
      <c r="I850" s="3">
        <v>4</v>
      </c>
      <c r="J850" s="3" t="s">
        <v>63</v>
      </c>
      <c r="K850" s="1" t="s">
        <v>42</v>
      </c>
      <c r="L850">
        <v>70</v>
      </c>
      <c r="M850">
        <v>40</v>
      </c>
      <c r="N850" s="7">
        <f>L850-M850</f>
        <v>30</v>
      </c>
      <c r="O850">
        <v>0.88</v>
      </c>
      <c r="P850">
        <v>0.24050000000000002</v>
      </c>
      <c r="Q850" s="6">
        <f>O850/(0.1*O841)</f>
        <v>3.8217703066951771</v>
      </c>
      <c r="R850" s="6">
        <f>O850/(0.1*O844)</f>
        <v>3.3862008967409483</v>
      </c>
      <c r="S850" s="6">
        <f>P850/(0.9*P847)</f>
        <v>1.8119431341719081</v>
      </c>
      <c r="T850" s="6">
        <f>Q850+S850</f>
        <v>5.6337134408670853</v>
      </c>
      <c r="U850" s="6">
        <f>R850+S850</f>
        <v>5.1981440309128564</v>
      </c>
      <c r="V850" s="1">
        <f>O850/O841+P850/P847</f>
        <v>2.0129258514242352</v>
      </c>
      <c r="W850" s="1">
        <f>O850/O844+P850/P847</f>
        <v>1.9693689104288121</v>
      </c>
      <c r="X850" s="1">
        <f t="shared" ref="X850:X858" si="310">100*ROUND(P850/(P850+O850), 2)</f>
        <v>21</v>
      </c>
      <c r="Y850" s="6">
        <f>O850+P850</f>
        <v>1.1205000000000001</v>
      </c>
    </row>
    <row r="851" spans="1:25" x14ac:dyDescent="0.15">
      <c r="A851" s="1">
        <v>2023</v>
      </c>
      <c r="B851" s="1" t="s">
        <v>56</v>
      </c>
      <c r="C851" s="1">
        <v>44</v>
      </c>
      <c r="D851" s="3">
        <v>11</v>
      </c>
      <c r="E851" s="3" t="s">
        <v>35</v>
      </c>
      <c r="F851" s="3" t="s">
        <v>39</v>
      </c>
      <c r="G851" s="3" t="s">
        <v>14</v>
      </c>
      <c r="H851" s="1" t="s">
        <v>35</v>
      </c>
      <c r="I851" s="3">
        <v>4</v>
      </c>
      <c r="J851" s="3" t="s">
        <v>64</v>
      </c>
      <c r="K851" s="1" t="s">
        <v>42</v>
      </c>
      <c r="L851">
        <v>75</v>
      </c>
      <c r="M851">
        <v>40</v>
      </c>
      <c r="N851" s="7">
        <f t="shared" ref="N851:N858" si="311">L851-M851</f>
        <v>35</v>
      </c>
      <c r="O851">
        <v>0.79923913043478267</v>
      </c>
      <c r="P851">
        <v>0.47986956521739138</v>
      </c>
      <c r="Q851" s="6">
        <f>O851/(0.1*O841)</f>
        <v>3.4710322461869616</v>
      </c>
      <c r="R851" s="6">
        <f>O851/(0.1*O844)</f>
        <v>3.0754366593053599</v>
      </c>
      <c r="S851" s="6">
        <f>P851/(0.9*P848)</f>
        <v>2.0708094112349436</v>
      </c>
      <c r="T851" s="6">
        <f t="shared" ref="T851:T858" si="312">Q851+S851</f>
        <v>5.5418416574219052</v>
      </c>
      <c r="U851" s="6">
        <f t="shared" ref="U851:U858" si="313">R851+S851</f>
        <v>5.1462460705403039</v>
      </c>
      <c r="V851" s="1">
        <f>O851/O841+P851/P848</f>
        <v>2.2108316947301452</v>
      </c>
      <c r="W851" s="1">
        <f>O851/O844+P851/P848</f>
        <v>2.1712721360419849</v>
      </c>
      <c r="X851" s="1">
        <f t="shared" si="310"/>
        <v>38</v>
      </c>
      <c r="Y851" s="6">
        <f t="shared" ref="Y851:Y858" si="314">O851+P851</f>
        <v>1.279108695652174</v>
      </c>
    </row>
    <row r="852" spans="1:25" x14ac:dyDescent="0.15">
      <c r="A852" s="1">
        <v>2023</v>
      </c>
      <c r="B852" s="1" t="s">
        <v>56</v>
      </c>
      <c r="C852" s="1">
        <v>44</v>
      </c>
      <c r="D852" s="3">
        <v>12</v>
      </c>
      <c r="E852" s="3" t="s">
        <v>35</v>
      </c>
      <c r="F852" s="3" t="s">
        <v>40</v>
      </c>
      <c r="G852" s="3" t="s">
        <v>14</v>
      </c>
      <c r="H852" s="1" t="s">
        <v>35</v>
      </c>
      <c r="I852" s="3">
        <v>4</v>
      </c>
      <c r="J852" s="3" t="s">
        <v>65</v>
      </c>
      <c r="K852" s="1" t="s">
        <v>42</v>
      </c>
      <c r="L852">
        <v>65</v>
      </c>
      <c r="M852">
        <v>40</v>
      </c>
      <c r="N852" s="7">
        <f t="shared" si="311"/>
        <v>25</v>
      </c>
      <c r="O852">
        <v>0.3999130434782609</v>
      </c>
      <c r="P852">
        <v>0.23668478260869566</v>
      </c>
      <c r="Q852" s="6">
        <f>O852/(0.1*O841)</f>
        <v>1.7367906759378577</v>
      </c>
      <c r="R852" s="6">
        <f>O852/(0.1*O844)</f>
        <v>1.5388476209596464</v>
      </c>
      <c r="S852" s="6">
        <f>P852/(0.9*P849)</f>
        <v>0.57129738947920761</v>
      </c>
      <c r="T852" s="6">
        <f t="shared" si="312"/>
        <v>2.3080880654170652</v>
      </c>
      <c r="U852" s="6">
        <f t="shared" si="313"/>
        <v>2.1101450104388539</v>
      </c>
      <c r="V852" s="1">
        <f>O852/O841+P852/P849</f>
        <v>0.6878467181250727</v>
      </c>
      <c r="W852" s="1">
        <f>O852/O844+P852/P849</f>
        <v>0.66805241262725157</v>
      </c>
      <c r="X852" s="1">
        <f t="shared" si="310"/>
        <v>37</v>
      </c>
      <c r="Y852" s="6">
        <f t="shared" si="314"/>
        <v>0.63659782608695659</v>
      </c>
    </row>
    <row r="853" spans="1:25" x14ac:dyDescent="0.15">
      <c r="A853" s="1">
        <v>2023</v>
      </c>
      <c r="B853" s="1" t="s">
        <v>56</v>
      </c>
      <c r="C853" s="1">
        <v>44</v>
      </c>
      <c r="D853" s="3">
        <v>13</v>
      </c>
      <c r="E853" s="3" t="s">
        <v>36</v>
      </c>
      <c r="F853" s="3" t="s">
        <v>38</v>
      </c>
      <c r="G853" s="3" t="s">
        <v>14</v>
      </c>
      <c r="H853" s="1" t="s">
        <v>36</v>
      </c>
      <c r="I853" s="3">
        <v>4</v>
      </c>
      <c r="J853" s="3" t="s">
        <v>66</v>
      </c>
      <c r="K853" s="1" t="s">
        <v>42</v>
      </c>
      <c r="L853">
        <v>65</v>
      </c>
      <c r="M853">
        <v>40</v>
      </c>
      <c r="N853" s="7">
        <f t="shared" si="311"/>
        <v>25</v>
      </c>
      <c r="O853">
        <v>1.0260000000000002</v>
      </c>
      <c r="P853">
        <v>0.32565217391304352</v>
      </c>
      <c r="Q853" s="6">
        <f>O853/(0.1*O842)</f>
        <v>3.1379171639334995</v>
      </c>
      <c r="R853" s="6">
        <f>O853/(0.1*O845)</f>
        <v>3.9515227629513343</v>
      </c>
      <c r="S853" s="6">
        <f>P853/(0.9*P847)</f>
        <v>2.4534853249475899</v>
      </c>
      <c r="T853" s="6">
        <f t="shared" si="312"/>
        <v>5.5914024888810889</v>
      </c>
      <c r="U853" s="6">
        <f t="shared" si="313"/>
        <v>6.4050080878989242</v>
      </c>
      <c r="V853" s="1">
        <f>O853/O842+P853/P847</f>
        <v>2.5219285088461807</v>
      </c>
      <c r="W853" s="1">
        <f>O853/O845+P853/P847</f>
        <v>2.603289068747964</v>
      </c>
      <c r="X853" s="1">
        <f t="shared" si="310"/>
        <v>24</v>
      </c>
      <c r="Y853" s="6">
        <f t="shared" si="314"/>
        <v>1.3516521739130438</v>
      </c>
    </row>
    <row r="854" spans="1:25" x14ac:dyDescent="0.15">
      <c r="A854" s="1">
        <v>2023</v>
      </c>
      <c r="B854" s="1" t="s">
        <v>56</v>
      </c>
      <c r="C854" s="1">
        <v>44</v>
      </c>
      <c r="D854" s="3">
        <v>14</v>
      </c>
      <c r="E854" s="3" t="s">
        <v>36</v>
      </c>
      <c r="F854" s="3" t="s">
        <v>39</v>
      </c>
      <c r="G854" s="3" t="s">
        <v>14</v>
      </c>
      <c r="H854" s="1" t="s">
        <v>36</v>
      </c>
      <c r="I854" s="3">
        <v>4</v>
      </c>
      <c r="J854" s="3" t="s">
        <v>67</v>
      </c>
      <c r="K854" s="1" t="s">
        <v>42</v>
      </c>
      <c r="L854">
        <v>60</v>
      </c>
      <c r="M854">
        <v>35</v>
      </c>
      <c r="N854" s="7">
        <f t="shared" si="311"/>
        <v>25</v>
      </c>
      <c r="O854">
        <v>0.84550000000000025</v>
      </c>
      <c r="P854">
        <v>0.28641304347826085</v>
      </c>
      <c r="Q854" s="6">
        <f>O854/(0.1*O842)</f>
        <v>2.5858761813896431</v>
      </c>
      <c r="R854" s="6">
        <f>O854/(0.1*O845)</f>
        <v>3.2563474620617479</v>
      </c>
      <c r="S854" s="6">
        <f>P854/(0.9*P848)</f>
        <v>1.235975083492814</v>
      </c>
      <c r="T854" s="6">
        <f t="shared" si="312"/>
        <v>3.821851264882457</v>
      </c>
      <c r="U854" s="6">
        <f t="shared" si="313"/>
        <v>4.4923225455545621</v>
      </c>
      <c r="V854" s="1">
        <f>O854/O842+P854/P848</f>
        <v>1.3709651932824969</v>
      </c>
      <c r="W854" s="1">
        <f>O854/O845+P854/P848</f>
        <v>1.4380123213497074</v>
      </c>
      <c r="X854" s="1">
        <f t="shared" si="310"/>
        <v>25</v>
      </c>
      <c r="Y854" s="6">
        <f t="shared" si="314"/>
        <v>1.1319130434782612</v>
      </c>
    </row>
    <row r="855" spans="1:25" x14ac:dyDescent="0.15">
      <c r="A855" s="1">
        <v>2023</v>
      </c>
      <c r="B855" s="1" t="s">
        <v>56</v>
      </c>
      <c r="C855" s="1">
        <v>44</v>
      </c>
      <c r="D855" s="3">
        <v>15</v>
      </c>
      <c r="E855" s="3" t="s">
        <v>36</v>
      </c>
      <c r="F855" s="3" t="s">
        <v>40</v>
      </c>
      <c r="G855" s="3" t="s">
        <v>14</v>
      </c>
      <c r="H855" s="1" t="s">
        <v>36</v>
      </c>
      <c r="I855" s="3">
        <v>4</v>
      </c>
      <c r="J855" s="3" t="s">
        <v>68</v>
      </c>
      <c r="K855" s="1" t="s">
        <v>42</v>
      </c>
      <c r="L855">
        <v>65</v>
      </c>
      <c r="M855">
        <v>40</v>
      </c>
      <c r="N855" s="7">
        <f t="shared" si="311"/>
        <v>25</v>
      </c>
      <c r="O855">
        <v>1.0581195652173916</v>
      </c>
      <c r="P855">
        <v>0.3063260869565218</v>
      </c>
      <c r="Q855" s="6">
        <f>O855/(0.1*O842)</f>
        <v>3.2361516034985423</v>
      </c>
      <c r="R855" s="6">
        <f>O855/(0.1*O845)</f>
        <v>4.0752276295133436</v>
      </c>
      <c r="S855" s="6">
        <f>P855/(0.9*P849)</f>
        <v>0.73939393939393949</v>
      </c>
      <c r="T855" s="6">
        <f t="shared" si="312"/>
        <v>3.9755455428924815</v>
      </c>
      <c r="U855" s="6">
        <f t="shared" si="313"/>
        <v>4.8146215689072829</v>
      </c>
      <c r="V855" s="1">
        <f>O855/O842+P855/P849</f>
        <v>0.98906970580439979</v>
      </c>
      <c r="W855" s="1">
        <f>O855/O845+P855/P849</f>
        <v>1.07297730840588</v>
      </c>
      <c r="X855" s="1">
        <f t="shared" si="310"/>
        <v>22</v>
      </c>
      <c r="Y855" s="6">
        <f t="shared" si="314"/>
        <v>1.3644456521739134</v>
      </c>
    </row>
    <row r="856" spans="1:25" x14ac:dyDescent="0.15">
      <c r="A856" s="1">
        <v>2023</v>
      </c>
      <c r="B856" s="1" t="s">
        <v>56</v>
      </c>
      <c r="C856" s="1">
        <v>44</v>
      </c>
      <c r="D856" s="3">
        <v>16</v>
      </c>
      <c r="E856" s="3" t="s">
        <v>37</v>
      </c>
      <c r="F856" s="3" t="s">
        <v>38</v>
      </c>
      <c r="G856" s="3" t="s">
        <v>14</v>
      </c>
      <c r="H856" s="1" t="s">
        <v>37</v>
      </c>
      <c r="I856" s="3">
        <v>4</v>
      </c>
      <c r="J856" s="3" t="s">
        <v>69</v>
      </c>
      <c r="K856" s="1" t="s">
        <v>42</v>
      </c>
      <c r="L856">
        <v>55</v>
      </c>
      <c r="M856">
        <v>30</v>
      </c>
      <c r="N856" s="7">
        <f t="shared" si="311"/>
        <v>25</v>
      </c>
      <c r="O856">
        <v>0.59102173913043476</v>
      </c>
      <c r="P856">
        <v>9.2065217391304355E-2</v>
      </c>
      <c r="Q856" s="6">
        <f>O856/(0.1*O843)</f>
        <v>2.4999999999999996</v>
      </c>
      <c r="R856" s="6">
        <f>O856/(0.1*O846)</f>
        <v>2.5352020738917171</v>
      </c>
      <c r="S856" s="6">
        <f>P856/(0.9*P847)</f>
        <v>0.69362552410901479</v>
      </c>
      <c r="T856" s="6">
        <f t="shared" si="312"/>
        <v>3.1936255241090143</v>
      </c>
      <c r="U856" s="6">
        <f t="shared" si="313"/>
        <v>3.2288275980007319</v>
      </c>
      <c r="V856" s="1">
        <f>O856/O843+P856/P847</f>
        <v>0.87426297169811329</v>
      </c>
      <c r="W856" s="1">
        <f>O856/O846+P856/P847</f>
        <v>0.87778317908728498</v>
      </c>
      <c r="X856" s="1">
        <f t="shared" si="310"/>
        <v>13</v>
      </c>
      <c r="Y856" s="6">
        <f t="shared" si="314"/>
        <v>0.68308695652173912</v>
      </c>
    </row>
    <row r="857" spans="1:25" x14ac:dyDescent="0.15">
      <c r="A857" s="1">
        <v>2024</v>
      </c>
      <c r="B857" s="1" t="s">
        <v>56</v>
      </c>
      <c r="C857" s="1">
        <v>45</v>
      </c>
      <c r="D857" s="3">
        <v>17</v>
      </c>
      <c r="E857" s="3" t="s">
        <v>37</v>
      </c>
      <c r="F857" s="3" t="s">
        <v>39</v>
      </c>
      <c r="G857" s="3" t="s">
        <v>14</v>
      </c>
      <c r="H857" s="1" t="s">
        <v>37</v>
      </c>
      <c r="I857" s="3">
        <v>4</v>
      </c>
      <c r="J857" s="3" t="s">
        <v>70</v>
      </c>
      <c r="K857" s="1" t="s">
        <v>42</v>
      </c>
      <c r="L857">
        <v>55</v>
      </c>
      <c r="M857">
        <v>40</v>
      </c>
      <c r="N857" s="7">
        <f t="shared" si="311"/>
        <v>15</v>
      </c>
      <c r="O857">
        <v>0.68556521739130427</v>
      </c>
      <c r="P857">
        <v>0.31413043478260877</v>
      </c>
      <c r="Q857" s="6">
        <f>O857/(0.1*O843)</f>
        <v>2.8999154007430015</v>
      </c>
      <c r="R857" s="6">
        <f>O857/(0.1*O846)</f>
        <v>2.9407486152296753</v>
      </c>
      <c r="S857" s="6">
        <f>P857/(0.9*P848)</f>
        <v>1.3555855754437318</v>
      </c>
      <c r="T857" s="6">
        <f t="shared" si="312"/>
        <v>4.2555009761867328</v>
      </c>
      <c r="U857" s="6">
        <f t="shared" si="313"/>
        <v>4.2963341906734076</v>
      </c>
      <c r="V857" s="1">
        <f>O857/O843+P857/P848</f>
        <v>1.5100185579736589</v>
      </c>
      <c r="W857" s="1">
        <f>O857/O846+P857/P848</f>
        <v>1.5141018794223262</v>
      </c>
      <c r="X857" s="1">
        <f t="shared" si="310"/>
        <v>31</v>
      </c>
      <c r="Y857" s="6">
        <f t="shared" si="314"/>
        <v>0.9996956521739131</v>
      </c>
    </row>
    <row r="858" spans="1:25" x14ac:dyDescent="0.15">
      <c r="A858" s="1">
        <v>2024</v>
      </c>
      <c r="B858" s="1" t="s">
        <v>56</v>
      </c>
      <c r="C858" s="1">
        <v>45</v>
      </c>
      <c r="D858" s="3">
        <v>18</v>
      </c>
      <c r="E858" s="3" t="s">
        <v>37</v>
      </c>
      <c r="F858" s="3" t="s">
        <v>40</v>
      </c>
      <c r="G858" s="3" t="s">
        <v>14</v>
      </c>
      <c r="H858" s="1" t="s">
        <v>37</v>
      </c>
      <c r="I858" s="3">
        <v>4</v>
      </c>
      <c r="J858" s="3" t="s">
        <v>71</v>
      </c>
      <c r="K858" s="1" t="s">
        <v>42</v>
      </c>
      <c r="L858">
        <v>55</v>
      </c>
      <c r="M858">
        <v>40</v>
      </c>
      <c r="N858" s="7">
        <f t="shared" si="311"/>
        <v>15</v>
      </c>
      <c r="O858">
        <v>0.69667391304347825</v>
      </c>
      <c r="P858">
        <v>0.21325</v>
      </c>
      <c r="Q858" s="6">
        <f>O858/(0.1*O843)</f>
        <v>2.9469047706624489</v>
      </c>
      <c r="R858" s="6">
        <f>O858/(0.1*O846)</f>
        <v>2.9883996344579344</v>
      </c>
      <c r="S858" s="6">
        <f>P858/(0.9*P849)</f>
        <v>0.51473173291355101</v>
      </c>
      <c r="T858" s="6">
        <f t="shared" si="312"/>
        <v>3.4616365035759999</v>
      </c>
      <c r="U858" s="6">
        <f t="shared" si="313"/>
        <v>3.5031313673714854</v>
      </c>
      <c r="V858" s="1">
        <f>O858/O843+P858/P849</f>
        <v>0.75794903668844082</v>
      </c>
      <c r="W858" s="1">
        <f>O858/O846+P858/P849</f>
        <v>0.76209852306798931</v>
      </c>
      <c r="X858" s="1">
        <f t="shared" si="310"/>
        <v>23</v>
      </c>
      <c r="Y858" s="6">
        <f t="shared" si="314"/>
        <v>0.90992391304347819</v>
      </c>
    </row>
    <row r="859" spans="1:25" x14ac:dyDescent="0.15">
      <c r="A859" s="1">
        <v>2024</v>
      </c>
      <c r="B859" s="1" t="s">
        <v>56</v>
      </c>
      <c r="C859" s="1">
        <v>45</v>
      </c>
      <c r="D859" s="3">
        <v>1</v>
      </c>
      <c r="E859" s="3" t="s">
        <v>35</v>
      </c>
      <c r="F859" s="3"/>
      <c r="G859" s="3" t="s">
        <v>41</v>
      </c>
      <c r="H859" s="1" t="s">
        <v>35</v>
      </c>
      <c r="I859" s="3">
        <v>4</v>
      </c>
      <c r="J859" s="3" t="s">
        <v>35</v>
      </c>
      <c r="K859" s="1" t="s">
        <v>42</v>
      </c>
      <c r="L859">
        <v>65</v>
      </c>
      <c r="M859" s="7" t="s">
        <v>45</v>
      </c>
      <c r="N859" s="7" t="s">
        <v>45</v>
      </c>
      <c r="O859">
        <v>1.6586739130434784</v>
      </c>
      <c r="P859" s="5" t="s">
        <v>45</v>
      </c>
      <c r="Q859" s="6" t="s">
        <v>45</v>
      </c>
      <c r="R859" s="6" t="s">
        <v>45</v>
      </c>
      <c r="S859" s="6" t="s">
        <v>45</v>
      </c>
      <c r="T859" s="6" t="s">
        <v>45</v>
      </c>
      <c r="U859" s="6" t="s">
        <v>45</v>
      </c>
      <c r="V859" s="1" t="s">
        <v>45</v>
      </c>
      <c r="W859" s="1" t="s">
        <v>45</v>
      </c>
      <c r="X859" s="6" t="s">
        <v>45</v>
      </c>
      <c r="Y859" s="6">
        <f>O859</f>
        <v>1.6586739130434784</v>
      </c>
    </row>
    <row r="860" spans="1:25" x14ac:dyDescent="0.15">
      <c r="A860" s="1">
        <v>2024</v>
      </c>
      <c r="B860" s="1" t="s">
        <v>56</v>
      </c>
      <c r="C860" s="1">
        <v>45</v>
      </c>
      <c r="D860" s="3">
        <v>2</v>
      </c>
      <c r="E860" s="3" t="s">
        <v>36</v>
      </c>
      <c r="F860" s="3"/>
      <c r="G860" s="3" t="s">
        <v>41</v>
      </c>
      <c r="H860" s="1" t="s">
        <v>36</v>
      </c>
      <c r="I860" s="3">
        <v>4</v>
      </c>
      <c r="J860" s="3" t="s">
        <v>36</v>
      </c>
      <c r="K860" s="1" t="s">
        <v>42</v>
      </c>
      <c r="L860">
        <v>70</v>
      </c>
      <c r="M860" s="7" t="s">
        <v>45</v>
      </c>
      <c r="N860" s="7" t="s">
        <v>45</v>
      </c>
      <c r="O860">
        <v>2.9584782608695654</v>
      </c>
      <c r="P860" s="5" t="s">
        <v>45</v>
      </c>
      <c r="Q860" s="6" t="s">
        <v>45</v>
      </c>
      <c r="R860" s="6" t="s">
        <v>45</v>
      </c>
      <c r="S860" s="6" t="s">
        <v>45</v>
      </c>
      <c r="T860" s="6" t="s">
        <v>45</v>
      </c>
      <c r="U860" s="6" t="s">
        <v>45</v>
      </c>
      <c r="V860" s="1" t="s">
        <v>45</v>
      </c>
      <c r="W860" s="1" t="s">
        <v>45</v>
      </c>
      <c r="X860" s="6" t="s">
        <v>45</v>
      </c>
      <c r="Y860" s="6">
        <f t="shared" ref="Y860:Y864" si="315">O860</f>
        <v>2.9584782608695654</v>
      </c>
    </row>
    <row r="861" spans="1:25" x14ac:dyDescent="0.15">
      <c r="A861" s="1">
        <v>2024</v>
      </c>
      <c r="B861" s="1" t="s">
        <v>56</v>
      </c>
      <c r="C861" s="1">
        <v>45</v>
      </c>
      <c r="D861" s="3">
        <v>3</v>
      </c>
      <c r="E861" s="3" t="s">
        <v>37</v>
      </c>
      <c r="F861" s="3"/>
      <c r="G861" s="3" t="s">
        <v>41</v>
      </c>
      <c r="H861" s="1" t="s">
        <v>37</v>
      </c>
      <c r="I861" s="3">
        <v>4</v>
      </c>
      <c r="J861" s="3" t="s">
        <v>37</v>
      </c>
      <c r="K861" s="1" t="s">
        <v>42</v>
      </c>
      <c r="L861">
        <v>55</v>
      </c>
      <c r="M861" s="7" t="s">
        <v>45</v>
      </c>
      <c r="N861" s="7" t="s">
        <v>45</v>
      </c>
      <c r="O861">
        <v>2.028130434782609</v>
      </c>
      <c r="P861" s="5" t="s">
        <v>45</v>
      </c>
      <c r="Q861" s="6" t="s">
        <v>45</v>
      </c>
      <c r="R861" s="6" t="s">
        <v>45</v>
      </c>
      <c r="S861" s="6" t="s">
        <v>45</v>
      </c>
      <c r="T861" s="6" t="s">
        <v>45</v>
      </c>
      <c r="U861" s="6" t="s">
        <v>45</v>
      </c>
      <c r="V861" s="1" t="s">
        <v>45</v>
      </c>
      <c r="W861" s="1" t="s">
        <v>45</v>
      </c>
      <c r="X861" s="6" t="s">
        <v>45</v>
      </c>
      <c r="Y861" s="6">
        <f t="shared" si="315"/>
        <v>2.028130434782609</v>
      </c>
    </row>
    <row r="862" spans="1:25" x14ac:dyDescent="0.15">
      <c r="A862" s="1">
        <v>2024</v>
      </c>
      <c r="B862" s="1" t="s">
        <v>56</v>
      </c>
      <c r="C862" s="1">
        <v>45</v>
      </c>
      <c r="D862" s="3">
        <v>4</v>
      </c>
      <c r="E862" s="3" t="s">
        <v>35</v>
      </c>
      <c r="F862" s="3"/>
      <c r="G862" s="3" t="s">
        <v>41</v>
      </c>
      <c r="H862" s="1" t="s">
        <v>75</v>
      </c>
      <c r="I862" s="3">
        <v>4</v>
      </c>
      <c r="J862" s="3" t="s">
        <v>35</v>
      </c>
      <c r="K862" s="1" t="s">
        <v>43</v>
      </c>
      <c r="L862">
        <v>75</v>
      </c>
      <c r="M862" s="7" t="s">
        <v>45</v>
      </c>
      <c r="N862" s="7" t="s">
        <v>45</v>
      </c>
      <c r="O862">
        <v>2.6310000000000002</v>
      </c>
      <c r="P862" s="5" t="s">
        <v>45</v>
      </c>
      <c r="Q862" s="6" t="s">
        <v>45</v>
      </c>
      <c r="R862" s="6" t="s">
        <v>45</v>
      </c>
      <c r="S862" s="6" t="s">
        <v>45</v>
      </c>
      <c r="T862" s="6" t="s">
        <v>45</v>
      </c>
      <c r="U862" s="6" t="s">
        <v>45</v>
      </c>
      <c r="V862" s="1" t="s">
        <v>45</v>
      </c>
      <c r="W862" s="1" t="s">
        <v>45</v>
      </c>
      <c r="X862" s="1" t="s">
        <v>45</v>
      </c>
      <c r="Y862" s="6">
        <f t="shared" si="315"/>
        <v>2.6310000000000002</v>
      </c>
    </row>
    <row r="863" spans="1:25" x14ac:dyDescent="0.15">
      <c r="A863" s="1">
        <v>2024</v>
      </c>
      <c r="B863" s="1" t="s">
        <v>56</v>
      </c>
      <c r="C863" s="1">
        <v>45</v>
      </c>
      <c r="D863" s="3">
        <v>5</v>
      </c>
      <c r="E863" s="3" t="s">
        <v>36</v>
      </c>
      <c r="F863" s="3"/>
      <c r="G863" s="3" t="s">
        <v>41</v>
      </c>
      <c r="H863" s="1" t="s">
        <v>76</v>
      </c>
      <c r="I863" s="3">
        <v>4</v>
      </c>
      <c r="J863" s="3" t="s">
        <v>36</v>
      </c>
      <c r="K863" s="1" t="s">
        <v>43</v>
      </c>
      <c r="L863">
        <v>65</v>
      </c>
      <c r="M863" s="7" t="s">
        <v>45</v>
      </c>
      <c r="N863" s="7" t="s">
        <v>45</v>
      </c>
      <c r="O863">
        <v>3.1552934782608695</v>
      </c>
      <c r="P863" s="5" t="s">
        <v>45</v>
      </c>
      <c r="Q863" s="6" t="s">
        <v>45</v>
      </c>
      <c r="R863" s="6" t="s">
        <v>45</v>
      </c>
      <c r="S863" s="6" t="s">
        <v>45</v>
      </c>
      <c r="T863" s="6" t="s">
        <v>45</v>
      </c>
      <c r="U863" s="6" t="s">
        <v>45</v>
      </c>
      <c r="V863" s="1" t="s">
        <v>45</v>
      </c>
      <c r="W863" s="1" t="s">
        <v>45</v>
      </c>
      <c r="X863" s="1" t="s">
        <v>45</v>
      </c>
      <c r="Y863" s="6">
        <f t="shared" si="315"/>
        <v>3.1552934782608695</v>
      </c>
    </row>
    <row r="864" spans="1:25" x14ac:dyDescent="0.15">
      <c r="A864" s="1">
        <v>2024</v>
      </c>
      <c r="B864" s="1" t="s">
        <v>56</v>
      </c>
      <c r="C864" s="1">
        <v>45</v>
      </c>
      <c r="D864" s="3">
        <v>6</v>
      </c>
      <c r="E864" s="3" t="s">
        <v>37</v>
      </c>
      <c r="F864" s="3"/>
      <c r="G864" s="3" t="s">
        <v>41</v>
      </c>
      <c r="H864" s="1" t="s">
        <v>77</v>
      </c>
      <c r="I864" s="3">
        <v>4</v>
      </c>
      <c r="J864" s="3" t="s">
        <v>37</v>
      </c>
      <c r="K864" s="1" t="s">
        <v>43</v>
      </c>
      <c r="L864">
        <v>60</v>
      </c>
      <c r="M864" s="7" t="s">
        <v>45</v>
      </c>
      <c r="N864" s="7" t="s">
        <v>45</v>
      </c>
      <c r="O864">
        <v>2.1949999999999998</v>
      </c>
      <c r="P864" s="5" t="s">
        <v>45</v>
      </c>
      <c r="Q864" s="6" t="s">
        <v>45</v>
      </c>
      <c r="R864" s="6" t="s">
        <v>45</v>
      </c>
      <c r="S864" s="6" t="s">
        <v>45</v>
      </c>
      <c r="T864" s="6" t="s">
        <v>45</v>
      </c>
      <c r="U864" s="6" t="s">
        <v>45</v>
      </c>
      <c r="V864" s="1" t="s">
        <v>45</v>
      </c>
      <c r="W864" s="1" t="s">
        <v>45</v>
      </c>
      <c r="X864" s="1" t="s">
        <v>45</v>
      </c>
      <c r="Y864" s="6">
        <f t="shared" si="315"/>
        <v>2.1949999999999998</v>
      </c>
    </row>
    <row r="865" spans="1:25" x14ac:dyDescent="0.15">
      <c r="A865" s="1">
        <v>2024</v>
      </c>
      <c r="B865" s="1" t="s">
        <v>56</v>
      </c>
      <c r="C865" s="1">
        <v>45</v>
      </c>
      <c r="D865" s="3">
        <v>7</v>
      </c>
      <c r="E865" s="3"/>
      <c r="F865" s="3" t="s">
        <v>38</v>
      </c>
      <c r="G865" s="3" t="s">
        <v>41</v>
      </c>
      <c r="H865" s="1"/>
      <c r="I865" s="3">
        <v>4</v>
      </c>
      <c r="J865" s="3" t="s">
        <v>38</v>
      </c>
      <c r="K865" s="1" t="s">
        <v>42</v>
      </c>
      <c r="L865" s="7" t="s">
        <v>45</v>
      </c>
      <c r="M865">
        <v>30</v>
      </c>
      <c r="N865" s="7" t="s">
        <v>45</v>
      </c>
      <c r="O865" s="5" t="s">
        <v>45</v>
      </c>
      <c r="P865">
        <v>0.19265217391304351</v>
      </c>
      <c r="Q865" s="6" t="s">
        <v>45</v>
      </c>
      <c r="R865" s="6" t="s">
        <v>45</v>
      </c>
      <c r="S865" s="6" t="s">
        <v>45</v>
      </c>
      <c r="T865" s="6" t="s">
        <v>45</v>
      </c>
      <c r="U865" s="6" t="s">
        <v>45</v>
      </c>
      <c r="V865" s="1" t="s">
        <v>45</v>
      </c>
      <c r="W865" s="1" t="s">
        <v>45</v>
      </c>
      <c r="X865" s="1" t="s">
        <v>45</v>
      </c>
      <c r="Y865" s="6">
        <f>P865</f>
        <v>0.19265217391304351</v>
      </c>
    </row>
    <row r="866" spans="1:25" x14ac:dyDescent="0.15">
      <c r="A866" s="1">
        <v>2024</v>
      </c>
      <c r="B866" s="1" t="s">
        <v>56</v>
      </c>
      <c r="C866" s="1">
        <v>45</v>
      </c>
      <c r="D866" s="3">
        <v>8</v>
      </c>
      <c r="E866" s="3"/>
      <c r="F866" s="3" t="s">
        <v>39</v>
      </c>
      <c r="G866" s="3" t="s">
        <v>41</v>
      </c>
      <c r="H866" s="1"/>
      <c r="I866" s="3">
        <v>4</v>
      </c>
      <c r="J866" s="3" t="s">
        <v>39</v>
      </c>
      <c r="K866" s="1" t="s">
        <v>42</v>
      </c>
      <c r="L866" s="7" t="s">
        <v>45</v>
      </c>
      <c r="M866">
        <v>30</v>
      </c>
      <c r="N866" s="7" t="s">
        <v>45</v>
      </c>
      <c r="O866" s="5" t="s">
        <v>45</v>
      </c>
      <c r="P866">
        <v>0.21100000000000002</v>
      </c>
      <c r="Q866" s="6" t="s">
        <v>45</v>
      </c>
      <c r="R866" s="6" t="s">
        <v>45</v>
      </c>
      <c r="S866" s="6" t="s">
        <v>45</v>
      </c>
      <c r="T866" s="6" t="s">
        <v>45</v>
      </c>
      <c r="U866" s="6" t="s">
        <v>45</v>
      </c>
      <c r="V866" s="1" t="s">
        <v>45</v>
      </c>
      <c r="W866" s="1" t="s">
        <v>45</v>
      </c>
      <c r="X866" s="1" t="s">
        <v>45</v>
      </c>
      <c r="Y866" s="6">
        <f t="shared" ref="Y866:Y867" si="316">P866</f>
        <v>0.21100000000000002</v>
      </c>
    </row>
    <row r="867" spans="1:25" x14ac:dyDescent="0.15">
      <c r="A867" s="1">
        <v>2024</v>
      </c>
      <c r="B867" s="1" t="s">
        <v>56</v>
      </c>
      <c r="C867" s="1">
        <v>45</v>
      </c>
      <c r="D867" s="3">
        <v>9</v>
      </c>
      <c r="E867" s="3"/>
      <c r="F867" s="3" t="s">
        <v>40</v>
      </c>
      <c r="G867" s="3" t="s">
        <v>41</v>
      </c>
      <c r="H867" s="1"/>
      <c r="I867" s="3">
        <v>4</v>
      </c>
      <c r="J867" s="3" t="s">
        <v>40</v>
      </c>
      <c r="K867" s="1" t="s">
        <v>42</v>
      </c>
      <c r="L867" s="7" t="s">
        <v>45</v>
      </c>
      <c r="M867">
        <v>35</v>
      </c>
      <c r="N867" s="7" t="s">
        <v>45</v>
      </c>
      <c r="O867" s="5" t="s">
        <v>45</v>
      </c>
      <c r="P867">
        <v>0.13907608695652174</v>
      </c>
      <c r="Q867" s="6" t="s">
        <v>45</v>
      </c>
      <c r="R867" s="6" t="s">
        <v>45</v>
      </c>
      <c r="S867" s="6" t="s">
        <v>45</v>
      </c>
      <c r="T867" s="6" t="s">
        <v>45</v>
      </c>
      <c r="U867" s="6" t="s">
        <v>45</v>
      </c>
      <c r="V867" s="1" t="s">
        <v>45</v>
      </c>
      <c r="W867" s="1" t="s">
        <v>45</v>
      </c>
      <c r="X867" s="1" t="s">
        <v>45</v>
      </c>
      <c r="Y867" s="6">
        <f t="shared" si="316"/>
        <v>0.13907608695652174</v>
      </c>
    </row>
    <row r="868" spans="1:25" x14ac:dyDescent="0.15">
      <c r="A868" s="1">
        <v>2024</v>
      </c>
      <c r="B868" s="1" t="s">
        <v>56</v>
      </c>
      <c r="C868" s="1">
        <v>45</v>
      </c>
      <c r="D868" s="3">
        <v>10</v>
      </c>
      <c r="E868" s="3" t="s">
        <v>35</v>
      </c>
      <c r="F868" s="3" t="s">
        <v>38</v>
      </c>
      <c r="G868" s="3" t="s">
        <v>14</v>
      </c>
      <c r="H868" s="1" t="s">
        <v>35</v>
      </c>
      <c r="I868" s="3">
        <v>4</v>
      </c>
      <c r="J868" s="3" t="s">
        <v>63</v>
      </c>
      <c r="K868" s="1" t="s">
        <v>42</v>
      </c>
      <c r="L868">
        <v>75</v>
      </c>
      <c r="M868">
        <v>30</v>
      </c>
      <c r="N868" s="7">
        <f>L868-M868</f>
        <v>45</v>
      </c>
      <c r="O868">
        <v>0.90663043478260874</v>
      </c>
      <c r="P868">
        <v>9.2173913043478259E-2</v>
      </c>
      <c r="Q868" s="6">
        <f>O868/(0.1*O859)</f>
        <v>5.465995622485222</v>
      </c>
      <c r="R868" s="6">
        <f>O868/(0.1*O862)</f>
        <v>3.4459537620015528</v>
      </c>
      <c r="S868" s="6">
        <f>P868/(0.9*P865)</f>
        <v>0.53160811454650303</v>
      </c>
      <c r="T868" s="6">
        <f>Q868+S868</f>
        <v>5.9976037370317252</v>
      </c>
      <c r="U868" s="6">
        <f>R868+S868</f>
        <v>3.977561876548056</v>
      </c>
      <c r="V868" s="1">
        <f>O868/O859+P868/P865</f>
        <v>1.025046865340375</v>
      </c>
      <c r="W868" s="1">
        <f>O868/O862+P868/P865</f>
        <v>0.82304267929200803</v>
      </c>
      <c r="X868" s="1">
        <f t="shared" ref="X868:X876" si="317">100*ROUND(P868/(P868+O868), 2)</f>
        <v>9</v>
      </c>
      <c r="Y868" s="6">
        <f>O868+P868</f>
        <v>0.99880434782608696</v>
      </c>
    </row>
    <row r="869" spans="1:25" x14ac:dyDescent="0.15">
      <c r="A869" s="1">
        <v>2024</v>
      </c>
      <c r="B869" s="1" t="s">
        <v>56</v>
      </c>
      <c r="C869" s="1">
        <v>45</v>
      </c>
      <c r="D869" s="3">
        <v>11</v>
      </c>
      <c r="E869" s="3" t="s">
        <v>35</v>
      </c>
      <c r="F869" s="3" t="s">
        <v>39</v>
      </c>
      <c r="G869" s="3" t="s">
        <v>14</v>
      </c>
      <c r="H869" s="1" t="s">
        <v>35</v>
      </c>
      <c r="I869" s="3">
        <v>4</v>
      </c>
      <c r="J869" s="3" t="s">
        <v>64</v>
      </c>
      <c r="K869" s="1" t="s">
        <v>42</v>
      </c>
      <c r="L869">
        <v>75</v>
      </c>
      <c r="M869">
        <v>35</v>
      </c>
      <c r="N869" s="7">
        <f t="shared" ref="N869:N876" si="318">L869-M869</f>
        <v>40</v>
      </c>
      <c r="O869">
        <v>0.79391304347826097</v>
      </c>
      <c r="P869">
        <v>0.19470652173913044</v>
      </c>
      <c r="Q869" s="6">
        <f>O869/(0.1*O859)</f>
        <v>4.7864323254564276</v>
      </c>
      <c r="R869" s="6">
        <f>O869/(0.1*O862)</f>
        <v>3.0175334225703567</v>
      </c>
      <c r="S869" s="6">
        <f>P869/(0.9*P866)</f>
        <v>1.0253108043134831</v>
      </c>
      <c r="T869" s="6">
        <f t="shared" ref="T869:T876" si="319">Q869+S869</f>
        <v>5.8117431297699103</v>
      </c>
      <c r="U869" s="6">
        <f t="shared" ref="U869:U876" si="320">R869+S869</f>
        <v>4.0428442268838403</v>
      </c>
      <c r="V869" s="1">
        <f>O869/O859+P869/P866</f>
        <v>1.4014229564277776</v>
      </c>
      <c r="W869" s="1">
        <f>O869/O862+P869/P866</f>
        <v>1.2245330661391705</v>
      </c>
      <c r="X869" s="1">
        <f t="shared" si="317"/>
        <v>20</v>
      </c>
      <c r="Y869" s="6">
        <f t="shared" ref="Y869:Y876" si="321">O869+P869</f>
        <v>0.98861956521739147</v>
      </c>
    </row>
    <row r="870" spans="1:25" x14ac:dyDescent="0.15">
      <c r="A870" s="1">
        <v>2024</v>
      </c>
      <c r="B870" s="1" t="s">
        <v>56</v>
      </c>
      <c r="C870" s="1">
        <v>45</v>
      </c>
      <c r="D870" s="3">
        <v>12</v>
      </c>
      <c r="E870" s="3" t="s">
        <v>35</v>
      </c>
      <c r="F870" s="3" t="s">
        <v>40</v>
      </c>
      <c r="G870" s="3" t="s">
        <v>14</v>
      </c>
      <c r="H870" s="1" t="s">
        <v>35</v>
      </c>
      <c r="I870" s="3">
        <v>4</v>
      </c>
      <c r="J870" s="3" t="s">
        <v>65</v>
      </c>
      <c r="K870" s="1" t="s">
        <v>42</v>
      </c>
      <c r="L870">
        <v>75</v>
      </c>
      <c r="M870">
        <v>40</v>
      </c>
      <c r="N870" s="7">
        <f t="shared" si="318"/>
        <v>35</v>
      </c>
      <c r="O870">
        <v>0.51358695652173925</v>
      </c>
      <c r="P870">
        <v>0.18413043478260871</v>
      </c>
      <c r="Q870" s="6">
        <f>O870/(0.1*O859)</f>
        <v>3.0963708567609012</v>
      </c>
      <c r="R870" s="6">
        <f>O870/(0.1*O862)</f>
        <v>1.9520598879579594</v>
      </c>
      <c r="S870" s="6">
        <f>P870/(0.9*P867)</f>
        <v>1.4710607442143198</v>
      </c>
      <c r="T870" s="6">
        <f t="shared" si="319"/>
        <v>4.5674316009752207</v>
      </c>
      <c r="U870" s="6">
        <f t="shared" si="320"/>
        <v>3.4231206321722789</v>
      </c>
      <c r="V870" s="1">
        <f>O870/O859+P870/P867</f>
        <v>1.6335917554689781</v>
      </c>
      <c r="W870" s="1">
        <f>O870/O862+P870/P867</f>
        <v>1.5191606585886839</v>
      </c>
      <c r="X870" s="1">
        <f t="shared" si="317"/>
        <v>26</v>
      </c>
      <c r="Y870" s="6">
        <f t="shared" si="321"/>
        <v>0.69771739130434796</v>
      </c>
    </row>
    <row r="871" spans="1:25" x14ac:dyDescent="0.15">
      <c r="A871" s="1">
        <v>2024</v>
      </c>
      <c r="B871" s="1" t="s">
        <v>56</v>
      </c>
      <c r="C871" s="1">
        <v>45</v>
      </c>
      <c r="D871" s="3">
        <v>13</v>
      </c>
      <c r="E871" s="3" t="s">
        <v>36</v>
      </c>
      <c r="F871" s="3" t="s">
        <v>38</v>
      </c>
      <c r="G871" s="3" t="s">
        <v>14</v>
      </c>
      <c r="H871" s="1" t="s">
        <v>36</v>
      </c>
      <c r="I871" s="3">
        <v>4</v>
      </c>
      <c r="J871" s="3" t="s">
        <v>66</v>
      </c>
      <c r="K871" s="1" t="s">
        <v>42</v>
      </c>
      <c r="L871">
        <v>70</v>
      </c>
      <c r="M871">
        <v>35</v>
      </c>
      <c r="N871" s="7">
        <f t="shared" si="318"/>
        <v>35</v>
      </c>
      <c r="O871">
        <v>1.2597391304347827</v>
      </c>
      <c r="P871">
        <v>0.15725000000000003</v>
      </c>
      <c r="Q871" s="6">
        <f>O871/(0.1*O860)</f>
        <v>4.258064516129032</v>
      </c>
      <c r="R871" s="6">
        <f>O871/(0.1*O863)</f>
        <v>3.9924626318092091</v>
      </c>
      <c r="S871" s="6">
        <f>P871/(0.9*P865)</f>
        <v>0.90693096617267233</v>
      </c>
      <c r="T871" s="6">
        <f t="shared" si="319"/>
        <v>5.1649954823017046</v>
      </c>
      <c r="U871" s="6">
        <f t="shared" si="320"/>
        <v>4.8993935979818817</v>
      </c>
      <c r="V871" s="1">
        <f>O871/O860+P871/P865</f>
        <v>1.2420443211683083</v>
      </c>
      <c r="W871" s="1">
        <f>O871/O863+P871/P865</f>
        <v>1.2154841327363262</v>
      </c>
      <c r="X871" s="1">
        <f t="shared" si="317"/>
        <v>11</v>
      </c>
      <c r="Y871" s="6">
        <f t="shared" si="321"/>
        <v>1.4169891304347828</v>
      </c>
    </row>
    <row r="872" spans="1:25" x14ac:dyDescent="0.15">
      <c r="A872" s="1">
        <v>2024</v>
      </c>
      <c r="B872" s="1" t="s">
        <v>56</v>
      </c>
      <c r="C872" s="1">
        <v>46</v>
      </c>
      <c r="D872" s="3">
        <v>14</v>
      </c>
      <c r="E872" s="3" t="s">
        <v>36</v>
      </c>
      <c r="F872" s="3" t="s">
        <v>39</v>
      </c>
      <c r="G872" s="3" t="s">
        <v>14</v>
      </c>
      <c r="H872" s="1" t="s">
        <v>36</v>
      </c>
      <c r="I872" s="3">
        <v>4</v>
      </c>
      <c r="J872" s="3" t="s">
        <v>67</v>
      </c>
      <c r="K872" s="1" t="s">
        <v>42</v>
      </c>
      <c r="L872">
        <v>70</v>
      </c>
      <c r="M872">
        <v>30</v>
      </c>
      <c r="N872" s="7">
        <f t="shared" si="318"/>
        <v>40</v>
      </c>
      <c r="O872">
        <v>1.1153152173913043</v>
      </c>
      <c r="P872">
        <v>0.10163043478260869</v>
      </c>
      <c r="Q872" s="6">
        <f>O872/(0.1*O860)</f>
        <v>3.7698949224777718</v>
      </c>
      <c r="R872" s="6">
        <f>O872/(0.1*O863)</f>
        <v>3.5347432024169181</v>
      </c>
      <c r="S872" s="6">
        <f>P872/(0.9*P866)</f>
        <v>0.53517869817066188</v>
      </c>
      <c r="T872" s="6">
        <f t="shared" si="319"/>
        <v>4.3050736206484341</v>
      </c>
      <c r="U872" s="6">
        <f t="shared" si="320"/>
        <v>4.0699219005875804</v>
      </c>
      <c r="V872" s="1">
        <f>O872/O860+P872/P866</f>
        <v>0.85865032060137281</v>
      </c>
      <c r="W872" s="1">
        <f>O872/O863+P872/P866</f>
        <v>0.83513514859528748</v>
      </c>
      <c r="X872" s="1">
        <f t="shared" si="317"/>
        <v>8</v>
      </c>
      <c r="Y872" s="6">
        <f t="shared" si="321"/>
        <v>1.216945652173913</v>
      </c>
    </row>
    <row r="873" spans="1:25" x14ac:dyDescent="0.15">
      <c r="A873" s="1">
        <v>2024</v>
      </c>
      <c r="B873" s="1" t="s">
        <v>56</v>
      </c>
      <c r="C873" s="1">
        <v>46</v>
      </c>
      <c r="D873" s="3">
        <v>15</v>
      </c>
      <c r="E873" s="3" t="s">
        <v>36</v>
      </c>
      <c r="F873" s="3" t="s">
        <v>40</v>
      </c>
      <c r="G873" s="3" t="s">
        <v>14</v>
      </c>
      <c r="H873" s="1" t="s">
        <v>36</v>
      </c>
      <c r="I873" s="3">
        <v>4</v>
      </c>
      <c r="J873" s="3" t="s">
        <v>68</v>
      </c>
      <c r="K873" s="1" t="s">
        <v>42</v>
      </c>
      <c r="L873">
        <v>70</v>
      </c>
      <c r="M873">
        <v>40</v>
      </c>
      <c r="N873" s="7">
        <f t="shared" si="318"/>
        <v>30</v>
      </c>
      <c r="O873">
        <v>1.0676521739130436</v>
      </c>
      <c r="P873">
        <v>0.29669565217391303</v>
      </c>
      <c r="Q873" s="6">
        <f>O873/(0.1*O860)</f>
        <v>3.6087883018590641</v>
      </c>
      <c r="R873" s="6">
        <f>O873/(0.1*O863)</f>
        <v>3.3836858006042294</v>
      </c>
      <c r="S873" s="6">
        <f>P873/(0.9*P867)</f>
        <v>2.3703703703703702</v>
      </c>
      <c r="T873" s="6">
        <f t="shared" si="319"/>
        <v>5.9791586722294348</v>
      </c>
      <c r="U873" s="6">
        <f t="shared" si="320"/>
        <v>5.7540561709746001</v>
      </c>
      <c r="V873" s="1">
        <f>O873/O860+P873/P867</f>
        <v>2.4942121635192396</v>
      </c>
      <c r="W873" s="1">
        <f>O873/O863+P873/P867</f>
        <v>2.4717019133937561</v>
      </c>
      <c r="X873" s="1">
        <f t="shared" si="317"/>
        <v>22</v>
      </c>
      <c r="Y873" s="6">
        <f t="shared" si="321"/>
        <v>1.3643478260869566</v>
      </c>
    </row>
    <row r="874" spans="1:25" x14ac:dyDescent="0.15">
      <c r="A874" s="1">
        <v>2024</v>
      </c>
      <c r="B874" s="1" t="s">
        <v>56</v>
      </c>
      <c r="C874" s="1">
        <v>46</v>
      </c>
      <c r="D874" s="3">
        <v>16</v>
      </c>
      <c r="E874" s="3" t="s">
        <v>37</v>
      </c>
      <c r="F874" s="3" t="s">
        <v>38</v>
      </c>
      <c r="G874" s="3" t="s">
        <v>14</v>
      </c>
      <c r="H874" s="1" t="s">
        <v>37</v>
      </c>
      <c r="I874" s="3">
        <v>4</v>
      </c>
      <c r="J874" s="3" t="s">
        <v>69</v>
      </c>
      <c r="K874" s="1" t="s">
        <v>42</v>
      </c>
      <c r="L874">
        <v>55</v>
      </c>
      <c r="M874">
        <v>30</v>
      </c>
      <c r="N874" s="7">
        <f t="shared" si="318"/>
        <v>25</v>
      </c>
      <c r="O874">
        <v>0.47065217391304354</v>
      </c>
      <c r="P874">
        <v>7.3739130434782599E-2</v>
      </c>
      <c r="Q874" s="6">
        <f>O874/(0.1*O861)</f>
        <v>2.3206208330653633</v>
      </c>
      <c r="R874" s="6">
        <f>O874/(0.1*O864)</f>
        <v>2.1442012478954147</v>
      </c>
      <c r="S874" s="6">
        <f>P874/(0.9*P865)</f>
        <v>0.42528649163720239</v>
      </c>
      <c r="T874" s="6">
        <f t="shared" si="319"/>
        <v>2.7459073247025656</v>
      </c>
      <c r="U874" s="6">
        <f t="shared" si="320"/>
        <v>2.569487739532617</v>
      </c>
      <c r="V874" s="1">
        <f>O874/O861+P874/P865</f>
        <v>0.61481992578001843</v>
      </c>
      <c r="W874" s="1">
        <f>O874/O864+P874/P865</f>
        <v>0.59717796726302363</v>
      </c>
      <c r="X874" s="1">
        <f t="shared" si="317"/>
        <v>14.000000000000002</v>
      </c>
      <c r="Y874" s="6">
        <f t="shared" si="321"/>
        <v>0.54439130434782612</v>
      </c>
    </row>
    <row r="875" spans="1:25" x14ac:dyDescent="0.15">
      <c r="A875" s="1">
        <v>2024</v>
      </c>
      <c r="B875" s="1" t="s">
        <v>56</v>
      </c>
      <c r="C875" s="1">
        <v>46</v>
      </c>
      <c r="D875" s="3">
        <v>17</v>
      </c>
      <c r="E875" s="3" t="s">
        <v>37</v>
      </c>
      <c r="F875" s="3" t="s">
        <v>39</v>
      </c>
      <c r="G875" s="3" t="s">
        <v>14</v>
      </c>
      <c r="H875" s="1" t="s">
        <v>37</v>
      </c>
      <c r="I875" s="3">
        <v>4</v>
      </c>
      <c r="J875" s="3" t="s">
        <v>70</v>
      </c>
      <c r="K875" s="1" t="s">
        <v>42</v>
      </c>
      <c r="L875">
        <v>55</v>
      </c>
      <c r="M875">
        <v>30</v>
      </c>
      <c r="N875" s="7">
        <f t="shared" si="318"/>
        <v>25</v>
      </c>
      <c r="O875">
        <v>0.28532608695652173</v>
      </c>
      <c r="P875">
        <v>3.6869565217391299E-2</v>
      </c>
      <c r="Q875" s="6">
        <f>O875/(0.1*O861)</f>
        <v>1.4068428837867384</v>
      </c>
      <c r="R875" s="6">
        <f>O875/(0.1*O864)</f>
        <v>1.2998910567495294</v>
      </c>
      <c r="S875" s="6">
        <f>P875/(0.9*P866)</f>
        <v>0.19415252879089678</v>
      </c>
      <c r="T875" s="6">
        <f t="shared" si="319"/>
        <v>1.6009954125776351</v>
      </c>
      <c r="U875" s="6">
        <f t="shared" si="320"/>
        <v>1.4940435855404262</v>
      </c>
      <c r="V875" s="1">
        <f>O875/O861+P875/P866</f>
        <v>0.31542156429048096</v>
      </c>
      <c r="W875" s="1">
        <f>O875/O864+P875/P866</f>
        <v>0.30472638158676002</v>
      </c>
      <c r="X875" s="1">
        <f t="shared" si="317"/>
        <v>11</v>
      </c>
      <c r="Y875" s="6">
        <f t="shared" si="321"/>
        <v>0.32219565217391305</v>
      </c>
    </row>
    <row r="876" spans="1:25" x14ac:dyDescent="0.15">
      <c r="A876" s="1">
        <v>2024</v>
      </c>
      <c r="B876" s="1" t="s">
        <v>56</v>
      </c>
      <c r="C876" s="1">
        <v>46</v>
      </c>
      <c r="D876" s="3">
        <v>18</v>
      </c>
      <c r="E876" s="3" t="s">
        <v>37</v>
      </c>
      <c r="F876" s="3" t="s">
        <v>40</v>
      </c>
      <c r="G876" s="3" t="s">
        <v>14</v>
      </c>
      <c r="H876" s="1" t="s">
        <v>37</v>
      </c>
      <c r="I876" s="3">
        <v>4</v>
      </c>
      <c r="J876" s="3" t="s">
        <v>71</v>
      </c>
      <c r="K876" s="1" t="s">
        <v>42</v>
      </c>
      <c r="L876">
        <v>60</v>
      </c>
      <c r="M876">
        <v>40</v>
      </c>
      <c r="N876" s="7">
        <f t="shared" si="318"/>
        <v>20</v>
      </c>
      <c r="O876">
        <v>0.75913043478260878</v>
      </c>
      <c r="P876">
        <v>0.30166304347826089</v>
      </c>
      <c r="Q876" s="6">
        <f>O876/(0.1*O861)</f>
        <v>3.7430059810920313</v>
      </c>
      <c r="R876" s="6">
        <f>O876/(0.1*O864)</f>
        <v>3.45845300584332</v>
      </c>
      <c r="S876" s="6">
        <f>P876/(0.9*P867)</f>
        <v>2.4100560114628111</v>
      </c>
      <c r="T876" s="6">
        <f t="shared" si="319"/>
        <v>6.1530619925548429</v>
      </c>
      <c r="U876" s="6">
        <f t="shared" si="320"/>
        <v>5.8685090173061312</v>
      </c>
      <c r="V876" s="1">
        <f>O876/O861+P876/P867</f>
        <v>2.5433510084257334</v>
      </c>
      <c r="W876" s="1">
        <f>O876/O864+P876/P867</f>
        <v>2.5148957109008618</v>
      </c>
      <c r="X876" s="1">
        <f t="shared" si="317"/>
        <v>28.000000000000004</v>
      </c>
      <c r="Y876" s="6">
        <f t="shared" si="321"/>
        <v>1.0607934782608697</v>
      </c>
    </row>
    <row r="877" spans="1:25" ht="15" thickBot="1" x14ac:dyDescent="0.2">
      <c r="A877" s="1">
        <v>2024</v>
      </c>
      <c r="B877" s="1" t="s">
        <v>56</v>
      </c>
      <c r="C877" s="1">
        <v>46</v>
      </c>
      <c r="D877" s="3">
        <v>1</v>
      </c>
      <c r="E877" s="3" t="s">
        <v>35</v>
      </c>
      <c r="F877" s="3"/>
      <c r="G877" s="3" t="s">
        <v>41</v>
      </c>
      <c r="H877" s="1" t="s">
        <v>35</v>
      </c>
      <c r="I877" s="3">
        <v>4</v>
      </c>
      <c r="J877" s="3" t="s">
        <v>35</v>
      </c>
      <c r="K877" s="1" t="s">
        <v>42</v>
      </c>
      <c r="L877" s="4">
        <v>110</v>
      </c>
      <c r="M877" s="7" t="s">
        <v>45</v>
      </c>
      <c r="N877" s="7" t="s">
        <v>45</v>
      </c>
      <c r="O877">
        <v>4.846876521739131</v>
      </c>
      <c r="P877" s="5" t="s">
        <v>45</v>
      </c>
      <c r="Q877" s="6" t="s">
        <v>45</v>
      </c>
      <c r="R877" s="6" t="s">
        <v>45</v>
      </c>
      <c r="S877" s="6" t="s">
        <v>45</v>
      </c>
      <c r="T877" s="6" t="s">
        <v>45</v>
      </c>
      <c r="U877" s="6" t="s">
        <v>45</v>
      </c>
      <c r="V877" s="1" t="s">
        <v>45</v>
      </c>
      <c r="W877" s="1" t="s">
        <v>45</v>
      </c>
      <c r="X877" s="6" t="s">
        <v>45</v>
      </c>
      <c r="Y877" s="6">
        <f>O877</f>
        <v>4.846876521739131</v>
      </c>
    </row>
    <row r="878" spans="1:25" x14ac:dyDescent="0.15">
      <c r="A878" s="1">
        <v>2024</v>
      </c>
      <c r="B878" s="1" t="s">
        <v>56</v>
      </c>
      <c r="C878" s="1">
        <v>46</v>
      </c>
      <c r="D878" s="3">
        <v>2</v>
      </c>
      <c r="E878" s="3" t="s">
        <v>36</v>
      </c>
      <c r="F878" s="3"/>
      <c r="G878" s="3" t="s">
        <v>41</v>
      </c>
      <c r="H878" s="1" t="s">
        <v>36</v>
      </c>
      <c r="I878" s="3">
        <v>4</v>
      </c>
      <c r="J878" s="3" t="s">
        <v>36</v>
      </c>
      <c r="K878" s="1" t="s">
        <v>42</v>
      </c>
      <c r="L878" s="17">
        <v>105</v>
      </c>
      <c r="M878" s="7" t="s">
        <v>45</v>
      </c>
      <c r="N878" s="7" t="s">
        <v>45</v>
      </c>
      <c r="O878">
        <v>4.6332252173913053</v>
      </c>
      <c r="P878" s="5" t="s">
        <v>45</v>
      </c>
      <c r="Q878" s="6" t="s">
        <v>45</v>
      </c>
      <c r="R878" s="6" t="s">
        <v>45</v>
      </c>
      <c r="S878" s="6" t="s">
        <v>45</v>
      </c>
      <c r="T878" s="6" t="s">
        <v>45</v>
      </c>
      <c r="U878" s="6" t="s">
        <v>45</v>
      </c>
      <c r="V878" s="1" t="s">
        <v>45</v>
      </c>
      <c r="W878" s="1" t="s">
        <v>45</v>
      </c>
      <c r="X878" s="6" t="s">
        <v>45</v>
      </c>
      <c r="Y878" s="6">
        <f t="shared" ref="Y878:Y882" si="322">O878</f>
        <v>4.6332252173913053</v>
      </c>
    </row>
    <row r="879" spans="1:25" x14ac:dyDescent="0.15">
      <c r="A879" s="1">
        <v>2024</v>
      </c>
      <c r="B879" s="1" t="s">
        <v>56</v>
      </c>
      <c r="C879" s="1">
        <v>46</v>
      </c>
      <c r="D879" s="3">
        <v>3</v>
      </c>
      <c r="E879" s="3" t="s">
        <v>37</v>
      </c>
      <c r="F879" s="3"/>
      <c r="G879" s="3" t="s">
        <v>41</v>
      </c>
      <c r="H879" s="1" t="s">
        <v>37</v>
      </c>
      <c r="I879" s="3">
        <v>4</v>
      </c>
      <c r="J879" s="3" t="s">
        <v>37</v>
      </c>
      <c r="K879" s="1" t="s">
        <v>42</v>
      </c>
      <c r="L879" s="18">
        <v>70</v>
      </c>
      <c r="M879" s="7" t="s">
        <v>45</v>
      </c>
      <c r="N879" s="7" t="s">
        <v>45</v>
      </c>
      <c r="O879">
        <v>4.5468347826086966</v>
      </c>
      <c r="P879" s="5" t="s">
        <v>45</v>
      </c>
      <c r="Q879" s="6" t="s">
        <v>45</v>
      </c>
      <c r="R879" s="6" t="s">
        <v>45</v>
      </c>
      <c r="S879" s="6" t="s">
        <v>45</v>
      </c>
      <c r="T879" s="6" t="s">
        <v>45</v>
      </c>
      <c r="U879" s="6" t="s">
        <v>45</v>
      </c>
      <c r="V879" s="1" t="s">
        <v>45</v>
      </c>
      <c r="W879" s="1" t="s">
        <v>45</v>
      </c>
      <c r="X879" s="6" t="s">
        <v>45</v>
      </c>
      <c r="Y879" s="6">
        <f t="shared" si="322"/>
        <v>4.5468347826086966</v>
      </c>
    </row>
    <row r="880" spans="1:25" x14ac:dyDescent="0.15">
      <c r="A880" s="1">
        <v>2024</v>
      </c>
      <c r="B880" s="1" t="s">
        <v>56</v>
      </c>
      <c r="C880" s="1">
        <v>46</v>
      </c>
      <c r="D880" s="3">
        <v>4</v>
      </c>
      <c r="E880" s="3" t="s">
        <v>35</v>
      </c>
      <c r="F880" s="3"/>
      <c r="G880" s="3" t="s">
        <v>41</v>
      </c>
      <c r="H880" s="1" t="s">
        <v>75</v>
      </c>
      <c r="I880" s="3">
        <v>4</v>
      </c>
      <c r="J880" s="3" t="s">
        <v>35</v>
      </c>
      <c r="K880" s="1" t="s">
        <v>43</v>
      </c>
      <c r="L880" s="18">
        <v>105</v>
      </c>
      <c r="M880" s="7" t="s">
        <v>45</v>
      </c>
      <c r="N880" s="7" t="s">
        <v>45</v>
      </c>
      <c r="O880">
        <v>5.5373765217391311</v>
      </c>
      <c r="P880" s="5" t="s">
        <v>45</v>
      </c>
      <c r="Q880" s="6" t="s">
        <v>45</v>
      </c>
      <c r="R880" s="6" t="s">
        <v>45</v>
      </c>
      <c r="S880" s="6" t="s">
        <v>45</v>
      </c>
      <c r="T880" s="6" t="s">
        <v>45</v>
      </c>
      <c r="U880" s="6" t="s">
        <v>45</v>
      </c>
      <c r="V880" s="1" t="s">
        <v>45</v>
      </c>
      <c r="W880" s="1" t="s">
        <v>45</v>
      </c>
      <c r="X880" s="1" t="s">
        <v>45</v>
      </c>
      <c r="Y880" s="6">
        <f t="shared" si="322"/>
        <v>5.5373765217391311</v>
      </c>
    </row>
    <row r="881" spans="1:25" x14ac:dyDescent="0.15">
      <c r="A881" s="1">
        <v>2024</v>
      </c>
      <c r="B881" s="1" t="s">
        <v>56</v>
      </c>
      <c r="C881" s="1">
        <v>46</v>
      </c>
      <c r="D881" s="3">
        <v>5</v>
      </c>
      <c r="E881" s="3" t="s">
        <v>36</v>
      </c>
      <c r="F881" s="3"/>
      <c r="G881" s="3" t="s">
        <v>41</v>
      </c>
      <c r="H881" s="1" t="s">
        <v>76</v>
      </c>
      <c r="I881" s="3">
        <v>4</v>
      </c>
      <c r="J881" s="3" t="s">
        <v>36</v>
      </c>
      <c r="K881" s="1" t="s">
        <v>43</v>
      </c>
      <c r="L881" s="18">
        <v>100</v>
      </c>
      <c r="M881" s="7" t="s">
        <v>45</v>
      </c>
      <c r="N881" s="7" t="s">
        <v>45</v>
      </c>
      <c r="O881">
        <v>2.8149599999999997</v>
      </c>
      <c r="P881" s="5" t="s">
        <v>45</v>
      </c>
      <c r="Q881" s="6" t="s">
        <v>45</v>
      </c>
      <c r="R881" s="6" t="s">
        <v>45</v>
      </c>
      <c r="S881" s="6" t="s">
        <v>45</v>
      </c>
      <c r="T881" s="6" t="s">
        <v>45</v>
      </c>
      <c r="U881" s="6" t="s">
        <v>45</v>
      </c>
      <c r="V881" s="1" t="s">
        <v>45</v>
      </c>
      <c r="W881" s="1" t="s">
        <v>45</v>
      </c>
      <c r="X881" s="1" t="s">
        <v>45</v>
      </c>
      <c r="Y881" s="6">
        <f t="shared" si="322"/>
        <v>2.8149599999999997</v>
      </c>
    </row>
    <row r="882" spans="1:25" x14ac:dyDescent="0.15">
      <c r="A882" s="1">
        <v>2024</v>
      </c>
      <c r="B882" s="1" t="s">
        <v>56</v>
      </c>
      <c r="C882" s="1">
        <v>46</v>
      </c>
      <c r="D882" s="3">
        <v>6</v>
      </c>
      <c r="E882" s="3" t="s">
        <v>37</v>
      </c>
      <c r="F882" s="3"/>
      <c r="G882" s="3" t="s">
        <v>41</v>
      </c>
      <c r="H882" s="1" t="s">
        <v>77</v>
      </c>
      <c r="I882" s="3">
        <v>4</v>
      </c>
      <c r="J882" s="3" t="s">
        <v>37</v>
      </c>
      <c r="K882" s="1" t="s">
        <v>43</v>
      </c>
      <c r="L882" s="18">
        <v>70</v>
      </c>
      <c r="M882" s="7" t="s">
        <v>45</v>
      </c>
      <c r="N882" s="7" t="s">
        <v>45</v>
      </c>
      <c r="O882">
        <v>4.7912993478260866</v>
      </c>
      <c r="P882" s="5" t="s">
        <v>45</v>
      </c>
      <c r="Q882" s="6" t="s">
        <v>45</v>
      </c>
      <c r="R882" s="6" t="s">
        <v>45</v>
      </c>
      <c r="S882" s="6" t="s">
        <v>45</v>
      </c>
      <c r="T882" s="6" t="s">
        <v>45</v>
      </c>
      <c r="U882" s="6" t="s">
        <v>45</v>
      </c>
      <c r="V882" s="1" t="s">
        <v>45</v>
      </c>
      <c r="W882" s="1" t="s">
        <v>45</v>
      </c>
      <c r="X882" s="1" t="s">
        <v>45</v>
      </c>
      <c r="Y882" s="6">
        <f t="shared" si="322"/>
        <v>4.7912993478260866</v>
      </c>
    </row>
    <row r="883" spans="1:25" x14ac:dyDescent="0.15">
      <c r="A883" s="1">
        <v>2024</v>
      </c>
      <c r="B883" s="1" t="s">
        <v>56</v>
      </c>
      <c r="C883" s="1">
        <v>46</v>
      </c>
      <c r="D883" s="3">
        <v>7</v>
      </c>
      <c r="E883" s="3"/>
      <c r="F883" s="3" t="s">
        <v>38</v>
      </c>
      <c r="G883" s="3" t="s">
        <v>41</v>
      </c>
      <c r="H883" s="1"/>
      <c r="I883" s="3">
        <v>4</v>
      </c>
      <c r="J883" s="3" t="s">
        <v>38</v>
      </c>
      <c r="K883" s="1" t="s">
        <v>42</v>
      </c>
      <c r="L883" s="7" t="s">
        <v>45</v>
      </c>
      <c r="M883" s="18">
        <v>40</v>
      </c>
      <c r="N883" s="7" t="s">
        <v>45</v>
      </c>
      <c r="O883" s="5" t="s">
        <v>45</v>
      </c>
      <c r="P883">
        <v>0.2880978260869565</v>
      </c>
      <c r="Q883" s="6" t="s">
        <v>45</v>
      </c>
      <c r="R883" s="6" t="s">
        <v>45</v>
      </c>
      <c r="S883" s="6" t="s">
        <v>45</v>
      </c>
      <c r="T883" s="6" t="s">
        <v>45</v>
      </c>
      <c r="U883" s="6" t="s">
        <v>45</v>
      </c>
      <c r="V883" s="1" t="s">
        <v>45</v>
      </c>
      <c r="W883" s="1" t="s">
        <v>45</v>
      </c>
      <c r="X883" s="1" t="s">
        <v>45</v>
      </c>
      <c r="Y883" s="6">
        <f>P883</f>
        <v>0.2880978260869565</v>
      </c>
    </row>
    <row r="884" spans="1:25" x14ac:dyDescent="0.15">
      <c r="A884" s="1">
        <v>2024</v>
      </c>
      <c r="B884" s="1" t="s">
        <v>56</v>
      </c>
      <c r="C884" s="1">
        <v>46</v>
      </c>
      <c r="D884" s="3">
        <v>8</v>
      </c>
      <c r="E884" s="3"/>
      <c r="F884" s="3" t="s">
        <v>39</v>
      </c>
      <c r="G884" s="3" t="s">
        <v>41</v>
      </c>
      <c r="H884" s="1"/>
      <c r="I884" s="3">
        <v>4</v>
      </c>
      <c r="J884" s="3" t="s">
        <v>39</v>
      </c>
      <c r="K884" s="1" t="s">
        <v>42</v>
      </c>
      <c r="L884" s="7" t="s">
        <v>45</v>
      </c>
      <c r="M884" s="18">
        <v>50</v>
      </c>
      <c r="N884" s="7" t="s">
        <v>45</v>
      </c>
      <c r="O884" s="5" t="s">
        <v>45</v>
      </c>
      <c r="P884">
        <v>0.34825652173913046</v>
      </c>
      <c r="Q884" s="6" t="s">
        <v>45</v>
      </c>
      <c r="R884" s="6" t="s">
        <v>45</v>
      </c>
      <c r="S884" s="6" t="s">
        <v>45</v>
      </c>
      <c r="T884" s="6" t="s">
        <v>45</v>
      </c>
      <c r="U884" s="6" t="s">
        <v>45</v>
      </c>
      <c r="V884" s="1" t="s">
        <v>45</v>
      </c>
      <c r="W884" s="1" t="s">
        <v>45</v>
      </c>
      <c r="X884" s="1" t="s">
        <v>45</v>
      </c>
      <c r="Y884" s="6">
        <f t="shared" ref="Y884:Y885" si="323">P884</f>
        <v>0.34825652173913046</v>
      </c>
    </row>
    <row r="885" spans="1:25" x14ac:dyDescent="0.15">
      <c r="A885" s="1">
        <v>2024</v>
      </c>
      <c r="B885" s="1" t="s">
        <v>56</v>
      </c>
      <c r="C885" s="1">
        <v>46</v>
      </c>
      <c r="D885" s="3">
        <v>9</v>
      </c>
      <c r="E885" s="3"/>
      <c r="F885" s="3" t="s">
        <v>40</v>
      </c>
      <c r="G885" s="3" t="s">
        <v>41</v>
      </c>
      <c r="H885" s="1"/>
      <c r="I885" s="3">
        <v>4</v>
      </c>
      <c r="J885" s="3" t="s">
        <v>40</v>
      </c>
      <c r="K885" s="1" t="s">
        <v>42</v>
      </c>
      <c r="L885" s="7" t="s">
        <v>45</v>
      </c>
      <c r="M885" s="18">
        <v>45</v>
      </c>
      <c r="N885" s="7" t="s">
        <v>45</v>
      </c>
      <c r="O885" s="5" t="s">
        <v>45</v>
      </c>
      <c r="P885">
        <v>0.21076956521739132</v>
      </c>
      <c r="Q885" s="6" t="s">
        <v>45</v>
      </c>
      <c r="R885" s="6" t="s">
        <v>45</v>
      </c>
      <c r="S885" s="6" t="s">
        <v>45</v>
      </c>
      <c r="T885" s="6" t="s">
        <v>45</v>
      </c>
      <c r="U885" s="6" t="s">
        <v>45</v>
      </c>
      <c r="V885" s="1" t="s">
        <v>45</v>
      </c>
      <c r="W885" s="1" t="s">
        <v>45</v>
      </c>
      <c r="X885" s="1" t="s">
        <v>45</v>
      </c>
      <c r="Y885" s="6">
        <f t="shared" si="323"/>
        <v>0.21076956521739132</v>
      </c>
    </row>
    <row r="886" spans="1:25" x14ac:dyDescent="0.15">
      <c r="A886" s="1">
        <v>2024</v>
      </c>
      <c r="B886" s="1" t="s">
        <v>56</v>
      </c>
      <c r="C886" s="1">
        <v>46</v>
      </c>
      <c r="D886" s="3">
        <v>10</v>
      </c>
      <c r="E886" s="3" t="s">
        <v>35</v>
      </c>
      <c r="F886" s="3" t="s">
        <v>38</v>
      </c>
      <c r="G886" s="3" t="s">
        <v>14</v>
      </c>
      <c r="H886" s="1" t="s">
        <v>35</v>
      </c>
      <c r="I886" s="3">
        <v>4</v>
      </c>
      <c r="J886" s="3" t="s">
        <v>63</v>
      </c>
      <c r="K886" s="1" t="s">
        <v>42</v>
      </c>
      <c r="L886" s="18">
        <v>120</v>
      </c>
      <c r="M886" s="18">
        <v>50</v>
      </c>
      <c r="N886" s="7">
        <f>L886-M886</f>
        <v>70</v>
      </c>
      <c r="O886">
        <v>3.073010434782609</v>
      </c>
      <c r="P886">
        <v>0.23127391304347827</v>
      </c>
      <c r="Q886" s="6">
        <f>O886/(0.1*O877)</f>
        <v>6.3401871720882363</v>
      </c>
      <c r="R886" s="6">
        <f>O886/(0.1*O880)</f>
        <v>5.5495782573540158</v>
      </c>
      <c r="S886" s="6">
        <f>P886/(0.9*P883)</f>
        <v>0.89195749229705101</v>
      </c>
      <c r="T886" s="6">
        <f>Q886+S886</f>
        <v>7.2321446643852871</v>
      </c>
      <c r="U886" s="6">
        <f>R886+S886</f>
        <v>6.4415357496510666</v>
      </c>
      <c r="V886" s="1">
        <f>O886/O877+P886/P883</f>
        <v>1.4367804602761696</v>
      </c>
      <c r="W886" s="1">
        <f>O886/O880+P886/P883</f>
        <v>1.3577195688027475</v>
      </c>
      <c r="X886" s="1">
        <f t="shared" ref="X886:X894" si="324">100*ROUND(P886/(P886+O886), 2)</f>
        <v>7.0000000000000009</v>
      </c>
      <c r="Y886" s="6">
        <f>O886+P886</f>
        <v>3.3042843478260875</v>
      </c>
    </row>
    <row r="887" spans="1:25" x14ac:dyDescent="0.15">
      <c r="A887" s="1">
        <v>2024</v>
      </c>
      <c r="B887" s="1" t="s">
        <v>56</v>
      </c>
      <c r="C887" s="1">
        <v>47</v>
      </c>
      <c r="D887" s="3">
        <v>11</v>
      </c>
      <c r="E887" s="3" t="s">
        <v>35</v>
      </c>
      <c r="F887" s="3" t="s">
        <v>39</v>
      </c>
      <c r="G887" s="3" t="s">
        <v>14</v>
      </c>
      <c r="H887" s="1" t="s">
        <v>35</v>
      </c>
      <c r="I887" s="3">
        <v>4</v>
      </c>
      <c r="J887" s="3" t="s">
        <v>64</v>
      </c>
      <c r="K887" s="1" t="s">
        <v>42</v>
      </c>
      <c r="L887" s="18">
        <v>110</v>
      </c>
      <c r="M887" s="18">
        <v>35</v>
      </c>
      <c r="N887" s="7">
        <f t="shared" ref="N887:N894" si="325">L887-M887</f>
        <v>75</v>
      </c>
      <c r="O887">
        <v>2.8476130434782614</v>
      </c>
      <c r="P887" s="5" t="s">
        <v>45</v>
      </c>
      <c r="Q887" s="6">
        <f>O887/(0.1*O877)</f>
        <v>5.8751507918681112</v>
      </c>
      <c r="R887" s="6">
        <f>O887/(0.1*O880)</f>
        <v>5.1425310023597737</v>
      </c>
      <c r="S887" s="1" t="s">
        <v>45</v>
      </c>
      <c r="T887" s="1" t="s">
        <v>45</v>
      </c>
      <c r="U887" s="1" t="s">
        <v>45</v>
      </c>
      <c r="V887" s="1" t="s">
        <v>45</v>
      </c>
      <c r="W887" s="1" t="s">
        <v>45</v>
      </c>
      <c r="X887" s="5" t="s">
        <v>45</v>
      </c>
      <c r="Y887" s="5" t="s">
        <v>45</v>
      </c>
    </row>
    <row r="888" spans="1:25" x14ac:dyDescent="0.15">
      <c r="A888" s="1">
        <v>2024</v>
      </c>
      <c r="B888" s="1" t="s">
        <v>56</v>
      </c>
      <c r="C888" s="1">
        <v>47</v>
      </c>
      <c r="D888" s="3">
        <v>12</v>
      </c>
      <c r="E888" s="3" t="s">
        <v>35</v>
      </c>
      <c r="F888" s="3" t="s">
        <v>40</v>
      </c>
      <c r="G888" s="3" t="s">
        <v>14</v>
      </c>
      <c r="H888" s="1" t="s">
        <v>35</v>
      </c>
      <c r="I888" s="3">
        <v>4</v>
      </c>
      <c r="J888" s="3" t="s">
        <v>65</v>
      </c>
      <c r="K888" s="1" t="s">
        <v>42</v>
      </c>
      <c r="L888" s="18">
        <v>110</v>
      </c>
      <c r="M888" s="18">
        <v>45</v>
      </c>
      <c r="N888" s="7">
        <f t="shared" si="325"/>
        <v>65</v>
      </c>
      <c r="O888">
        <v>2.6289826086956523</v>
      </c>
      <c r="P888" s="5" t="s">
        <v>45</v>
      </c>
      <c r="Q888" s="6">
        <f>O888/(0.1*O877)</f>
        <v>5.4240758907394948</v>
      </c>
      <c r="R888" s="6">
        <f>O888/(0.1*O880)</f>
        <v>4.7477042573763146</v>
      </c>
      <c r="S888" s="1" t="s">
        <v>45</v>
      </c>
      <c r="T888" s="1" t="s">
        <v>45</v>
      </c>
      <c r="U888" s="1" t="s">
        <v>45</v>
      </c>
      <c r="V888" s="1" t="s">
        <v>45</v>
      </c>
      <c r="W888" s="1" t="s">
        <v>45</v>
      </c>
      <c r="X888" s="5" t="s">
        <v>45</v>
      </c>
      <c r="Y888" s="5" t="s">
        <v>45</v>
      </c>
    </row>
    <row r="889" spans="1:25" x14ac:dyDescent="0.15">
      <c r="A889" s="1">
        <v>2024</v>
      </c>
      <c r="B889" s="1" t="s">
        <v>56</v>
      </c>
      <c r="C889" s="1">
        <v>47</v>
      </c>
      <c r="D889" s="3">
        <v>13</v>
      </c>
      <c r="E889" s="3" t="s">
        <v>36</v>
      </c>
      <c r="F889" s="3" t="s">
        <v>38</v>
      </c>
      <c r="G889" s="3" t="s">
        <v>14</v>
      </c>
      <c r="H889" s="1" t="s">
        <v>36</v>
      </c>
      <c r="I889" s="3">
        <v>4</v>
      </c>
      <c r="J889" s="3" t="s">
        <v>66</v>
      </c>
      <c r="K889" s="1" t="s">
        <v>42</v>
      </c>
      <c r="L889" s="18">
        <v>105</v>
      </c>
      <c r="M889" s="18">
        <v>55</v>
      </c>
      <c r="N889" s="7">
        <f t="shared" si="325"/>
        <v>50</v>
      </c>
      <c r="O889">
        <v>2.8308619565217388</v>
      </c>
      <c r="P889">
        <v>0.32493913043478267</v>
      </c>
      <c r="Q889" s="6">
        <f>O889/(0.1*O878)</f>
        <v>6.1099165779720703</v>
      </c>
      <c r="R889" s="6">
        <f>O889/(0.1*O881)</f>
        <v>10.056490879166095</v>
      </c>
      <c r="S889" s="6">
        <f>P889/(0.9*P883)</f>
        <v>1.2531975099037922</v>
      </c>
      <c r="T889" s="6">
        <f t="shared" ref="T887:T894" si="326">Q889+S889</f>
        <v>7.3631140878758625</v>
      </c>
      <c r="U889" s="6">
        <f t="shared" ref="U887:U894" si="327">R889+S889</f>
        <v>11.309688389069887</v>
      </c>
      <c r="V889" s="1">
        <f>O889/O878+P889/P883</f>
        <v>1.73886941671062</v>
      </c>
      <c r="W889" s="1">
        <f>O889/O881+P889/P883</f>
        <v>2.1335268468300224</v>
      </c>
      <c r="X889" s="1">
        <f t="shared" si="324"/>
        <v>10</v>
      </c>
      <c r="Y889" s="6">
        <f t="shared" ref="Y889:Y894" si="328">O889+P889</f>
        <v>3.1558010869565214</v>
      </c>
    </row>
    <row r="890" spans="1:25" x14ac:dyDescent="0.15">
      <c r="A890" s="1">
        <v>2024</v>
      </c>
      <c r="B890" s="1" t="s">
        <v>56</v>
      </c>
      <c r="C890" s="1">
        <v>47</v>
      </c>
      <c r="D890" s="3">
        <v>14</v>
      </c>
      <c r="E890" s="3" t="s">
        <v>36</v>
      </c>
      <c r="F890" s="3" t="s">
        <v>39</v>
      </c>
      <c r="G890" s="3" t="s">
        <v>14</v>
      </c>
      <c r="H890" s="1" t="s">
        <v>36</v>
      </c>
      <c r="I890" s="3">
        <v>4</v>
      </c>
      <c r="J890" s="3" t="s">
        <v>67</v>
      </c>
      <c r="K890" s="1" t="s">
        <v>42</v>
      </c>
      <c r="L890" s="18">
        <v>115</v>
      </c>
      <c r="M890" s="18">
        <v>45</v>
      </c>
      <c r="N890" s="7">
        <f t="shared" si="325"/>
        <v>70</v>
      </c>
      <c r="O890">
        <v>3.1815565217391306</v>
      </c>
      <c r="P890" s="5" t="s">
        <v>45</v>
      </c>
      <c r="Q890" s="6">
        <f>O890/(0.1*O878)</f>
        <v>6.8668289851242683</v>
      </c>
      <c r="R890" s="6">
        <f>O890/(0.1*O881)</f>
        <v>11.302315207815141</v>
      </c>
      <c r="S890" s="1" t="s">
        <v>45</v>
      </c>
      <c r="T890" s="1" t="s">
        <v>45</v>
      </c>
      <c r="U890" s="1" t="s">
        <v>45</v>
      </c>
      <c r="V890" s="1" t="s">
        <v>45</v>
      </c>
      <c r="W890" s="1" t="s">
        <v>45</v>
      </c>
      <c r="X890" s="19" t="s">
        <v>45</v>
      </c>
      <c r="Y890" s="19" t="s">
        <v>45</v>
      </c>
    </row>
    <row r="891" spans="1:25" x14ac:dyDescent="0.15">
      <c r="A891" s="1">
        <v>2024</v>
      </c>
      <c r="B891" s="1" t="s">
        <v>56</v>
      </c>
      <c r="C891" s="1">
        <v>47</v>
      </c>
      <c r="D891" s="3">
        <v>15</v>
      </c>
      <c r="E891" s="3" t="s">
        <v>36</v>
      </c>
      <c r="F891" s="3" t="s">
        <v>40</v>
      </c>
      <c r="G891" s="3" t="s">
        <v>14</v>
      </c>
      <c r="H891" s="1" t="s">
        <v>36</v>
      </c>
      <c r="I891" s="3">
        <v>4</v>
      </c>
      <c r="J891" s="3" t="s">
        <v>68</v>
      </c>
      <c r="K891" s="1" t="s">
        <v>42</v>
      </c>
      <c r="L891" s="18">
        <v>120</v>
      </c>
      <c r="M891" s="18">
        <v>40</v>
      </c>
      <c r="N891" s="7">
        <f t="shared" si="325"/>
        <v>80</v>
      </c>
      <c r="O891">
        <v>3.171802173913044</v>
      </c>
      <c r="P891" s="5" t="s">
        <v>45</v>
      </c>
      <c r="Q891" s="6">
        <f>O891/(0.1*O878)</f>
        <v>6.8457759445997697</v>
      </c>
      <c r="R891" s="6">
        <f>O891/(0.1*O881)</f>
        <v>11.267663391000385</v>
      </c>
      <c r="S891" s="1" t="s">
        <v>45</v>
      </c>
      <c r="T891" s="1" t="s">
        <v>45</v>
      </c>
      <c r="U891" s="1" t="s">
        <v>45</v>
      </c>
      <c r="V891" s="1" t="s">
        <v>45</v>
      </c>
      <c r="W891" s="1" t="s">
        <v>45</v>
      </c>
      <c r="X891" s="19" t="s">
        <v>45</v>
      </c>
      <c r="Y891" s="19" t="s">
        <v>45</v>
      </c>
    </row>
    <row r="892" spans="1:25" x14ac:dyDescent="0.15">
      <c r="A892" s="1">
        <v>2024</v>
      </c>
      <c r="B892" s="1" t="s">
        <v>56</v>
      </c>
      <c r="C892" s="1">
        <v>47</v>
      </c>
      <c r="D892" s="3">
        <v>16</v>
      </c>
      <c r="E892" s="3" t="s">
        <v>37</v>
      </c>
      <c r="F892" s="3" t="s">
        <v>38</v>
      </c>
      <c r="G892" s="3" t="s">
        <v>14</v>
      </c>
      <c r="H892" s="1" t="s">
        <v>37</v>
      </c>
      <c r="I892" s="3">
        <v>4</v>
      </c>
      <c r="J892" s="3" t="s">
        <v>69</v>
      </c>
      <c r="K892" s="1" t="s">
        <v>42</v>
      </c>
      <c r="L892" s="18">
        <v>85</v>
      </c>
      <c r="M892" s="18">
        <v>45</v>
      </c>
      <c r="N892" s="7">
        <f t="shared" si="325"/>
        <v>40</v>
      </c>
      <c r="O892">
        <v>3.8933700000000004</v>
      </c>
      <c r="P892">
        <v>0.30427826086956528</v>
      </c>
      <c r="Q892" s="6">
        <f>O892/(0.1*O879)</f>
        <v>8.5628138829496283</v>
      </c>
      <c r="R892" s="6">
        <f>O892/(0.1*O882)</f>
        <v>8.125916828316111</v>
      </c>
      <c r="S892" s="6">
        <f>P892/(0.9*P883)</f>
        <v>1.173514431239389</v>
      </c>
      <c r="T892" s="6">
        <f t="shared" si="326"/>
        <v>9.7363283141890165</v>
      </c>
      <c r="U892" s="6">
        <f t="shared" si="327"/>
        <v>9.2994312595555009</v>
      </c>
      <c r="V892" s="1">
        <f>O892/O879+P892/P883</f>
        <v>1.9124443764104131</v>
      </c>
      <c r="W892" s="1">
        <f>O892/O882+P892/P883</f>
        <v>1.8687546709470613</v>
      </c>
      <c r="X892" s="1">
        <f t="shared" si="324"/>
        <v>7.0000000000000009</v>
      </c>
      <c r="Y892" s="6">
        <f t="shared" si="328"/>
        <v>4.197648260869566</v>
      </c>
    </row>
    <row r="893" spans="1:25" x14ac:dyDescent="0.15">
      <c r="A893" s="1">
        <v>2024</v>
      </c>
      <c r="B893" s="1" t="s">
        <v>56</v>
      </c>
      <c r="C893" s="1">
        <v>47</v>
      </c>
      <c r="D893" s="3">
        <v>17</v>
      </c>
      <c r="E893" s="3" t="s">
        <v>37</v>
      </c>
      <c r="F893" s="3" t="s">
        <v>39</v>
      </c>
      <c r="G893" s="3" t="s">
        <v>14</v>
      </c>
      <c r="H893" s="1" t="s">
        <v>37</v>
      </c>
      <c r="I893" s="3">
        <v>4</v>
      </c>
      <c r="J893" s="3" t="s">
        <v>70</v>
      </c>
      <c r="K893" s="1" t="s">
        <v>42</v>
      </c>
      <c r="L893" s="18">
        <v>85</v>
      </c>
      <c r="M893" s="7" t="s">
        <v>45</v>
      </c>
      <c r="N893" s="7" t="s">
        <v>45</v>
      </c>
      <c r="O893">
        <v>2.5800450000000001</v>
      </c>
      <c r="P893" s="5" t="s">
        <v>45</v>
      </c>
      <c r="Q893" s="6">
        <f>O893/(0.1*O879)</f>
        <v>5.6743759634031115</v>
      </c>
      <c r="R893" s="6">
        <f>O893/(0.1*O882)</f>
        <v>5.3848545304743292</v>
      </c>
      <c r="S893" s="1" t="s">
        <v>45</v>
      </c>
      <c r="T893" s="1" t="s">
        <v>45</v>
      </c>
      <c r="U893" s="1" t="s">
        <v>45</v>
      </c>
      <c r="V893" s="1" t="s">
        <v>45</v>
      </c>
      <c r="W893" s="1" t="s">
        <v>45</v>
      </c>
      <c r="X893" s="19" t="s">
        <v>45</v>
      </c>
      <c r="Y893" s="19" t="s">
        <v>45</v>
      </c>
    </row>
    <row r="894" spans="1:25" x14ac:dyDescent="0.15">
      <c r="A894" s="1">
        <v>2024</v>
      </c>
      <c r="B894" s="1" t="s">
        <v>56</v>
      </c>
      <c r="C894" s="1">
        <v>47</v>
      </c>
      <c r="D894" s="3">
        <v>18</v>
      </c>
      <c r="E894" s="3" t="s">
        <v>37</v>
      </c>
      <c r="F894" s="3" t="s">
        <v>40</v>
      </c>
      <c r="G894" s="3" t="s">
        <v>14</v>
      </c>
      <c r="H894" s="1" t="s">
        <v>37</v>
      </c>
      <c r="I894" s="3">
        <v>4</v>
      </c>
      <c r="J894" s="3" t="s">
        <v>71</v>
      </c>
      <c r="K894" s="1" t="s">
        <v>42</v>
      </c>
      <c r="L894" s="18">
        <v>85</v>
      </c>
      <c r="M894" s="18">
        <v>50</v>
      </c>
      <c r="N894" s="7">
        <f t="shared" si="325"/>
        <v>35</v>
      </c>
      <c r="O894">
        <v>3.5735867391304352</v>
      </c>
      <c r="P894">
        <v>0.35625652173913047</v>
      </c>
      <c r="Q894" s="6">
        <f>O894/(0.1*O879)</f>
        <v>7.8595042705293299</v>
      </c>
      <c r="R894" s="6">
        <f>O894/(0.1*O882)</f>
        <v>7.4584919031449095</v>
      </c>
      <c r="S894" s="6">
        <f>P894/(0.9*P885)</f>
        <v>1.8780727630285152</v>
      </c>
      <c r="T894" s="6">
        <f t="shared" si="326"/>
        <v>9.7375770335578444</v>
      </c>
      <c r="U894" s="6">
        <f t="shared" si="327"/>
        <v>9.336564666173425</v>
      </c>
      <c r="V894" s="1">
        <f>O894/O879+P894/P885</f>
        <v>2.4762159137785966</v>
      </c>
      <c r="W894" s="1">
        <f>O894/O882+P894/P885</f>
        <v>2.4361146770401545</v>
      </c>
      <c r="X894" s="1">
        <f t="shared" si="324"/>
        <v>9</v>
      </c>
      <c r="Y894" s="6">
        <f t="shared" si="328"/>
        <v>3.9298432608695659</v>
      </c>
    </row>
    <row r="895" spans="1:25" x14ac:dyDescent="0.15">
      <c r="A895" s="1">
        <v>2024</v>
      </c>
      <c r="B895" s="1" t="s">
        <v>56</v>
      </c>
      <c r="C895" s="1">
        <v>47</v>
      </c>
      <c r="D895" s="3">
        <v>1</v>
      </c>
      <c r="E895" s="3" t="s">
        <v>35</v>
      </c>
      <c r="F895" s="3"/>
      <c r="G895" s="3" t="s">
        <v>41</v>
      </c>
      <c r="H895" s="1" t="s">
        <v>35</v>
      </c>
      <c r="I895" s="3">
        <v>4</v>
      </c>
      <c r="J895" s="3" t="s">
        <v>35</v>
      </c>
      <c r="K895" s="1" t="s">
        <v>42</v>
      </c>
      <c r="L895" s="18">
        <v>105</v>
      </c>
      <c r="M895" s="7" t="s">
        <v>45</v>
      </c>
      <c r="N895" s="7" t="s">
        <v>45</v>
      </c>
      <c r="O895">
        <v>4.9625069565217395</v>
      </c>
      <c r="P895" s="19" t="s">
        <v>45</v>
      </c>
      <c r="Q895" s="6" t="s">
        <v>45</v>
      </c>
      <c r="R895" s="6" t="s">
        <v>45</v>
      </c>
      <c r="S895" s="6" t="s">
        <v>45</v>
      </c>
      <c r="T895" s="6" t="s">
        <v>45</v>
      </c>
      <c r="U895" s="6" t="s">
        <v>45</v>
      </c>
      <c r="V895" s="1" t="s">
        <v>45</v>
      </c>
      <c r="W895" s="1" t="s">
        <v>45</v>
      </c>
      <c r="X895" s="6" t="s">
        <v>45</v>
      </c>
      <c r="Y895" s="6">
        <f>O895</f>
        <v>4.9625069565217395</v>
      </c>
    </row>
    <row r="896" spans="1:25" x14ac:dyDescent="0.15">
      <c r="A896" s="1">
        <v>2024</v>
      </c>
      <c r="B896" s="1" t="s">
        <v>56</v>
      </c>
      <c r="C896" s="1">
        <v>47</v>
      </c>
      <c r="D896" s="3">
        <v>2</v>
      </c>
      <c r="E896" s="3" t="s">
        <v>36</v>
      </c>
      <c r="F896" s="3"/>
      <c r="G896" s="3" t="s">
        <v>41</v>
      </c>
      <c r="H896" s="1" t="s">
        <v>36</v>
      </c>
      <c r="I896" s="3">
        <v>4</v>
      </c>
      <c r="J896" s="3" t="s">
        <v>36</v>
      </c>
      <c r="K896" s="1" t="s">
        <v>42</v>
      </c>
      <c r="L896" s="18">
        <v>100</v>
      </c>
      <c r="M896" s="7" t="s">
        <v>45</v>
      </c>
      <c r="N896" s="7" t="s">
        <v>45</v>
      </c>
      <c r="O896">
        <v>4.7241134782608691</v>
      </c>
      <c r="P896" s="19" t="s">
        <v>45</v>
      </c>
      <c r="Q896" s="6" t="s">
        <v>45</v>
      </c>
      <c r="R896" s="6" t="s">
        <v>45</v>
      </c>
      <c r="S896" s="6" t="s">
        <v>45</v>
      </c>
      <c r="T896" s="6" t="s">
        <v>45</v>
      </c>
      <c r="U896" s="6" t="s">
        <v>45</v>
      </c>
      <c r="V896" s="1" t="s">
        <v>45</v>
      </c>
      <c r="W896" s="1" t="s">
        <v>45</v>
      </c>
      <c r="X896" s="6" t="s">
        <v>45</v>
      </c>
      <c r="Y896" s="6">
        <f t="shared" ref="Y896:Y900" si="329">O896</f>
        <v>4.7241134782608691</v>
      </c>
    </row>
    <row r="897" spans="1:25" x14ac:dyDescent="0.15">
      <c r="A897" s="1">
        <v>2024</v>
      </c>
      <c r="B897" s="1" t="s">
        <v>56</v>
      </c>
      <c r="C897" s="1">
        <v>47</v>
      </c>
      <c r="D897" s="3">
        <v>3</v>
      </c>
      <c r="E897" s="3" t="s">
        <v>37</v>
      </c>
      <c r="F897" s="3"/>
      <c r="G897" s="3" t="s">
        <v>41</v>
      </c>
      <c r="H897" s="1" t="s">
        <v>37</v>
      </c>
      <c r="I897" s="3">
        <v>4</v>
      </c>
      <c r="J897" s="3" t="s">
        <v>37</v>
      </c>
      <c r="K897" s="1" t="s">
        <v>42</v>
      </c>
      <c r="L897" s="18">
        <v>70</v>
      </c>
      <c r="M897" s="7" t="s">
        <v>45</v>
      </c>
      <c r="N897" s="7" t="s">
        <v>45</v>
      </c>
      <c r="O897">
        <v>4.9500384782608693</v>
      </c>
      <c r="P897" s="19" t="s">
        <v>45</v>
      </c>
      <c r="Q897" s="6" t="s">
        <v>45</v>
      </c>
      <c r="R897" s="6" t="s">
        <v>45</v>
      </c>
      <c r="S897" s="6" t="s">
        <v>45</v>
      </c>
      <c r="T897" s="6" t="s">
        <v>45</v>
      </c>
      <c r="U897" s="6" t="s">
        <v>45</v>
      </c>
      <c r="V897" s="1" t="s">
        <v>45</v>
      </c>
      <c r="W897" s="1" t="s">
        <v>45</v>
      </c>
      <c r="X897" s="6" t="s">
        <v>45</v>
      </c>
      <c r="Y897" s="6">
        <f t="shared" si="329"/>
        <v>4.9500384782608693</v>
      </c>
    </row>
    <row r="898" spans="1:25" x14ac:dyDescent="0.15">
      <c r="A898" s="1">
        <v>2024</v>
      </c>
      <c r="B898" s="1" t="s">
        <v>56</v>
      </c>
      <c r="C898" s="1">
        <v>47</v>
      </c>
      <c r="D898" s="3">
        <v>4</v>
      </c>
      <c r="E898" s="3" t="s">
        <v>35</v>
      </c>
      <c r="F898" s="3"/>
      <c r="G898" s="3" t="s">
        <v>41</v>
      </c>
      <c r="H898" s="1" t="s">
        <v>75</v>
      </c>
      <c r="I898" s="3">
        <v>4</v>
      </c>
      <c r="J898" s="3" t="s">
        <v>35</v>
      </c>
      <c r="K898" s="1" t="s">
        <v>43</v>
      </c>
      <c r="L898" s="18">
        <v>105</v>
      </c>
      <c r="M898" s="7" t="s">
        <v>45</v>
      </c>
      <c r="N898" s="7" t="s">
        <v>45</v>
      </c>
      <c r="O898">
        <v>5.4424747826086959</v>
      </c>
      <c r="P898" s="19" t="s">
        <v>45</v>
      </c>
      <c r="Q898" s="6" t="s">
        <v>45</v>
      </c>
      <c r="R898" s="6" t="s">
        <v>45</v>
      </c>
      <c r="S898" s="6" t="s">
        <v>45</v>
      </c>
      <c r="T898" s="6" t="s">
        <v>45</v>
      </c>
      <c r="U898" s="6" t="s">
        <v>45</v>
      </c>
      <c r="V898" s="1" t="s">
        <v>45</v>
      </c>
      <c r="W898" s="1" t="s">
        <v>45</v>
      </c>
      <c r="X898" s="1" t="s">
        <v>45</v>
      </c>
      <c r="Y898" s="6">
        <f t="shared" si="329"/>
        <v>5.4424747826086959</v>
      </c>
    </row>
    <row r="899" spans="1:25" x14ac:dyDescent="0.15">
      <c r="A899" s="1">
        <v>2024</v>
      </c>
      <c r="B899" s="1" t="s">
        <v>56</v>
      </c>
      <c r="C899" s="1">
        <v>47</v>
      </c>
      <c r="D899" s="3">
        <v>5</v>
      </c>
      <c r="E899" s="3" t="s">
        <v>36</v>
      </c>
      <c r="F899" s="3"/>
      <c r="G899" s="3" t="s">
        <v>41</v>
      </c>
      <c r="H899" s="1" t="s">
        <v>76</v>
      </c>
      <c r="I899" s="3">
        <v>4</v>
      </c>
      <c r="J899" s="3" t="s">
        <v>36</v>
      </c>
      <c r="K899" s="1" t="s">
        <v>43</v>
      </c>
      <c r="L899" s="18">
        <v>105</v>
      </c>
      <c r="M899" s="7" t="s">
        <v>45</v>
      </c>
      <c r="N899" s="7" t="s">
        <v>45</v>
      </c>
      <c r="O899">
        <v>4.5395117391304352</v>
      </c>
      <c r="P899" s="19" t="s">
        <v>45</v>
      </c>
      <c r="Q899" s="6" t="s">
        <v>45</v>
      </c>
      <c r="R899" s="6" t="s">
        <v>45</v>
      </c>
      <c r="S899" s="6" t="s">
        <v>45</v>
      </c>
      <c r="T899" s="6" t="s">
        <v>45</v>
      </c>
      <c r="U899" s="6" t="s">
        <v>45</v>
      </c>
      <c r="V899" s="1" t="s">
        <v>45</v>
      </c>
      <c r="W899" s="1" t="s">
        <v>45</v>
      </c>
      <c r="X899" s="1" t="s">
        <v>45</v>
      </c>
      <c r="Y899" s="6">
        <f t="shared" si="329"/>
        <v>4.5395117391304352</v>
      </c>
    </row>
    <row r="900" spans="1:25" x14ac:dyDescent="0.15">
      <c r="A900" s="1">
        <v>2024</v>
      </c>
      <c r="B900" s="1" t="s">
        <v>56</v>
      </c>
      <c r="C900" s="1">
        <v>47</v>
      </c>
      <c r="D900" s="3">
        <v>6</v>
      </c>
      <c r="E900" s="3" t="s">
        <v>37</v>
      </c>
      <c r="F900" s="3"/>
      <c r="G900" s="3" t="s">
        <v>41</v>
      </c>
      <c r="H900" s="1" t="s">
        <v>77</v>
      </c>
      <c r="I900" s="3">
        <v>4</v>
      </c>
      <c r="J900" s="3" t="s">
        <v>37</v>
      </c>
      <c r="K900" s="1" t="s">
        <v>43</v>
      </c>
      <c r="L900" s="18">
        <v>80</v>
      </c>
      <c r="M900" s="7" t="s">
        <v>45</v>
      </c>
      <c r="N900" s="7" t="s">
        <v>45</v>
      </c>
      <c r="O900">
        <v>4.9084400000000006</v>
      </c>
      <c r="P900" s="19" t="s">
        <v>45</v>
      </c>
      <c r="Q900" s="6" t="s">
        <v>45</v>
      </c>
      <c r="R900" s="6" t="s">
        <v>45</v>
      </c>
      <c r="S900" s="6" t="s">
        <v>45</v>
      </c>
      <c r="T900" s="6" t="s">
        <v>45</v>
      </c>
      <c r="U900" s="6" t="s">
        <v>45</v>
      </c>
      <c r="V900" s="1" t="s">
        <v>45</v>
      </c>
      <c r="W900" s="1" t="s">
        <v>45</v>
      </c>
      <c r="X900" s="1" t="s">
        <v>45</v>
      </c>
      <c r="Y900" s="6">
        <f t="shared" si="329"/>
        <v>4.9084400000000006</v>
      </c>
    </row>
    <row r="901" spans="1:25" x14ac:dyDescent="0.15">
      <c r="A901" s="1">
        <v>2024</v>
      </c>
      <c r="B901" s="1" t="s">
        <v>56</v>
      </c>
      <c r="C901" s="1">
        <v>47</v>
      </c>
      <c r="D901" s="3">
        <v>7</v>
      </c>
      <c r="E901" s="3"/>
      <c r="F901" s="3" t="s">
        <v>38</v>
      </c>
      <c r="G901" s="3" t="s">
        <v>41</v>
      </c>
      <c r="H901" s="1"/>
      <c r="I901" s="3">
        <v>4</v>
      </c>
      <c r="J901" s="3" t="s">
        <v>38</v>
      </c>
      <c r="K901" s="1" t="s">
        <v>42</v>
      </c>
      <c r="L901" s="7" t="s">
        <v>45</v>
      </c>
      <c r="M901" s="18">
        <v>50</v>
      </c>
      <c r="N901" s="7" t="s">
        <v>45</v>
      </c>
      <c r="O901" s="19" t="s">
        <v>45</v>
      </c>
      <c r="P901">
        <v>1.0800880434782609</v>
      </c>
      <c r="Q901" s="6" t="s">
        <v>45</v>
      </c>
      <c r="R901" s="6" t="s">
        <v>45</v>
      </c>
      <c r="S901" s="6" t="s">
        <v>45</v>
      </c>
      <c r="T901" s="6" t="s">
        <v>45</v>
      </c>
      <c r="U901" s="6" t="s">
        <v>45</v>
      </c>
      <c r="V901" s="1" t="s">
        <v>45</v>
      </c>
      <c r="W901" s="1" t="s">
        <v>45</v>
      </c>
      <c r="X901" s="1" t="s">
        <v>45</v>
      </c>
      <c r="Y901" s="6">
        <f>P901</f>
        <v>1.0800880434782609</v>
      </c>
    </row>
    <row r="902" spans="1:25" x14ac:dyDescent="0.15">
      <c r="A902" s="1">
        <v>2024</v>
      </c>
      <c r="B902" s="1" t="s">
        <v>56</v>
      </c>
      <c r="C902" s="1">
        <v>48</v>
      </c>
      <c r="D902" s="3">
        <v>8</v>
      </c>
      <c r="E902" s="3"/>
      <c r="F902" s="3" t="s">
        <v>39</v>
      </c>
      <c r="G902" s="3" t="s">
        <v>41</v>
      </c>
      <c r="H902" s="1"/>
      <c r="I902" s="3">
        <v>4</v>
      </c>
      <c r="J902" s="3" t="s">
        <v>39</v>
      </c>
      <c r="K902" s="1" t="s">
        <v>42</v>
      </c>
      <c r="L902" s="7" t="s">
        <v>45</v>
      </c>
      <c r="M902" s="18">
        <v>40</v>
      </c>
      <c r="N902" s="7" t="s">
        <v>45</v>
      </c>
      <c r="O902" s="19" t="s">
        <v>45</v>
      </c>
      <c r="P902">
        <v>0.23344347826086959</v>
      </c>
      <c r="Q902" s="6" t="s">
        <v>45</v>
      </c>
      <c r="R902" s="6" t="s">
        <v>45</v>
      </c>
      <c r="S902" s="6" t="s">
        <v>45</v>
      </c>
      <c r="T902" s="6" t="s">
        <v>45</v>
      </c>
      <c r="U902" s="6" t="s">
        <v>45</v>
      </c>
      <c r="V902" s="1" t="s">
        <v>45</v>
      </c>
      <c r="W902" s="1" t="s">
        <v>45</v>
      </c>
      <c r="X902" s="1" t="s">
        <v>45</v>
      </c>
      <c r="Y902" s="6">
        <f t="shared" ref="Y902:Y903" si="330">P902</f>
        <v>0.23344347826086959</v>
      </c>
    </row>
    <row r="903" spans="1:25" x14ac:dyDescent="0.15">
      <c r="A903" s="1">
        <v>2024</v>
      </c>
      <c r="B903" s="1" t="s">
        <v>56</v>
      </c>
      <c r="C903" s="1">
        <v>48</v>
      </c>
      <c r="D903" s="3">
        <v>9</v>
      </c>
      <c r="E903" s="3"/>
      <c r="F903" s="3" t="s">
        <v>40</v>
      </c>
      <c r="G903" s="3" t="s">
        <v>41</v>
      </c>
      <c r="H903" s="1"/>
      <c r="I903" s="3">
        <v>4</v>
      </c>
      <c r="J903" s="3" t="s">
        <v>40</v>
      </c>
      <c r="K903" s="1" t="s">
        <v>42</v>
      </c>
      <c r="L903" s="7" t="s">
        <v>45</v>
      </c>
      <c r="M903" s="18">
        <v>55</v>
      </c>
      <c r="N903" s="7" t="s">
        <v>45</v>
      </c>
      <c r="O903" s="19" t="s">
        <v>45</v>
      </c>
      <c r="P903">
        <v>0.91347565217391324</v>
      </c>
      <c r="Q903" s="6" t="s">
        <v>45</v>
      </c>
      <c r="R903" s="6" t="s">
        <v>45</v>
      </c>
      <c r="S903" s="6" t="s">
        <v>45</v>
      </c>
      <c r="T903" s="6" t="s">
        <v>45</v>
      </c>
      <c r="U903" s="6" t="s">
        <v>45</v>
      </c>
      <c r="V903" s="1" t="s">
        <v>45</v>
      </c>
      <c r="W903" s="1" t="s">
        <v>45</v>
      </c>
      <c r="X903" s="1" t="s">
        <v>45</v>
      </c>
      <c r="Y903" s="6">
        <f t="shared" si="330"/>
        <v>0.91347565217391324</v>
      </c>
    </row>
    <row r="904" spans="1:25" x14ac:dyDescent="0.15">
      <c r="A904" s="1">
        <v>2024</v>
      </c>
      <c r="B904" s="1" t="s">
        <v>56</v>
      </c>
      <c r="C904" s="1">
        <v>48</v>
      </c>
      <c r="D904" s="3">
        <v>10</v>
      </c>
      <c r="E904" s="3" t="s">
        <v>35</v>
      </c>
      <c r="F904" s="3" t="s">
        <v>38</v>
      </c>
      <c r="G904" s="3" t="s">
        <v>14</v>
      </c>
      <c r="H904" s="1" t="s">
        <v>35</v>
      </c>
      <c r="I904" s="3">
        <v>4</v>
      </c>
      <c r="J904" s="3" t="s">
        <v>63</v>
      </c>
      <c r="K904" s="1" t="s">
        <v>42</v>
      </c>
      <c r="L904" s="18">
        <v>110</v>
      </c>
      <c r="M904" s="18">
        <v>50</v>
      </c>
      <c r="N904" s="7">
        <f>L904-M904</f>
        <v>60</v>
      </c>
      <c r="O904">
        <v>3.2223750000000009</v>
      </c>
      <c r="P904" s="19" t="s">
        <v>45</v>
      </c>
      <c r="Q904" s="6">
        <f>O904/(0.1*O895)</f>
        <v>6.4934417789886369</v>
      </c>
      <c r="R904" s="6">
        <f>O904/(0.1*O898)</f>
        <v>5.9207899507353288</v>
      </c>
      <c r="S904" s="1" t="s">
        <v>45</v>
      </c>
      <c r="T904" s="1" t="s">
        <v>45</v>
      </c>
      <c r="U904" s="1" t="s">
        <v>45</v>
      </c>
      <c r="V904" s="1" t="s">
        <v>45</v>
      </c>
      <c r="W904" s="1" t="s">
        <v>45</v>
      </c>
      <c r="X904" s="19" t="s">
        <v>45</v>
      </c>
      <c r="Y904" s="19" t="s">
        <v>45</v>
      </c>
    </row>
    <row r="905" spans="1:25" x14ac:dyDescent="0.15">
      <c r="A905" s="1">
        <v>2024</v>
      </c>
      <c r="B905" s="1" t="s">
        <v>56</v>
      </c>
      <c r="C905" s="1">
        <v>48</v>
      </c>
      <c r="D905" s="3">
        <v>11</v>
      </c>
      <c r="E905" s="3" t="s">
        <v>35</v>
      </c>
      <c r="F905" s="3" t="s">
        <v>39</v>
      </c>
      <c r="G905" s="3" t="s">
        <v>14</v>
      </c>
      <c r="H905" s="1" t="s">
        <v>35</v>
      </c>
      <c r="I905" s="3">
        <v>4</v>
      </c>
      <c r="J905" s="3" t="s">
        <v>64</v>
      </c>
      <c r="K905" s="1" t="s">
        <v>42</v>
      </c>
      <c r="L905" s="18">
        <v>115</v>
      </c>
      <c r="M905" s="18">
        <v>45</v>
      </c>
      <c r="N905" s="7">
        <f t="shared" ref="N905:N912" si="331">L905-M905</f>
        <v>70</v>
      </c>
      <c r="O905">
        <v>3.210991304347826</v>
      </c>
      <c r="P905" s="19" t="s">
        <v>45</v>
      </c>
      <c r="Q905" s="6">
        <f>O905/(0.1*O895)</f>
        <v>6.470502374063039</v>
      </c>
      <c r="R905" s="6">
        <f>O905/(0.1*O898)</f>
        <v>5.8998735549652439</v>
      </c>
      <c r="S905" s="1" t="s">
        <v>45</v>
      </c>
      <c r="T905" s="1" t="s">
        <v>45</v>
      </c>
      <c r="U905" s="1" t="s">
        <v>45</v>
      </c>
      <c r="V905" s="1" t="s">
        <v>45</v>
      </c>
      <c r="W905" s="1" t="s">
        <v>45</v>
      </c>
      <c r="X905" s="19" t="s">
        <v>45</v>
      </c>
      <c r="Y905" s="19" t="s">
        <v>45</v>
      </c>
    </row>
    <row r="906" spans="1:25" x14ac:dyDescent="0.15">
      <c r="A906" s="1">
        <v>2024</v>
      </c>
      <c r="B906" s="1" t="s">
        <v>56</v>
      </c>
      <c r="C906" s="1">
        <v>48</v>
      </c>
      <c r="D906" s="3">
        <v>12</v>
      </c>
      <c r="E906" s="3" t="s">
        <v>35</v>
      </c>
      <c r="F906" s="3" t="s">
        <v>40</v>
      </c>
      <c r="G906" s="3" t="s">
        <v>14</v>
      </c>
      <c r="H906" s="1" t="s">
        <v>35</v>
      </c>
      <c r="I906" s="3">
        <v>4</v>
      </c>
      <c r="J906" s="3" t="s">
        <v>65</v>
      </c>
      <c r="K906" s="1" t="s">
        <v>42</v>
      </c>
      <c r="L906" s="18">
        <v>110</v>
      </c>
      <c r="M906" s="18">
        <v>45</v>
      </c>
      <c r="N906" s="7">
        <f t="shared" si="331"/>
        <v>65</v>
      </c>
      <c r="O906">
        <v>3.1683000000000003</v>
      </c>
      <c r="P906">
        <v>0.21506086956521744</v>
      </c>
      <c r="Q906" s="6">
        <f>O906/(0.1*O895)</f>
        <v>6.3844746773326175</v>
      </c>
      <c r="R906" s="6">
        <f>O906/(0.1*O898)</f>
        <v>5.8214325771875517</v>
      </c>
      <c r="S906" s="6">
        <f>P906/(0.9*P903)</f>
        <v>0.26159046622693827</v>
      </c>
      <c r="T906" s="6">
        <f t="shared" ref="T905:T912" si="332">Q906+S906</f>
        <v>6.6460651435595555</v>
      </c>
      <c r="U906" s="6">
        <f t="shared" ref="U905:U912" si="333">R906+S906</f>
        <v>6.0830230434144896</v>
      </c>
      <c r="V906" s="1">
        <f>O906/O895+P906/P903</f>
        <v>0.87387888733750629</v>
      </c>
      <c r="W906" s="1">
        <f>O906/O898+P906/P903</f>
        <v>0.81757467732299971</v>
      </c>
      <c r="X906" s="1">
        <f t="shared" ref="X906:X912" si="334">100*ROUND(P906/(P906+O906), 2)</f>
        <v>6</v>
      </c>
      <c r="Y906" s="6">
        <f t="shared" ref="Y906:Y912" si="335">O906+P906</f>
        <v>3.3833608695652178</v>
      </c>
    </row>
    <row r="907" spans="1:25" x14ac:dyDescent="0.15">
      <c r="A907" s="1">
        <v>2024</v>
      </c>
      <c r="B907" s="1" t="s">
        <v>56</v>
      </c>
      <c r="C907" s="1">
        <v>48</v>
      </c>
      <c r="D907" s="3">
        <v>13</v>
      </c>
      <c r="E907" s="3" t="s">
        <v>36</v>
      </c>
      <c r="F907" s="3" t="s">
        <v>38</v>
      </c>
      <c r="G907" s="3" t="s">
        <v>14</v>
      </c>
      <c r="H907" s="1" t="s">
        <v>36</v>
      </c>
      <c r="I907" s="3">
        <v>4</v>
      </c>
      <c r="J907" s="3" t="s">
        <v>66</v>
      </c>
      <c r="K907" s="1" t="s">
        <v>42</v>
      </c>
      <c r="L907" s="18">
        <v>110</v>
      </c>
      <c r="M907" s="18">
        <v>50</v>
      </c>
      <c r="N907" s="7">
        <f t="shared" si="331"/>
        <v>60</v>
      </c>
      <c r="O907">
        <v>2.9311539130434783</v>
      </c>
      <c r="P907">
        <v>0.31221739130434789</v>
      </c>
      <c r="Q907" s="6">
        <f>O907/(0.1*O896)</f>
        <v>6.204664486854262</v>
      </c>
      <c r="R907" s="6">
        <f>O907/(0.1*O899)</f>
        <v>6.4569805773978564</v>
      </c>
      <c r="S907" s="6">
        <f>P907/(0.9*P901)</f>
        <v>0.32118512435636348</v>
      </c>
      <c r="T907" s="6">
        <f t="shared" si="332"/>
        <v>6.5258496112106252</v>
      </c>
      <c r="U907" s="6">
        <f t="shared" si="333"/>
        <v>6.7781657017542196</v>
      </c>
      <c r="V907" s="1">
        <f>O907/O896+P907/P901</f>
        <v>0.90953306060615347</v>
      </c>
      <c r="W907" s="1">
        <f>O907/O899+P907/P901</f>
        <v>0.93476466966051275</v>
      </c>
      <c r="X907" s="1">
        <f t="shared" si="334"/>
        <v>10</v>
      </c>
      <c r="Y907" s="6">
        <f t="shared" si="335"/>
        <v>3.2433713043478263</v>
      </c>
    </row>
    <row r="908" spans="1:25" x14ac:dyDescent="0.15">
      <c r="A908" s="1">
        <v>2024</v>
      </c>
      <c r="B908" s="1" t="s">
        <v>56</v>
      </c>
      <c r="C908" s="1">
        <v>48</v>
      </c>
      <c r="D908" s="3">
        <v>14</v>
      </c>
      <c r="E908" s="3" t="s">
        <v>36</v>
      </c>
      <c r="F908" s="3" t="s">
        <v>39</v>
      </c>
      <c r="G908" s="3" t="s">
        <v>14</v>
      </c>
      <c r="H908" s="1" t="s">
        <v>36</v>
      </c>
      <c r="I908" s="3">
        <v>4</v>
      </c>
      <c r="J908" s="3" t="s">
        <v>67</v>
      </c>
      <c r="K908" s="1" t="s">
        <v>42</v>
      </c>
      <c r="L908" s="18">
        <v>105</v>
      </c>
      <c r="M908" s="18">
        <v>45</v>
      </c>
      <c r="N908" s="7">
        <f t="shared" si="331"/>
        <v>60</v>
      </c>
      <c r="O908">
        <v>3.2402869565217394</v>
      </c>
      <c r="P908" s="19" t="s">
        <v>45</v>
      </c>
      <c r="Q908" s="6">
        <f>O908/(0.1*O896)</f>
        <v>6.8590370900967761</v>
      </c>
      <c r="R908" s="6">
        <f>O908/(0.1*O899)</f>
        <v>7.1379636020997088</v>
      </c>
      <c r="S908" s="1" t="s">
        <v>45</v>
      </c>
      <c r="T908" s="1" t="s">
        <v>45</v>
      </c>
      <c r="U908" s="1" t="s">
        <v>45</v>
      </c>
      <c r="V908" s="1" t="s">
        <v>45</v>
      </c>
      <c r="W908" s="1" t="s">
        <v>45</v>
      </c>
      <c r="X908" s="19" t="s">
        <v>45</v>
      </c>
      <c r="Y908" s="19" t="s">
        <v>45</v>
      </c>
    </row>
    <row r="909" spans="1:25" x14ac:dyDescent="0.15">
      <c r="A909" s="1">
        <v>2024</v>
      </c>
      <c r="B909" s="1" t="s">
        <v>56</v>
      </c>
      <c r="C909" s="1">
        <v>48</v>
      </c>
      <c r="D909" s="3">
        <v>15</v>
      </c>
      <c r="E909" s="3" t="s">
        <v>36</v>
      </c>
      <c r="F909" s="3" t="s">
        <v>40</v>
      </c>
      <c r="G909" s="3" t="s">
        <v>14</v>
      </c>
      <c r="H909" s="1" t="s">
        <v>36</v>
      </c>
      <c r="I909" s="3">
        <v>4</v>
      </c>
      <c r="J909" s="3" t="s">
        <v>68</v>
      </c>
      <c r="K909" s="1" t="s">
        <v>42</v>
      </c>
      <c r="L909" s="18">
        <v>110</v>
      </c>
      <c r="M909" s="18">
        <v>45</v>
      </c>
      <c r="N909" s="7">
        <f t="shared" si="331"/>
        <v>65</v>
      </c>
      <c r="O909">
        <v>3.3384000000000005</v>
      </c>
      <c r="P909" s="19" t="s">
        <v>45</v>
      </c>
      <c r="Q909" s="6">
        <f>O909/(0.1*O896)</f>
        <v>7.0667227096945089</v>
      </c>
      <c r="R909" s="6">
        <f>O909/(0.1*O899)</f>
        <v>7.354094871532344</v>
      </c>
      <c r="S909" s="1" t="s">
        <v>45</v>
      </c>
      <c r="T909" s="1" t="s">
        <v>45</v>
      </c>
      <c r="U909" s="1" t="s">
        <v>45</v>
      </c>
      <c r="V909" s="1" t="s">
        <v>45</v>
      </c>
      <c r="W909" s="1" t="s">
        <v>45</v>
      </c>
      <c r="X909" s="19" t="s">
        <v>45</v>
      </c>
      <c r="Y909" s="19" t="s">
        <v>45</v>
      </c>
    </row>
    <row r="910" spans="1:25" x14ac:dyDescent="0.15">
      <c r="A910" s="1">
        <v>2024</v>
      </c>
      <c r="B910" s="1" t="s">
        <v>56</v>
      </c>
      <c r="C910" s="1">
        <v>48</v>
      </c>
      <c r="D910" s="3">
        <v>16</v>
      </c>
      <c r="E910" s="3" t="s">
        <v>37</v>
      </c>
      <c r="F910" s="3" t="s">
        <v>38</v>
      </c>
      <c r="G910" s="3" t="s">
        <v>14</v>
      </c>
      <c r="H910" s="1" t="s">
        <v>37</v>
      </c>
      <c r="I910" s="3">
        <v>4</v>
      </c>
      <c r="J910" s="3" t="s">
        <v>69</v>
      </c>
      <c r="K910" s="1" t="s">
        <v>42</v>
      </c>
      <c r="L910" s="18">
        <v>85</v>
      </c>
      <c r="M910" s="18">
        <v>50</v>
      </c>
      <c r="N910" s="7">
        <f t="shared" si="331"/>
        <v>35</v>
      </c>
      <c r="O910">
        <v>3.2199965217391302</v>
      </c>
      <c r="P910">
        <v>0.22137826086956522</v>
      </c>
      <c r="Q910" s="6">
        <f>O910/(0.1*O897)</f>
        <v>6.5049929124398105</v>
      </c>
      <c r="R910" s="6">
        <f>O910/(0.1*O900)</f>
        <v>6.560121997496414</v>
      </c>
      <c r="S910" s="6">
        <f>P910/(0.9*P901)</f>
        <v>0.22773684691342369</v>
      </c>
      <c r="T910" s="6">
        <f t="shared" si="332"/>
        <v>6.7327297593532345</v>
      </c>
      <c r="U910" s="6">
        <f t="shared" si="333"/>
        <v>6.787858844409838</v>
      </c>
      <c r="V910" s="1">
        <f>O910/O897+P910/P901</f>
        <v>0.85546245346606242</v>
      </c>
      <c r="W910" s="1">
        <f>O910/O900+P910/P901</f>
        <v>0.86097536197172275</v>
      </c>
      <c r="X910" s="1">
        <f t="shared" si="334"/>
        <v>6</v>
      </c>
      <c r="Y910" s="6">
        <f t="shared" si="335"/>
        <v>3.4413747826086953</v>
      </c>
    </row>
    <row r="911" spans="1:25" x14ac:dyDescent="0.15">
      <c r="A911" s="1">
        <v>2024</v>
      </c>
      <c r="B911" s="1" t="s">
        <v>56</v>
      </c>
      <c r="C911" s="1">
        <v>48</v>
      </c>
      <c r="D911" s="3">
        <v>17</v>
      </c>
      <c r="E911" s="3" t="s">
        <v>37</v>
      </c>
      <c r="F911" s="3" t="s">
        <v>39</v>
      </c>
      <c r="G911" s="3" t="s">
        <v>14</v>
      </c>
      <c r="H911" s="1" t="s">
        <v>37</v>
      </c>
      <c r="I911" s="3">
        <v>4</v>
      </c>
      <c r="J911" s="3" t="s">
        <v>70</v>
      </c>
      <c r="K911" s="1" t="s">
        <v>42</v>
      </c>
      <c r="L911" s="18">
        <v>80</v>
      </c>
      <c r="M911" s="18">
        <v>45</v>
      </c>
      <c r="N911" s="7">
        <f t="shared" si="331"/>
        <v>35</v>
      </c>
      <c r="O911">
        <v>3.5216304347826095</v>
      </c>
      <c r="P911" s="19" t="s">
        <v>45</v>
      </c>
      <c r="Q911" s="6">
        <f>O911/(0.1*O897)</f>
        <v>7.1143496161667974</v>
      </c>
      <c r="R911" s="6">
        <f>O911/(0.1*O900)</f>
        <v>7.1746429309161552</v>
      </c>
      <c r="S911" s="1" t="s">
        <v>45</v>
      </c>
      <c r="T911" s="1" t="s">
        <v>45</v>
      </c>
      <c r="U911" s="1" t="s">
        <v>45</v>
      </c>
      <c r="V911" s="1" t="s">
        <v>45</v>
      </c>
      <c r="W911" s="1" t="s">
        <v>45</v>
      </c>
      <c r="X911" s="19" t="s">
        <v>45</v>
      </c>
      <c r="Y911" s="19" t="s">
        <v>45</v>
      </c>
    </row>
    <row r="912" spans="1:25" x14ac:dyDescent="0.15">
      <c r="A912" s="1">
        <v>2024</v>
      </c>
      <c r="B912" s="1" t="s">
        <v>56</v>
      </c>
      <c r="C912" s="1">
        <v>48</v>
      </c>
      <c r="D912" s="3">
        <v>18</v>
      </c>
      <c r="E912" s="3" t="s">
        <v>37</v>
      </c>
      <c r="F912" s="3" t="s">
        <v>40</v>
      </c>
      <c r="G912" s="3" t="s">
        <v>14</v>
      </c>
      <c r="H912" s="1" t="s">
        <v>37</v>
      </c>
      <c r="I912" s="3">
        <v>4</v>
      </c>
      <c r="J912" s="3" t="s">
        <v>71</v>
      </c>
      <c r="K912" s="1" t="s">
        <v>42</v>
      </c>
      <c r="L912" s="18">
        <v>80</v>
      </c>
      <c r="M912" s="18">
        <v>45</v>
      </c>
      <c r="N912" s="7">
        <f t="shared" si="331"/>
        <v>35</v>
      </c>
      <c r="O912">
        <v>3.3807086956521739</v>
      </c>
      <c r="P912">
        <v>0.20497065217391308</v>
      </c>
      <c r="Q912" s="6">
        <f>O912/(0.1*O897)</f>
        <v>6.8296614470761465</v>
      </c>
      <c r="R912" s="6">
        <f>O912/(0.1*O900)</f>
        <v>6.8875420615351794</v>
      </c>
      <c r="S912" s="6">
        <f>P912/(0.9*P903)</f>
        <v>0.24931717505565881</v>
      </c>
      <c r="T912" s="6">
        <f t="shared" si="332"/>
        <v>7.078978622131805</v>
      </c>
      <c r="U912" s="6">
        <f t="shared" si="333"/>
        <v>7.1368592365908379</v>
      </c>
      <c r="V912" s="1">
        <f>O912/O897+P912/P903</f>
        <v>0.90735160225770772</v>
      </c>
      <c r="W912" s="1">
        <f>O912/O900+P912/P903</f>
        <v>0.91313966370361088</v>
      </c>
      <c r="X912" s="1">
        <f t="shared" si="334"/>
        <v>6</v>
      </c>
      <c r="Y912" s="6">
        <f t="shared" si="335"/>
        <v>3.5856793478260869</v>
      </c>
    </row>
    <row r="913" spans="1:25" x14ac:dyDescent="0.15">
      <c r="A913" s="1">
        <v>2024</v>
      </c>
      <c r="B913" s="1" t="s">
        <v>56</v>
      </c>
      <c r="C913" s="1">
        <v>48</v>
      </c>
      <c r="D913" s="3">
        <v>1</v>
      </c>
      <c r="E913" s="3" t="s">
        <v>35</v>
      </c>
      <c r="F913" s="3"/>
      <c r="G913" s="3" t="s">
        <v>41</v>
      </c>
      <c r="H913" s="1" t="s">
        <v>35</v>
      </c>
      <c r="I913" s="3">
        <v>4</v>
      </c>
      <c r="J913" s="3" t="s">
        <v>35</v>
      </c>
      <c r="K913" s="1" t="s">
        <v>42</v>
      </c>
      <c r="L913" s="18">
        <v>110</v>
      </c>
      <c r="M913" s="7" t="s">
        <v>45</v>
      </c>
      <c r="N913" s="7" t="s">
        <v>45</v>
      </c>
      <c r="O913">
        <v>4.953855869565218</v>
      </c>
      <c r="P913" s="19" t="s">
        <v>45</v>
      </c>
      <c r="Q913" s="6" t="s">
        <v>45</v>
      </c>
      <c r="R913" s="6" t="s">
        <v>45</v>
      </c>
      <c r="S913" s="6" t="s">
        <v>45</v>
      </c>
      <c r="T913" s="6" t="s">
        <v>45</v>
      </c>
      <c r="U913" s="6" t="s">
        <v>45</v>
      </c>
      <c r="V913" s="1" t="s">
        <v>45</v>
      </c>
      <c r="W913" s="1" t="s">
        <v>45</v>
      </c>
      <c r="X913" s="6" t="s">
        <v>45</v>
      </c>
      <c r="Y913" s="6">
        <f>O913</f>
        <v>4.953855869565218</v>
      </c>
    </row>
    <row r="914" spans="1:25" x14ac:dyDescent="0.15">
      <c r="A914" s="1">
        <v>2024</v>
      </c>
      <c r="B914" s="1" t="s">
        <v>56</v>
      </c>
      <c r="C914" s="1">
        <v>48</v>
      </c>
      <c r="D914" s="3">
        <v>2</v>
      </c>
      <c r="E914" s="3" t="s">
        <v>36</v>
      </c>
      <c r="F914" s="3"/>
      <c r="G914" s="3" t="s">
        <v>41</v>
      </c>
      <c r="H914" s="1" t="s">
        <v>36</v>
      </c>
      <c r="I914" s="3">
        <v>4</v>
      </c>
      <c r="J914" s="3" t="s">
        <v>36</v>
      </c>
      <c r="K914" s="1" t="s">
        <v>42</v>
      </c>
      <c r="L914" s="18">
        <v>100</v>
      </c>
      <c r="M914" s="7" t="s">
        <v>45</v>
      </c>
      <c r="N914" s="7" t="s">
        <v>45</v>
      </c>
      <c r="O914">
        <v>4.3737695652173914</v>
      </c>
      <c r="P914" s="19" t="s">
        <v>45</v>
      </c>
      <c r="Q914" s="6" t="s">
        <v>45</v>
      </c>
      <c r="R914" s="6" t="s">
        <v>45</v>
      </c>
      <c r="S914" s="6" t="s">
        <v>45</v>
      </c>
      <c r="T914" s="6" t="s">
        <v>45</v>
      </c>
      <c r="U914" s="6" t="s">
        <v>45</v>
      </c>
      <c r="V914" s="1" t="s">
        <v>45</v>
      </c>
      <c r="W914" s="1" t="s">
        <v>45</v>
      </c>
      <c r="X914" s="6" t="s">
        <v>45</v>
      </c>
      <c r="Y914" s="6">
        <f t="shared" ref="Y914:Y918" si="336">O914</f>
        <v>4.3737695652173914</v>
      </c>
    </row>
    <row r="915" spans="1:25" x14ac:dyDescent="0.15">
      <c r="A915" s="1">
        <v>2024</v>
      </c>
      <c r="B915" s="1" t="s">
        <v>56</v>
      </c>
      <c r="C915" s="1">
        <v>48</v>
      </c>
      <c r="D915" s="3">
        <v>3</v>
      </c>
      <c r="E915" s="3" t="s">
        <v>37</v>
      </c>
      <c r="F915" s="3"/>
      <c r="G915" s="3" t="s">
        <v>41</v>
      </c>
      <c r="H915" s="1" t="s">
        <v>37</v>
      </c>
      <c r="I915" s="3">
        <v>4</v>
      </c>
      <c r="J915" s="3" t="s">
        <v>37</v>
      </c>
      <c r="K915" s="1" t="s">
        <v>42</v>
      </c>
      <c r="L915" s="18">
        <v>75</v>
      </c>
      <c r="M915" s="7" t="s">
        <v>45</v>
      </c>
      <c r="N915" s="7" t="s">
        <v>45</v>
      </c>
      <c r="O915">
        <v>5.2855558695652176</v>
      </c>
      <c r="P915" s="19" t="s">
        <v>45</v>
      </c>
      <c r="Q915" s="6" t="s">
        <v>45</v>
      </c>
      <c r="R915" s="6" t="s">
        <v>45</v>
      </c>
      <c r="S915" s="6" t="s">
        <v>45</v>
      </c>
      <c r="T915" s="6" t="s">
        <v>45</v>
      </c>
      <c r="U915" s="6" t="s">
        <v>45</v>
      </c>
      <c r="V915" s="1" t="s">
        <v>45</v>
      </c>
      <c r="W915" s="1" t="s">
        <v>45</v>
      </c>
      <c r="X915" s="6" t="s">
        <v>45</v>
      </c>
      <c r="Y915" s="6">
        <f t="shared" si="336"/>
        <v>5.2855558695652176</v>
      </c>
    </row>
    <row r="916" spans="1:25" x14ac:dyDescent="0.15">
      <c r="A916" s="1">
        <v>2024</v>
      </c>
      <c r="B916" s="1" t="s">
        <v>56</v>
      </c>
      <c r="C916" s="1">
        <v>48</v>
      </c>
      <c r="D916" s="3">
        <v>4</v>
      </c>
      <c r="E916" s="3" t="s">
        <v>35</v>
      </c>
      <c r="F916" s="3"/>
      <c r="G916" s="3" t="s">
        <v>41</v>
      </c>
      <c r="H916" s="1" t="s">
        <v>75</v>
      </c>
      <c r="I916" s="3">
        <v>4</v>
      </c>
      <c r="J916" s="3" t="s">
        <v>35</v>
      </c>
      <c r="K916" s="1" t="s">
        <v>43</v>
      </c>
      <c r="L916" s="18">
        <v>105</v>
      </c>
      <c r="M916" s="7" t="s">
        <v>45</v>
      </c>
      <c r="N916" s="7" t="s">
        <v>45</v>
      </c>
      <c r="O916">
        <v>4.5819334782608703</v>
      </c>
      <c r="P916" s="19" t="s">
        <v>45</v>
      </c>
      <c r="Q916" s="6" t="s">
        <v>45</v>
      </c>
      <c r="R916" s="6" t="s">
        <v>45</v>
      </c>
      <c r="S916" s="6" t="s">
        <v>45</v>
      </c>
      <c r="T916" s="6" t="s">
        <v>45</v>
      </c>
      <c r="U916" s="6" t="s">
        <v>45</v>
      </c>
      <c r="V916" s="1" t="s">
        <v>45</v>
      </c>
      <c r="W916" s="1" t="s">
        <v>45</v>
      </c>
      <c r="X916" s="1" t="s">
        <v>45</v>
      </c>
      <c r="Y916" s="6">
        <f t="shared" si="336"/>
        <v>4.5819334782608703</v>
      </c>
    </row>
    <row r="917" spans="1:25" x14ac:dyDescent="0.15">
      <c r="A917" s="1">
        <v>2024</v>
      </c>
      <c r="B917" s="1" t="s">
        <v>56</v>
      </c>
      <c r="C917" s="1">
        <v>49</v>
      </c>
      <c r="D917" s="3">
        <v>5</v>
      </c>
      <c r="E917" s="3" t="s">
        <v>36</v>
      </c>
      <c r="F917" s="3"/>
      <c r="G917" s="3" t="s">
        <v>41</v>
      </c>
      <c r="H917" s="1" t="s">
        <v>76</v>
      </c>
      <c r="I917" s="3">
        <v>4</v>
      </c>
      <c r="J917" s="3" t="s">
        <v>36</v>
      </c>
      <c r="K917" s="1" t="s">
        <v>43</v>
      </c>
      <c r="L917" s="18">
        <v>105</v>
      </c>
      <c r="M917" s="7" t="s">
        <v>45</v>
      </c>
      <c r="N917" s="7" t="s">
        <v>45</v>
      </c>
      <c r="O917">
        <v>4.1678678260869573</v>
      </c>
      <c r="P917" s="19" t="s">
        <v>45</v>
      </c>
      <c r="Q917" s="6" t="s">
        <v>45</v>
      </c>
      <c r="R917" s="6" t="s">
        <v>45</v>
      </c>
      <c r="S917" s="6" t="s">
        <v>45</v>
      </c>
      <c r="T917" s="6" t="s">
        <v>45</v>
      </c>
      <c r="U917" s="6" t="s">
        <v>45</v>
      </c>
      <c r="V917" s="1" t="s">
        <v>45</v>
      </c>
      <c r="W917" s="1" t="s">
        <v>45</v>
      </c>
      <c r="X917" s="1" t="s">
        <v>45</v>
      </c>
      <c r="Y917" s="6">
        <f t="shared" si="336"/>
        <v>4.1678678260869573</v>
      </c>
    </row>
    <row r="918" spans="1:25" x14ac:dyDescent="0.15">
      <c r="A918" s="1">
        <v>2024</v>
      </c>
      <c r="B918" s="1" t="s">
        <v>56</v>
      </c>
      <c r="C918" s="1">
        <v>49</v>
      </c>
      <c r="D918" s="3">
        <v>6</v>
      </c>
      <c r="E918" s="3" t="s">
        <v>37</v>
      </c>
      <c r="F918" s="3"/>
      <c r="G918" s="3" t="s">
        <v>41</v>
      </c>
      <c r="H918" s="1" t="s">
        <v>77</v>
      </c>
      <c r="I918" s="3">
        <v>4</v>
      </c>
      <c r="J918" s="3" t="s">
        <v>37</v>
      </c>
      <c r="K918" s="1" t="s">
        <v>43</v>
      </c>
      <c r="L918" s="18">
        <v>70</v>
      </c>
      <c r="M918" s="7" t="s">
        <v>45</v>
      </c>
      <c r="N918" s="7" t="s">
        <v>45</v>
      </c>
      <c r="O918">
        <v>4.7551234782608693</v>
      </c>
      <c r="P918" s="19" t="s">
        <v>45</v>
      </c>
      <c r="Q918" s="6" t="s">
        <v>45</v>
      </c>
      <c r="R918" s="6" t="s">
        <v>45</v>
      </c>
      <c r="S918" s="6" t="s">
        <v>45</v>
      </c>
      <c r="T918" s="6" t="s">
        <v>45</v>
      </c>
      <c r="U918" s="6" t="s">
        <v>45</v>
      </c>
      <c r="V918" s="1" t="s">
        <v>45</v>
      </c>
      <c r="W918" s="1" t="s">
        <v>45</v>
      </c>
      <c r="X918" s="1" t="s">
        <v>45</v>
      </c>
      <c r="Y918" s="6">
        <f t="shared" si="336"/>
        <v>4.7551234782608693</v>
      </c>
    </row>
    <row r="919" spans="1:25" x14ac:dyDescent="0.15">
      <c r="A919" s="1">
        <v>2024</v>
      </c>
      <c r="B919" s="1" t="s">
        <v>56</v>
      </c>
      <c r="C919" s="1">
        <v>49</v>
      </c>
      <c r="D919" s="3">
        <v>7</v>
      </c>
      <c r="E919" s="3"/>
      <c r="F919" s="3" t="s">
        <v>38</v>
      </c>
      <c r="G919" s="3" t="s">
        <v>41</v>
      </c>
      <c r="H919" s="1"/>
      <c r="I919" s="3">
        <v>4</v>
      </c>
      <c r="J919" s="3" t="s">
        <v>38</v>
      </c>
      <c r="K919" s="1" t="s">
        <v>42</v>
      </c>
      <c r="L919" s="7" t="s">
        <v>45</v>
      </c>
      <c r="M919" s="18">
        <v>50</v>
      </c>
      <c r="N919" s="7" t="s">
        <v>45</v>
      </c>
      <c r="O919" s="19" t="s">
        <v>45</v>
      </c>
      <c r="P919">
        <v>0.62069565217391309</v>
      </c>
      <c r="Q919" s="6" t="s">
        <v>45</v>
      </c>
      <c r="R919" s="6" t="s">
        <v>45</v>
      </c>
      <c r="S919" s="6" t="s">
        <v>45</v>
      </c>
      <c r="T919" s="6" t="s">
        <v>45</v>
      </c>
      <c r="U919" s="6" t="s">
        <v>45</v>
      </c>
      <c r="V919" s="1" t="s">
        <v>45</v>
      </c>
      <c r="W919" s="1" t="s">
        <v>45</v>
      </c>
      <c r="X919" s="1" t="s">
        <v>45</v>
      </c>
      <c r="Y919" s="6">
        <f>P919</f>
        <v>0.62069565217391309</v>
      </c>
    </row>
    <row r="920" spans="1:25" x14ac:dyDescent="0.15">
      <c r="A920" s="1">
        <v>2024</v>
      </c>
      <c r="B920" s="1" t="s">
        <v>56</v>
      </c>
      <c r="C920" s="1">
        <v>49</v>
      </c>
      <c r="D920" s="3">
        <v>8</v>
      </c>
      <c r="E920" s="3"/>
      <c r="F920" s="3" t="s">
        <v>39</v>
      </c>
      <c r="G920" s="3" t="s">
        <v>41</v>
      </c>
      <c r="H920" s="1"/>
      <c r="I920" s="3">
        <v>4</v>
      </c>
      <c r="J920" s="3" t="s">
        <v>39</v>
      </c>
      <c r="K920" s="1" t="s">
        <v>42</v>
      </c>
      <c r="L920" s="7" t="s">
        <v>45</v>
      </c>
      <c r="M920" s="18">
        <v>45</v>
      </c>
      <c r="N920" s="7" t="s">
        <v>45</v>
      </c>
      <c r="O920" s="19" t="s">
        <v>45</v>
      </c>
      <c r="P920">
        <v>0.8483034782608696</v>
      </c>
      <c r="Q920" s="6" t="s">
        <v>45</v>
      </c>
      <c r="R920" s="6" t="s">
        <v>45</v>
      </c>
      <c r="S920" s="6" t="s">
        <v>45</v>
      </c>
      <c r="T920" s="6" t="s">
        <v>45</v>
      </c>
      <c r="U920" s="6" t="s">
        <v>45</v>
      </c>
      <c r="V920" s="1" t="s">
        <v>45</v>
      </c>
      <c r="W920" s="1" t="s">
        <v>45</v>
      </c>
      <c r="X920" s="1" t="s">
        <v>45</v>
      </c>
      <c r="Y920" s="6">
        <f t="shared" ref="Y920:Y921" si="337">P920</f>
        <v>0.8483034782608696</v>
      </c>
    </row>
    <row r="921" spans="1:25" x14ac:dyDescent="0.15">
      <c r="A921" s="1">
        <v>2024</v>
      </c>
      <c r="B921" s="1" t="s">
        <v>56</v>
      </c>
      <c r="C921" s="1">
        <v>49</v>
      </c>
      <c r="D921" s="3">
        <v>9</v>
      </c>
      <c r="E921" s="3"/>
      <c r="F921" s="3" t="s">
        <v>40</v>
      </c>
      <c r="G921" s="3" t="s">
        <v>41</v>
      </c>
      <c r="H921" s="1"/>
      <c r="I921" s="3">
        <v>4</v>
      </c>
      <c r="J921" s="3" t="s">
        <v>40</v>
      </c>
      <c r="K921" s="1" t="s">
        <v>42</v>
      </c>
      <c r="L921" s="7" t="s">
        <v>45</v>
      </c>
      <c r="M921" s="18">
        <v>55</v>
      </c>
      <c r="N921" s="7" t="s">
        <v>45</v>
      </c>
      <c r="O921" s="19" t="s">
        <v>45</v>
      </c>
      <c r="P921">
        <v>1.315448695652174</v>
      </c>
      <c r="Q921" s="6" t="s">
        <v>45</v>
      </c>
      <c r="R921" s="6" t="s">
        <v>45</v>
      </c>
      <c r="S921" s="6" t="s">
        <v>45</v>
      </c>
      <c r="T921" s="6" t="s">
        <v>45</v>
      </c>
      <c r="U921" s="6" t="s">
        <v>45</v>
      </c>
      <c r="V921" s="1" t="s">
        <v>45</v>
      </c>
      <c r="W921" s="1" t="s">
        <v>45</v>
      </c>
      <c r="X921" s="1" t="s">
        <v>45</v>
      </c>
      <c r="Y921" s="6">
        <f t="shared" si="337"/>
        <v>1.315448695652174</v>
      </c>
    </row>
    <row r="922" spans="1:25" x14ac:dyDescent="0.15">
      <c r="A922" s="1">
        <v>2024</v>
      </c>
      <c r="B922" s="1" t="s">
        <v>56</v>
      </c>
      <c r="C922" s="1">
        <v>49</v>
      </c>
      <c r="D922" s="3">
        <v>10</v>
      </c>
      <c r="E922" s="3" t="s">
        <v>35</v>
      </c>
      <c r="F922" s="3" t="s">
        <v>38</v>
      </c>
      <c r="G922" s="3" t="s">
        <v>14</v>
      </c>
      <c r="H922" s="1" t="s">
        <v>35</v>
      </c>
      <c r="I922" s="3">
        <v>4</v>
      </c>
      <c r="J922" s="3" t="s">
        <v>63</v>
      </c>
      <c r="K922" s="1" t="s">
        <v>42</v>
      </c>
      <c r="L922" s="18">
        <v>105</v>
      </c>
      <c r="M922" s="18">
        <v>50</v>
      </c>
      <c r="N922" s="7">
        <f>L922-M922</f>
        <v>55</v>
      </c>
      <c r="O922">
        <v>2.7256417391304355</v>
      </c>
      <c r="P922">
        <v>0.33558695652173909</v>
      </c>
      <c r="Q922" s="6">
        <f>O922/(0.1*O913)</f>
        <v>5.5020610427441747</v>
      </c>
      <c r="R922" s="6">
        <f>O922/(0.1*O916)</f>
        <v>5.9486715642257346</v>
      </c>
      <c r="S922" s="6">
        <f>P922/(0.9*P919)</f>
        <v>0.60073627844712163</v>
      </c>
      <c r="T922" s="6">
        <f>Q922+S922</f>
        <v>6.1027973211912965</v>
      </c>
      <c r="U922" s="6">
        <f>R922+S922</f>
        <v>6.5494078426728564</v>
      </c>
      <c r="V922" s="1">
        <f>O922/O913+P922/P919</f>
        <v>1.090868754876827</v>
      </c>
      <c r="W922" s="1">
        <f>O922/O916+P922/P919</f>
        <v>1.1355298070249829</v>
      </c>
      <c r="X922" s="1">
        <f t="shared" ref="X922:X930" si="338">100*ROUND(P922/(P922+O922), 2)</f>
        <v>11</v>
      </c>
      <c r="Y922" s="6">
        <f>O922+P922</f>
        <v>3.0612286956521748</v>
      </c>
    </row>
    <row r="923" spans="1:25" x14ac:dyDescent="0.15">
      <c r="A923" s="1">
        <v>2024</v>
      </c>
      <c r="B923" s="1" t="s">
        <v>56</v>
      </c>
      <c r="C923" s="1">
        <v>49</v>
      </c>
      <c r="D923" s="3">
        <v>11</v>
      </c>
      <c r="E923" s="3" t="s">
        <v>35</v>
      </c>
      <c r="F923" s="3" t="s">
        <v>39</v>
      </c>
      <c r="G923" s="3" t="s">
        <v>14</v>
      </c>
      <c r="H923" s="1" t="s">
        <v>35</v>
      </c>
      <c r="I923" s="3">
        <v>4</v>
      </c>
      <c r="J923" s="3" t="s">
        <v>64</v>
      </c>
      <c r="K923" s="1" t="s">
        <v>42</v>
      </c>
      <c r="L923" s="18">
        <v>110</v>
      </c>
      <c r="M923" s="18">
        <v>50</v>
      </c>
      <c r="N923" s="7">
        <f t="shared" ref="N923:N930" si="339">L923-M923</f>
        <v>60</v>
      </c>
      <c r="O923">
        <v>2.8944730434782611</v>
      </c>
      <c r="P923">
        <v>0.2799130434782609</v>
      </c>
      <c r="Q923" s="6">
        <f>O923/(0.1*O913)</f>
        <v>5.8428689079569418</v>
      </c>
      <c r="R923" s="6">
        <f>O923/(0.1*O916)</f>
        <v>6.3171433134312851</v>
      </c>
      <c r="S923" s="6">
        <f>P923/(0.9*P920)</f>
        <v>0.36663116528915168</v>
      </c>
      <c r="T923" s="6">
        <f t="shared" ref="T923:T930" si="340">Q923+S923</f>
        <v>6.2095000732460939</v>
      </c>
      <c r="U923" s="6">
        <f t="shared" ref="U923:U930" si="341">R923+S923</f>
        <v>6.6837744787204372</v>
      </c>
      <c r="V923" s="1">
        <f>O923/O913+P923/P920</f>
        <v>0.91425493955593073</v>
      </c>
      <c r="W923" s="1">
        <f>O923/O916+P923/P920</f>
        <v>0.96168238010336515</v>
      </c>
      <c r="X923" s="1">
        <f t="shared" si="338"/>
        <v>9</v>
      </c>
      <c r="Y923" s="6">
        <f t="shared" ref="Y923:Y930" si="342">O923+P923</f>
        <v>3.1743860869565221</v>
      </c>
    </row>
    <row r="924" spans="1:25" x14ac:dyDescent="0.15">
      <c r="A924" s="3">
        <v>2024</v>
      </c>
      <c r="B924" s="1" t="s">
        <v>56</v>
      </c>
      <c r="C924" s="1">
        <v>49</v>
      </c>
      <c r="D924" s="3">
        <v>12</v>
      </c>
      <c r="E924" s="3" t="s">
        <v>35</v>
      </c>
      <c r="F924" s="3" t="s">
        <v>40</v>
      </c>
      <c r="G924" s="3" t="s">
        <v>14</v>
      </c>
      <c r="H924" s="1" t="s">
        <v>35</v>
      </c>
      <c r="I924" s="3">
        <v>4</v>
      </c>
      <c r="J924" s="3" t="s">
        <v>65</v>
      </c>
      <c r="K924" s="1" t="s">
        <v>42</v>
      </c>
      <c r="L924" s="18">
        <v>110</v>
      </c>
      <c r="M924" s="18">
        <v>50</v>
      </c>
      <c r="N924" s="7">
        <f t="shared" si="339"/>
        <v>60</v>
      </c>
      <c r="O924">
        <v>3.0492826086956528</v>
      </c>
      <c r="P924">
        <v>0.43841304347826088</v>
      </c>
      <c r="Q924" s="6">
        <f>O924/(0.1*O913)</f>
        <v>6.1553720757791792</v>
      </c>
      <c r="R924" s="6">
        <f>O924/(0.1*O916)</f>
        <v>6.6550128306381389</v>
      </c>
      <c r="S924" s="6">
        <f>P924/(0.9*P921)</f>
        <v>0.37031136636098666</v>
      </c>
      <c r="T924" s="6">
        <f t="shared" si="340"/>
        <v>6.5256834421401662</v>
      </c>
      <c r="U924" s="6">
        <f t="shared" si="341"/>
        <v>7.0253241969991258</v>
      </c>
      <c r="V924" s="1">
        <f>O924/O913+P924/P921</f>
        <v>0.94881743730280599</v>
      </c>
      <c r="W924" s="1">
        <f>O924/O916+P924/P921</f>
        <v>0.99878151278870198</v>
      </c>
      <c r="X924" s="1">
        <f t="shared" si="338"/>
        <v>13</v>
      </c>
      <c r="Y924" s="6">
        <f t="shared" si="342"/>
        <v>3.4876956521739135</v>
      </c>
    </row>
    <row r="925" spans="1:25" x14ac:dyDescent="0.15">
      <c r="A925" s="3">
        <v>2024</v>
      </c>
      <c r="B925" s="1" t="s">
        <v>56</v>
      </c>
      <c r="C925" s="1">
        <v>49</v>
      </c>
      <c r="D925" s="3">
        <v>13</v>
      </c>
      <c r="E925" s="3" t="s">
        <v>36</v>
      </c>
      <c r="F925" s="3" t="s">
        <v>38</v>
      </c>
      <c r="G925" s="3" t="s">
        <v>14</v>
      </c>
      <c r="H925" s="1" t="s">
        <v>36</v>
      </c>
      <c r="I925" s="3">
        <v>4</v>
      </c>
      <c r="J925" s="3" t="s">
        <v>66</v>
      </c>
      <c r="K925" s="1" t="s">
        <v>42</v>
      </c>
      <c r="L925" s="18">
        <v>110</v>
      </c>
      <c r="M925" s="18">
        <v>50</v>
      </c>
      <c r="N925" s="7">
        <f t="shared" si="339"/>
        <v>60</v>
      </c>
      <c r="O925">
        <v>2.9705539130434788</v>
      </c>
      <c r="P925" s="19" t="s">
        <v>45</v>
      </c>
      <c r="Q925" s="6">
        <f>O925/(0.1*O914)</f>
        <v>6.7917476418212539</v>
      </c>
      <c r="R925" s="6">
        <f>O925/(0.1*O917)</f>
        <v>7.1272747529338325</v>
      </c>
      <c r="S925" s="1" t="s">
        <v>45</v>
      </c>
      <c r="T925" s="1" t="s">
        <v>45</v>
      </c>
      <c r="U925" s="1" t="s">
        <v>45</v>
      </c>
      <c r="V925" s="1" t="s">
        <v>45</v>
      </c>
      <c r="W925" s="1" t="s">
        <v>45</v>
      </c>
      <c r="X925" s="19" t="s">
        <v>45</v>
      </c>
      <c r="Y925" s="19" t="s">
        <v>45</v>
      </c>
    </row>
    <row r="926" spans="1:25" x14ac:dyDescent="0.15">
      <c r="A926" s="3">
        <v>2024</v>
      </c>
      <c r="B926" s="1" t="s">
        <v>56</v>
      </c>
      <c r="C926" s="1">
        <v>49</v>
      </c>
      <c r="D926" s="3">
        <v>14</v>
      </c>
      <c r="E926" s="3" t="s">
        <v>36</v>
      </c>
      <c r="F926" s="3" t="s">
        <v>39</v>
      </c>
      <c r="G926" s="3" t="s">
        <v>14</v>
      </c>
      <c r="H926" s="1" t="s">
        <v>36</v>
      </c>
      <c r="I926" s="3">
        <v>4</v>
      </c>
      <c r="J926" s="3" t="s">
        <v>67</v>
      </c>
      <c r="K926" s="1" t="s">
        <v>42</v>
      </c>
      <c r="L926" s="18">
        <v>110</v>
      </c>
      <c r="M926" s="18">
        <v>50</v>
      </c>
      <c r="N926" s="7">
        <f t="shared" si="339"/>
        <v>60</v>
      </c>
      <c r="O926">
        <v>2.9942580434782609</v>
      </c>
      <c r="P926" s="19" t="s">
        <v>45</v>
      </c>
      <c r="Q926" s="6">
        <f>O926/(0.1*O914)</f>
        <v>6.8459437536221364</v>
      </c>
      <c r="R926" s="6">
        <f>O926/(0.1*O917)</f>
        <v>7.1841482705785529</v>
      </c>
      <c r="S926" s="1" t="s">
        <v>45</v>
      </c>
      <c r="T926" s="1" t="s">
        <v>45</v>
      </c>
      <c r="U926" s="1" t="s">
        <v>45</v>
      </c>
      <c r="V926" s="1" t="s">
        <v>45</v>
      </c>
      <c r="W926" s="1" t="s">
        <v>45</v>
      </c>
      <c r="X926" s="19" t="s">
        <v>45</v>
      </c>
      <c r="Y926" s="19" t="s">
        <v>45</v>
      </c>
    </row>
    <row r="927" spans="1:25" x14ac:dyDescent="0.15">
      <c r="A927" s="3">
        <v>2024</v>
      </c>
      <c r="B927" s="1" t="s">
        <v>56</v>
      </c>
      <c r="C927" s="1">
        <v>49</v>
      </c>
      <c r="D927" s="3">
        <v>15</v>
      </c>
      <c r="E927" s="3" t="s">
        <v>36</v>
      </c>
      <c r="F927" s="3" t="s">
        <v>40</v>
      </c>
      <c r="G927" s="3" t="s">
        <v>14</v>
      </c>
      <c r="H927" s="1" t="s">
        <v>36</v>
      </c>
      <c r="I927" s="3">
        <v>4</v>
      </c>
      <c r="J927" s="3" t="s">
        <v>68</v>
      </c>
      <c r="K927" s="1" t="s">
        <v>42</v>
      </c>
      <c r="L927" s="18">
        <v>110</v>
      </c>
      <c r="M927" s="18">
        <v>65</v>
      </c>
      <c r="N927" s="7">
        <f t="shared" si="339"/>
        <v>45</v>
      </c>
      <c r="O927">
        <v>2.4765000000000001</v>
      </c>
      <c r="P927">
        <v>0.71421304347826098</v>
      </c>
      <c r="Q927" s="6">
        <f>O927/(0.1*O914)</f>
        <v>5.6621638681984603</v>
      </c>
      <c r="R927" s="6">
        <f>O927/(0.1*O917)</f>
        <v>5.9418870831253923</v>
      </c>
      <c r="S927" s="6">
        <f>P927/(0.9*P921)</f>
        <v>0.60326947826402466</v>
      </c>
      <c r="T927" s="6">
        <f t="shared" si="340"/>
        <v>6.2654333464624852</v>
      </c>
      <c r="U927" s="6">
        <f t="shared" si="341"/>
        <v>6.5451565613894171</v>
      </c>
      <c r="V927" s="1">
        <f>O927/O914+P927/P921</f>
        <v>1.1091589172574681</v>
      </c>
      <c r="W927" s="1">
        <f>O927/O917+P927/P921</f>
        <v>1.1371312387501615</v>
      </c>
      <c r="X927" s="1">
        <f t="shared" si="338"/>
        <v>22</v>
      </c>
      <c r="Y927" s="6">
        <f t="shared" si="342"/>
        <v>3.1907130434782611</v>
      </c>
    </row>
    <row r="928" spans="1:25" x14ac:dyDescent="0.15">
      <c r="A928" s="3">
        <v>2024</v>
      </c>
      <c r="B928" s="1" t="s">
        <v>56</v>
      </c>
      <c r="C928" s="1">
        <v>49</v>
      </c>
      <c r="D928" s="3">
        <v>16</v>
      </c>
      <c r="E928" s="3" t="s">
        <v>37</v>
      </c>
      <c r="F928" s="3" t="s">
        <v>38</v>
      </c>
      <c r="G928" s="3" t="s">
        <v>14</v>
      </c>
      <c r="H928" s="1" t="s">
        <v>37</v>
      </c>
      <c r="I928" s="3">
        <v>4</v>
      </c>
      <c r="J928" s="3" t="s">
        <v>69</v>
      </c>
      <c r="K928" s="1" t="s">
        <v>42</v>
      </c>
      <c r="L928" s="18">
        <v>85</v>
      </c>
      <c r="M928" s="18">
        <v>60</v>
      </c>
      <c r="N928" s="7">
        <f t="shared" si="339"/>
        <v>25</v>
      </c>
      <c r="O928">
        <v>2.7271443478260875</v>
      </c>
      <c r="P928">
        <v>0.84130652173913045</v>
      </c>
      <c r="Q928" s="6">
        <f>O928/(0.1*O915)</f>
        <v>5.1596169166033583</v>
      </c>
      <c r="R928" s="6">
        <f>O928/(0.1*O918)</f>
        <v>5.7351704120699472</v>
      </c>
      <c r="S928" s="6">
        <f>P928/(0.9*P919)</f>
        <v>1.5060279879206748</v>
      </c>
      <c r="T928" s="6">
        <f t="shared" si="340"/>
        <v>6.6656449045240329</v>
      </c>
      <c r="U928" s="6">
        <f t="shared" si="341"/>
        <v>7.2411983999906218</v>
      </c>
      <c r="V928" s="1">
        <f>O928/O915+P928/P919</f>
        <v>1.8713868807889433</v>
      </c>
      <c r="W928" s="1">
        <f>O928/O918+P928/P919</f>
        <v>1.9289422303356021</v>
      </c>
      <c r="X928" s="1">
        <f t="shared" si="338"/>
        <v>24</v>
      </c>
      <c r="Y928" s="6">
        <f t="shared" si="342"/>
        <v>3.568450869565218</v>
      </c>
    </row>
    <row r="929" spans="1:25" x14ac:dyDescent="0.15">
      <c r="A929" s="3">
        <v>2024</v>
      </c>
      <c r="B929" s="1" t="s">
        <v>56</v>
      </c>
      <c r="C929" s="1">
        <v>49</v>
      </c>
      <c r="D929" s="3">
        <v>17</v>
      </c>
      <c r="E929" s="3" t="s">
        <v>37</v>
      </c>
      <c r="F929" s="3" t="s">
        <v>39</v>
      </c>
      <c r="G929" s="3" t="s">
        <v>14</v>
      </c>
      <c r="H929" s="1" t="s">
        <v>37</v>
      </c>
      <c r="I929" s="3">
        <v>4</v>
      </c>
      <c r="J929" s="3" t="s">
        <v>70</v>
      </c>
      <c r="K929" s="1" t="s">
        <v>42</v>
      </c>
      <c r="L929" s="18">
        <v>85</v>
      </c>
      <c r="M929" s="18">
        <v>40</v>
      </c>
      <c r="N929" s="7">
        <f t="shared" si="339"/>
        <v>45</v>
      </c>
      <c r="O929">
        <v>2.9036536956521748</v>
      </c>
      <c r="P929" s="19" t="s">
        <v>45</v>
      </c>
      <c r="Q929" s="6">
        <f>O929/(0.1*O915)</f>
        <v>5.4935635291866189</v>
      </c>
      <c r="R929" s="6">
        <f>O929/(0.1*O918)</f>
        <v>6.1063686546246148</v>
      </c>
      <c r="S929" s="1" t="s">
        <v>45</v>
      </c>
      <c r="T929" s="1" t="s">
        <v>45</v>
      </c>
      <c r="U929" s="1" t="s">
        <v>45</v>
      </c>
      <c r="V929" s="1" t="s">
        <v>45</v>
      </c>
      <c r="W929" s="1" t="s">
        <v>45</v>
      </c>
      <c r="X929" s="19" t="s">
        <v>45</v>
      </c>
      <c r="Y929" s="19" t="s">
        <v>45</v>
      </c>
    </row>
    <row r="930" spans="1:25" x14ac:dyDescent="0.15">
      <c r="A930" s="3">
        <v>2024</v>
      </c>
      <c r="B930" s="1" t="s">
        <v>56</v>
      </c>
      <c r="C930" s="1">
        <v>49</v>
      </c>
      <c r="D930" s="3">
        <v>18</v>
      </c>
      <c r="E930" s="3" t="s">
        <v>37</v>
      </c>
      <c r="F930" s="3" t="s">
        <v>40</v>
      </c>
      <c r="G930" s="3" t="s">
        <v>14</v>
      </c>
      <c r="H930" s="1" t="s">
        <v>37</v>
      </c>
      <c r="I930" s="3">
        <v>4</v>
      </c>
      <c r="J930" s="3" t="s">
        <v>71</v>
      </c>
      <c r="K930" s="1" t="s">
        <v>42</v>
      </c>
      <c r="L930" s="18">
        <v>90</v>
      </c>
      <c r="M930" s="18">
        <v>50</v>
      </c>
      <c r="N930" s="7">
        <f t="shared" si="339"/>
        <v>40</v>
      </c>
      <c r="O930">
        <v>3.2306439130434792</v>
      </c>
      <c r="P930">
        <v>0.38266847826086958</v>
      </c>
      <c r="Q930" s="6">
        <f>O930/(0.1*O915)</f>
        <v>6.1122122114834951</v>
      </c>
      <c r="R930" s="6">
        <f>O930/(0.1*O918)</f>
        <v>6.7940273850155606</v>
      </c>
      <c r="S930" s="6">
        <f>P930/(0.9*P921)</f>
        <v>0.32322598325040203</v>
      </c>
      <c r="T930" s="6">
        <f t="shared" si="340"/>
        <v>6.435438194733897</v>
      </c>
      <c r="U930" s="6">
        <f t="shared" si="341"/>
        <v>7.1172533682659624</v>
      </c>
      <c r="V930" s="1">
        <f>O930/O915+P930/P921</f>
        <v>0.90212460607371159</v>
      </c>
      <c r="W930" s="1">
        <f>O930/O918+P930/P921</f>
        <v>0.97030612342691791</v>
      </c>
      <c r="X930" s="1">
        <f t="shared" si="338"/>
        <v>11</v>
      </c>
      <c r="Y930" s="6">
        <f t="shared" si="342"/>
        <v>3.6133123913043486</v>
      </c>
    </row>
    <row r="931" spans="1:25" x14ac:dyDescent="0.15">
      <c r="A931" s="3">
        <v>2024</v>
      </c>
      <c r="B931" s="1" t="s">
        <v>56</v>
      </c>
      <c r="C931" s="1">
        <v>49</v>
      </c>
      <c r="D931" s="3">
        <v>1</v>
      </c>
      <c r="E931" s="3" t="s">
        <v>35</v>
      </c>
      <c r="F931" s="3"/>
      <c r="G931" s="3" t="s">
        <v>41</v>
      </c>
      <c r="H931" s="1" t="s">
        <v>35</v>
      </c>
      <c r="I931" s="3">
        <v>4</v>
      </c>
      <c r="J931" s="3" t="s">
        <v>35</v>
      </c>
      <c r="K931" s="1" t="s">
        <v>42</v>
      </c>
      <c r="L931" s="18">
        <v>105</v>
      </c>
      <c r="M931" s="7" t="s">
        <v>45</v>
      </c>
      <c r="N931" s="7" t="s">
        <v>45</v>
      </c>
      <c r="O931">
        <v>4.3533417391304337</v>
      </c>
      <c r="P931" s="19" t="s">
        <v>45</v>
      </c>
      <c r="Q931" s="6" t="s">
        <v>45</v>
      </c>
      <c r="R931" s="6" t="s">
        <v>45</v>
      </c>
      <c r="S931" s="6" t="s">
        <v>45</v>
      </c>
      <c r="T931" s="6" t="s">
        <v>45</v>
      </c>
      <c r="U931" s="6" t="s">
        <v>45</v>
      </c>
      <c r="V931" s="1" t="s">
        <v>45</v>
      </c>
      <c r="W931" s="1" t="s">
        <v>45</v>
      </c>
      <c r="X931" s="6" t="s">
        <v>45</v>
      </c>
      <c r="Y931" s="6">
        <f>O931</f>
        <v>4.3533417391304337</v>
      </c>
    </row>
    <row r="932" spans="1:25" x14ac:dyDescent="0.15">
      <c r="A932" s="3">
        <v>2024</v>
      </c>
      <c r="B932" s="1" t="s">
        <v>56</v>
      </c>
      <c r="C932" s="1">
        <v>50</v>
      </c>
      <c r="D932" s="3">
        <v>2</v>
      </c>
      <c r="E932" s="3" t="s">
        <v>36</v>
      </c>
      <c r="F932" s="3"/>
      <c r="G932" s="3" t="s">
        <v>41</v>
      </c>
      <c r="H932" s="1" t="s">
        <v>36</v>
      </c>
      <c r="I932" s="3">
        <v>4</v>
      </c>
      <c r="J932" s="3" t="s">
        <v>36</v>
      </c>
      <c r="K932" s="1" t="s">
        <v>42</v>
      </c>
      <c r="L932" s="18">
        <v>105</v>
      </c>
      <c r="M932" s="7" t="s">
        <v>45</v>
      </c>
      <c r="N932" s="7" t="s">
        <v>45</v>
      </c>
      <c r="O932">
        <v>4.576575217391305</v>
      </c>
      <c r="P932" s="19" t="s">
        <v>45</v>
      </c>
      <c r="Q932" s="6" t="s">
        <v>45</v>
      </c>
      <c r="R932" s="6" t="s">
        <v>45</v>
      </c>
      <c r="S932" s="6" t="s">
        <v>45</v>
      </c>
      <c r="T932" s="6" t="s">
        <v>45</v>
      </c>
      <c r="U932" s="6" t="s">
        <v>45</v>
      </c>
      <c r="V932" s="1" t="s">
        <v>45</v>
      </c>
      <c r="W932" s="1" t="s">
        <v>45</v>
      </c>
      <c r="X932" s="6" t="s">
        <v>45</v>
      </c>
      <c r="Y932" s="6">
        <f t="shared" ref="Y932:Y936" si="343">O932</f>
        <v>4.576575217391305</v>
      </c>
    </row>
    <row r="933" spans="1:25" x14ac:dyDescent="0.15">
      <c r="A933" s="3">
        <v>2024</v>
      </c>
      <c r="B933" s="1" t="s">
        <v>56</v>
      </c>
      <c r="C933" s="1">
        <v>50</v>
      </c>
      <c r="D933" s="3">
        <v>3</v>
      </c>
      <c r="E933" s="3" t="s">
        <v>37</v>
      </c>
      <c r="F933" s="3"/>
      <c r="G933" s="3" t="s">
        <v>41</v>
      </c>
      <c r="H933" s="1" t="s">
        <v>37</v>
      </c>
      <c r="I933" s="3">
        <v>4</v>
      </c>
      <c r="J933" s="3" t="s">
        <v>37</v>
      </c>
      <c r="K933" s="1" t="s">
        <v>42</v>
      </c>
      <c r="L933" s="18">
        <v>70</v>
      </c>
      <c r="M933" s="7" t="s">
        <v>45</v>
      </c>
      <c r="N933" s="7" t="s">
        <v>45</v>
      </c>
      <c r="O933" s="19" t="s">
        <v>45</v>
      </c>
      <c r="P933" s="19" t="s">
        <v>45</v>
      </c>
      <c r="Q933" s="6" t="s">
        <v>45</v>
      </c>
      <c r="R933" s="6" t="s">
        <v>45</v>
      </c>
      <c r="S933" s="6" t="s">
        <v>45</v>
      </c>
      <c r="T933" s="6" t="s">
        <v>45</v>
      </c>
      <c r="U933" s="6" t="s">
        <v>45</v>
      </c>
      <c r="V933" s="1" t="s">
        <v>45</v>
      </c>
      <c r="W933" s="1" t="s">
        <v>45</v>
      </c>
      <c r="X933" s="6" t="s">
        <v>45</v>
      </c>
      <c r="Y933" s="6" t="str">
        <f t="shared" si="343"/>
        <v>NA</v>
      </c>
    </row>
    <row r="934" spans="1:25" x14ac:dyDescent="0.15">
      <c r="A934" s="3">
        <v>2024</v>
      </c>
      <c r="B934" s="1" t="s">
        <v>56</v>
      </c>
      <c r="C934" s="1">
        <v>50</v>
      </c>
      <c r="D934" s="3">
        <v>4</v>
      </c>
      <c r="E934" s="3" t="s">
        <v>35</v>
      </c>
      <c r="F934" s="3"/>
      <c r="G934" s="3" t="s">
        <v>41</v>
      </c>
      <c r="H934" s="1" t="s">
        <v>75</v>
      </c>
      <c r="I934" s="3">
        <v>4</v>
      </c>
      <c r="J934" s="3" t="s">
        <v>35</v>
      </c>
      <c r="K934" s="1" t="s">
        <v>43</v>
      </c>
      <c r="L934" s="18">
        <v>100</v>
      </c>
      <c r="M934" s="7" t="s">
        <v>45</v>
      </c>
      <c r="N934" s="7" t="s">
        <v>45</v>
      </c>
      <c r="O934">
        <v>5.0700939130434799</v>
      </c>
      <c r="P934" s="19" t="s">
        <v>45</v>
      </c>
      <c r="Q934" s="6" t="s">
        <v>45</v>
      </c>
      <c r="R934" s="6" t="s">
        <v>45</v>
      </c>
      <c r="S934" s="6" t="s">
        <v>45</v>
      </c>
      <c r="T934" s="6" t="s">
        <v>45</v>
      </c>
      <c r="U934" s="6" t="s">
        <v>45</v>
      </c>
      <c r="V934" s="1" t="s">
        <v>45</v>
      </c>
      <c r="W934" s="1" t="s">
        <v>45</v>
      </c>
      <c r="X934" s="1" t="s">
        <v>45</v>
      </c>
      <c r="Y934" s="6">
        <f t="shared" si="343"/>
        <v>5.0700939130434799</v>
      </c>
    </row>
    <row r="935" spans="1:25" x14ac:dyDescent="0.15">
      <c r="A935" s="3">
        <v>2024</v>
      </c>
      <c r="B935" s="1" t="s">
        <v>56</v>
      </c>
      <c r="C935" s="1">
        <v>50</v>
      </c>
      <c r="D935" s="3">
        <v>5</v>
      </c>
      <c r="E935" s="3" t="s">
        <v>36</v>
      </c>
      <c r="F935" s="3"/>
      <c r="G935" s="3" t="s">
        <v>41</v>
      </c>
      <c r="H935" s="1" t="s">
        <v>76</v>
      </c>
      <c r="I935" s="3">
        <v>4</v>
      </c>
      <c r="J935" s="3" t="s">
        <v>36</v>
      </c>
      <c r="K935" s="1" t="s">
        <v>43</v>
      </c>
      <c r="L935" s="18">
        <v>100</v>
      </c>
      <c r="M935" s="7" t="s">
        <v>45</v>
      </c>
      <c r="N935" s="7" t="s">
        <v>45</v>
      </c>
      <c r="O935">
        <v>4.8749260869565223</v>
      </c>
      <c r="P935" s="19" t="s">
        <v>45</v>
      </c>
      <c r="Q935" s="6" t="s">
        <v>45</v>
      </c>
      <c r="R935" s="6" t="s">
        <v>45</v>
      </c>
      <c r="S935" s="6" t="s">
        <v>45</v>
      </c>
      <c r="T935" s="6" t="s">
        <v>45</v>
      </c>
      <c r="U935" s="6" t="s">
        <v>45</v>
      </c>
      <c r="V935" s="1" t="s">
        <v>45</v>
      </c>
      <c r="W935" s="1" t="s">
        <v>45</v>
      </c>
      <c r="X935" s="1" t="s">
        <v>45</v>
      </c>
      <c r="Y935" s="6">
        <f t="shared" si="343"/>
        <v>4.8749260869565223</v>
      </c>
    </row>
    <row r="936" spans="1:25" x14ac:dyDescent="0.15">
      <c r="A936" s="3">
        <v>2024</v>
      </c>
      <c r="B936" s="1" t="s">
        <v>56</v>
      </c>
      <c r="C936" s="1">
        <v>50</v>
      </c>
      <c r="D936" s="3">
        <v>6</v>
      </c>
      <c r="E936" s="3" t="s">
        <v>37</v>
      </c>
      <c r="F936" s="3"/>
      <c r="G936" s="3" t="s">
        <v>41</v>
      </c>
      <c r="H936" s="1" t="s">
        <v>77</v>
      </c>
      <c r="I936" s="3">
        <v>4</v>
      </c>
      <c r="J936" s="3" t="s">
        <v>37</v>
      </c>
      <c r="K936" s="1" t="s">
        <v>43</v>
      </c>
      <c r="L936" s="18">
        <v>75</v>
      </c>
      <c r="M936" s="7" t="s">
        <v>45</v>
      </c>
      <c r="N936" s="7" t="s">
        <v>45</v>
      </c>
      <c r="O936" s="19" t="s">
        <v>45</v>
      </c>
      <c r="P936" s="19" t="s">
        <v>45</v>
      </c>
      <c r="Q936" s="6" t="s">
        <v>45</v>
      </c>
      <c r="R936" s="6" t="s">
        <v>45</v>
      </c>
      <c r="S936" s="6" t="s">
        <v>45</v>
      </c>
      <c r="T936" s="6" t="s">
        <v>45</v>
      </c>
      <c r="U936" s="6" t="s">
        <v>45</v>
      </c>
      <c r="V936" s="1" t="s">
        <v>45</v>
      </c>
      <c r="W936" s="1" t="s">
        <v>45</v>
      </c>
      <c r="X936" s="1" t="s">
        <v>45</v>
      </c>
      <c r="Y936" s="6" t="str">
        <f t="shared" si="343"/>
        <v>NA</v>
      </c>
    </row>
    <row r="937" spans="1:25" x14ac:dyDescent="0.15">
      <c r="A937" s="3">
        <v>2024</v>
      </c>
      <c r="B937" s="1" t="s">
        <v>56</v>
      </c>
      <c r="C937" s="1">
        <v>50</v>
      </c>
      <c r="D937" s="3">
        <v>7</v>
      </c>
      <c r="E937" s="3"/>
      <c r="F937" s="3" t="s">
        <v>38</v>
      </c>
      <c r="G937" s="3" t="s">
        <v>41</v>
      </c>
      <c r="H937" s="1"/>
      <c r="I937" s="3">
        <v>4</v>
      </c>
      <c r="J937" s="3" t="s">
        <v>38</v>
      </c>
      <c r="K937" s="1" t="s">
        <v>42</v>
      </c>
      <c r="L937" s="7" t="s">
        <v>45</v>
      </c>
      <c r="M937" s="18">
        <v>65</v>
      </c>
      <c r="N937" s="7" t="s">
        <v>45</v>
      </c>
      <c r="O937" s="19" t="s">
        <v>45</v>
      </c>
      <c r="P937">
        <v>1.6718373913043478</v>
      </c>
      <c r="Q937" s="6" t="s">
        <v>45</v>
      </c>
      <c r="R937" s="6" t="s">
        <v>45</v>
      </c>
      <c r="S937" s="6" t="s">
        <v>45</v>
      </c>
      <c r="T937" s="6" t="s">
        <v>45</v>
      </c>
      <c r="U937" s="6" t="s">
        <v>45</v>
      </c>
      <c r="V937" s="1" t="s">
        <v>45</v>
      </c>
      <c r="W937" s="1" t="s">
        <v>45</v>
      </c>
      <c r="X937" s="1" t="s">
        <v>45</v>
      </c>
      <c r="Y937" s="6">
        <f>P937</f>
        <v>1.6718373913043478</v>
      </c>
    </row>
    <row r="938" spans="1:25" x14ac:dyDescent="0.15">
      <c r="A938" s="3">
        <v>2024</v>
      </c>
      <c r="B938" s="1" t="s">
        <v>56</v>
      </c>
      <c r="C938" s="1">
        <v>50</v>
      </c>
      <c r="D938" s="3">
        <v>8</v>
      </c>
      <c r="E938" s="3"/>
      <c r="F938" s="3" t="s">
        <v>39</v>
      </c>
      <c r="G938" s="3" t="s">
        <v>41</v>
      </c>
      <c r="H938" s="1"/>
      <c r="I938" s="3">
        <v>4</v>
      </c>
      <c r="J938" s="3" t="s">
        <v>39</v>
      </c>
      <c r="K938" s="1" t="s">
        <v>42</v>
      </c>
      <c r="L938" s="7" t="s">
        <v>45</v>
      </c>
      <c r="M938" s="18">
        <v>65</v>
      </c>
      <c r="N938" s="7" t="s">
        <v>45</v>
      </c>
      <c r="O938" s="19" t="s">
        <v>45</v>
      </c>
      <c r="P938">
        <v>1.0206999999999999</v>
      </c>
      <c r="Q938" s="6" t="s">
        <v>45</v>
      </c>
      <c r="R938" s="6" t="s">
        <v>45</v>
      </c>
      <c r="S938" s="6" t="s">
        <v>45</v>
      </c>
      <c r="T938" s="6" t="s">
        <v>45</v>
      </c>
      <c r="U938" s="6" t="s">
        <v>45</v>
      </c>
      <c r="V938" s="1" t="s">
        <v>45</v>
      </c>
      <c r="W938" s="1" t="s">
        <v>45</v>
      </c>
      <c r="X938" s="1" t="s">
        <v>45</v>
      </c>
      <c r="Y938" s="6">
        <f t="shared" ref="Y938:Y939" si="344">P938</f>
        <v>1.0206999999999999</v>
      </c>
    </row>
    <row r="939" spans="1:25" x14ac:dyDescent="0.15">
      <c r="A939" s="3">
        <v>2024</v>
      </c>
      <c r="B939" s="1" t="s">
        <v>56</v>
      </c>
      <c r="C939" s="1">
        <v>50</v>
      </c>
      <c r="D939" s="3">
        <v>9</v>
      </c>
      <c r="E939" s="3"/>
      <c r="F939" s="3" t="s">
        <v>40</v>
      </c>
      <c r="G939" s="3" t="s">
        <v>41</v>
      </c>
      <c r="H939" s="1"/>
      <c r="I939" s="3">
        <v>4</v>
      </c>
      <c r="J939" s="3" t="s">
        <v>40</v>
      </c>
      <c r="K939" s="1" t="s">
        <v>42</v>
      </c>
      <c r="L939" s="7" t="s">
        <v>45</v>
      </c>
      <c r="M939" s="18">
        <v>50</v>
      </c>
      <c r="N939" s="7" t="s">
        <v>45</v>
      </c>
      <c r="O939" s="19" t="s">
        <v>45</v>
      </c>
      <c r="P939">
        <v>0.66852608695652183</v>
      </c>
      <c r="Q939" s="6" t="s">
        <v>45</v>
      </c>
      <c r="R939" s="6" t="s">
        <v>45</v>
      </c>
      <c r="S939" s="6" t="s">
        <v>45</v>
      </c>
      <c r="T939" s="6" t="s">
        <v>45</v>
      </c>
      <c r="U939" s="6" t="s">
        <v>45</v>
      </c>
      <c r="V939" s="1" t="s">
        <v>45</v>
      </c>
      <c r="W939" s="1" t="s">
        <v>45</v>
      </c>
      <c r="X939" s="1" t="s">
        <v>45</v>
      </c>
      <c r="Y939" s="6">
        <f t="shared" si="344"/>
        <v>0.66852608695652183</v>
      </c>
    </row>
    <row r="940" spans="1:25" x14ac:dyDescent="0.15">
      <c r="A940" s="3">
        <v>2024</v>
      </c>
      <c r="B940" s="1" t="s">
        <v>56</v>
      </c>
      <c r="C940" s="1">
        <v>50</v>
      </c>
      <c r="D940" s="3">
        <v>10</v>
      </c>
      <c r="E940" s="3" t="s">
        <v>35</v>
      </c>
      <c r="F940" s="3" t="s">
        <v>38</v>
      </c>
      <c r="G940" s="3" t="s">
        <v>14</v>
      </c>
      <c r="H940" s="1" t="s">
        <v>35</v>
      </c>
      <c r="I940" s="3">
        <v>4</v>
      </c>
      <c r="J940" s="3" t="s">
        <v>63</v>
      </c>
      <c r="K940" s="1" t="s">
        <v>42</v>
      </c>
      <c r="L940" s="18">
        <v>115</v>
      </c>
      <c r="M940" s="18">
        <v>70</v>
      </c>
      <c r="N940" s="7">
        <f>L940-M940</f>
        <v>45</v>
      </c>
      <c r="O940">
        <v>2.8232908695652181</v>
      </c>
      <c r="P940">
        <v>0.89383913043478269</v>
      </c>
      <c r="Q940" s="6">
        <f>O940/(0.1*O931)</f>
        <v>6.4853416955250598</v>
      </c>
      <c r="R940" s="6">
        <f>O940/(0.1*O934)</f>
        <v>5.5685178972758926</v>
      </c>
      <c r="S940" s="6">
        <f>P940/(0.9*P937)</f>
        <v>0.5940497530068598</v>
      </c>
      <c r="T940" s="6">
        <f>Q940+S940</f>
        <v>7.0793914485319194</v>
      </c>
      <c r="U940" s="6">
        <f>R940+S940</f>
        <v>6.1625676502827522</v>
      </c>
      <c r="V940" s="1">
        <f>O940/O931+P940/P937</f>
        <v>1.1831789472586798</v>
      </c>
      <c r="W940" s="1">
        <f>O940/O934+P940/P937</f>
        <v>1.0914965674337633</v>
      </c>
      <c r="X940" s="1">
        <f t="shared" ref="X940:X948" si="345">100*ROUND(P940/(P940+O940), 2)</f>
        <v>24</v>
      </c>
      <c r="Y940" s="6">
        <f>O940+P940</f>
        <v>3.7171300000000009</v>
      </c>
    </row>
    <row r="941" spans="1:25" x14ac:dyDescent="0.15">
      <c r="A941" s="3">
        <v>2024</v>
      </c>
      <c r="B941" s="1" t="s">
        <v>56</v>
      </c>
      <c r="C941" s="1">
        <v>50</v>
      </c>
      <c r="D941" s="3">
        <v>11</v>
      </c>
      <c r="E941" s="3" t="s">
        <v>35</v>
      </c>
      <c r="F941" s="3" t="s">
        <v>39</v>
      </c>
      <c r="G941" s="3" t="s">
        <v>14</v>
      </c>
      <c r="H941" s="1" t="s">
        <v>35</v>
      </c>
      <c r="I941" s="3">
        <v>4</v>
      </c>
      <c r="J941" s="3" t="s">
        <v>64</v>
      </c>
      <c r="K941" s="1" t="s">
        <v>42</v>
      </c>
      <c r="L941" s="18">
        <v>110</v>
      </c>
      <c r="M941" s="18">
        <v>50</v>
      </c>
      <c r="N941" s="7">
        <f t="shared" ref="N941:N948" si="346">L941-M941</f>
        <v>60</v>
      </c>
      <c r="O941">
        <v>2.5995234782608696</v>
      </c>
      <c r="P941">
        <v>0.27450652173913048</v>
      </c>
      <c r="Q941" s="6">
        <f>O941/(0.1*O931)</f>
        <v>5.9713287723194366</v>
      </c>
      <c r="R941" s="6">
        <f>O941/(0.1*O934)</f>
        <v>5.1271702710935108</v>
      </c>
      <c r="S941" s="6">
        <f>P941/(0.9*P938)</f>
        <v>0.29882163846067566</v>
      </c>
      <c r="T941" s="6">
        <f t="shared" ref="T941:T948" si="347">Q941+S941</f>
        <v>6.2701504107801123</v>
      </c>
      <c r="U941" s="6">
        <f t="shared" ref="U941:U948" si="348">R941+S941</f>
        <v>5.4259919095541864</v>
      </c>
      <c r="V941" s="1">
        <f>O941/O931+P941/P938</f>
        <v>0.86607235184655185</v>
      </c>
      <c r="W941" s="1">
        <f>O941/O934+P941/P938</f>
        <v>0.78165650172395917</v>
      </c>
      <c r="X941" s="1">
        <f t="shared" si="345"/>
        <v>10</v>
      </c>
      <c r="Y941" s="6">
        <f t="shared" ref="Y941:Y948" si="349">O941+P941</f>
        <v>2.8740300000000003</v>
      </c>
    </row>
    <row r="942" spans="1:25" x14ac:dyDescent="0.15">
      <c r="A942" s="3">
        <v>2024</v>
      </c>
      <c r="B942" s="1" t="s">
        <v>56</v>
      </c>
      <c r="C942" s="1">
        <v>50</v>
      </c>
      <c r="D942" s="3">
        <v>12</v>
      </c>
      <c r="E942" s="3" t="s">
        <v>35</v>
      </c>
      <c r="F942" s="3" t="s">
        <v>40</v>
      </c>
      <c r="G942" s="3" t="s">
        <v>14</v>
      </c>
      <c r="H942" s="1" t="s">
        <v>35</v>
      </c>
      <c r="I942" s="3">
        <v>4</v>
      </c>
      <c r="J942" s="3" t="s">
        <v>65</v>
      </c>
      <c r="K942" s="1" t="s">
        <v>42</v>
      </c>
      <c r="L942" s="18">
        <v>110</v>
      </c>
      <c r="M942" s="18">
        <v>50</v>
      </c>
      <c r="N942" s="7">
        <f t="shared" si="346"/>
        <v>60</v>
      </c>
      <c r="O942">
        <v>3.0464021739130436</v>
      </c>
      <c r="P942">
        <v>0.44828152173913033</v>
      </c>
      <c r="Q942" s="6">
        <f>O942/(0.1*O931)</f>
        <v>6.9978475306226535</v>
      </c>
      <c r="R942" s="6">
        <f>O942/(0.1*O934)</f>
        <v>6.0085714903145595</v>
      </c>
      <c r="S942" s="6">
        <f>P942/(0.9*P939)</f>
        <v>0.74505780616237716</v>
      </c>
      <c r="T942" s="6">
        <f t="shared" si="347"/>
        <v>7.7429053367850305</v>
      </c>
      <c r="U942" s="6">
        <f t="shared" si="348"/>
        <v>6.7536292964769364</v>
      </c>
      <c r="V942" s="1">
        <f>O942/O931+P942/P939</f>
        <v>1.3703367786084049</v>
      </c>
      <c r="W942" s="1">
        <f>O942/O934+P942/P939</f>
        <v>1.2714091745775955</v>
      </c>
      <c r="X942" s="1">
        <f t="shared" si="345"/>
        <v>13</v>
      </c>
      <c r="Y942" s="6">
        <f t="shared" si="349"/>
        <v>3.4946836956521738</v>
      </c>
    </row>
    <row r="943" spans="1:25" x14ac:dyDescent="0.15">
      <c r="A943" s="3">
        <v>2024</v>
      </c>
      <c r="B943" s="1" t="s">
        <v>56</v>
      </c>
      <c r="C943" s="1">
        <v>50</v>
      </c>
      <c r="D943" s="3">
        <v>13</v>
      </c>
      <c r="E943" s="3" t="s">
        <v>36</v>
      </c>
      <c r="F943" s="3" t="s">
        <v>38</v>
      </c>
      <c r="G943" s="3" t="s">
        <v>14</v>
      </c>
      <c r="H943" s="1" t="s">
        <v>36</v>
      </c>
      <c r="I943" s="3">
        <v>4</v>
      </c>
      <c r="J943" s="3" t="s">
        <v>66</v>
      </c>
      <c r="K943" s="1" t="s">
        <v>42</v>
      </c>
      <c r="L943" s="18">
        <v>105</v>
      </c>
      <c r="M943" s="18">
        <v>50</v>
      </c>
      <c r="N943" s="7">
        <f t="shared" si="346"/>
        <v>55</v>
      </c>
      <c r="O943">
        <v>2.9842413043478264</v>
      </c>
      <c r="P943">
        <v>0.3494847826086957</v>
      </c>
      <c r="Q943" s="6">
        <f>O943/(0.1*O932)</f>
        <v>6.520686676376477</v>
      </c>
      <c r="R943" s="6">
        <f>O943/(0.1*O935)</f>
        <v>6.1216134380632745</v>
      </c>
      <c r="S943" s="6">
        <f>P943/(0.9*P937)</f>
        <v>0.23226925485726402</v>
      </c>
      <c r="T943" s="6">
        <f t="shared" si="347"/>
        <v>6.7529559312337408</v>
      </c>
      <c r="U943" s="6">
        <f t="shared" si="348"/>
        <v>6.3538826929205383</v>
      </c>
      <c r="V943" s="1">
        <f>O943/O932+P943/P937</f>
        <v>0.86111099700918547</v>
      </c>
      <c r="W943" s="1">
        <f>O943/O935+P943/P937</f>
        <v>0.82120367317786513</v>
      </c>
      <c r="X943" s="1">
        <f t="shared" si="345"/>
        <v>10</v>
      </c>
      <c r="Y943" s="6">
        <f t="shared" si="349"/>
        <v>3.333726086956522</v>
      </c>
    </row>
    <row r="944" spans="1:25" x14ac:dyDescent="0.15">
      <c r="A944" s="3">
        <v>2024</v>
      </c>
      <c r="B944" s="1" t="s">
        <v>56</v>
      </c>
      <c r="C944" s="1">
        <v>50</v>
      </c>
      <c r="D944" s="3">
        <v>14</v>
      </c>
      <c r="E944" s="3" t="s">
        <v>36</v>
      </c>
      <c r="F944" s="3" t="s">
        <v>39</v>
      </c>
      <c r="G944" s="3" t="s">
        <v>14</v>
      </c>
      <c r="H944" s="1" t="s">
        <v>36</v>
      </c>
      <c r="I944" s="3">
        <v>4</v>
      </c>
      <c r="J944" s="3" t="s">
        <v>67</v>
      </c>
      <c r="K944" s="1" t="s">
        <v>42</v>
      </c>
      <c r="L944" s="18">
        <v>110</v>
      </c>
      <c r="M944" s="18">
        <v>40</v>
      </c>
      <c r="N944" s="7">
        <f t="shared" si="346"/>
        <v>70</v>
      </c>
      <c r="O944">
        <v>2.8833534782608696</v>
      </c>
      <c r="P944" s="19" t="s">
        <v>45</v>
      </c>
      <c r="Q944" s="6">
        <f>O944/(0.1*O932)</f>
        <v>6.3002427389457623</v>
      </c>
      <c r="R944" s="6">
        <f>O944/(0.1*O935)</f>
        <v>5.914660913476502</v>
      </c>
      <c r="S944" s="1" t="s">
        <v>45</v>
      </c>
      <c r="T944" s="1" t="s">
        <v>45</v>
      </c>
      <c r="U944" s="1" t="s">
        <v>45</v>
      </c>
      <c r="V944" s="1" t="s">
        <v>45</v>
      </c>
      <c r="W944" s="1" t="s">
        <v>45</v>
      </c>
      <c r="X944" s="19" t="s">
        <v>45</v>
      </c>
      <c r="Y944" s="19" t="s">
        <v>45</v>
      </c>
    </row>
    <row r="945" spans="1:25" x14ac:dyDescent="0.15">
      <c r="A945" s="3">
        <v>2024</v>
      </c>
      <c r="B945" s="1" t="s">
        <v>56</v>
      </c>
      <c r="C945" s="1">
        <v>50</v>
      </c>
      <c r="D945" s="3">
        <v>15</v>
      </c>
      <c r="E945" s="3" t="s">
        <v>36</v>
      </c>
      <c r="F945" s="3" t="s">
        <v>40</v>
      </c>
      <c r="G945" s="3" t="s">
        <v>14</v>
      </c>
      <c r="H945" s="1" t="s">
        <v>36</v>
      </c>
      <c r="I945" s="3">
        <v>4</v>
      </c>
      <c r="J945" s="3" t="s">
        <v>68</v>
      </c>
      <c r="K945" s="1" t="s">
        <v>42</v>
      </c>
      <c r="L945" s="18">
        <v>110</v>
      </c>
      <c r="M945" s="18">
        <v>45</v>
      </c>
      <c r="N945" s="7">
        <f t="shared" si="346"/>
        <v>65</v>
      </c>
      <c r="O945">
        <v>2.7030228260869564</v>
      </c>
      <c r="P945">
        <v>0.49205760869565224</v>
      </c>
      <c r="Q945" s="6">
        <f>O945/(0.1*O932)</f>
        <v>5.9062130472919598</v>
      </c>
      <c r="R945" s="6">
        <f>O945/(0.1*O935)</f>
        <v>5.5447462748599072</v>
      </c>
      <c r="S945" s="6">
        <f>P945/(0.9*P939)</f>
        <v>0.81781502172563614</v>
      </c>
      <c r="T945" s="6">
        <f t="shared" si="347"/>
        <v>6.7240280690175958</v>
      </c>
      <c r="U945" s="6">
        <f t="shared" si="348"/>
        <v>6.3625612965855431</v>
      </c>
      <c r="V945" s="1">
        <f>O945/O932+P945/P939</f>
        <v>1.3266548242822687</v>
      </c>
      <c r="W945" s="1">
        <f>O945/O935+P945/P939</f>
        <v>1.2905081470390634</v>
      </c>
      <c r="X945" s="1">
        <f t="shared" si="345"/>
        <v>15</v>
      </c>
      <c r="Y945" s="6">
        <f t="shared" si="349"/>
        <v>3.1950804347826085</v>
      </c>
    </row>
    <row r="946" spans="1:25" x14ac:dyDescent="0.15">
      <c r="A946" s="3">
        <v>2024</v>
      </c>
      <c r="B946" s="1" t="s">
        <v>56</v>
      </c>
      <c r="C946" s="1">
        <v>50</v>
      </c>
      <c r="D946" s="3">
        <v>16</v>
      </c>
      <c r="E946" s="3" t="s">
        <v>37</v>
      </c>
      <c r="F946" s="3" t="s">
        <v>38</v>
      </c>
      <c r="G946" s="3" t="s">
        <v>14</v>
      </c>
      <c r="H946" s="1" t="s">
        <v>37</v>
      </c>
      <c r="I946" s="3">
        <v>4</v>
      </c>
      <c r="J946" s="3" t="s">
        <v>69</v>
      </c>
      <c r="K946" s="1" t="s">
        <v>42</v>
      </c>
      <c r="L946" s="18">
        <v>80</v>
      </c>
      <c r="M946" s="18">
        <v>50</v>
      </c>
      <c r="N946" s="7">
        <f t="shared" si="346"/>
        <v>30</v>
      </c>
      <c r="O946">
        <v>2.2546173913043477</v>
      </c>
      <c r="P946">
        <v>0.73713043478260887</v>
      </c>
      <c r="Q946" s="1" t="s">
        <v>45</v>
      </c>
      <c r="R946" s="1" t="s">
        <v>45</v>
      </c>
      <c r="S946" s="6">
        <f>P946/(0.9*P937)</f>
        <v>0.48990040579611654</v>
      </c>
      <c r="T946" s="1" t="s">
        <v>45</v>
      </c>
      <c r="U946" s="1" t="s">
        <v>45</v>
      </c>
      <c r="V946" s="1" t="s">
        <v>45</v>
      </c>
      <c r="W946" s="1" t="s">
        <v>45</v>
      </c>
      <c r="X946" s="1">
        <f t="shared" si="345"/>
        <v>25</v>
      </c>
      <c r="Y946" s="6">
        <f t="shared" si="349"/>
        <v>2.9917478260869563</v>
      </c>
    </row>
    <row r="947" spans="1:25" x14ac:dyDescent="0.15">
      <c r="A947" s="3">
        <v>2024</v>
      </c>
      <c r="B947" s="1" t="s">
        <v>56</v>
      </c>
      <c r="C947" s="1">
        <v>51</v>
      </c>
      <c r="D947" s="3">
        <v>17</v>
      </c>
      <c r="E947" s="3" t="s">
        <v>37</v>
      </c>
      <c r="F947" s="3" t="s">
        <v>39</v>
      </c>
      <c r="G947" s="3" t="s">
        <v>14</v>
      </c>
      <c r="H947" s="1" t="s">
        <v>37</v>
      </c>
      <c r="I947" s="3">
        <v>4</v>
      </c>
      <c r="J947" s="3" t="s">
        <v>70</v>
      </c>
      <c r="K947" s="1" t="s">
        <v>42</v>
      </c>
      <c r="L947" s="18">
        <v>85</v>
      </c>
      <c r="M947" s="18">
        <v>50</v>
      </c>
      <c r="N947" s="7">
        <f t="shared" si="346"/>
        <v>35</v>
      </c>
      <c r="O947">
        <v>2.8099339130434782</v>
      </c>
      <c r="P947">
        <v>0.69992282608695644</v>
      </c>
      <c r="Q947" s="1" t="s">
        <v>45</v>
      </c>
      <c r="R947" s="1" t="s">
        <v>45</v>
      </c>
      <c r="S947" s="6">
        <f>P947/(0.9*P938)</f>
        <v>0.76192027920594418</v>
      </c>
      <c r="T947" s="1" t="s">
        <v>45</v>
      </c>
      <c r="U947" s="1" t="s">
        <v>45</v>
      </c>
      <c r="V947" s="1" t="s">
        <v>45</v>
      </c>
      <c r="W947" s="1" t="s">
        <v>45</v>
      </c>
      <c r="X947" s="1">
        <f t="shared" si="345"/>
        <v>20</v>
      </c>
      <c r="Y947" s="6">
        <f t="shared" si="349"/>
        <v>3.5098567391304347</v>
      </c>
    </row>
    <row r="948" spans="1:25" x14ac:dyDescent="0.15">
      <c r="A948" s="3">
        <v>2024</v>
      </c>
      <c r="B948" s="1" t="s">
        <v>56</v>
      </c>
      <c r="C948" s="1">
        <v>51</v>
      </c>
      <c r="D948" s="3">
        <v>18</v>
      </c>
      <c r="E948" s="3" t="s">
        <v>37</v>
      </c>
      <c r="F948" s="3" t="s">
        <v>40</v>
      </c>
      <c r="G948" s="3" t="s">
        <v>14</v>
      </c>
      <c r="H948" s="1" t="s">
        <v>37</v>
      </c>
      <c r="I948" s="3">
        <v>4</v>
      </c>
      <c r="J948" s="3" t="s">
        <v>71</v>
      </c>
      <c r="K948" s="1" t="s">
        <v>42</v>
      </c>
      <c r="L948" s="18">
        <v>85</v>
      </c>
      <c r="M948" s="18">
        <v>40</v>
      </c>
      <c r="N948" s="7">
        <f t="shared" si="346"/>
        <v>45</v>
      </c>
      <c r="O948">
        <v>2.798803913043479</v>
      </c>
      <c r="P948">
        <v>0.3449347826086957</v>
      </c>
      <c r="Q948" s="1" t="s">
        <v>45</v>
      </c>
      <c r="R948" s="1" t="s">
        <v>45</v>
      </c>
      <c r="S948" s="6">
        <f>P948/(0.9*P939)</f>
        <v>0.5732923172976242</v>
      </c>
      <c r="T948" s="1" t="s">
        <v>45</v>
      </c>
      <c r="U948" s="1" t="s">
        <v>45</v>
      </c>
      <c r="V948" s="1" t="s">
        <v>45</v>
      </c>
      <c r="W948" s="1" t="s">
        <v>45</v>
      </c>
      <c r="X948" s="1">
        <f t="shared" si="345"/>
        <v>11</v>
      </c>
      <c r="Y948" s="6">
        <f t="shared" si="349"/>
        <v>3.1437386956521749</v>
      </c>
    </row>
  </sheetData>
  <autoFilter ref="A1:X228" xr:uid="{903CEFD8-0F74-4EF2-AB15-E43E1719852D}"/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 Julia AGROSCOPE</dc:creator>
  <cp:lastModifiedBy>Schlup  Yannik</cp:lastModifiedBy>
  <dcterms:created xsi:type="dcterms:W3CDTF">2024-10-10T07:13:54Z</dcterms:created>
  <dcterms:modified xsi:type="dcterms:W3CDTF">2025-10-21T15:08:01Z</dcterms:modified>
</cp:coreProperties>
</file>